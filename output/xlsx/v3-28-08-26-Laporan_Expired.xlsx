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8"/>
  <sheetViews>
    <sheetView workbookViewId="0">
      <selection activeCell="A1" sqref="A1"/>
    </sheetView>
  </sheetViews>
  <sheetFormatPr baseColWidth="8" defaultRowHeight="15"/>
  <cols>
    <col width="50" customWidth="1" min="1" max="1"/>
    <col width="27" customWidth="1" min="2" max="2"/>
    <col width="16" customWidth="1" min="3" max="3"/>
    <col width="42" customWidth="1" min="4" max="4"/>
    <col width="50" customWidth="1" min="5" max="5"/>
    <col width="18" customWidth="1" min="6" max="6"/>
    <col width="49" customWidth="1" min="7" max="7"/>
    <col width="20" customWidth="1" min="8" max="8"/>
    <col width="28" customWidth="1" min="9" max="9"/>
    <col width="28"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DIZKAA PUTRA ANUGERAH</t>
        </is>
      </c>
      <c r="B2" t="inlineStr">
        <is>
          <t>Kota Bekasi</t>
        </is>
      </c>
      <c r="C2" t="inlineStr">
        <is>
          <t>081296705550</t>
        </is>
      </c>
      <c r="D2" t="inlineStr">
        <is>
          <t>dizkaa_pa@yahoo.com</t>
        </is>
      </c>
      <c r="E2" t="inlineStr">
        <is>
          <t>https://lpjk.pu.go.id/search-badan-usaha-detail/VGpoSjB1UVp6K1MzaFpiUUIwQ012Zz09</t>
        </is>
      </c>
      <c r="F2" t="n">
        <v>2</v>
      </c>
      <c r="G2" t="inlineStr">
        <is>
          <t>BG003, BG009</t>
        </is>
      </c>
      <c r="H2" t="inlineStr">
        <is>
          <t>16 November 2023</t>
        </is>
      </c>
      <c r="I2" s="2" t="n">
        <v>46349</v>
      </c>
      <c r="J2" t="inlineStr">
        <is>
          <t>Disetujui</t>
        </is>
      </c>
      <c r="K2" t="n">
        <v>87</v>
      </c>
      <c r="L2" t="inlineStr">
        <is>
          <t>23 November 2026</t>
        </is>
      </c>
      <c r="M2" t="inlineStr">
        <is>
          <t>Konstruksi Gedung Industri, Konstruksi Gedung Lainnya</t>
        </is>
      </c>
      <c r="N2" t="inlineStr">
        <is>
          <t>K</t>
        </is>
      </c>
      <c r="O2" t="inlineStr">
        <is>
          <t>20231122</t>
        </is>
      </c>
      <c r="P2" t="inlineStr">
        <is>
          <t>Jawa Barat</t>
        </is>
      </c>
      <c r="Q2" s="3">
        <f>HYPERLINK("https://wa.me/6281296705550?text=Selamat siang Bapak/Ibu pimpinan DIZKAA PUTRA ANUGERAH,%0A%0ASemoga Bapak/Ibu dalam keadaan baik.%0ABerdasarkan data LPJK, masa berlaku SBU perusahaan Bapak/Ibu akan berakhir sekitar 3 bulan lagi (pada 23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ERA CAKRAWALA INDONESIA</t>
        </is>
      </c>
      <c r="B3" t="inlineStr">
        <is>
          <t>Kab. Bogor</t>
        </is>
      </c>
      <c r="C3" t="inlineStr">
        <is>
          <t>02122757300</t>
        </is>
      </c>
      <c r="D3" t="inlineStr">
        <is>
          <t>sales@eracakrawalaindonesia.co.id</t>
        </is>
      </c>
      <c r="E3" t="inlineStr">
        <is>
          <t>https://lpjk.pu.go.id/search-badan-usaha-detail/dkVzbDJvSGU2VWVXcmdXRFJHT3hUdz09</t>
        </is>
      </c>
      <c r="F3" t="n">
        <v>1</v>
      </c>
      <c r="G3" t="inlineStr">
        <is>
          <t>GT003</t>
        </is>
      </c>
      <c r="H3" t="inlineStr">
        <is>
          <t>14 Oktober 2014</t>
        </is>
      </c>
      <c r="I3" s="2" t="n">
        <v>46349</v>
      </c>
      <c r="J3" t="inlineStr">
        <is>
          <t>Disetujui</t>
        </is>
      </c>
      <c r="K3" t="n">
        <v>87</v>
      </c>
      <c r="L3" t="inlineStr">
        <is>
          <t>23 November 2026</t>
        </is>
      </c>
      <c r="M3" t="inlineStr">
        <is>
          <t>Konstruksi Gedung Industri</t>
        </is>
      </c>
      <c r="N3" t="inlineStr">
        <is>
          <t>B</t>
        </is>
      </c>
      <c r="O3" t="inlineStr">
        <is>
          <t>20230916</t>
        </is>
      </c>
      <c r="P3" t="inlineStr">
        <is>
          <t>Jawa Barat</t>
        </is>
      </c>
      <c r="Q3" t="inlineStr"/>
    </row>
    <row r="4">
      <c r="A4" t="inlineStr">
        <is>
          <t>HEKSA PRAMA INDONESIA</t>
        </is>
      </c>
      <c r="B4" t="inlineStr">
        <is>
          <t>Kota Bogor</t>
        </is>
      </c>
      <c r="C4" t="inlineStr">
        <is>
          <t>081299440816</t>
        </is>
      </c>
      <c r="D4" t="inlineStr">
        <is>
          <t>heksapramaindonesia@gmail.com</t>
        </is>
      </c>
      <c r="E4" t="inlineStr">
        <is>
          <t>https://lpjk.pu.go.id/search-badan-usaha-detail/UHFRWlE2OStWNG1CMGhYN1p3UzhnZz09</t>
        </is>
      </c>
      <c r="F4" t="n">
        <v>7</v>
      </c>
      <c r="G4" t="inlineStr">
        <is>
          <t>BG001, BG002, BG005, BG006, BG008, BS001, BS004</t>
        </is>
      </c>
      <c r="H4" t="inlineStr">
        <is>
          <t>13 Oktober 2023</t>
        </is>
      </c>
      <c r="I4" s="2" t="n">
        <v>46349</v>
      </c>
      <c r="J4" t="inlineStr">
        <is>
          <t>Disetujui</t>
        </is>
      </c>
      <c r="K4" t="n">
        <v>87</v>
      </c>
      <c r="L4" t="inlineStr">
        <is>
          <t>23 November 2026</t>
        </is>
      </c>
      <c r="M4" t="inlineStr">
        <is>
          <t>Konstruksi Bangunan Sipil Jalan, Konstruksi Gedung Hunian, Konstruksi Gedung Kesehatan, Konstruksi Gedung Pendidikan, Konstruksi Gedung Perkantoran, Konstruksi Gedung Tempat Hiburan dan Olahraga, Konstruksi Jaringan Irigasi dan Drainase</t>
        </is>
      </c>
      <c r="N4" t="inlineStr">
        <is>
          <t>K</t>
        </is>
      </c>
      <c r="O4" t="inlineStr">
        <is>
          <t>20231123, 20231128</t>
        </is>
      </c>
      <c r="P4" t="inlineStr">
        <is>
          <t>Jawa Barat</t>
        </is>
      </c>
      <c r="Q4" s="3">
        <f>HYPERLINK("https://wa.me/6281299440816?text=Selamat siang Bapak/Ibu pimpinan HEKSA PRAMA INDONESIA,%0A%0ASemoga Bapak/Ibu dalam keadaan baik.%0ABerdasarkan data LPJK, masa berlaku SBU perusahaan Bapak/Ibu akan berakhir sekitar 3 bulan lagi (pada 23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KREASI PUTERA MANDIRI</t>
        </is>
      </c>
      <c r="B5" t="inlineStr">
        <is>
          <t>Kota Bogor</t>
        </is>
      </c>
      <c r="C5" t="inlineStr">
        <is>
          <t>081295150295</t>
        </is>
      </c>
      <c r="D5" t="inlineStr">
        <is>
          <t>contactus.ptkpm@gmail.com</t>
        </is>
      </c>
      <c r="E5" t="inlineStr">
        <is>
          <t>https://lpjk.pu.go.id/search-badan-usaha-detail/SUVybXVsZDdidmVrMThCWXkvNi9iQT09</t>
        </is>
      </c>
      <c r="F5" t="n">
        <v>1</v>
      </c>
      <c r="G5" t="inlineStr">
        <is>
          <t>BG001</t>
        </is>
      </c>
      <c r="H5" t="inlineStr">
        <is>
          <t>16 Oktober 2023</t>
        </is>
      </c>
      <c r="I5" s="2" t="n">
        <v>46349</v>
      </c>
      <c r="J5" t="inlineStr">
        <is>
          <t>Disetujui</t>
        </is>
      </c>
      <c r="K5" t="n">
        <v>87</v>
      </c>
      <c r="L5" t="inlineStr">
        <is>
          <t>23 November 2026</t>
        </is>
      </c>
      <c r="M5" t="inlineStr">
        <is>
          <t>Konstruksi Gedung Hunian</t>
        </is>
      </c>
      <c r="N5" t="inlineStr">
        <is>
          <t>K</t>
        </is>
      </c>
      <c r="O5" t="inlineStr">
        <is>
          <t>20231124</t>
        </is>
      </c>
      <c r="P5" t="inlineStr">
        <is>
          <t>Jawa Barat</t>
        </is>
      </c>
      <c r="Q5" s="3">
        <f>HYPERLINK("https://wa.me/6281295150295?text=Selamat siang Bapak/Ibu pimpinan KREASI PUTERA MANDIRI,%0A%0ASemoga Bapak/Ibu dalam keadaan baik.%0ABerdasarkan data LPJK, masa berlaku SBU perusahaan Bapak/Ibu akan berakhir sekitar 3 bulan lagi (pada 23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MEGASINDO SETYA KARYA</t>
        </is>
      </c>
      <c r="B6" t="inlineStr">
        <is>
          <t>Kab. Bekasi</t>
        </is>
      </c>
      <c r="C6" t="inlineStr">
        <is>
          <t>02188389963</t>
        </is>
      </c>
      <c r="D6" t="inlineStr">
        <is>
          <t>adji0495@gmail.com</t>
        </is>
      </c>
      <c r="E6" t="inlineStr">
        <is>
          <t>https://lpjk.pu.go.id/search-badan-usaha-detail/bmVub21qdFFKZXdaVXMrcm9CY0l4UT09</t>
        </is>
      </c>
      <c r="F6" t="n">
        <v>2</v>
      </c>
      <c r="G6" t="inlineStr">
        <is>
          <t>IN004</t>
        </is>
      </c>
      <c r="H6" t="inlineStr">
        <is>
          <t>27 Juni 2016</t>
        </is>
      </c>
      <c r="I6" s="2" t="n">
        <v>46349</v>
      </c>
      <c r="J6" t="inlineStr">
        <is>
          <t>Disetujui</t>
        </is>
      </c>
      <c r="K6" t="n">
        <v>87</v>
      </c>
      <c r="L6" t="inlineStr">
        <is>
          <t>23 November 2026</t>
        </is>
      </c>
      <c r="M6" t="inlineStr">
        <is>
          <t>Instalasi Minyak dan Gas</t>
        </is>
      </c>
      <c r="N6" t="inlineStr">
        <is>
          <t>Spesialis</t>
        </is>
      </c>
      <c r="O6" t="inlineStr">
        <is>
          <t>20231122</t>
        </is>
      </c>
      <c r="P6" t="inlineStr">
        <is>
          <t>Jawa Barat</t>
        </is>
      </c>
      <c r="Q6" t="inlineStr"/>
    </row>
    <row r="7">
      <c r="A7" t="inlineStr">
        <is>
          <t>SIBAMBO KARYA KONSTRUKSI</t>
        </is>
      </c>
      <c r="B7" t="inlineStr">
        <is>
          <t>Kota Bogor</t>
        </is>
      </c>
      <c r="C7" t="inlineStr">
        <is>
          <t>081298004746</t>
        </is>
      </c>
      <c r="D7" t="inlineStr">
        <is>
          <t>sibamboconstruction@gmail.com</t>
        </is>
      </c>
      <c r="E7" t="inlineStr">
        <is>
          <t>https://lpjk.pu.go.id/search-badan-usaha-detail/VHZLemN3RHJJeThwRXV1NVQ1WUFDZz09</t>
        </is>
      </c>
      <c r="F7" t="n">
        <v>6</v>
      </c>
      <c r="G7" t="inlineStr">
        <is>
          <t>BG001, BG002, BG003, BG007, BG008, BG009</t>
        </is>
      </c>
      <c r="H7" t="inlineStr">
        <is>
          <t>23 November 2020</t>
        </is>
      </c>
      <c r="I7" s="2" t="n">
        <v>46349</v>
      </c>
      <c r="J7" t="inlineStr">
        <is>
          <t>Disetujui, Pencabutan</t>
        </is>
      </c>
      <c r="K7" t="n">
        <v>87</v>
      </c>
      <c r="L7" t="inlineStr">
        <is>
          <t>23 November 2026</t>
        </is>
      </c>
      <c r="M7" t="inlineStr">
        <is>
          <t>Konstruksi Gedung Hunian, Konstruksi Gedung Industri, Konstruksi Gedung Lainnya, Konstruksi Gedung Penginapan, Konstruksi Gedung Perkantoran, Konstruksi Gedung Tempat Hiburan dan Olahraga</t>
        </is>
      </c>
      <c r="N7" t="inlineStr">
        <is>
          <t>K</t>
        </is>
      </c>
      <c r="O7" t="inlineStr">
        <is>
          <t>20231109, 20231110</t>
        </is>
      </c>
      <c r="P7" t="inlineStr">
        <is>
          <t>Jawa Barat</t>
        </is>
      </c>
      <c r="Q7" s="3">
        <f>HYPERLINK("https://wa.me/6281298004746?text=Selamat siang Bapak/Ibu pimpinan SIBAMBO KARYA KONSTRUKSI,%0A%0ASemoga Bapak/Ibu dalam keadaan baik.%0ABerdasarkan data LPJK, masa berlaku SBU perusahaan Bapak/Ibu akan berakhir sekitar 3 bulan lagi (pada 23 November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ADI PUTRA</t>
        </is>
      </c>
      <c r="B8" t="inlineStr">
        <is>
          <t>Kab. Buleleng</t>
        </is>
      </c>
      <c r="C8" t="inlineStr">
        <is>
          <t>087804639859</t>
        </is>
      </c>
      <c r="D8" t="inlineStr">
        <is>
          <t>cv.adiputra@gmail.com</t>
        </is>
      </c>
      <c r="E8" t="inlineStr">
        <is>
          <t>https://lpjk.pu.go.id/search-badan-usaha-detail/YUJ3WFBjaDBiS1NVZElxMFJiU0dzdz09</t>
        </is>
      </c>
      <c r="F8" t="n">
        <v>2</v>
      </c>
      <c r="G8" t="inlineStr">
        <is>
          <t>BS001, BS004</t>
        </is>
      </c>
      <c r="H8" t="inlineStr">
        <is>
          <t>16 Mei 2000</t>
        </is>
      </c>
      <c r="I8" s="2" t="n">
        <v>46349</v>
      </c>
      <c r="J8" t="inlineStr">
        <is>
          <t>Disetujui</t>
        </is>
      </c>
      <c r="K8" t="n">
        <v>87</v>
      </c>
      <c r="L8" t="inlineStr">
        <is>
          <t>23 November 2026</t>
        </is>
      </c>
      <c r="M8" t="inlineStr">
        <is>
          <t>Konstruksi Bangunan Sipil Jalan, Konstruksi Jaringan Irigasi dan Drainase</t>
        </is>
      </c>
      <c r="N8" t="inlineStr">
        <is>
          <t>K</t>
        </is>
      </c>
      <c r="O8" t="inlineStr">
        <is>
          <t>20231120</t>
        </is>
      </c>
      <c r="P8" t="inlineStr">
        <is>
          <t>Bali</t>
        </is>
      </c>
      <c r="Q8" t="inlineStr"/>
    </row>
    <row r="9">
      <c r="A9" t="inlineStr">
        <is>
          <t>ADITIYA MANDIRI</t>
        </is>
      </c>
      <c r="B9" t="inlineStr">
        <is>
          <t>Kota Bandung</t>
        </is>
      </c>
      <c r="C9" t="inlineStr">
        <is>
          <t>082219855554</t>
        </is>
      </c>
      <c r="D9" t="inlineStr">
        <is>
          <t>aditiya_mandiri@yahoo.com</t>
        </is>
      </c>
      <c r="E9" t="inlineStr">
        <is>
          <t>https://lpjk.pu.go.id/search-badan-usaha-detail/MFBScjZ0L1gyY2o2VzIwSStKZW9wdz09</t>
        </is>
      </c>
      <c r="F9" t="n">
        <v>6</v>
      </c>
      <c r="G9" t="inlineStr">
        <is>
          <t>BG006, BG009, BS001</t>
        </is>
      </c>
      <c r="H9" t="inlineStr">
        <is>
          <t>12 Januari 2006</t>
        </is>
      </c>
      <c r="I9" s="2" t="n">
        <v>46349</v>
      </c>
      <c r="J9" t="inlineStr">
        <is>
          <t>Disetujui, Pencabutan</t>
        </is>
      </c>
      <c r="K9" t="n">
        <v>87</v>
      </c>
      <c r="L9" t="inlineStr">
        <is>
          <t>23 November 2026</t>
        </is>
      </c>
      <c r="M9" t="inlineStr">
        <is>
          <t>Konstruksi Bangunan Sipil Jalan, Konstruksi Gedung Lainnya, Konstruksi Gedung Pendidikan</t>
        </is>
      </c>
      <c r="N9" t="inlineStr">
        <is>
          <t>K</t>
        </is>
      </c>
      <c r="O9" t="inlineStr">
        <is>
          <t>20231122</t>
        </is>
      </c>
      <c r="P9" t="inlineStr">
        <is>
          <t>Jawa Barat</t>
        </is>
      </c>
      <c r="Q9" t="inlineStr"/>
    </row>
    <row r="10">
      <c r="A10" t="inlineStr">
        <is>
          <t>AGUNG MEGANTARA PRIMA</t>
        </is>
      </c>
      <c r="B10" t="inlineStr">
        <is>
          <t>Kota Makassar</t>
        </is>
      </c>
      <c r="C10" t="inlineStr">
        <is>
          <t>085396045900</t>
        </is>
      </c>
      <c r="D10" t="inlineStr">
        <is>
          <t>agungmepri44@gmail.com</t>
        </is>
      </c>
      <c r="E10" t="inlineStr">
        <is>
          <t>https://lpjk.pu.go.id/search-badan-usaha-detail/SG9vWmtoTE5qMk50cFdCYTloVDlxZz09</t>
        </is>
      </c>
      <c r="F10" t="n">
        <v>2</v>
      </c>
      <c r="G10" t="inlineStr">
        <is>
          <t>BG009</t>
        </is>
      </c>
      <c r="H10" t="inlineStr">
        <is>
          <t>5 Juli 2019</t>
        </is>
      </c>
      <c r="I10" s="2" t="n">
        <v>46349</v>
      </c>
      <c r="J10" t="inlineStr">
        <is>
          <t>Disetujui</t>
        </is>
      </c>
      <c r="K10" t="n">
        <v>87</v>
      </c>
      <c r="L10" t="inlineStr">
        <is>
          <t>23 November 2026</t>
        </is>
      </c>
      <c r="M10" t="inlineStr">
        <is>
          <t>Konstruksi Gedung Lainnya</t>
        </is>
      </c>
      <c r="N10" t="inlineStr">
        <is>
          <t>K</t>
        </is>
      </c>
      <c r="O10" t="inlineStr">
        <is>
          <t>20231116</t>
        </is>
      </c>
      <c r="P10" t="inlineStr">
        <is>
          <t>Sulawesi Selatan</t>
        </is>
      </c>
      <c r="Q10" t="inlineStr"/>
    </row>
    <row r="11">
      <c r="A11" t="inlineStr">
        <is>
          <t>AIR GILIN BARU</t>
        </is>
      </c>
      <c r="B11" t="inlineStr">
        <is>
          <t>Kab. Lahat</t>
        </is>
      </c>
      <c r="C11" t="inlineStr">
        <is>
          <t>081271586852</t>
        </is>
      </c>
      <c r="D11" t="inlineStr">
        <is>
          <t>cvairgilinbaru@gmail.com</t>
        </is>
      </c>
      <c r="E11" t="inlineStr">
        <is>
          <t>https://lpjk.pu.go.id/search-badan-usaha-detail/MjRQMXJUSXhpZENWWEpkcHRIakI0UT09</t>
        </is>
      </c>
      <c r="F11" t="n">
        <v>4</v>
      </c>
      <c r="G11" t="inlineStr">
        <is>
          <t>BG009, BS001, BS002, BS004</t>
        </is>
      </c>
      <c r="H11" t="inlineStr">
        <is>
          <t>10 Agustus 2023</t>
        </is>
      </c>
      <c r="I11" s="2" t="n">
        <v>46349</v>
      </c>
      <c r="J11" t="inlineStr">
        <is>
          <t>Disetujui</t>
        </is>
      </c>
      <c r="K11" t="n">
        <v>87</v>
      </c>
      <c r="L11" t="inlineStr">
        <is>
          <t>23 November 2026</t>
        </is>
      </c>
      <c r="M11" t="inlineStr">
        <is>
          <t>Bangunan Sipil Jembatan, Jalan Layang, Fly Over, dan Underpass, Konstruksi Bangunan Sipil Jalan, Konstruksi Gedung Lainnya, Konstruksi Jaringan Irigasi dan Drainase</t>
        </is>
      </c>
      <c r="N11" t="inlineStr">
        <is>
          <t>K</t>
        </is>
      </c>
      <c r="O11" t="inlineStr">
        <is>
          <t>20231120</t>
        </is>
      </c>
      <c r="P11" t="inlineStr">
        <is>
          <t>Sumatera Selatan</t>
        </is>
      </c>
      <c r="Q11" t="inlineStr"/>
    </row>
    <row r="12">
      <c r="A12" t="inlineStr">
        <is>
          <t>AKASIA RAYA EXCELLENCE</t>
        </is>
      </c>
      <c r="B12" t="inlineStr">
        <is>
          <t>Kota Palembang</t>
        </is>
      </c>
      <c r="C12" t="inlineStr">
        <is>
          <t>082180475388</t>
        </is>
      </c>
      <c r="D12" t="inlineStr">
        <is>
          <t>akasiarayagroup@gmail.com</t>
        </is>
      </c>
      <c r="E12" t="inlineStr">
        <is>
          <t>https://lpjk.pu.go.id/search-badan-usaha-detail/TEpuTjlDNXVqUkgvQjFGSlFodWxoZz09</t>
        </is>
      </c>
      <c r="F12" t="n">
        <v>2</v>
      </c>
      <c r="G12" t="inlineStr">
        <is>
          <t>BG001</t>
        </is>
      </c>
      <c r="H12" t="inlineStr">
        <is>
          <t>1 September 2023</t>
        </is>
      </c>
      <c r="I12" s="2" t="n">
        <v>46349</v>
      </c>
      <c r="J12" t="inlineStr">
        <is>
          <t>Disetujui</t>
        </is>
      </c>
      <c r="K12" t="n">
        <v>87</v>
      </c>
      <c r="L12" t="inlineStr">
        <is>
          <t>23 November 2026</t>
        </is>
      </c>
      <c r="M12" t="inlineStr">
        <is>
          <t>Konstruksi Gedung Hunian</t>
        </is>
      </c>
      <c r="N12" t="inlineStr">
        <is>
          <t>K</t>
        </is>
      </c>
      <c r="O12" t="inlineStr">
        <is>
          <t>20231121</t>
        </is>
      </c>
      <c r="P12" t="inlineStr">
        <is>
          <t>Sumatera Selatan</t>
        </is>
      </c>
      <c r="Q12" t="inlineStr"/>
    </row>
    <row r="13">
      <c r="A13" t="inlineStr">
        <is>
          <t>AMBARA PUSPITA</t>
        </is>
      </c>
      <c r="B13" t="inlineStr">
        <is>
          <t>Kota Adm. Jakarta Selatan</t>
        </is>
      </c>
      <c r="C13" t="inlineStr">
        <is>
          <t>02122907454</t>
        </is>
      </c>
      <c r="D13" t="inlineStr">
        <is>
          <t>ambarapuspita@yahoo.co.id</t>
        </is>
      </c>
      <c r="E13" t="inlineStr">
        <is>
          <t>https://lpjk.pu.go.id/search-badan-usaha-detail/MmJBTUxsYk5aVDhReDVKL2oySTJ3UT09</t>
        </is>
      </c>
      <c r="F13" t="n">
        <v>5</v>
      </c>
      <c r="G13" t="inlineStr">
        <is>
          <t>AR001, RK001, RK002, RK003, RK005</t>
        </is>
      </c>
      <c r="H13" t="inlineStr">
        <is>
          <t>23 Mei 2002</t>
        </is>
      </c>
      <c r="I13" s="2" t="n">
        <v>46349</v>
      </c>
      <c r="J13" t="inlineStr">
        <is>
          <t>Disetujui</t>
        </is>
      </c>
      <c r="K13" t="n">
        <v>87</v>
      </c>
      <c r="L13" t="inlineStr">
        <is>
          <t>23 November 2026</t>
        </is>
      </c>
      <c r="M13" t="inlineStr">
        <is>
          <t>Jasa Arsitektural Bangunan Gedung Hunian dan Non Hunian, Jasa Rekayasa Konstruksi Bangunan Gedung Hunian dan Non Hunian, Jasa Rekayasa Lainnya, Jasa Rekayasa Pekerjaan Teknik Sipil Sumber Daya Air, Jasa Rekayasa Pekerjaan Teknik Sipil Transportasi</t>
        </is>
      </c>
      <c r="N13" t="inlineStr">
        <is>
          <t>M</t>
        </is>
      </c>
      <c r="O13" t="inlineStr">
        <is>
          <t>20231112</t>
        </is>
      </c>
      <c r="P13" t="inlineStr">
        <is>
          <t>DKI Jakarta</t>
        </is>
      </c>
      <c r="Q13" t="inlineStr"/>
    </row>
    <row r="14">
      <c r="A14" t="inlineStr">
        <is>
          <t>ANUGRAH GUNA SENTOSA</t>
        </is>
      </c>
      <c r="B14" t="inlineStr">
        <is>
          <t>Kab. Banyuwangi</t>
        </is>
      </c>
      <c r="C14" t="inlineStr">
        <is>
          <t>085230092290</t>
        </is>
      </c>
      <c r="D14" t="inlineStr">
        <is>
          <t>cvanugrah.gunasentosa@yahoo.co.id</t>
        </is>
      </c>
      <c r="E14" t="inlineStr">
        <is>
          <t>https://lpjk.pu.go.id/search-badan-usaha-detail/ZUlwMWxWYlJ3QUdUYTFieVIwNXA4UT09</t>
        </is>
      </c>
      <c r="F14" t="n">
        <v>6</v>
      </c>
      <c r="G14" t="inlineStr">
        <is>
          <t>BG002, BG005, BS001</t>
        </is>
      </c>
      <c r="H14" t="inlineStr">
        <is>
          <t>8 Agustus 2006</t>
        </is>
      </c>
      <c r="I14" s="2" t="n">
        <v>46349</v>
      </c>
      <c r="J14" t="inlineStr">
        <is>
          <t>Disetujui</t>
        </is>
      </c>
      <c r="K14" t="n">
        <v>87</v>
      </c>
      <c r="L14" t="inlineStr">
        <is>
          <t>23 November 2026</t>
        </is>
      </c>
      <c r="M14" t="inlineStr">
        <is>
          <t>Konstruksi Bangunan Sipil Jalan, Konstruksi Gedung Kesehatan, Konstruksi Gedung Perkantoran</t>
        </is>
      </c>
      <c r="N14" t="inlineStr">
        <is>
          <t>K</t>
        </is>
      </c>
      <c r="O14" t="inlineStr">
        <is>
          <t>20231101, 20231123</t>
        </is>
      </c>
      <c r="P14" t="inlineStr">
        <is>
          <t>Jawa Timur</t>
        </is>
      </c>
      <c r="Q14" t="inlineStr"/>
    </row>
    <row r="15">
      <c r="A15" t="inlineStr">
        <is>
          <t>ARGA PERMAI</t>
        </is>
      </c>
      <c r="B15" t="inlineStr">
        <is>
          <t>Kota Bima</t>
        </is>
      </c>
      <c r="C15" t="inlineStr">
        <is>
          <t>085239385621</t>
        </is>
      </c>
      <c r="D15" t="inlineStr">
        <is>
          <t>cvargapermai06@gmail.com</t>
        </is>
      </c>
      <c r="E15" t="inlineStr">
        <is>
          <t>https://lpjk.pu.go.id/search-badan-usaha-detail/YXc1dEFPS212TUlxZ3hUc3A1NGNsQT09</t>
        </is>
      </c>
      <c r="F15" t="n">
        <v>1</v>
      </c>
      <c r="G15" t="inlineStr">
        <is>
          <t>BG003</t>
        </is>
      </c>
      <c r="H15" t="inlineStr">
        <is>
          <t>7 Februari 2014</t>
        </is>
      </c>
      <c r="I15" s="2" t="n">
        <v>46349</v>
      </c>
      <c r="J15" t="inlineStr">
        <is>
          <t>Pencabutan</t>
        </is>
      </c>
      <c r="K15" t="n">
        <v>87</v>
      </c>
      <c r="L15" t="inlineStr">
        <is>
          <t>23 November 2026</t>
        </is>
      </c>
      <c r="M15" t="inlineStr">
        <is>
          <t>Konstruksi Gedung Industri</t>
        </is>
      </c>
      <c r="N15" t="inlineStr">
        <is>
          <t>K</t>
        </is>
      </c>
      <c r="O15" t="inlineStr">
        <is>
          <t>20231117</t>
        </is>
      </c>
      <c r="P15" t="inlineStr">
        <is>
          <t>Nusa Tenggara Barat</t>
        </is>
      </c>
      <c r="Q15" t="inlineStr"/>
    </row>
    <row r="16">
      <c r="A16" t="inlineStr">
        <is>
          <t>ARIESTA PRATAMA</t>
        </is>
      </c>
      <c r="B16" t="inlineStr">
        <is>
          <t>Kab. Halmahera Tengah</t>
        </is>
      </c>
      <c r="C16" t="inlineStr">
        <is>
          <t>081311157871</t>
        </is>
      </c>
      <c r="D16" t="inlineStr">
        <is>
          <t>cv.ariestapratama@gmail.com</t>
        </is>
      </c>
      <c r="E16" t="inlineStr">
        <is>
          <t>https://lpjk.pu.go.id/search-badan-usaha-detail/VWw2ZlRuclI5d3huNWNGSjZEM2ZTdz09</t>
        </is>
      </c>
      <c r="F16" t="n">
        <v>12</v>
      </c>
      <c r="G16" t="inlineStr">
        <is>
          <t>BG001, BG005, BG006, BG009</t>
        </is>
      </c>
      <c r="H16" t="inlineStr">
        <is>
          <t>31 Juli 2023</t>
        </is>
      </c>
      <c r="I16" s="2" t="n">
        <v>46349</v>
      </c>
      <c r="J16" t="inlineStr">
        <is>
          <t>Disetujui</t>
        </is>
      </c>
      <c r="K16" t="n">
        <v>87</v>
      </c>
      <c r="L16" t="inlineStr">
        <is>
          <t>23 November 2026</t>
        </is>
      </c>
      <c r="M16" t="inlineStr">
        <is>
          <t>Konstruksi Gedung Hunian, Konstruksi Gedung Kesehatan, Konstruksi Gedung Lainnya, Konstruksi Gedung Pendidikan</t>
        </is>
      </c>
      <c r="N16" t="inlineStr">
        <is>
          <t>K</t>
        </is>
      </c>
      <c r="O16" t="inlineStr">
        <is>
          <t>20231006, 20231007</t>
        </is>
      </c>
      <c r="P16" t="inlineStr">
        <is>
          <t>Maluku Utara</t>
        </is>
      </c>
      <c r="Q16" t="inlineStr"/>
    </row>
    <row r="17">
      <c r="A17" t="inlineStr">
        <is>
          <t>ARTA SARANA TEKNIK</t>
        </is>
      </c>
      <c r="B17" t="inlineStr">
        <is>
          <t>Kab. Kebumen</t>
        </is>
      </c>
      <c r="C17" t="inlineStr">
        <is>
          <t>0287550037</t>
        </is>
      </c>
      <c r="D17" t="inlineStr">
        <is>
          <t>cv.artasaranateknik@gmail.com</t>
        </is>
      </c>
      <c r="E17" t="inlineStr">
        <is>
          <t>https://lpjk.pu.go.id/search-badan-usaha-detail/MDZXL0ttQjRrVFJVZGZVYVk1aFl6dz09</t>
        </is>
      </c>
      <c r="F17" t="n">
        <v>3</v>
      </c>
      <c r="G17" t="inlineStr">
        <is>
          <t>BG004, BG005, BG006</t>
        </is>
      </c>
      <c r="H17" t="inlineStr">
        <is>
          <t>15 September 1992</t>
        </is>
      </c>
      <c r="I17" s="2" t="n">
        <v>46349</v>
      </c>
      <c r="J17" t="inlineStr">
        <is>
          <t>Disetujui</t>
        </is>
      </c>
      <c r="K17" t="n">
        <v>87</v>
      </c>
      <c r="L17" t="inlineStr">
        <is>
          <t>23 November 2026</t>
        </is>
      </c>
      <c r="M17" t="inlineStr">
        <is>
          <t>Konstruksi Gedung Kesehatan, Konstruksi Gedung Pendidikan, Konstruksi Gedung Perbelanjaan</t>
        </is>
      </c>
      <c r="N17" t="inlineStr">
        <is>
          <t>K</t>
        </is>
      </c>
      <c r="O17" t="inlineStr">
        <is>
          <t>20231117, 20231121, 20231122</t>
        </is>
      </c>
      <c r="P17" t="inlineStr">
        <is>
          <t>Jawa Tengah</t>
        </is>
      </c>
      <c r="Q17" t="inlineStr"/>
    </row>
    <row r="18">
      <c r="A18" t="inlineStr">
        <is>
          <t>ARTHA INDAH PERKASA</t>
        </is>
      </c>
      <c r="B18" t="inlineStr">
        <is>
          <t>Kab. Kubu Raya</t>
        </is>
      </c>
      <c r="C18" t="inlineStr">
        <is>
          <t>082252990447</t>
        </is>
      </c>
      <c r="D18" t="inlineStr">
        <is>
          <t>pt.arthaindahperkasa@gmail.com</t>
        </is>
      </c>
      <c r="E18" t="inlineStr">
        <is>
          <t>https://lpjk.pu.go.id/search-badan-usaha-detail/NjJMNG5UZ0tvYVBzZHY2cm5ObURSZz09</t>
        </is>
      </c>
      <c r="F18" t="n">
        <v>1</v>
      </c>
      <c r="G18" t="inlineStr">
        <is>
          <t>BG001</t>
        </is>
      </c>
      <c r="H18" t="inlineStr">
        <is>
          <t>4 Oktober 2023</t>
        </is>
      </c>
      <c r="I18" s="2" t="n">
        <v>46349</v>
      </c>
      <c r="J18" t="inlineStr">
        <is>
          <t>Disetujui</t>
        </is>
      </c>
      <c r="K18" t="n">
        <v>87</v>
      </c>
      <c r="L18" t="inlineStr">
        <is>
          <t>23 November 2026</t>
        </is>
      </c>
      <c r="M18" t="inlineStr">
        <is>
          <t>Konstruksi Gedung Hunian</t>
        </is>
      </c>
      <c r="N18" t="inlineStr">
        <is>
          <t>K</t>
        </is>
      </c>
      <c r="O18" t="inlineStr">
        <is>
          <t>20231105</t>
        </is>
      </c>
      <c r="P18" t="inlineStr">
        <is>
          <t>Kalimantan Barat</t>
        </is>
      </c>
      <c r="Q18" t="inlineStr"/>
    </row>
    <row r="19">
      <c r="A19" t="inlineStr">
        <is>
          <t>BATU INDAH</t>
        </is>
      </c>
      <c r="B19" t="inlineStr">
        <is>
          <t>Kota Lhokseumawe</t>
        </is>
      </c>
      <c r="C19" t="inlineStr">
        <is>
          <t>085360422848</t>
        </is>
      </c>
      <c r="D19" t="inlineStr">
        <is>
          <t>cv.batuindah@yahoo.com</t>
        </is>
      </c>
      <c r="E19" t="inlineStr">
        <is>
          <t>https://lpjk.pu.go.id/search-badan-usaha-detail/Q2F5NktZMDEvYnFzb3VNREIxVWRiZz09</t>
        </is>
      </c>
      <c r="F19" t="n">
        <v>4</v>
      </c>
      <c r="G19" t="inlineStr">
        <is>
          <t>BG001, BG002, BG006, BG009</t>
        </is>
      </c>
      <c r="H19" t="inlineStr">
        <is>
          <t>27 Februari 2001</t>
        </is>
      </c>
      <c r="I19" s="2" t="n">
        <v>46349</v>
      </c>
      <c r="J19" t="inlineStr">
        <is>
          <t>Disetujui</t>
        </is>
      </c>
      <c r="K19" t="n">
        <v>87</v>
      </c>
      <c r="L19" t="inlineStr">
        <is>
          <t>23 November 2026</t>
        </is>
      </c>
      <c r="M19" t="inlineStr">
        <is>
          <t>Konstruksi Gedung Hunian, Konstruksi Gedung Lainnya, Konstruksi Gedung Pendidikan, Konstruksi Gedung Perkantoran</t>
        </is>
      </c>
      <c r="N19" t="inlineStr">
        <is>
          <t>K</t>
        </is>
      </c>
      <c r="O19" t="inlineStr">
        <is>
          <t>20231122</t>
        </is>
      </c>
      <c r="P19" t="inlineStr">
        <is>
          <t>Aceh</t>
        </is>
      </c>
      <c r="Q19" t="inlineStr"/>
    </row>
    <row r="20">
      <c r="A20" t="inlineStr">
        <is>
          <t>BINA CIPTA MARGA</t>
        </is>
      </c>
      <c r="B20" t="inlineStr">
        <is>
          <t>Kota Adm. Jakarta Barat</t>
        </is>
      </c>
      <c r="C20" t="inlineStr">
        <is>
          <t>08112233889</t>
        </is>
      </c>
      <c r="D20" t="inlineStr">
        <is>
          <t>binaciptamarga@gmail.com</t>
        </is>
      </c>
      <c r="E20" t="inlineStr">
        <is>
          <t>https://lpjk.pu.go.id/search-badan-usaha-detail/N09FSm1Ua0NqU29NcXZRZGRoTnFTdz09</t>
        </is>
      </c>
      <c r="F20" t="n">
        <v>1</v>
      </c>
      <c r="G20" t="inlineStr">
        <is>
          <t>RK003</t>
        </is>
      </c>
      <c r="H20" t="inlineStr">
        <is>
          <t>2 Oktober 2020</t>
        </is>
      </c>
      <c r="I20" s="2" t="n">
        <v>46349</v>
      </c>
      <c r="J20" t="inlineStr">
        <is>
          <t>Disetujui</t>
        </is>
      </c>
      <c r="K20" t="n">
        <v>87</v>
      </c>
      <c r="L20" t="inlineStr">
        <is>
          <t>23 November 2026</t>
        </is>
      </c>
      <c r="M20" t="inlineStr">
        <is>
          <t>Jasa Rekayasa Pekerjaan Teknik Sipil Transportasi</t>
        </is>
      </c>
      <c r="N20" t="inlineStr">
        <is>
          <t>M</t>
        </is>
      </c>
      <c r="O20" t="inlineStr">
        <is>
          <t>20230923</t>
        </is>
      </c>
      <c r="P20" t="inlineStr">
        <is>
          <t>DKI Jakarta</t>
        </is>
      </c>
      <c r="Q20" t="inlineStr"/>
    </row>
    <row r="21">
      <c r="A21" t="inlineStr">
        <is>
          <t>BINA MULIA</t>
        </is>
      </c>
      <c r="B21" t="inlineStr">
        <is>
          <t>Kab. Bireuen</t>
        </is>
      </c>
      <c r="C21" t="inlineStr">
        <is>
          <t>082361307332</t>
        </is>
      </c>
      <c r="D21" t="inlineStr">
        <is>
          <t>binamulia.cv@gmail.com</t>
        </is>
      </c>
      <c r="E21" t="inlineStr">
        <is>
          <t>https://lpjk.pu.go.id/search-badan-usaha-detail/em9xSGo3dHlCRzl4YjBEbFB0MmRVdz09</t>
        </is>
      </c>
      <c r="F21" t="n">
        <v>1</v>
      </c>
      <c r="G21" t="inlineStr">
        <is>
          <t>BS001</t>
        </is>
      </c>
      <c r="H21" t="inlineStr">
        <is>
          <t>11 Januari 2007</t>
        </is>
      </c>
      <c r="I21" s="2" t="n">
        <v>46349</v>
      </c>
      <c r="J21" t="inlineStr">
        <is>
          <t>Pencabutan</t>
        </is>
      </c>
      <c r="K21" t="n">
        <v>87</v>
      </c>
      <c r="L21" t="inlineStr">
        <is>
          <t>23 November 2026</t>
        </is>
      </c>
      <c r="M21" t="inlineStr">
        <is>
          <t>Konstruksi Bangunan Sipil Jalan</t>
        </is>
      </c>
      <c r="N21" t="inlineStr">
        <is>
          <t>K</t>
        </is>
      </c>
      <c r="O21" t="inlineStr">
        <is>
          <t>20231124</t>
        </is>
      </c>
      <c r="P21" t="inlineStr">
        <is>
          <t>Aceh</t>
        </is>
      </c>
      <c r="Q21" t="inlineStr"/>
    </row>
    <row r="22">
      <c r="A22" t="inlineStr">
        <is>
          <t>BINTANG CAHAYA TEKNIK</t>
        </is>
      </c>
      <c r="B22" t="inlineStr">
        <is>
          <t>Kab. Kudus</t>
        </is>
      </c>
      <c r="C22" t="inlineStr">
        <is>
          <t>08157775833</t>
        </is>
      </c>
      <c r="D22" t="inlineStr">
        <is>
          <t>bintangcahayateknik19@gmail.com</t>
        </is>
      </c>
      <c r="E22" t="inlineStr">
        <is>
          <t>https://lpjk.pu.go.id/search-badan-usaha-detail/R0FabFlHSWpSNEtxWDRCNTIvTHZvdz09</t>
        </is>
      </c>
      <c r="F22" t="n">
        <v>2</v>
      </c>
      <c r="G22" t="inlineStr">
        <is>
          <t>RK002</t>
        </is>
      </c>
      <c r="H22" t="inlineStr">
        <is>
          <t>9 Juni 2023</t>
        </is>
      </c>
      <c r="I22" s="2" t="n">
        <v>46349</v>
      </c>
      <c r="J22" t="inlineStr">
        <is>
          <t>Disetujui</t>
        </is>
      </c>
      <c r="K22" t="n">
        <v>87</v>
      </c>
      <c r="L22" t="inlineStr">
        <is>
          <t>23 November 2026</t>
        </is>
      </c>
      <c r="M22" t="inlineStr">
        <is>
          <t>Jasa Rekayasa Pekerjaan Teknik Sipil Sumber Daya Air</t>
        </is>
      </c>
      <c r="N22" t="inlineStr">
        <is>
          <t>K</t>
        </is>
      </c>
      <c r="O22" t="inlineStr">
        <is>
          <t>20231115</t>
        </is>
      </c>
      <c r="P22" t="inlineStr">
        <is>
          <t>Jawa Tengah</t>
        </is>
      </c>
      <c r="Q22" t="inlineStr"/>
    </row>
    <row r="23">
      <c r="A23" t="inlineStr">
        <is>
          <t>BINTANG PERKASA 1999</t>
        </is>
      </c>
      <c r="B23" t="inlineStr">
        <is>
          <t>Kota Prabumulih</t>
        </is>
      </c>
      <c r="C23" t="inlineStr">
        <is>
          <t>08122843346</t>
        </is>
      </c>
      <c r="D23" t="inlineStr">
        <is>
          <t>bintangperkasa1999@gmail.com</t>
        </is>
      </c>
      <c r="E23" t="inlineStr">
        <is>
          <t>https://lpjk.pu.go.id/search-badan-usaha-detail/V0k1WW9xUUVxQTY5S2ZkYTRZOFFmZz09</t>
        </is>
      </c>
      <c r="F23" t="n">
        <v>6</v>
      </c>
      <c r="G23" t="inlineStr">
        <is>
          <t>BG001, BG009, BS001</t>
        </is>
      </c>
      <c r="H23" t="inlineStr">
        <is>
          <t>19 Agustus 2020</t>
        </is>
      </c>
      <c r="I23" s="2" t="n">
        <v>46349</v>
      </c>
      <c r="J23" t="inlineStr">
        <is>
          <t>Disetujui</t>
        </is>
      </c>
      <c r="K23" t="n">
        <v>87</v>
      </c>
      <c r="L23" t="inlineStr">
        <is>
          <t>23 November 2026</t>
        </is>
      </c>
      <c r="M23" t="inlineStr">
        <is>
          <t>Konstruksi Bangunan Sipil Jalan, Konstruksi Gedung Hunian, Konstruksi Gedung Lainnya</t>
        </is>
      </c>
      <c r="N23" t="inlineStr">
        <is>
          <t>K</t>
        </is>
      </c>
      <c r="O23" t="inlineStr">
        <is>
          <t>20231123</t>
        </is>
      </c>
      <c r="P23" t="inlineStr">
        <is>
          <t>Sumatera Selatan</t>
        </is>
      </c>
      <c r="Q23" t="inlineStr"/>
    </row>
    <row r="24">
      <c r="A24" t="inlineStr">
        <is>
          <t>BINTANG UTARA MANDIRI</t>
        </is>
      </c>
      <c r="B24" t="inlineStr">
        <is>
          <t>Kota Tarakan</t>
        </is>
      </c>
      <c r="C24" t="inlineStr">
        <is>
          <t>082250550899</t>
        </is>
      </c>
      <c r="D24" t="inlineStr">
        <is>
          <t>bintangutaramandiri007@gmail.com</t>
        </is>
      </c>
      <c r="E24" t="inlineStr">
        <is>
          <t>https://lpjk.pu.go.id/search-badan-usaha-detail/RFdvRXBsWTFoRWlqaHNLNzAwRXB2UT09</t>
        </is>
      </c>
      <c r="F24" t="n">
        <v>2</v>
      </c>
      <c r="G24" t="inlineStr">
        <is>
          <t>BS001</t>
        </is>
      </c>
      <c r="H24" t="inlineStr">
        <is>
          <t>4 September 2019</t>
        </is>
      </c>
      <c r="I24" s="2" t="n">
        <v>46349</v>
      </c>
      <c r="J24" t="inlineStr">
        <is>
          <t>Disetujui</t>
        </is>
      </c>
      <c r="K24" t="n">
        <v>87</v>
      </c>
      <c r="L24" t="inlineStr">
        <is>
          <t>23 November 2026</t>
        </is>
      </c>
      <c r="M24" t="inlineStr">
        <is>
          <t>Konstruksi Bangunan Sipil Jalan</t>
        </is>
      </c>
      <c r="N24" t="inlineStr">
        <is>
          <t>K</t>
        </is>
      </c>
      <c r="O24" t="inlineStr">
        <is>
          <t>20231120</t>
        </is>
      </c>
      <c r="P24" t="inlineStr">
        <is>
          <t>Kalimantan Utara</t>
        </is>
      </c>
      <c r="Q24" t="inlineStr"/>
    </row>
    <row r="25">
      <c r="A25" t="inlineStr">
        <is>
          <t>CAHAYA ANGKASA UTAMA</t>
        </is>
      </c>
      <c r="B25" t="inlineStr">
        <is>
          <t>Kab. Muna Barat</t>
        </is>
      </c>
      <c r="C25" t="inlineStr">
        <is>
          <t>085398135328</t>
        </is>
      </c>
      <c r="D25" t="inlineStr">
        <is>
          <t>cahayaangkasautama@gmail.com</t>
        </is>
      </c>
      <c r="E25" t="inlineStr">
        <is>
          <t>https://lpjk.pu.go.id/search-badan-usaha-detail/VzY1N1JvZ3pwVTdySzVyOTM3QUZkQT09</t>
        </is>
      </c>
      <c r="F25" t="n">
        <v>1</v>
      </c>
      <c r="G25" t="inlineStr">
        <is>
          <t>BG006</t>
        </is>
      </c>
      <c r="H25" t="inlineStr">
        <is>
          <t>9 Juni 2022</t>
        </is>
      </c>
      <c r="I25" s="2" t="n">
        <v>46349</v>
      </c>
      <c r="J25" t="inlineStr">
        <is>
          <t>Disetujui</t>
        </is>
      </c>
      <c r="K25" t="n">
        <v>87</v>
      </c>
      <c r="L25" t="inlineStr">
        <is>
          <t>23 November 2026</t>
        </is>
      </c>
      <c r="M25" t="inlineStr">
        <is>
          <t>Konstruksi Gedung Pendidikan</t>
        </is>
      </c>
      <c r="N25" t="inlineStr">
        <is>
          <t>K</t>
        </is>
      </c>
      <c r="O25" t="inlineStr">
        <is>
          <t>20231118</t>
        </is>
      </c>
      <c r="P25" t="inlineStr">
        <is>
          <t>Sulawesi Tenggara</t>
        </is>
      </c>
      <c r="Q25" t="inlineStr"/>
    </row>
    <row r="26">
      <c r="A26" t="inlineStr">
        <is>
          <t>CAHYA TEGAR KENCANA</t>
        </is>
      </c>
      <c r="B26" t="inlineStr">
        <is>
          <t>Kab. Tuban</t>
        </is>
      </c>
      <c r="C26" t="inlineStr">
        <is>
          <t>0356325650</t>
        </is>
      </c>
      <c r="D26" t="inlineStr">
        <is>
          <t>pt.cahytategarkencana@gmail.com</t>
        </is>
      </c>
      <c r="E26" t="inlineStr">
        <is>
          <t>https://lpjk.pu.go.id/search-badan-usaha-detail/YkloOVNWK01GUCt5ZU9iekdGV2FJdz09</t>
        </is>
      </c>
      <c r="F26" t="n">
        <v>4</v>
      </c>
      <c r="G26" t="inlineStr">
        <is>
          <t>BG003, BG009, BS001, IN001</t>
        </is>
      </c>
      <c r="H26" t="inlineStr">
        <is>
          <t>1 Oktober 2015</t>
        </is>
      </c>
      <c r="I26" s="2" t="n">
        <v>46349</v>
      </c>
      <c r="J26" t="inlineStr">
        <is>
          <t>Pembekuan</t>
        </is>
      </c>
      <c r="K26" t="n">
        <v>87</v>
      </c>
      <c r="L26" t="inlineStr">
        <is>
          <t>23 November 2026</t>
        </is>
      </c>
      <c r="M26" t="inlineStr">
        <is>
          <t>Instalasi Mekanikal, Konstruksi Bangunan Sipil Jalan, Konstruksi Gedung Industri, Konstruksi Gedung Lainnya</t>
        </is>
      </c>
      <c r="N26" t="inlineStr">
        <is>
          <t>M, Spesialis</t>
        </is>
      </c>
      <c r="O26" t="inlineStr">
        <is>
          <t>20231123, 20231127</t>
        </is>
      </c>
      <c r="P26" t="inlineStr">
        <is>
          <t>Jawa Timur</t>
        </is>
      </c>
      <c r="Q26" t="inlineStr"/>
    </row>
    <row r="27">
      <c r="A27" t="inlineStr">
        <is>
          <t>CAKRAWALA MION INDAH</t>
        </is>
      </c>
      <c r="B27" t="inlineStr">
        <is>
          <t>Kab. Merauke</t>
        </is>
      </c>
      <c r="C27" t="inlineStr">
        <is>
          <t>N/A</t>
        </is>
      </c>
      <c r="D27" t="inlineStr">
        <is>
          <t>N/A</t>
        </is>
      </c>
      <c r="E27" t="inlineStr">
        <is>
          <t>https://lpjk.pu.go.id/search-badan-usaha-detail/aFl5RWUyd0tjS1pSNkp6MEcwN0hEUT09</t>
        </is>
      </c>
      <c r="F27" t="n">
        <v>3</v>
      </c>
      <c r="G27" t="inlineStr">
        <is>
          <t>BG002, BG005, BG006</t>
        </is>
      </c>
      <c r="H27" t="inlineStr"/>
      <c r="I27" s="2" t="n">
        <v>46349</v>
      </c>
      <c r="J27" t="inlineStr">
        <is>
          <t>Disetujui</t>
        </is>
      </c>
      <c r="K27" t="n">
        <v>87</v>
      </c>
      <c r="L27" t="inlineStr">
        <is>
          <t>23 November 2026</t>
        </is>
      </c>
      <c r="M27" t="inlineStr">
        <is>
          <t>Konstruksi Gedung Kesehatan, Konstruksi Gedung Pendidikan, Konstruksi Gedung Perkantoran</t>
        </is>
      </c>
      <c r="N27" t="inlineStr">
        <is>
          <t>K</t>
        </is>
      </c>
      <c r="O27" t="inlineStr">
        <is>
          <t>20231025, 20231029</t>
        </is>
      </c>
      <c r="P27" t="inlineStr">
        <is>
          <t>Papua Selatan</t>
        </is>
      </c>
      <c r="Q27" t="inlineStr"/>
    </row>
    <row r="28">
      <c r="A28" t="inlineStr">
        <is>
          <t>CIPTA GRAHA INDAH</t>
        </is>
      </c>
      <c r="B28" t="inlineStr">
        <is>
          <t>Kota Adm. Jakarta Barat</t>
        </is>
      </c>
      <c r="C28" t="inlineStr">
        <is>
          <t>02153666800</t>
        </is>
      </c>
      <c r="D28" t="inlineStr">
        <is>
          <t>legal.ho@grcboard.com</t>
        </is>
      </c>
      <c r="E28" t="inlineStr">
        <is>
          <t>https://lpjk.pu.go.id/search-badan-usaha-detail/dmd2dE5EMDlTNkFrWG1NMWRuNWUrUT09</t>
        </is>
      </c>
      <c r="F28" t="n">
        <v>8</v>
      </c>
      <c r="G28" t="inlineStr">
        <is>
          <t>BG001, BG002, BG007, BG009</t>
        </is>
      </c>
      <c r="H28" t="inlineStr">
        <is>
          <t>15 Juni 2010</t>
        </is>
      </c>
      <c r="I28" s="2" t="n">
        <v>46349</v>
      </c>
      <c r="J28" t="inlineStr">
        <is>
          <t>Disetujui</t>
        </is>
      </c>
      <c r="K28" t="n">
        <v>87</v>
      </c>
      <c r="L28" t="inlineStr">
        <is>
          <t>23 November 2026</t>
        </is>
      </c>
      <c r="M28" t="inlineStr">
        <is>
          <t>Konstruksi Gedung Hunian, Konstruksi Gedung Lainnya, Konstruksi Gedung Penginapan, Konstruksi Gedung Perkantoran</t>
        </is>
      </c>
      <c r="N28" t="inlineStr">
        <is>
          <t>K</t>
        </is>
      </c>
      <c r="O28" t="inlineStr">
        <is>
          <t>20231117</t>
        </is>
      </c>
      <c r="P28" t="inlineStr">
        <is>
          <t>DKI Jakarta</t>
        </is>
      </c>
      <c r="Q28" t="inlineStr"/>
    </row>
    <row r="29">
      <c r="A29" t="inlineStr">
        <is>
          <t>CV. MANNA GRATIA</t>
        </is>
      </c>
      <c r="B29" t="inlineStr">
        <is>
          <t>Kota Bitung</t>
        </is>
      </c>
      <c r="C29" t="inlineStr">
        <is>
          <t>085340036563</t>
        </is>
      </c>
      <c r="D29" t="inlineStr">
        <is>
          <t>manna.gratia@gmail.com</t>
        </is>
      </c>
      <c r="E29" t="inlineStr">
        <is>
          <t>https://lpjk.pu.go.id/search-badan-usaha-detail/YzU4QXVLWG9tZXlxLzE5bitLV3JEUT09</t>
        </is>
      </c>
      <c r="F29" t="n">
        <v>1</v>
      </c>
      <c r="G29" t="inlineStr">
        <is>
          <t>BG009</t>
        </is>
      </c>
      <c r="H29" t="inlineStr">
        <is>
          <t>29 November 2019</t>
        </is>
      </c>
      <c r="I29" s="2" t="n">
        <v>46349</v>
      </c>
      <c r="J29" t="inlineStr">
        <is>
          <t>Pencabutan</t>
        </is>
      </c>
      <c r="K29" t="n">
        <v>87</v>
      </c>
      <c r="L29" t="inlineStr">
        <is>
          <t>23 November 2026</t>
        </is>
      </c>
      <c r="M29" t="inlineStr">
        <is>
          <t>Konstruksi Gedung Lainnya</t>
        </is>
      </c>
      <c r="N29" t="inlineStr">
        <is>
          <t>K</t>
        </is>
      </c>
      <c r="O29" t="inlineStr">
        <is>
          <t>20231123</t>
        </is>
      </c>
      <c r="P29" t="inlineStr">
        <is>
          <t>Sulawesi Utara</t>
        </is>
      </c>
      <c r="Q29" t="inlineStr"/>
    </row>
    <row r="30">
      <c r="A30" t="inlineStr">
        <is>
          <t>DAKSA HANASTA BAWANA</t>
        </is>
      </c>
      <c r="B30" t="inlineStr">
        <is>
          <t>Kota Yogyakarta</t>
        </is>
      </c>
      <c r="C30" t="inlineStr">
        <is>
          <t>085865934447</t>
        </is>
      </c>
      <c r="D30" t="inlineStr">
        <is>
          <t>daksahanastabawana@gmail.com</t>
        </is>
      </c>
      <c r="E30" t="inlineStr">
        <is>
          <t>https://lpjk.pu.go.id/search-badan-usaha-detail/WkNsa1M1Qk9qZFBGRTJybko0Uy9mUT09</t>
        </is>
      </c>
      <c r="F30" t="n">
        <v>1</v>
      </c>
      <c r="G30" t="inlineStr">
        <is>
          <t>RK001</t>
        </is>
      </c>
      <c r="H30" t="inlineStr">
        <is>
          <t>2 Februari 2018</t>
        </is>
      </c>
      <c r="I30" s="2" t="n">
        <v>46349</v>
      </c>
      <c r="J30" t="inlineStr">
        <is>
          <t>Pencabutan</t>
        </is>
      </c>
      <c r="K30" t="n">
        <v>87</v>
      </c>
      <c r="L30" t="inlineStr">
        <is>
          <t>23 November 2026</t>
        </is>
      </c>
      <c r="M30" t="inlineStr">
        <is>
          <t>Jasa Rekayasa Konstruksi Bangunan Gedung Hunian dan Non Hunian</t>
        </is>
      </c>
      <c r="N30" t="inlineStr">
        <is>
          <t>K</t>
        </is>
      </c>
      <c r="O30" t="inlineStr">
        <is>
          <t>20231116</t>
        </is>
      </c>
      <c r="P30" t="inlineStr">
        <is>
          <t>DI Yogyakarta</t>
        </is>
      </c>
      <c r="Q30" t="inlineStr"/>
    </row>
    <row r="31">
      <c r="A31" t="inlineStr">
        <is>
          <t>DUA PUTRA REKSA</t>
        </is>
      </c>
      <c r="B31" t="inlineStr">
        <is>
          <t>Kab. Majalengka</t>
        </is>
      </c>
      <c r="C31" t="inlineStr">
        <is>
          <t>081214751002</t>
        </is>
      </c>
      <c r="D31" t="inlineStr">
        <is>
          <t>duaputrareksa@gmail.com</t>
        </is>
      </c>
      <c r="E31" t="inlineStr">
        <is>
          <t>https://lpjk.pu.go.id/search-badan-usaha-detail/OU10MUZCT012WkhQOVBtRjhyTFo3QT09</t>
        </is>
      </c>
      <c r="F31" t="n">
        <v>2</v>
      </c>
      <c r="G31" t="inlineStr">
        <is>
          <t>BS001, BS004</t>
        </is>
      </c>
      <c r="H31" t="inlineStr">
        <is>
          <t>10 Oktober 2023</t>
        </is>
      </c>
      <c r="I31" s="2" t="n">
        <v>46349</v>
      </c>
      <c r="J31" t="inlineStr">
        <is>
          <t>Disetujui</t>
        </is>
      </c>
      <c r="K31" t="n">
        <v>87</v>
      </c>
      <c r="L31" t="inlineStr">
        <is>
          <t>23 November 2026</t>
        </is>
      </c>
      <c r="M31" t="inlineStr">
        <is>
          <t>Konstruksi Bangunan Sipil Jalan, Konstruksi Jaringan Irigasi dan Drainase</t>
        </is>
      </c>
      <c r="N31" t="inlineStr">
        <is>
          <t>K</t>
        </is>
      </c>
      <c r="O31" t="inlineStr">
        <is>
          <t>20231123</t>
        </is>
      </c>
      <c r="P31" t="inlineStr">
        <is>
          <t>Jawa Barat</t>
        </is>
      </c>
      <c r="Q31" t="inlineStr"/>
    </row>
    <row r="32">
      <c r="A32" t="inlineStr">
        <is>
          <t>DUTASATRYA ADHIPERSADA</t>
        </is>
      </c>
      <c r="B32" t="inlineStr">
        <is>
          <t>Kota Banjarmasin</t>
        </is>
      </c>
      <c r="C32" t="inlineStr">
        <is>
          <t>081266831582</t>
        </is>
      </c>
      <c r="D32" t="inlineStr">
        <is>
          <t>dutasatrya_adhipersada@yahoo.com</t>
        </is>
      </c>
      <c r="E32" t="inlineStr">
        <is>
          <t>https://lpjk.pu.go.id/search-badan-usaha-detail/MVZJTFE4d2lmTDRnNGJ5aHVCLzNwUT09</t>
        </is>
      </c>
      <c r="F32" t="n">
        <v>1</v>
      </c>
      <c r="G32" t="inlineStr">
        <is>
          <t>BS002</t>
        </is>
      </c>
      <c r="H32" t="inlineStr">
        <is>
          <t>25 Oktober 1991</t>
        </is>
      </c>
      <c r="I32" s="2" t="n">
        <v>46349</v>
      </c>
      <c r="J32" t="inlineStr">
        <is>
          <t>Pencabutan</t>
        </is>
      </c>
      <c r="K32" t="n">
        <v>87</v>
      </c>
      <c r="L32" t="inlineStr">
        <is>
          <t>23 November 2026</t>
        </is>
      </c>
      <c r="M32" t="inlineStr">
        <is>
          <t>Bangunan Sipil Jembatan, Jalan Layang, Fly Over, dan Underpass</t>
        </is>
      </c>
      <c r="N32" t="inlineStr">
        <is>
          <t>B</t>
        </is>
      </c>
      <c r="O32" t="inlineStr">
        <is>
          <t>20231117</t>
        </is>
      </c>
      <c r="P32" t="inlineStr">
        <is>
          <t>Kalimantan Selatan</t>
        </is>
      </c>
      <c r="Q32" t="inlineStr"/>
    </row>
    <row r="33">
      <c r="A33" t="inlineStr">
        <is>
          <t>DZAKI KONSTRUKSI</t>
        </is>
      </c>
      <c r="B33" t="inlineStr">
        <is>
          <t>Kab. Solok Selatan</t>
        </is>
      </c>
      <c r="C33" t="inlineStr">
        <is>
          <t>081371570375</t>
        </is>
      </c>
      <c r="D33" t="inlineStr">
        <is>
          <t>cvdzakikonstruksi2019@gmail.com</t>
        </is>
      </c>
      <c r="E33" t="inlineStr">
        <is>
          <t>https://lpjk.pu.go.id/search-badan-usaha-detail/TjFGMktTZ3BuVTBTcUZNd3hSQnFSUT09</t>
        </is>
      </c>
      <c r="F33" t="n">
        <v>2</v>
      </c>
      <c r="G33" t="inlineStr">
        <is>
          <t>BS001, BS004</t>
        </is>
      </c>
      <c r="H33" t="inlineStr">
        <is>
          <t>22 September 2015</t>
        </is>
      </c>
      <c r="I33" s="2" t="n">
        <v>46349</v>
      </c>
      <c r="J33" t="inlineStr">
        <is>
          <t>Disetujui</t>
        </is>
      </c>
      <c r="K33" t="n">
        <v>87</v>
      </c>
      <c r="L33" t="inlineStr">
        <is>
          <t>23 November 2026</t>
        </is>
      </c>
      <c r="M33" t="inlineStr">
        <is>
          <t>Konstruksi Bangunan Sipil Jalan, Konstruksi Jaringan Irigasi dan Drainase</t>
        </is>
      </c>
      <c r="N33" t="inlineStr">
        <is>
          <t>K</t>
        </is>
      </c>
      <c r="O33" t="inlineStr">
        <is>
          <t>20231114, 20231123</t>
        </is>
      </c>
      <c r="P33" t="inlineStr">
        <is>
          <t>Sumatera Barat</t>
        </is>
      </c>
      <c r="Q33" t="inlineStr"/>
    </row>
    <row r="34">
      <c r="A34" t="inlineStr">
        <is>
          <t>ELANG PERKASA SAKTI</t>
        </is>
      </c>
      <c r="B34" t="inlineStr">
        <is>
          <t>Kab. Murung Raya</t>
        </is>
      </c>
      <c r="C34" t="inlineStr">
        <is>
          <t>081230997574</t>
        </is>
      </c>
      <c r="D34" t="inlineStr">
        <is>
          <t>cv.elangperkasasakti@gmail.com</t>
        </is>
      </c>
      <c r="E34" t="inlineStr">
        <is>
          <t>https://lpjk.pu.go.id/search-badan-usaha-detail/dXE2OEVxRi82ZVZxcGZTZXJ4WVIzUT09</t>
        </is>
      </c>
      <c r="F34" t="n">
        <v>8</v>
      </c>
      <c r="G34" t="inlineStr">
        <is>
          <t>BG006, BG009, BS001, BS004</t>
        </is>
      </c>
      <c r="H34" t="inlineStr">
        <is>
          <t>29 Agustus 2023</t>
        </is>
      </c>
      <c r="I34" s="2" t="n">
        <v>46349</v>
      </c>
      <c r="J34" t="inlineStr">
        <is>
          <t>Disetujui</t>
        </is>
      </c>
      <c r="K34" t="n">
        <v>87</v>
      </c>
      <c r="L34" t="inlineStr">
        <is>
          <t>23 November 2026</t>
        </is>
      </c>
      <c r="M34" t="inlineStr">
        <is>
          <t>Konstruksi Bangunan Sipil Jalan, Konstruksi Gedung Lainnya, Konstruksi Gedung Pendidikan, Konstruksi Jaringan Irigasi dan Drainase</t>
        </is>
      </c>
      <c r="N34" t="inlineStr">
        <is>
          <t>K</t>
        </is>
      </c>
      <c r="O34" t="inlineStr">
        <is>
          <t>20231122</t>
        </is>
      </c>
      <c r="P34" t="inlineStr">
        <is>
          <t>Kalimantan Tengah</t>
        </is>
      </c>
      <c r="Q34" t="inlineStr"/>
    </row>
    <row r="35">
      <c r="A35" t="inlineStr">
        <is>
          <t>ENAM BERSAUDARA</t>
        </is>
      </c>
      <c r="B35" t="inlineStr">
        <is>
          <t>Kab. Ende</t>
        </is>
      </c>
      <c r="C35" t="inlineStr">
        <is>
          <t>082144205814</t>
        </is>
      </c>
      <c r="D35" t="inlineStr">
        <is>
          <t>cvenaminfo@gmail.com</t>
        </is>
      </c>
      <c r="E35" t="inlineStr">
        <is>
          <t>https://lpjk.pu.go.id/search-badan-usaha-detail/ZFJKMWJoM2daL1FKeklHcXdVTmlldz09</t>
        </is>
      </c>
      <c r="F35" t="n">
        <v>1</v>
      </c>
      <c r="G35" t="inlineStr">
        <is>
          <t>BS001</t>
        </is>
      </c>
      <c r="H35" t="inlineStr">
        <is>
          <t>2 November 2000</t>
        </is>
      </c>
      <c r="I35" s="2" t="n">
        <v>46349</v>
      </c>
      <c r="J35" t="inlineStr">
        <is>
          <t>Disetujui</t>
        </is>
      </c>
      <c r="K35" t="n">
        <v>87</v>
      </c>
      <c r="L35" t="inlineStr">
        <is>
          <t>23 November 2026</t>
        </is>
      </c>
      <c r="M35" t="inlineStr">
        <is>
          <t>Konstruksi Bangunan Sipil Jalan</t>
        </is>
      </c>
      <c r="N35" t="inlineStr">
        <is>
          <t>K</t>
        </is>
      </c>
      <c r="O35" t="inlineStr">
        <is>
          <t>20231122</t>
        </is>
      </c>
      <c r="P35" t="inlineStr">
        <is>
          <t>Nusa Tenggara Timur</t>
        </is>
      </c>
      <c r="Q35" t="inlineStr"/>
    </row>
    <row r="36">
      <c r="A36" t="inlineStr">
        <is>
          <t>ENVIRO KARYA NUSANTARA</t>
        </is>
      </c>
      <c r="B36" t="inlineStr">
        <is>
          <t>Kota Adm. Jakarta Pusat</t>
        </is>
      </c>
      <c r="C36" t="inlineStr">
        <is>
          <t>081293892445</t>
        </is>
      </c>
      <c r="D36" t="inlineStr">
        <is>
          <t>enkarnus@gmail.com</t>
        </is>
      </c>
      <c r="E36" t="inlineStr">
        <is>
          <t>https://lpjk.pu.go.id/search-badan-usaha-detail/dHhuYWxVU0NlMG41MWQ1Q0kza1dUUT09</t>
        </is>
      </c>
      <c r="F36" t="n">
        <v>1</v>
      </c>
      <c r="G36" t="inlineStr">
        <is>
          <t>BS020</t>
        </is>
      </c>
      <c r="H36" t="inlineStr">
        <is>
          <t>18 Agustus 2023</t>
        </is>
      </c>
      <c r="I36" s="2" t="n">
        <v>46349</v>
      </c>
      <c r="J36" t="inlineStr">
        <is>
          <t>Pencabutan</t>
        </is>
      </c>
      <c r="K36" t="n">
        <v>87</v>
      </c>
      <c r="L36" t="inlineStr">
        <is>
          <t>23 November 2026</t>
        </is>
      </c>
      <c r="M36" t="inlineStr">
        <is>
          <t>Konstruksi Jaringan Irigasi, Komunikasi, dan Limbah Lainnya</t>
        </is>
      </c>
      <c r="N36" t="inlineStr">
        <is>
          <t>K</t>
        </is>
      </c>
      <c r="O36" t="inlineStr">
        <is>
          <t>20231102</t>
        </is>
      </c>
      <c r="P36" t="inlineStr">
        <is>
          <t>DKI Jakarta</t>
        </is>
      </c>
      <c r="Q36" t="inlineStr"/>
    </row>
    <row r="37">
      <c r="A37" t="inlineStr">
        <is>
          <t>GENERAL KONTRAKTOR MANDIRI</t>
        </is>
      </c>
      <c r="B37" t="inlineStr">
        <is>
          <t>Kab. Cilacap</t>
        </is>
      </c>
      <c r="C37" t="inlineStr">
        <is>
          <t>081315048999</t>
        </is>
      </c>
      <c r="D37" t="inlineStr">
        <is>
          <t>cv.generalkontraktor@gmail.com</t>
        </is>
      </c>
      <c r="E37" t="inlineStr">
        <is>
          <t>https://lpjk.pu.go.id/search-badan-usaha-detail/QkhsakZEWUg1cE9OekUwS1NPMDhGdz09</t>
        </is>
      </c>
      <c r="F37" t="n">
        <v>1</v>
      </c>
      <c r="G37" t="inlineStr">
        <is>
          <t>BG009</t>
        </is>
      </c>
      <c r="H37" t="inlineStr">
        <is>
          <t>6 Juni 2023</t>
        </is>
      </c>
      <c r="I37" s="2" t="n">
        <v>46349</v>
      </c>
      <c r="J37" t="inlineStr">
        <is>
          <t>Disetujui</t>
        </is>
      </c>
      <c r="K37" t="n">
        <v>87</v>
      </c>
      <c r="L37" t="inlineStr">
        <is>
          <t>23 November 2026</t>
        </is>
      </c>
      <c r="M37" t="inlineStr">
        <is>
          <t>Konstruksi Gedung Lainnya</t>
        </is>
      </c>
      <c r="N37" t="inlineStr">
        <is>
          <t>K</t>
        </is>
      </c>
      <c r="O37" t="inlineStr">
        <is>
          <t>20231122</t>
        </is>
      </c>
      <c r="P37" t="inlineStr">
        <is>
          <t>Jawa Tengah</t>
        </is>
      </c>
      <c r="Q37" t="inlineStr"/>
    </row>
    <row r="38">
      <c r="A38" t="inlineStr">
        <is>
          <t>GIOVANI</t>
        </is>
      </c>
      <c r="B38" t="inlineStr">
        <is>
          <t>Kab. Poso</t>
        </is>
      </c>
      <c r="C38" t="inlineStr">
        <is>
          <t>082291255930</t>
        </is>
      </c>
      <c r="D38" t="inlineStr">
        <is>
          <t>cv.giovani46@yahoo.com</t>
        </is>
      </c>
      <c r="E38" t="inlineStr">
        <is>
          <t>https://lpjk.pu.go.id/search-badan-usaha-detail/S0dVYUxrUTA3eTk2RUxvRG9DbzhaUT09</t>
        </is>
      </c>
      <c r="F38" t="n">
        <v>2</v>
      </c>
      <c r="G38" t="inlineStr">
        <is>
          <t>BS001, BS002</t>
        </is>
      </c>
      <c r="H38" t="inlineStr">
        <is>
          <t>21 Desember 2015</t>
        </is>
      </c>
      <c r="I38" s="2" t="n">
        <v>46349</v>
      </c>
      <c r="J38" t="inlineStr">
        <is>
          <t>Disetujui</t>
        </is>
      </c>
      <c r="K38" t="n">
        <v>87</v>
      </c>
      <c r="L38" t="inlineStr">
        <is>
          <t>23 November 2026</t>
        </is>
      </c>
      <c r="M38" t="inlineStr">
        <is>
          <t>Bangunan Sipil Jembatan, Jalan Layang, Fly Over, dan Underpass, Konstruksi Bangunan Sipil Jalan</t>
        </is>
      </c>
      <c r="N38" t="inlineStr">
        <is>
          <t>K</t>
        </is>
      </c>
      <c r="O38" t="inlineStr">
        <is>
          <t>20231123</t>
        </is>
      </c>
      <c r="P38" t="inlineStr">
        <is>
          <t>Sulawesi Tengah</t>
        </is>
      </c>
      <c r="Q38" t="inlineStr"/>
    </row>
    <row r="39">
      <c r="A39" t="inlineStr">
        <is>
          <t>GUNUNG JAAS</t>
        </is>
      </c>
      <c r="B39" t="inlineStr">
        <is>
          <t>Kab. Trenggalek</t>
        </is>
      </c>
      <c r="C39" t="inlineStr">
        <is>
          <t>085233802692</t>
        </is>
      </c>
      <c r="D39" t="inlineStr">
        <is>
          <t>gunungjaas.9@gmail.com</t>
        </is>
      </c>
      <c r="E39" t="inlineStr">
        <is>
          <t>https://lpjk.pu.go.id/search-badan-usaha-detail/RkMrRStFUkgxejA4eWlXWTVscWR1Zz09</t>
        </is>
      </c>
      <c r="F39" t="n">
        <v>5</v>
      </c>
      <c r="G39" t="inlineStr">
        <is>
          <t>BG002, BG006, BG009, BS001, BS004</t>
        </is>
      </c>
      <c r="H39" t="inlineStr">
        <is>
          <t>6 April 1999</t>
        </is>
      </c>
      <c r="I39" s="2" t="n">
        <v>46349</v>
      </c>
      <c r="J39" t="inlineStr">
        <is>
          <t>Disetujui</t>
        </is>
      </c>
      <c r="K39" t="n">
        <v>87</v>
      </c>
      <c r="L39" t="inlineStr">
        <is>
          <t>23 November 2026</t>
        </is>
      </c>
      <c r="M39" t="inlineStr">
        <is>
          <t>Konstruksi Bangunan Sipil Jalan, Konstruksi Gedung Lainnya, Konstruksi Gedung Pendidikan, Konstruksi Gedung Perkantoran, Konstruksi Jaringan Irigasi dan Drainase</t>
        </is>
      </c>
      <c r="N39" t="inlineStr">
        <is>
          <t>K</t>
        </is>
      </c>
      <c r="O39" t="inlineStr">
        <is>
          <t>20231117, 20231119</t>
        </is>
      </c>
      <c r="P39" t="inlineStr">
        <is>
          <t>Jawa Timur</t>
        </is>
      </c>
      <c r="Q39" t="inlineStr"/>
    </row>
    <row r="40">
      <c r="A40" t="inlineStr">
        <is>
          <t>HANANG LESTARI TEKNIK</t>
        </is>
      </c>
      <c r="B40" t="inlineStr">
        <is>
          <t>Kota Adm. Jakarta Barat</t>
        </is>
      </c>
      <c r="C40" t="inlineStr">
        <is>
          <t>02153666802</t>
        </is>
      </c>
      <c r="D40" t="inlineStr">
        <is>
          <t>charles.chris@hananglt.co.id</t>
        </is>
      </c>
      <c r="E40" t="inlineStr">
        <is>
          <t>https://lpjk.pu.go.id/search-badan-usaha-detail/UGs5Zkg0WTNmRUttcGVrV0I0THp4QT09</t>
        </is>
      </c>
      <c r="F40" t="n">
        <v>1</v>
      </c>
      <c r="G40" t="inlineStr">
        <is>
          <t>IN008</t>
        </is>
      </c>
      <c r="H40" t="inlineStr">
        <is>
          <t>15 November 2014</t>
        </is>
      </c>
      <c r="I40" s="2" t="n">
        <v>46349</v>
      </c>
      <c r="J40" t="inlineStr">
        <is>
          <t>Disetujui</t>
        </is>
      </c>
      <c r="K40" t="n">
        <v>87</v>
      </c>
      <c r="L40" t="inlineStr">
        <is>
          <t>23 November 2026</t>
        </is>
      </c>
      <c r="M40" t="inlineStr">
        <is>
          <t>Instalasi Pendingin Dan Ventilasi Udara</t>
        </is>
      </c>
      <c r="N40" t="inlineStr">
        <is>
          <t>Spesialis</t>
        </is>
      </c>
      <c r="O40" t="inlineStr">
        <is>
          <t>20231113</t>
        </is>
      </c>
      <c r="P40" t="inlineStr">
        <is>
          <t>DKI Jakarta</t>
        </is>
      </c>
      <c r="Q40" t="inlineStr"/>
    </row>
    <row r="41">
      <c r="A41" t="inlineStr">
        <is>
          <t>HIRAFI TUNAS MANDIRI</t>
        </is>
      </c>
      <c r="B41" t="inlineStr">
        <is>
          <t>Kab. Bandung Barat</t>
        </is>
      </c>
      <c r="C41" t="inlineStr">
        <is>
          <t>08122341503</t>
        </is>
      </c>
      <c r="D41" t="inlineStr">
        <is>
          <t>tunasmandirihirafi@gmail.com</t>
        </is>
      </c>
      <c r="E41" t="inlineStr">
        <is>
          <t>https://lpjk.pu.go.id/search-badan-usaha-detail/ZzliL2Q4RUtYY1ZpL3BnSjdFb1VXZz09</t>
        </is>
      </c>
      <c r="F41" t="n">
        <v>1</v>
      </c>
      <c r="G41" t="inlineStr">
        <is>
          <t>BS001</t>
        </is>
      </c>
      <c r="H41" t="inlineStr">
        <is>
          <t>26 Februari 2021</t>
        </is>
      </c>
      <c r="I41" s="2" t="n">
        <v>46349</v>
      </c>
      <c r="J41" t="inlineStr">
        <is>
          <t>Disetujui</t>
        </is>
      </c>
      <c r="K41" t="n">
        <v>87</v>
      </c>
      <c r="L41" t="inlineStr">
        <is>
          <t>23 November 2026</t>
        </is>
      </c>
      <c r="M41" t="inlineStr">
        <is>
          <t>Konstruksi Bangunan Sipil Jalan</t>
        </is>
      </c>
      <c r="N41" t="inlineStr">
        <is>
          <t>K</t>
        </is>
      </c>
      <c r="O41" t="inlineStr">
        <is>
          <t>20231123</t>
        </is>
      </c>
      <c r="P41" t="inlineStr">
        <is>
          <t>Jawa Barat</t>
        </is>
      </c>
      <c r="Q41" t="inlineStr"/>
    </row>
    <row r="42">
      <c r="A42" t="inlineStr">
        <is>
          <t>IMAN KARUNIA KARYA</t>
        </is>
      </c>
      <c r="B42" t="inlineStr">
        <is>
          <t>Kota Adm. Jakarta Utara</t>
        </is>
      </c>
      <c r="C42" t="inlineStr">
        <is>
          <t>081287044445</t>
        </is>
      </c>
      <c r="D42" t="inlineStr">
        <is>
          <t>ptimankaruniaindokarya@gmail.com</t>
        </is>
      </c>
      <c r="E42" t="inlineStr">
        <is>
          <t>https://lpjk.pu.go.id/search-badan-usaha-detail/c21USXBvZjgwM240NmJRS1ZhRXNGUT09</t>
        </is>
      </c>
      <c r="F42" t="n">
        <v>1</v>
      </c>
      <c r="G42" t="inlineStr">
        <is>
          <t>BS008</t>
        </is>
      </c>
      <c r="H42" t="inlineStr">
        <is>
          <t>4 Oktober 2023</t>
        </is>
      </c>
      <c r="I42" s="2" t="n">
        <v>46349</v>
      </c>
      <c r="J42" t="inlineStr">
        <is>
          <t>Disetujui</t>
        </is>
      </c>
      <c r="K42" t="n">
        <v>87</v>
      </c>
      <c r="L42" t="inlineStr">
        <is>
          <t>23 November 2026</t>
        </is>
      </c>
      <c r="M42" t="inlineStr">
        <is>
          <t>Konstruksi Bangunan Sipil Telekomunikasi untuk Prasarana Transportasi</t>
        </is>
      </c>
      <c r="N42" t="inlineStr">
        <is>
          <t>K</t>
        </is>
      </c>
      <c r="O42" t="inlineStr">
        <is>
          <t>20231123</t>
        </is>
      </c>
      <c r="P42" t="inlineStr">
        <is>
          <t>DKI Jakarta</t>
        </is>
      </c>
      <c r="Q42" t="inlineStr"/>
    </row>
    <row r="43">
      <c r="A43" t="inlineStr">
        <is>
          <t>INDONESIA TIMUR KONSTRUKSI</t>
        </is>
      </c>
      <c r="B43" t="inlineStr">
        <is>
          <t>Kab. Mamuju</t>
        </is>
      </c>
      <c r="C43" t="inlineStr">
        <is>
          <t>085220606903</t>
        </is>
      </c>
      <c r="D43" t="inlineStr">
        <is>
          <t>cvindonesiatimurkons@gmail.com</t>
        </is>
      </c>
      <c r="E43" t="inlineStr">
        <is>
          <t>https://lpjk.pu.go.id/search-badan-usaha-detail/N2NRdGcwWVljanovZWJoRGlvTVhRQT09</t>
        </is>
      </c>
      <c r="F43" t="n">
        <v>1</v>
      </c>
      <c r="G43" t="inlineStr">
        <is>
          <t>BS001</t>
        </is>
      </c>
      <c r="H43" t="inlineStr">
        <is>
          <t>24 Mei 2023</t>
        </is>
      </c>
      <c r="I43" s="2" t="n">
        <v>46349</v>
      </c>
      <c r="J43" t="inlineStr">
        <is>
          <t>Pencabutan</t>
        </is>
      </c>
      <c r="K43" t="n">
        <v>87</v>
      </c>
      <c r="L43" t="inlineStr">
        <is>
          <t>23 November 2026</t>
        </is>
      </c>
      <c r="M43" t="inlineStr">
        <is>
          <t>Konstruksi Bangunan Sipil Jalan</t>
        </is>
      </c>
      <c r="N43" t="inlineStr">
        <is>
          <t>K</t>
        </is>
      </c>
      <c r="O43" t="inlineStr">
        <is>
          <t>20231123</t>
        </is>
      </c>
      <c r="P43" t="inlineStr">
        <is>
          <t>Sulawesi Barat</t>
        </is>
      </c>
      <c r="Q43" t="inlineStr"/>
    </row>
    <row r="44">
      <c r="A44" t="inlineStr">
        <is>
          <t>INTAN BANGUN PERSADA</t>
        </is>
      </c>
      <c r="B44" t="inlineStr">
        <is>
          <t>Kota Jambi</t>
        </is>
      </c>
      <c r="C44" t="inlineStr">
        <is>
          <t>082180404484</t>
        </is>
      </c>
      <c r="D44" t="inlineStr">
        <is>
          <t>sabarsiagian2@gmail.com</t>
        </is>
      </c>
      <c r="E44" t="inlineStr">
        <is>
          <t>https://lpjk.pu.go.id/search-badan-usaha-detail/c29KNkx3VXBJQjQ5OGdacXlKb0g2dz09</t>
        </is>
      </c>
      <c r="F44" t="n">
        <v>1</v>
      </c>
      <c r="G44" t="inlineStr">
        <is>
          <t>BS004</t>
        </is>
      </c>
      <c r="H44" t="inlineStr">
        <is>
          <t>28 September 2015</t>
        </is>
      </c>
      <c r="I44" s="2" t="n">
        <v>46349</v>
      </c>
      <c r="J44" t="inlineStr">
        <is>
          <t>Disetujui</t>
        </is>
      </c>
      <c r="K44" t="n">
        <v>87</v>
      </c>
      <c r="L44" t="inlineStr">
        <is>
          <t>23 November 2026</t>
        </is>
      </c>
      <c r="M44" t="inlineStr">
        <is>
          <t>Konstruksi Jaringan Irigasi dan Drainase</t>
        </is>
      </c>
      <c r="N44" t="inlineStr">
        <is>
          <t>K</t>
        </is>
      </c>
      <c r="O44" t="inlineStr">
        <is>
          <t>20231123</t>
        </is>
      </c>
      <c r="P44" t="inlineStr">
        <is>
          <t>Jambi</t>
        </is>
      </c>
      <c r="Q44" t="inlineStr"/>
    </row>
    <row r="45">
      <c r="A45" t="inlineStr">
        <is>
          <t>IRMA TIARA PUTRA</t>
        </is>
      </c>
      <c r="B45" t="inlineStr">
        <is>
          <t>Kab. Manokwari</t>
        </is>
      </c>
      <c r="C45" t="inlineStr">
        <is>
          <t>0986213383</t>
        </is>
      </c>
      <c r="D45" t="inlineStr">
        <is>
          <t>ptirmatiaraputramkw92@gmail.com</t>
        </is>
      </c>
      <c r="E45" t="inlineStr">
        <is>
          <t>https://lpjk.pu.go.id/search-badan-usaha-detail/ZkhVZEtyRkF4M01JTHVBWEp2ek1DQT09</t>
        </is>
      </c>
      <c r="F45" t="n">
        <v>2</v>
      </c>
      <c r="G45" t="inlineStr">
        <is>
          <t>BS001</t>
        </is>
      </c>
      <c r="H45" t="inlineStr">
        <is>
          <t>14 Maret 2000</t>
        </is>
      </c>
      <c r="I45" s="2" t="n">
        <v>46349</v>
      </c>
      <c r="J45" t="inlineStr">
        <is>
          <t>Pencabutan</t>
        </is>
      </c>
      <c r="K45" t="n">
        <v>87</v>
      </c>
      <c r="L45" t="inlineStr">
        <is>
          <t>23 November 2026</t>
        </is>
      </c>
      <c r="M45" t="inlineStr">
        <is>
          <t>Konstruksi Bangunan Sipil Jalan</t>
        </is>
      </c>
      <c r="N45" t="inlineStr">
        <is>
          <t>M</t>
        </is>
      </c>
      <c r="O45" t="inlineStr">
        <is>
          <t>20231122</t>
        </is>
      </c>
      <c r="P45" t="inlineStr">
        <is>
          <t>Papua Barat</t>
        </is>
      </c>
      <c r="Q45" t="inlineStr"/>
    </row>
    <row r="46">
      <c r="A46" t="inlineStr">
        <is>
          <t>IRMA YUNIKA</t>
        </is>
      </c>
      <c r="B46" t="inlineStr">
        <is>
          <t>Kab. Pahuwato</t>
        </is>
      </c>
      <c r="C46" t="inlineStr">
        <is>
          <t>085395999722</t>
        </is>
      </c>
      <c r="D46" t="inlineStr">
        <is>
          <t>irmayunika6@gmail.com</t>
        </is>
      </c>
      <c r="E46" t="inlineStr">
        <is>
          <t>https://lpjk.pu.go.id/search-badan-usaha-detail/M0lkR1UxUGJjQkVJblZWSm04WU9OQT09</t>
        </is>
      </c>
      <c r="F46" t="n">
        <v>2</v>
      </c>
      <c r="G46" t="inlineStr">
        <is>
          <t>BG009</t>
        </is>
      </c>
      <c r="H46" t="inlineStr">
        <is>
          <t>9 Agustus 2006</t>
        </is>
      </c>
      <c r="I46" s="2" t="n">
        <v>46349</v>
      </c>
      <c r="J46" t="inlineStr">
        <is>
          <t>Disetujui</t>
        </is>
      </c>
      <c r="K46" t="n">
        <v>87</v>
      </c>
      <c r="L46" t="inlineStr">
        <is>
          <t>23 November 2026</t>
        </is>
      </c>
      <c r="M46" t="inlineStr">
        <is>
          <t>Konstruksi Gedung Lainnya</t>
        </is>
      </c>
      <c r="N46" t="inlineStr">
        <is>
          <t>K</t>
        </is>
      </c>
      <c r="O46" t="inlineStr">
        <is>
          <t>20231110</t>
        </is>
      </c>
      <c r="P46" t="inlineStr">
        <is>
          <t>Gorontalo</t>
        </is>
      </c>
      <c r="Q46" t="inlineStr"/>
    </row>
    <row r="47">
      <c r="A47" t="inlineStr">
        <is>
          <t>JAYA ABADI</t>
        </is>
      </c>
      <c r="B47" t="inlineStr">
        <is>
          <t>Kab. Lima Puluh Kota</t>
        </is>
      </c>
      <c r="C47" t="inlineStr">
        <is>
          <t>081226696494</t>
        </is>
      </c>
      <c r="D47" t="inlineStr">
        <is>
          <t>whezanigaliko96@gmail.com</t>
        </is>
      </c>
      <c r="E47" t="inlineStr">
        <is>
          <t>https://lpjk.pu.go.id/search-badan-usaha-detail/RVFyenZ4VzZOSnFKVDdWUUsyeFg1QT09</t>
        </is>
      </c>
      <c r="F47" t="n">
        <v>1</v>
      </c>
      <c r="G47" t="inlineStr">
        <is>
          <t>BG002</t>
        </is>
      </c>
      <c r="H47" t="inlineStr">
        <is>
          <t>21 Januari 2014</t>
        </is>
      </c>
      <c r="I47" s="2" t="n">
        <v>46349</v>
      </c>
      <c r="J47" t="inlineStr">
        <is>
          <t>Disetujui</t>
        </is>
      </c>
      <c r="K47" t="n">
        <v>87</v>
      </c>
      <c r="L47" t="inlineStr">
        <is>
          <t>23 November 2026</t>
        </is>
      </c>
      <c r="M47" t="inlineStr">
        <is>
          <t>Konstruksi Gedung Perkantoran</t>
        </is>
      </c>
      <c r="N47" t="inlineStr">
        <is>
          <t>K</t>
        </is>
      </c>
      <c r="O47" t="inlineStr">
        <is>
          <t>20231124</t>
        </is>
      </c>
      <c r="P47" t="inlineStr">
        <is>
          <t>Sumatera Barat</t>
        </is>
      </c>
      <c r="Q47" t="inlineStr"/>
    </row>
    <row r="48">
      <c r="A48" t="inlineStr">
        <is>
          <t>KAMIRA CIPTA KONSULTAN</t>
        </is>
      </c>
      <c r="B48" t="inlineStr">
        <is>
          <t>Kota Bandung</t>
        </is>
      </c>
      <c r="C48" t="inlineStr">
        <is>
          <t>082127251566</t>
        </is>
      </c>
      <c r="D48" t="inlineStr">
        <is>
          <t>kamiracipta.kons@gmail.com</t>
        </is>
      </c>
      <c r="E48" t="inlineStr">
        <is>
          <t>https://lpjk.pu.go.id/search-badan-usaha-detail/b2V4cVZmTEE0OVVjZ1pSTytiT2Fodz09</t>
        </is>
      </c>
      <c r="F48" t="n">
        <v>2</v>
      </c>
      <c r="G48" t="inlineStr">
        <is>
          <t>AR001, AR002</t>
        </is>
      </c>
      <c r="H48" t="inlineStr">
        <is>
          <t>9 Mei 2023</t>
        </is>
      </c>
      <c r="I48" s="2" t="n">
        <v>46349</v>
      </c>
      <c r="J48" t="inlineStr">
        <is>
          <t>Pencabutan</t>
        </is>
      </c>
      <c r="K48" t="n">
        <v>87</v>
      </c>
      <c r="L48" t="inlineStr">
        <is>
          <t>23 November 2026</t>
        </is>
      </c>
      <c r="M48" t="inlineStr">
        <is>
          <t>Jasa Arsitektural Bangunan Gedung Hunian dan Non Hunian, Jasa Arsitektural Lainnya</t>
        </is>
      </c>
      <c r="N48" t="inlineStr">
        <is>
          <t>K</t>
        </is>
      </c>
      <c r="O48" t="inlineStr">
        <is>
          <t>20231117, 20231122</t>
        </is>
      </c>
      <c r="P48" t="inlineStr">
        <is>
          <t>Jawa Barat</t>
        </is>
      </c>
      <c r="Q48" t="inlineStr"/>
    </row>
    <row r="49">
      <c r="A49" t="inlineStr">
        <is>
          <t>KARYA ALL STAR</t>
        </is>
      </c>
      <c r="B49" t="inlineStr">
        <is>
          <t>Kab. Boalemo</t>
        </is>
      </c>
      <c r="C49" t="inlineStr">
        <is>
          <t>085242676123</t>
        </is>
      </c>
      <c r="D49" t="inlineStr">
        <is>
          <t>karyaallstar.cv09@gmail.com</t>
        </is>
      </c>
      <c r="E49" t="inlineStr">
        <is>
          <t>https://lpjk.pu.go.id/search-badan-usaha-detail/bnBkN2VTMFdrdUFISzJ4VmJkZ3hjZz09</t>
        </is>
      </c>
      <c r="F49" t="n">
        <v>2</v>
      </c>
      <c r="G49" t="inlineStr">
        <is>
          <t>BG001, BG005</t>
        </is>
      </c>
      <c r="H49" t="inlineStr">
        <is>
          <t>9 Juli 2019</t>
        </is>
      </c>
      <c r="I49" s="2" t="n">
        <v>46349</v>
      </c>
      <c r="J49" t="inlineStr">
        <is>
          <t>Disetujui</t>
        </is>
      </c>
      <c r="K49" t="n">
        <v>87</v>
      </c>
      <c r="L49" t="inlineStr">
        <is>
          <t>23 November 2026</t>
        </is>
      </c>
      <c r="M49" t="inlineStr">
        <is>
          <t>Konstruksi Gedung Hunian, Konstruksi Gedung Kesehatan</t>
        </is>
      </c>
      <c r="N49" t="inlineStr">
        <is>
          <t>K</t>
        </is>
      </c>
      <c r="O49" t="inlineStr">
        <is>
          <t>20231114, 20231118</t>
        </is>
      </c>
      <c r="P49" t="inlineStr">
        <is>
          <t>Gorontalo</t>
        </is>
      </c>
      <c r="Q49" t="inlineStr"/>
    </row>
    <row r="50">
      <c r="A50" t="inlineStr">
        <is>
          <t>KARYA BARITO MANDIRI</t>
        </is>
      </c>
      <c r="B50" t="inlineStr">
        <is>
          <t>Kab. Barito Timur</t>
        </is>
      </c>
      <c r="C50" t="inlineStr">
        <is>
          <t>082122558165</t>
        </is>
      </c>
      <c r="D50" t="inlineStr">
        <is>
          <t>karyabaritomandiri@gmail.com</t>
        </is>
      </c>
      <c r="E50" t="inlineStr">
        <is>
          <t>https://lpjk.pu.go.id/search-badan-usaha-detail/UnVyUmpVQnBZakJUYm9WTUF2Q0ZwQT09</t>
        </is>
      </c>
      <c r="F50" t="n">
        <v>6</v>
      </c>
      <c r="G50" t="inlineStr">
        <is>
          <t>BG002, BG005, BG006, BG008, BG009, BS001</t>
        </is>
      </c>
      <c r="H50" t="inlineStr">
        <is>
          <t>31 Maret 2023</t>
        </is>
      </c>
      <c r="I50" s="2" t="n">
        <v>46349</v>
      </c>
      <c r="J50" t="inlineStr">
        <is>
          <t>Disetujui</t>
        </is>
      </c>
      <c r="K50" t="n">
        <v>87</v>
      </c>
      <c r="L50" t="inlineStr">
        <is>
          <t>23 November 2026</t>
        </is>
      </c>
      <c r="M50" t="inlineStr">
        <is>
          <t>Konstruksi Bangunan Sipil Jalan, Konstruksi Gedung Kesehatan, Konstruksi Gedung Lainnya, Konstruksi Gedung Pendidikan, Konstruksi Gedung Perkantoran, Konstruksi Gedung Tempat Hiburan dan Olahraga</t>
        </is>
      </c>
      <c r="N50" t="inlineStr">
        <is>
          <t>K</t>
        </is>
      </c>
      <c r="O50" t="inlineStr">
        <is>
          <t>20231122</t>
        </is>
      </c>
      <c r="P50" t="inlineStr">
        <is>
          <t>Kalimantan Tengah</t>
        </is>
      </c>
      <c r="Q50" t="inlineStr"/>
    </row>
    <row r="51">
      <c r="A51" t="inlineStr">
        <is>
          <t>KARYA DUA SENTOSA</t>
        </is>
      </c>
      <c r="B51" t="inlineStr">
        <is>
          <t>Kota Cilegon</t>
        </is>
      </c>
      <c r="C51" t="inlineStr">
        <is>
          <t>081932047126</t>
        </is>
      </c>
      <c r="D51" t="inlineStr">
        <is>
          <t>ptkaryaduasentosa@gmail.com</t>
        </is>
      </c>
      <c r="E51" t="inlineStr">
        <is>
          <t>https://lpjk.pu.go.id/search-badan-usaha-detail/REFzR1liWDZjQVRxZnk3aUFWVWlzUT09</t>
        </is>
      </c>
      <c r="F51" t="n">
        <v>2</v>
      </c>
      <c r="G51" t="inlineStr">
        <is>
          <t>BS001, BS004</t>
        </is>
      </c>
      <c r="H51" t="inlineStr">
        <is>
          <t>2 Januari 2019</t>
        </is>
      </c>
      <c r="I51" s="2" t="n">
        <v>46349</v>
      </c>
      <c r="J51" t="inlineStr">
        <is>
          <t>Disetujui</t>
        </is>
      </c>
      <c r="K51" t="n">
        <v>87</v>
      </c>
      <c r="L51" t="inlineStr">
        <is>
          <t>23 November 2026</t>
        </is>
      </c>
      <c r="M51" t="inlineStr">
        <is>
          <t>Konstruksi Bangunan Sipil Jalan, Konstruksi Jaringan Irigasi dan Drainase</t>
        </is>
      </c>
      <c r="N51" t="inlineStr">
        <is>
          <t>K</t>
        </is>
      </c>
      <c r="O51" t="inlineStr">
        <is>
          <t>20230830, 20231121</t>
        </is>
      </c>
      <c r="P51" t="inlineStr">
        <is>
          <t>Banten</t>
        </is>
      </c>
      <c r="Q51" t="inlineStr"/>
    </row>
    <row r="52">
      <c r="A52" t="inlineStr">
        <is>
          <t>KARYA INDO BARUNA ABADI</t>
        </is>
      </c>
      <c r="B52" t="inlineStr">
        <is>
          <t>Kota Tanjung Pinang</t>
        </is>
      </c>
      <c r="C52" t="inlineStr">
        <is>
          <t>082284235700</t>
        </is>
      </c>
      <c r="D52" t="inlineStr">
        <is>
          <t>kiba.tpi@yahoo.com</t>
        </is>
      </c>
      <c r="E52" t="inlineStr">
        <is>
          <t>https://lpjk.pu.go.id/search-badan-usaha-detail/bmp3N0syb3d1VWY3bVd0S3ZtQWU4Zz09</t>
        </is>
      </c>
      <c r="F52" t="n">
        <v>1</v>
      </c>
      <c r="G52" t="inlineStr">
        <is>
          <t>BG001</t>
        </is>
      </c>
      <c r="H52" t="inlineStr">
        <is>
          <t>14 September 2016</t>
        </is>
      </c>
      <c r="I52" s="2" t="n">
        <v>46349</v>
      </c>
      <c r="J52" t="inlineStr">
        <is>
          <t>Disetujui</t>
        </is>
      </c>
      <c r="K52" t="n">
        <v>87</v>
      </c>
      <c r="L52" t="inlineStr">
        <is>
          <t>23 November 2026</t>
        </is>
      </c>
      <c r="M52" t="inlineStr">
        <is>
          <t>Konstruksi Gedung Hunian</t>
        </is>
      </c>
      <c r="N52" t="inlineStr">
        <is>
          <t>K</t>
        </is>
      </c>
      <c r="O52" t="inlineStr">
        <is>
          <t>20231122</t>
        </is>
      </c>
      <c r="P52" t="inlineStr">
        <is>
          <t>Kepulauan Riau</t>
        </is>
      </c>
      <c r="Q52" t="inlineStr"/>
    </row>
    <row r="53">
      <c r="A53" t="inlineStr">
        <is>
          <t>KARYA KAMEFADA WIJAYA INDONESIA</t>
        </is>
      </c>
      <c r="B53" t="inlineStr">
        <is>
          <t>Kota Bandar Lampung</t>
        </is>
      </c>
      <c r="C53" t="inlineStr">
        <is>
          <t>081367743843</t>
        </is>
      </c>
      <c r="D53" t="inlineStr">
        <is>
          <t>pt.karyakamefada2007@gmail.com</t>
        </is>
      </c>
      <c r="E53" t="inlineStr">
        <is>
          <t>https://lpjk.pu.go.id/search-badan-usaha-detail/YTJEVTJ1RHh5T2lPWVhHUjdGbDFtdz09</t>
        </is>
      </c>
      <c r="F53" t="n">
        <v>1</v>
      </c>
      <c r="G53" t="inlineStr">
        <is>
          <t>BS004</t>
        </is>
      </c>
      <c r="H53" t="inlineStr">
        <is>
          <t>22 Januari 2007</t>
        </is>
      </c>
      <c r="I53" s="2" t="n">
        <v>46349</v>
      </c>
      <c r="J53" t="inlineStr">
        <is>
          <t>Disetujui</t>
        </is>
      </c>
      <c r="K53" t="n">
        <v>87</v>
      </c>
      <c r="L53" t="inlineStr">
        <is>
          <t>23 November 2026</t>
        </is>
      </c>
      <c r="M53" t="inlineStr">
        <is>
          <t>Konstruksi Jaringan Irigasi dan Drainase</t>
        </is>
      </c>
      <c r="N53" t="inlineStr">
        <is>
          <t>M</t>
        </is>
      </c>
      <c r="O53" t="inlineStr">
        <is>
          <t>20231116</t>
        </is>
      </c>
      <c r="P53" t="inlineStr">
        <is>
          <t>Lampung</t>
        </is>
      </c>
      <c r="Q53" t="inlineStr"/>
    </row>
    <row r="54">
      <c r="A54" t="inlineStr">
        <is>
          <t>KARYA MAKMOER LESTARI</t>
        </is>
      </c>
      <c r="B54" t="inlineStr">
        <is>
          <t>Kab. Kotawaringin Timur</t>
        </is>
      </c>
      <c r="C54" t="inlineStr">
        <is>
          <t>085654702814</t>
        </is>
      </c>
      <c r="D54" t="inlineStr">
        <is>
          <t>cvkaryamakmoerlestari@gmail.com</t>
        </is>
      </c>
      <c r="E54" t="inlineStr">
        <is>
          <t>https://lpjk.pu.go.id/search-badan-usaha-detail/WFIyd3puNUgrOFVRQmhLNHBaZm5vUT09</t>
        </is>
      </c>
      <c r="F54" t="n">
        <v>3</v>
      </c>
      <c r="G54" t="inlineStr">
        <is>
          <t>BG006, BG009, BS001</t>
        </is>
      </c>
      <c r="H54" t="inlineStr">
        <is>
          <t>6 Juni 2023</t>
        </is>
      </c>
      <c r="I54" s="2" t="n">
        <v>46349</v>
      </c>
      <c r="J54" t="inlineStr">
        <is>
          <t>Disetujui</t>
        </is>
      </c>
      <c r="K54" t="n">
        <v>87</v>
      </c>
      <c r="L54" t="inlineStr">
        <is>
          <t>23 November 2026</t>
        </is>
      </c>
      <c r="M54" t="inlineStr">
        <is>
          <t>Konstruksi Bangunan Sipil Jalan, Konstruksi Gedung Lainnya, Konstruksi Gedung Pendidikan</t>
        </is>
      </c>
      <c r="N54" t="inlineStr">
        <is>
          <t>K</t>
        </is>
      </c>
      <c r="O54" t="inlineStr">
        <is>
          <t>20231122</t>
        </is>
      </c>
      <c r="P54" t="inlineStr">
        <is>
          <t>Kalimantan Tengah</t>
        </is>
      </c>
      <c r="Q54" t="inlineStr"/>
    </row>
    <row r="55">
      <c r="A55" t="inlineStr">
        <is>
          <t>KARYATAMA SARANA KONSTRUKSI</t>
        </is>
      </c>
      <c r="B55" t="inlineStr">
        <is>
          <t>Kota Padang</t>
        </is>
      </c>
      <c r="C55" t="inlineStr">
        <is>
          <t>085272210187</t>
        </is>
      </c>
      <c r="D55" t="inlineStr">
        <is>
          <t>pt.karyatamask@gmail.com</t>
        </is>
      </c>
      <c r="E55" t="inlineStr">
        <is>
          <t>https://lpjk.pu.go.id/search-badan-usaha-detail/aGpocTNhODVDTUdHY3o5TjhEcUVTZz09</t>
        </is>
      </c>
      <c r="F55" t="n">
        <v>4</v>
      </c>
      <c r="G55" t="inlineStr">
        <is>
          <t>BS001, BS010</t>
        </is>
      </c>
      <c r="H55" t="inlineStr">
        <is>
          <t>27 Agustus 2020</t>
        </is>
      </c>
      <c r="I55" s="2" t="n">
        <v>46349</v>
      </c>
      <c r="J55" t="inlineStr">
        <is>
          <t>Disetujui</t>
        </is>
      </c>
      <c r="K55" t="n">
        <v>87</v>
      </c>
      <c r="L55" t="inlineStr">
        <is>
          <t>23 November 2026</t>
        </is>
      </c>
      <c r="M55" t="inlineStr">
        <is>
          <t>Konstruksi Bangunan Prasarana Sumber Daya Air, Konstruksi Bangunan Sipil Jalan</t>
        </is>
      </c>
      <c r="N55" t="inlineStr">
        <is>
          <t>K, M</t>
        </is>
      </c>
      <c r="O55" t="inlineStr">
        <is>
          <t>20231017, 20231116</t>
        </is>
      </c>
      <c r="P55" t="inlineStr">
        <is>
          <t>Sumatera Barat</t>
        </is>
      </c>
      <c r="Q55" t="inlineStr"/>
    </row>
    <row r="56">
      <c r="A56" t="inlineStr">
        <is>
          <t>KEDATON</t>
        </is>
      </c>
      <c r="B56" t="inlineStr">
        <is>
          <t>Kab. Trenggalek</t>
        </is>
      </c>
      <c r="C56" t="inlineStr">
        <is>
          <t>081335564738</t>
        </is>
      </c>
      <c r="D56" t="inlineStr">
        <is>
          <t>kedatonfc2012@gmail.com</t>
        </is>
      </c>
      <c r="E56" t="inlineStr">
        <is>
          <t>https://lpjk.pu.go.id/search-badan-usaha-detail/TVJuM3FmT1hmL3NPZVpvUTJVQWFvZz09</t>
        </is>
      </c>
      <c r="F56" t="n">
        <v>1</v>
      </c>
      <c r="G56" t="inlineStr">
        <is>
          <t>BS002</t>
        </is>
      </c>
      <c r="H56" t="inlineStr">
        <is>
          <t>14 Februari 2006</t>
        </is>
      </c>
      <c r="I56" s="2" t="n">
        <v>46349</v>
      </c>
      <c r="J56" t="inlineStr">
        <is>
          <t>Disetujui</t>
        </is>
      </c>
      <c r="K56" t="n">
        <v>87</v>
      </c>
      <c r="L56" t="inlineStr">
        <is>
          <t>23 November 2026</t>
        </is>
      </c>
      <c r="M56" t="inlineStr">
        <is>
          <t>Bangunan Sipil Jembatan, Jalan Layang, Fly Over, dan Underpass</t>
        </is>
      </c>
      <c r="N56" t="inlineStr">
        <is>
          <t>K</t>
        </is>
      </c>
      <c r="O56" t="inlineStr">
        <is>
          <t>20231123</t>
        </is>
      </c>
      <c r="P56" t="inlineStr">
        <is>
          <t>Jawa Timur</t>
        </is>
      </c>
      <c r="Q56" t="inlineStr"/>
    </row>
    <row r="57">
      <c r="A57" t="inlineStr">
        <is>
          <t>LIGAGIRI</t>
        </is>
      </c>
      <c r="B57" t="inlineStr">
        <is>
          <t>Kab. Garut</t>
        </is>
      </c>
      <c r="C57" t="inlineStr">
        <is>
          <t>085223591590</t>
        </is>
      </c>
      <c r="D57" t="inlineStr">
        <is>
          <t>ligagiri.cv71@gmail.com</t>
        </is>
      </c>
      <c r="E57" t="inlineStr">
        <is>
          <t>https://lpjk.pu.go.id/search-badan-usaha-detail/VmZ6ZzJtOEFIWi9FVDdvMHZMTURjZz09</t>
        </is>
      </c>
      <c r="F57" t="n">
        <v>3</v>
      </c>
      <c r="G57" t="inlineStr">
        <is>
          <t>BS001, BS004, BS005</t>
        </is>
      </c>
      <c r="H57" t="inlineStr">
        <is>
          <t>30 Desember 1982</t>
        </is>
      </c>
      <c r="I57" s="2" t="n">
        <v>46349</v>
      </c>
      <c r="J57" t="inlineStr">
        <is>
          <t>Disetujui</t>
        </is>
      </c>
      <c r="K57" t="n">
        <v>87</v>
      </c>
      <c r="L57" t="inlineStr">
        <is>
          <t>23 November 2026</t>
        </is>
      </c>
      <c r="M57" t="inlineStr">
        <is>
          <t>Konstruksi Bangunan Sipil Jalan, Konstruksi Bangunan Sipil Pengolahan Air Bersih, Konstruksi Jaringan Irigasi dan Drainase</t>
        </is>
      </c>
      <c r="N57" t="inlineStr">
        <is>
          <t>K</t>
        </is>
      </c>
      <c r="O57" t="inlineStr">
        <is>
          <t>20231120</t>
        </is>
      </c>
      <c r="P57" t="inlineStr">
        <is>
          <t>Jawa Barat</t>
        </is>
      </c>
      <c r="Q57" t="inlineStr"/>
    </row>
    <row r="58">
      <c r="A58" t="inlineStr">
        <is>
          <t>LINTAS ALAM LANCAR</t>
        </is>
      </c>
      <c r="B58" t="inlineStr">
        <is>
          <t>Kab. Jember</t>
        </is>
      </c>
      <c r="C58" t="inlineStr">
        <is>
          <t>081330527621</t>
        </is>
      </c>
      <c r="D58" t="inlineStr">
        <is>
          <t>cv.lal.jbr@gmail.com</t>
        </is>
      </c>
      <c r="E58" t="inlineStr">
        <is>
          <t>https://lpjk.pu.go.id/search-badan-usaha-detail/b1M0Y1Nsb01nTFNaMGpQRXYrMUN0QT09</t>
        </is>
      </c>
      <c r="F58" t="n">
        <v>7</v>
      </c>
      <c r="G58" t="inlineStr">
        <is>
          <t>BG002, BG004, BG005, BG006, BG009, BS001, BS004</t>
        </is>
      </c>
      <c r="H58" t="inlineStr">
        <is>
          <t>4 April 2022</t>
        </is>
      </c>
      <c r="I58" s="2" t="n">
        <v>46349</v>
      </c>
      <c r="J58" t="inlineStr">
        <is>
          <t>Disetujui</t>
        </is>
      </c>
      <c r="K58" t="n">
        <v>87</v>
      </c>
      <c r="L58" t="inlineStr">
        <is>
          <t>23 November 2026</t>
        </is>
      </c>
      <c r="M58" t="inlineStr">
        <is>
          <t>Konstruksi Bangunan Sipil Jalan, Konstruksi Gedung Kesehatan, Konstruksi Gedung Lainnya, Konstruksi Gedung Pendidikan, Konstruksi Gedung Perbelanjaan, Konstruksi Gedung Perkantoran, Konstruksi Jaringan Irigasi dan Drainase</t>
        </is>
      </c>
      <c r="N58" t="inlineStr">
        <is>
          <t>K</t>
        </is>
      </c>
      <c r="O58" t="inlineStr">
        <is>
          <t>20231121, 20231124</t>
        </is>
      </c>
      <c r="P58" t="inlineStr">
        <is>
          <t>Jawa Timur</t>
        </is>
      </c>
      <c r="Q58" t="inlineStr"/>
    </row>
    <row r="59">
      <c r="A59" t="inlineStr">
        <is>
          <t>MARYAM PAGUN JAYA</t>
        </is>
      </c>
      <c r="B59" t="inlineStr">
        <is>
          <t>Kab. Tana Tidung</t>
        </is>
      </c>
      <c r="C59" t="inlineStr">
        <is>
          <t>082352300045</t>
        </is>
      </c>
      <c r="D59" t="inlineStr">
        <is>
          <t>muhamadismail180793747410@gmail.com</t>
        </is>
      </c>
      <c r="E59" t="inlineStr">
        <is>
          <t>https://lpjk.pu.go.id/search-badan-usaha-detail/ZkJmMFZOZVN5d3F5OFZickVsUEF2Zz09</t>
        </is>
      </c>
      <c r="F59" t="n">
        <v>1</v>
      </c>
      <c r="G59" t="inlineStr">
        <is>
          <t>BS004</t>
        </is>
      </c>
      <c r="H59" t="inlineStr">
        <is>
          <t>10 Mei 2023</t>
        </is>
      </c>
      <c r="I59" s="2" t="n">
        <v>46349</v>
      </c>
      <c r="J59" t="inlineStr">
        <is>
          <t>Disetujui</t>
        </is>
      </c>
      <c r="K59" t="n">
        <v>87</v>
      </c>
      <c r="L59" t="inlineStr">
        <is>
          <t>23 November 2026</t>
        </is>
      </c>
      <c r="M59" t="inlineStr">
        <is>
          <t>Konstruksi Jaringan Irigasi dan Drainase</t>
        </is>
      </c>
      <c r="N59" t="inlineStr">
        <is>
          <t>K</t>
        </is>
      </c>
      <c r="O59" t="inlineStr">
        <is>
          <t>20231121</t>
        </is>
      </c>
      <c r="P59" t="inlineStr">
        <is>
          <t>Kalimantan Utara</t>
        </is>
      </c>
      <c r="Q59" t="inlineStr"/>
    </row>
    <row r="60">
      <c r="A60" t="inlineStr">
        <is>
          <t>MEGA PERTIWI BLORA</t>
        </is>
      </c>
      <c r="B60" t="inlineStr">
        <is>
          <t>Kab. Blora</t>
        </is>
      </c>
      <c r="C60" t="inlineStr">
        <is>
          <t>082133333273</t>
        </is>
      </c>
      <c r="D60" t="inlineStr">
        <is>
          <t>megapertiwi.cv18@gmail.com</t>
        </is>
      </c>
      <c r="E60" t="inlineStr">
        <is>
          <t>https://lpjk.pu.go.id/search-badan-usaha-detail/clZSS21TaVRhVi83a2VlZE9QSldOQT09</t>
        </is>
      </c>
      <c r="F60" t="n">
        <v>5</v>
      </c>
      <c r="G60" t="inlineStr">
        <is>
          <t>BG002, BG006, BS001, BS002, BS004</t>
        </is>
      </c>
      <c r="H60" t="inlineStr">
        <is>
          <t>20 Agustus 2018</t>
        </is>
      </c>
      <c r="I60" s="2" t="n">
        <v>46349</v>
      </c>
      <c r="J60" t="inlineStr">
        <is>
          <t>Disetujui</t>
        </is>
      </c>
      <c r="K60" t="n">
        <v>87</v>
      </c>
      <c r="L60" t="inlineStr">
        <is>
          <t>23 November 2026</t>
        </is>
      </c>
      <c r="M60" t="inlineStr">
        <is>
          <t>Bangunan Sipil Jembatan, Jalan Layang, Fly Over, dan Underpass, Konstruksi Bangunan Sipil Jalan, Konstruksi Gedung Pendidikan, Konstruksi Gedung Perkantoran, Konstruksi Jaringan Irigasi dan Drainase</t>
        </is>
      </c>
      <c r="N60" t="inlineStr">
        <is>
          <t>K</t>
        </is>
      </c>
      <c r="O60" t="inlineStr">
        <is>
          <t>20230904</t>
        </is>
      </c>
      <c r="P60" t="inlineStr">
        <is>
          <t>Jawa Tengah</t>
        </is>
      </c>
      <c r="Q60" t="inlineStr"/>
    </row>
    <row r="61">
      <c r="A61" t="inlineStr">
        <is>
          <t>MEGANTARA INDOJAYA</t>
        </is>
      </c>
      <c r="B61" t="inlineStr">
        <is>
          <t>Kab. Trenggalek</t>
        </is>
      </c>
      <c r="C61" t="inlineStr">
        <is>
          <t>08123420158</t>
        </is>
      </c>
      <c r="D61" t="inlineStr">
        <is>
          <t>megantaraindojaya@gmail.com</t>
        </is>
      </c>
      <c r="E61" t="inlineStr">
        <is>
          <t>https://lpjk.pu.go.id/search-badan-usaha-detail/SkJvZ0U0bnErcHIzSFdxTWIxOFMrS1JVb1pzc296UGZaMS94TFVnWmFOUT0</t>
        </is>
      </c>
      <c r="F61" t="n">
        <v>3</v>
      </c>
      <c r="G61" t="inlineStr">
        <is>
          <t>BG006</t>
        </is>
      </c>
      <c r="H61" t="inlineStr">
        <is>
          <t>7 Mei 2025</t>
        </is>
      </c>
      <c r="I61" s="2" t="n">
        <v>46349</v>
      </c>
      <c r="J61" t="inlineStr">
        <is>
          <t>Disetujui</t>
        </is>
      </c>
      <c r="K61" t="n">
        <v>87</v>
      </c>
      <c r="L61" t="inlineStr">
        <is>
          <t>23 November 2026</t>
        </is>
      </c>
      <c r="M61" t="inlineStr">
        <is>
          <t>Konstruksi Gedung Pendidikan</t>
        </is>
      </c>
      <c r="N61" t="inlineStr">
        <is>
          <t>K</t>
        </is>
      </c>
      <c r="O61" t="inlineStr">
        <is>
          <t>20231113</t>
        </is>
      </c>
      <c r="P61" t="inlineStr">
        <is>
          <t>Jawa Timur</t>
        </is>
      </c>
      <c r="Q61" t="inlineStr"/>
    </row>
    <row r="62">
      <c r="A62" t="inlineStr">
        <is>
          <t>MUHAMMAD JUSUP SUMARDHY</t>
        </is>
      </c>
      <c r="B62" t="inlineStr">
        <is>
          <t>Kab. Bulungan</t>
        </is>
      </c>
      <c r="C62" t="inlineStr">
        <is>
          <t>081253577861</t>
        </is>
      </c>
      <c r="D62" t="inlineStr">
        <is>
          <t>muhammadjusup812@gmail.com</t>
        </is>
      </c>
      <c r="E62" t="inlineStr">
        <is>
          <t>https://lpjk.pu.go.id/search-badan-usaha-detail/YlZxMTllSUtRWUd1RHk5dEFHRnZ6Zz09</t>
        </is>
      </c>
      <c r="F62" t="n">
        <v>1</v>
      </c>
      <c r="G62" t="inlineStr">
        <is>
          <t>BS004</t>
        </is>
      </c>
      <c r="H62" t="inlineStr">
        <is>
          <t>21 Januari 2014</t>
        </is>
      </c>
      <c r="I62" s="2" t="n">
        <v>46349</v>
      </c>
      <c r="J62" t="inlineStr">
        <is>
          <t>Disetujui</t>
        </is>
      </c>
      <c r="K62" t="n">
        <v>87</v>
      </c>
      <c r="L62" t="inlineStr">
        <is>
          <t>23 November 2026</t>
        </is>
      </c>
      <c r="M62" t="inlineStr">
        <is>
          <t>Konstruksi Jaringan Irigasi dan Drainase</t>
        </is>
      </c>
      <c r="N62" t="inlineStr">
        <is>
          <t>K</t>
        </is>
      </c>
      <c r="O62" t="inlineStr">
        <is>
          <t>20231123</t>
        </is>
      </c>
      <c r="P62" t="inlineStr">
        <is>
          <t>Kalimantan Utara</t>
        </is>
      </c>
      <c r="Q62" t="inlineStr"/>
    </row>
    <row r="63">
      <c r="A63" t="inlineStr">
        <is>
          <t>MULUS RAHAYU BERKAH SALAMET</t>
        </is>
      </c>
      <c r="B63" t="inlineStr">
        <is>
          <t>Kab. Bandung</t>
        </is>
      </c>
      <c r="C63" t="inlineStr">
        <is>
          <t>081322024005</t>
        </is>
      </c>
      <c r="D63" t="inlineStr">
        <is>
          <t>ptmurubasa@gmail.com</t>
        </is>
      </c>
      <c r="E63" t="inlineStr">
        <is>
          <t>https://lpjk.pu.go.id/search-badan-usaha-detail/VXV4WGhQZWc0bThRckNTTHF5b3hPUT09</t>
        </is>
      </c>
      <c r="F63" t="n">
        <v>1</v>
      </c>
      <c r="G63" t="inlineStr">
        <is>
          <t>RK001</t>
        </is>
      </c>
      <c r="H63" t="inlineStr">
        <is>
          <t>6 Oktober 2023</t>
        </is>
      </c>
      <c r="I63" s="2" t="n">
        <v>46349</v>
      </c>
      <c r="J63" t="inlineStr">
        <is>
          <t>Disetujui</t>
        </is>
      </c>
      <c r="K63" t="n">
        <v>87</v>
      </c>
      <c r="L63" t="inlineStr">
        <is>
          <t>23 November 2026</t>
        </is>
      </c>
      <c r="M63" t="inlineStr">
        <is>
          <t>Jasa Rekayasa Konstruksi Bangunan Gedung Hunian dan Non Hunian</t>
        </is>
      </c>
      <c r="N63" t="inlineStr">
        <is>
          <t>K</t>
        </is>
      </c>
      <c r="O63" t="inlineStr">
        <is>
          <t>20231111</t>
        </is>
      </c>
      <c r="P63" t="inlineStr">
        <is>
          <t>Jawa Barat</t>
        </is>
      </c>
      <c r="Q63" t="inlineStr"/>
    </row>
    <row r="64">
      <c r="A64" t="inlineStr">
        <is>
          <t>MULYA PERSADA TEKNIK</t>
        </is>
      </c>
      <c r="B64" t="inlineStr">
        <is>
          <t>Kota Gorontalo</t>
        </is>
      </c>
      <c r="C64" t="inlineStr">
        <is>
          <t>085298650099</t>
        </is>
      </c>
      <c r="D64" t="inlineStr">
        <is>
          <t>mulyapersadateknik@gmail.com</t>
        </is>
      </c>
      <c r="E64" t="inlineStr">
        <is>
          <t>https://lpjk.pu.go.id/search-badan-usaha-detail/YldDdUhvZFZKcDg3Z2tjNHVYNGVWUT09</t>
        </is>
      </c>
      <c r="F64" t="n">
        <v>6</v>
      </c>
      <c r="G64" t="inlineStr">
        <is>
          <t>AR001, AR002, AR003, RK001, RK002, RK003</t>
        </is>
      </c>
      <c r="H64" t="inlineStr">
        <is>
          <t>29 November 2016</t>
        </is>
      </c>
      <c r="I64" s="2" t="n">
        <v>46349</v>
      </c>
      <c r="J64" t="inlineStr">
        <is>
          <t>Disetujui</t>
        </is>
      </c>
      <c r="K64" t="n">
        <v>87</v>
      </c>
      <c r="L64" t="inlineStr">
        <is>
          <t>23 November 2026</t>
        </is>
      </c>
      <c r="M64"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64" t="inlineStr">
        <is>
          <t>K</t>
        </is>
      </c>
      <c r="O64" t="inlineStr">
        <is>
          <t>20231120</t>
        </is>
      </c>
      <c r="P64" t="inlineStr">
        <is>
          <t>Gorontalo</t>
        </is>
      </c>
      <c r="Q64" t="inlineStr"/>
    </row>
    <row r="65">
      <c r="A65" t="inlineStr">
        <is>
          <t>MULYA SARI</t>
        </is>
      </c>
      <c r="B65" t="inlineStr">
        <is>
          <t>Kota Magelang</t>
        </is>
      </c>
      <c r="C65" t="inlineStr">
        <is>
          <t>08562879754</t>
        </is>
      </c>
      <c r="D65" t="inlineStr">
        <is>
          <t>cvmulyasari878@gmail.com</t>
        </is>
      </c>
      <c r="E65" t="inlineStr">
        <is>
          <t>https://lpjk.pu.go.id/search-badan-usaha-detail/NjV0ZW5HSFJqanRSQnoxelRsNitOUT09</t>
        </is>
      </c>
      <c r="F65" t="n">
        <v>4</v>
      </c>
      <c r="G65" t="inlineStr">
        <is>
          <t>BG005, BG006, BG009, BS001</t>
        </is>
      </c>
      <c r="H65" t="inlineStr">
        <is>
          <t>21 November 2002</t>
        </is>
      </c>
      <c r="I65" s="2" t="n">
        <v>46349</v>
      </c>
      <c r="J65" t="inlineStr">
        <is>
          <t>Disetujui</t>
        </is>
      </c>
      <c r="K65" t="n">
        <v>87</v>
      </c>
      <c r="L65" t="inlineStr">
        <is>
          <t>23 November 2026</t>
        </is>
      </c>
      <c r="M65" t="inlineStr">
        <is>
          <t>Konstruksi Bangunan Sipil Jalan, Konstruksi Gedung Kesehatan, Konstruksi Gedung Lainnya, Konstruksi Gedung Pendidikan</t>
        </is>
      </c>
      <c r="N65" t="inlineStr">
        <is>
          <t>K</t>
        </is>
      </c>
      <c r="O65" t="inlineStr">
        <is>
          <t>20231124</t>
        </is>
      </c>
      <c r="P65" t="inlineStr">
        <is>
          <t>Jawa Tengah</t>
        </is>
      </c>
      <c r="Q65" t="inlineStr"/>
    </row>
    <row r="66">
      <c r="A66" t="inlineStr">
        <is>
          <t>MUTIARA KONSULTAN</t>
        </is>
      </c>
      <c r="B66" t="inlineStr">
        <is>
          <t>Kota Surabaya</t>
        </is>
      </c>
      <c r="C66" t="inlineStr">
        <is>
          <t>082141320048</t>
        </is>
      </c>
      <c r="D66" t="inlineStr">
        <is>
          <t>cvmutiarakonsultan1@gmail.com</t>
        </is>
      </c>
      <c r="E66" t="inlineStr">
        <is>
          <t>https://lpjk.pu.go.id/search-badan-usaha-detail/Mk03cVh0ejBLMmI3VE13UkdjbmZHZz09</t>
        </is>
      </c>
      <c r="F66" t="n">
        <v>2</v>
      </c>
      <c r="G66" t="inlineStr">
        <is>
          <t>AR001</t>
        </is>
      </c>
      <c r="H66" t="inlineStr">
        <is>
          <t>15 Maret 2016</t>
        </is>
      </c>
      <c r="I66" s="2" t="n">
        <v>46349</v>
      </c>
      <c r="J66" t="inlineStr">
        <is>
          <t>Disetujui</t>
        </is>
      </c>
      <c r="K66" t="n">
        <v>87</v>
      </c>
      <c r="L66" t="inlineStr">
        <is>
          <t>23 November 2026</t>
        </is>
      </c>
      <c r="M66" t="inlineStr">
        <is>
          <t>Jasa Arsitektural Bangunan Gedung Hunian dan Non Hunian</t>
        </is>
      </c>
      <c r="N66" t="inlineStr">
        <is>
          <t>K</t>
        </is>
      </c>
      <c r="O66" t="inlineStr">
        <is>
          <t>20231116</t>
        </is>
      </c>
      <c r="P66" t="inlineStr">
        <is>
          <t>Jawa Timur</t>
        </is>
      </c>
      <c r="Q66" t="inlineStr"/>
    </row>
    <row r="67">
      <c r="A67" t="inlineStr">
        <is>
          <t>MUTIARA MITRA SAMUDRA</t>
        </is>
      </c>
      <c r="B67" t="inlineStr">
        <is>
          <t>Kab. Serang</t>
        </is>
      </c>
      <c r="C67" t="inlineStr">
        <is>
          <t>082384623279</t>
        </is>
      </c>
      <c r="D67" t="inlineStr">
        <is>
          <t>mutiaramitra.samudra@gmail.com</t>
        </is>
      </c>
      <c r="E67" t="inlineStr">
        <is>
          <t>https://lpjk.pu.go.id/search-badan-usaha-detail/RVl0SVgxcVIvQkViVE5nNmk2YzFHZz09</t>
        </is>
      </c>
      <c r="F67" t="n">
        <v>2</v>
      </c>
      <c r="G67" t="inlineStr">
        <is>
          <t>BG003</t>
        </is>
      </c>
      <c r="H67" t="inlineStr">
        <is>
          <t>25 Maret 2019</t>
        </is>
      </c>
      <c r="I67" s="2" t="n">
        <v>46349</v>
      </c>
      <c r="J67" t="inlineStr">
        <is>
          <t>Disetujui</t>
        </is>
      </c>
      <c r="K67" t="n">
        <v>87</v>
      </c>
      <c r="L67" t="inlineStr">
        <is>
          <t>23 November 2026</t>
        </is>
      </c>
      <c r="M67" t="inlineStr">
        <is>
          <t>Konstruksi Gedung Industri</t>
        </is>
      </c>
      <c r="N67" t="inlineStr">
        <is>
          <t>K</t>
        </is>
      </c>
      <c r="O67" t="inlineStr">
        <is>
          <t>20231121</t>
        </is>
      </c>
      <c r="P67" t="inlineStr">
        <is>
          <t>Banten</t>
        </is>
      </c>
      <c r="Q67" t="inlineStr"/>
    </row>
    <row r="68">
      <c r="A68" t="inlineStr">
        <is>
          <t>MUTIARA PRIMA</t>
        </is>
      </c>
      <c r="B68" t="inlineStr">
        <is>
          <t>Kota Surabaya</t>
        </is>
      </c>
      <c r="C68" t="inlineStr">
        <is>
          <t>08123182484</t>
        </is>
      </c>
      <c r="D68" t="inlineStr">
        <is>
          <t>khoirulmuhfidin@gmail.com</t>
        </is>
      </c>
      <c r="E68" t="inlineStr">
        <is>
          <t>https://lpjk.pu.go.id/search-badan-usaha-detail/dTFwYzlFQmJiVVFZd3V4Y2NhT0ZQZz09</t>
        </is>
      </c>
      <c r="F68" t="n">
        <v>4</v>
      </c>
      <c r="G68" t="inlineStr">
        <is>
          <t>BG005, BG009</t>
        </is>
      </c>
      <c r="H68" t="inlineStr">
        <is>
          <t>12 Juli 1995</t>
        </is>
      </c>
      <c r="I68" s="2" t="n">
        <v>46349</v>
      </c>
      <c r="J68" t="inlineStr">
        <is>
          <t>Disetujui</t>
        </is>
      </c>
      <c r="K68" t="n">
        <v>87</v>
      </c>
      <c r="L68" t="inlineStr">
        <is>
          <t>23 November 2026</t>
        </is>
      </c>
      <c r="M68" t="inlineStr">
        <is>
          <t>Konstruksi Gedung Kesehatan, Konstruksi Gedung Lainnya</t>
        </is>
      </c>
      <c r="N68" t="inlineStr">
        <is>
          <t>K</t>
        </is>
      </c>
      <c r="O68" t="inlineStr">
        <is>
          <t>20231119</t>
        </is>
      </c>
      <c r="P68" t="inlineStr">
        <is>
          <t>Jawa Timur</t>
        </is>
      </c>
      <c r="Q68" t="inlineStr"/>
    </row>
    <row r="69">
      <c r="A69" t="inlineStr">
        <is>
          <t>MUTIARA SERASAN</t>
        </is>
      </c>
      <c r="B69" t="inlineStr">
        <is>
          <t>Kab. Muara Enim</t>
        </is>
      </c>
      <c r="C69" t="inlineStr">
        <is>
          <t>08989287188</t>
        </is>
      </c>
      <c r="D69" t="inlineStr">
        <is>
          <t>mutiaraserasan@gmail.com</t>
        </is>
      </c>
      <c r="E69" t="inlineStr">
        <is>
          <t>https://lpjk.pu.go.id/search-badan-usaha-detail/ZEhLR1NjQW45T3F0T0pWT05PMFQ1Zz09</t>
        </is>
      </c>
      <c r="F69" t="n">
        <v>4</v>
      </c>
      <c r="G69" t="inlineStr">
        <is>
          <t>BG006, BS001</t>
        </is>
      </c>
      <c r="H69" t="inlineStr">
        <is>
          <t>28 Maret 2023</t>
        </is>
      </c>
      <c r="I69" s="2" t="n">
        <v>46349</v>
      </c>
      <c r="J69" t="inlineStr">
        <is>
          <t>Disetujui</t>
        </is>
      </c>
      <c r="K69" t="n">
        <v>87</v>
      </c>
      <c r="L69" t="inlineStr">
        <is>
          <t>23 November 2026</t>
        </is>
      </c>
      <c r="M69" t="inlineStr">
        <is>
          <t>Konstruksi Bangunan Sipil Jalan, Konstruksi Gedung Pendidikan</t>
        </is>
      </c>
      <c r="N69" t="inlineStr">
        <is>
          <t>K</t>
        </is>
      </c>
      <c r="O69" t="inlineStr">
        <is>
          <t>20231121</t>
        </is>
      </c>
      <c r="P69" t="inlineStr">
        <is>
          <t>Sumatera Selatan</t>
        </is>
      </c>
      <c r="Q69" t="inlineStr"/>
    </row>
    <row r="70">
      <c r="A70" t="inlineStr">
        <is>
          <t>NANDA PUTRA</t>
        </is>
      </c>
      <c r="B70" t="inlineStr">
        <is>
          <t>Kab. Indramayu</t>
        </is>
      </c>
      <c r="C70" t="inlineStr">
        <is>
          <t>085224311111</t>
        </is>
      </c>
      <c r="D70" t="inlineStr">
        <is>
          <t>nandaputra424@yahoo.com</t>
        </is>
      </c>
      <c r="E70" t="inlineStr">
        <is>
          <t>https://lpjk.pu.go.id/search-badan-usaha-detail/VFRFODRQS1RUWTBMNjdvd29nSnNjQT09</t>
        </is>
      </c>
      <c r="F70" t="n">
        <v>1</v>
      </c>
      <c r="G70" t="inlineStr">
        <is>
          <t>BG005</t>
        </is>
      </c>
      <c r="H70" t="inlineStr">
        <is>
          <t>7 Februari 2011</t>
        </is>
      </c>
      <c r="I70" s="2" t="n">
        <v>46349</v>
      </c>
      <c r="J70" t="inlineStr">
        <is>
          <t>Disetujui</t>
        </is>
      </c>
      <c r="K70" t="n">
        <v>87</v>
      </c>
      <c r="L70" t="inlineStr">
        <is>
          <t>23 November 2026</t>
        </is>
      </c>
      <c r="M70" t="inlineStr">
        <is>
          <t>Konstruksi Gedung Kesehatan</t>
        </is>
      </c>
      <c r="N70" t="inlineStr">
        <is>
          <t>K</t>
        </is>
      </c>
      <c r="O70" t="inlineStr">
        <is>
          <t>20231122</t>
        </is>
      </c>
      <c r="P70" t="inlineStr">
        <is>
          <t>Jawa Barat</t>
        </is>
      </c>
      <c r="Q70" t="inlineStr"/>
    </row>
    <row r="71">
      <c r="A71" t="inlineStr">
        <is>
          <t>NATUNA JAYA MANDIRI</t>
        </is>
      </c>
      <c r="B71" t="inlineStr">
        <is>
          <t>Kota Tanjung Pinang</t>
        </is>
      </c>
      <c r="C71" t="inlineStr">
        <is>
          <t>077126635</t>
        </is>
      </c>
      <c r="D71" t="inlineStr">
        <is>
          <t>njm.mandiri@gmail.com</t>
        </is>
      </c>
      <c r="E71" t="inlineStr">
        <is>
          <t>https://lpjk.pu.go.id/search-badan-usaha-detail/K3E1dDBzaDVaNEhQblZGZVJNVlVhdz09</t>
        </is>
      </c>
      <c r="F71" t="n">
        <v>2</v>
      </c>
      <c r="G71" t="inlineStr">
        <is>
          <t>BG003, BG009</t>
        </is>
      </c>
      <c r="H71" t="inlineStr">
        <is>
          <t>28 Juni 2016</t>
        </is>
      </c>
      <c r="I71" s="2" t="n">
        <v>46349</v>
      </c>
      <c r="J71" t="inlineStr">
        <is>
          <t>Disetujui</t>
        </is>
      </c>
      <c r="K71" t="n">
        <v>87</v>
      </c>
      <c r="L71" t="inlineStr">
        <is>
          <t>23 November 2026</t>
        </is>
      </c>
      <c r="M71" t="inlineStr">
        <is>
          <t>Konstruksi Gedung Industri, Konstruksi Gedung Lainnya</t>
        </is>
      </c>
      <c r="N71" t="inlineStr">
        <is>
          <t>K</t>
        </is>
      </c>
      <c r="O71" t="inlineStr">
        <is>
          <t>20231123</t>
        </is>
      </c>
      <c r="P71" t="inlineStr">
        <is>
          <t>Kepulauan Riau</t>
        </is>
      </c>
      <c r="Q71" t="inlineStr"/>
    </row>
    <row r="72">
      <c r="A72" t="inlineStr">
        <is>
          <t>NAULITA</t>
        </is>
      </c>
      <c r="B72" t="inlineStr">
        <is>
          <t>Kota Pematangsiantar</t>
        </is>
      </c>
      <c r="C72" t="inlineStr">
        <is>
          <t>81260893450</t>
        </is>
      </c>
      <c r="D72" t="inlineStr">
        <is>
          <t>cvnaulita77@gmail.com</t>
        </is>
      </c>
      <c r="E72" t="inlineStr">
        <is>
          <t>https://lpjk.pu.go.id/search-badan-usaha-detail/cHdLWmROTG5VeVdRR1JMQ3AxUkRpQT09</t>
        </is>
      </c>
      <c r="F72" t="n">
        <v>3</v>
      </c>
      <c r="G72" t="inlineStr">
        <is>
          <t>BG009, BS001, BS004</t>
        </is>
      </c>
      <c r="H72" t="inlineStr">
        <is>
          <t>26 April 2016</t>
        </is>
      </c>
      <c r="I72" s="2" t="n">
        <v>46349</v>
      </c>
      <c r="J72" t="inlineStr">
        <is>
          <t>Disetujui</t>
        </is>
      </c>
      <c r="K72" t="n">
        <v>87</v>
      </c>
      <c r="L72" t="inlineStr">
        <is>
          <t>23 November 2026</t>
        </is>
      </c>
      <c r="M72" t="inlineStr">
        <is>
          <t>Konstruksi Bangunan Sipil Jalan, Konstruksi Gedung Lainnya, Konstruksi Jaringan Irigasi dan Drainase</t>
        </is>
      </c>
      <c r="N72" t="inlineStr">
        <is>
          <t>K</t>
        </is>
      </c>
      <c r="O72" t="inlineStr">
        <is>
          <t>20231116, 20231123</t>
        </is>
      </c>
      <c r="P72" t="inlineStr">
        <is>
          <t>Sumatera Utara</t>
        </is>
      </c>
      <c r="Q72" t="inlineStr"/>
    </row>
    <row r="73">
      <c r="A73" t="inlineStr">
        <is>
          <t>NAVA LINTANG MUKTI</t>
        </is>
      </c>
      <c r="B73" t="inlineStr">
        <is>
          <t>Kota Madiun</t>
        </is>
      </c>
      <c r="C73" t="inlineStr">
        <is>
          <t>0818 0356 6165</t>
        </is>
      </c>
      <c r="D73" t="inlineStr">
        <is>
          <t>cv_navalintangmukti@yahoo.co.id</t>
        </is>
      </c>
      <c r="E73" t="inlineStr">
        <is>
          <t>https://lpjk.pu.go.id/search-badan-usaha-detail/VzErbDc1VmhVNmUvYVhhaFVnQjJ2UT09</t>
        </is>
      </c>
      <c r="F73" t="n">
        <v>2</v>
      </c>
      <c r="G73" t="inlineStr">
        <is>
          <t>BG005, BG006</t>
        </is>
      </c>
      <c r="H73" t="inlineStr">
        <is>
          <t>3 Mei 2005</t>
        </is>
      </c>
      <c r="I73" s="2" t="n">
        <v>46349</v>
      </c>
      <c r="J73" t="inlineStr">
        <is>
          <t>Disetujui, Dokumen Lengkap</t>
        </is>
      </c>
      <c r="K73" t="n">
        <v>87</v>
      </c>
      <c r="L73" t="inlineStr">
        <is>
          <t>23 November 2026</t>
        </is>
      </c>
      <c r="M73" t="inlineStr">
        <is>
          <t>Konstruksi Gedung Kesehatan, Konstruksi Gedung Pendidikan</t>
        </is>
      </c>
      <c r="N73" t="inlineStr">
        <is>
          <t>K</t>
        </is>
      </c>
      <c r="O73" t="inlineStr">
        <is>
          <t>20231120</t>
        </is>
      </c>
      <c r="P73" t="inlineStr">
        <is>
          <t>Jawa Timur</t>
        </is>
      </c>
      <c r="Q73" t="inlineStr"/>
    </row>
    <row r="74">
      <c r="A74" t="inlineStr">
        <is>
          <t>NENGGAR ABADI PERKASA</t>
        </is>
      </c>
      <c r="B74" t="inlineStr">
        <is>
          <t>Kab. Tanah Bumbu</t>
        </is>
      </c>
      <c r="C74" t="inlineStr">
        <is>
          <t>081349669367</t>
        </is>
      </c>
      <c r="D74" t="inlineStr">
        <is>
          <t>cvnenggarabadiperkasa@gmail.com</t>
        </is>
      </c>
      <c r="E74" t="inlineStr">
        <is>
          <t>https://lpjk.pu.go.id/search-badan-usaha-detail/U0tRZVZWMEd5SG8wYURDMzcwcHV0dz09</t>
        </is>
      </c>
      <c r="F74" t="n">
        <v>3</v>
      </c>
      <c r="G74" t="inlineStr">
        <is>
          <t>BG009, BS001, BS004</t>
        </is>
      </c>
      <c r="H74" t="inlineStr">
        <is>
          <t>16 Agustus 2021</t>
        </is>
      </c>
      <c r="I74" s="2" t="n">
        <v>46349</v>
      </c>
      <c r="J74" t="inlineStr">
        <is>
          <t>Disetujui</t>
        </is>
      </c>
      <c r="K74" t="n">
        <v>87</v>
      </c>
      <c r="L74" t="inlineStr">
        <is>
          <t>23 November 2026</t>
        </is>
      </c>
      <c r="M74" t="inlineStr">
        <is>
          <t>Konstruksi Bangunan Sipil Jalan, Konstruksi Gedung Lainnya, Konstruksi Jaringan Irigasi dan Drainase</t>
        </is>
      </c>
      <c r="N74" t="inlineStr">
        <is>
          <t>K</t>
        </is>
      </c>
      <c r="O74" t="inlineStr">
        <is>
          <t>20231124</t>
        </is>
      </c>
      <c r="P74" t="inlineStr">
        <is>
          <t>Kalimantan Selatan</t>
        </is>
      </c>
      <c r="Q74" t="inlineStr"/>
    </row>
    <row r="75">
      <c r="A75" t="inlineStr">
        <is>
          <t>OMAH LOR</t>
        </is>
      </c>
      <c r="B75" t="inlineStr">
        <is>
          <t>Kab. Magelang</t>
        </is>
      </c>
      <c r="C75" t="inlineStr">
        <is>
          <t>081318031861</t>
        </is>
      </c>
      <c r="D75" t="inlineStr">
        <is>
          <t>cvomahlor02@gmail.com</t>
        </is>
      </c>
      <c r="E75" t="inlineStr">
        <is>
          <t>https://lpjk.pu.go.id/search-badan-usaha-detail/S1ltaHllaE1FWFFXRzc4WC9LVkFzQT09</t>
        </is>
      </c>
      <c r="F75" t="n">
        <v>1</v>
      </c>
      <c r="G75" t="inlineStr">
        <is>
          <t>BS009</t>
        </is>
      </c>
      <c r="H75" t="inlineStr">
        <is>
          <t>29 Desember 2021</t>
        </is>
      </c>
      <c r="I75" s="2" t="n">
        <v>46349</v>
      </c>
      <c r="J75" t="inlineStr">
        <is>
          <t>Pencabutan</t>
        </is>
      </c>
      <c r="K75" t="n">
        <v>87</v>
      </c>
      <c r="L75" t="inlineStr">
        <is>
          <t>23 November 2026</t>
        </is>
      </c>
      <c r="M75" t="inlineStr">
        <is>
          <t>Konstruksi Sentral Telekomunikasi</t>
        </is>
      </c>
      <c r="N75" t="inlineStr">
        <is>
          <t>K</t>
        </is>
      </c>
      <c r="O75" t="inlineStr">
        <is>
          <t>20231106</t>
        </is>
      </c>
      <c r="P75" t="inlineStr">
        <is>
          <t>Jawa Tengah</t>
        </is>
      </c>
      <c r="Q75" t="inlineStr"/>
    </row>
    <row r="76">
      <c r="A76" t="inlineStr">
        <is>
          <t>OPTIMA KARYA ESA</t>
        </is>
      </c>
      <c r="B76" t="inlineStr">
        <is>
          <t>Kota Jambi</t>
        </is>
      </c>
      <c r="C76" t="inlineStr">
        <is>
          <t>07417553511</t>
        </is>
      </c>
      <c r="D76" t="inlineStr">
        <is>
          <t>pt.optimakaryaesa@gmail.com</t>
        </is>
      </c>
      <c r="E76" t="inlineStr">
        <is>
          <t>https://lpjk.pu.go.id/search-badan-usaha-detail/c2k2QnpUYmVVb04zTkc1TE9RQm9MUT09</t>
        </is>
      </c>
      <c r="F76" t="n">
        <v>3</v>
      </c>
      <c r="G76" t="inlineStr">
        <is>
          <t>BG001, BG002, BG009</t>
        </is>
      </c>
      <c r="H76" t="inlineStr">
        <is>
          <t>15 November 2019</t>
        </is>
      </c>
      <c r="I76" s="2" t="n">
        <v>46349</v>
      </c>
      <c r="J76" t="inlineStr">
        <is>
          <t>Disetujui</t>
        </is>
      </c>
      <c r="K76" t="n">
        <v>87</v>
      </c>
      <c r="L76" t="inlineStr">
        <is>
          <t>23 November 2026</t>
        </is>
      </c>
      <c r="M76" t="inlineStr">
        <is>
          <t>Konstruksi Gedung Hunian, Konstruksi Gedung Lainnya, Konstruksi Gedung Perkantoran</t>
        </is>
      </c>
      <c r="N76" t="inlineStr">
        <is>
          <t>K, M</t>
        </is>
      </c>
      <c r="O76" t="inlineStr">
        <is>
          <t>20230922, 20231114</t>
        </is>
      </c>
      <c r="P76" t="inlineStr">
        <is>
          <t>Jambi</t>
        </is>
      </c>
      <c r="Q76" t="inlineStr"/>
    </row>
    <row r="77">
      <c r="A77" t="inlineStr">
        <is>
          <t>PESONA TAYAP BARTIM</t>
        </is>
      </c>
      <c r="B77" t="inlineStr">
        <is>
          <t>Kab. Barito Timur</t>
        </is>
      </c>
      <c r="C77" t="inlineStr">
        <is>
          <t>085251610717</t>
        </is>
      </c>
      <c r="D77" t="inlineStr">
        <is>
          <t>pesonatayapbartim@gmail.com</t>
        </is>
      </c>
      <c r="E77" t="inlineStr">
        <is>
          <t>https://lpjk.pu.go.id/search-badan-usaha-detail/K1A5alRoZWJ5MTQrMGhLMTBlRVIyQT09</t>
        </is>
      </c>
      <c r="F77" t="n">
        <v>1</v>
      </c>
      <c r="G77" t="inlineStr">
        <is>
          <t>BG006</t>
        </is>
      </c>
      <c r="H77" t="inlineStr">
        <is>
          <t>29 Mei 2023</t>
        </is>
      </c>
      <c r="I77" s="2" t="n">
        <v>46349</v>
      </c>
      <c r="J77" t="inlineStr">
        <is>
          <t>Disetujui</t>
        </is>
      </c>
      <c r="K77" t="n">
        <v>87</v>
      </c>
      <c r="L77" t="inlineStr">
        <is>
          <t>23 November 2026</t>
        </is>
      </c>
      <c r="M77" t="inlineStr">
        <is>
          <t>Konstruksi Gedung Pendidikan</t>
        </is>
      </c>
      <c r="N77" t="inlineStr">
        <is>
          <t>K</t>
        </is>
      </c>
      <c r="O77" t="inlineStr">
        <is>
          <t>20231122</t>
        </is>
      </c>
      <c r="P77" t="inlineStr">
        <is>
          <t>Kalimantan Tengah</t>
        </is>
      </c>
      <c r="Q77" t="inlineStr"/>
    </row>
    <row r="78">
      <c r="A78" t="inlineStr">
        <is>
          <t>PRATAMA MAHARANI</t>
        </is>
      </c>
      <c r="B78" t="inlineStr">
        <is>
          <t>Kab. Trenggalek</t>
        </is>
      </c>
      <c r="C78" t="inlineStr">
        <is>
          <t>081336764598</t>
        </is>
      </c>
      <c r="D78" t="inlineStr">
        <is>
          <t>cvpratamamaharani190@gmail.com</t>
        </is>
      </c>
      <c r="E78" t="inlineStr">
        <is>
          <t>https://lpjk.pu.go.id/search-badan-usaha-detail/MFRoc1Y5QmxLS0ZFWlNobzFWVVBmZz09</t>
        </is>
      </c>
      <c r="F78" t="n">
        <v>5</v>
      </c>
      <c r="G78" t="inlineStr">
        <is>
          <t>BG005, BG006, BG009, BS001, BS004</t>
        </is>
      </c>
      <c r="H78" t="inlineStr">
        <is>
          <t>29 Februari 2008</t>
        </is>
      </c>
      <c r="I78" s="2" t="n">
        <v>46349</v>
      </c>
      <c r="J78" t="inlineStr">
        <is>
          <t>Disetujui</t>
        </is>
      </c>
      <c r="K78" t="n">
        <v>87</v>
      </c>
      <c r="L78" t="inlineStr">
        <is>
          <t>23 November 2026</t>
        </is>
      </c>
      <c r="M78" t="inlineStr">
        <is>
          <t>Konstruksi Bangunan Sipil Jalan, Konstruksi Gedung Kesehatan, Konstruksi Gedung Lainnya, Konstruksi Gedung Pendidikan, Konstruksi Jaringan Irigasi dan Drainase</t>
        </is>
      </c>
      <c r="N78" t="inlineStr">
        <is>
          <t>K</t>
        </is>
      </c>
      <c r="O78" t="inlineStr">
        <is>
          <t>20231123</t>
        </is>
      </c>
      <c r="P78" t="inlineStr">
        <is>
          <t>Jawa Timur</t>
        </is>
      </c>
      <c r="Q78" t="inlineStr"/>
    </row>
    <row r="79">
      <c r="A79" t="inlineStr">
        <is>
          <t>PUTRA DEWA PANIAI</t>
        </is>
      </c>
      <c r="B79" t="inlineStr">
        <is>
          <t>-</t>
        </is>
      </c>
      <c r="C79" t="inlineStr">
        <is>
          <t>08114909526</t>
        </is>
      </c>
      <c r="D79" t="inlineStr">
        <is>
          <t>Putradewa1623@gmail.com</t>
        </is>
      </c>
      <c r="E79" t="inlineStr">
        <is>
          <t>https://lpjk.pu.go.id/search-badan-usaha-detail/NzZ4Y052bWk0QmtWUTJjcnAyMkplUT09</t>
        </is>
      </c>
      <c r="F79" t="n">
        <v>7</v>
      </c>
      <c r="G79" t="inlineStr">
        <is>
          <t>BG001, BG005, BG006, BG008, BG009, BS001, BS002</t>
        </is>
      </c>
      <c r="H79" t="inlineStr">
        <is>
          <t>21 Desember 2011</t>
        </is>
      </c>
      <c r="I79" s="2" t="n">
        <v>46349</v>
      </c>
      <c r="J79" t="inlineStr">
        <is>
          <t>Pencabutan</t>
        </is>
      </c>
      <c r="K79" t="n">
        <v>87</v>
      </c>
      <c r="L79" t="inlineStr">
        <is>
          <t>23 November 2026</t>
        </is>
      </c>
      <c r="M79" t="inlineStr">
        <is>
          <t>Bangunan Sipil Jembatan, Jalan Layang, Fly Over, dan Underpass, Konstruksi Bangunan Sipil Jalan, Konstruksi Gedung Hunian, Konstruksi Gedung Kesehatan, Konstruksi Gedung Lainnya, Konstruksi Gedung Pendidikan, Konstruksi Gedung Tempat Hiburan dan Olahraga</t>
        </is>
      </c>
      <c r="N79" t="inlineStr">
        <is>
          <t>K, M</t>
        </is>
      </c>
      <c r="O79" t="inlineStr">
        <is>
          <t>20231123, 20231129</t>
        </is>
      </c>
      <c r="P79" t="inlineStr">
        <is>
          <t>Papua Tengah</t>
        </is>
      </c>
      <c r="Q79" t="inlineStr"/>
    </row>
    <row r="80">
      <c r="A80" t="inlineStr">
        <is>
          <t>PUTRA PALDAS PERMAI</t>
        </is>
      </c>
      <c r="B80" t="inlineStr">
        <is>
          <t>Kab. Banyuasin</t>
        </is>
      </c>
      <c r="C80" t="inlineStr">
        <is>
          <t>081379761492</t>
        </is>
      </c>
      <c r="D80" t="inlineStr">
        <is>
          <t>cv.putrapaldaspermai@yahoo.com</t>
        </is>
      </c>
      <c r="E80" t="inlineStr">
        <is>
          <t>https://lpjk.pu.go.id/search-badan-usaha-detail/K2dTdytNQlVBSW5rUnVGRDlHRkZxZz09</t>
        </is>
      </c>
      <c r="F80" t="n">
        <v>2</v>
      </c>
      <c r="G80" t="inlineStr">
        <is>
          <t>BS001, BS002</t>
        </is>
      </c>
      <c r="H80" t="inlineStr">
        <is>
          <t>13 April 2022</t>
        </is>
      </c>
      <c r="I80" s="2" t="n">
        <v>46349</v>
      </c>
      <c r="J80" t="inlineStr">
        <is>
          <t>Disetujui</t>
        </is>
      </c>
      <c r="K80" t="n">
        <v>87</v>
      </c>
      <c r="L80" t="inlineStr">
        <is>
          <t>23 November 2026</t>
        </is>
      </c>
      <c r="M80" t="inlineStr">
        <is>
          <t>Bangunan Sipil Jembatan, Jalan Layang, Fly Over, dan Underpass, Konstruksi Bangunan Sipil Jalan</t>
        </is>
      </c>
      <c r="N80" t="inlineStr">
        <is>
          <t>K</t>
        </is>
      </c>
      <c r="O80" t="inlineStr">
        <is>
          <t>20231120, 20231124</t>
        </is>
      </c>
      <c r="P80" t="inlineStr">
        <is>
          <t>Sumatera Selatan</t>
        </is>
      </c>
      <c r="Q80" t="inlineStr"/>
    </row>
    <row r="81">
      <c r="A81" t="inlineStr">
        <is>
          <t>RAYATRI CONSULTANT</t>
        </is>
      </c>
      <c r="B81" t="inlineStr">
        <is>
          <t>Kab. Pangkajene Kepulauan</t>
        </is>
      </c>
      <c r="C81" t="inlineStr">
        <is>
          <t>085396199919</t>
        </is>
      </c>
      <c r="D81" t="inlineStr">
        <is>
          <t>rayatri2023@gmail.com</t>
        </is>
      </c>
      <c r="E81" t="inlineStr">
        <is>
          <t>https://lpjk.pu.go.id/search-badan-usaha-detail/a0JIU2VZQlpHVXZrb01jcDA4cHR6Zz09</t>
        </is>
      </c>
      <c r="F81" t="n">
        <v>4</v>
      </c>
      <c r="G81" t="inlineStr">
        <is>
          <t>RK001, RK002, RK003, RK005</t>
        </is>
      </c>
      <c r="H81" t="inlineStr">
        <is>
          <t>23 Oktober 2023</t>
        </is>
      </c>
      <c r="I81" s="2" t="n">
        <v>46349</v>
      </c>
      <c r="J81" t="inlineStr">
        <is>
          <t>Disetujui</t>
        </is>
      </c>
      <c r="K81" t="n">
        <v>87</v>
      </c>
      <c r="L81" t="inlineStr">
        <is>
          <t>23 November 2026</t>
        </is>
      </c>
      <c r="M81" t="inlineStr">
        <is>
          <t>Jasa Rekayasa Konstruksi Bangunan Gedung Hunian dan Non Hunian, Jasa Rekayasa Lainnya, Jasa Rekayasa Pekerjaan Teknik Sipil Sumber Daya Air, Jasa Rekayasa Pekerjaan Teknik Sipil Transportasi</t>
        </is>
      </c>
      <c r="N81" t="inlineStr">
        <is>
          <t>K</t>
        </is>
      </c>
      <c r="O81" t="inlineStr">
        <is>
          <t>20231102</t>
        </is>
      </c>
      <c r="P81" t="inlineStr">
        <is>
          <t>Sulawesi Selatan</t>
        </is>
      </c>
      <c r="Q81" t="inlineStr"/>
    </row>
    <row r="82">
      <c r="A82" t="inlineStr">
        <is>
          <t>RAZKA JAYA PRATAMA</t>
        </is>
      </c>
      <c r="B82" t="inlineStr">
        <is>
          <t>Kab. Muna Barat</t>
        </is>
      </c>
      <c r="C82" t="inlineStr">
        <is>
          <t>085398135328</t>
        </is>
      </c>
      <c r="D82" t="inlineStr">
        <is>
          <t>jumadinvivonusantara@gmail.com</t>
        </is>
      </c>
      <c r="E82" t="inlineStr">
        <is>
          <t>https://lpjk.pu.go.id/search-badan-usaha-detail/TlJRWHZpNzEycGM3blh6d1FUYzU3QT09</t>
        </is>
      </c>
      <c r="F82" t="n">
        <v>2</v>
      </c>
      <c r="G82" t="inlineStr">
        <is>
          <t>BS002, BS004</t>
        </is>
      </c>
      <c r="H82" t="inlineStr">
        <is>
          <t>18 Januari 2023</t>
        </is>
      </c>
      <c r="I82" s="2" t="n">
        <v>46349</v>
      </c>
      <c r="J82" t="inlineStr">
        <is>
          <t>Disetujui</t>
        </is>
      </c>
      <c r="K82" t="n">
        <v>87</v>
      </c>
      <c r="L82" t="inlineStr">
        <is>
          <t>23 November 2026</t>
        </is>
      </c>
      <c r="M82" t="inlineStr">
        <is>
          <t>Bangunan Sipil Jembatan, Jalan Layang, Fly Over, dan Underpass, Konstruksi Jaringan Irigasi dan Drainase</t>
        </is>
      </c>
      <c r="N82" t="inlineStr">
        <is>
          <t>K</t>
        </is>
      </c>
      <c r="O82" t="inlineStr">
        <is>
          <t>20231116</t>
        </is>
      </c>
      <c r="P82" t="inlineStr">
        <is>
          <t>Sulawesi Tenggara</t>
        </is>
      </c>
      <c r="Q82" t="inlineStr"/>
    </row>
    <row r="83">
      <c r="A83" t="inlineStr">
        <is>
          <t>RESTUBUMI GEMILANG</t>
        </is>
      </c>
      <c r="B83" t="inlineStr">
        <is>
          <t>Kota Balikpapan</t>
        </is>
      </c>
      <c r="C83" t="inlineStr">
        <is>
          <t>085247400099</t>
        </is>
      </c>
      <c r="D83" t="inlineStr">
        <is>
          <t>restubumigemilang53@gmail.com</t>
        </is>
      </c>
      <c r="E83" t="inlineStr">
        <is>
          <t>https://lpjk.pu.go.id/search-badan-usaha-detail/L2pxUzJTSkYxOTdrQVpzZ3BodVpZZz09</t>
        </is>
      </c>
      <c r="F83" t="n">
        <v>3</v>
      </c>
      <c r="G83" t="inlineStr">
        <is>
          <t>BG008, BG009, BS001</t>
        </is>
      </c>
      <c r="H83" t="inlineStr">
        <is>
          <t>29 Agustus 2023</t>
        </is>
      </c>
      <c r="I83" s="2" t="n">
        <v>46349</v>
      </c>
      <c r="J83" t="inlineStr">
        <is>
          <t>Disetujui</t>
        </is>
      </c>
      <c r="K83" t="n">
        <v>87</v>
      </c>
      <c r="L83" t="inlineStr">
        <is>
          <t>23 November 2026</t>
        </is>
      </c>
      <c r="M83" t="inlineStr">
        <is>
          <t>Konstruksi Bangunan Sipil Jalan, Konstruksi Gedung Lainnya, Konstruksi Gedung Tempat Hiburan dan Olahraga</t>
        </is>
      </c>
      <c r="N83" t="inlineStr">
        <is>
          <t>K</t>
        </is>
      </c>
      <c r="O83" t="inlineStr">
        <is>
          <t>20231122, 20231123, 20231128</t>
        </is>
      </c>
      <c r="P83" t="inlineStr">
        <is>
          <t>Kalimantan Timur</t>
        </is>
      </c>
      <c r="Q83" t="inlineStr"/>
    </row>
    <row r="84">
      <c r="A84" t="inlineStr">
        <is>
          <t>RIDHO MAJU BERSAMA</t>
        </is>
      </c>
      <c r="B84" t="inlineStr">
        <is>
          <t>Kota Bandar Lampung</t>
        </is>
      </c>
      <c r="C84" t="inlineStr">
        <is>
          <t>082371715276</t>
        </is>
      </c>
      <c r="D84" t="inlineStr">
        <is>
          <t>ridhomajubersamakita@gmail.com</t>
        </is>
      </c>
      <c r="E84" t="inlineStr">
        <is>
          <t>https://lpjk.pu.go.id/search-badan-usaha-detail/SE02anhtS3hGU0x1OVRZM1psK1hRQT09</t>
        </is>
      </c>
      <c r="F84" t="n">
        <v>1</v>
      </c>
      <c r="G84" t="inlineStr">
        <is>
          <t>BG009</t>
        </is>
      </c>
      <c r="H84" t="inlineStr">
        <is>
          <t>1 Januari 2018</t>
        </is>
      </c>
      <c r="I84" s="2" t="n">
        <v>46349</v>
      </c>
      <c r="J84" t="inlineStr">
        <is>
          <t>Disetujui</t>
        </is>
      </c>
      <c r="K84" t="n">
        <v>87</v>
      </c>
      <c r="L84" t="inlineStr">
        <is>
          <t>23 November 2026</t>
        </is>
      </c>
      <c r="M84" t="inlineStr">
        <is>
          <t>Konstruksi Gedung Lainnya</t>
        </is>
      </c>
      <c r="N84" t="inlineStr">
        <is>
          <t>K</t>
        </is>
      </c>
      <c r="O84" t="inlineStr">
        <is>
          <t>20231120</t>
        </is>
      </c>
      <c r="P84" t="inlineStr">
        <is>
          <t>Lampung</t>
        </is>
      </c>
      <c r="Q84" t="inlineStr"/>
    </row>
    <row r="85">
      <c r="A85" t="inlineStr">
        <is>
          <t>RIZKI WIDJAYA</t>
        </is>
      </c>
      <c r="B85" t="inlineStr">
        <is>
          <t>Kab. Grobogan</t>
        </is>
      </c>
      <c r="C85" t="inlineStr">
        <is>
          <t>085226278779</t>
        </is>
      </c>
      <c r="D85" t="inlineStr">
        <is>
          <t>rizkiwidjayacv@gmail.com</t>
        </is>
      </c>
      <c r="E85" t="inlineStr">
        <is>
          <t>https://lpjk.pu.go.id/search-badan-usaha-detail/YzJxa1d2bkVTZ3dNTGRwUEMyaFNDZz09</t>
        </is>
      </c>
      <c r="F85" t="n">
        <v>2</v>
      </c>
      <c r="G85" t="inlineStr">
        <is>
          <t>BG006, BS001</t>
        </is>
      </c>
      <c r="H85" t="inlineStr">
        <is>
          <t>2 Desember 2022</t>
        </is>
      </c>
      <c r="I85" s="2" t="n">
        <v>46349</v>
      </c>
      <c r="J85" t="inlineStr">
        <is>
          <t>Disetujui</t>
        </is>
      </c>
      <c r="K85" t="n">
        <v>87</v>
      </c>
      <c r="L85" t="inlineStr">
        <is>
          <t>23 November 2026</t>
        </is>
      </c>
      <c r="M85" t="inlineStr">
        <is>
          <t>Konstruksi Bangunan Sipil Jalan, Konstruksi Gedung Pendidikan</t>
        </is>
      </c>
      <c r="N85" t="inlineStr">
        <is>
          <t>K</t>
        </is>
      </c>
      <c r="O85" t="inlineStr">
        <is>
          <t>20231123</t>
        </is>
      </c>
      <c r="P85" t="inlineStr">
        <is>
          <t>Jawa Tengah</t>
        </is>
      </c>
      <c r="Q85" t="inlineStr"/>
    </row>
    <row r="86">
      <c r="A86" t="inlineStr">
        <is>
          <t>SABAR</t>
        </is>
      </c>
      <c r="B86" t="inlineStr">
        <is>
          <t>Kota Tasikmalaya</t>
        </is>
      </c>
      <c r="C86" t="inlineStr">
        <is>
          <t>082240471698</t>
        </is>
      </c>
      <c r="D86" t="inlineStr">
        <is>
          <t>sabarcv943@gmail.com</t>
        </is>
      </c>
      <c r="E86" t="inlineStr">
        <is>
          <t>https://lpjk.pu.go.id/search-badan-usaha-detail/ZzUzMDdvWlRZQ2gwYWVqTGlqNm16dz09</t>
        </is>
      </c>
      <c r="F86" t="n">
        <v>2</v>
      </c>
      <c r="G86" t="inlineStr">
        <is>
          <t>BS001, BS010</t>
        </is>
      </c>
      <c r="H86" t="inlineStr">
        <is>
          <t>2 Oktober 1993</t>
        </is>
      </c>
      <c r="I86" s="2" t="n">
        <v>46349</v>
      </c>
      <c r="J86" t="inlineStr">
        <is>
          <t>Disetujui</t>
        </is>
      </c>
      <c r="K86" t="n">
        <v>87</v>
      </c>
      <c r="L86" t="inlineStr">
        <is>
          <t>23 November 2026</t>
        </is>
      </c>
      <c r="M86" t="inlineStr">
        <is>
          <t>Konstruksi Bangunan Prasarana Sumber Daya Air, Konstruksi Bangunan Sipil Jalan</t>
        </is>
      </c>
      <c r="N86" t="inlineStr">
        <is>
          <t>K</t>
        </is>
      </c>
      <c r="O86" t="inlineStr">
        <is>
          <t>20231121</t>
        </is>
      </c>
      <c r="P86" t="inlineStr">
        <is>
          <t>Jawa Barat</t>
        </is>
      </c>
      <c r="Q86" t="inlineStr"/>
    </row>
    <row r="87">
      <c r="A87" t="inlineStr">
        <is>
          <t>SATRIA BERKAH PERKASA</t>
        </is>
      </c>
      <c r="B87" t="inlineStr">
        <is>
          <t>Kota Surabaya</t>
        </is>
      </c>
      <c r="C87" t="inlineStr">
        <is>
          <t>081335098603</t>
        </is>
      </c>
      <c r="D87" t="inlineStr">
        <is>
          <t>cvsatriaberkahperkasa@gmail.com</t>
        </is>
      </c>
      <c r="E87" t="inlineStr">
        <is>
          <t>https://lpjk.pu.go.id/search-badan-usaha-detail/MzM1b2xsMDZaWDh4SXhuMUMvYWR5UT09</t>
        </is>
      </c>
      <c r="F87" t="n">
        <v>1</v>
      </c>
      <c r="G87" t="inlineStr">
        <is>
          <t>BG006</t>
        </is>
      </c>
      <c r="H87" t="inlineStr">
        <is>
          <t>24 Juli 2023</t>
        </is>
      </c>
      <c r="I87" s="2" t="n">
        <v>46349</v>
      </c>
      <c r="J87" t="inlineStr">
        <is>
          <t>Disetujui</t>
        </is>
      </c>
      <c r="K87" t="n">
        <v>87</v>
      </c>
      <c r="L87" t="inlineStr">
        <is>
          <t>23 November 2026</t>
        </is>
      </c>
      <c r="M87" t="inlineStr">
        <is>
          <t>Konstruksi Gedung Pendidikan</t>
        </is>
      </c>
      <c r="N87" t="inlineStr">
        <is>
          <t>K</t>
        </is>
      </c>
      <c r="O87" t="inlineStr">
        <is>
          <t>20231124</t>
        </is>
      </c>
      <c r="P87" t="inlineStr">
        <is>
          <t>Jawa Timur</t>
        </is>
      </c>
      <c r="Q87" t="inlineStr"/>
    </row>
    <row r="88">
      <c r="A88" t="inlineStr">
        <is>
          <t>SINAR BARU PERMAI</t>
        </is>
      </c>
      <c r="B88" t="inlineStr">
        <is>
          <t>Kab. Bulungan</t>
        </is>
      </c>
      <c r="C88" t="inlineStr">
        <is>
          <t>081234500552</t>
        </is>
      </c>
      <c r="D88" t="inlineStr">
        <is>
          <t>ptsinarbarupermai@yahoo.co.id</t>
        </is>
      </c>
      <c r="E88" t="inlineStr">
        <is>
          <t>https://lpjk.pu.go.id/search-badan-usaha-detail/THg1VFByT0RhLzVwRi9haXlVbHdIUT09</t>
        </is>
      </c>
      <c r="F88" t="n">
        <v>1</v>
      </c>
      <c r="G88" t="inlineStr">
        <is>
          <t>BS001</t>
        </is>
      </c>
      <c r="H88" t="inlineStr">
        <is>
          <t>16 Januari 2007</t>
        </is>
      </c>
      <c r="I88" s="2" t="n">
        <v>46349</v>
      </c>
      <c r="J88" t="inlineStr">
        <is>
          <t>Pencabutan</t>
        </is>
      </c>
      <c r="K88" t="n">
        <v>87</v>
      </c>
      <c r="L88" t="inlineStr">
        <is>
          <t>23 November 2026</t>
        </is>
      </c>
      <c r="M88" t="inlineStr">
        <is>
          <t>Konstruksi Bangunan Sipil Jalan</t>
        </is>
      </c>
      <c r="N88" t="inlineStr">
        <is>
          <t>M</t>
        </is>
      </c>
      <c r="O88" t="inlineStr">
        <is>
          <t>20231123</t>
        </is>
      </c>
      <c r="P88" t="inlineStr">
        <is>
          <t>Kalimantan Utara</t>
        </is>
      </c>
      <c r="Q88" t="inlineStr"/>
    </row>
    <row r="89">
      <c r="A89" t="inlineStr">
        <is>
          <t>SINAR PUTRI UTAMA</t>
        </is>
      </c>
      <c r="B89" t="inlineStr">
        <is>
          <t>Kab. Cirebon</t>
        </is>
      </c>
      <c r="C89" t="inlineStr">
        <is>
          <t>08122342724</t>
        </is>
      </c>
      <c r="D89" t="inlineStr">
        <is>
          <t>pt.sinarputriutama@gmail.com</t>
        </is>
      </c>
      <c r="E89" t="inlineStr">
        <is>
          <t>https://lpjk.pu.go.id/search-badan-usaha-detail/WXRqcjNEQ3J4c0tSVFA1S3ViWGZjZz09</t>
        </is>
      </c>
      <c r="F89" t="n">
        <v>2</v>
      </c>
      <c r="G89" t="inlineStr">
        <is>
          <t>BG001, BG009</t>
        </is>
      </c>
      <c r="H89" t="inlineStr">
        <is>
          <t>11 November 2020</t>
        </is>
      </c>
      <c r="I89" s="2" t="n">
        <v>46349</v>
      </c>
      <c r="J89" t="inlineStr">
        <is>
          <t>Disetujui</t>
        </is>
      </c>
      <c r="K89" t="n">
        <v>87</v>
      </c>
      <c r="L89" t="inlineStr">
        <is>
          <t>23 November 2026</t>
        </is>
      </c>
      <c r="M89" t="inlineStr">
        <is>
          <t>Konstruksi Gedung Hunian, Konstruksi Gedung Lainnya</t>
        </is>
      </c>
      <c r="N89" t="inlineStr">
        <is>
          <t>K</t>
        </is>
      </c>
      <c r="O89" t="inlineStr">
        <is>
          <t>20231117</t>
        </is>
      </c>
      <c r="P89" t="inlineStr">
        <is>
          <t>Jawa Barat</t>
        </is>
      </c>
      <c r="Q89" t="inlineStr"/>
    </row>
    <row r="90">
      <c r="A90" t="inlineStr">
        <is>
          <t>STUDIO A 17 CONSULTANT</t>
        </is>
      </c>
      <c r="B90" t="inlineStr">
        <is>
          <t>Kota Padang</t>
        </is>
      </c>
      <c r="C90" t="inlineStr">
        <is>
          <t>081363314175</t>
        </is>
      </c>
      <c r="D90" t="inlineStr">
        <is>
          <t>a17studioconsultan@gmail.com</t>
        </is>
      </c>
      <c r="E90" t="inlineStr">
        <is>
          <t>https://lpjk.pu.go.id/search-badan-usaha-detail/MDIzbmhZS1VUcVkwU1FFL3Voa252dz09</t>
        </is>
      </c>
      <c r="F90" t="n">
        <v>2</v>
      </c>
      <c r="G90" t="inlineStr">
        <is>
          <t>RK001, RK002</t>
        </is>
      </c>
      <c r="H90" t="inlineStr">
        <is>
          <t>5 Maret 2004</t>
        </is>
      </c>
      <c r="I90" s="2" t="n">
        <v>46349</v>
      </c>
      <c r="J90" t="inlineStr">
        <is>
          <t>Disetujui</t>
        </is>
      </c>
      <c r="K90" t="n">
        <v>87</v>
      </c>
      <c r="L90" t="inlineStr">
        <is>
          <t>23 November 2026</t>
        </is>
      </c>
      <c r="M90" t="inlineStr">
        <is>
          <t>Jasa Rekayasa Konstruksi Bangunan Gedung Hunian dan Non Hunian, Jasa Rekayasa Pekerjaan Teknik Sipil Sumber Daya Air</t>
        </is>
      </c>
      <c r="N90" t="inlineStr">
        <is>
          <t>K</t>
        </is>
      </c>
      <c r="O90" t="inlineStr">
        <is>
          <t>20231115, 20231122</t>
        </is>
      </c>
      <c r="P90" t="inlineStr">
        <is>
          <t>Sumatera Barat</t>
        </is>
      </c>
      <c r="Q90" t="inlineStr"/>
    </row>
    <row r="91">
      <c r="A91" t="inlineStr">
        <is>
          <t>SUMANGE TEALARA</t>
        </is>
      </c>
      <c r="B91" t="inlineStr">
        <is>
          <t>Kab. Kutai Timur</t>
        </is>
      </c>
      <c r="C91" t="inlineStr">
        <is>
          <t>081273575234</t>
        </is>
      </c>
      <c r="D91" t="inlineStr">
        <is>
          <t>Sumangetealara001@gmail.com</t>
        </is>
      </c>
      <c r="E91" t="inlineStr">
        <is>
          <t>https://lpjk.pu.go.id/search-badan-usaha-detail/L3FJVTEybTJPUXllMFlpNFlmSENuQT09</t>
        </is>
      </c>
      <c r="F91" t="n">
        <v>4</v>
      </c>
      <c r="G91" t="inlineStr">
        <is>
          <t>BG009, BS001</t>
        </is>
      </c>
      <c r="H91" t="inlineStr">
        <is>
          <t>21 November 2023</t>
        </is>
      </c>
      <c r="I91" s="2" t="n">
        <v>46349</v>
      </c>
      <c r="J91" t="inlineStr">
        <is>
          <t>Disetujui</t>
        </is>
      </c>
      <c r="K91" t="n">
        <v>87</v>
      </c>
      <c r="L91" t="inlineStr">
        <is>
          <t>23 November 2026</t>
        </is>
      </c>
      <c r="M91" t="inlineStr">
        <is>
          <t>Konstruksi Bangunan Sipil Jalan, Konstruksi Gedung Lainnya</t>
        </is>
      </c>
      <c r="N91" t="inlineStr">
        <is>
          <t>K</t>
        </is>
      </c>
      <c r="O91" t="inlineStr">
        <is>
          <t>20231122</t>
        </is>
      </c>
      <c r="P91" t="inlineStr">
        <is>
          <t>Kalimantan Timur</t>
        </is>
      </c>
      <c r="Q91" t="inlineStr"/>
    </row>
    <row r="92">
      <c r="A92" t="inlineStr">
        <is>
          <t>TATA WAHANA TEKNIK</t>
        </is>
      </c>
      <c r="B92" t="inlineStr">
        <is>
          <t>Kota Tangerang</t>
        </is>
      </c>
      <c r="C92" t="inlineStr">
        <is>
          <t>02129238122</t>
        </is>
      </c>
      <c r="D92" t="inlineStr">
        <is>
          <t>tatawahana2000@gmail.com</t>
        </is>
      </c>
      <c r="E92" t="inlineStr">
        <is>
          <t>https://lpjk.pu.go.id/search-badan-usaha-detail/Kzh1Y1VyTXR5Y05GcUFUWFpJQ21OQT09</t>
        </is>
      </c>
      <c r="F92" t="n">
        <v>2</v>
      </c>
      <c r="G92" t="inlineStr">
        <is>
          <t>BG009, BS007</t>
        </is>
      </c>
      <c r="H92" t="inlineStr">
        <is>
          <t>11 Mei 2007</t>
        </is>
      </c>
      <c r="I92" s="2" t="n">
        <v>46349</v>
      </c>
      <c r="J92" t="inlineStr">
        <is>
          <t>Disetujui</t>
        </is>
      </c>
      <c r="K92" t="n">
        <v>87</v>
      </c>
      <c r="L92" t="inlineStr">
        <is>
          <t>23 November 2026</t>
        </is>
      </c>
      <c r="M92" t="inlineStr">
        <is>
          <t>Konstruksi Bangunan Sipil Elektrikal, Konstruksi Gedung Lainnya</t>
        </is>
      </c>
      <c r="N92" t="inlineStr">
        <is>
          <t>M</t>
        </is>
      </c>
      <c r="O92" t="inlineStr">
        <is>
          <t>20231101, 20231115</t>
        </is>
      </c>
      <c r="P92" t="inlineStr">
        <is>
          <t>Banten</t>
        </is>
      </c>
      <c r="Q92" t="inlineStr"/>
    </row>
    <row r="93">
      <c r="A93" t="inlineStr">
        <is>
          <t>TIRTA KARYA KONSULTAN</t>
        </is>
      </c>
      <c r="B93" t="inlineStr">
        <is>
          <t>Kab. Kaimana</t>
        </is>
      </c>
      <c r="C93" t="inlineStr">
        <is>
          <t>085395028516</t>
        </is>
      </c>
      <c r="D93" t="inlineStr">
        <is>
          <t>tirtakarya2022@gmail.com</t>
        </is>
      </c>
      <c r="E93" t="inlineStr">
        <is>
          <t>https://lpjk.pu.go.id/search-badan-usaha-detail/ZU1ha0c3YW4wT0hyR3Y5TDBORHI1UT09</t>
        </is>
      </c>
      <c r="F93" t="n">
        <v>3</v>
      </c>
      <c r="G93" t="inlineStr">
        <is>
          <t>RK001, RK002, RK005</t>
        </is>
      </c>
      <c r="H93" t="inlineStr">
        <is>
          <t>10 Agustus 2022</t>
        </is>
      </c>
      <c r="I93" s="2" t="n">
        <v>46349</v>
      </c>
      <c r="J93" t="inlineStr">
        <is>
          <t>Disetujui</t>
        </is>
      </c>
      <c r="K93" t="n">
        <v>87</v>
      </c>
      <c r="L93" t="inlineStr">
        <is>
          <t>23 November 2026</t>
        </is>
      </c>
      <c r="M93" t="inlineStr">
        <is>
          <t>Jasa Rekayasa Konstruksi Bangunan Gedung Hunian dan Non Hunian, Jasa Rekayasa Lainnya, Jasa Rekayasa Pekerjaan Teknik Sipil Sumber Daya Air</t>
        </is>
      </c>
      <c r="N93" t="inlineStr">
        <is>
          <t>K</t>
        </is>
      </c>
      <c r="O93" t="inlineStr">
        <is>
          <t>20231120</t>
        </is>
      </c>
      <c r="P93" t="inlineStr">
        <is>
          <t>Papua Barat</t>
        </is>
      </c>
      <c r="Q93" t="inlineStr"/>
    </row>
    <row r="94">
      <c r="A94" t="inlineStr">
        <is>
          <t>TITIK NOKTAH CONSULTANT</t>
        </is>
      </c>
      <c r="B94" t="inlineStr">
        <is>
          <t>Kab. Tanah Bumbu</t>
        </is>
      </c>
      <c r="C94" t="inlineStr">
        <is>
          <t>082328252883</t>
        </is>
      </c>
      <c r="D94" t="inlineStr">
        <is>
          <t>cvtitiknoktahconsultant@gmail.com</t>
        </is>
      </c>
      <c r="E94" t="inlineStr">
        <is>
          <t>https://lpjk.pu.go.id/search-badan-usaha-detail/T29SYlFQQ2FSUkRuSU5JUGdZUGpCQT09</t>
        </is>
      </c>
      <c r="F94" t="n">
        <v>3</v>
      </c>
      <c r="G94" t="inlineStr">
        <is>
          <t>RK001, RK002, RK003</t>
        </is>
      </c>
      <c r="H94" t="inlineStr">
        <is>
          <t>11 November 2023</t>
        </is>
      </c>
      <c r="I94" s="2" t="n">
        <v>46349</v>
      </c>
      <c r="J94" t="inlineStr">
        <is>
          <t>Disetujui</t>
        </is>
      </c>
      <c r="K94" t="n">
        <v>87</v>
      </c>
      <c r="L94" t="inlineStr">
        <is>
          <t>23 November 2026</t>
        </is>
      </c>
      <c r="M94" t="inlineStr">
        <is>
          <t>Jasa Rekayasa Konstruksi Bangunan Gedung Hunian dan Non Hunian, Jasa Rekayasa Pekerjaan Teknik Sipil Sumber Daya Air, Jasa Rekayasa Pekerjaan Teknik Sipil Transportasi</t>
        </is>
      </c>
      <c r="N94" t="inlineStr">
        <is>
          <t>K</t>
        </is>
      </c>
      <c r="O94" t="inlineStr">
        <is>
          <t>20231119</t>
        </is>
      </c>
      <c r="P94" t="inlineStr">
        <is>
          <t>Kalimantan Selatan</t>
        </is>
      </c>
      <c r="Q94" t="inlineStr"/>
    </row>
    <row r="95">
      <c r="A95" t="inlineStr">
        <is>
          <t>TRAMAK KARYA JAYA</t>
        </is>
      </c>
      <c r="B95" t="inlineStr">
        <is>
          <t>Kab. Sumedang</t>
        </is>
      </c>
      <c r="C95" t="inlineStr">
        <is>
          <t>081222054067</t>
        </is>
      </c>
      <c r="D95" t="inlineStr">
        <is>
          <t>tkj1232023@gmail.com</t>
        </is>
      </c>
      <c r="E95" t="inlineStr">
        <is>
          <t>https://lpjk.pu.go.id/search-badan-usaha-detail/Y2o0WXB3WTFyOHZCMEliTzJ4dm9Fdz09</t>
        </is>
      </c>
      <c r="F95" t="n">
        <v>3</v>
      </c>
      <c r="G95" t="inlineStr">
        <is>
          <t>BG006</t>
        </is>
      </c>
      <c r="H95" t="inlineStr">
        <is>
          <t>24 Februari 2023</t>
        </is>
      </c>
      <c r="I95" s="2" t="n">
        <v>46349</v>
      </c>
      <c r="J95" t="inlineStr">
        <is>
          <t>Disetujui</t>
        </is>
      </c>
      <c r="K95" t="n">
        <v>87</v>
      </c>
      <c r="L95" t="inlineStr">
        <is>
          <t>23 November 2026</t>
        </is>
      </c>
      <c r="M95" t="inlineStr">
        <is>
          <t>Konstruksi Gedung Pendidikan</t>
        </is>
      </c>
      <c r="N95" t="inlineStr">
        <is>
          <t>K</t>
        </is>
      </c>
      <c r="O95" t="inlineStr">
        <is>
          <t>20230914</t>
        </is>
      </c>
      <c r="P95" t="inlineStr">
        <is>
          <t>Jawa Barat</t>
        </is>
      </c>
      <c r="Q95" t="inlineStr"/>
    </row>
    <row r="96">
      <c r="A96" t="inlineStr">
        <is>
          <t>TRIAN JAYA GRUP</t>
        </is>
      </c>
      <c r="B96" t="inlineStr">
        <is>
          <t>Kota Ternate</t>
        </is>
      </c>
      <c r="C96" t="inlineStr">
        <is>
          <t>081340325626</t>
        </is>
      </c>
      <c r="D96" t="inlineStr">
        <is>
          <t>trianjayagrup@gmail.com</t>
        </is>
      </c>
      <c r="E96" t="inlineStr">
        <is>
          <t>https://lpjk.pu.go.id/search-badan-usaha-detail/dGEzQVc1ZmpuNk5TZDNuek5CbUFldz09</t>
        </is>
      </c>
      <c r="F96" t="n">
        <v>1</v>
      </c>
      <c r="G96" t="inlineStr">
        <is>
          <t>BS010</t>
        </is>
      </c>
      <c r="H96" t="inlineStr">
        <is>
          <t>27 Juli 2023</t>
        </is>
      </c>
      <c r="I96" s="2" t="n">
        <v>46349</v>
      </c>
      <c r="J96" t="inlineStr">
        <is>
          <t>Disetujui</t>
        </is>
      </c>
      <c r="K96" t="n">
        <v>87</v>
      </c>
      <c r="L96" t="inlineStr">
        <is>
          <t>23 November 2026</t>
        </is>
      </c>
      <c r="M96" t="inlineStr">
        <is>
          <t>Konstruksi Bangunan Prasarana Sumber Daya Air</t>
        </is>
      </c>
      <c r="N96" t="inlineStr">
        <is>
          <t>K</t>
        </is>
      </c>
      <c r="O96" t="inlineStr">
        <is>
          <t>20231117</t>
        </is>
      </c>
      <c r="P96" t="inlineStr">
        <is>
          <t>Maluku Utara</t>
        </is>
      </c>
      <c r="Q96" t="inlineStr"/>
    </row>
    <row r="97">
      <c r="A97" t="inlineStr">
        <is>
          <t>TUNAS ADHI MANDIRI</t>
        </is>
      </c>
      <c r="B97" t="inlineStr">
        <is>
          <t>Kab. Indramayu</t>
        </is>
      </c>
      <c r="C97" t="inlineStr">
        <is>
          <t>0813018137014</t>
        </is>
      </c>
      <c r="D97" t="inlineStr">
        <is>
          <t>tunasadhimandiri.cv@gmail.com</t>
        </is>
      </c>
      <c r="E97" t="inlineStr">
        <is>
          <t>https://lpjk.pu.go.id/search-badan-usaha-detail/T3BHbkJDSEhWendMK2xaNWZEMDdqZz09</t>
        </is>
      </c>
      <c r="F97" t="n">
        <v>1</v>
      </c>
      <c r="G97" t="inlineStr">
        <is>
          <t>BG009</t>
        </is>
      </c>
      <c r="H97" t="inlineStr">
        <is>
          <t>22 April 2020</t>
        </is>
      </c>
      <c r="I97" s="2" t="n">
        <v>46349</v>
      </c>
      <c r="J97" t="inlineStr">
        <is>
          <t>Disetujui</t>
        </is>
      </c>
      <c r="K97" t="n">
        <v>87</v>
      </c>
      <c r="L97" t="inlineStr">
        <is>
          <t>23 November 2026</t>
        </is>
      </c>
      <c r="M97" t="inlineStr">
        <is>
          <t>Konstruksi Gedung Lainnya</t>
        </is>
      </c>
      <c r="N97" t="inlineStr">
        <is>
          <t>K</t>
        </is>
      </c>
      <c r="O97" t="inlineStr">
        <is>
          <t>20231121</t>
        </is>
      </c>
      <c r="P97" t="inlineStr">
        <is>
          <t>Jawa Barat</t>
        </is>
      </c>
      <c r="Q97" t="inlineStr"/>
    </row>
    <row r="98">
      <c r="A98" t="inlineStr">
        <is>
          <t>VINAYA PERSADA</t>
        </is>
      </c>
      <c r="B98" t="inlineStr">
        <is>
          <t>Kab. Tegal</t>
        </is>
      </c>
      <c r="C98" t="inlineStr">
        <is>
          <t>081380087997</t>
        </is>
      </c>
      <c r="D98" t="inlineStr">
        <is>
          <t>vinayapersada1@gmail.com</t>
        </is>
      </c>
      <c r="E98" t="inlineStr">
        <is>
          <t>https://lpjk.pu.go.id/search-badan-usaha-detail/NnQwR3M5WmZNTDRtM1ZrN2Z3M05idz09</t>
        </is>
      </c>
      <c r="F98" t="n">
        <v>4</v>
      </c>
      <c r="G98" t="inlineStr">
        <is>
          <t>BG006, BG009, BS001, BS004</t>
        </is>
      </c>
      <c r="H98" t="inlineStr">
        <is>
          <t>3 Juli 2017</t>
        </is>
      </c>
      <c r="I98" s="2" t="n">
        <v>46349</v>
      </c>
      <c r="J98" t="inlineStr">
        <is>
          <t>Disetujui</t>
        </is>
      </c>
      <c r="K98" t="n">
        <v>87</v>
      </c>
      <c r="L98" t="inlineStr">
        <is>
          <t>23 November 2026</t>
        </is>
      </c>
      <c r="M98" t="inlineStr">
        <is>
          <t>Konstruksi Bangunan Sipil Jalan, Konstruksi Gedung Lainnya, Konstruksi Gedung Pendidikan, Konstruksi Jaringan Irigasi dan Drainase</t>
        </is>
      </c>
      <c r="N98" t="inlineStr">
        <is>
          <t>K</t>
        </is>
      </c>
      <c r="O98" t="inlineStr">
        <is>
          <t>20231123, 20231124</t>
        </is>
      </c>
      <c r="P98" t="inlineStr">
        <is>
          <t>Jawa Tengah</t>
        </is>
      </c>
      <c r="Q98" t="inlineStr"/>
    </row>
    <row r="99">
      <c r="A99" t="inlineStr">
        <is>
          <t>VISUAL PROJECT</t>
        </is>
      </c>
      <c r="B99" t="inlineStr">
        <is>
          <t>Kota Samarinda</t>
        </is>
      </c>
      <c r="C99" t="inlineStr">
        <is>
          <t>082317896600</t>
        </is>
      </c>
      <c r="D99" t="inlineStr">
        <is>
          <t>cv.visualproject@gmail.com</t>
        </is>
      </c>
      <c r="E99" t="inlineStr">
        <is>
          <t>https://lpjk.pu.go.id/search-badan-usaha-detail/R0NSbzBxTmZ6b1BmMEJmVmVYSC92dz09</t>
        </is>
      </c>
      <c r="F99" t="n">
        <v>3</v>
      </c>
      <c r="G99" t="inlineStr">
        <is>
          <t>RK001, RK002, RK003</t>
        </is>
      </c>
      <c r="H99" t="inlineStr">
        <is>
          <t>10 Juli 2020</t>
        </is>
      </c>
      <c r="I99" s="2" t="n">
        <v>46349</v>
      </c>
      <c r="J99" t="inlineStr">
        <is>
          <t>Disetujui</t>
        </is>
      </c>
      <c r="K99" t="n">
        <v>87</v>
      </c>
      <c r="L99" t="inlineStr">
        <is>
          <t>23 November 2026</t>
        </is>
      </c>
      <c r="M99" t="inlineStr">
        <is>
          <t>Jasa Rekayasa Konstruksi Bangunan Gedung Hunian dan Non Hunian, Jasa Rekayasa Pekerjaan Teknik Sipil Sumber Daya Air, Jasa Rekayasa Pekerjaan Teknik Sipil Transportasi</t>
        </is>
      </c>
      <c r="N99" t="inlineStr">
        <is>
          <t>K</t>
        </is>
      </c>
      <c r="O99" t="inlineStr">
        <is>
          <t>20231120</t>
        </is>
      </c>
      <c r="P99" t="inlineStr">
        <is>
          <t>Kalimantan Timur</t>
        </is>
      </c>
      <c r="Q99" t="inlineStr"/>
    </row>
    <row r="100">
      <c r="A100" t="inlineStr">
        <is>
          <t>WAHANA KARYA SENTOSA</t>
        </is>
      </c>
      <c r="B100" t="inlineStr">
        <is>
          <t>Kota Jambi</t>
        </is>
      </c>
      <c r="C100" t="inlineStr">
        <is>
          <t>082179924612</t>
        </is>
      </c>
      <c r="D100" t="inlineStr">
        <is>
          <t>cvwahanakaryasentosa3@gmail.com</t>
        </is>
      </c>
      <c r="E100" t="inlineStr">
        <is>
          <t>https://lpjk.pu.go.id/search-badan-usaha-detail/Uzlka25Bc2Z1NG1YbDdGVWd3V0ZRZz09</t>
        </is>
      </c>
      <c r="F100" t="n">
        <v>2</v>
      </c>
      <c r="G100" t="inlineStr">
        <is>
          <t>BS004, BS010</t>
        </is>
      </c>
      <c r="H100" t="inlineStr">
        <is>
          <t>30 Juni 2022</t>
        </is>
      </c>
      <c r="I100" s="2" t="n">
        <v>46349</v>
      </c>
      <c r="J100" t="inlineStr">
        <is>
          <t>Disetujui</t>
        </is>
      </c>
      <c r="K100" t="n">
        <v>87</v>
      </c>
      <c r="L100" t="inlineStr">
        <is>
          <t>23 November 2026</t>
        </is>
      </c>
      <c r="M100" t="inlineStr">
        <is>
          <t>Konstruksi Bangunan Prasarana Sumber Daya Air, Konstruksi Jaringan Irigasi dan Drainase</t>
        </is>
      </c>
      <c r="N100" t="inlineStr">
        <is>
          <t>K</t>
        </is>
      </c>
      <c r="O100" t="inlineStr">
        <is>
          <t>20231122, 20231123</t>
        </is>
      </c>
      <c r="P100" t="inlineStr">
        <is>
          <t>Jambi</t>
        </is>
      </c>
      <c r="Q100" t="inlineStr"/>
    </row>
    <row r="101">
      <c r="A101" t="inlineStr">
        <is>
          <t>WAHANA MULTIKARYA CONSULTAN</t>
        </is>
      </c>
      <c r="B101" t="inlineStr">
        <is>
          <t>Kota Sorong</t>
        </is>
      </c>
      <c r="C101" t="inlineStr">
        <is>
          <t>081248485555</t>
        </is>
      </c>
      <c r="D101" t="inlineStr">
        <is>
          <t>cv.wahanamultikaryaconsultan@yahoo.co.id</t>
        </is>
      </c>
      <c r="E101" t="inlineStr">
        <is>
          <t>https://lpjk.pu.go.id/search-badan-usaha-detail/TGdnN2thNU5kQkp1YlJzQkJ5Mkttdz09</t>
        </is>
      </c>
      <c r="F101" t="n">
        <v>1</v>
      </c>
      <c r="G101" t="inlineStr">
        <is>
          <t>RK001</t>
        </is>
      </c>
      <c r="H101" t="inlineStr">
        <is>
          <t>2 Februari 2007</t>
        </is>
      </c>
      <c r="I101" s="2" t="n">
        <v>46349</v>
      </c>
      <c r="J101" t="inlineStr">
        <is>
          <t>Disetujui</t>
        </is>
      </c>
      <c r="K101" t="n">
        <v>87</v>
      </c>
      <c r="L101" t="inlineStr">
        <is>
          <t>23 November 2026</t>
        </is>
      </c>
      <c r="M101" t="inlineStr">
        <is>
          <t>Jasa Rekayasa Konstruksi Bangunan Gedung Hunian dan Non Hunian</t>
        </is>
      </c>
      <c r="N101" t="inlineStr">
        <is>
          <t>K</t>
        </is>
      </c>
      <c r="O101" t="inlineStr">
        <is>
          <t>20231107</t>
        </is>
      </c>
      <c r="P101" t="inlineStr">
        <is>
          <t>Papua Barat</t>
        </is>
      </c>
      <c r="Q101" t="inlineStr"/>
    </row>
    <row r="102">
      <c r="A102" t="inlineStr">
        <is>
          <t>WAHANA PERENCANA PERSADA</t>
        </is>
      </c>
      <c r="B102" t="inlineStr">
        <is>
          <t>Kota Bandung</t>
        </is>
      </c>
      <c r="C102" t="inlineStr">
        <is>
          <t>081321234361</t>
        </is>
      </c>
      <c r="D102" t="inlineStr">
        <is>
          <t>contact@wahanaperencanapersada.com</t>
        </is>
      </c>
      <c r="E102" t="inlineStr">
        <is>
          <t>https://lpjk.pu.go.id/search-badan-usaha-detail/RmorMmozRS9qYk5hcEZmaStETVA2QT09</t>
        </is>
      </c>
      <c r="F102" t="n">
        <v>1</v>
      </c>
      <c r="G102" t="inlineStr">
        <is>
          <t>RK003</t>
        </is>
      </c>
      <c r="H102" t="inlineStr">
        <is>
          <t>22 Juni 2012</t>
        </is>
      </c>
      <c r="I102" s="2" t="n">
        <v>46349</v>
      </c>
      <c r="J102" t="inlineStr">
        <is>
          <t>Disetujui</t>
        </is>
      </c>
      <c r="K102" t="n">
        <v>87</v>
      </c>
      <c r="L102" t="inlineStr">
        <is>
          <t>23 November 2026</t>
        </is>
      </c>
      <c r="M102" t="inlineStr">
        <is>
          <t>Jasa Rekayasa Pekerjaan Teknik Sipil Transportasi</t>
        </is>
      </c>
      <c r="N102" t="inlineStr">
        <is>
          <t>M</t>
        </is>
      </c>
      <c r="O102" t="inlineStr">
        <is>
          <t>20231106</t>
        </is>
      </c>
      <c r="P102" t="inlineStr">
        <is>
          <t>Jawa Barat</t>
        </is>
      </c>
      <c r="Q102" t="inlineStr"/>
    </row>
    <row r="103">
      <c r="A103" t="inlineStr">
        <is>
          <t>YASA KURNIA UTAMA</t>
        </is>
      </c>
      <c r="B103" t="inlineStr">
        <is>
          <t>Kab. Murung Raya</t>
        </is>
      </c>
      <c r="C103" t="inlineStr">
        <is>
          <t>081258328682</t>
        </is>
      </c>
      <c r="D103" t="inlineStr">
        <is>
          <t>cv.yasakurniautama@gmail.com</t>
        </is>
      </c>
      <c r="E103" t="inlineStr">
        <is>
          <t>https://lpjk.pu.go.id/search-badan-usaha-detail/UXo0NnRqQ21EYjFkZ3dpTVZrODJudz09</t>
        </is>
      </c>
      <c r="F103" t="n">
        <v>2</v>
      </c>
      <c r="G103" t="inlineStr">
        <is>
          <t>BG005, BG009</t>
        </is>
      </c>
      <c r="H103" t="inlineStr">
        <is>
          <t>7 September 2023</t>
        </is>
      </c>
      <c r="I103" s="2" t="n">
        <v>46349</v>
      </c>
      <c r="J103" t="inlineStr">
        <is>
          <t>Disetujui</t>
        </is>
      </c>
      <c r="K103" t="n">
        <v>87</v>
      </c>
      <c r="L103" t="inlineStr">
        <is>
          <t>23 November 2026</t>
        </is>
      </c>
      <c r="M103" t="inlineStr">
        <is>
          <t>Konstruksi Gedung Kesehatan, Konstruksi Gedung Lainnya</t>
        </is>
      </c>
      <c r="N103" t="inlineStr">
        <is>
          <t>K</t>
        </is>
      </c>
      <c r="O103" t="inlineStr">
        <is>
          <t>20231122</t>
        </is>
      </c>
      <c r="P103" t="inlineStr">
        <is>
          <t>Kalimantan Tengah</t>
        </is>
      </c>
      <c r="Q103" t="inlineStr"/>
    </row>
    <row r="104">
      <c r="A104" t="inlineStr">
        <is>
          <t>YASA TEKNIKAL</t>
        </is>
      </c>
      <c r="B104" t="inlineStr">
        <is>
          <t>Kab. Paser</t>
        </is>
      </c>
      <c r="C104" t="inlineStr">
        <is>
          <t>085387462521</t>
        </is>
      </c>
      <c r="D104" t="inlineStr">
        <is>
          <t>juwitatata2006@gmail.com</t>
        </is>
      </c>
      <c r="E104" t="inlineStr">
        <is>
          <t>https://lpjk.pu.go.id/search-badan-usaha-detail/dHRhY2pEUVROZGtjbXgxd2dxdXhHQT09</t>
        </is>
      </c>
      <c r="F104" t="n">
        <v>3</v>
      </c>
      <c r="G104" t="inlineStr">
        <is>
          <t>RK001, RK002, RK003</t>
        </is>
      </c>
      <c r="H104" t="inlineStr">
        <is>
          <t>30 April 2014</t>
        </is>
      </c>
      <c r="I104" s="2" t="n">
        <v>46349</v>
      </c>
      <c r="J104" t="inlineStr">
        <is>
          <t>Disetujui</t>
        </is>
      </c>
      <c r="K104" t="n">
        <v>87</v>
      </c>
      <c r="L104" t="inlineStr">
        <is>
          <t>23 November 2026</t>
        </is>
      </c>
      <c r="M104" t="inlineStr">
        <is>
          <t>Jasa Rekayasa Konstruksi Bangunan Gedung Hunian dan Non Hunian, Jasa Rekayasa Pekerjaan Teknik Sipil Sumber Daya Air, Jasa Rekayasa Pekerjaan Teknik Sipil Transportasi</t>
        </is>
      </c>
      <c r="N104" t="inlineStr">
        <is>
          <t>K</t>
        </is>
      </c>
      <c r="O104" t="inlineStr">
        <is>
          <t>20231114</t>
        </is>
      </c>
      <c r="P104" t="inlineStr">
        <is>
          <t>Kalimantan Timur</t>
        </is>
      </c>
      <c r="Q104" t="inlineStr"/>
    </row>
    <row r="105">
      <c r="A105" t="inlineStr">
        <is>
          <t>YUDI UTAMA</t>
        </is>
      </c>
      <c r="B105" t="inlineStr">
        <is>
          <t>Kab. Tapanuli Selatan</t>
        </is>
      </c>
      <c r="C105" t="inlineStr">
        <is>
          <t>082175056871</t>
        </is>
      </c>
      <c r="D105" t="inlineStr">
        <is>
          <t>cv.yudiutama18@gmail.com</t>
        </is>
      </c>
      <c r="E105" t="inlineStr">
        <is>
          <t>https://lpjk.pu.go.id/search-badan-usaha-detail/SlFXem5CYTRjWk5VNUxxS3BOV0sydz09</t>
        </is>
      </c>
      <c r="F105" t="n">
        <v>4</v>
      </c>
      <c r="G105" t="inlineStr">
        <is>
          <t>BG005, BG006, BS001, BS004</t>
        </is>
      </c>
      <c r="H105" t="inlineStr">
        <is>
          <t>8 Januari 2001</t>
        </is>
      </c>
      <c r="I105" s="2" t="n">
        <v>46349</v>
      </c>
      <c r="J105" t="inlineStr">
        <is>
          <t>Disetujui</t>
        </is>
      </c>
      <c r="K105" t="n">
        <v>87</v>
      </c>
      <c r="L105" t="inlineStr">
        <is>
          <t>23 November 2026</t>
        </is>
      </c>
      <c r="M105" t="inlineStr">
        <is>
          <t>Konstruksi Bangunan Sipil Jalan, Konstruksi Gedung Kesehatan, Konstruksi Gedung Pendidikan, Konstruksi Jaringan Irigasi dan Drainase</t>
        </is>
      </c>
      <c r="N105" t="inlineStr">
        <is>
          <t>K</t>
        </is>
      </c>
      <c r="O105" t="inlineStr">
        <is>
          <t>20231109, 20231110</t>
        </is>
      </c>
      <c r="P105" t="inlineStr">
        <is>
          <t>Sumatera Utara</t>
        </is>
      </c>
      <c r="Q105" t="inlineStr"/>
    </row>
    <row r="106">
      <c r="A106" t="inlineStr">
        <is>
          <t>YUDISTIRA</t>
        </is>
      </c>
      <c r="B106" t="inlineStr">
        <is>
          <t>Kab. Nganjuk</t>
        </is>
      </c>
      <c r="C106" t="inlineStr">
        <is>
          <t>081335229600</t>
        </is>
      </c>
      <c r="D106" t="inlineStr">
        <is>
          <t>cvyudistira836@gmail.com</t>
        </is>
      </c>
      <c r="E106" t="inlineStr">
        <is>
          <t>https://lpjk.pu.go.id/search-badan-usaha-detail/T2FXQURMVVd4NXkvTnA4UkNoNGFydz09</t>
        </is>
      </c>
      <c r="F106" t="n">
        <v>12</v>
      </c>
      <c r="G106" t="inlineStr">
        <is>
          <t>BG002, BG005, BG006, BG009, BS001, BS004</t>
        </is>
      </c>
      <c r="H106" t="inlineStr">
        <is>
          <t>26 Maret 2008</t>
        </is>
      </c>
      <c r="I106" s="2" t="n">
        <v>46349</v>
      </c>
      <c r="J106" t="inlineStr">
        <is>
          <t>Disetujui</t>
        </is>
      </c>
      <c r="K106" t="n">
        <v>87</v>
      </c>
      <c r="L106" t="inlineStr">
        <is>
          <t>23 November 2026</t>
        </is>
      </c>
      <c r="M106" t="inlineStr">
        <is>
          <t>Konstruksi Bangunan Sipil Jalan, Konstruksi Gedung Kesehatan, Konstruksi Gedung Lainnya, Konstruksi Gedung Pendidikan, Konstruksi Gedung Perkantoran, Konstruksi Jaringan Irigasi dan Drainase</t>
        </is>
      </c>
      <c r="N106" t="inlineStr">
        <is>
          <t>K</t>
        </is>
      </c>
      <c r="O106" t="inlineStr">
        <is>
          <t>20231123, 20231124</t>
        </is>
      </c>
      <c r="P106" t="inlineStr">
        <is>
          <t>Jawa Timur</t>
        </is>
      </c>
      <c r="Q106" t="inlineStr"/>
    </row>
    <row r="107">
      <c r="A107" t="inlineStr">
        <is>
          <t>YUWANA KARYA CATUR MANUNGGAL</t>
        </is>
      </c>
      <c r="B107" t="inlineStr">
        <is>
          <t>Kab. Sidoarjo</t>
        </is>
      </c>
      <c r="C107" t="inlineStr">
        <is>
          <t>031-8557658</t>
        </is>
      </c>
      <c r="D107" t="inlineStr">
        <is>
          <t>yuwana.karya@gmail.com</t>
        </is>
      </c>
      <c r="E107" t="inlineStr">
        <is>
          <t>https://lpjk.pu.go.id/search-badan-usaha-detail/MG1td1RkVFFFUTFOc1N2aE9Fdml0QT09</t>
        </is>
      </c>
      <c r="F107" t="n">
        <v>1</v>
      </c>
      <c r="G107" t="inlineStr">
        <is>
          <t>BG009</t>
        </is>
      </c>
      <c r="H107" t="inlineStr">
        <is>
          <t>5 Oktober 2006</t>
        </is>
      </c>
      <c r="I107" s="2" t="n">
        <v>46349</v>
      </c>
      <c r="J107" t="inlineStr">
        <is>
          <t>Pencabutan</t>
        </is>
      </c>
      <c r="K107" t="n">
        <v>87</v>
      </c>
      <c r="L107" t="inlineStr">
        <is>
          <t>23 November 2026</t>
        </is>
      </c>
      <c r="M107" t="inlineStr">
        <is>
          <t>Konstruksi Gedung Lainnya</t>
        </is>
      </c>
      <c r="N107" t="inlineStr">
        <is>
          <t>M</t>
        </is>
      </c>
      <c r="O107" t="inlineStr">
        <is>
          <t>20231123</t>
        </is>
      </c>
      <c r="P107" t="inlineStr">
        <is>
          <t>Jawa Timur</t>
        </is>
      </c>
      <c r="Q107" t="inlineStr"/>
    </row>
    <row r="108">
      <c r="A108" t="inlineStr">
        <is>
          <t>Yunnan Construction and Investment Holding Group Co.,LTD</t>
        </is>
      </c>
      <c r="B108" t="inlineStr">
        <is>
          <t>Kota Adm. Jakarta Utara</t>
        </is>
      </c>
      <c r="C108" t="inlineStr">
        <is>
          <t>082258668094</t>
        </is>
      </c>
      <c r="D108" t="inlineStr">
        <is>
          <t>yunnanconstructioninvestment@gmail.com</t>
        </is>
      </c>
      <c r="E108" t="inlineStr">
        <is>
          <t>https://lpjk.pu.go.id/search-badan-usaha-detail/U2RNb2c2KzR0UWVtUTNYcCtsb3dHQT09</t>
        </is>
      </c>
      <c r="F108" t="n">
        <v>1</v>
      </c>
      <c r="G108" t="inlineStr">
        <is>
          <t>BS005</t>
        </is>
      </c>
      <c r="H108" t="inlineStr">
        <is>
          <t>22 Juni 2012</t>
        </is>
      </c>
      <c r="I108" s="2" t="n">
        <v>46349</v>
      </c>
      <c r="J108" t="inlineStr">
        <is>
          <t>Disetujui</t>
        </is>
      </c>
      <c r="K108" t="n">
        <v>87</v>
      </c>
      <c r="L108" t="inlineStr">
        <is>
          <t>23 November 2026</t>
        </is>
      </c>
      <c r="M108" t="inlineStr">
        <is>
          <t>Konstruksi Bangunan Sipil Pengolahan Air Bersih</t>
        </is>
      </c>
      <c r="N108" t="inlineStr">
        <is>
          <t>B</t>
        </is>
      </c>
      <c r="O108" t="inlineStr">
        <is>
          <t>20231120</t>
        </is>
      </c>
      <c r="P108" t="inlineStr">
        <is>
          <t>DKI Jakarta</t>
        </is>
      </c>
      <c r="Q1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selection activeCell="A1" sqref="A1"/>
    </sheetView>
  </sheetViews>
  <sheetFormatPr baseColWidth="8" defaultRowHeight="15"/>
  <cols>
    <col width="29" customWidth="1" min="1" max="1"/>
    <col width="27" customWidth="1" min="2" max="2"/>
    <col width="14" customWidth="1" min="3" max="3"/>
    <col width="35"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 JAYA PERSADA</t>
        </is>
      </c>
      <c r="B2" t="inlineStr">
        <is>
          <t>Kab. Bekasi</t>
        </is>
      </c>
      <c r="C2" t="inlineStr">
        <is>
          <t>085694466998</t>
        </is>
      </c>
      <c r="D2" t="inlineStr">
        <is>
          <t>adhijayapersada@gmail.com</t>
        </is>
      </c>
      <c r="E2" t="inlineStr">
        <is>
          <t>https://lpjk.pu.go.id/search-badan-usaha-detail/aXlFS1phSmJoWVcxamRnZnVVdkdZUT09</t>
        </is>
      </c>
      <c r="F2" t="n">
        <v>4</v>
      </c>
      <c r="G2" t="inlineStr">
        <is>
          <t>BG006, BG009, BS001, BS004</t>
        </is>
      </c>
      <c r="H2" t="inlineStr">
        <is>
          <t>20 Juli 2017</t>
        </is>
      </c>
      <c r="I2" s="2" t="n">
        <v>46322</v>
      </c>
      <c r="J2" t="inlineStr">
        <is>
          <t>Disetujui</t>
        </is>
      </c>
      <c r="K2" t="n">
        <v>60</v>
      </c>
      <c r="L2" t="inlineStr">
        <is>
          <t>27 Oktober 2026</t>
        </is>
      </c>
      <c r="M2" t="inlineStr">
        <is>
          <t>Konstruksi Bangunan Sipil Jalan, Konstruksi Gedung Lainnya, Konstruksi Gedung Pendidikan, Konstruksi Jaringan Irigasi dan Drainase</t>
        </is>
      </c>
      <c r="N2" t="inlineStr">
        <is>
          <t>K</t>
        </is>
      </c>
      <c r="O2" t="inlineStr">
        <is>
          <t>20231024, 20231026</t>
        </is>
      </c>
      <c r="P2" t="inlineStr">
        <is>
          <t>Jawa Barat</t>
        </is>
      </c>
      <c r="Q2" s="3">
        <f>HYPERLINK("https://wa.me/6285694466998?text=*[PENGINGAT MASA BERLAKU SBU ADHI JAYA PERSADA]*%0A%0AYth. Pimpinan ADHI JAYA PERSADA,%0AMohon izin menginformasikan status SBU Anda di sistem LPJK:%0A%0A📄 SBU: BG006, BG009, BS001, BS004%0A📅 Expired: 27 Oktober 2026 (60 Hari Lagi)%0A%0AKami tim PT. ESDEA Assistance Management siap men-support proses perpanjangan segera agar administrasi proyek tidak terhambat%0A%0AApakah boleh saya bantu siapkan estimasi biaya dan waktu pengerjaannya?.", "Hubungi")</f>
        <v/>
      </c>
    </row>
    <row r="3">
      <c r="A3" t="inlineStr">
        <is>
          <t>ARIS INDOGAS</t>
        </is>
      </c>
      <c r="B3" t="inlineStr">
        <is>
          <t>Kota Adm. Jakarta Timur</t>
        </is>
      </c>
      <c r="C3" t="inlineStr">
        <is>
          <t>08176028464</t>
        </is>
      </c>
      <c r="D3" t="inlineStr">
        <is>
          <t>aris.indogas@gmail.com</t>
        </is>
      </c>
      <c r="E3" t="inlineStr">
        <is>
          <t>https://lpjk.pu.go.id/search-badan-usaha-detail/eWIxM01uc0VLNWxvY0llRHZya0Nodz09</t>
        </is>
      </c>
      <c r="F3" t="n">
        <v>1</v>
      </c>
      <c r="G3" t="inlineStr">
        <is>
          <t>BS009</t>
        </is>
      </c>
      <c r="H3" t="inlineStr">
        <is>
          <t>21 Desember 2010</t>
        </is>
      </c>
      <c r="I3" s="2" t="n">
        <v>46322</v>
      </c>
      <c r="J3" t="inlineStr">
        <is>
          <t>Pembekuan</t>
        </is>
      </c>
      <c r="K3" t="n">
        <v>60</v>
      </c>
      <c r="L3" t="inlineStr">
        <is>
          <t>27 Oktober 2026</t>
        </is>
      </c>
      <c r="M3" t="inlineStr">
        <is>
          <t>Konstruksi Sentral Telekomunikasi</t>
        </is>
      </c>
      <c r="N3" t="inlineStr">
        <is>
          <t>M</t>
        </is>
      </c>
      <c r="O3" t="inlineStr">
        <is>
          <t>20230927</t>
        </is>
      </c>
      <c r="P3" t="inlineStr">
        <is>
          <t>DKI Jakarta</t>
        </is>
      </c>
      <c r="Q3" s="3">
        <f>HYPERLINK("https://wa.me/628176028464?text=*[PENGINGAT MASA BERLAKU SBU ARIS INDOGAS]*%0A%0AYth. Pimpinan ARIS INDOGAS,%0AMohon izin menginformasikan status SBU Anda di sistem LPJK:%0A%0A📄 SBU: BS009%0A📅 Expired: 27 Oktober 2026 (60 Hari Lagi)%0A%0AKami tim PT. ESDEA Assistance Management siap men-support proses perpanjangan segera agar administrasi proyek tidak terhambat%0A%0AApakah boleh saya bantu siapkan estimasi biaya dan waktu pengerjaannya?.", "Hubungi")</f>
        <v/>
      </c>
    </row>
    <row r="4">
      <c r="A4" t="inlineStr">
        <is>
          <t>BANGUN KONSTRUKSI SEJAHTERA</t>
        </is>
      </c>
      <c r="B4" t="inlineStr">
        <is>
          <t>Kab. Bekasi</t>
        </is>
      </c>
      <c r="C4" t="inlineStr">
        <is>
          <t>08111827480</t>
        </is>
      </c>
      <c r="D4" t="inlineStr">
        <is>
          <t>bkonstruksisejahtera@yahoo.com</t>
        </is>
      </c>
      <c r="E4" t="inlineStr">
        <is>
          <t>https://lpjk.pu.go.id/search-badan-usaha-detail/dTNqMUdwRnNXUGhWV1E0a1U4YzZFQT09</t>
        </is>
      </c>
      <c r="F4" t="n">
        <v>1</v>
      </c>
      <c r="G4" t="inlineStr">
        <is>
          <t>PL004</t>
        </is>
      </c>
      <c r="H4" t="inlineStr">
        <is>
          <t>27 Januari 2020</t>
        </is>
      </c>
      <c r="I4" s="2" t="n">
        <v>46322</v>
      </c>
      <c r="J4" t="inlineStr">
        <is>
          <t>Pencabutan</t>
        </is>
      </c>
      <c r="K4" t="n">
        <v>60</v>
      </c>
      <c r="L4" t="inlineStr">
        <is>
          <t>27 Oktober 2026</t>
        </is>
      </c>
      <c r="M4" t="inlineStr">
        <is>
          <t>Pekerjaan Tanah</t>
        </is>
      </c>
      <c r="N4" t="inlineStr">
        <is>
          <t>Spesialis</t>
        </is>
      </c>
      <c r="O4" t="inlineStr">
        <is>
          <t>20230711</t>
        </is>
      </c>
      <c r="P4" t="inlineStr">
        <is>
          <t>Jawa Barat</t>
        </is>
      </c>
      <c r="Q4" s="3">
        <f>HYPERLINK("https://wa.me/628111827480?text=*[PENGINGAT MASA BERLAKU SBU BANGUN KONSTRUKSI SEJAHTERA]*%0A%0AYth. Pimpinan BANGUN KONSTRUKSI SEJAHTERA,%0AMohon izin menginformasikan status SBU Anda di sistem LPJK:%0A%0A📄 SBU: PL004%0A📅 Expired: 27 Oktober 2026 (60 Hari Lagi)%0A%0AKami tim PT. ESDEA Assistance Management siap men-support proses perpanjangan segera agar administrasi proyek tidak terhambat%0A%0AApakah boleh saya bantu siapkan estimasi biaya dan waktu pengerjaannya?.", "Hubungi")</f>
        <v/>
      </c>
    </row>
    <row r="5">
      <c r="A5" t="inlineStr">
        <is>
          <t>BAYAU</t>
        </is>
      </c>
      <c r="B5" t="inlineStr">
        <is>
          <t>Kab. Bekasi</t>
        </is>
      </c>
      <c r="C5" t="inlineStr">
        <is>
          <t>08129937993</t>
        </is>
      </c>
      <c r="D5" t="inlineStr">
        <is>
          <t>cvbayau@gmail.com</t>
        </is>
      </c>
      <c r="E5" t="inlineStr">
        <is>
          <t>https://lpjk.pu.go.id/search-badan-usaha-detail/dENSNXI2dFdFQmx2OXdqUk5MRU9RQT09</t>
        </is>
      </c>
      <c r="F5" t="n">
        <v>1</v>
      </c>
      <c r="G5" t="inlineStr">
        <is>
          <t>BS004</t>
        </is>
      </c>
      <c r="H5" t="inlineStr">
        <is>
          <t>25 Juni 1999</t>
        </is>
      </c>
      <c r="I5" s="2" t="n">
        <v>46322</v>
      </c>
      <c r="J5" t="inlineStr">
        <is>
          <t>Disetujui</t>
        </is>
      </c>
      <c r="K5" t="n">
        <v>60</v>
      </c>
      <c r="L5" t="inlineStr">
        <is>
          <t>27 Oktober 2026</t>
        </is>
      </c>
      <c r="M5" t="inlineStr">
        <is>
          <t>Konstruksi Jaringan Irigasi dan Drainase</t>
        </is>
      </c>
      <c r="N5" t="inlineStr">
        <is>
          <t>K</t>
        </is>
      </c>
      <c r="O5" t="inlineStr">
        <is>
          <t>20231023</t>
        </is>
      </c>
      <c r="P5" t="inlineStr">
        <is>
          <t>Jawa Barat</t>
        </is>
      </c>
      <c r="Q5" s="3">
        <f>HYPERLINK("https://wa.me/628129937993?text=*[PENGINGAT MASA BERLAKU SBU BAYAU]*%0A%0AYth. Pimpinan BAYAU,%0AMohon izin menginformasikan status SBU Anda di sistem LPJK:%0A%0A📄 SBU: BS004%0A📅 Expired: 27 Oktober 2026 (60 Hari Lagi)%0A%0AKami tim PT. ESDEA Assistance Management siap men-support proses perpanjangan segera agar administrasi proyek tidak terhambat%0A%0AApakah boleh saya bantu siapkan estimasi biaya dan waktu pengerjaannya?.", "Hubungi")</f>
        <v/>
      </c>
    </row>
    <row r="6">
      <c r="A6" t="inlineStr">
        <is>
          <t>DASA PRIMA LESTARI UNGGUL</t>
        </is>
      </c>
      <c r="B6" t="inlineStr">
        <is>
          <t>Kota Adm. Jakarta Timur</t>
        </is>
      </c>
      <c r="C6" t="inlineStr">
        <is>
          <t>081218486665</t>
        </is>
      </c>
      <c r="D6" t="inlineStr">
        <is>
          <t>pt.dplu@yahoo.com</t>
        </is>
      </c>
      <c r="E6" t="inlineStr">
        <is>
          <t>https://lpjk.pu.go.id/search-badan-usaha-detail/QXVuME44eE9HR1IyR1YyR3hMN0xrQT09</t>
        </is>
      </c>
      <c r="F6" t="n">
        <v>3</v>
      </c>
      <c r="G6" t="inlineStr">
        <is>
          <t>BG001, BG002, BG009</t>
        </is>
      </c>
      <c r="H6" t="inlineStr">
        <is>
          <t>21 Oktober 1997</t>
        </is>
      </c>
      <c r="I6" s="2" t="n">
        <v>46322</v>
      </c>
      <c r="J6" t="inlineStr">
        <is>
          <t>Disetujui, Pencabutan</t>
        </is>
      </c>
      <c r="K6" t="n">
        <v>60</v>
      </c>
      <c r="L6" t="inlineStr">
        <is>
          <t>27 Oktober 2026</t>
        </is>
      </c>
      <c r="M6" t="inlineStr">
        <is>
          <t>Konstruksi Gedung Hunian, Konstruksi Gedung Lainnya, Konstruksi Gedung Perkantoran</t>
        </is>
      </c>
      <c r="N6" t="inlineStr">
        <is>
          <t>M</t>
        </is>
      </c>
      <c r="O6" t="inlineStr">
        <is>
          <t>20231028</t>
        </is>
      </c>
      <c r="P6" t="inlineStr">
        <is>
          <t>DKI Jakarta</t>
        </is>
      </c>
      <c r="Q6" s="3">
        <f>HYPERLINK("https://wa.me/6281218486665?text=*[PENGINGAT MASA BERLAKU SBU DASA PRIMA LESTARI UNGGUL]*%0A%0AYth. Pimpinan DASA PRIMA LESTARI UNGGUL,%0AMohon izin menginformasikan status SBU Anda di sistem LPJK:%0A%0A📄 SBU: BG001, BG002, BG009%0A📅 Expired: 27 Oktober 2026 (60 Hari Lagi)%0A%0AKami tim PT. ESDEA Assistance Management siap men-support proses perpanjangan segera agar administrasi proyek tidak terhambat%0A%0AApakah boleh saya bantu siapkan estimasi biaya dan waktu pengerjaannya?.", "Hubungi")</f>
        <v/>
      </c>
    </row>
    <row r="7">
      <c r="A7" t="inlineStr">
        <is>
          <t>HARMONI JAYA SEJAHTERA</t>
        </is>
      </c>
      <c r="B7" t="inlineStr">
        <is>
          <t>Kab. Bekasi</t>
        </is>
      </c>
      <c r="C7" t="inlineStr">
        <is>
          <t>02189902828</t>
        </is>
      </c>
      <c r="D7" t="inlineStr">
        <is>
          <t>harmonijayasejahtera@gmail.com</t>
        </is>
      </c>
      <c r="E7" t="inlineStr">
        <is>
          <t>https://lpjk.pu.go.id/search-badan-usaha-detail/R0FFNmMyYkVKb3ZiRlluNUIyTXNiZz09</t>
        </is>
      </c>
      <c r="F7" t="n">
        <v>1</v>
      </c>
      <c r="G7" t="inlineStr">
        <is>
          <t>BG003</t>
        </is>
      </c>
      <c r="H7" t="inlineStr">
        <is>
          <t>5 Desember 2006</t>
        </is>
      </c>
      <c r="I7" s="2" t="n">
        <v>46322</v>
      </c>
      <c r="J7" t="inlineStr">
        <is>
          <t>Disetujui</t>
        </is>
      </c>
      <c r="K7" t="n">
        <v>60</v>
      </c>
      <c r="L7" t="inlineStr">
        <is>
          <t>27 Oktober 2026</t>
        </is>
      </c>
      <c r="M7" t="inlineStr">
        <is>
          <t>Konstruksi Gedung Industri</t>
        </is>
      </c>
      <c r="N7" t="inlineStr">
        <is>
          <t>B</t>
        </is>
      </c>
      <c r="O7" t="inlineStr">
        <is>
          <t>20231016</t>
        </is>
      </c>
      <c r="P7" t="inlineStr">
        <is>
          <t>Jawa Barat</t>
        </is>
      </c>
      <c r="Q7" t="inlineStr"/>
    </row>
    <row r="8">
      <c r="A8" t="inlineStr">
        <is>
          <t>SEJAHTERA BATARA MULIA</t>
        </is>
      </c>
      <c r="B8" t="inlineStr">
        <is>
          <t>Kab. Bogor</t>
        </is>
      </c>
      <c r="C8" t="inlineStr">
        <is>
          <t>081287172133</t>
        </is>
      </c>
      <c r="D8" t="inlineStr">
        <is>
          <t>sejahterabataramulia@gmail.com</t>
        </is>
      </c>
      <c r="E8" t="inlineStr">
        <is>
          <t>https://lpjk.pu.go.id/search-badan-usaha-detail/Z21GQ2pNdENOM251NmRQdG4rMm5rdz09</t>
        </is>
      </c>
      <c r="F8" t="n">
        <v>6</v>
      </c>
      <c r="G8" t="inlineStr">
        <is>
          <t>BG002, BG005, BG006, BG009, BS001, BS004</t>
        </is>
      </c>
      <c r="H8" t="inlineStr">
        <is>
          <t>29 September 2023</t>
        </is>
      </c>
      <c r="I8" s="2" t="n">
        <v>46322</v>
      </c>
      <c r="J8" t="inlineStr">
        <is>
          <t>Disetujui</t>
        </is>
      </c>
      <c r="K8" t="n">
        <v>60</v>
      </c>
      <c r="L8" t="inlineStr">
        <is>
          <t>27 Oktober 2026</t>
        </is>
      </c>
      <c r="M8" t="inlineStr">
        <is>
          <t>Konstruksi Bangunan Sipil Jalan, Konstruksi Gedung Kesehatan, Konstruksi Gedung Lainnya, Konstruksi Gedung Pendidikan, Konstruksi Gedung Perkantoran, Konstruksi Jaringan Irigasi dan Drainase</t>
        </is>
      </c>
      <c r="N8" t="inlineStr">
        <is>
          <t>K</t>
        </is>
      </c>
      <c r="O8" t="inlineStr">
        <is>
          <t>20231019</t>
        </is>
      </c>
      <c r="P8" t="inlineStr">
        <is>
          <t>Jawa Barat</t>
        </is>
      </c>
      <c r="Q8" s="3">
        <f>HYPERLINK("https://wa.me/6281287172133?text=*[PENGINGAT MASA BERLAKU SBU SEJAHTERA BATARA MULIA]*%0A%0AYth. Pimpinan SEJAHTERA BATARA MULIA,%0AMohon izin menginformasikan status SBU Anda di sistem LPJK:%0A%0A📄 SBU: BG002, BG005, BG006, BG009, BS001, BS004%0A📅 Expired: 27 Oktober 2026 (60 Hari Lagi)%0A%0AKami tim PT. ESDEA Assistance Management siap men-support proses perpanjangan segera agar administrasi proyek tidak terhambat%0A%0AApakah boleh saya bantu siapkan estimasi biaya dan waktu pengerjaannya?.", "Hubungi")</f>
        <v/>
      </c>
    </row>
    <row r="9">
      <c r="A9" t="inlineStr">
        <is>
          <t>WARGA JAYA</t>
        </is>
      </c>
      <c r="B9" t="inlineStr">
        <is>
          <t>Kota Depok</t>
        </is>
      </c>
      <c r="C9" t="inlineStr">
        <is>
          <t>0217521728</t>
        </is>
      </c>
      <c r="D9" t="inlineStr">
        <is>
          <t>cvwargajaya@yahoo.co.id</t>
        </is>
      </c>
      <c r="E9" t="inlineStr">
        <is>
          <t>https://lpjk.pu.go.id/search-badan-usaha-detail/RlFCTHN5eTN2SlNpUGRranVFWTVQQT09</t>
        </is>
      </c>
      <c r="F9" t="n">
        <v>1</v>
      </c>
      <c r="G9" t="inlineStr">
        <is>
          <t>BG009</t>
        </is>
      </c>
      <c r="H9" t="inlineStr">
        <is>
          <t>15 Desember 1999</t>
        </is>
      </c>
      <c r="I9" s="2" t="n">
        <v>46322</v>
      </c>
      <c r="J9" t="inlineStr">
        <is>
          <t>Disetujui</t>
        </is>
      </c>
      <c r="K9" t="n">
        <v>60</v>
      </c>
      <c r="L9" t="inlineStr">
        <is>
          <t>27 Oktober 2026</t>
        </is>
      </c>
      <c r="M9" t="inlineStr">
        <is>
          <t>Konstruksi Gedung Lainnya</t>
        </is>
      </c>
      <c r="N9" t="inlineStr">
        <is>
          <t>K</t>
        </is>
      </c>
      <c r="O9" t="inlineStr">
        <is>
          <t>20231020</t>
        </is>
      </c>
      <c r="P9" t="inlineStr">
        <is>
          <t>Jawa Barat</t>
        </is>
      </c>
      <c r="Q9" t="inlineStr"/>
    </row>
    <row r="10">
      <c r="A10" t="inlineStr">
        <is>
          <t>WASA MITRA ENGINEERING</t>
        </is>
      </c>
      <c r="B10" t="inlineStr">
        <is>
          <t>Kota Adm. Jakarta Timur</t>
        </is>
      </c>
      <c r="C10" t="inlineStr">
        <is>
          <t>0214604968</t>
        </is>
      </c>
      <c r="D10" t="inlineStr">
        <is>
          <t>wme@wasamitra.co.id</t>
        </is>
      </c>
      <c r="E10" t="inlineStr">
        <is>
          <t>https://lpjk.pu.go.id/search-badan-usaha-detail/eURPTTh6bG56L1VQenBGOTZUZTZEZz09</t>
        </is>
      </c>
      <c r="F10" t="n">
        <v>1</v>
      </c>
      <c r="G10" t="inlineStr">
        <is>
          <t>BS007</t>
        </is>
      </c>
      <c r="H10" t="inlineStr">
        <is>
          <t>25 September 1975</t>
        </is>
      </c>
      <c r="I10" s="2" t="n">
        <v>46322</v>
      </c>
      <c r="J10" t="inlineStr">
        <is>
          <t>Disetujui</t>
        </is>
      </c>
      <c r="K10" t="n">
        <v>60</v>
      </c>
      <c r="L10" t="inlineStr">
        <is>
          <t>27 Oktober 2026</t>
        </is>
      </c>
      <c r="M10" t="inlineStr">
        <is>
          <t>Konstruksi Bangunan Sipil Elektrikal</t>
        </is>
      </c>
      <c r="N10" t="inlineStr">
        <is>
          <t>K</t>
        </is>
      </c>
      <c r="O10" t="inlineStr">
        <is>
          <t>20230801</t>
        </is>
      </c>
      <c r="P10" t="inlineStr">
        <is>
          <t>DKI Jakarta</t>
        </is>
      </c>
      <c r="Q10" t="inlineStr"/>
    </row>
    <row r="11">
      <c r="A11" t="inlineStr">
        <is>
          <t>ADEEVA JAYA</t>
        </is>
      </c>
      <c r="B11" t="inlineStr">
        <is>
          <t>Kota Malang</t>
        </is>
      </c>
      <c r="C11" t="inlineStr">
        <is>
          <t>034143592441</t>
        </is>
      </c>
      <c r="D11" t="inlineStr">
        <is>
          <t>adeeva.jayacv@gmail.com</t>
        </is>
      </c>
      <c r="E11" t="inlineStr">
        <is>
          <t>https://lpjk.pu.go.id/search-badan-usaha-detail/VkVzNWZTOWo0U0tEdGp6TmlhNUc5Zz09</t>
        </is>
      </c>
      <c r="F11" t="n">
        <v>2</v>
      </c>
      <c r="G11" t="inlineStr">
        <is>
          <t>BS001, BS004</t>
        </is>
      </c>
      <c r="H11" t="inlineStr">
        <is>
          <t>7 Januari 2016</t>
        </is>
      </c>
      <c r="I11" s="2" t="n">
        <v>46322</v>
      </c>
      <c r="J11" t="inlineStr">
        <is>
          <t>Disetujui</t>
        </is>
      </c>
      <c r="K11" t="n">
        <v>60</v>
      </c>
      <c r="L11" t="inlineStr">
        <is>
          <t>27 Oktober 2026</t>
        </is>
      </c>
      <c r="M11" t="inlineStr">
        <is>
          <t>Konstruksi Bangunan Sipil Jalan, Konstruksi Jaringan Irigasi dan Drainase</t>
        </is>
      </c>
      <c r="N11" t="inlineStr">
        <is>
          <t>K</t>
        </is>
      </c>
      <c r="O11" t="inlineStr">
        <is>
          <t>20231014, 20231026</t>
        </is>
      </c>
      <c r="P11" t="inlineStr">
        <is>
          <t>Jawa Timur</t>
        </is>
      </c>
      <c r="Q11" t="inlineStr"/>
    </row>
    <row r="12">
      <c r="A12" t="inlineStr">
        <is>
          <t>ALEANA</t>
        </is>
      </c>
      <c r="B12" t="inlineStr">
        <is>
          <t>Kota Bandung</t>
        </is>
      </c>
      <c r="C12" t="inlineStr">
        <is>
          <t>081321489049</t>
        </is>
      </c>
      <c r="D12" t="inlineStr">
        <is>
          <t>barokahcvaleana@gmail.com</t>
        </is>
      </c>
      <c r="E12" t="inlineStr">
        <is>
          <t>https://lpjk.pu.go.id/search-badan-usaha-detail/WFROSmlGZXVsWmtTaklhZVB3Mmtpdz09</t>
        </is>
      </c>
      <c r="F12" t="n">
        <v>3</v>
      </c>
      <c r="G12" t="inlineStr">
        <is>
          <t>BG005, BG006, BG009</t>
        </is>
      </c>
      <c r="H12" t="inlineStr">
        <is>
          <t>22 Juni 2012</t>
        </is>
      </c>
      <c r="I12" s="2" t="n">
        <v>46322</v>
      </c>
      <c r="J12" t="inlineStr">
        <is>
          <t>Disetujui</t>
        </is>
      </c>
      <c r="K12" t="n">
        <v>60</v>
      </c>
      <c r="L12" t="inlineStr">
        <is>
          <t>27 Oktober 2026</t>
        </is>
      </c>
      <c r="M12" t="inlineStr">
        <is>
          <t>Konstruksi Gedung Kesehatan, Konstruksi Gedung Lainnya, Konstruksi Gedung Pendidikan</t>
        </is>
      </c>
      <c r="N12" t="inlineStr">
        <is>
          <t>K</t>
        </is>
      </c>
      <c r="O12" t="inlineStr">
        <is>
          <t>20231027, 20231030</t>
        </is>
      </c>
      <c r="P12" t="inlineStr">
        <is>
          <t>Jawa Barat</t>
        </is>
      </c>
      <c r="Q12" t="inlineStr"/>
    </row>
    <row r="13">
      <c r="A13" t="inlineStr">
        <is>
          <t>AMARTA ARSY PERDANA</t>
        </is>
      </c>
      <c r="B13" t="inlineStr">
        <is>
          <t>Kab. Banyumas</t>
        </is>
      </c>
      <c r="C13" t="inlineStr">
        <is>
          <t>085156651668</t>
        </is>
      </c>
      <c r="D13" t="inlineStr">
        <is>
          <t>cv.amartaarsyperdana@gmail.com</t>
        </is>
      </c>
      <c r="E13" t="inlineStr">
        <is>
          <t>https://lpjk.pu.go.id/search-badan-usaha-detail/WkcwZ00yYTMyb2NuNElINlBvQ1ErQT09</t>
        </is>
      </c>
      <c r="F13" t="n">
        <v>4</v>
      </c>
      <c r="G13" t="inlineStr">
        <is>
          <t>BS001, BS006</t>
        </is>
      </c>
      <c r="H13" t="inlineStr">
        <is>
          <t>7 Juni 2017</t>
        </is>
      </c>
      <c r="I13" s="2" t="n">
        <v>46322</v>
      </c>
      <c r="J13" t="inlineStr">
        <is>
          <t>Disetujui</t>
        </is>
      </c>
      <c r="K13" t="n">
        <v>60</v>
      </c>
      <c r="L13" t="inlineStr">
        <is>
          <t>27 Oktober 2026</t>
        </is>
      </c>
      <c r="M13" t="inlineStr">
        <is>
          <t>Konstruksi Bangunan Sipil Jalan, Konstruksi Bangunan Sipil Prasarana dan Sarana Sistem Pengolahan Limbah Padat, Cair, dan Gas</t>
        </is>
      </c>
      <c r="N13" t="inlineStr">
        <is>
          <t>K</t>
        </is>
      </c>
      <c r="O13" t="inlineStr">
        <is>
          <t>20231024, 20231030</t>
        </is>
      </c>
      <c r="P13" t="inlineStr">
        <is>
          <t>Jawa Tengah</t>
        </is>
      </c>
      <c r="Q13" t="inlineStr"/>
    </row>
    <row r="14">
      <c r="A14" t="inlineStr">
        <is>
          <t>ANGKASA ENGINEERS INDONESIA</t>
        </is>
      </c>
      <c r="B14" t="inlineStr">
        <is>
          <t>Kota Batam</t>
        </is>
      </c>
      <c r="C14" t="inlineStr">
        <is>
          <t>082174344232</t>
        </is>
      </c>
      <c r="D14" t="inlineStr">
        <is>
          <t>kelapa.rakyat.utama@gmail.com</t>
        </is>
      </c>
      <c r="E14" t="inlineStr">
        <is>
          <t>https://lpjk.pu.go.id/search-badan-usaha-detail/YnJ3Y1J0VDA0bXFSeTlhRDRBeDdCZz09</t>
        </is>
      </c>
      <c r="F14" t="n">
        <v>2</v>
      </c>
      <c r="G14" t="inlineStr">
        <is>
          <t>IN001</t>
        </is>
      </c>
      <c r="H14" t="inlineStr">
        <is>
          <t>16 Maret 2005</t>
        </is>
      </c>
      <c r="I14" s="2" t="n">
        <v>46322</v>
      </c>
      <c r="J14" t="inlineStr">
        <is>
          <t>Disetujui</t>
        </is>
      </c>
      <c r="K14" t="n">
        <v>60</v>
      </c>
      <c r="L14" t="inlineStr">
        <is>
          <t>27 Oktober 2026</t>
        </is>
      </c>
      <c r="M14" t="inlineStr">
        <is>
          <t>Instalasi Mekanikal</t>
        </is>
      </c>
      <c r="N14" t="inlineStr">
        <is>
          <t>Spesialis</t>
        </is>
      </c>
      <c r="O14" t="inlineStr">
        <is>
          <t>20231023</t>
        </is>
      </c>
      <c r="P14" t="inlineStr">
        <is>
          <t>Kepulauan Riau</t>
        </is>
      </c>
      <c r="Q14" t="inlineStr"/>
    </row>
    <row r="15">
      <c r="A15" t="inlineStr">
        <is>
          <t>ANUGERAH</t>
        </is>
      </c>
      <c r="B15" t="inlineStr">
        <is>
          <t>Kab. Sampang</t>
        </is>
      </c>
      <c r="C15" t="inlineStr">
        <is>
          <t>087761510897</t>
        </is>
      </c>
      <c r="D15" t="inlineStr">
        <is>
          <t>cv.anugerah2023@yahoo.com</t>
        </is>
      </c>
      <c r="E15" t="inlineStr">
        <is>
          <t>https://lpjk.pu.go.id/search-badan-usaha-detail/TU5sWjcvMklXdm9zODBicUpITlpqQT09</t>
        </is>
      </c>
      <c r="F15" t="n">
        <v>2</v>
      </c>
      <c r="G15" t="inlineStr">
        <is>
          <t>BG005, BG006</t>
        </is>
      </c>
      <c r="H15" t="inlineStr">
        <is>
          <t>15 September 2003</t>
        </is>
      </c>
      <c r="I15" s="2" t="n">
        <v>46322</v>
      </c>
      <c r="J15" t="inlineStr">
        <is>
          <t>Disetujui</t>
        </is>
      </c>
      <c r="K15" t="n">
        <v>60</v>
      </c>
      <c r="L15" t="inlineStr">
        <is>
          <t>27 Oktober 2026</t>
        </is>
      </c>
      <c r="M15" t="inlineStr">
        <is>
          <t>Konstruksi Gedung Kesehatan, Konstruksi Gedung Pendidikan</t>
        </is>
      </c>
      <c r="N15" t="inlineStr">
        <is>
          <t>K</t>
        </is>
      </c>
      <c r="O15" t="inlineStr">
        <is>
          <t>20231024, 20231025</t>
        </is>
      </c>
      <c r="P15" t="inlineStr">
        <is>
          <t>Jawa Timur</t>
        </is>
      </c>
      <c r="Q15" t="inlineStr"/>
    </row>
    <row r="16">
      <c r="A16" t="inlineStr">
        <is>
          <t>ANUGRAH BRUNO KITA</t>
        </is>
      </c>
      <c r="B16" t="inlineStr">
        <is>
          <t>Kab. Purworejo</t>
        </is>
      </c>
      <c r="C16" t="inlineStr">
        <is>
          <t>082134694332</t>
        </is>
      </c>
      <c r="D16" t="inlineStr">
        <is>
          <t>cv.abk2023@gmail.com</t>
        </is>
      </c>
      <c r="E16" t="inlineStr">
        <is>
          <t>https://lpjk.pu.go.id/search-badan-usaha-detail/T1ZMT3JUd2thUWk2ZkhrVVNNYU9odz09</t>
        </is>
      </c>
      <c r="F16" t="n">
        <v>14</v>
      </c>
      <c r="G16" t="inlineStr">
        <is>
          <t>BG005, BG006, BG008, BG009, BS001, BS004, BS005</t>
        </is>
      </c>
      <c r="H16" t="inlineStr">
        <is>
          <t>13 September 2023</t>
        </is>
      </c>
      <c r="I16" s="2" t="n">
        <v>46322</v>
      </c>
      <c r="J16" t="inlineStr">
        <is>
          <t>Disetujui</t>
        </is>
      </c>
      <c r="K16" t="n">
        <v>60</v>
      </c>
      <c r="L16" t="inlineStr">
        <is>
          <t>27 Oktober 2026</t>
        </is>
      </c>
      <c r="M16" t="inlineStr">
        <is>
          <t>Konstruksi Bangunan Sipil Jalan, Konstruksi Bangunan Sipil Pengolahan Air Bersih, Konstruksi Gedung Kesehatan, Konstruksi Gedung Lainnya, Konstruksi Gedung Pendidikan, Konstruksi Gedung Tempat Hiburan dan Olahraga, Konstruksi Jaringan Irigasi dan Drainase</t>
        </is>
      </c>
      <c r="N16" t="inlineStr">
        <is>
          <t>K</t>
        </is>
      </c>
      <c r="O16" t="inlineStr">
        <is>
          <t>20231027, 20231103</t>
        </is>
      </c>
      <c r="P16" t="inlineStr">
        <is>
          <t>Jawa Tengah</t>
        </is>
      </c>
      <c r="Q16" t="inlineStr"/>
    </row>
    <row r="17">
      <c r="A17" t="inlineStr">
        <is>
          <t>ASIA MAJU JAYA</t>
        </is>
      </c>
      <c r="B17" t="inlineStr">
        <is>
          <t>Kab. Teluk Wondama</t>
        </is>
      </c>
      <c r="C17" t="inlineStr">
        <is>
          <t>082199784013</t>
        </is>
      </c>
      <c r="D17" t="inlineStr">
        <is>
          <t>asiamajujayacv@gmail.com</t>
        </is>
      </c>
      <c r="E17" t="inlineStr">
        <is>
          <t>https://lpjk.pu.go.id/search-badan-usaha-detail/M29zeUVuZkdXa251TDkyajhZK0JQQT09</t>
        </is>
      </c>
      <c r="F17" t="n">
        <v>1</v>
      </c>
      <c r="G17" t="inlineStr">
        <is>
          <t>BG002</t>
        </is>
      </c>
      <c r="H17" t="inlineStr">
        <is>
          <t>16 Maret 2020</t>
        </is>
      </c>
      <c r="I17" s="2" t="n">
        <v>46322</v>
      </c>
      <c r="J17" t="inlineStr">
        <is>
          <t>Disetujui</t>
        </is>
      </c>
      <c r="K17" t="n">
        <v>60</v>
      </c>
      <c r="L17" t="inlineStr">
        <is>
          <t>27 Oktober 2026</t>
        </is>
      </c>
      <c r="M17" t="inlineStr">
        <is>
          <t>Konstruksi Gedung Perkantoran</t>
        </is>
      </c>
      <c r="N17" t="inlineStr">
        <is>
          <t>K</t>
        </is>
      </c>
      <c r="O17" t="inlineStr">
        <is>
          <t>20231027</t>
        </is>
      </c>
      <c r="P17" t="inlineStr">
        <is>
          <t>Papua Barat</t>
        </is>
      </c>
      <c r="Q17" t="inlineStr"/>
    </row>
    <row r="18">
      <c r="A18" t="inlineStr">
        <is>
          <t>ASRI BERKAH</t>
        </is>
      </c>
      <c r="B18" t="inlineStr">
        <is>
          <t>Kota Solok</t>
        </is>
      </c>
      <c r="C18" t="inlineStr">
        <is>
          <t>085356968552</t>
        </is>
      </c>
      <c r="D18" t="inlineStr">
        <is>
          <t>asriberkah4@gmail.com</t>
        </is>
      </c>
      <c r="E18" t="inlineStr">
        <is>
          <t>https://lpjk.pu.go.id/search-badan-usaha-detail/YkVHQmZRQ0YvY2MzNUdDNzZydGdVdz09</t>
        </is>
      </c>
      <c r="F18" t="n">
        <v>4</v>
      </c>
      <c r="G18" t="inlineStr">
        <is>
          <t>BG005, BG006, BG009, BS001</t>
        </is>
      </c>
      <c r="H18" t="inlineStr">
        <is>
          <t>10 Agustus 2022</t>
        </is>
      </c>
      <c r="I18" s="2" t="n">
        <v>46322</v>
      </c>
      <c r="J18" t="inlineStr">
        <is>
          <t>Disetujui</t>
        </is>
      </c>
      <c r="K18" t="n">
        <v>60</v>
      </c>
      <c r="L18" t="inlineStr">
        <is>
          <t>27 Oktober 2026</t>
        </is>
      </c>
      <c r="M18" t="inlineStr">
        <is>
          <t>Konstruksi Bangunan Sipil Jalan, Konstruksi Gedung Kesehatan, Konstruksi Gedung Lainnya, Konstruksi Gedung Pendidikan</t>
        </is>
      </c>
      <c r="N18" t="inlineStr">
        <is>
          <t>K</t>
        </is>
      </c>
      <c r="O18" t="inlineStr">
        <is>
          <t>20231026, 20231027, 20231028</t>
        </is>
      </c>
      <c r="P18" t="inlineStr">
        <is>
          <t>Sumatera Barat</t>
        </is>
      </c>
      <c r="Q18" t="inlineStr"/>
    </row>
    <row r="19">
      <c r="A19" t="inlineStr">
        <is>
          <t>BAKTI MEKINDO TATAMULIA</t>
        </is>
      </c>
      <c r="B19" t="inlineStr">
        <is>
          <t>Kota Mataram</t>
        </is>
      </c>
      <c r="C19" t="inlineStr">
        <is>
          <t>0370633436</t>
        </is>
      </c>
      <c r="D19" t="inlineStr">
        <is>
          <t>pt.bmt1group@gmail.com</t>
        </is>
      </c>
      <c r="E19" t="inlineStr">
        <is>
          <t>https://lpjk.pu.go.id/search-badan-usaha-detail/NzlPTXVUYzJ2TXVYNHU1UlM3ejhjZz09</t>
        </is>
      </c>
      <c r="F19" t="n">
        <v>1</v>
      </c>
      <c r="G19" t="inlineStr">
        <is>
          <t>BG004</t>
        </is>
      </c>
      <c r="H19" t="inlineStr">
        <is>
          <t>30 November 2005</t>
        </is>
      </c>
      <c r="I19" s="2" t="n">
        <v>46322</v>
      </c>
      <c r="J19" t="inlineStr">
        <is>
          <t>Disetujui</t>
        </is>
      </c>
      <c r="K19" t="n">
        <v>60</v>
      </c>
      <c r="L19" t="inlineStr">
        <is>
          <t>27 Oktober 2026</t>
        </is>
      </c>
      <c r="M19" t="inlineStr">
        <is>
          <t>Konstruksi Gedung Perbelanjaan</t>
        </is>
      </c>
      <c r="N19" t="inlineStr">
        <is>
          <t>K</t>
        </is>
      </c>
      <c r="O19" t="inlineStr">
        <is>
          <t>20231021</t>
        </is>
      </c>
      <c r="P19" t="inlineStr">
        <is>
          <t>Nusa Tenggara Barat</t>
        </is>
      </c>
      <c r="Q19" t="inlineStr"/>
    </row>
    <row r="20">
      <c r="A20" t="inlineStr">
        <is>
          <t>BANGUN PRATAMA</t>
        </is>
      </c>
      <c r="B20" t="inlineStr">
        <is>
          <t>Kota Surabaya</t>
        </is>
      </c>
      <c r="C20" t="inlineStr">
        <is>
          <t>0317322144</t>
        </is>
      </c>
      <c r="D20" t="inlineStr">
        <is>
          <t>legalumum@jadedevelopment.co.id</t>
        </is>
      </c>
      <c r="E20" t="inlineStr">
        <is>
          <t>https://lpjk.pu.go.id/search-badan-usaha-detail/dTRiQ1VGZWtEOEx3QTg3THRkd0hlZz09</t>
        </is>
      </c>
      <c r="F20" t="n">
        <v>2</v>
      </c>
      <c r="G20" t="inlineStr">
        <is>
          <t>BG001, BG002</t>
        </is>
      </c>
      <c r="H20" t="inlineStr">
        <is>
          <t>11 Oktober 2017</t>
        </is>
      </c>
      <c r="I20" s="2" t="n">
        <v>46322</v>
      </c>
      <c r="J20" t="inlineStr">
        <is>
          <t>Disetujui</t>
        </is>
      </c>
      <c r="K20" t="n">
        <v>60</v>
      </c>
      <c r="L20" t="inlineStr">
        <is>
          <t>27 Oktober 2026</t>
        </is>
      </c>
      <c r="M20" t="inlineStr">
        <is>
          <t>Konstruksi Gedung Hunian, Konstruksi Gedung Perkantoran</t>
        </is>
      </c>
      <c r="N20" t="inlineStr">
        <is>
          <t>K</t>
        </is>
      </c>
      <c r="O20" t="inlineStr">
        <is>
          <t>20231023, 20231027</t>
        </is>
      </c>
      <c r="P20" t="inlineStr">
        <is>
          <t>Jawa Timur</t>
        </is>
      </c>
      <c r="Q20" t="inlineStr"/>
    </row>
    <row r="21">
      <c r="A21" t="inlineStr">
        <is>
          <t>BINAWIRA SATYAMANDIRI</t>
        </is>
      </c>
      <c r="B21" t="inlineStr">
        <is>
          <t>Kab. Kubu Raya</t>
        </is>
      </c>
      <c r="C21" t="inlineStr">
        <is>
          <t>08125625566</t>
        </is>
      </c>
      <c r="D21" t="inlineStr">
        <is>
          <t>binawira@yahoo.co.id</t>
        </is>
      </c>
      <c r="E21" t="inlineStr">
        <is>
          <t>https://lpjk.pu.go.id/search-badan-usaha-detail/ckJVZ1J5ZXlQU2RIczdESlBSZERNdz09</t>
        </is>
      </c>
      <c r="F21" t="n">
        <v>2</v>
      </c>
      <c r="G21" t="inlineStr">
        <is>
          <t>BS002, BS004</t>
        </is>
      </c>
      <c r="H21" t="inlineStr">
        <is>
          <t>19 Oktober 1994</t>
        </is>
      </c>
      <c r="I21" s="2" t="n">
        <v>46322</v>
      </c>
      <c r="J21" t="inlineStr">
        <is>
          <t>Disetujui</t>
        </is>
      </c>
      <c r="K21" t="n">
        <v>60</v>
      </c>
      <c r="L21" t="inlineStr">
        <is>
          <t>27 Oktober 2026</t>
        </is>
      </c>
      <c r="M21" t="inlineStr">
        <is>
          <t>Bangunan Sipil Jembatan, Jalan Layang, Fly Over, dan Underpass, Konstruksi Jaringan Irigasi dan Drainase</t>
        </is>
      </c>
      <c r="N21" t="inlineStr">
        <is>
          <t>M</t>
        </is>
      </c>
      <c r="O21" t="inlineStr">
        <is>
          <t>20231025</t>
        </is>
      </c>
      <c r="P21" t="inlineStr">
        <is>
          <t>Kalimantan Barat</t>
        </is>
      </c>
      <c r="Q21" t="inlineStr"/>
    </row>
    <row r="22">
      <c r="A22" t="inlineStr">
        <is>
          <t>BORNEO BIRD JUNIO</t>
        </is>
      </c>
      <c r="B22" t="inlineStr">
        <is>
          <t>Kab. Sanggau</t>
        </is>
      </c>
      <c r="C22" t="inlineStr">
        <is>
          <t>085706134534</t>
        </is>
      </c>
      <c r="D22" t="inlineStr">
        <is>
          <t>borneobird2022@gmail.com</t>
        </is>
      </c>
      <c r="E22" t="inlineStr">
        <is>
          <t>https://lpjk.pu.go.id/search-badan-usaha-detail/OEJVRkp2akM4RWR6K2ZidmloazgzUT09</t>
        </is>
      </c>
      <c r="F22" t="n">
        <v>1</v>
      </c>
      <c r="G22" t="inlineStr">
        <is>
          <t>BS001</t>
        </is>
      </c>
      <c r="H22" t="inlineStr">
        <is>
          <t>4 Januari 2018</t>
        </is>
      </c>
      <c r="I22" s="2" t="n">
        <v>46322</v>
      </c>
      <c r="J22" t="inlineStr">
        <is>
          <t>Disetujui</t>
        </is>
      </c>
      <c r="K22" t="n">
        <v>60</v>
      </c>
      <c r="L22" t="inlineStr">
        <is>
          <t>27 Oktober 2026</t>
        </is>
      </c>
      <c r="M22" t="inlineStr">
        <is>
          <t>Konstruksi Bangunan Sipil Jalan</t>
        </is>
      </c>
      <c r="N22" t="inlineStr">
        <is>
          <t>K</t>
        </is>
      </c>
      <c r="O22" t="inlineStr">
        <is>
          <t>20231022</t>
        </is>
      </c>
      <c r="P22" t="inlineStr">
        <is>
          <t>Kalimantan Barat</t>
        </is>
      </c>
      <c r="Q22" t="inlineStr"/>
    </row>
    <row r="23">
      <c r="A23" t="inlineStr">
        <is>
          <t>CAHAYA INDRA LAKSANA</t>
        </is>
      </c>
      <c r="B23" t="inlineStr">
        <is>
          <t>Kota Yogyakarta</t>
        </is>
      </c>
      <c r="C23" t="inlineStr">
        <is>
          <t>02742880788</t>
        </is>
      </c>
      <c r="D23" t="inlineStr">
        <is>
          <t>cahayaindralaksana@ymail.com</t>
        </is>
      </c>
      <c r="E23" t="inlineStr">
        <is>
          <t>https://lpjk.pu.go.id/search-badan-usaha-detail/dUFEUnJ3V2J0ZUJYblpRbzZKUFJZUT09</t>
        </is>
      </c>
      <c r="F23" t="n">
        <v>3</v>
      </c>
      <c r="G23" t="inlineStr">
        <is>
          <t>PL001, PL003, PL004</t>
        </is>
      </c>
      <c r="H23" t="inlineStr">
        <is>
          <t>26 September 2003</t>
        </is>
      </c>
      <c r="I23" s="2" t="n">
        <v>46322</v>
      </c>
      <c r="J23" t="inlineStr">
        <is>
          <t>Disetujui</t>
        </is>
      </c>
      <c r="K23" t="n">
        <v>60</v>
      </c>
      <c r="L23" t="inlineStr">
        <is>
          <t>27 Oktober 2026</t>
        </is>
      </c>
      <c r="M23" t="inlineStr">
        <is>
          <t>Pekerjaan Tanah, Pembongkaran Bangunan, Penyiapan Lahan Konstruksi</t>
        </is>
      </c>
      <c r="N23" t="inlineStr">
        <is>
          <t>Spesialis</t>
        </is>
      </c>
      <c r="O23" t="inlineStr">
        <is>
          <t>20231018, 20231026</t>
        </is>
      </c>
      <c r="P23" t="inlineStr">
        <is>
          <t>DI Yogyakarta</t>
        </is>
      </c>
      <c r="Q23" t="inlineStr"/>
    </row>
    <row r="24">
      <c r="A24" t="inlineStr">
        <is>
          <t>CIPTA BAHAGIA UTAMA</t>
        </is>
      </c>
      <c r="B24" t="inlineStr">
        <is>
          <t>Kota Makassar</t>
        </is>
      </c>
      <c r="C24" t="inlineStr">
        <is>
          <t>081342097871</t>
        </is>
      </c>
      <c r="D24" t="inlineStr">
        <is>
          <t>cv.ciptabahagiautama@gmail.com</t>
        </is>
      </c>
      <c r="E24" t="inlineStr">
        <is>
          <t>https://lpjk.pu.go.id/search-badan-usaha-detail/dUVGRXVZVHlCK3R1RUt4UHRENzJVQT09</t>
        </is>
      </c>
      <c r="F24" t="n">
        <v>2</v>
      </c>
      <c r="G24" t="inlineStr">
        <is>
          <t>BG002</t>
        </is>
      </c>
      <c r="H24" t="inlineStr">
        <is>
          <t>11 Februari 1999</t>
        </is>
      </c>
      <c r="I24" s="2" t="n">
        <v>46322</v>
      </c>
      <c r="J24" t="inlineStr">
        <is>
          <t>Disetujui</t>
        </is>
      </c>
      <c r="K24" t="n">
        <v>60</v>
      </c>
      <c r="L24" t="inlineStr">
        <is>
          <t>27 Oktober 2026</t>
        </is>
      </c>
      <c r="M24" t="inlineStr">
        <is>
          <t>Konstruksi Gedung Perkantoran</t>
        </is>
      </c>
      <c r="N24" t="inlineStr">
        <is>
          <t>K</t>
        </is>
      </c>
      <c r="O24" t="inlineStr">
        <is>
          <t>20231026</t>
        </is>
      </c>
      <c r="P24" t="inlineStr">
        <is>
          <t>Sulawesi Selatan</t>
        </is>
      </c>
      <c r="Q24" t="inlineStr"/>
    </row>
    <row r="25">
      <c r="A25" t="inlineStr">
        <is>
          <t>CIPTA KARYA</t>
        </is>
      </c>
      <c r="B25" t="inlineStr">
        <is>
          <t>Kab. Konawe Selatan</t>
        </is>
      </c>
      <c r="C25" t="inlineStr">
        <is>
          <t>085396102043</t>
        </is>
      </c>
      <c r="D25" t="inlineStr">
        <is>
          <t>ciptakarya217@yahoo.co.id</t>
        </is>
      </c>
      <c r="E25" t="inlineStr">
        <is>
          <t>https://lpjk.pu.go.id/search-badan-usaha-detail/K1hZKzB5Mno5bWttUlRQeEp6SVg0TGN4dXZtV1pYSk1uZ210MzZTQWhvOD0</t>
        </is>
      </c>
      <c r="F25" t="n">
        <v>2</v>
      </c>
      <c r="G25" t="inlineStr">
        <is>
          <t>BG009</t>
        </is>
      </c>
      <c r="H25" t="inlineStr">
        <is>
          <t>28 Desember 2015</t>
        </is>
      </c>
      <c r="I25" s="2" t="n">
        <v>46322</v>
      </c>
      <c r="J25" t="inlineStr">
        <is>
          <t>Disetujui</t>
        </is>
      </c>
      <c r="K25" t="n">
        <v>60</v>
      </c>
      <c r="L25" t="inlineStr">
        <is>
          <t>27 Oktober 2026</t>
        </is>
      </c>
      <c r="M25" t="inlineStr">
        <is>
          <t>Konstruksi Gedung Lainnya</t>
        </is>
      </c>
      <c r="N25" t="inlineStr">
        <is>
          <t>K</t>
        </is>
      </c>
      <c r="O25" t="inlineStr">
        <is>
          <t>20231026</t>
        </is>
      </c>
      <c r="P25" t="inlineStr">
        <is>
          <t>Sulawesi Tenggara</t>
        </is>
      </c>
      <c r="Q25" t="inlineStr"/>
    </row>
    <row r="26">
      <c r="A26" t="inlineStr">
        <is>
          <t>CIPTA RAYA KONSTRUKSI</t>
        </is>
      </c>
      <c r="B26" t="inlineStr">
        <is>
          <t>Kota Kendari</t>
        </is>
      </c>
      <c r="C26" t="inlineStr">
        <is>
          <t>082196666828</t>
        </is>
      </c>
      <c r="D26" t="inlineStr">
        <is>
          <t>ciptarayakonstruksi2019@gmail.com</t>
        </is>
      </c>
      <c r="E26" t="inlineStr">
        <is>
          <t>https://lpjk.pu.go.id/search-badan-usaha-detail/WForQlphNm84U2NWcnB5MEhsTHpyQT09</t>
        </is>
      </c>
      <c r="F26" t="n">
        <v>2</v>
      </c>
      <c r="G26" t="inlineStr">
        <is>
          <t>BG009</t>
        </is>
      </c>
      <c r="H26" t="inlineStr">
        <is>
          <t>6 September 2023</t>
        </is>
      </c>
      <c r="I26" s="2" t="n">
        <v>46322</v>
      </c>
      <c r="J26" t="inlineStr">
        <is>
          <t>Disetujui</t>
        </is>
      </c>
      <c r="K26" t="n">
        <v>60</v>
      </c>
      <c r="L26" t="inlineStr">
        <is>
          <t>27 Oktober 2026</t>
        </is>
      </c>
      <c r="M26" t="inlineStr">
        <is>
          <t>Konstruksi Gedung Lainnya</t>
        </is>
      </c>
      <c r="N26" t="inlineStr">
        <is>
          <t>K</t>
        </is>
      </c>
      <c r="O26" t="inlineStr">
        <is>
          <t>20231012</t>
        </is>
      </c>
      <c r="P26" t="inlineStr">
        <is>
          <t>Sulawesi Tenggara</t>
        </is>
      </c>
      <c r="Q26" t="inlineStr"/>
    </row>
    <row r="27">
      <c r="A27" t="inlineStr">
        <is>
          <t>DHARMA PUTRA UTAMA</t>
        </is>
      </c>
      <c r="B27" t="inlineStr">
        <is>
          <t>Kab. Jombang</t>
        </is>
      </c>
      <c r="C27" t="inlineStr">
        <is>
          <t>0321866479</t>
        </is>
      </c>
      <c r="D27" t="inlineStr">
        <is>
          <t>dharmaputrautama8@gmail.com</t>
        </is>
      </c>
      <c r="E27" t="inlineStr">
        <is>
          <t>https://lpjk.pu.go.id/search-badan-usaha-detail/UWN2dk9xSDltOHc0MFRHa3hzanVoZz09</t>
        </is>
      </c>
      <c r="F27" t="n">
        <v>2</v>
      </c>
      <c r="G27" t="inlineStr">
        <is>
          <t>BG004, BG005</t>
        </is>
      </c>
      <c r="H27" t="inlineStr">
        <is>
          <t>24 Oktober 2002</t>
        </is>
      </c>
      <c r="I27" s="2" t="n">
        <v>46322</v>
      </c>
      <c r="J27" t="inlineStr">
        <is>
          <t>Disetujui</t>
        </is>
      </c>
      <c r="K27" t="n">
        <v>60</v>
      </c>
      <c r="L27" t="inlineStr">
        <is>
          <t>27 Oktober 2026</t>
        </is>
      </c>
      <c r="M27" t="inlineStr">
        <is>
          <t>Konstruksi Gedung Kesehatan, Konstruksi Gedung Perbelanjaan</t>
        </is>
      </c>
      <c r="N27" t="inlineStr">
        <is>
          <t>K</t>
        </is>
      </c>
      <c r="O27" t="inlineStr">
        <is>
          <t>20231024, 20231027</t>
        </is>
      </c>
      <c r="P27" t="inlineStr">
        <is>
          <t>Jawa Timur</t>
        </is>
      </c>
      <c r="Q27" t="inlineStr"/>
    </row>
    <row r="28">
      <c r="A28" t="inlineStr">
        <is>
          <t>DIVA MITRA MANDIRI</t>
        </is>
      </c>
      <c r="B28" t="inlineStr">
        <is>
          <t>Kota Padang</t>
        </is>
      </c>
      <c r="C28" t="inlineStr">
        <is>
          <t>081267694444</t>
        </is>
      </c>
      <c r="D28" t="inlineStr">
        <is>
          <t>divamitramandiri@gmail.com</t>
        </is>
      </c>
      <c r="E28" t="inlineStr">
        <is>
          <t>https://lpjk.pu.go.id/search-badan-usaha-detail/am1ZU1VTM3BuOGRTM0ZTc3V1TTR1dz09</t>
        </is>
      </c>
      <c r="F28" t="n">
        <v>1</v>
      </c>
      <c r="G28" t="inlineStr">
        <is>
          <t>BG001</t>
        </is>
      </c>
      <c r="H28" t="inlineStr">
        <is>
          <t>14 Maret 2017</t>
        </is>
      </c>
      <c r="I28" s="2" t="n">
        <v>46322</v>
      </c>
      <c r="J28" t="inlineStr">
        <is>
          <t>Disetujui</t>
        </is>
      </c>
      <c r="K28" t="n">
        <v>60</v>
      </c>
      <c r="L28" t="inlineStr">
        <is>
          <t>27 Oktober 2026</t>
        </is>
      </c>
      <c r="M28" t="inlineStr">
        <is>
          <t>Konstruksi Gedung Hunian</t>
        </is>
      </c>
      <c r="N28" t="inlineStr">
        <is>
          <t>K</t>
        </is>
      </c>
      <c r="O28" t="inlineStr">
        <is>
          <t>20231024</t>
        </is>
      </c>
      <c r="P28" t="inlineStr">
        <is>
          <t>Sumatera Barat</t>
        </is>
      </c>
      <c r="Q28" t="inlineStr"/>
    </row>
    <row r="29">
      <c r="A29" t="inlineStr">
        <is>
          <t>DWI KARYA</t>
        </is>
      </c>
      <c r="B29" t="inlineStr">
        <is>
          <t>Kab. Bondowoso</t>
        </is>
      </c>
      <c r="C29" t="inlineStr">
        <is>
          <t>08123563023</t>
        </is>
      </c>
      <c r="D29" t="inlineStr">
        <is>
          <t>babynisazahira@yahoo.com</t>
        </is>
      </c>
      <c r="E29" t="inlineStr">
        <is>
          <t>https://lpjk.pu.go.id/search-badan-usaha-detail/WFQyUS9IUVA2NDZmbkl6QWMwNzFkbXhWWDNIb21Ydm9qWG9WTEZZR1hBdz0</t>
        </is>
      </c>
      <c r="F29" t="n">
        <v>1</v>
      </c>
      <c r="G29" t="inlineStr">
        <is>
          <t>BG001</t>
        </is>
      </c>
      <c r="H29" t="inlineStr">
        <is>
          <t>15 Agustus 2025</t>
        </is>
      </c>
      <c r="I29" s="2" t="n">
        <v>46322</v>
      </c>
      <c r="J29" t="inlineStr">
        <is>
          <t>Disetujui</t>
        </is>
      </c>
      <c r="K29" t="n">
        <v>60</v>
      </c>
      <c r="L29" t="inlineStr">
        <is>
          <t>27 Oktober 2026</t>
        </is>
      </c>
      <c r="M29" t="inlineStr">
        <is>
          <t>Konstruksi Gedung Hunian</t>
        </is>
      </c>
      <c r="N29" t="inlineStr">
        <is>
          <t>K</t>
        </is>
      </c>
      <c r="O29" t="inlineStr">
        <is>
          <t>20231024</t>
        </is>
      </c>
      <c r="P29" t="inlineStr">
        <is>
          <t>Jawa Timur</t>
        </is>
      </c>
      <c r="Q29" t="inlineStr"/>
    </row>
    <row r="30">
      <c r="A30" t="inlineStr">
        <is>
          <t>ELURI GROUP</t>
        </is>
      </c>
      <c r="B30" t="inlineStr">
        <is>
          <t>Kab. Cianjur</t>
        </is>
      </c>
      <c r="C30" t="inlineStr">
        <is>
          <t>085216670766</t>
        </is>
      </c>
      <c r="D30" t="inlineStr">
        <is>
          <t>elurigroup@yahoo.com</t>
        </is>
      </c>
      <c r="E30" t="inlineStr">
        <is>
          <t>https://lpjk.pu.go.id/search-badan-usaha-detail/SnJ3SW5Gd3JTMWM5QWxvUTlNMWtxUT09</t>
        </is>
      </c>
      <c r="F30" t="n">
        <v>1</v>
      </c>
      <c r="G30" t="inlineStr">
        <is>
          <t>BS001</t>
        </is>
      </c>
      <c r="H30" t="inlineStr">
        <is>
          <t>1 Oktober 1993</t>
        </is>
      </c>
      <c r="I30" s="2" t="n">
        <v>46322</v>
      </c>
      <c r="J30" t="inlineStr">
        <is>
          <t>Disetujui</t>
        </is>
      </c>
      <c r="K30" t="n">
        <v>60</v>
      </c>
      <c r="L30" t="inlineStr">
        <is>
          <t>27 Oktober 2026</t>
        </is>
      </c>
      <c r="M30" t="inlineStr">
        <is>
          <t>Konstruksi Bangunan Sipil Jalan</t>
        </is>
      </c>
      <c r="N30" t="inlineStr">
        <is>
          <t>K</t>
        </is>
      </c>
      <c r="O30" t="inlineStr">
        <is>
          <t>20231026</t>
        </is>
      </c>
      <c r="P30" t="inlineStr">
        <is>
          <t>Jawa Barat</t>
        </is>
      </c>
      <c r="Q30" t="inlineStr"/>
    </row>
    <row r="31">
      <c r="A31" t="inlineStr">
        <is>
          <t>ENAMPILAR UTAMA</t>
        </is>
      </c>
      <c r="B31" t="inlineStr">
        <is>
          <t>Kota Tanjung Pinang</t>
        </is>
      </c>
      <c r="C31" t="inlineStr">
        <is>
          <t>085263574728</t>
        </is>
      </c>
      <c r="D31" t="inlineStr">
        <is>
          <t>cv.enampilar2022@gmail.com</t>
        </is>
      </c>
      <c r="E31" t="inlineStr">
        <is>
          <t>https://lpjk.pu.go.id/search-badan-usaha-detail/WkVHUDk0bHhlMUhtZVVGUkU2UzAwZz09</t>
        </is>
      </c>
      <c r="F31" t="n">
        <v>4</v>
      </c>
      <c r="G31" t="inlineStr">
        <is>
          <t>BG002, BG005, BG006, BG009</t>
        </is>
      </c>
      <c r="H31" t="inlineStr">
        <is>
          <t>7 Januari 2022</t>
        </is>
      </c>
      <c r="I31" s="2" t="n">
        <v>46322</v>
      </c>
      <c r="J31" t="inlineStr">
        <is>
          <t>Pencabutan</t>
        </is>
      </c>
      <c r="K31" t="n">
        <v>60</v>
      </c>
      <c r="L31" t="inlineStr">
        <is>
          <t>27 Oktober 2026</t>
        </is>
      </c>
      <c r="M31" t="inlineStr">
        <is>
          <t>Konstruksi Gedung Kesehatan, Konstruksi Gedung Lainnya, Konstruksi Gedung Pendidikan, Konstruksi Gedung Perkantoran</t>
        </is>
      </c>
      <c r="N31" t="inlineStr">
        <is>
          <t>K</t>
        </is>
      </c>
      <c r="O31" t="inlineStr">
        <is>
          <t>20231025</t>
        </is>
      </c>
      <c r="P31" t="inlineStr">
        <is>
          <t>Kepulauan Riau</t>
        </is>
      </c>
      <c r="Q31" t="inlineStr"/>
    </row>
    <row r="32">
      <c r="A32" t="inlineStr">
        <is>
          <t>GARUDA KANUGRAHA</t>
        </is>
      </c>
      <c r="B32" t="inlineStr">
        <is>
          <t>Kota Pekalongan</t>
        </is>
      </c>
      <c r="C32" t="inlineStr">
        <is>
          <t>085642744919</t>
        </is>
      </c>
      <c r="D32" t="inlineStr">
        <is>
          <t>garudakanugraha@yahoo.co.id</t>
        </is>
      </c>
      <c r="E32" t="inlineStr">
        <is>
          <t>https://lpjk.pu.go.id/search-badan-usaha-detail/bWtlWUhNQThkVTVWZDlvdTJBVWgyQT09</t>
        </is>
      </c>
      <c r="F32" t="n">
        <v>1</v>
      </c>
      <c r="G32" t="inlineStr">
        <is>
          <t>BS001</t>
        </is>
      </c>
      <c r="H32" t="inlineStr">
        <is>
          <t>13 Agustus 1993</t>
        </is>
      </c>
      <c r="I32" s="2" t="n">
        <v>46322</v>
      </c>
      <c r="J32" t="inlineStr">
        <is>
          <t>Disetujui</t>
        </is>
      </c>
      <c r="K32" t="n">
        <v>60</v>
      </c>
      <c r="L32" t="inlineStr">
        <is>
          <t>27 Oktober 2026</t>
        </is>
      </c>
      <c r="M32" t="inlineStr">
        <is>
          <t>Konstruksi Bangunan Sipil Jalan</t>
        </is>
      </c>
      <c r="N32" t="inlineStr">
        <is>
          <t>K</t>
        </is>
      </c>
      <c r="O32" t="inlineStr">
        <is>
          <t>20231026</t>
        </is>
      </c>
      <c r="P32" t="inlineStr">
        <is>
          <t>Jawa Tengah</t>
        </is>
      </c>
      <c r="Q32" t="inlineStr"/>
    </row>
    <row r="33">
      <c r="A33" t="inlineStr">
        <is>
          <t>GUNA SUPRAINDO BENTARA</t>
        </is>
      </c>
      <c r="B33" t="inlineStr">
        <is>
          <t>Kota Adm. Jakarta Barat</t>
        </is>
      </c>
      <c r="C33" t="inlineStr">
        <is>
          <t>0215606671</t>
        </is>
      </c>
      <c r="D33" t="inlineStr">
        <is>
          <t>gsb.2014@yahoo.com</t>
        </is>
      </c>
      <c r="E33" t="inlineStr">
        <is>
          <t>https://lpjk.pu.go.id/search-badan-usaha-detail/aWtrYStvd2VRR3VPS0VqWGpuenF4UT09</t>
        </is>
      </c>
      <c r="F33" t="n">
        <v>4</v>
      </c>
      <c r="G33" t="inlineStr">
        <is>
          <t>BG002, BG004, BG007, BG008</t>
        </is>
      </c>
      <c r="H33" t="inlineStr">
        <is>
          <t>11 November 2020</t>
        </is>
      </c>
      <c r="I33" s="2" t="n">
        <v>46322</v>
      </c>
      <c r="J33" t="inlineStr">
        <is>
          <t>Disetujui</t>
        </is>
      </c>
      <c r="K33" t="n">
        <v>60</v>
      </c>
      <c r="L33" t="inlineStr">
        <is>
          <t>27 Oktober 2026</t>
        </is>
      </c>
      <c r="M33" t="inlineStr">
        <is>
          <t>Konstruksi Gedung Penginapan, Konstruksi Gedung Perbelanjaan, Konstruksi Gedung Perkantoran, Konstruksi Gedung Tempat Hiburan dan Olahraga</t>
        </is>
      </c>
      <c r="N33" t="inlineStr">
        <is>
          <t>K</t>
        </is>
      </c>
      <c r="O33" t="inlineStr">
        <is>
          <t>20231024, 20231025</t>
        </is>
      </c>
      <c r="P33" t="inlineStr">
        <is>
          <t>DKI Jakarta</t>
        </is>
      </c>
      <c r="Q33" t="inlineStr"/>
    </row>
    <row r="34">
      <c r="A34" t="inlineStr">
        <is>
          <t>INTI SOLUSI PERMITELINDO</t>
        </is>
      </c>
      <c r="B34" t="inlineStr">
        <is>
          <t>Kota Tangerang Selatan</t>
        </is>
      </c>
      <c r="C34" t="inlineStr">
        <is>
          <t>628161602667</t>
        </is>
      </c>
      <c r="D34" t="inlineStr">
        <is>
          <t>isp.solusi@yahoo.com</t>
        </is>
      </c>
      <c r="E34" t="inlineStr">
        <is>
          <t>https://lpjk.pu.go.id/search-badan-usaha-detail/ajIzL051djN4dzd6cDlJcXZ1UndtUT09</t>
        </is>
      </c>
      <c r="F34" t="n">
        <v>1</v>
      </c>
      <c r="G34" t="inlineStr">
        <is>
          <t>BG009</t>
        </is>
      </c>
      <c r="H34" t="inlineStr">
        <is>
          <t>3 Oktober 2006</t>
        </is>
      </c>
      <c r="I34" s="2" t="n">
        <v>46322</v>
      </c>
      <c r="J34" t="inlineStr">
        <is>
          <t>Pencabutan</t>
        </is>
      </c>
      <c r="K34" t="n">
        <v>60</v>
      </c>
      <c r="L34" t="inlineStr">
        <is>
          <t>27 Oktober 2026</t>
        </is>
      </c>
      <c r="M34" t="inlineStr">
        <is>
          <t>Konstruksi Gedung Lainnya</t>
        </is>
      </c>
      <c r="N34" t="inlineStr">
        <is>
          <t>K</t>
        </is>
      </c>
      <c r="O34" t="inlineStr">
        <is>
          <t>20231027</t>
        </is>
      </c>
      <c r="P34" t="inlineStr">
        <is>
          <t>Banten</t>
        </is>
      </c>
      <c r="Q34" t="inlineStr"/>
    </row>
    <row r="35">
      <c r="A35" t="inlineStr">
        <is>
          <t>INTI USAHA NUSANTARA</t>
        </is>
      </c>
      <c r="B35" t="inlineStr">
        <is>
          <t>Kota Adm. Jakarta Selatan</t>
        </is>
      </c>
      <c r="C35" t="inlineStr">
        <is>
          <t>081223023016</t>
        </is>
      </c>
      <c r="D35" t="inlineStr">
        <is>
          <t>ihyanasution@gmail.com</t>
        </is>
      </c>
      <c r="E35" t="inlineStr">
        <is>
          <t>https://lpjk.pu.go.id/search-badan-usaha-detail/NUJxYldrZ2JsSFBaZmx3ZER3R2FjUT09</t>
        </is>
      </c>
      <c r="F35" t="n">
        <v>1</v>
      </c>
      <c r="G35" t="inlineStr">
        <is>
          <t>BG002</t>
        </is>
      </c>
      <c r="H35" t="inlineStr">
        <is>
          <t>19 Juli 2021</t>
        </is>
      </c>
      <c r="I35" s="2" t="n">
        <v>46322</v>
      </c>
      <c r="J35" t="inlineStr">
        <is>
          <t>Disetujui</t>
        </is>
      </c>
      <c r="K35" t="n">
        <v>60</v>
      </c>
      <c r="L35" t="inlineStr">
        <is>
          <t>27 Oktober 2026</t>
        </is>
      </c>
      <c r="M35" t="inlineStr">
        <is>
          <t>Konstruksi Gedung Perkantoran</t>
        </is>
      </c>
      <c r="N35" t="inlineStr">
        <is>
          <t>K</t>
        </is>
      </c>
      <c r="O35" t="inlineStr">
        <is>
          <t>20231026</t>
        </is>
      </c>
      <c r="P35" t="inlineStr">
        <is>
          <t>DKI Jakarta</t>
        </is>
      </c>
      <c r="Q35" t="inlineStr"/>
    </row>
    <row r="36">
      <c r="A36" t="inlineStr">
        <is>
          <t>JAYA INDO TAMA</t>
        </is>
      </c>
      <c r="B36" t="inlineStr">
        <is>
          <t>Kota Surabaya</t>
        </is>
      </c>
      <c r="C36" t="inlineStr">
        <is>
          <t>0318070536</t>
        </is>
      </c>
      <c r="D36" t="inlineStr">
        <is>
          <t>cvjayaindotama@gmail.com</t>
        </is>
      </c>
      <c r="E36" t="inlineStr">
        <is>
          <t>https://lpjk.pu.go.id/search-badan-usaha-detail/UFRZQnpmd0dQc3RRc3VzUnJoZDZFQT09</t>
        </is>
      </c>
      <c r="F36" t="n">
        <v>2</v>
      </c>
      <c r="G36" t="inlineStr">
        <is>
          <t>BG005, BG009</t>
        </is>
      </c>
      <c r="H36" t="inlineStr">
        <is>
          <t>5 Oktober 2016</t>
        </is>
      </c>
      <c r="I36" s="2" t="n">
        <v>46322</v>
      </c>
      <c r="J36" t="inlineStr">
        <is>
          <t>Disetujui</t>
        </is>
      </c>
      <c r="K36" t="n">
        <v>60</v>
      </c>
      <c r="L36" t="inlineStr">
        <is>
          <t>27 Oktober 2026</t>
        </is>
      </c>
      <c r="M36" t="inlineStr">
        <is>
          <t>Konstruksi Gedung Kesehatan, Konstruksi Gedung Lainnya</t>
        </is>
      </c>
      <c r="N36" t="inlineStr">
        <is>
          <t>K</t>
        </is>
      </c>
      <c r="O36" t="inlineStr">
        <is>
          <t>20231025, 20231030</t>
        </is>
      </c>
      <c r="P36" t="inlineStr">
        <is>
          <t>Jawa Timur</t>
        </is>
      </c>
      <c r="Q36" t="inlineStr"/>
    </row>
    <row r="37">
      <c r="A37" t="inlineStr">
        <is>
          <t>LIANDRA ANUGRAH JAYA</t>
        </is>
      </c>
      <c r="B37" t="inlineStr">
        <is>
          <t>Kota Padang</t>
        </is>
      </c>
      <c r="C37" t="inlineStr">
        <is>
          <t>085376765566</t>
        </is>
      </c>
      <c r="D37" t="inlineStr">
        <is>
          <t>liandraanugrahjaya@gmail.com</t>
        </is>
      </c>
      <c r="E37" t="inlineStr">
        <is>
          <t>https://lpjk.pu.go.id/search-badan-usaha-detail/bUpPQmtHY1UxQjRmSks0bWxveGdYQT09</t>
        </is>
      </c>
      <c r="F37" t="n">
        <v>2</v>
      </c>
      <c r="G37" t="inlineStr">
        <is>
          <t>BG006, BG009</t>
        </is>
      </c>
      <c r="H37" t="inlineStr">
        <is>
          <t>4 September 2020</t>
        </is>
      </c>
      <c r="I37" s="2" t="n">
        <v>46322</v>
      </c>
      <c r="J37" t="inlineStr">
        <is>
          <t>Disetujui</t>
        </is>
      </c>
      <c r="K37" t="n">
        <v>60</v>
      </c>
      <c r="L37" t="inlineStr">
        <is>
          <t>27 Oktober 2026</t>
        </is>
      </c>
      <c r="M37" t="inlineStr">
        <is>
          <t>Konstruksi Gedung Lainnya, Konstruksi Gedung Pendidikan</t>
        </is>
      </c>
      <c r="N37" t="inlineStr">
        <is>
          <t>K</t>
        </is>
      </c>
      <c r="O37" t="inlineStr">
        <is>
          <t>20231027</t>
        </is>
      </c>
      <c r="P37" t="inlineStr">
        <is>
          <t>Sumatera Barat</t>
        </is>
      </c>
      <c r="Q37" t="inlineStr"/>
    </row>
    <row r="38">
      <c r="A38" t="inlineStr">
        <is>
          <t>LINTANG RAYA</t>
        </is>
      </c>
      <c r="B38" t="inlineStr">
        <is>
          <t>Kab. Batang</t>
        </is>
      </c>
      <c r="C38" t="inlineStr">
        <is>
          <t>081228558468</t>
        </is>
      </c>
      <c r="D38" t="inlineStr">
        <is>
          <t>lintangrayacv@gmail.com</t>
        </is>
      </c>
      <c r="E38" t="inlineStr">
        <is>
          <t>https://lpjk.pu.go.id/search-badan-usaha-detail/VVBKVmdNRDZqb3o2a2loNER4N0JTUT09</t>
        </is>
      </c>
      <c r="F38" t="n">
        <v>8</v>
      </c>
      <c r="G38" t="inlineStr">
        <is>
          <t>BG005, BG006, BS001, BS005</t>
        </is>
      </c>
      <c r="H38" t="inlineStr">
        <is>
          <t>25 Februari 2023</t>
        </is>
      </c>
      <c r="I38" s="2" t="n">
        <v>46322</v>
      </c>
      <c r="J38" t="inlineStr">
        <is>
          <t>Disetujui</t>
        </is>
      </c>
      <c r="K38" t="n">
        <v>60</v>
      </c>
      <c r="L38" t="inlineStr">
        <is>
          <t>27 Oktober 2026</t>
        </is>
      </c>
      <c r="M38" t="inlineStr">
        <is>
          <t>Konstruksi Bangunan Sipil Jalan, Konstruksi Bangunan Sipil Pengolahan Air Bersih, Konstruksi Gedung Kesehatan, Konstruksi Gedung Pendidikan</t>
        </is>
      </c>
      <c r="N38" t="inlineStr">
        <is>
          <t>K</t>
        </is>
      </c>
      <c r="O38" t="inlineStr">
        <is>
          <t>20231017, 20231025</t>
        </is>
      </c>
      <c r="P38" t="inlineStr">
        <is>
          <t>Jawa Tengah</t>
        </is>
      </c>
      <c r="Q38" t="inlineStr"/>
    </row>
    <row r="39">
      <c r="A39" t="inlineStr">
        <is>
          <t>MEKAR JAYA ANUGRAH</t>
        </is>
      </c>
      <c r="B39" t="inlineStr">
        <is>
          <t>Kota Pekanbaru</t>
        </is>
      </c>
      <c r="C39" t="inlineStr">
        <is>
          <t>082284383254</t>
        </is>
      </c>
      <c r="D39" t="inlineStr">
        <is>
          <t>jayacvmekar5@gmail.com</t>
        </is>
      </c>
      <c r="E39" t="inlineStr">
        <is>
          <t>https://lpjk.pu.go.id/search-badan-usaha-detail/djVMSWRVY2NFSWpOYkZtQSttaWZVUT09</t>
        </is>
      </c>
      <c r="F39" t="n">
        <v>2</v>
      </c>
      <c r="G39" t="inlineStr">
        <is>
          <t>BG001</t>
        </is>
      </c>
      <c r="H39" t="inlineStr">
        <is>
          <t>4 Juli 2023</t>
        </is>
      </c>
      <c r="I39" s="2" t="n">
        <v>46322</v>
      </c>
      <c r="J39" t="inlineStr">
        <is>
          <t>Disetujui</t>
        </is>
      </c>
      <c r="K39" t="n">
        <v>60</v>
      </c>
      <c r="L39" t="inlineStr">
        <is>
          <t>27 Oktober 2026</t>
        </is>
      </c>
      <c r="M39" t="inlineStr">
        <is>
          <t>Konstruksi Gedung Hunian</t>
        </is>
      </c>
      <c r="N39" t="inlineStr">
        <is>
          <t>K</t>
        </is>
      </c>
      <c r="O39" t="inlineStr">
        <is>
          <t>20231027</t>
        </is>
      </c>
      <c r="P39" t="inlineStr">
        <is>
          <t>Riau</t>
        </is>
      </c>
      <c r="Q39" t="inlineStr"/>
    </row>
    <row r="40">
      <c r="A40" t="inlineStr">
        <is>
          <t>MEKAR MULIA CONTRACTOR</t>
        </is>
      </c>
      <c r="B40" t="inlineStr">
        <is>
          <t>Kab. Pati</t>
        </is>
      </c>
      <c r="C40" t="inlineStr">
        <is>
          <t>081328208885</t>
        </is>
      </c>
      <c r="D40" t="inlineStr">
        <is>
          <t>mekarmuliacontractor@gmail.com</t>
        </is>
      </c>
      <c r="E40" t="inlineStr">
        <is>
          <t>https://lpjk.pu.go.id/search-badan-usaha-detail/OG8wU05TdGt2eEMzUTU4UGh1OVNOdz09</t>
        </is>
      </c>
      <c r="F40" t="n">
        <v>2</v>
      </c>
      <c r="G40" t="inlineStr">
        <is>
          <t>BG001</t>
        </is>
      </c>
      <c r="H40" t="inlineStr">
        <is>
          <t>13 Februari 2017</t>
        </is>
      </c>
      <c r="I40" s="2" t="n">
        <v>46322</v>
      </c>
      <c r="J40" t="inlineStr">
        <is>
          <t>Pembekuan</t>
        </is>
      </c>
      <c r="K40" t="n">
        <v>60</v>
      </c>
      <c r="L40" t="inlineStr">
        <is>
          <t>27 Oktober 2026</t>
        </is>
      </c>
      <c r="M40" t="inlineStr">
        <is>
          <t>Konstruksi Gedung Hunian</t>
        </is>
      </c>
      <c r="N40" t="inlineStr">
        <is>
          <t>M</t>
        </is>
      </c>
      <c r="O40" t="inlineStr">
        <is>
          <t>20231025</t>
        </is>
      </c>
      <c r="P40" t="inlineStr">
        <is>
          <t>Jawa Tengah</t>
        </is>
      </c>
      <c r="Q40" t="inlineStr"/>
    </row>
    <row r="41">
      <c r="A41" t="inlineStr">
        <is>
          <t>MUJUR KARYA SENTOSA</t>
        </is>
      </c>
      <c r="B41" t="inlineStr">
        <is>
          <t>Kab. Deli Serdang</t>
        </is>
      </c>
      <c r="C41" t="inlineStr">
        <is>
          <t>08116066697</t>
        </is>
      </c>
      <c r="D41" t="inlineStr">
        <is>
          <t>mujurkaryasentosa@gmail.com</t>
        </is>
      </c>
      <c r="E41" t="inlineStr">
        <is>
          <t>https://lpjk.pu.go.id/search-badan-usaha-detail/RFI5V01IN0pGcDY3NDl1WlNEZ3Y3dz09</t>
        </is>
      </c>
      <c r="F41" t="n">
        <v>1</v>
      </c>
      <c r="G41" t="inlineStr">
        <is>
          <t>PL003</t>
        </is>
      </c>
      <c r="H41" t="inlineStr">
        <is>
          <t>12 November 2019</t>
        </is>
      </c>
      <c r="I41" s="2" t="n">
        <v>46322</v>
      </c>
      <c r="J41" t="inlineStr">
        <is>
          <t>Pembekuan</t>
        </is>
      </c>
      <c r="K41" t="n">
        <v>60</v>
      </c>
      <c r="L41" t="inlineStr">
        <is>
          <t>27 Oktober 2026</t>
        </is>
      </c>
      <c r="M41" t="inlineStr">
        <is>
          <t>Penyiapan Lahan Konstruksi</t>
        </is>
      </c>
      <c r="N41" t="inlineStr">
        <is>
          <t>Spesialis</t>
        </is>
      </c>
      <c r="O41" t="inlineStr">
        <is>
          <t>20231025</t>
        </is>
      </c>
      <c r="P41" t="inlineStr">
        <is>
          <t>Sumatera Utara</t>
        </is>
      </c>
      <c r="Q41" t="inlineStr"/>
    </row>
    <row r="42">
      <c r="A42" t="inlineStr">
        <is>
          <t>NABILA ZASKI ABADI</t>
        </is>
      </c>
      <c r="B42" t="inlineStr">
        <is>
          <t>Kab. Kolaka</t>
        </is>
      </c>
      <c r="C42" t="inlineStr">
        <is>
          <t>085299317511</t>
        </is>
      </c>
      <c r="D42" t="inlineStr">
        <is>
          <t>nabilaabadi41@gmail.com</t>
        </is>
      </c>
      <c r="E42" t="inlineStr">
        <is>
          <t>https://lpjk.pu.go.id/search-badan-usaha-detail/YWFudUMxelhpelp0dTFibENaRWtkdz09</t>
        </is>
      </c>
      <c r="F42" t="n">
        <v>2</v>
      </c>
      <c r="G42" t="inlineStr">
        <is>
          <t>BS005</t>
        </is>
      </c>
      <c r="H42" t="inlineStr">
        <is>
          <t>12 Februari 2015</t>
        </is>
      </c>
      <c r="I42" s="2" t="n">
        <v>46322</v>
      </c>
      <c r="J42" t="inlineStr">
        <is>
          <t>Disetujui</t>
        </is>
      </c>
      <c r="K42" t="n">
        <v>60</v>
      </c>
      <c r="L42" t="inlineStr">
        <is>
          <t>27 Oktober 2026</t>
        </is>
      </c>
      <c r="M42" t="inlineStr">
        <is>
          <t>Konstruksi Bangunan Sipil Pengolahan Air Bersih</t>
        </is>
      </c>
      <c r="N42" t="inlineStr">
        <is>
          <t>K</t>
        </is>
      </c>
      <c r="O42" t="inlineStr">
        <is>
          <t>20231018</t>
        </is>
      </c>
      <c r="P42" t="inlineStr">
        <is>
          <t>Sulawesi Tenggara</t>
        </is>
      </c>
      <c r="Q42" t="inlineStr"/>
    </row>
    <row r="43">
      <c r="A43" t="inlineStr">
        <is>
          <t>PAKU BANGUN JAYA</t>
        </is>
      </c>
      <c r="B43" t="inlineStr">
        <is>
          <t>Kab. Bengkalis</t>
        </is>
      </c>
      <c r="C43" t="inlineStr">
        <is>
          <t>08127650636</t>
        </is>
      </c>
      <c r="D43" t="inlineStr">
        <is>
          <t>pakubangunjaya.up@gmail.com</t>
        </is>
      </c>
      <c r="E43" t="inlineStr">
        <is>
          <t>https://lpjk.pu.go.id/search-badan-usaha-detail/VnJBYXg3d2V4OHFwQmhzNTY0YU94Zz09</t>
        </is>
      </c>
      <c r="F43" t="n">
        <v>2</v>
      </c>
      <c r="G43" t="inlineStr">
        <is>
          <t>BS001, BS004</t>
        </is>
      </c>
      <c r="H43" t="inlineStr">
        <is>
          <t>12 November 2013</t>
        </is>
      </c>
      <c r="I43" s="2" t="n">
        <v>46322</v>
      </c>
      <c r="J43" t="inlineStr">
        <is>
          <t>Disetujui</t>
        </is>
      </c>
      <c r="K43" t="n">
        <v>60</v>
      </c>
      <c r="L43" t="inlineStr">
        <is>
          <t>27 Oktober 2026</t>
        </is>
      </c>
      <c r="M43" t="inlineStr">
        <is>
          <t>Konstruksi Bangunan Sipil Jalan, Konstruksi Jaringan Irigasi dan Drainase</t>
        </is>
      </c>
      <c r="N43" t="inlineStr">
        <is>
          <t>K</t>
        </is>
      </c>
      <c r="O43" t="inlineStr">
        <is>
          <t>20231026</t>
        </is>
      </c>
      <c r="P43" t="inlineStr">
        <is>
          <t>Riau</t>
        </is>
      </c>
      <c r="Q43" t="inlineStr"/>
    </row>
    <row r="44">
      <c r="A44" t="inlineStr">
        <is>
          <t>PANDAWA SILIWANGI JAYA</t>
        </is>
      </c>
      <c r="B44" t="inlineStr">
        <is>
          <t>Kota Cimahi</t>
        </is>
      </c>
      <c r="C44" t="inlineStr">
        <is>
          <t>081931354455</t>
        </is>
      </c>
      <c r="D44" t="inlineStr">
        <is>
          <t>pandawasiliwangijaya@gmail.com</t>
        </is>
      </c>
      <c r="E44" t="inlineStr">
        <is>
          <t>https://lpjk.pu.go.id/search-badan-usaha-detail/WWZIbUZnTHlrU2VnWTZuZUdVb0pNdz09</t>
        </is>
      </c>
      <c r="F44" t="n">
        <v>4</v>
      </c>
      <c r="G44" t="inlineStr">
        <is>
          <t>BG001, BG009</t>
        </is>
      </c>
      <c r="H44" t="inlineStr">
        <is>
          <t>14 April 2023</t>
        </is>
      </c>
      <c r="I44" s="2" t="n">
        <v>46322</v>
      </c>
      <c r="J44" t="inlineStr">
        <is>
          <t>Disetujui</t>
        </is>
      </c>
      <c r="K44" t="n">
        <v>60</v>
      </c>
      <c r="L44" t="inlineStr">
        <is>
          <t>27 Oktober 2026</t>
        </is>
      </c>
      <c r="M44" t="inlineStr">
        <is>
          <t>Konstruksi Gedung Hunian, Konstruksi Gedung Lainnya</t>
        </is>
      </c>
      <c r="N44" t="inlineStr">
        <is>
          <t>K</t>
        </is>
      </c>
      <c r="O44" t="inlineStr">
        <is>
          <t>20231024</t>
        </is>
      </c>
      <c r="P44" t="inlineStr">
        <is>
          <t>Jawa Barat</t>
        </is>
      </c>
      <c r="Q44" t="inlineStr"/>
    </row>
    <row r="45">
      <c r="A45" t="inlineStr">
        <is>
          <t>PARAHYANGAN EKACAHAYA</t>
        </is>
      </c>
      <c r="B45" t="inlineStr">
        <is>
          <t>Kota Bandung</t>
        </is>
      </c>
      <c r="C45" t="inlineStr">
        <is>
          <t>0222035567</t>
        </is>
      </c>
      <c r="D45" t="inlineStr">
        <is>
          <t>pec_sentosa@yahoo.co.id</t>
        </is>
      </c>
      <c r="E45" t="inlineStr">
        <is>
          <t>https://lpjk.pu.go.id/search-badan-usaha-detail/dUx5NGQvNk9BRTV3U0kyOC85MGVwZz09</t>
        </is>
      </c>
      <c r="F45" t="n">
        <v>4</v>
      </c>
      <c r="G45" t="inlineStr">
        <is>
          <t>BG001, BG005</t>
        </is>
      </c>
      <c r="H45" t="inlineStr">
        <is>
          <t>15 September 1989</t>
        </is>
      </c>
      <c r="I45" s="2" t="n">
        <v>46322</v>
      </c>
      <c r="J45" t="inlineStr">
        <is>
          <t>Disetujui</t>
        </is>
      </c>
      <c r="K45" t="n">
        <v>60</v>
      </c>
      <c r="L45" t="inlineStr">
        <is>
          <t>27 Oktober 2026</t>
        </is>
      </c>
      <c r="M45" t="inlineStr">
        <is>
          <t>Konstruksi Gedung Hunian, Konstruksi Gedung Kesehatan</t>
        </is>
      </c>
      <c r="N45" t="inlineStr">
        <is>
          <t>K</t>
        </is>
      </c>
      <c r="O45" t="inlineStr">
        <is>
          <t>20231025, 20231027</t>
        </is>
      </c>
      <c r="P45" t="inlineStr">
        <is>
          <t>Jawa Barat</t>
        </is>
      </c>
      <c r="Q45" t="inlineStr"/>
    </row>
    <row r="46">
      <c r="A46" t="inlineStr">
        <is>
          <t>PERDANA</t>
        </is>
      </c>
      <c r="B46" t="inlineStr">
        <is>
          <t>Kab. Bojonegoro</t>
        </is>
      </c>
      <c r="C46" t="inlineStr">
        <is>
          <t>082234869197</t>
        </is>
      </c>
      <c r="D46" t="inlineStr">
        <is>
          <t>cv.perdana50@yahoo.co.id</t>
        </is>
      </c>
      <c r="E46" t="inlineStr">
        <is>
          <t>https://lpjk.pu.go.id/search-badan-usaha-detail/L0kzdmxJTGNSWTJXT25jK1dNMUNFUT09</t>
        </is>
      </c>
      <c r="F46" t="n">
        <v>1</v>
      </c>
      <c r="G46" t="inlineStr">
        <is>
          <t>BS001</t>
        </is>
      </c>
      <c r="H46" t="inlineStr">
        <is>
          <t>22 September 1986</t>
        </is>
      </c>
      <c r="I46" s="2" t="n">
        <v>46322</v>
      </c>
      <c r="J46" t="inlineStr">
        <is>
          <t>Disetujui</t>
        </is>
      </c>
      <c r="K46" t="n">
        <v>60</v>
      </c>
      <c r="L46" t="inlineStr">
        <is>
          <t>27 Oktober 2026</t>
        </is>
      </c>
      <c r="M46" t="inlineStr">
        <is>
          <t>Konstruksi Bangunan Sipil Jalan</t>
        </is>
      </c>
      <c r="N46" t="inlineStr">
        <is>
          <t>K</t>
        </is>
      </c>
      <c r="O46" t="inlineStr">
        <is>
          <t>20231019</t>
        </is>
      </c>
      <c r="P46" t="inlineStr">
        <is>
          <t>Jawa Timur</t>
        </is>
      </c>
      <c r="Q46" t="inlineStr"/>
    </row>
    <row r="47">
      <c r="A47" t="inlineStr">
        <is>
          <t>PETRO GAS WIRA JATIM</t>
        </is>
      </c>
      <c r="B47" t="inlineStr">
        <is>
          <t>Kota Surabaya</t>
        </is>
      </c>
      <c r="C47" t="inlineStr">
        <is>
          <t>03199255050</t>
        </is>
      </c>
      <c r="D47" t="inlineStr">
        <is>
          <t>petrogaswirajatim@gmail.com</t>
        </is>
      </c>
      <c r="E47" t="inlineStr">
        <is>
          <t>https://lpjk.pu.go.id/search-badan-usaha-detail/ZW9iZExDeDV6aGFjRzU2a1FPM21nQT09</t>
        </is>
      </c>
      <c r="F47" t="n">
        <v>2</v>
      </c>
      <c r="G47" t="inlineStr">
        <is>
          <t>IN003, IN004</t>
        </is>
      </c>
      <c r="H47" t="inlineStr">
        <is>
          <t>21 Februari 2003</t>
        </is>
      </c>
      <c r="I47" s="2" t="n">
        <v>46322</v>
      </c>
      <c r="J47" t="inlineStr">
        <is>
          <t>Pembekuan</t>
        </is>
      </c>
      <c r="K47" t="n">
        <v>60</v>
      </c>
      <c r="L47" t="inlineStr">
        <is>
          <t>27 Oktober 2026</t>
        </is>
      </c>
      <c r="M47" t="inlineStr">
        <is>
          <t>Instalasi Minyak dan Gas, Instalasi Peralatan Infrastruktur Pertambangan dan Manufaktur</t>
        </is>
      </c>
      <c r="N47" t="inlineStr">
        <is>
          <t>Spesialis</t>
        </is>
      </c>
      <c r="O47" t="inlineStr">
        <is>
          <t>20231018</t>
        </is>
      </c>
      <c r="P47" t="inlineStr">
        <is>
          <t>Jawa Timur</t>
        </is>
      </c>
      <c r="Q47" t="inlineStr"/>
    </row>
    <row r="48">
      <c r="A48" t="inlineStr">
        <is>
          <t>PRAKASA PURBA</t>
        </is>
      </c>
      <c r="B48" t="inlineStr">
        <is>
          <t>Kab. Garut</t>
        </is>
      </c>
      <c r="C48" t="inlineStr">
        <is>
          <t>0</t>
        </is>
      </c>
      <c r="D48" t="inlineStr">
        <is>
          <t>prakasapurba@gmail.com</t>
        </is>
      </c>
      <c r="E48" t="inlineStr">
        <is>
          <t>https://lpjk.pu.go.id/search-badan-usaha-detail/Sk1JNVQ5YU9NNEdlemFwS2x3b1FQdz09</t>
        </is>
      </c>
      <c r="F48" t="n">
        <v>2</v>
      </c>
      <c r="G48" t="inlineStr">
        <is>
          <t>IN001, PB004</t>
        </is>
      </c>
      <c r="H48" t="inlineStr">
        <is>
          <t>31 Juli 2012</t>
        </is>
      </c>
      <c r="I48" s="2" t="n">
        <v>46322</v>
      </c>
      <c r="J48" t="inlineStr">
        <is>
          <t>Disetujui, Pencabutan</t>
        </is>
      </c>
      <c r="K48" t="n">
        <v>60</v>
      </c>
      <c r="L48" t="inlineStr">
        <is>
          <t>27 Oktober 2026</t>
        </is>
      </c>
      <c r="M48" t="inlineStr">
        <is>
          <t>Dekorasi Interior, Instalasi Mekanikal</t>
        </is>
      </c>
      <c r="N48" t="inlineStr">
        <is>
          <t>Spesialis</t>
        </is>
      </c>
      <c r="O48" t="inlineStr">
        <is>
          <t>20231020, 20231030</t>
        </is>
      </c>
      <c r="P48" t="inlineStr">
        <is>
          <t>Jawa Barat</t>
        </is>
      </c>
      <c r="Q48" t="inlineStr"/>
    </row>
    <row r="49">
      <c r="A49" t="inlineStr">
        <is>
          <t>PUTRA MANDIRI</t>
        </is>
      </c>
      <c r="B49" t="inlineStr">
        <is>
          <t>Kab. Tangerang</t>
        </is>
      </c>
      <c r="C49" t="inlineStr">
        <is>
          <t>081510313279</t>
        </is>
      </c>
      <c r="D49" t="inlineStr">
        <is>
          <t>putramandiri2014.cv@gmail.com</t>
        </is>
      </c>
      <c r="E49" t="inlineStr">
        <is>
          <t>https://lpjk.pu.go.id/search-badan-usaha-detail/VDRZTDdxWWtDaXNHbFY0SjVTUHI3UT09</t>
        </is>
      </c>
      <c r="F49" t="n">
        <v>1</v>
      </c>
      <c r="G49" t="inlineStr">
        <is>
          <t>BG009</t>
        </is>
      </c>
      <c r="H49" t="inlineStr">
        <is>
          <t>20 Mei 2014</t>
        </is>
      </c>
      <c r="I49" s="2" t="n">
        <v>46322</v>
      </c>
      <c r="J49" t="inlineStr">
        <is>
          <t>Disetujui</t>
        </is>
      </c>
      <c r="K49" t="n">
        <v>60</v>
      </c>
      <c r="L49" t="inlineStr">
        <is>
          <t>27 Oktober 2026</t>
        </is>
      </c>
      <c r="M49" t="inlineStr">
        <is>
          <t>Konstruksi Gedung Lainnya</t>
        </is>
      </c>
      <c r="N49" t="inlineStr">
        <is>
          <t>K</t>
        </is>
      </c>
      <c r="O49" t="inlineStr">
        <is>
          <t>20231027</t>
        </is>
      </c>
      <c r="P49" t="inlineStr">
        <is>
          <t>Banten</t>
        </is>
      </c>
      <c r="Q49" t="inlineStr"/>
    </row>
    <row r="50">
      <c r="A50" t="inlineStr">
        <is>
          <t>PUTRA PAPUA MEMBANGUN</t>
        </is>
      </c>
      <c r="B50" t="inlineStr">
        <is>
          <t>Kab. Sorong</t>
        </is>
      </c>
      <c r="C50" t="inlineStr">
        <is>
          <t>081247262224</t>
        </is>
      </c>
      <c r="D50" t="inlineStr">
        <is>
          <t>putrapapuamembanguncv@gmail.com</t>
        </is>
      </c>
      <c r="E50" t="inlineStr">
        <is>
          <t>https://lpjk.pu.go.id/search-badan-usaha-detail/a3EwdDlpbzMxQTg4ZUVERUpqVlNidz09</t>
        </is>
      </c>
      <c r="F50" t="n">
        <v>1</v>
      </c>
      <c r="G50" t="inlineStr">
        <is>
          <t>BG004</t>
        </is>
      </c>
      <c r="H50" t="inlineStr">
        <is>
          <t>28 Juni 2013</t>
        </is>
      </c>
      <c r="I50" s="2" t="n">
        <v>46322</v>
      </c>
      <c r="J50" t="inlineStr">
        <is>
          <t>Disetujui</t>
        </is>
      </c>
      <c r="K50" t="n">
        <v>60</v>
      </c>
      <c r="L50" t="inlineStr">
        <is>
          <t>27 Oktober 2026</t>
        </is>
      </c>
      <c r="M50" t="inlineStr">
        <is>
          <t>Konstruksi Gedung Perbelanjaan</t>
        </is>
      </c>
      <c r="N50" t="inlineStr">
        <is>
          <t>K</t>
        </is>
      </c>
      <c r="O50" t="inlineStr">
        <is>
          <t>20231028</t>
        </is>
      </c>
      <c r="P50" t="inlineStr">
        <is>
          <t>Papua Barat</t>
        </is>
      </c>
      <c r="Q50" t="inlineStr"/>
    </row>
    <row r="51">
      <c r="A51" t="inlineStr">
        <is>
          <t>PUTRA PUGIMA</t>
        </is>
      </c>
      <c r="B51" t="inlineStr">
        <is>
          <t>Kab. Lanny Jaya</t>
        </is>
      </c>
      <c r="C51" t="inlineStr">
        <is>
          <t>081248458734</t>
        </is>
      </c>
      <c r="D51" t="inlineStr">
        <is>
          <t>cvputrapugima@gmail.com</t>
        </is>
      </c>
      <c r="E51" t="inlineStr">
        <is>
          <t>https://lpjk.pu.go.id/search-badan-usaha-detail/S1dlMXRERExkcnVhRDVDaUFQOXNFZz09</t>
        </is>
      </c>
      <c r="F51" t="n">
        <v>1</v>
      </c>
      <c r="G51" t="inlineStr">
        <is>
          <t>BS001</t>
        </is>
      </c>
      <c r="H51" t="inlineStr">
        <is>
          <t>29 Mei 2023</t>
        </is>
      </c>
      <c r="I51" s="2" t="n">
        <v>46322</v>
      </c>
      <c r="J51" t="inlineStr">
        <is>
          <t>Pencabutan</t>
        </is>
      </c>
      <c r="K51" t="n">
        <v>60</v>
      </c>
      <c r="L51" t="inlineStr">
        <is>
          <t>27 Oktober 2026</t>
        </is>
      </c>
      <c r="M51" t="inlineStr">
        <is>
          <t>Konstruksi Bangunan Sipil Jalan</t>
        </is>
      </c>
      <c r="N51" t="inlineStr">
        <is>
          <t>K</t>
        </is>
      </c>
      <c r="O51" t="inlineStr">
        <is>
          <t>20231025</t>
        </is>
      </c>
      <c r="P51" t="inlineStr">
        <is>
          <t>Papua</t>
        </is>
      </c>
      <c r="Q51" t="inlineStr"/>
    </row>
    <row r="52">
      <c r="A52" t="inlineStr">
        <is>
          <t>REKAYASA BUMI PERTIWI</t>
        </is>
      </c>
      <c r="B52" t="inlineStr">
        <is>
          <t>Kota Surabaya</t>
        </is>
      </c>
      <c r="C52" t="inlineStr">
        <is>
          <t>08155099555</t>
        </is>
      </c>
      <c r="D52" t="inlineStr">
        <is>
          <t>rekayasabumipertiwi@gmail.com</t>
        </is>
      </c>
      <c r="E52" t="inlineStr">
        <is>
          <t>https://lpjk.pu.go.id/search-badan-usaha-detail/QjQ1V2VtSXJEcTVYNGoxaGE1am90Zz09</t>
        </is>
      </c>
      <c r="F52" t="n">
        <v>4</v>
      </c>
      <c r="G52" t="inlineStr">
        <is>
          <t>BS002, BS003</t>
        </is>
      </c>
      <c r="H52" t="inlineStr">
        <is>
          <t>18 Agustus 1990</t>
        </is>
      </c>
      <c r="I52" s="2" t="n">
        <v>46322</v>
      </c>
      <c r="J52" t="inlineStr">
        <is>
          <t>Pembekuan</t>
        </is>
      </c>
      <c r="K52" t="n">
        <v>60</v>
      </c>
      <c r="L52" t="inlineStr">
        <is>
          <t>27 Oktober 2026</t>
        </is>
      </c>
      <c r="M52" t="inlineStr">
        <is>
          <t>Bangunan Sipil Jembatan, Jalan Layang, Fly Over, dan Underpass, Konstruksi Jalan Rel</t>
        </is>
      </c>
      <c r="N52" t="inlineStr">
        <is>
          <t>M</t>
        </is>
      </c>
      <c r="O52" t="inlineStr">
        <is>
          <t>20231018, 20231027</t>
        </is>
      </c>
      <c r="P52" t="inlineStr">
        <is>
          <t>Jawa Timur</t>
        </is>
      </c>
      <c r="Q52" t="inlineStr"/>
    </row>
    <row r="53">
      <c r="A53" t="inlineStr">
        <is>
          <t>RIDHO ANUGRAH</t>
        </is>
      </c>
      <c r="B53" t="inlineStr">
        <is>
          <t>Kota Medan</t>
        </is>
      </c>
      <c r="C53" t="inlineStr">
        <is>
          <t>081273554035</t>
        </is>
      </c>
      <c r="D53" t="inlineStr">
        <is>
          <t>anugrahridhocv@gmail.com</t>
        </is>
      </c>
      <c r="E53" t="inlineStr">
        <is>
          <t>https://lpjk.pu.go.id/search-badan-usaha-detail/N0hZbExoTzdyR3RvWHF5b2hUczlFUT09</t>
        </is>
      </c>
      <c r="F53" t="n">
        <v>5</v>
      </c>
      <c r="G53" t="inlineStr">
        <is>
          <t>BG001, BG002, BG006, BG008, BG009</t>
        </is>
      </c>
      <c r="H53" t="inlineStr">
        <is>
          <t>12 Juni 2003</t>
        </is>
      </c>
      <c r="I53" s="2" t="n">
        <v>46322</v>
      </c>
      <c r="J53" t="inlineStr">
        <is>
          <t>Disetujui</t>
        </is>
      </c>
      <c r="K53" t="n">
        <v>60</v>
      </c>
      <c r="L53" t="inlineStr">
        <is>
          <t>27 Oktober 2026</t>
        </is>
      </c>
      <c r="M53" t="inlineStr">
        <is>
          <t>Konstruksi Gedung Hunian, Konstruksi Gedung Lainnya, Konstruksi Gedung Pendidikan, Konstruksi Gedung Perkantoran, Konstruksi Gedung Tempat Hiburan dan Olahraga</t>
        </is>
      </c>
      <c r="N53" t="inlineStr">
        <is>
          <t>K</t>
        </is>
      </c>
      <c r="O53" t="inlineStr">
        <is>
          <t>20231002, 20231025</t>
        </is>
      </c>
      <c r="P53" t="inlineStr">
        <is>
          <t>Sumatera Utara</t>
        </is>
      </c>
      <c r="Q53" t="inlineStr"/>
    </row>
    <row r="54">
      <c r="A54" t="inlineStr">
        <is>
          <t>ROYAL FLUSH</t>
        </is>
      </c>
      <c r="B54" t="inlineStr">
        <is>
          <t>Kab. Lampung Barat</t>
        </is>
      </c>
      <c r="C54" t="inlineStr">
        <is>
          <t>085211172019</t>
        </is>
      </c>
      <c r="D54" t="inlineStr">
        <is>
          <t>cvroyalflush99@gmail.com</t>
        </is>
      </c>
      <c r="E54" t="inlineStr">
        <is>
          <t>https://lpjk.pu.go.id/search-badan-usaha-detail/QXRRQTNVU0JCYkh2d1FYSG5ENUNDZz09</t>
        </is>
      </c>
      <c r="F54" t="n">
        <v>3</v>
      </c>
      <c r="G54" t="inlineStr">
        <is>
          <t>BG001, BG009, BS004</t>
        </is>
      </c>
      <c r="H54" t="inlineStr">
        <is>
          <t>23 Oktober 2020</t>
        </is>
      </c>
      <c r="I54" s="2" t="n">
        <v>46322</v>
      </c>
      <c r="J54" t="inlineStr">
        <is>
          <t>Pencabutan</t>
        </is>
      </c>
      <c r="K54" t="n">
        <v>60</v>
      </c>
      <c r="L54" t="inlineStr">
        <is>
          <t>27 Oktober 2026</t>
        </is>
      </c>
      <c r="M54" t="inlineStr">
        <is>
          <t>Konstruksi Gedung Hunian, Konstruksi Gedung Lainnya, Konstruksi Jaringan Irigasi dan Drainase</t>
        </is>
      </c>
      <c r="N54" t="inlineStr">
        <is>
          <t>K</t>
        </is>
      </c>
      <c r="O54" t="inlineStr">
        <is>
          <t>20230921, 20231031</t>
        </is>
      </c>
      <c r="P54" t="inlineStr">
        <is>
          <t>Lampung</t>
        </is>
      </c>
      <c r="Q54" t="inlineStr"/>
    </row>
    <row r="55">
      <c r="A55" t="inlineStr">
        <is>
          <t>SAMA JAYA</t>
        </is>
      </c>
      <c r="B55" t="inlineStr">
        <is>
          <t>Kab. Bangka Barat</t>
        </is>
      </c>
      <c r="C55" t="inlineStr">
        <is>
          <t>082181423834</t>
        </is>
      </c>
      <c r="D55" t="inlineStr">
        <is>
          <t>cv.samajaya.kelapa2010@gmail.com</t>
        </is>
      </c>
      <c r="E55" t="inlineStr">
        <is>
          <t>https://lpjk.pu.go.id/search-badan-usaha-detail/bmU5R1AvNW5SZm1RN2U5SHgvc0FLQT09</t>
        </is>
      </c>
      <c r="F55" t="n">
        <v>1</v>
      </c>
      <c r="G55" t="inlineStr">
        <is>
          <t>BG001</t>
        </is>
      </c>
      <c r="H55" t="inlineStr">
        <is>
          <t>20 Juli 2010</t>
        </is>
      </c>
      <c r="I55" s="2" t="n">
        <v>46322</v>
      </c>
      <c r="J55" t="inlineStr">
        <is>
          <t>Disetujui</t>
        </is>
      </c>
      <c r="K55" t="n">
        <v>60</v>
      </c>
      <c r="L55" t="inlineStr">
        <is>
          <t>27 Oktober 2026</t>
        </is>
      </c>
      <c r="M55" t="inlineStr">
        <is>
          <t>Konstruksi Gedung Hunian</t>
        </is>
      </c>
      <c r="N55" t="inlineStr">
        <is>
          <t>K</t>
        </is>
      </c>
      <c r="O55" t="inlineStr">
        <is>
          <t>20231010</t>
        </is>
      </c>
      <c r="P55" t="inlineStr">
        <is>
          <t>Kepulauan Bangka Belitung</t>
        </is>
      </c>
      <c r="Q55" t="inlineStr"/>
    </row>
    <row r="56">
      <c r="A56" t="inlineStr">
        <is>
          <t>SARANA USAHA GEMILANG</t>
        </is>
      </c>
      <c r="B56" t="inlineStr">
        <is>
          <t>Kota Batam</t>
        </is>
      </c>
      <c r="C56" t="inlineStr">
        <is>
          <t>0778458789</t>
        </is>
      </c>
      <c r="D56" t="inlineStr">
        <is>
          <t>adm.saranausahagemilang@gmail.com</t>
        </is>
      </c>
      <c r="E56" t="inlineStr">
        <is>
          <t>https://lpjk.pu.go.id/search-badan-usaha-detail/NFVrR1NQeVQxc2JmQklEeUdpckdndz09</t>
        </is>
      </c>
      <c r="F56" t="n">
        <v>1</v>
      </c>
      <c r="G56" t="inlineStr">
        <is>
          <t>PL003</t>
        </is>
      </c>
      <c r="H56" t="inlineStr">
        <is>
          <t>15 Oktober 2021</t>
        </is>
      </c>
      <c r="I56" s="2" t="n">
        <v>46322</v>
      </c>
      <c r="J56" t="inlineStr">
        <is>
          <t>Pencabutan</t>
        </is>
      </c>
      <c r="K56" t="n">
        <v>60</v>
      </c>
      <c r="L56" t="inlineStr">
        <is>
          <t>27 Oktober 2026</t>
        </is>
      </c>
      <c r="M56" t="inlineStr">
        <is>
          <t>Penyiapan Lahan Konstruksi</t>
        </is>
      </c>
      <c r="N56" t="inlineStr">
        <is>
          <t>Spesialis</t>
        </is>
      </c>
      <c r="O56" t="inlineStr">
        <is>
          <t>20220111</t>
        </is>
      </c>
      <c r="P56" t="inlineStr">
        <is>
          <t>Kepulauan Riau</t>
        </is>
      </c>
      <c r="Q56" t="inlineStr"/>
    </row>
    <row r="57">
      <c r="A57" t="inlineStr">
        <is>
          <t>SEJAHTERA BERSAMA</t>
        </is>
      </c>
      <c r="B57" t="inlineStr">
        <is>
          <t>Kota Kendari</t>
        </is>
      </c>
      <c r="C57" t="inlineStr">
        <is>
          <t>081243159189</t>
        </is>
      </c>
      <c r="D57" t="inlineStr">
        <is>
          <t>sejahtera_b74@yahoo.co.id</t>
        </is>
      </c>
      <c r="E57" t="inlineStr">
        <is>
          <t>https://lpjk.pu.go.id/search-badan-usaha-detail/VU5TTHM0WkNYbzByK3FQK28xK0gzUT09</t>
        </is>
      </c>
      <c r="F57" t="n">
        <v>1</v>
      </c>
      <c r="G57" t="inlineStr">
        <is>
          <t>PB004</t>
        </is>
      </c>
      <c r="H57" t="inlineStr">
        <is>
          <t>16 November 2000</t>
        </is>
      </c>
      <c r="I57" s="2" t="n">
        <v>46322</v>
      </c>
      <c r="J57" t="inlineStr">
        <is>
          <t>Disetujui</t>
        </is>
      </c>
      <c r="K57" t="n">
        <v>60</v>
      </c>
      <c r="L57" t="inlineStr">
        <is>
          <t>27 Oktober 2026</t>
        </is>
      </c>
      <c r="M57" t="inlineStr">
        <is>
          <t>Dekorasi Interior</t>
        </is>
      </c>
      <c r="N57" t="inlineStr">
        <is>
          <t>Spesialis</t>
        </is>
      </c>
      <c r="O57" t="inlineStr">
        <is>
          <t>20231024</t>
        </is>
      </c>
      <c r="P57" t="inlineStr">
        <is>
          <t>Sulawesi Tenggara</t>
        </is>
      </c>
      <c r="Q57" t="inlineStr"/>
    </row>
    <row r="58">
      <c r="A58" t="inlineStr">
        <is>
          <t>SETYA TIRTA JAYA</t>
        </is>
      </c>
      <c r="B58" t="inlineStr">
        <is>
          <t>Kab. Rembang</t>
        </is>
      </c>
      <c r="C58" t="inlineStr">
        <is>
          <t>085729108918</t>
        </is>
      </c>
      <c r="D58" t="inlineStr">
        <is>
          <t>cvsetyatirtajaya06@gmail.com</t>
        </is>
      </c>
      <c r="E58" t="inlineStr">
        <is>
          <t>https://lpjk.pu.go.id/search-badan-usaha-detail/WVBQZ0RUWFZIeC9CbGVWYmowaXdpUT09</t>
        </is>
      </c>
      <c r="F58" t="n">
        <v>1</v>
      </c>
      <c r="G58" t="inlineStr">
        <is>
          <t>BG006</t>
        </is>
      </c>
      <c r="H58" t="inlineStr">
        <is>
          <t>26 Maret 2007</t>
        </is>
      </c>
      <c r="I58" s="2" t="n">
        <v>46322</v>
      </c>
      <c r="J58" t="inlineStr">
        <is>
          <t>Disetujui</t>
        </is>
      </c>
      <c r="K58" t="n">
        <v>60</v>
      </c>
      <c r="L58" t="inlineStr">
        <is>
          <t>27 Oktober 2026</t>
        </is>
      </c>
      <c r="M58" t="inlineStr">
        <is>
          <t>Konstruksi Gedung Pendidikan</t>
        </is>
      </c>
      <c r="N58" t="inlineStr">
        <is>
          <t>K</t>
        </is>
      </c>
      <c r="O58" t="inlineStr">
        <is>
          <t>20231022</t>
        </is>
      </c>
      <c r="P58" t="inlineStr">
        <is>
          <t>Jawa Tengah</t>
        </is>
      </c>
      <c r="Q58" t="inlineStr"/>
    </row>
    <row r="59">
      <c r="A59" t="inlineStr">
        <is>
          <t>TIGA MERU TEKNOLOGI</t>
        </is>
      </c>
      <c r="B59" t="inlineStr">
        <is>
          <t>Kota Bandung</t>
        </is>
      </c>
      <c r="C59" t="inlineStr">
        <is>
          <t>081322529981</t>
        </is>
      </c>
      <c r="D59" t="inlineStr">
        <is>
          <t>pt.tigameruteknologi@yahoo.com</t>
        </is>
      </c>
      <c r="E59" t="inlineStr">
        <is>
          <t>https://lpjk.pu.go.id/search-badan-usaha-detail/TWpuckIvMVorVStmWHpNR1pFVGIvZz09</t>
        </is>
      </c>
      <c r="F59" t="n">
        <v>3</v>
      </c>
      <c r="G59" t="inlineStr">
        <is>
          <t>BG009, BS002, BS003</t>
        </is>
      </c>
      <c r="H59" t="inlineStr">
        <is>
          <t>23 Juli 2021</t>
        </is>
      </c>
      <c r="I59" s="2" t="n">
        <v>46322</v>
      </c>
      <c r="J59" t="inlineStr">
        <is>
          <t>Disetujui</t>
        </is>
      </c>
      <c r="K59" t="n">
        <v>60</v>
      </c>
      <c r="L59" t="inlineStr">
        <is>
          <t>27 Oktober 2026</t>
        </is>
      </c>
      <c r="M59" t="inlineStr">
        <is>
          <t>Bangunan Sipil Jembatan, Jalan Layang, Fly Over, dan Underpass, Konstruksi Gedung Lainnya, Konstruksi Jalan Rel</t>
        </is>
      </c>
      <c r="N59" t="inlineStr">
        <is>
          <t>K</t>
        </is>
      </c>
      <c r="O59" t="inlineStr">
        <is>
          <t>20231026</t>
        </is>
      </c>
      <c r="P59" t="inlineStr">
        <is>
          <t>Jawa Barat</t>
        </is>
      </c>
      <c r="Q59" t="inlineStr"/>
    </row>
    <row r="60">
      <c r="A60" t="inlineStr">
        <is>
          <t>TRI DHARMA NUGRAHA</t>
        </is>
      </c>
      <c r="B60" t="inlineStr">
        <is>
          <t>Kota Medan</t>
        </is>
      </c>
      <c r="C60" t="inlineStr">
        <is>
          <t>081362635151</t>
        </is>
      </c>
      <c r="D60" t="inlineStr">
        <is>
          <t>tdharmanugraha@gmail.com</t>
        </is>
      </c>
      <c r="E60" t="inlineStr">
        <is>
          <t>https://lpjk.pu.go.id/search-badan-usaha-detail/RW5MZ3BzdVVUbzY5NTN0eG1oWlN4dz09</t>
        </is>
      </c>
      <c r="F60" t="n">
        <v>2</v>
      </c>
      <c r="G60" t="inlineStr">
        <is>
          <t>BG003, BS004</t>
        </is>
      </c>
      <c r="H60" t="inlineStr">
        <is>
          <t>2 September 2022</t>
        </is>
      </c>
      <c r="I60" s="2" t="n">
        <v>46322</v>
      </c>
      <c r="J60" t="inlineStr">
        <is>
          <t>Disetujui, Pencabutan</t>
        </is>
      </c>
      <c r="K60" t="n">
        <v>60</v>
      </c>
      <c r="L60" t="inlineStr">
        <is>
          <t>27 Oktober 2026</t>
        </is>
      </c>
      <c r="M60" t="inlineStr">
        <is>
          <t>Konstruksi Gedung Industri, Konstruksi Jaringan Irigasi dan Drainase</t>
        </is>
      </c>
      <c r="N60" t="inlineStr">
        <is>
          <t>K</t>
        </is>
      </c>
      <c r="O60" t="inlineStr">
        <is>
          <t>20231027, 20231028</t>
        </is>
      </c>
      <c r="P60" t="inlineStr">
        <is>
          <t>Sumatera Utara</t>
        </is>
      </c>
      <c r="Q60" t="inlineStr"/>
    </row>
    <row r="61">
      <c r="A61" t="inlineStr">
        <is>
          <t>ZEKON INDONESIA</t>
        </is>
      </c>
      <c r="B61" t="inlineStr">
        <is>
          <t>Kota Bandung</t>
        </is>
      </c>
      <c r="C61" t="inlineStr">
        <is>
          <t>02263722092</t>
        </is>
      </c>
      <c r="D61" t="inlineStr">
        <is>
          <t>info@zekon.co.id</t>
        </is>
      </c>
      <c r="E61" t="inlineStr">
        <is>
          <t>https://lpjk.pu.go.id/search-badan-usaha-detail/OEFDZ283NHdESlh1N2ZYY1BrcE1Ydz09</t>
        </is>
      </c>
      <c r="F61" t="n">
        <v>2</v>
      </c>
      <c r="G61" t="inlineStr">
        <is>
          <t>BG006, BG009</t>
        </is>
      </c>
      <c r="H61" t="inlineStr">
        <is>
          <t>8 Juli 2013</t>
        </is>
      </c>
      <c r="I61" s="2" t="n">
        <v>46322</v>
      </c>
      <c r="J61" t="inlineStr">
        <is>
          <t>Disetujui</t>
        </is>
      </c>
      <c r="K61" t="n">
        <v>60</v>
      </c>
      <c r="L61" t="inlineStr">
        <is>
          <t>27 Oktober 2026</t>
        </is>
      </c>
      <c r="M61" t="inlineStr">
        <is>
          <t>Konstruksi Gedung Lainnya, Konstruksi Gedung Pendidikan</t>
        </is>
      </c>
      <c r="N61" t="inlineStr">
        <is>
          <t>K</t>
        </is>
      </c>
      <c r="O61" t="inlineStr">
        <is>
          <t>20230904, 20231026</t>
        </is>
      </c>
      <c r="P61" t="inlineStr">
        <is>
          <t>Jawa Barat</t>
        </is>
      </c>
      <c r="Q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27" customWidth="1" min="1" max="1"/>
    <col width="25" customWidth="1" min="2" max="2"/>
    <col width="16" customWidth="1" min="3" max="3"/>
    <col width="37"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AEK BATANG GADIS</t>
        </is>
      </c>
      <c r="B2" t="inlineStr">
        <is>
          <t>Kota Depok</t>
        </is>
      </c>
      <c r="C2" t="inlineStr">
        <is>
          <t>0895327370622</t>
        </is>
      </c>
      <c r="D2" t="inlineStr">
        <is>
          <t>pt.aekbatanggadis@gmail.com</t>
        </is>
      </c>
      <c r="E2" t="inlineStr">
        <is>
          <t>https://lpjk.pu.go.id/search-badan-usaha-detail/Y0piSTdiM2xOTDM4WVVMdHQ2UkxqZz09</t>
        </is>
      </c>
      <c r="F2" t="n">
        <v>5</v>
      </c>
      <c r="G2" t="inlineStr">
        <is>
          <t>BG002, BG005, BG006, BG009, BS001</t>
        </is>
      </c>
      <c r="H2" t="inlineStr">
        <is>
          <t>8 Juni 2023</t>
        </is>
      </c>
      <c r="I2" s="2" t="n">
        <v>46292</v>
      </c>
      <c r="J2" t="inlineStr">
        <is>
          <t>Disetujui, Pencabutan</t>
        </is>
      </c>
      <c r="K2" t="n">
        <v>30</v>
      </c>
      <c r="L2" t="inlineStr">
        <is>
          <t>27 September 2026</t>
        </is>
      </c>
      <c r="M2" t="inlineStr">
        <is>
          <t>Konstruksi Bangunan Sipil Jalan, Konstruksi Gedung Kesehatan, Konstruksi Gedung Lainnya, Konstruksi Gedung Pendidikan, Konstruksi Gedung Perkantoran</t>
        </is>
      </c>
      <c r="N2" t="inlineStr">
        <is>
          <t>K</t>
        </is>
      </c>
      <c r="O2" t="inlineStr">
        <is>
          <t>20230912</t>
        </is>
      </c>
      <c r="P2" t="inlineStr">
        <is>
          <t>Jawa Barat</t>
        </is>
      </c>
      <c r="Q2" s="3">
        <f>HYPERLINK("https://wa.me/62895327370622?text=*[Pengingat Masa Berlaku SBU AEK BATANG GADIS]*%0A%0AYth. Pimpinan AEK BATANG GADIS,%0AMohon izin menginformasikan status SBU Anda:%0A%0A📄 SBU: BG002, BG005, BG006, BG009, BS001%0A📅 Expired: 27 September 2026 (30 Hari Lagi)%0A%0AKami tim PT. ESDEA Assistance Management siap men-support proses perpanjangan segera agar administrasi proyek tidak terhambat%0A%0AApakah boleh saya bantu siapkan estimasi biaya dan waktu pengerjaannya?.", "Hubungi")</f>
        <v/>
      </c>
    </row>
    <row r="3">
      <c r="A3" t="inlineStr">
        <is>
          <t>CITRA BUANA YASHA</t>
        </is>
      </c>
      <c r="B3" t="inlineStr">
        <is>
          <t>Kota Depok</t>
        </is>
      </c>
      <c r="C3" t="inlineStr">
        <is>
          <t>02177840975</t>
        </is>
      </c>
      <c r="D3" t="inlineStr">
        <is>
          <t>hasnuzir@cbyasha.com</t>
        </is>
      </c>
      <c r="E3" t="inlineStr">
        <is>
          <t>https://lpjk.pu.go.id/search-badan-usaha-detail/MlkraktxZFg3S2RNbGN3K3B5a1N2dz09</t>
        </is>
      </c>
      <c r="F3" t="n">
        <v>2</v>
      </c>
      <c r="G3" t="inlineStr">
        <is>
          <t>IN001, IN004</t>
        </is>
      </c>
      <c r="H3" t="inlineStr">
        <is>
          <t>27 Desember 2017</t>
        </is>
      </c>
      <c r="I3" s="2" t="n">
        <v>46292</v>
      </c>
      <c r="J3" t="inlineStr">
        <is>
          <t>Disetujui</t>
        </is>
      </c>
      <c r="K3" t="n">
        <v>30</v>
      </c>
      <c r="L3" t="inlineStr">
        <is>
          <t>27 September 2026</t>
        </is>
      </c>
      <c r="M3" t="inlineStr">
        <is>
          <t>Instalasi Mekanikal, Instalasi Minyak dan Gas</t>
        </is>
      </c>
      <c r="N3" t="inlineStr">
        <is>
          <t>Spesialis</t>
        </is>
      </c>
      <c r="O3" t="inlineStr">
        <is>
          <t>20230921</t>
        </is>
      </c>
      <c r="P3" t="inlineStr">
        <is>
          <t>Jawa Barat</t>
        </is>
      </c>
      <c r="Q3" t="inlineStr"/>
    </row>
    <row r="4">
      <c r="A4" t="inlineStr">
        <is>
          <t>MEKATRIKA KARYA SINERGI</t>
        </is>
      </c>
      <c r="B4" t="inlineStr">
        <is>
          <t>Kab. Bogor</t>
        </is>
      </c>
      <c r="C4" t="inlineStr">
        <is>
          <t>0218226806</t>
        </is>
      </c>
      <c r="D4" t="inlineStr">
        <is>
          <t>mekatrikakaryasinergi@gmail.com</t>
        </is>
      </c>
      <c r="E4" t="inlineStr">
        <is>
          <t>https://lpjk.pu.go.id/search-badan-usaha-detail/ZE5KSFJtMG1hZGVQNjRpM0JOWjNGZz09</t>
        </is>
      </c>
      <c r="F4" t="n">
        <v>6</v>
      </c>
      <c r="G4" t="inlineStr">
        <is>
          <t>BG002, BG004, BG009</t>
        </is>
      </c>
      <c r="H4" t="inlineStr">
        <is>
          <t>28 Oktober 2016</t>
        </is>
      </c>
      <c r="I4" s="2" t="n">
        <v>46292</v>
      </c>
      <c r="J4" t="inlineStr">
        <is>
          <t>Disetujui</t>
        </is>
      </c>
      <c r="K4" t="n">
        <v>30</v>
      </c>
      <c r="L4" t="inlineStr">
        <is>
          <t>27 September 2026</t>
        </is>
      </c>
      <c r="M4" t="inlineStr">
        <is>
          <t>Konstruksi Gedung Lainnya, Konstruksi Gedung Perbelanjaan, Konstruksi Gedung Perkantoran</t>
        </is>
      </c>
      <c r="N4" t="inlineStr">
        <is>
          <t>K</t>
        </is>
      </c>
      <c r="O4" t="inlineStr">
        <is>
          <t>20230918, 20230929</t>
        </is>
      </c>
      <c r="P4" t="inlineStr">
        <is>
          <t>Jawa Barat</t>
        </is>
      </c>
      <c r="Q4" t="inlineStr"/>
    </row>
    <row r="5">
      <c r="A5" t="inlineStr">
        <is>
          <t>ALIF ABIZAR</t>
        </is>
      </c>
      <c r="B5" t="inlineStr">
        <is>
          <t>Kab. Wajo</t>
        </is>
      </c>
      <c r="C5" t="inlineStr">
        <is>
          <t>082304517688</t>
        </is>
      </c>
      <c r="D5" t="inlineStr">
        <is>
          <t>alifabisar@gmail.com</t>
        </is>
      </c>
      <c r="E5" t="inlineStr">
        <is>
          <t>https://lpjk.pu.go.id/search-badan-usaha-detail/dTNFaGl2UCtJSDh4cUhQMjlZQm5QQT09</t>
        </is>
      </c>
      <c r="F5" t="n">
        <v>4</v>
      </c>
      <c r="G5" t="inlineStr">
        <is>
          <t>BG005, BG006, BG009, BS001</t>
        </is>
      </c>
      <c r="H5" t="inlineStr">
        <is>
          <t>8 Februari 2017</t>
        </is>
      </c>
      <c r="I5" s="2" t="n">
        <v>46292</v>
      </c>
      <c r="J5" t="inlineStr">
        <is>
          <t>Disetujui</t>
        </is>
      </c>
      <c r="K5" t="n">
        <v>30</v>
      </c>
      <c r="L5" t="inlineStr">
        <is>
          <t>27 September 2026</t>
        </is>
      </c>
      <c r="M5" t="inlineStr">
        <is>
          <t>Konstruksi Bangunan Sipil Jalan, Konstruksi Gedung Kesehatan, Konstruksi Gedung Lainnya, Konstruksi Gedung Pendidikan</t>
        </is>
      </c>
      <c r="N5" t="inlineStr">
        <is>
          <t>K</t>
        </is>
      </c>
      <c r="O5" t="inlineStr">
        <is>
          <t>20230927</t>
        </is>
      </c>
      <c r="P5" t="inlineStr">
        <is>
          <t>Sulawesi Selatan</t>
        </is>
      </c>
      <c r="Q5" t="inlineStr"/>
    </row>
    <row r="6">
      <c r="A6" t="inlineStr">
        <is>
          <t>BINTANG KEMILAU NUSANTARA</t>
        </is>
      </c>
      <c r="B6" t="inlineStr">
        <is>
          <t>Kab. Belitung</t>
        </is>
      </c>
      <c r="C6" t="inlineStr">
        <is>
          <t>08179132813</t>
        </is>
      </c>
      <c r="D6" t="inlineStr">
        <is>
          <t>kilaubinar@gmail.com</t>
        </is>
      </c>
      <c r="E6" t="inlineStr">
        <is>
          <t>https://lpjk.pu.go.id/search-badan-usaha-detail/MWxidFp5WFZNRExjSzQ3UEpsU3RFQT09</t>
        </is>
      </c>
      <c r="F6" t="n">
        <v>6</v>
      </c>
      <c r="G6" t="inlineStr">
        <is>
          <t>BG009, BS001, BS004</t>
        </is>
      </c>
      <c r="H6" t="inlineStr">
        <is>
          <t>26 Juli 2023</t>
        </is>
      </c>
      <c r="I6" s="2" t="n">
        <v>46292</v>
      </c>
      <c r="J6" t="inlineStr">
        <is>
          <t>Disetujui</t>
        </is>
      </c>
      <c r="K6" t="n">
        <v>30</v>
      </c>
      <c r="L6" t="inlineStr">
        <is>
          <t>27 September 2026</t>
        </is>
      </c>
      <c r="M6" t="inlineStr">
        <is>
          <t>Konstruksi Bangunan Sipil Jalan, Konstruksi Gedung Lainnya, Konstruksi Jaringan Irigasi dan Drainase</t>
        </is>
      </c>
      <c r="N6" t="inlineStr">
        <is>
          <t>K</t>
        </is>
      </c>
      <c r="O6" t="inlineStr">
        <is>
          <t>20230927</t>
        </is>
      </c>
      <c r="P6" t="inlineStr">
        <is>
          <t>Kepulauan Bangka Belitung</t>
        </is>
      </c>
      <c r="Q6" t="inlineStr"/>
    </row>
    <row r="7">
      <c r="A7" t="inlineStr">
        <is>
          <t>BUKIT TUBAN PERSADA</t>
        </is>
      </c>
      <c r="B7" t="inlineStr">
        <is>
          <t>Kab. Tuban</t>
        </is>
      </c>
      <c r="C7" t="inlineStr">
        <is>
          <t>081235805770</t>
        </is>
      </c>
      <c r="D7" t="inlineStr">
        <is>
          <t>BUKITTUBANPERSADA.PT80@GMAIL.COM</t>
        </is>
      </c>
      <c r="E7" t="inlineStr">
        <is>
          <t>https://lpjk.pu.go.id/search-badan-usaha-detail/Q2dWWWFvT1U5eThTeUdxdUpxbE5HZz09</t>
        </is>
      </c>
      <c r="F7" t="n">
        <v>3</v>
      </c>
      <c r="G7" t="inlineStr">
        <is>
          <t>BG005, BG006, BS001</t>
        </is>
      </c>
      <c r="H7" t="inlineStr">
        <is>
          <t>22 Juni 2012</t>
        </is>
      </c>
      <c r="I7" s="2" t="n">
        <v>46292</v>
      </c>
      <c r="J7" t="inlineStr">
        <is>
          <t>Disetujui</t>
        </is>
      </c>
      <c r="K7" t="n">
        <v>30</v>
      </c>
      <c r="L7" t="inlineStr">
        <is>
          <t>27 September 2026</t>
        </is>
      </c>
      <c r="M7" t="inlineStr">
        <is>
          <t>Konstruksi Bangunan Sipil Jalan, Konstruksi Gedung Kesehatan, Konstruksi Gedung Pendidikan</t>
        </is>
      </c>
      <c r="N7" t="inlineStr">
        <is>
          <t>K</t>
        </is>
      </c>
      <c r="O7" t="inlineStr">
        <is>
          <t>20230926, 20230927</t>
        </is>
      </c>
      <c r="P7" t="inlineStr">
        <is>
          <t>Jawa Timur</t>
        </is>
      </c>
      <c r="Q7" t="inlineStr"/>
    </row>
    <row r="8">
      <c r="A8" t="inlineStr">
        <is>
          <t>BUMI PERSADA ADIN</t>
        </is>
      </c>
      <c r="B8" t="inlineStr">
        <is>
          <t>Kota Tangerang Selatan</t>
        </is>
      </c>
      <c r="C8" t="inlineStr">
        <is>
          <t>081295637228</t>
        </is>
      </c>
      <c r="D8" t="inlineStr">
        <is>
          <t>ptbumipersadaadin@gmail.com</t>
        </is>
      </c>
      <c r="E8" t="inlineStr">
        <is>
          <t>https://lpjk.pu.go.id/search-badan-usaha-detail/NUZTTEVsOU9NcVphdjV5bDlXS3lmUT09</t>
        </is>
      </c>
      <c r="F8" t="n">
        <v>4</v>
      </c>
      <c r="G8" t="inlineStr">
        <is>
          <t>BG005, BG006, BG009, BS016</t>
        </is>
      </c>
      <c r="H8" t="inlineStr">
        <is>
          <t>19 Agustus 2022</t>
        </is>
      </c>
      <c r="I8" s="2" t="n">
        <v>46292</v>
      </c>
      <c r="J8" t="inlineStr">
        <is>
          <t>Disetujui</t>
        </is>
      </c>
      <c r="K8" t="n">
        <v>30</v>
      </c>
      <c r="L8" t="inlineStr">
        <is>
          <t>27 September 2026</t>
        </is>
      </c>
      <c r="M8" t="inlineStr">
        <is>
          <t>Konstruksi Bangunan Sipil Fasilitas Olah Raga, Konstruksi Gedung Kesehatan, Konstruksi Gedung Lainnya, Konstruksi Gedung Pendidikan</t>
        </is>
      </c>
      <c r="N8" t="inlineStr">
        <is>
          <t>K</t>
        </is>
      </c>
      <c r="O8" t="inlineStr">
        <is>
          <t>20230927, 20230929</t>
        </is>
      </c>
      <c r="P8" t="inlineStr">
        <is>
          <t>Banten</t>
        </is>
      </c>
      <c r="Q8" t="inlineStr"/>
    </row>
    <row r="9">
      <c r="A9" t="inlineStr">
        <is>
          <t>CINTA KARYA MEMBANGUN</t>
        </is>
      </c>
      <c r="B9" t="inlineStr">
        <is>
          <t>Kota Medan</t>
        </is>
      </c>
      <c r="C9" t="inlineStr">
        <is>
          <t>06142777095</t>
        </is>
      </c>
      <c r="D9" t="inlineStr">
        <is>
          <t>cintakaryapt@gmail.com</t>
        </is>
      </c>
      <c r="E9" t="inlineStr">
        <is>
          <t>https://lpjk.pu.go.id/search-badan-usaha-detail/OTFPMkFsWGJmY0dsVTdrejMySFI5Zz09</t>
        </is>
      </c>
      <c r="F9" t="n">
        <v>1</v>
      </c>
      <c r="G9" t="inlineStr">
        <is>
          <t>BG001</t>
        </is>
      </c>
      <c r="H9" t="inlineStr">
        <is>
          <t>28 Oktober 2015</t>
        </is>
      </c>
      <c r="I9" s="2" t="n">
        <v>46292</v>
      </c>
      <c r="J9" t="inlineStr">
        <is>
          <t>Pembekuan</t>
        </is>
      </c>
      <c r="K9" t="n">
        <v>30</v>
      </c>
      <c r="L9" t="inlineStr">
        <is>
          <t>27 September 2026</t>
        </is>
      </c>
      <c r="M9" t="inlineStr">
        <is>
          <t>Konstruksi Gedung Hunian</t>
        </is>
      </c>
      <c r="N9" t="inlineStr">
        <is>
          <t>M</t>
        </is>
      </c>
      <c r="O9" t="inlineStr">
        <is>
          <t>20230923</t>
        </is>
      </c>
      <c r="P9" t="inlineStr">
        <is>
          <t>Sumatera Utara</t>
        </is>
      </c>
      <c r="Q9" t="inlineStr"/>
    </row>
    <row r="10">
      <c r="A10" t="inlineStr">
        <is>
          <t>CITRA JAYA TEKNIKA</t>
        </is>
      </c>
      <c r="B10" t="inlineStr">
        <is>
          <t>Kab. Karawang</t>
        </is>
      </c>
      <c r="C10" t="inlineStr">
        <is>
          <t>085778080248</t>
        </is>
      </c>
      <c r="D10" t="inlineStr">
        <is>
          <t>pt.citrajayateknika@yahoo.com</t>
        </is>
      </c>
      <c r="E10" t="inlineStr">
        <is>
          <t>https://lpjk.pu.go.id/search-badan-usaha-detail/UVE3N1RjSE1lUCsvRUZlcDgxNmFRMENoS0ZITHJ2dXlvLzUycEtJQ0I0cz0</t>
        </is>
      </c>
      <c r="F10" t="n">
        <v>2</v>
      </c>
      <c r="G10" t="inlineStr">
        <is>
          <t>BG009, BS002</t>
        </is>
      </c>
      <c r="H10" t="inlineStr">
        <is>
          <t>5 Juni 2015</t>
        </is>
      </c>
      <c r="I10" s="2" t="n">
        <v>46292</v>
      </c>
      <c r="J10" t="inlineStr">
        <is>
          <t>Disetujui</t>
        </is>
      </c>
      <c r="K10" t="n">
        <v>30</v>
      </c>
      <c r="L10" t="inlineStr">
        <is>
          <t>27 September 2026</t>
        </is>
      </c>
      <c r="M10" t="inlineStr">
        <is>
          <t>Bangunan Sipil Jembatan, Jalan Layang, Fly Over, dan Underpass, Konstruksi Gedung Lainnya</t>
        </is>
      </c>
      <c r="N10" t="inlineStr">
        <is>
          <t>K</t>
        </is>
      </c>
      <c r="O10" t="inlineStr">
        <is>
          <t>20230927</t>
        </is>
      </c>
      <c r="P10" t="inlineStr">
        <is>
          <t>Jawa Barat</t>
        </is>
      </c>
      <c r="Q10" t="inlineStr"/>
    </row>
    <row r="11">
      <c r="A11" t="inlineStr">
        <is>
          <t>DUA SINAR MATAHARI</t>
        </is>
      </c>
      <c r="B11" t="inlineStr">
        <is>
          <t>Kota Adm. Jakarta Pusat</t>
        </is>
      </c>
      <c r="C11" t="inlineStr">
        <is>
          <t>081288886710</t>
        </is>
      </c>
      <c r="D11" t="inlineStr">
        <is>
          <t>info@dsmservices.co.id</t>
        </is>
      </c>
      <c r="E11" t="inlineStr">
        <is>
          <t>https://lpjk.pu.go.id/search-badan-usaha-detail/MWo5Q0xyeVVHSjRvZEVXK01wYnFXUT09</t>
        </is>
      </c>
      <c r="F11" t="n">
        <v>1</v>
      </c>
      <c r="G11" t="inlineStr">
        <is>
          <t>BS001</t>
        </is>
      </c>
      <c r="H11" t="inlineStr">
        <is>
          <t>7 September 2012</t>
        </is>
      </c>
      <c r="I11" s="2" t="n">
        <v>46292</v>
      </c>
      <c r="J11" t="inlineStr">
        <is>
          <t>Disetujui</t>
        </is>
      </c>
      <c r="K11" t="n">
        <v>30</v>
      </c>
      <c r="L11" t="inlineStr">
        <is>
          <t>27 September 2026</t>
        </is>
      </c>
      <c r="M11" t="inlineStr">
        <is>
          <t>Konstruksi Bangunan Sipil Jalan</t>
        </is>
      </c>
      <c r="N11" t="inlineStr">
        <is>
          <t>K</t>
        </is>
      </c>
      <c r="O11" t="inlineStr">
        <is>
          <t>20230927</t>
        </is>
      </c>
      <c r="P11" t="inlineStr">
        <is>
          <t>DKI Jakarta</t>
        </is>
      </c>
      <c r="Q11" t="inlineStr"/>
    </row>
    <row r="12">
      <c r="A12" t="inlineStr">
        <is>
          <t>GAMA CIPTA</t>
        </is>
      </c>
      <c r="B12" t="inlineStr">
        <is>
          <t>Kota Manado</t>
        </is>
      </c>
      <c r="C12" t="inlineStr">
        <is>
          <t>085240776669</t>
        </is>
      </c>
      <c r="D12" t="inlineStr">
        <is>
          <t>gamacipta18@gmail.com</t>
        </is>
      </c>
      <c r="E12" t="inlineStr">
        <is>
          <t>https://lpjk.pu.go.id/search-badan-usaha-detail/RHlYWXlUL1VOR2hZMEFRdXJpS1RlZz09</t>
        </is>
      </c>
      <c r="F12" t="n">
        <v>1</v>
      </c>
      <c r="G12" t="inlineStr">
        <is>
          <t>BS006</t>
        </is>
      </c>
      <c r="H12" t="inlineStr">
        <is>
          <t>12 Juni 1993</t>
        </is>
      </c>
      <c r="I12" s="2" t="n">
        <v>46292</v>
      </c>
      <c r="J12" t="inlineStr">
        <is>
          <t>Pencabutan</t>
        </is>
      </c>
      <c r="K12" t="n">
        <v>30</v>
      </c>
      <c r="L12" t="inlineStr">
        <is>
          <t>27 September 2026</t>
        </is>
      </c>
      <c r="M12" t="inlineStr">
        <is>
          <t>Konstruksi Bangunan Sipil Prasarana dan Sarana Sistem Pengolahan Limbah Padat, Cair, dan Gas</t>
        </is>
      </c>
      <c r="N12" t="inlineStr">
        <is>
          <t>K</t>
        </is>
      </c>
      <c r="O12" t="inlineStr">
        <is>
          <t>20230927</t>
        </is>
      </c>
      <c r="P12" t="inlineStr">
        <is>
          <t>Sulawesi Utara</t>
        </is>
      </c>
      <c r="Q12" t="inlineStr"/>
    </row>
    <row r="13">
      <c r="A13" t="inlineStr">
        <is>
          <t>KARYA MULTI SOLUSI</t>
        </is>
      </c>
      <c r="B13" t="inlineStr">
        <is>
          <t>Kota Tangerang Selatan</t>
        </is>
      </c>
      <c r="C13" t="inlineStr">
        <is>
          <t>0215385142</t>
        </is>
      </c>
      <c r="D13" t="inlineStr">
        <is>
          <t>karyamultisolusi.kms16@gmail.com</t>
        </is>
      </c>
      <c r="E13" t="inlineStr">
        <is>
          <t>https://lpjk.pu.go.id/search-badan-usaha-detail/V3MzTVJQeXJvY0FVRnk1Y2l1Q0JkZz09</t>
        </is>
      </c>
      <c r="F13" t="n">
        <v>4</v>
      </c>
      <c r="G13" t="inlineStr">
        <is>
          <t>BG001, BG004, BS001, BS004</t>
        </is>
      </c>
      <c r="H13" t="inlineStr">
        <is>
          <t>18 Desember 2015</t>
        </is>
      </c>
      <c r="I13" s="2" t="n">
        <v>46292</v>
      </c>
      <c r="J13" t="inlineStr">
        <is>
          <t>Disetujui</t>
        </is>
      </c>
      <c r="K13" t="n">
        <v>30</v>
      </c>
      <c r="L13" t="inlineStr">
        <is>
          <t>27 September 2026</t>
        </is>
      </c>
      <c r="M13" t="inlineStr">
        <is>
          <t>Konstruksi Bangunan Sipil Jalan, Konstruksi Gedung Hunian, Konstruksi Gedung Perbelanjaan, Konstruksi Jaringan Irigasi dan Drainase</t>
        </is>
      </c>
      <c r="N13" t="inlineStr">
        <is>
          <t>K</t>
        </is>
      </c>
      <c r="O13" t="inlineStr">
        <is>
          <t>20230927, 20230928, 20230929</t>
        </is>
      </c>
      <c r="P13" t="inlineStr">
        <is>
          <t>Banten</t>
        </is>
      </c>
      <c r="Q13" t="inlineStr"/>
    </row>
    <row r="14">
      <c r="A14" t="inlineStr">
        <is>
          <t>KENANGAN MAKMUR LESTARI</t>
        </is>
      </c>
      <c r="B14" t="inlineStr">
        <is>
          <t>Kota Balikpapan</t>
        </is>
      </c>
      <c r="C14" t="inlineStr">
        <is>
          <t>081346487227</t>
        </is>
      </c>
      <c r="D14" t="inlineStr">
        <is>
          <t>makmurlestari77@gmail.com</t>
        </is>
      </c>
      <c r="E14" t="inlineStr">
        <is>
          <t>https://lpjk.pu.go.id/search-badan-usaha-detail/eW9YSFRBUWtiMWNZSjczMktzN1lvZz09</t>
        </is>
      </c>
      <c r="F14" t="n">
        <v>4</v>
      </c>
      <c r="G14" t="inlineStr">
        <is>
          <t>BG006, BG009</t>
        </is>
      </c>
      <c r="H14" t="inlineStr">
        <is>
          <t>22 Februari 2007</t>
        </is>
      </c>
      <c r="I14" s="2" t="n">
        <v>46292</v>
      </c>
      <c r="J14" t="inlineStr">
        <is>
          <t>Disetujui</t>
        </is>
      </c>
      <c r="K14" t="n">
        <v>30</v>
      </c>
      <c r="L14" t="inlineStr">
        <is>
          <t>27 September 2026</t>
        </is>
      </c>
      <c r="M14" t="inlineStr">
        <is>
          <t>Konstruksi Gedung Lainnya, Konstruksi Gedung Pendidikan</t>
        </is>
      </c>
      <c r="N14" t="inlineStr">
        <is>
          <t>K</t>
        </is>
      </c>
      <c r="O14" t="inlineStr">
        <is>
          <t>20230926</t>
        </is>
      </c>
      <c r="P14" t="inlineStr">
        <is>
          <t>Kalimantan Timur</t>
        </is>
      </c>
      <c r="Q14" t="inlineStr"/>
    </row>
    <row r="15">
      <c r="A15" t="inlineStr">
        <is>
          <t>KURNIA PRIMA JAYA</t>
        </is>
      </c>
      <c r="B15" t="inlineStr">
        <is>
          <t>Kota Bandung</t>
        </is>
      </c>
      <c r="C15" t="inlineStr">
        <is>
          <t>0895335793475</t>
        </is>
      </c>
      <c r="D15" t="inlineStr">
        <is>
          <t>cv.kurniaprimajaya@yahoo.com</t>
        </is>
      </c>
      <c r="E15" t="inlineStr">
        <is>
          <t>https://lpjk.pu.go.id/search-badan-usaha-detail/K1FmK0E2a3ZhSkN1S0tPYWxIMnFXZz09</t>
        </is>
      </c>
      <c r="F15" t="n">
        <v>2</v>
      </c>
      <c r="G15" t="inlineStr">
        <is>
          <t>BG006, BG009</t>
        </is>
      </c>
      <c r="H15" t="inlineStr">
        <is>
          <t>5 Maret 2009</t>
        </is>
      </c>
      <c r="I15" s="2" t="n">
        <v>46292</v>
      </c>
      <c r="J15" t="inlineStr">
        <is>
          <t>Disetujui</t>
        </is>
      </c>
      <c r="K15" t="n">
        <v>30</v>
      </c>
      <c r="L15" t="inlineStr">
        <is>
          <t>27 September 2026</t>
        </is>
      </c>
      <c r="M15" t="inlineStr">
        <is>
          <t>Konstruksi Gedung Lainnya, Konstruksi Gedung Pendidikan</t>
        </is>
      </c>
      <c r="N15" t="inlineStr">
        <is>
          <t>K</t>
        </is>
      </c>
      <c r="O15" t="inlineStr">
        <is>
          <t>20230927</t>
        </is>
      </c>
      <c r="P15" t="inlineStr">
        <is>
          <t>Jawa Barat</t>
        </is>
      </c>
      <c r="Q15" t="inlineStr"/>
    </row>
    <row r="16">
      <c r="A16" t="inlineStr">
        <is>
          <t>MARIA GLOBAL MANDIRI</t>
        </is>
      </c>
      <c r="B16" t="inlineStr">
        <is>
          <t>Kab. Karawang</t>
        </is>
      </c>
      <c r="C16" t="inlineStr">
        <is>
          <t>081220017222</t>
        </is>
      </c>
      <c r="D16" t="inlineStr">
        <is>
          <t>cv.mariaglobalmandiri.01@gmail.com</t>
        </is>
      </c>
      <c r="E16" t="inlineStr">
        <is>
          <t>https://lpjk.pu.go.id/search-badan-usaha-detail/M3R4bVBmSWNHMUEzbjhIV0dQOEZoQT09</t>
        </is>
      </c>
      <c r="F16" t="n">
        <v>1</v>
      </c>
      <c r="G16" t="inlineStr">
        <is>
          <t>BG009</t>
        </is>
      </c>
      <c r="H16" t="inlineStr">
        <is>
          <t>17 Oktober 2017</t>
        </is>
      </c>
      <c r="I16" s="2" t="n">
        <v>46292</v>
      </c>
      <c r="J16" t="inlineStr">
        <is>
          <t>Disetujui</t>
        </is>
      </c>
      <c r="K16" t="n">
        <v>30</v>
      </c>
      <c r="L16" t="inlineStr">
        <is>
          <t>27 September 2026</t>
        </is>
      </c>
      <c r="M16" t="inlineStr">
        <is>
          <t>Konstruksi Gedung Lainnya</t>
        </is>
      </c>
      <c r="N16" t="inlineStr">
        <is>
          <t>K</t>
        </is>
      </c>
      <c r="O16" t="inlineStr">
        <is>
          <t>20230925</t>
        </is>
      </c>
      <c r="P16" t="inlineStr">
        <is>
          <t>Jawa Barat</t>
        </is>
      </c>
      <c r="Q16" t="inlineStr"/>
    </row>
    <row r="17">
      <c r="A17" t="inlineStr">
        <is>
          <t>MARVA</t>
        </is>
      </c>
      <c r="B17" t="inlineStr">
        <is>
          <t>Kab. Kutai Kartanegara</t>
        </is>
      </c>
      <c r="C17" t="inlineStr">
        <is>
          <t>081350332025</t>
        </is>
      </c>
      <c r="D17" t="inlineStr">
        <is>
          <t>cv.marva19@yahoo.com</t>
        </is>
      </c>
      <c r="E17" t="inlineStr">
        <is>
          <t>https://lpjk.pu.go.id/search-badan-usaha-detail/WDFaei9UVHYybXNTd1U4M0V6cGdrUT09</t>
        </is>
      </c>
      <c r="F17" t="n">
        <v>3</v>
      </c>
      <c r="G17" t="inlineStr">
        <is>
          <t>BS001, BS004, PL003</t>
        </is>
      </c>
      <c r="H17" t="inlineStr">
        <is>
          <t>15 Februari 2019</t>
        </is>
      </c>
      <c r="I17" s="2" t="n">
        <v>46292</v>
      </c>
      <c r="J17" t="inlineStr">
        <is>
          <t>Disetujui, Pencabutan</t>
        </is>
      </c>
      <c r="K17" t="n">
        <v>30</v>
      </c>
      <c r="L17" t="inlineStr">
        <is>
          <t>27 September 2026</t>
        </is>
      </c>
      <c r="M17" t="inlineStr">
        <is>
          <t>Konstruksi Bangunan Sipil Jalan, Konstruksi Jaringan Irigasi dan Drainase, Penyiapan Lahan Konstruksi</t>
        </is>
      </c>
      <c r="N17" t="inlineStr">
        <is>
          <t>K, Spesialis</t>
        </is>
      </c>
      <c r="O17" t="inlineStr">
        <is>
          <t>20230926</t>
        </is>
      </c>
      <c r="P17" t="inlineStr">
        <is>
          <t>Kalimantan Timur</t>
        </is>
      </c>
      <c r="Q17" t="inlineStr"/>
    </row>
    <row r="18">
      <c r="A18" t="inlineStr">
        <is>
          <t>MATANG KOALISI</t>
        </is>
      </c>
      <c r="B18" t="inlineStr">
        <is>
          <t>Kota Banda Aceh</t>
        </is>
      </c>
      <c r="C18" t="inlineStr">
        <is>
          <t>0853 6002 4260</t>
        </is>
      </c>
      <c r="D18" t="inlineStr">
        <is>
          <t>matangkoalisi@gmail.com</t>
        </is>
      </c>
      <c r="E18" t="inlineStr">
        <is>
          <t>https://lpjk.pu.go.id/search-badan-usaha-detail/Z0puRGNZRWdQRHczb3IrN2Q2ZzJEdz09</t>
        </is>
      </c>
      <c r="F18" t="n">
        <v>8</v>
      </c>
      <c r="G18" t="inlineStr">
        <is>
          <t>BG001, BG005, BG006, BG008, BG009, BS001</t>
        </is>
      </c>
      <c r="H18" t="inlineStr">
        <is>
          <t>28 Maret 2013</t>
        </is>
      </c>
      <c r="I18" s="2" t="n">
        <v>46292</v>
      </c>
      <c r="J18" t="inlineStr">
        <is>
          <t>Disetujui</t>
        </is>
      </c>
      <c r="K18" t="n">
        <v>30</v>
      </c>
      <c r="L18" t="inlineStr">
        <is>
          <t>27 September 2026</t>
        </is>
      </c>
      <c r="M18" t="inlineStr">
        <is>
          <t>Konstruksi Bangunan Sipil Jalan, Konstruksi Gedung Hunian, Konstruksi Gedung Kesehatan, Konstruksi Gedung Lainnya, Konstruksi Gedung Pendidikan, Konstruksi Gedung Tempat Hiburan dan Olahraga</t>
        </is>
      </c>
      <c r="N18" t="inlineStr">
        <is>
          <t>K</t>
        </is>
      </c>
      <c r="O18" t="inlineStr">
        <is>
          <t>20230921</t>
        </is>
      </c>
      <c r="P18" t="inlineStr">
        <is>
          <t>Aceh</t>
        </is>
      </c>
      <c r="Q18" t="inlineStr"/>
    </row>
    <row r="19">
      <c r="A19" t="inlineStr">
        <is>
          <t>MEGATRON MULTI KARYA</t>
        </is>
      </c>
      <c r="B19" t="inlineStr">
        <is>
          <t>Kab. Melawi</t>
        </is>
      </c>
      <c r="C19" t="inlineStr">
        <is>
          <t>082158467717</t>
        </is>
      </c>
      <c r="D19" t="inlineStr">
        <is>
          <t>megatronmultikarya.cv@gmail.com</t>
        </is>
      </c>
      <c r="E19" t="inlineStr">
        <is>
          <t>https://lpjk.pu.go.id/search-badan-usaha-detail/amxMT1lhbFlySFZseHlhcVA4cDJHdz09</t>
        </is>
      </c>
      <c r="F19" t="n">
        <v>5</v>
      </c>
      <c r="G19" t="inlineStr">
        <is>
          <t>BG001, BG002, BG006, BG008, BG009</t>
        </is>
      </c>
      <c r="H19" t="inlineStr">
        <is>
          <t>1 April 2020</t>
        </is>
      </c>
      <c r="I19" s="2" t="n">
        <v>46292</v>
      </c>
      <c r="J19" t="inlineStr">
        <is>
          <t>Disetujui, Pencabutan</t>
        </is>
      </c>
      <c r="K19" t="n">
        <v>30</v>
      </c>
      <c r="L19" t="inlineStr">
        <is>
          <t>27 September 2026</t>
        </is>
      </c>
      <c r="M19" t="inlineStr">
        <is>
          <t>Konstruksi Gedung Hunian, Konstruksi Gedung Lainnya, Konstruksi Gedung Pendidikan, Konstruksi Gedung Perkantoran, Konstruksi Gedung Tempat Hiburan dan Olahraga</t>
        </is>
      </c>
      <c r="N19" t="inlineStr">
        <is>
          <t>K</t>
        </is>
      </c>
      <c r="O19" t="inlineStr">
        <is>
          <t>20230927, 20230928</t>
        </is>
      </c>
      <c r="P19" t="inlineStr">
        <is>
          <t>Kalimantan Barat</t>
        </is>
      </c>
      <c r="Q19" t="inlineStr"/>
    </row>
    <row r="20">
      <c r="A20" t="inlineStr">
        <is>
          <t>PANCA PERKASA</t>
        </is>
      </c>
      <c r="B20" t="inlineStr">
        <is>
          <t>Kab. Nabire</t>
        </is>
      </c>
      <c r="C20" t="inlineStr">
        <is>
          <t>081344326628</t>
        </is>
      </c>
      <c r="D20" t="inlineStr">
        <is>
          <t>cv.pancaperkasa@gmail.com</t>
        </is>
      </c>
      <c r="E20" t="inlineStr">
        <is>
          <t>https://lpjk.pu.go.id/search-badan-usaha-detail/R3JxNkF5RE9YdFEyUTFvY3QxR2llZz09</t>
        </is>
      </c>
      <c r="F20" t="n">
        <v>1</v>
      </c>
      <c r="G20" t="inlineStr">
        <is>
          <t>BG001</t>
        </is>
      </c>
      <c r="H20" t="inlineStr">
        <is>
          <t>11 Mei 2023</t>
        </is>
      </c>
      <c r="I20" s="2" t="n">
        <v>46292</v>
      </c>
      <c r="J20" t="inlineStr">
        <is>
          <t>Disetujui</t>
        </is>
      </c>
      <c r="K20" t="n">
        <v>30</v>
      </c>
      <c r="L20" t="inlineStr">
        <is>
          <t>27 September 2026</t>
        </is>
      </c>
      <c r="M20" t="inlineStr">
        <is>
          <t>Konstruksi Gedung Hunian</t>
        </is>
      </c>
      <c r="N20" t="inlineStr">
        <is>
          <t>K</t>
        </is>
      </c>
      <c r="O20" t="inlineStr">
        <is>
          <t>20230925</t>
        </is>
      </c>
      <c r="P20" t="inlineStr">
        <is>
          <t>Papua</t>
        </is>
      </c>
      <c r="Q20" t="inlineStr"/>
    </row>
    <row r="21">
      <c r="A21" t="inlineStr">
        <is>
          <t>PRATAMA ADIWITYA</t>
        </is>
      </c>
      <c r="B21" t="inlineStr">
        <is>
          <t>Kota Blitar</t>
        </is>
      </c>
      <c r="C21" t="inlineStr">
        <is>
          <t>081333102347</t>
        </is>
      </c>
      <c r="D21" t="inlineStr">
        <is>
          <t>cvpratamaadiwitya@gmail.com</t>
        </is>
      </c>
      <c r="E21" t="inlineStr">
        <is>
          <t>https://lpjk.pu.go.id/search-badan-usaha-detail/NncvZzNMaXpwNXN1c00rT09NeXE2QT09</t>
        </is>
      </c>
      <c r="F21" t="n">
        <v>2</v>
      </c>
      <c r="G21" t="inlineStr">
        <is>
          <t>BS001, BS004</t>
        </is>
      </c>
      <c r="H21" t="inlineStr">
        <is>
          <t>3 Juli 2012</t>
        </is>
      </c>
      <c r="I21" s="2" t="n">
        <v>46292</v>
      </c>
      <c r="J21" t="inlineStr">
        <is>
          <t>Disetujui</t>
        </is>
      </c>
      <c r="K21" t="n">
        <v>30</v>
      </c>
      <c r="L21" t="inlineStr">
        <is>
          <t>27 September 2026</t>
        </is>
      </c>
      <c r="M21" t="inlineStr">
        <is>
          <t>Konstruksi Bangunan Sipil Jalan, Konstruksi Jaringan Irigasi dan Drainase</t>
        </is>
      </c>
      <c r="N21" t="inlineStr">
        <is>
          <t>K</t>
        </is>
      </c>
      <c r="O21" t="inlineStr">
        <is>
          <t>20230927</t>
        </is>
      </c>
      <c r="P21" t="inlineStr">
        <is>
          <t>Jawa Timur</t>
        </is>
      </c>
      <c r="Q21" t="inlineStr"/>
    </row>
    <row r="22">
      <c r="A22" t="inlineStr">
        <is>
          <t>SAPTA INDOTAMA JAYA</t>
        </is>
      </c>
      <c r="B22" t="inlineStr">
        <is>
          <t>Kota Makassar</t>
        </is>
      </c>
      <c r="C22" t="inlineStr">
        <is>
          <t>082158896768</t>
        </is>
      </c>
      <c r="D22" t="inlineStr">
        <is>
          <t>saptaindotama@gmail.com</t>
        </is>
      </c>
      <c r="E22" t="inlineStr">
        <is>
          <t>https://lpjk.pu.go.id/search-badan-usaha-detail/Nm5vdGd3dEhlYzJJeXY5WFVKbVNxQT09</t>
        </is>
      </c>
      <c r="F22" t="n">
        <v>2</v>
      </c>
      <c r="G22" t="inlineStr">
        <is>
          <t>BS004, BS010</t>
        </is>
      </c>
      <c r="H22" t="inlineStr">
        <is>
          <t>24 Februari 2020</t>
        </is>
      </c>
      <c r="I22" s="2" t="n">
        <v>46292</v>
      </c>
      <c r="J22" t="inlineStr">
        <is>
          <t>Disetujui</t>
        </is>
      </c>
      <c r="K22" t="n">
        <v>30</v>
      </c>
      <c r="L22" t="inlineStr">
        <is>
          <t>27 September 2026</t>
        </is>
      </c>
      <c r="M22" t="inlineStr">
        <is>
          <t>Konstruksi Bangunan Prasarana Sumber Daya Air, Konstruksi Jaringan Irigasi dan Drainase</t>
        </is>
      </c>
      <c r="N22" t="inlineStr">
        <is>
          <t>K</t>
        </is>
      </c>
      <c r="O22" t="inlineStr">
        <is>
          <t>20230927</t>
        </is>
      </c>
      <c r="P22" t="inlineStr">
        <is>
          <t>Sulawesi Selatan</t>
        </is>
      </c>
      <c r="Q22" t="inlineStr"/>
    </row>
    <row r="23">
      <c r="A23" t="inlineStr">
        <is>
          <t>SINAR JAYA</t>
        </is>
      </c>
      <c r="B23" t="inlineStr">
        <is>
          <t>Kota Medan</t>
        </is>
      </c>
      <c r="C23" t="inlineStr">
        <is>
          <t>085830287900</t>
        </is>
      </c>
      <c r="D23" t="inlineStr">
        <is>
          <t>cvsinarjaya@rocketmail.com</t>
        </is>
      </c>
      <c r="E23" t="inlineStr">
        <is>
          <t>https://lpjk.pu.go.id/search-badan-usaha-detail/WnpQSC81alljdE1GeC9BUWZ6RG9NZz09</t>
        </is>
      </c>
      <c r="F23" t="n">
        <v>1</v>
      </c>
      <c r="G23" t="inlineStr">
        <is>
          <t>BS001</t>
        </is>
      </c>
      <c r="H23" t="inlineStr">
        <is>
          <t>18 Oktober 2005</t>
        </is>
      </c>
      <c r="I23" s="2" t="n">
        <v>46292</v>
      </c>
      <c r="J23" t="inlineStr">
        <is>
          <t>Disetujui</t>
        </is>
      </c>
      <c r="K23" t="n">
        <v>30</v>
      </c>
      <c r="L23" t="inlineStr">
        <is>
          <t>27 September 2026</t>
        </is>
      </c>
      <c r="M23" t="inlineStr">
        <is>
          <t>Konstruksi Bangunan Sipil Jalan</t>
        </is>
      </c>
      <c r="N23" t="inlineStr">
        <is>
          <t>K</t>
        </is>
      </c>
      <c r="O23" t="inlineStr">
        <is>
          <t>20230916</t>
        </is>
      </c>
      <c r="P23" t="inlineStr">
        <is>
          <t>Sumatera Utara</t>
        </is>
      </c>
      <c r="Q23" t="inlineStr"/>
    </row>
    <row r="24">
      <c r="A24" t="inlineStr">
        <is>
          <t>SULTAN BUMI PERKASA</t>
        </is>
      </c>
      <c r="B24" t="inlineStr">
        <is>
          <t>Kab. Kepulauan Meranti</t>
        </is>
      </c>
      <c r="C24" t="inlineStr">
        <is>
          <t>081261098873</t>
        </is>
      </c>
      <c r="D24" t="inlineStr">
        <is>
          <t>sultanbumiperkasa2022@gmail.com</t>
        </is>
      </c>
      <c r="E24" t="inlineStr">
        <is>
          <t>https://lpjk.pu.go.id/search-badan-usaha-detail/M0Q3YXhzWkVKQzlZTXUxdHAyV05QQT09</t>
        </is>
      </c>
      <c r="F24" t="n">
        <v>6</v>
      </c>
      <c r="G24" t="inlineStr">
        <is>
          <t>BG001, BG002, BG005, BG006, BG009, BS004</t>
        </is>
      </c>
      <c r="H24" t="inlineStr">
        <is>
          <t>12 September 2022</t>
        </is>
      </c>
      <c r="I24" s="2" t="n">
        <v>46292</v>
      </c>
      <c r="J24" t="inlineStr">
        <is>
          <t>Disetujui</t>
        </is>
      </c>
      <c r="K24" t="n">
        <v>30</v>
      </c>
      <c r="L24" t="inlineStr">
        <is>
          <t>27 September 2026</t>
        </is>
      </c>
      <c r="M24" t="inlineStr">
        <is>
          <t>Konstruksi Gedung Hunian, Konstruksi Gedung Kesehatan, Konstruksi Gedung Lainnya, Konstruksi Gedung Pendidikan, Konstruksi Gedung Perkantoran, Konstruksi Jaringan Irigasi dan Drainase</t>
        </is>
      </c>
      <c r="N24" t="inlineStr">
        <is>
          <t>K</t>
        </is>
      </c>
      <c r="O24" t="inlineStr">
        <is>
          <t>20230927, 20230929</t>
        </is>
      </c>
      <c r="P24" t="inlineStr">
        <is>
          <t>Riau</t>
        </is>
      </c>
      <c r="Q24" t="inlineStr"/>
    </row>
    <row r="25">
      <c r="A25" t="inlineStr">
        <is>
          <t>TRI KAS BUNGENG TURATEA</t>
        </is>
      </c>
      <c r="B25" t="inlineStr">
        <is>
          <t>Kab. Jeneponto</t>
        </is>
      </c>
      <c r="C25" t="inlineStr">
        <is>
          <t>08285866885</t>
        </is>
      </c>
      <c r="D25" t="inlineStr">
        <is>
          <t>pt.trikasbungengturatea20@gmail.com</t>
        </is>
      </c>
      <c r="E25" t="inlineStr">
        <is>
          <t>https://lpjk.pu.go.id/search-badan-usaha-detail/TzUvcm52ZlpEMmRFaFZJSVQ1cjNUdz09</t>
        </is>
      </c>
      <c r="F25" t="n">
        <v>1</v>
      </c>
      <c r="G25" t="inlineStr">
        <is>
          <t>BS001</t>
        </is>
      </c>
      <c r="H25" t="inlineStr">
        <is>
          <t>11 Juni 2015</t>
        </is>
      </c>
      <c r="I25" s="2" t="n">
        <v>46292</v>
      </c>
      <c r="J25" t="inlineStr">
        <is>
          <t>Pencabutan</t>
        </is>
      </c>
      <c r="K25" t="n">
        <v>30</v>
      </c>
      <c r="L25" t="inlineStr">
        <is>
          <t>27 September 2026</t>
        </is>
      </c>
      <c r="M25" t="inlineStr">
        <is>
          <t>Konstruksi Bangunan Sipil Jalan</t>
        </is>
      </c>
      <c r="N25" t="inlineStr">
        <is>
          <t>K</t>
        </is>
      </c>
      <c r="O25" t="inlineStr">
        <is>
          <t>20230626</t>
        </is>
      </c>
      <c r="P25" t="inlineStr">
        <is>
          <t>Sulawesi Selatan</t>
        </is>
      </c>
      <c r="Q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2026-08-28T03:48:41Z</dcterms:created>
  <dcterms:modified xsi:type="dcterms:W3CDTF">2026-08-28T03:48:41Z</dcterms:modified>
</cp:coreProperties>
</file>