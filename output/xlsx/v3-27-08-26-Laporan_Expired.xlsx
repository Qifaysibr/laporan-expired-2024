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9"/>
  <sheetViews>
    <sheetView workbookViewId="0">
      <selection activeCell="A1" sqref="A1"/>
    </sheetView>
  </sheetViews>
  <sheetFormatPr baseColWidth="8" defaultRowHeight="15"/>
  <cols>
    <col width="33" customWidth="1" min="1" max="1"/>
    <col width="27" customWidth="1" min="2" max="2"/>
    <col width="16" customWidth="1" min="3" max="3"/>
    <col width="39" customWidth="1" min="4" max="4"/>
    <col width="50" customWidth="1" min="5" max="5"/>
    <col width="18" customWidth="1" min="6" max="6"/>
    <col width="49" customWidth="1" min="7" max="7"/>
    <col width="20" customWidth="1" min="8" max="8"/>
    <col width="28" customWidth="1" min="9" max="9"/>
    <col width="31" customWidth="1" min="10" max="10"/>
    <col width="11" customWidth="1" min="11" max="11"/>
    <col width="18" customWidth="1" min="12" max="12"/>
    <col width="50" customWidth="1" min="13" max="13"/>
    <col width="14" customWidth="1" min="14" max="14"/>
    <col width="4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ADINDA ANUGRAH PRATAMA</t>
        </is>
      </c>
      <c r="B2" t="inlineStr">
        <is>
          <t>Kab. Bekasi</t>
        </is>
      </c>
      <c r="C2" t="inlineStr">
        <is>
          <t>087771911119</t>
        </is>
      </c>
      <c r="D2" t="inlineStr">
        <is>
          <t>cv.adindaanugrahpratama@gmail.com</t>
        </is>
      </c>
      <c r="E2" t="inlineStr">
        <is>
          <t>https://lpjk.pu.go.id/search-badan-usaha-detail/cWZEZVdMNnIrYUpqclFoMHkxdFI0dz09</t>
        </is>
      </c>
      <c r="F2" t="n">
        <v>2</v>
      </c>
      <c r="G2" t="inlineStr">
        <is>
          <t>BS010</t>
        </is>
      </c>
      <c r="H2" t="inlineStr">
        <is>
          <t>6 Februari 2017</t>
        </is>
      </c>
      <c r="I2" s="2" t="n">
        <v>46348</v>
      </c>
      <c r="J2" t="inlineStr">
        <is>
          <t>Disetujui</t>
        </is>
      </c>
      <c r="K2" t="n">
        <v>87</v>
      </c>
      <c r="L2" t="inlineStr">
        <is>
          <t>22 November 2026</t>
        </is>
      </c>
      <c r="M2" t="inlineStr">
        <is>
          <t>Konstruksi Bangunan Prasarana Sumber Daya Air</t>
        </is>
      </c>
      <c r="N2" t="inlineStr">
        <is>
          <t>K</t>
        </is>
      </c>
      <c r="O2" t="inlineStr">
        <is>
          <t>20231114</t>
        </is>
      </c>
      <c r="P2" t="inlineStr">
        <is>
          <t>Jawa Barat</t>
        </is>
      </c>
      <c r="Q2" s="3">
        <f>HYPERLINK("https://wa.me/6287771911119?text=Selamat siang Bapak/Ibu pimpinan ADINDA ANUGRAH PRATAMA,%0A%0ASemoga Bapak/Ibu dalam keadaan baik.%0ABerdasarkan data LPJK, masa berlaku SBU perusahaan Bapak/Ibu akan berakhir sekitar 3 bulan lagi (pada 22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ANDI BERKAH KARYA</t>
        </is>
      </c>
      <c r="B3" t="inlineStr">
        <is>
          <t>Kab. Bekasi</t>
        </is>
      </c>
      <c r="C3" t="inlineStr">
        <is>
          <t>081284885075</t>
        </is>
      </c>
      <c r="D3" t="inlineStr">
        <is>
          <t>abk.berkahkarya@gmail.com</t>
        </is>
      </c>
      <c r="E3" t="inlineStr">
        <is>
          <t>https://lpjk.pu.go.id/search-badan-usaha-detail/M0twWUFJTnlkcUwwZElxZ1lEVHdodz09</t>
        </is>
      </c>
      <c r="F3" t="n">
        <v>4</v>
      </c>
      <c r="G3" t="inlineStr">
        <is>
          <t>BG002, BG003, BG004, BG007</t>
        </is>
      </c>
      <c r="H3" t="inlineStr">
        <is>
          <t>7 November 2023</t>
        </is>
      </c>
      <c r="I3" s="2" t="n">
        <v>46348</v>
      </c>
      <c r="J3" t="inlineStr">
        <is>
          <t>Disetujui</t>
        </is>
      </c>
      <c r="K3" t="n">
        <v>87</v>
      </c>
      <c r="L3" t="inlineStr">
        <is>
          <t>22 November 2026</t>
        </is>
      </c>
      <c r="M3" t="inlineStr">
        <is>
          <t>Konstruksi Gedung Industri, Konstruksi Gedung Penginapan, Konstruksi Gedung Perbelanjaan, Konstruksi Gedung Perkantoran</t>
        </is>
      </c>
      <c r="N3" t="inlineStr">
        <is>
          <t>K</t>
        </is>
      </c>
      <c r="O3" t="inlineStr">
        <is>
          <t>20231121, 20231123, 20231124</t>
        </is>
      </c>
      <c r="P3" t="inlineStr">
        <is>
          <t>Jawa Barat</t>
        </is>
      </c>
      <c r="Q3" s="3">
        <f>HYPERLINK("https://wa.me/6281284885075?text=Selamat siang Bapak/Ibu pimpinan ANDI BERKAH KARYA,%0A%0ASemoga Bapak/Ibu dalam keadaan baik.%0ABerdasarkan data LPJK, masa berlaku SBU perusahaan Bapak/Ibu akan berakhir sekitar 3 bulan lagi (pada 22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ARMINDO CAHYA</t>
        </is>
      </c>
      <c r="B4" t="inlineStr">
        <is>
          <t>Kota Bogor</t>
        </is>
      </c>
      <c r="C4" t="inlineStr">
        <is>
          <t>087874084323</t>
        </is>
      </c>
      <c r="D4" t="inlineStr">
        <is>
          <t>cvarmindo2018@yahoo.com</t>
        </is>
      </c>
      <c r="E4" t="inlineStr">
        <is>
          <t>https://lpjk.pu.go.id/search-badan-usaha-detail/VEx2K1VUbkx5ZHpHZVA1czVoSlJMQT09</t>
        </is>
      </c>
      <c r="F4" t="n">
        <v>4</v>
      </c>
      <c r="G4" t="inlineStr">
        <is>
          <t>BG005, BG009</t>
        </is>
      </c>
      <c r="H4" t="inlineStr">
        <is>
          <t>28 Februari 1996</t>
        </is>
      </c>
      <c r="I4" s="2" t="n">
        <v>46348</v>
      </c>
      <c r="J4" t="inlineStr">
        <is>
          <t>Disetujui</t>
        </is>
      </c>
      <c r="K4" t="n">
        <v>87</v>
      </c>
      <c r="L4" t="inlineStr">
        <is>
          <t>22 November 2026</t>
        </is>
      </c>
      <c r="M4" t="inlineStr">
        <is>
          <t>Konstruksi Gedung Kesehatan, Konstruksi Gedung Lainnya</t>
        </is>
      </c>
      <c r="N4" t="inlineStr">
        <is>
          <t>K</t>
        </is>
      </c>
      <c r="O4" t="inlineStr">
        <is>
          <t>20231120</t>
        </is>
      </c>
      <c r="P4" t="inlineStr">
        <is>
          <t>Jawa Barat</t>
        </is>
      </c>
      <c r="Q4" s="3">
        <f>HYPERLINK("https://wa.me/6287874084323?text=Selamat siang Bapak/Ibu pimpinan ARMINDO CAHYA,%0A%0ASemoga Bapak/Ibu dalam keadaan baik.%0ABerdasarkan data LPJK, masa berlaku SBU perusahaan Bapak/Ibu akan berakhir sekitar 3 bulan lagi (pada 22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ASHRAF AIDHAM PUTRA PERKASA</t>
        </is>
      </c>
      <c r="B5" t="inlineStr">
        <is>
          <t>Kota Bekasi</t>
        </is>
      </c>
      <c r="C5" t="inlineStr">
        <is>
          <t>0811130859</t>
        </is>
      </c>
      <c r="D5" t="inlineStr">
        <is>
          <t>cv.ashrafaidhamputraperkasa@gmail.com</t>
        </is>
      </c>
      <c r="E5" t="inlineStr">
        <is>
          <t>https://lpjk.pu.go.id/search-badan-usaha-detail/dVlkSUhKSTUzSjgxQ1NncE1HTnMrUT09</t>
        </is>
      </c>
      <c r="F5" t="n">
        <v>1</v>
      </c>
      <c r="G5" t="inlineStr">
        <is>
          <t>BG001</t>
        </is>
      </c>
      <c r="H5" t="inlineStr">
        <is>
          <t>4 Juli 2022</t>
        </is>
      </c>
      <c r="I5" s="2" t="n">
        <v>46348</v>
      </c>
      <c r="J5" t="inlineStr">
        <is>
          <t>Disetujui</t>
        </is>
      </c>
      <c r="K5" t="n">
        <v>87</v>
      </c>
      <c r="L5" t="inlineStr">
        <is>
          <t>22 November 2026</t>
        </is>
      </c>
      <c r="M5" t="inlineStr">
        <is>
          <t>Konstruksi Gedung Hunian</t>
        </is>
      </c>
      <c r="N5" t="inlineStr">
        <is>
          <t>K</t>
        </is>
      </c>
      <c r="O5" t="inlineStr">
        <is>
          <t>20231121</t>
        </is>
      </c>
      <c r="P5" t="inlineStr">
        <is>
          <t>Jawa Barat</t>
        </is>
      </c>
      <c r="Q5" s="3">
        <f>HYPERLINK("https://wa.me/62811130859?text=Selamat siang Bapak/Ibu pimpinan ASHRAF AIDHAM PUTRA PERKASA,%0A%0ASemoga Bapak/Ibu dalam keadaan baik.%0ABerdasarkan data LPJK, masa berlaku SBU perusahaan Bapak/Ibu akan berakhir sekitar 3 bulan lagi (pada 22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JIFS MARSADA PERKASA</t>
        </is>
      </c>
      <c r="B6" t="inlineStr">
        <is>
          <t>Kab. Bekasi</t>
        </is>
      </c>
      <c r="C6" t="inlineStr">
        <is>
          <t>081314502696</t>
        </is>
      </c>
      <c r="D6" t="inlineStr">
        <is>
          <t>marsadaperkasa@gmail.com</t>
        </is>
      </c>
      <c r="E6" t="inlineStr">
        <is>
          <t>https://lpjk.pu.go.id/search-badan-usaha-detail/anpRdEhIL0VFcTA5NmlWZU5ON3VjZz09</t>
        </is>
      </c>
      <c r="F6" t="n">
        <v>2</v>
      </c>
      <c r="G6" t="inlineStr">
        <is>
          <t>BG002, BG009</t>
        </is>
      </c>
      <c r="H6" t="inlineStr">
        <is>
          <t>2 Januari 2023</t>
        </is>
      </c>
      <c r="I6" s="2" t="n">
        <v>46348</v>
      </c>
      <c r="J6" t="inlineStr">
        <is>
          <t>Disetujui</t>
        </is>
      </c>
      <c r="K6" t="n">
        <v>87</v>
      </c>
      <c r="L6" t="inlineStr">
        <is>
          <t>22 November 2026</t>
        </is>
      </c>
      <c r="M6" t="inlineStr">
        <is>
          <t>Konstruksi Gedung Lainnya, Konstruksi Gedung Perkantoran</t>
        </is>
      </c>
      <c r="N6" t="inlineStr">
        <is>
          <t>K</t>
        </is>
      </c>
      <c r="O6" t="inlineStr">
        <is>
          <t>20231123</t>
        </is>
      </c>
      <c r="P6" t="inlineStr">
        <is>
          <t>Jawa Barat</t>
        </is>
      </c>
      <c r="Q6" s="3">
        <f>HYPERLINK("https://wa.me/6281314502696?text=Selamat siang Bapak/Ibu pimpinan JIFS MARSADA PERKASA,%0A%0ASemoga Bapak/Ibu dalam keadaan baik.%0ABerdasarkan data LPJK, masa berlaku SBU perusahaan Bapak/Ibu akan berakhir sekitar 3 bulan lagi (pada 22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7">
      <c r="A7" t="inlineStr">
        <is>
          <t>KHOMSA ADYATMA SANTARA</t>
        </is>
      </c>
      <c r="B7" t="inlineStr">
        <is>
          <t>Kota Bogor</t>
        </is>
      </c>
      <c r="C7" t="inlineStr">
        <is>
          <t>02518366135</t>
        </is>
      </c>
      <c r="D7" t="inlineStr">
        <is>
          <t>khomsa.adyatmasantara@gmail.com</t>
        </is>
      </c>
      <c r="E7" t="inlineStr">
        <is>
          <t>https://lpjk.pu.go.id/search-badan-usaha-detail/VllEOFdVMHhOMTI4MEJvc25sWU9sQT09</t>
        </is>
      </c>
      <c r="F7" t="n">
        <v>4</v>
      </c>
      <c r="G7" t="inlineStr">
        <is>
          <t>RK001, RK002, RK003, RK005</t>
        </is>
      </c>
      <c r="H7" t="inlineStr">
        <is>
          <t>12 Oktober 2019</t>
        </is>
      </c>
      <c r="I7" s="2" t="n">
        <v>46348</v>
      </c>
      <c r="J7" t="inlineStr">
        <is>
          <t>Disetujui</t>
        </is>
      </c>
      <c r="K7" t="n">
        <v>87</v>
      </c>
      <c r="L7" t="inlineStr">
        <is>
          <t>22 November 2026</t>
        </is>
      </c>
      <c r="M7" t="inlineStr">
        <is>
          <t>Jasa Rekayasa Konstruksi Bangunan Gedung Hunian dan Non Hunian, Jasa Rekayasa Lainnya, Jasa Rekayasa Pekerjaan Teknik Sipil Sumber Daya Air, Jasa Rekayasa Pekerjaan Teknik Sipil Transportasi</t>
        </is>
      </c>
      <c r="N7" t="inlineStr">
        <is>
          <t>K</t>
        </is>
      </c>
      <c r="O7" t="inlineStr">
        <is>
          <t>20231115</t>
        </is>
      </c>
      <c r="P7" t="inlineStr">
        <is>
          <t>Jawa Barat</t>
        </is>
      </c>
      <c r="Q7" s="3">
        <f>HYPERLINK("https://wa.me/622518366135?text=Selamat siang Bapak/Ibu pimpinan KHOMSA ADYATMA SANTARA,%0A%0ASemoga Bapak/Ibu dalam keadaan baik.%0ABerdasarkan data LPJK, masa berlaku SBU perusahaan Bapak/Ibu akan berakhir sekitar 3 bulan lagi (pada 22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MINARTA DUTAHUTAMA</t>
        </is>
      </c>
      <c r="B8" t="inlineStr">
        <is>
          <t>Kota Adm. Jakarta Timur</t>
        </is>
      </c>
      <c r="C8" t="inlineStr">
        <is>
          <t>02121016788</t>
        </is>
      </c>
      <c r="D8" t="inlineStr">
        <is>
          <t>sdm@minarta.com</t>
        </is>
      </c>
      <c r="E8" t="inlineStr">
        <is>
          <t>https://lpjk.pu.go.id/search-badan-usaha-detail/RndpQTltcDhlVzdOSkJ1OHlEZVN6Zz09</t>
        </is>
      </c>
      <c r="F8" t="n">
        <v>2</v>
      </c>
      <c r="G8" t="inlineStr">
        <is>
          <t>IN001</t>
        </is>
      </c>
      <c r="H8" t="inlineStr">
        <is>
          <t>21 Juli 1994</t>
        </is>
      </c>
      <c r="I8" s="2" t="n">
        <v>46348</v>
      </c>
      <c r="J8" t="inlineStr">
        <is>
          <t>Pencabutan</t>
        </is>
      </c>
      <c r="K8" t="n">
        <v>87</v>
      </c>
      <c r="L8" t="inlineStr">
        <is>
          <t>22 November 2026</t>
        </is>
      </c>
      <c r="M8" t="inlineStr">
        <is>
          <t>Instalasi Mekanikal</t>
        </is>
      </c>
      <c r="N8" t="inlineStr">
        <is>
          <t>Spesialis</t>
        </is>
      </c>
      <c r="O8" t="inlineStr">
        <is>
          <t>20231122</t>
        </is>
      </c>
      <c r="P8" t="inlineStr">
        <is>
          <t>DKI Jakarta</t>
        </is>
      </c>
      <c r="Q8" t="inlineStr"/>
    </row>
    <row r="9">
      <c r="A9" t="inlineStr">
        <is>
          <t>PILAR ABDI WIJAYA</t>
        </is>
      </c>
      <c r="B9" t="inlineStr">
        <is>
          <t>Kab. Bogor</t>
        </is>
      </c>
      <c r="C9" t="inlineStr">
        <is>
          <t>02518600181</t>
        </is>
      </c>
      <c r="D9" t="inlineStr">
        <is>
          <t>pilar_abdiwijaya@yahoo.com</t>
        </is>
      </c>
      <c r="E9" t="inlineStr">
        <is>
          <t>https://lpjk.pu.go.id/search-badan-usaha-detail/a3pvTkcyRUZ4SmJ4ZVVzZFQxZWYvZz09</t>
        </is>
      </c>
      <c r="F9" t="n">
        <v>7</v>
      </c>
      <c r="G9" t="inlineStr">
        <is>
          <t>BG001, BG002, BG003, BG006, BG009, BS001, BS004</t>
        </is>
      </c>
      <c r="H9" t="inlineStr">
        <is>
          <t>13 Juli 2010</t>
        </is>
      </c>
      <c r="I9" s="2" t="n">
        <v>46348</v>
      </c>
      <c r="J9" t="inlineStr">
        <is>
          <t>Disetujui</t>
        </is>
      </c>
      <c r="K9" t="n">
        <v>87</v>
      </c>
      <c r="L9" t="inlineStr">
        <is>
          <t>22 November 2026</t>
        </is>
      </c>
      <c r="M9" t="inlineStr">
        <is>
          <t>Konstruksi Bangunan Sipil Jalan, Konstruksi Gedung Hunian, Konstruksi Gedung Industri, Konstruksi Gedung Lainnya, Konstruksi Gedung Pendidikan, Konstruksi Gedung Perkantoran, Konstruksi Jaringan Irigasi dan Drainase</t>
        </is>
      </c>
      <c r="N9" t="inlineStr">
        <is>
          <t>K</t>
        </is>
      </c>
      <c r="O9" t="inlineStr">
        <is>
          <t>20231116, 20231120</t>
        </is>
      </c>
      <c r="P9" t="inlineStr">
        <is>
          <t>Jawa Barat</t>
        </is>
      </c>
      <c r="Q9" s="3">
        <f>HYPERLINK("https://wa.me/622518600181?text=Selamat siang Bapak/Ibu pimpinan PILAR ABDI WIJAYA,%0A%0ASemoga Bapak/Ibu dalam keadaan baik.%0ABerdasarkan data LPJK, masa berlaku SBU perusahaan Bapak/Ibu akan berakhir sekitar 3 bulan lagi (pada 22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0">
      <c r="A10" t="inlineStr">
        <is>
          <t>SHIVA ARDHYANESHA ESTETIKA</t>
        </is>
      </c>
      <c r="B10" t="inlineStr">
        <is>
          <t>Kab. Bogor</t>
        </is>
      </c>
      <c r="C10" t="inlineStr">
        <is>
          <t>082110357060</t>
        </is>
      </c>
      <c r="D10" t="inlineStr">
        <is>
          <t>design.saestudio@gmail.com</t>
        </is>
      </c>
      <c r="E10" t="inlineStr">
        <is>
          <t>https://lpjk.pu.go.id/search-badan-usaha-detail/b1V2eThUUVZnR0RINkhyUnJxU3c5UT09</t>
        </is>
      </c>
      <c r="F10" t="n">
        <v>1</v>
      </c>
      <c r="G10" t="inlineStr">
        <is>
          <t>AR001</t>
        </is>
      </c>
      <c r="H10" t="inlineStr">
        <is>
          <t>18 Agustus 2016</t>
        </is>
      </c>
      <c r="I10" s="2" t="n">
        <v>46348</v>
      </c>
      <c r="J10" t="inlineStr">
        <is>
          <t>Disetujui</t>
        </is>
      </c>
      <c r="K10" t="n">
        <v>87</v>
      </c>
      <c r="L10" t="inlineStr">
        <is>
          <t>22 November 2026</t>
        </is>
      </c>
      <c r="M10" t="inlineStr">
        <is>
          <t>Jasa Arsitektural Bangunan Gedung Hunian dan Non Hunian</t>
        </is>
      </c>
      <c r="N10" t="inlineStr">
        <is>
          <t>K</t>
        </is>
      </c>
      <c r="O10" t="inlineStr">
        <is>
          <t>20231106</t>
        </is>
      </c>
      <c r="P10" t="inlineStr">
        <is>
          <t>Jawa Barat</t>
        </is>
      </c>
      <c r="Q10" s="3">
        <f>HYPERLINK("https://wa.me/6282110357060?text=Selamat siang Bapak/Ibu pimpinan SHIVA ARDHYANESHA ESTETIKA,%0A%0ASemoga Bapak/Ibu dalam keadaan baik.%0ABerdasarkan data LPJK, masa berlaku SBU perusahaan Bapak/Ibu akan berakhir sekitar 3 bulan lagi (pada 22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1">
      <c r="A11" t="inlineStr">
        <is>
          <t>VARAS RATUBADIS PRAMBANAN</t>
        </is>
      </c>
      <c r="B11" t="inlineStr">
        <is>
          <t>Kota Adm. Jakarta Timur</t>
        </is>
      </c>
      <c r="C11" t="inlineStr">
        <is>
          <t>02121012510</t>
        </is>
      </c>
      <c r="D11" t="inlineStr">
        <is>
          <t>varasratubadisprambanan@yahoo.com</t>
        </is>
      </c>
      <c r="E11" t="inlineStr">
        <is>
          <t>https://lpjk.pu.go.id/search-badan-usaha-detail/aURlU1YyRDEwVjh5YmZyWTFiYUp1clhvbkQ2cG1pZmQ1OVNialRKejE3cz0</t>
        </is>
      </c>
      <c r="F11" t="n">
        <v>2</v>
      </c>
      <c r="G11" t="inlineStr">
        <is>
          <t>BS001, BS004</t>
        </is>
      </c>
      <c r="H11" t="inlineStr">
        <is>
          <t>11 September 2025</t>
        </is>
      </c>
      <c r="I11" s="2" t="n">
        <v>46348</v>
      </c>
      <c r="J11" t="inlineStr">
        <is>
          <t>Disetujui</t>
        </is>
      </c>
      <c r="K11" t="n">
        <v>87</v>
      </c>
      <c r="L11" t="inlineStr">
        <is>
          <t>22 November 2026</t>
        </is>
      </c>
      <c r="M11" t="inlineStr">
        <is>
          <t>Konstruksi Bangunan Sipil Jalan, Konstruksi Jaringan Irigasi dan Drainase</t>
        </is>
      </c>
      <c r="N11" t="inlineStr">
        <is>
          <t>M</t>
        </is>
      </c>
      <c r="O11" t="inlineStr">
        <is>
          <t>20230504, 20230505</t>
        </is>
      </c>
      <c r="P11" t="inlineStr">
        <is>
          <t>DKI Jakarta</t>
        </is>
      </c>
      <c r="Q11" t="inlineStr"/>
    </row>
    <row r="12">
      <c r="A12" t="inlineStr">
        <is>
          <t>ABADI PERKASA KONSTRUKSI</t>
        </is>
      </c>
      <c r="B12" t="inlineStr">
        <is>
          <t>Kota Batam</t>
        </is>
      </c>
      <c r="C12" t="inlineStr">
        <is>
          <t>081285136565</t>
        </is>
      </c>
      <c r="D12" t="inlineStr">
        <is>
          <t>ptabadiperkasakonstruksi@gmail.com</t>
        </is>
      </c>
      <c r="E12" t="inlineStr">
        <is>
          <t>https://lpjk.pu.go.id/search-badan-usaha-detail/TTQvUmRXNEFGWXg5R3hrakR1c3JTdz09</t>
        </is>
      </c>
      <c r="F12" t="n">
        <v>12</v>
      </c>
      <c r="G12" t="inlineStr">
        <is>
          <t>BG001, BG006, BG009, PB004, PB007, PB009</t>
        </is>
      </c>
      <c r="H12" t="inlineStr">
        <is>
          <t>16 Agustus 2023</t>
        </is>
      </c>
      <c r="I12" s="2" t="n">
        <v>46348</v>
      </c>
      <c r="J12" t="inlineStr">
        <is>
          <t>Disetujui</t>
        </is>
      </c>
      <c r="K12" t="n">
        <v>87</v>
      </c>
      <c r="L12" t="inlineStr">
        <is>
          <t>22 November 2026</t>
        </is>
      </c>
      <c r="M12" t="inlineStr">
        <is>
          <t>Dekorasi Interior, Konstruksi Gedung Hunian, Konstruksi Gedung Lainnya, Konstruksi Gedung Pendidikan, Pembersihan dan Perapihan Bangunan Gedung dan/atau Bangunan Sipil, Pengecatan</t>
        </is>
      </c>
      <c r="N12" t="inlineStr">
        <is>
          <t>K, Spesialis</t>
        </is>
      </c>
      <c r="O12" t="inlineStr">
        <is>
          <t>20231122</t>
        </is>
      </c>
      <c r="P12" t="inlineStr">
        <is>
          <t>Kepulauan Riau</t>
        </is>
      </c>
      <c r="Q12" t="inlineStr"/>
    </row>
    <row r="13">
      <c r="A13" t="inlineStr">
        <is>
          <t>ABHIMATA ACME INDONESIA</t>
        </is>
      </c>
      <c r="B13" t="inlineStr">
        <is>
          <t>Kota Adm. Jakarta Pusat</t>
        </is>
      </c>
      <c r="C13" t="inlineStr">
        <is>
          <t>02157930304</t>
        </is>
      </c>
      <c r="D13" t="inlineStr">
        <is>
          <t>christina.loho@abhimata.co.id</t>
        </is>
      </c>
      <c r="E13" t="inlineStr">
        <is>
          <t>https://lpjk.pu.go.id/search-badan-usaha-detail/d2FMWnN0Qmp5Rlg5UXR5bTNBQjNTMHNsZ2VkSUJ6VFVYOG1xa3BTWXJ0WT0</t>
        </is>
      </c>
      <c r="F13" t="n">
        <v>1</v>
      </c>
      <c r="G13" t="inlineStr">
        <is>
          <t>IN007</t>
        </is>
      </c>
      <c r="H13" t="inlineStr">
        <is>
          <t>15 Mei 2024</t>
        </is>
      </c>
      <c r="I13" s="2" t="n">
        <v>46348</v>
      </c>
      <c r="J13" t="inlineStr">
        <is>
          <t>Disetujui</t>
        </is>
      </c>
      <c r="K13" t="n">
        <v>87</v>
      </c>
      <c r="L13" t="inlineStr">
        <is>
          <t>22 November 2026</t>
        </is>
      </c>
      <c r="M13" t="inlineStr">
        <is>
          <t>Instalasi Saluran Air (Plambing)</t>
        </is>
      </c>
      <c r="N13" t="inlineStr">
        <is>
          <t>Spesialis</t>
        </is>
      </c>
      <c r="O13" t="inlineStr">
        <is>
          <t>20231123</t>
        </is>
      </c>
      <c r="P13" t="inlineStr">
        <is>
          <t>DKI Jakarta</t>
        </is>
      </c>
      <c r="Q13" t="inlineStr"/>
    </row>
    <row r="14">
      <c r="A14" t="inlineStr">
        <is>
          <t>ADHI MULYA PRATAMA</t>
        </is>
      </c>
      <c r="B14" t="inlineStr">
        <is>
          <t>Kota Palu</t>
        </is>
      </c>
      <c r="C14" t="inlineStr">
        <is>
          <t>082193453880</t>
        </is>
      </c>
      <c r="D14" t="inlineStr">
        <is>
          <t>cvadhimulyapratama@yahoo.com</t>
        </is>
      </c>
      <c r="E14" t="inlineStr">
        <is>
          <t>https://lpjk.pu.go.id/search-badan-usaha-detail/UkY2ckhzNEdDcXpZU2lNWHc2NnB0Zz09</t>
        </is>
      </c>
      <c r="F14" t="n">
        <v>5</v>
      </c>
      <c r="G14" t="inlineStr">
        <is>
          <t>BG001, BG002, BG003, BG006, BG009</t>
        </is>
      </c>
      <c r="H14" t="inlineStr">
        <is>
          <t>21 Mei 2010</t>
        </is>
      </c>
      <c r="I14" s="2" t="n">
        <v>46348</v>
      </c>
      <c r="J14" t="inlineStr">
        <is>
          <t>Disetujui</t>
        </is>
      </c>
      <c r="K14" t="n">
        <v>87</v>
      </c>
      <c r="L14" t="inlineStr">
        <is>
          <t>22 November 2026</t>
        </is>
      </c>
      <c r="M14" t="inlineStr">
        <is>
          <t>Konstruksi Gedung Hunian, Konstruksi Gedung Industri, Konstruksi Gedung Lainnya, Konstruksi Gedung Pendidikan, Konstruksi Gedung Perkantoran</t>
        </is>
      </c>
      <c r="N14" t="inlineStr">
        <is>
          <t>K</t>
        </is>
      </c>
      <c r="O14" t="inlineStr">
        <is>
          <t>20231119</t>
        </is>
      </c>
      <c r="P14" t="inlineStr">
        <is>
          <t>Sulawesi Tengah</t>
        </is>
      </c>
      <c r="Q14" t="inlineStr"/>
    </row>
    <row r="15">
      <c r="A15" t="inlineStr">
        <is>
          <t>AMIN SEJATI PERKASA MUDA</t>
        </is>
      </c>
      <c r="B15" t="inlineStr">
        <is>
          <t>Kab. Jombang</t>
        </is>
      </c>
      <c r="C15" t="inlineStr">
        <is>
          <t>081216072264</t>
        </is>
      </c>
      <c r="D15" t="inlineStr">
        <is>
          <t>aminjombangdea1994@gmail.com</t>
        </is>
      </c>
      <c r="E15" t="inlineStr">
        <is>
          <t>https://lpjk.pu.go.id/search-badan-usaha-detail/cFlzY0dIaUxGQnNtanh0YTk2RGFNQT09</t>
        </is>
      </c>
      <c r="F15" t="n">
        <v>1</v>
      </c>
      <c r="G15" t="inlineStr">
        <is>
          <t>BS001</t>
        </is>
      </c>
      <c r="H15" t="inlineStr">
        <is>
          <t>21 Januari 2003</t>
        </is>
      </c>
      <c r="I15" s="2" t="n">
        <v>46348</v>
      </c>
      <c r="J15" t="inlineStr">
        <is>
          <t>Disetujui</t>
        </is>
      </c>
      <c r="K15" t="n">
        <v>87</v>
      </c>
      <c r="L15" t="inlineStr">
        <is>
          <t>22 November 2026</t>
        </is>
      </c>
      <c r="M15" t="inlineStr">
        <is>
          <t>Konstruksi Bangunan Sipil Jalan</t>
        </is>
      </c>
      <c r="N15" t="inlineStr">
        <is>
          <t>K</t>
        </is>
      </c>
      <c r="O15" t="inlineStr">
        <is>
          <t>20231122</t>
        </is>
      </c>
      <c r="P15" t="inlineStr">
        <is>
          <t>Jawa Timur</t>
        </is>
      </c>
      <c r="Q15" t="inlineStr"/>
    </row>
    <row r="16">
      <c r="A16" t="inlineStr">
        <is>
          <t>ANUGRAH KARYA GANESHA</t>
        </is>
      </c>
      <c r="B16" t="inlineStr">
        <is>
          <t>Kab. Kepulauan Sangihe</t>
        </is>
      </c>
      <c r="C16" t="inlineStr">
        <is>
          <t>082344096456</t>
        </is>
      </c>
      <c r="D16" t="inlineStr">
        <is>
          <t>Anugrahkaryaganesha@gmail.com</t>
        </is>
      </c>
      <c r="E16" t="inlineStr">
        <is>
          <t>https://lpjk.pu.go.id/search-badan-usaha-detail/SW5jQzlHbTRLRHRSUUtVRGNORDFyZz09</t>
        </is>
      </c>
      <c r="F16" t="n">
        <v>4</v>
      </c>
      <c r="G16" t="inlineStr">
        <is>
          <t>BG001, BG002</t>
        </is>
      </c>
      <c r="H16" t="inlineStr">
        <is>
          <t>18 Agustus 2016</t>
        </is>
      </c>
      <c r="I16" s="2" t="n">
        <v>46348</v>
      </c>
      <c r="J16" t="inlineStr">
        <is>
          <t>Disetujui</t>
        </is>
      </c>
      <c r="K16" t="n">
        <v>87</v>
      </c>
      <c r="L16" t="inlineStr">
        <is>
          <t>22 November 2026</t>
        </is>
      </c>
      <c r="M16" t="inlineStr">
        <is>
          <t>Konstruksi Gedung Hunian, Konstruksi Gedung Perkantoran</t>
        </is>
      </c>
      <c r="N16" t="inlineStr">
        <is>
          <t>K</t>
        </is>
      </c>
      <c r="O16" t="inlineStr">
        <is>
          <t>20231123</t>
        </is>
      </c>
      <c r="P16" t="inlineStr">
        <is>
          <t>Sulawesi Utara</t>
        </is>
      </c>
      <c r="Q16" t="inlineStr"/>
    </row>
    <row r="17">
      <c r="A17" t="inlineStr">
        <is>
          <t>ARGO SELA MULYA</t>
        </is>
      </c>
      <c r="B17" t="inlineStr">
        <is>
          <t>Kab. Cilacap</t>
        </is>
      </c>
      <c r="C17" t="inlineStr">
        <is>
          <t>081231196514</t>
        </is>
      </c>
      <c r="D17" t="inlineStr">
        <is>
          <t>argosela_mulya@yahoo.com</t>
        </is>
      </c>
      <c r="E17" t="inlineStr">
        <is>
          <t>https://lpjk.pu.go.id/search-badan-usaha-detail/azJJWUVtYmprMmlTQW9YZzlRd2p0dz09</t>
        </is>
      </c>
      <c r="F17" t="n">
        <v>1</v>
      </c>
      <c r="G17" t="inlineStr">
        <is>
          <t>BS001</t>
        </is>
      </c>
      <c r="H17" t="inlineStr">
        <is>
          <t>10 Agustus 2023</t>
        </is>
      </c>
      <c r="I17" s="2" t="n">
        <v>46348</v>
      </c>
      <c r="J17" t="inlineStr">
        <is>
          <t>Disetujui</t>
        </is>
      </c>
      <c r="K17" t="n">
        <v>87</v>
      </c>
      <c r="L17" t="inlineStr">
        <is>
          <t>22 November 2026</t>
        </is>
      </c>
      <c r="M17" t="inlineStr">
        <is>
          <t>Konstruksi Bangunan Sipil Jalan</t>
        </is>
      </c>
      <c r="N17" t="inlineStr">
        <is>
          <t>K</t>
        </is>
      </c>
      <c r="O17" t="inlineStr">
        <is>
          <t>20231120</t>
        </is>
      </c>
      <c r="P17" t="inlineStr">
        <is>
          <t>Jawa Tengah</t>
        </is>
      </c>
      <c r="Q17" t="inlineStr"/>
    </row>
    <row r="18">
      <c r="A18" t="inlineStr">
        <is>
          <t>ARKA MANDIRI SEJAHTERA</t>
        </is>
      </c>
      <c r="B18" t="inlineStr">
        <is>
          <t>Kota Ambon</t>
        </is>
      </c>
      <c r="C18" t="inlineStr">
        <is>
          <t>08114791901</t>
        </is>
      </c>
      <c r="D18" t="inlineStr">
        <is>
          <t>cvarkamandirisejaterah@gmail.com</t>
        </is>
      </c>
      <c r="E18" t="inlineStr">
        <is>
          <t>https://lpjk.pu.go.id/search-badan-usaha-detail/M3c3V1VmeDhCRTQzczkvMDVBUmRFZz09</t>
        </is>
      </c>
      <c r="F18" t="n">
        <v>1</v>
      </c>
      <c r="G18" t="inlineStr">
        <is>
          <t>BS001</t>
        </is>
      </c>
      <c r="H18" t="inlineStr">
        <is>
          <t>31 Januari 2022</t>
        </is>
      </c>
      <c r="I18" s="2" t="n">
        <v>46348</v>
      </c>
      <c r="J18" t="inlineStr">
        <is>
          <t>Pencabutan</t>
        </is>
      </c>
      <c r="K18" t="n">
        <v>87</v>
      </c>
      <c r="L18" t="inlineStr">
        <is>
          <t>22 November 2026</t>
        </is>
      </c>
      <c r="M18" t="inlineStr">
        <is>
          <t>Konstruksi Bangunan Sipil Jalan</t>
        </is>
      </c>
      <c r="N18" t="inlineStr">
        <is>
          <t>K</t>
        </is>
      </c>
      <c r="O18" t="inlineStr">
        <is>
          <t>20231123</t>
        </is>
      </c>
      <c r="P18" t="inlineStr">
        <is>
          <t>Maluku</t>
        </is>
      </c>
      <c r="Q18" t="inlineStr"/>
    </row>
    <row r="19">
      <c r="A19" t="inlineStr">
        <is>
          <t>ARSYILA NUR RIA</t>
        </is>
      </c>
      <c r="B19" t="inlineStr">
        <is>
          <t>Kab. Nunukan</t>
        </is>
      </c>
      <c r="C19" t="inlineStr">
        <is>
          <t>081258198743</t>
        </is>
      </c>
      <c r="D19" t="inlineStr">
        <is>
          <t>cvarsyilanurria@gmail.com</t>
        </is>
      </c>
      <c r="E19" t="inlineStr">
        <is>
          <t>https://lpjk.pu.go.id/search-badan-usaha-detail/ckdmNUFYZkllUUZxb1NPY2JhQkl1dz09</t>
        </is>
      </c>
      <c r="F19" t="n">
        <v>2</v>
      </c>
      <c r="G19" t="inlineStr">
        <is>
          <t>BS005</t>
        </is>
      </c>
      <c r="H19" t="inlineStr">
        <is>
          <t>13 Januari 2020</t>
        </is>
      </c>
      <c r="I19" s="2" t="n">
        <v>46348</v>
      </c>
      <c r="J19" t="inlineStr">
        <is>
          <t>Pencabutan</t>
        </is>
      </c>
      <c r="K19" t="n">
        <v>87</v>
      </c>
      <c r="L19" t="inlineStr">
        <is>
          <t>22 November 2026</t>
        </is>
      </c>
      <c r="M19" t="inlineStr">
        <is>
          <t>Konstruksi Bangunan Sipil Pengolahan Air Bersih</t>
        </is>
      </c>
      <c r="N19" t="inlineStr">
        <is>
          <t>K</t>
        </is>
      </c>
      <c r="O19" t="inlineStr">
        <is>
          <t>20231120</t>
        </is>
      </c>
      <c r="P19" t="inlineStr">
        <is>
          <t>Kalimantan Utara</t>
        </is>
      </c>
      <c r="Q19" t="inlineStr"/>
    </row>
    <row r="20">
      <c r="A20" t="inlineStr">
        <is>
          <t>ARUMAN ENGINEERING</t>
        </is>
      </c>
      <c r="B20" t="inlineStr">
        <is>
          <t>Kab. Pangandaran</t>
        </is>
      </c>
      <c r="C20" t="inlineStr">
        <is>
          <t>081224132290</t>
        </is>
      </c>
      <c r="D20" t="inlineStr">
        <is>
          <t>cvarumanengineering@gmail.com</t>
        </is>
      </c>
      <c r="E20" t="inlineStr">
        <is>
          <t>https://lpjk.pu.go.id/search-badan-usaha-detail/bDhCNkNmSnVxWXZxN1JJdi9tQk1LQT09</t>
        </is>
      </c>
      <c r="F20" t="n">
        <v>2</v>
      </c>
      <c r="G20" t="inlineStr">
        <is>
          <t>RK003</t>
        </is>
      </c>
      <c r="H20" t="inlineStr">
        <is>
          <t>27 Oktober 2022</t>
        </is>
      </c>
      <c r="I20" s="2" t="n">
        <v>46348</v>
      </c>
      <c r="J20" t="inlineStr">
        <is>
          <t>Disetujui</t>
        </is>
      </c>
      <c r="K20" t="n">
        <v>87</v>
      </c>
      <c r="L20" t="inlineStr">
        <is>
          <t>22 November 2026</t>
        </is>
      </c>
      <c r="M20" t="inlineStr">
        <is>
          <t>Jasa Rekayasa Pekerjaan Teknik Sipil Transportasi</t>
        </is>
      </c>
      <c r="N20" t="inlineStr">
        <is>
          <t>K</t>
        </is>
      </c>
      <c r="O20" t="inlineStr">
        <is>
          <t>20231115</t>
        </is>
      </c>
      <c r="P20" t="inlineStr">
        <is>
          <t>Jawa Barat</t>
        </is>
      </c>
      <c r="Q20" t="inlineStr"/>
    </row>
    <row r="21">
      <c r="A21" t="inlineStr">
        <is>
          <t>ARVIN ENGINEERING</t>
        </is>
      </c>
      <c r="B21" t="inlineStr">
        <is>
          <t>Kota Surabaya</t>
        </is>
      </c>
      <c r="C21" t="inlineStr">
        <is>
          <t>081333545663</t>
        </is>
      </c>
      <c r="D21" t="inlineStr">
        <is>
          <t>interlok88@gmail.com</t>
        </is>
      </c>
      <c r="E21" t="inlineStr">
        <is>
          <t>https://lpjk.pu.go.id/search-badan-usaha-detail/MWFzVGNTZytXSUtMSkNoZElEaTdzUT09</t>
        </is>
      </c>
      <c r="F21" t="n">
        <v>1</v>
      </c>
      <c r="G21" t="inlineStr">
        <is>
          <t>BG009</t>
        </is>
      </c>
      <c r="H21" t="inlineStr">
        <is>
          <t>11 Juli 2023</t>
        </is>
      </c>
      <c r="I21" s="2" t="n">
        <v>46348</v>
      </c>
      <c r="J21" t="inlineStr">
        <is>
          <t>Disetujui</t>
        </is>
      </c>
      <c r="K21" t="n">
        <v>87</v>
      </c>
      <c r="L21" t="inlineStr">
        <is>
          <t>22 November 2026</t>
        </is>
      </c>
      <c r="M21" t="inlineStr">
        <is>
          <t>Konstruksi Gedung Lainnya</t>
        </is>
      </c>
      <c r="N21" t="inlineStr">
        <is>
          <t>K</t>
        </is>
      </c>
      <c r="O21" t="inlineStr">
        <is>
          <t>20231122</t>
        </is>
      </c>
      <c r="P21" t="inlineStr">
        <is>
          <t>Jawa Timur</t>
        </is>
      </c>
      <c r="Q21" t="inlineStr"/>
    </row>
    <row r="22">
      <c r="A22" t="inlineStr">
        <is>
          <t>ARYA VIRA SAKTI</t>
        </is>
      </c>
      <c r="B22" t="inlineStr">
        <is>
          <t>Kota Surabaya</t>
        </is>
      </c>
      <c r="C22" t="inlineStr">
        <is>
          <t>081331273636</t>
        </is>
      </c>
      <c r="D22" t="inlineStr">
        <is>
          <t>arya_virasakti@yahoo.com</t>
        </is>
      </c>
      <c r="E22" t="inlineStr">
        <is>
          <t>https://lpjk.pu.go.id/search-badan-usaha-detail/WnRtWEpqbUZWUFZhMEk3QVVzZG1mdz09</t>
        </is>
      </c>
      <c r="F22" t="n">
        <v>1</v>
      </c>
      <c r="G22" t="inlineStr">
        <is>
          <t>BG009</t>
        </is>
      </c>
      <c r="H22" t="inlineStr">
        <is>
          <t>7 Februari 2005</t>
        </is>
      </c>
      <c r="I22" s="2" t="n">
        <v>46348</v>
      </c>
      <c r="J22" t="inlineStr">
        <is>
          <t>Disetujui</t>
        </is>
      </c>
      <c r="K22" t="n">
        <v>87</v>
      </c>
      <c r="L22" t="inlineStr">
        <is>
          <t>22 November 2026</t>
        </is>
      </c>
      <c r="M22" t="inlineStr">
        <is>
          <t>Konstruksi Gedung Lainnya</t>
        </is>
      </c>
      <c r="N22" t="inlineStr">
        <is>
          <t>K</t>
        </is>
      </c>
      <c r="O22" t="inlineStr">
        <is>
          <t>20231122</t>
        </is>
      </c>
      <c r="P22" t="inlineStr">
        <is>
          <t>Jawa Timur</t>
        </is>
      </c>
      <c r="Q22" t="inlineStr"/>
    </row>
    <row r="23">
      <c r="A23" t="inlineStr">
        <is>
          <t>ASKAR BINA RUKMALIA</t>
        </is>
      </c>
      <c r="B23" t="inlineStr">
        <is>
          <t>Kab. Demak</t>
        </is>
      </c>
      <c r="C23" t="inlineStr">
        <is>
          <t>081575329675</t>
        </is>
      </c>
      <c r="D23" t="inlineStr">
        <is>
          <t>askarbr.cv@gmail.com</t>
        </is>
      </c>
      <c r="E23" t="inlineStr">
        <is>
          <t>https://lpjk.pu.go.id/search-badan-usaha-detail/UVBDeVpBKzZHZjRUVVFHUG05VGU0dz09</t>
        </is>
      </c>
      <c r="F23" t="n">
        <v>3</v>
      </c>
      <c r="G23" t="inlineStr">
        <is>
          <t>BG005, BG006, BG009</t>
        </is>
      </c>
      <c r="H23" t="inlineStr">
        <is>
          <t>15 Oktober 2010</t>
        </is>
      </c>
      <c r="I23" s="2" t="n">
        <v>46348</v>
      </c>
      <c r="J23" t="inlineStr">
        <is>
          <t>Disetujui</t>
        </is>
      </c>
      <c r="K23" t="n">
        <v>87</v>
      </c>
      <c r="L23" t="inlineStr">
        <is>
          <t>22 November 2026</t>
        </is>
      </c>
      <c r="M23" t="inlineStr">
        <is>
          <t>Konstruksi Gedung Kesehatan, Konstruksi Gedung Lainnya, Konstruksi Gedung Pendidikan</t>
        </is>
      </c>
      <c r="N23" t="inlineStr">
        <is>
          <t>K</t>
        </is>
      </c>
      <c r="O23" t="inlineStr">
        <is>
          <t>20231109, 20231121</t>
        </is>
      </c>
      <c r="P23" t="inlineStr">
        <is>
          <t>Jawa Tengah</t>
        </is>
      </c>
      <c r="Q23" t="inlineStr"/>
    </row>
    <row r="24">
      <c r="A24" t="inlineStr">
        <is>
          <t>ASSYIFA</t>
        </is>
      </c>
      <c r="B24" t="inlineStr">
        <is>
          <t>Kab. Karawang</t>
        </is>
      </c>
      <c r="C24" t="inlineStr">
        <is>
          <t>081316098188</t>
        </is>
      </c>
      <c r="D24" t="inlineStr">
        <is>
          <t>oss.assyifa@gmail.com</t>
        </is>
      </c>
      <c r="E24" t="inlineStr">
        <is>
          <t>https://lpjk.pu.go.id/search-badan-usaha-detail/UGdSdUYrbFFtRVkvNTRzb3JxSzZIZz09</t>
        </is>
      </c>
      <c r="F24" t="n">
        <v>3</v>
      </c>
      <c r="G24" t="inlineStr">
        <is>
          <t>BG009, BS001, BS004</t>
        </is>
      </c>
      <c r="H24" t="inlineStr">
        <is>
          <t>24 Maret 2014</t>
        </is>
      </c>
      <c r="I24" s="2" t="n">
        <v>46348</v>
      </c>
      <c r="J24" t="inlineStr">
        <is>
          <t>Pencabutan</t>
        </is>
      </c>
      <c r="K24" t="n">
        <v>87</v>
      </c>
      <c r="L24" t="inlineStr">
        <is>
          <t>22 November 2026</t>
        </is>
      </c>
      <c r="M24" t="inlineStr">
        <is>
          <t>Konstruksi Bangunan Sipil Jalan, Konstruksi Gedung Lainnya, Konstruksi Jaringan Irigasi dan Drainase</t>
        </is>
      </c>
      <c r="N24" t="inlineStr">
        <is>
          <t>K</t>
        </is>
      </c>
      <c r="O24" t="inlineStr">
        <is>
          <t>20231121, 20231122</t>
        </is>
      </c>
      <c r="P24" t="inlineStr">
        <is>
          <t>Jawa Barat</t>
        </is>
      </c>
      <c r="Q24" t="inlineStr"/>
    </row>
    <row r="25">
      <c r="A25" t="inlineStr">
        <is>
          <t>ATRA AWAY</t>
        </is>
      </c>
      <c r="B25" t="inlineStr">
        <is>
          <t>Kab. Aceh Besar</t>
        </is>
      </c>
      <c r="C25" t="inlineStr">
        <is>
          <t>085261829997</t>
        </is>
      </c>
      <c r="D25" t="inlineStr">
        <is>
          <t>cv.atra.away@gmail.com</t>
        </is>
      </c>
      <c r="E25" t="inlineStr">
        <is>
          <t>https://lpjk.pu.go.id/search-badan-usaha-detail/ZDNqYmd1ZklXNXJwVkh6QllYditCdz09</t>
        </is>
      </c>
      <c r="F25" t="n">
        <v>5</v>
      </c>
      <c r="G25" t="inlineStr">
        <is>
          <t>BG001, BG002, BG004, BG006, BG009</t>
        </is>
      </c>
      <c r="H25" t="inlineStr">
        <is>
          <t>27 Agustus 1999</t>
        </is>
      </c>
      <c r="I25" s="2" t="n">
        <v>46348</v>
      </c>
      <c r="J25" t="inlineStr">
        <is>
          <t>Disetujui</t>
        </is>
      </c>
      <c r="K25" t="n">
        <v>87</v>
      </c>
      <c r="L25" t="inlineStr">
        <is>
          <t>22 November 2026</t>
        </is>
      </c>
      <c r="M25" t="inlineStr">
        <is>
          <t>Konstruksi Gedung Hunian, Konstruksi Gedung Lainnya, Konstruksi Gedung Pendidikan, Konstruksi Gedung Perbelanjaan, Konstruksi Gedung Perkantoran</t>
        </is>
      </c>
      <c r="N25" t="inlineStr">
        <is>
          <t>K</t>
        </is>
      </c>
      <c r="O25" t="inlineStr">
        <is>
          <t>20231018, 20231123</t>
        </is>
      </c>
      <c r="P25" t="inlineStr">
        <is>
          <t>Aceh</t>
        </is>
      </c>
      <c r="Q25" t="inlineStr"/>
    </row>
    <row r="26">
      <c r="A26" t="inlineStr">
        <is>
          <t>AURORA MOUNTAIN</t>
        </is>
      </c>
      <c r="B26" t="inlineStr">
        <is>
          <t>Kab. Kuningan</t>
        </is>
      </c>
      <c r="C26" t="inlineStr">
        <is>
          <t>087782411903</t>
        </is>
      </c>
      <c r="D26" t="inlineStr">
        <is>
          <t>cvauroramountain@gmail.com</t>
        </is>
      </c>
      <c r="E26" t="inlineStr">
        <is>
          <t>https://lpjk.pu.go.id/search-badan-usaha-detail/bzliMzB5eTQ5ckR5cENNZFEwcVBXUT09</t>
        </is>
      </c>
      <c r="F26" t="n">
        <v>5</v>
      </c>
      <c r="G26" t="inlineStr">
        <is>
          <t>BG002, BG006, BG009, BS001, BS004</t>
        </is>
      </c>
      <c r="H26" t="inlineStr">
        <is>
          <t>25 Oktober 2023</t>
        </is>
      </c>
      <c r="I26" s="2" t="n">
        <v>46348</v>
      </c>
      <c r="J26" t="inlineStr">
        <is>
          <t>Pencabutan</t>
        </is>
      </c>
      <c r="K26" t="n">
        <v>87</v>
      </c>
      <c r="L26" t="inlineStr">
        <is>
          <t>22 November 2026</t>
        </is>
      </c>
      <c r="M26" t="inlineStr">
        <is>
          <t>Konstruksi Bangunan Sipil Jalan, Konstruksi Gedung Lainnya, Konstruksi Gedung Pendidikan, Konstruksi Gedung Perkantoran, Konstruksi Jaringan Irigasi dan Drainase</t>
        </is>
      </c>
      <c r="N26" t="inlineStr">
        <is>
          <t>K</t>
        </is>
      </c>
      <c r="O26" t="inlineStr">
        <is>
          <t>20231122, 20231123, 20231124</t>
        </is>
      </c>
      <c r="P26" t="inlineStr">
        <is>
          <t>Jawa Barat</t>
        </is>
      </c>
      <c r="Q26" t="inlineStr"/>
    </row>
    <row r="27">
      <c r="A27" t="inlineStr">
        <is>
          <t>AUTO TRANS JAYA</t>
        </is>
      </c>
      <c r="B27" t="inlineStr">
        <is>
          <t>Kota Semarang</t>
        </is>
      </c>
      <c r="C27" t="inlineStr">
        <is>
          <t>081214799990</t>
        </is>
      </c>
      <c r="D27" t="inlineStr">
        <is>
          <t>ptautotransjaya77@gmail.com</t>
        </is>
      </c>
      <c r="E27" t="inlineStr">
        <is>
          <t>https://lpjk.pu.go.id/search-badan-usaha-detail/eGRwdDRzR083ZmlSYndrQ0dFTE5IQT09</t>
        </is>
      </c>
      <c r="F27" t="n">
        <v>5</v>
      </c>
      <c r="G27" t="inlineStr">
        <is>
          <t>BG001, BG002, BG005, BG006, BG009</t>
        </is>
      </c>
      <c r="H27" t="inlineStr">
        <is>
          <t>27 Juli 2023</t>
        </is>
      </c>
      <c r="I27" s="2" t="n">
        <v>46348</v>
      </c>
      <c r="J27" t="inlineStr">
        <is>
          <t>Disetujui</t>
        </is>
      </c>
      <c r="K27" t="n">
        <v>87</v>
      </c>
      <c r="L27" t="inlineStr">
        <is>
          <t>22 November 2026</t>
        </is>
      </c>
      <c r="M27" t="inlineStr">
        <is>
          <t>Konstruksi Gedung Hunian, Konstruksi Gedung Kesehatan, Konstruksi Gedung Lainnya, Konstruksi Gedung Pendidikan, Konstruksi Gedung Perkantoran</t>
        </is>
      </c>
      <c r="N27" t="inlineStr">
        <is>
          <t>K</t>
        </is>
      </c>
      <c r="O27" t="inlineStr">
        <is>
          <t>20231002, 20231120</t>
        </is>
      </c>
      <c r="P27" t="inlineStr">
        <is>
          <t>Jawa Tengah</t>
        </is>
      </c>
      <c r="Q27" t="inlineStr"/>
    </row>
    <row r="28">
      <c r="A28" t="inlineStr">
        <is>
          <t>AZZAHRA</t>
        </is>
      </c>
      <c r="B28" t="inlineStr">
        <is>
          <t>Kab. Lombok Tengah</t>
        </is>
      </c>
      <c r="C28" t="inlineStr">
        <is>
          <t>87854370517</t>
        </is>
      </c>
      <c r="D28" t="inlineStr">
        <is>
          <t>cvazzahra111@gmail.com</t>
        </is>
      </c>
      <c r="E28" t="inlineStr">
        <is>
          <t>https://lpjk.pu.go.id/search-badan-usaha-detail/MmRIUkdISFdJd2hIRlBWemd3TGdLQT09</t>
        </is>
      </c>
      <c r="F28" t="n">
        <v>2</v>
      </c>
      <c r="G28" t="inlineStr">
        <is>
          <t>BG005, BG006</t>
        </is>
      </c>
      <c r="H28" t="inlineStr">
        <is>
          <t>23 Mei 2016</t>
        </is>
      </c>
      <c r="I28" s="2" t="n">
        <v>46348</v>
      </c>
      <c r="J28" t="inlineStr">
        <is>
          <t>Disetujui</t>
        </is>
      </c>
      <c r="K28" t="n">
        <v>87</v>
      </c>
      <c r="L28" t="inlineStr">
        <is>
          <t>22 November 2026</t>
        </is>
      </c>
      <c r="M28" t="inlineStr">
        <is>
          <t>Konstruksi Gedung Kesehatan, Konstruksi Gedung Pendidikan</t>
        </is>
      </c>
      <c r="N28" t="inlineStr">
        <is>
          <t>K</t>
        </is>
      </c>
      <c r="O28" t="inlineStr">
        <is>
          <t>20231123</t>
        </is>
      </c>
      <c r="P28" t="inlineStr">
        <is>
          <t>Nusa Tenggara Barat</t>
        </is>
      </c>
      <c r="Q28" t="inlineStr"/>
    </row>
    <row r="29">
      <c r="A29" t="inlineStr">
        <is>
          <t>BAKRIE CONSTRUCTION</t>
        </is>
      </c>
      <c r="B29" t="inlineStr">
        <is>
          <t>Kota Adm. Jakarta Selatan</t>
        </is>
      </c>
      <c r="C29" t="inlineStr">
        <is>
          <t>02129912030</t>
        </is>
      </c>
      <c r="D29" t="inlineStr">
        <is>
          <t>legal.bcon@bakrie.co.id</t>
        </is>
      </c>
      <c r="E29" t="inlineStr">
        <is>
          <t>https://lpjk.pu.go.id/search-badan-usaha-detail/NzIrVTlJYmg4MTRWbjVzbFlWcytpZDlxZm1YakxkNElYdkJTVWM2aUFHZz0</t>
        </is>
      </c>
      <c r="F29" t="n">
        <v>2</v>
      </c>
      <c r="G29" t="inlineStr">
        <is>
          <t>ST006</t>
        </is>
      </c>
      <c r="H29" t="inlineStr">
        <is>
          <t>8 Agustus 1985</t>
        </is>
      </c>
      <c r="I29" s="2" t="n">
        <v>46348</v>
      </c>
      <c r="J29" t="inlineStr">
        <is>
          <t>Disetujui</t>
        </is>
      </c>
      <c r="K29" t="n">
        <v>87</v>
      </c>
      <c r="L29" t="inlineStr">
        <is>
          <t>22 November 2026</t>
        </is>
      </c>
      <c r="M29" t="inlineStr">
        <is>
          <t>Konstruksi Bangunan Sipil Minyak dan Gas Bumi</t>
        </is>
      </c>
      <c r="N29" t="inlineStr">
        <is>
          <t>B</t>
        </is>
      </c>
      <c r="O29" t="inlineStr">
        <is>
          <t>20231107</t>
        </is>
      </c>
      <c r="P29" t="inlineStr">
        <is>
          <t>DKI Jakarta</t>
        </is>
      </c>
      <c r="Q29" t="inlineStr"/>
    </row>
    <row r="30">
      <c r="A30" t="inlineStr">
        <is>
          <t>BANGUN ARYA</t>
        </is>
      </c>
      <c r="B30" t="inlineStr">
        <is>
          <t>Kota Serang</t>
        </is>
      </c>
      <c r="C30" t="inlineStr">
        <is>
          <t>081744848962</t>
        </is>
      </c>
      <c r="D30" t="inlineStr">
        <is>
          <t>cv.bangunarya@gmail.com</t>
        </is>
      </c>
      <c r="E30" t="inlineStr">
        <is>
          <t>https://lpjk.pu.go.id/search-badan-usaha-detail/MEtjWVFoeWlJa0VnbEhmOUxFUE95dz09</t>
        </is>
      </c>
      <c r="F30" t="n">
        <v>1</v>
      </c>
      <c r="G30" t="inlineStr">
        <is>
          <t>BG009</t>
        </is>
      </c>
      <c r="H30" t="inlineStr">
        <is>
          <t>28 Januari 2013</t>
        </is>
      </c>
      <c r="I30" s="2" t="n">
        <v>46348</v>
      </c>
      <c r="J30" t="inlineStr">
        <is>
          <t>Disetujui</t>
        </is>
      </c>
      <c r="K30" t="n">
        <v>87</v>
      </c>
      <c r="L30" t="inlineStr">
        <is>
          <t>22 November 2026</t>
        </is>
      </c>
      <c r="M30" t="inlineStr">
        <is>
          <t>Konstruksi Gedung Lainnya</t>
        </is>
      </c>
      <c r="N30" t="inlineStr">
        <is>
          <t>K</t>
        </is>
      </c>
      <c r="O30" t="inlineStr">
        <is>
          <t>20231121</t>
        </is>
      </c>
      <c r="P30" t="inlineStr">
        <is>
          <t>Banten</t>
        </is>
      </c>
      <c r="Q30" t="inlineStr"/>
    </row>
    <row r="31">
      <c r="A31" t="inlineStr">
        <is>
          <t>BANGUN JAYA KHATULISTIWA</t>
        </is>
      </c>
      <c r="B31" t="inlineStr">
        <is>
          <t>Kota Pontianak</t>
        </is>
      </c>
      <c r="C31" t="inlineStr">
        <is>
          <t>08115757997</t>
        </is>
      </c>
      <c r="D31" t="inlineStr">
        <is>
          <t>bjs.bersaudara@gmail.com</t>
        </is>
      </c>
      <c r="E31" t="inlineStr">
        <is>
          <t>https://lpjk.pu.go.id/search-badan-usaha-detail/Vk1TSTN4RkMxNEpKNVB0QW1IakxpZz09</t>
        </is>
      </c>
      <c r="F31" t="n">
        <v>1</v>
      </c>
      <c r="G31" t="inlineStr">
        <is>
          <t>RK002</t>
        </is>
      </c>
      <c r="H31" t="inlineStr">
        <is>
          <t>9 Juli 2020</t>
        </is>
      </c>
      <c r="I31" s="2" t="n">
        <v>46348</v>
      </c>
      <c r="J31" t="inlineStr">
        <is>
          <t>Disetujui</t>
        </is>
      </c>
      <c r="K31" t="n">
        <v>87</v>
      </c>
      <c r="L31" t="inlineStr">
        <is>
          <t>22 November 2026</t>
        </is>
      </c>
      <c r="M31" t="inlineStr">
        <is>
          <t>Jasa Rekayasa Pekerjaan Teknik Sipil Sumber Daya Air</t>
        </is>
      </c>
      <c r="N31" t="inlineStr">
        <is>
          <t>K</t>
        </is>
      </c>
      <c r="O31" t="inlineStr">
        <is>
          <t>20231114</t>
        </is>
      </c>
      <c r="P31" t="inlineStr">
        <is>
          <t>Kalimantan Barat</t>
        </is>
      </c>
      <c r="Q31" t="inlineStr"/>
    </row>
    <row r="32">
      <c r="A32" t="inlineStr">
        <is>
          <t>BANGUN MULTI BERKAT</t>
        </is>
      </c>
      <c r="B32" t="inlineStr">
        <is>
          <t>Kota Medan</t>
        </is>
      </c>
      <c r="C32" t="inlineStr">
        <is>
          <t>08116555589</t>
        </is>
      </c>
      <c r="D32" t="inlineStr">
        <is>
          <t>bmberkat2018@gmail.com</t>
        </is>
      </c>
      <c r="E32" t="inlineStr">
        <is>
          <t>https://lpjk.pu.go.id/search-badan-usaha-detail/RGlGNHBnaERvRC82bE5zTHhHRDdHUT09</t>
        </is>
      </c>
      <c r="F32" t="n">
        <v>1</v>
      </c>
      <c r="G32" t="inlineStr">
        <is>
          <t>BG009</t>
        </is>
      </c>
      <c r="H32" t="inlineStr">
        <is>
          <t>20 November 2017</t>
        </is>
      </c>
      <c r="I32" s="2" t="n">
        <v>46348</v>
      </c>
      <c r="J32" t="inlineStr">
        <is>
          <t>Disetujui</t>
        </is>
      </c>
      <c r="K32" t="n">
        <v>87</v>
      </c>
      <c r="L32" t="inlineStr">
        <is>
          <t>22 November 2026</t>
        </is>
      </c>
      <c r="M32" t="inlineStr">
        <is>
          <t>Konstruksi Gedung Lainnya</t>
        </is>
      </c>
      <c r="N32" t="inlineStr">
        <is>
          <t>K</t>
        </is>
      </c>
      <c r="O32" t="inlineStr">
        <is>
          <t>20231122</t>
        </is>
      </c>
      <c r="P32" t="inlineStr">
        <is>
          <t>Sumatera Utara</t>
        </is>
      </c>
      <c r="Q32" t="inlineStr"/>
    </row>
    <row r="33">
      <c r="A33" t="inlineStr">
        <is>
          <t>BANGUN PILAR MULIA</t>
        </is>
      </c>
      <c r="B33" t="inlineStr">
        <is>
          <t>Kota Surabaya</t>
        </is>
      </c>
      <c r="C33" t="inlineStr">
        <is>
          <t>081313131179</t>
        </is>
      </c>
      <c r="D33" t="inlineStr">
        <is>
          <t>bangunpilarmulia@gmail.com</t>
        </is>
      </c>
      <c r="E33" t="inlineStr">
        <is>
          <t>https://lpjk.pu.go.id/search-badan-usaha-detail/WVM0MWEvcCtBdTVwOEF6K3cydSsvZz09</t>
        </is>
      </c>
      <c r="F33" t="n">
        <v>2</v>
      </c>
      <c r="G33" t="inlineStr">
        <is>
          <t>BG002, BG009</t>
        </is>
      </c>
      <c r="H33" t="inlineStr">
        <is>
          <t>5 Juni 2023</t>
        </is>
      </c>
      <c r="I33" s="2" t="n">
        <v>46348</v>
      </c>
      <c r="J33" t="inlineStr">
        <is>
          <t>Pencabutan</t>
        </is>
      </c>
      <c r="K33" t="n">
        <v>87</v>
      </c>
      <c r="L33" t="inlineStr">
        <is>
          <t>22 November 2026</t>
        </is>
      </c>
      <c r="M33" t="inlineStr">
        <is>
          <t>Konstruksi Gedung Lainnya, Konstruksi Gedung Perkantoran</t>
        </is>
      </c>
      <c r="N33" t="inlineStr">
        <is>
          <t>K</t>
        </is>
      </c>
      <c r="O33" t="inlineStr">
        <is>
          <t>20231116</t>
        </is>
      </c>
      <c r="P33" t="inlineStr">
        <is>
          <t>Jawa Timur</t>
        </is>
      </c>
      <c r="Q33" t="inlineStr"/>
    </row>
    <row r="34">
      <c r="A34" t="inlineStr">
        <is>
          <t>BENING NURAY KONSTRUKSI</t>
        </is>
      </c>
      <c r="B34" t="inlineStr">
        <is>
          <t>Kota Kendari</t>
        </is>
      </c>
      <c r="C34" t="inlineStr">
        <is>
          <t>082259517776</t>
        </is>
      </c>
      <c r="D34" t="inlineStr">
        <is>
          <t>beningnuraykonstruksi@gmail.com</t>
        </is>
      </c>
      <c r="E34" t="inlineStr">
        <is>
          <t>https://lpjk.pu.go.id/search-badan-usaha-detail/SFlwUVhKSzlxMGN2Sm5CNEx2WnYwUT09</t>
        </is>
      </c>
      <c r="F34" t="n">
        <v>2</v>
      </c>
      <c r="G34" t="inlineStr">
        <is>
          <t>BS001, BS010</t>
        </is>
      </c>
      <c r="H34" t="inlineStr">
        <is>
          <t>31 Mei 2023</t>
        </is>
      </c>
      <c r="I34" s="2" t="n">
        <v>46348</v>
      </c>
      <c r="J34" t="inlineStr">
        <is>
          <t>Disetujui</t>
        </is>
      </c>
      <c r="K34" t="n">
        <v>87</v>
      </c>
      <c r="L34" t="inlineStr">
        <is>
          <t>22 November 2026</t>
        </is>
      </c>
      <c r="M34" t="inlineStr">
        <is>
          <t>Konstruksi Bangunan Prasarana Sumber Daya Air, Konstruksi Bangunan Sipil Jalan</t>
        </is>
      </c>
      <c r="N34" t="inlineStr">
        <is>
          <t>K</t>
        </is>
      </c>
      <c r="O34" t="inlineStr">
        <is>
          <t>20231120</t>
        </is>
      </c>
      <c r="P34" t="inlineStr">
        <is>
          <t>Sulawesi Tenggara</t>
        </is>
      </c>
      <c r="Q34" t="inlineStr"/>
    </row>
    <row r="35">
      <c r="A35" t="inlineStr">
        <is>
          <t>BERKAH FATIH BERSAUDARA</t>
        </is>
      </c>
      <c r="B35" t="inlineStr">
        <is>
          <t>Kota Samarinda</t>
        </is>
      </c>
      <c r="C35" t="inlineStr">
        <is>
          <t>085244494794</t>
        </is>
      </c>
      <c r="D35" t="inlineStr">
        <is>
          <t>BERKAHFATIHBERSAUDARA@GMAIL.COM</t>
        </is>
      </c>
      <c r="E35" t="inlineStr">
        <is>
          <t>https://lpjk.pu.go.id/search-badan-usaha-detail/VEtoZ1ZSL3VTY0pCRE15Rm4ya2U5UT09</t>
        </is>
      </c>
      <c r="F35" t="n">
        <v>12</v>
      </c>
      <c r="G35" t="inlineStr">
        <is>
          <t>BG001, BG002, BG009, BS001, BS002, BS004</t>
        </is>
      </c>
      <c r="H35" t="inlineStr">
        <is>
          <t>2 November 2023</t>
        </is>
      </c>
      <c r="I35" s="2" t="n">
        <v>46348</v>
      </c>
      <c r="J35" t="inlineStr">
        <is>
          <t>Disetujui</t>
        </is>
      </c>
      <c r="K35" t="n">
        <v>87</v>
      </c>
      <c r="L35" t="inlineStr">
        <is>
          <t>22 November 2026</t>
        </is>
      </c>
      <c r="M35" t="inlineStr">
        <is>
          <t>Bangunan Sipil Jembatan, Jalan Layang, Fly Over, dan Underpass, Konstruksi Bangunan Sipil Jalan, Konstruksi Gedung Hunian, Konstruksi Gedung Lainnya, Konstruksi Gedung Perkantoran, Konstruksi Jaringan Irigasi dan Drainase</t>
        </is>
      </c>
      <c r="N35" t="inlineStr">
        <is>
          <t>K</t>
        </is>
      </c>
      <c r="O35" t="inlineStr">
        <is>
          <t>20231122</t>
        </is>
      </c>
      <c r="P35" t="inlineStr">
        <is>
          <t>Kalimantan Timur</t>
        </is>
      </c>
      <c r="Q35" t="inlineStr"/>
    </row>
    <row r="36">
      <c r="A36" t="inlineStr">
        <is>
          <t>BERKAH KARYA MANDIRI</t>
        </is>
      </c>
      <c r="B36" t="inlineStr">
        <is>
          <t>Kab. Karanganyar</t>
        </is>
      </c>
      <c r="C36" t="inlineStr">
        <is>
          <t>088220162979</t>
        </is>
      </c>
      <c r="D36" t="inlineStr">
        <is>
          <t>berkahkaryamandiricv11@gmail.com</t>
        </is>
      </c>
      <c r="E36" t="inlineStr">
        <is>
          <t>https://lpjk.pu.go.id/search-badan-usaha-detail/YUpKVndoTmZxUkRMbWtXWXBQcmorZz09</t>
        </is>
      </c>
      <c r="F36" t="n">
        <v>10</v>
      </c>
      <c r="G36" t="inlineStr">
        <is>
          <t>BG005, BG006, BG009, BS001, BS004</t>
        </is>
      </c>
      <c r="H36" t="inlineStr">
        <is>
          <t>2 Februari 2015</t>
        </is>
      </c>
      <c r="I36" s="2" t="n">
        <v>46348</v>
      </c>
      <c r="J36" t="inlineStr">
        <is>
          <t>Disetujui, Pencabutan</t>
        </is>
      </c>
      <c r="K36" t="n">
        <v>87</v>
      </c>
      <c r="L36" t="inlineStr">
        <is>
          <t>22 November 2026</t>
        </is>
      </c>
      <c r="M36" t="inlineStr">
        <is>
          <t>Konstruksi Bangunan Sipil Jalan, Konstruksi Gedung Kesehatan, Konstruksi Gedung Lainnya, Konstruksi Gedung Pendidikan, Konstruksi Jaringan Irigasi dan Drainase</t>
        </is>
      </c>
      <c r="N36" t="inlineStr">
        <is>
          <t>K</t>
        </is>
      </c>
      <c r="O36" t="inlineStr">
        <is>
          <t>20231122, 20231124</t>
        </is>
      </c>
      <c r="P36" t="inlineStr">
        <is>
          <t>Jawa Tengah</t>
        </is>
      </c>
      <c r="Q36" t="inlineStr"/>
    </row>
    <row r="37">
      <c r="A37" t="inlineStr">
        <is>
          <t>BERKAT POLBIN</t>
        </is>
      </c>
      <c r="B37" t="inlineStr">
        <is>
          <t>Kota Pematangsiantar</t>
        </is>
      </c>
      <c r="C37" t="inlineStr">
        <is>
          <t>082163381554</t>
        </is>
      </c>
      <c r="D37" t="inlineStr">
        <is>
          <t>cv.berkatpolbin@gmail.com</t>
        </is>
      </c>
      <c r="E37" t="inlineStr">
        <is>
          <t>https://lpjk.pu.go.id/search-badan-usaha-detail/RWh1UVMyazFuUjQ0ZXc3ME92VVVXUT09</t>
        </is>
      </c>
      <c r="F37" t="n">
        <v>2</v>
      </c>
      <c r="G37" t="inlineStr">
        <is>
          <t>BS004</t>
        </is>
      </c>
      <c r="H37" t="inlineStr">
        <is>
          <t>14 Februari 2023</t>
        </is>
      </c>
      <c r="I37" s="2" t="n">
        <v>46348</v>
      </c>
      <c r="J37" t="inlineStr">
        <is>
          <t>Disetujui</t>
        </is>
      </c>
      <c r="K37" t="n">
        <v>87</v>
      </c>
      <c r="L37" t="inlineStr">
        <is>
          <t>22 November 2026</t>
        </is>
      </c>
      <c r="M37" t="inlineStr">
        <is>
          <t>Konstruksi Jaringan Irigasi dan Drainase</t>
        </is>
      </c>
      <c r="N37" t="inlineStr">
        <is>
          <t>K</t>
        </is>
      </c>
      <c r="O37" t="inlineStr">
        <is>
          <t>20231115</t>
        </is>
      </c>
      <c r="P37" t="inlineStr">
        <is>
          <t>Sumatera Utara</t>
        </is>
      </c>
      <c r="Q37" t="inlineStr"/>
    </row>
    <row r="38">
      <c r="A38" t="inlineStr">
        <is>
          <t>BINTANG BUMI PERKASA</t>
        </is>
      </c>
      <c r="B38" t="inlineStr">
        <is>
          <t>Kab. Pati</t>
        </is>
      </c>
      <c r="C38" t="inlineStr">
        <is>
          <t>081326463900</t>
        </is>
      </c>
      <c r="D38" t="inlineStr">
        <is>
          <t>cv.bintangbumiperkasapati@yahoo.com</t>
        </is>
      </c>
      <c r="E38" t="inlineStr">
        <is>
          <t>https://lpjk.pu.go.id/search-badan-usaha-detail/Z1FCSnFBOGpqZEZnNk9iZHJCcHZ0dz09</t>
        </is>
      </c>
      <c r="F38" t="n">
        <v>2</v>
      </c>
      <c r="G38" t="inlineStr">
        <is>
          <t>BS001</t>
        </is>
      </c>
      <c r="H38" t="inlineStr">
        <is>
          <t>18 Oktober 2013</t>
        </is>
      </c>
      <c r="I38" s="2" t="n">
        <v>46348</v>
      </c>
      <c r="J38" t="inlineStr">
        <is>
          <t>Disetujui</t>
        </is>
      </c>
      <c r="K38" t="n">
        <v>87</v>
      </c>
      <c r="L38" t="inlineStr">
        <is>
          <t>22 November 2026</t>
        </is>
      </c>
      <c r="M38" t="inlineStr">
        <is>
          <t>Konstruksi Bangunan Sipil Jalan</t>
        </is>
      </c>
      <c r="N38" t="inlineStr">
        <is>
          <t>K</t>
        </is>
      </c>
      <c r="O38" t="inlineStr">
        <is>
          <t>20231123</t>
        </is>
      </c>
      <c r="P38" t="inlineStr">
        <is>
          <t>Jawa Tengah</t>
        </is>
      </c>
      <c r="Q38" t="inlineStr"/>
    </row>
    <row r="39">
      <c r="A39" t="inlineStr">
        <is>
          <t>BOJONG INDAH MANDIRI</t>
        </is>
      </c>
      <c r="B39" t="inlineStr">
        <is>
          <t>Kota Tangerang</t>
        </is>
      </c>
      <c r="C39" t="inlineStr">
        <is>
          <t>02122261648</t>
        </is>
      </c>
      <c r="D39" t="inlineStr">
        <is>
          <t>bojong.im@yahoo.com</t>
        </is>
      </c>
      <c r="E39" t="inlineStr">
        <is>
          <t>https://lpjk.pu.go.id/search-badan-usaha-detail/RkgvblI3U2M3ZUtSMHdDdDM5cWdWUT09</t>
        </is>
      </c>
      <c r="F39" t="n">
        <v>1</v>
      </c>
      <c r="G39" t="inlineStr">
        <is>
          <t>BG001</t>
        </is>
      </c>
      <c r="H39" t="inlineStr">
        <is>
          <t>22 Mei 2017</t>
        </is>
      </c>
      <c r="I39" s="2" t="n">
        <v>46348</v>
      </c>
      <c r="J39" t="inlineStr">
        <is>
          <t>Disetujui</t>
        </is>
      </c>
      <c r="K39" t="n">
        <v>87</v>
      </c>
      <c r="L39" t="inlineStr">
        <is>
          <t>22 November 2026</t>
        </is>
      </c>
      <c r="M39" t="inlineStr">
        <is>
          <t>Konstruksi Gedung Hunian</t>
        </is>
      </c>
      <c r="N39" t="inlineStr">
        <is>
          <t>K</t>
        </is>
      </c>
      <c r="O39" t="inlineStr">
        <is>
          <t>20231122</t>
        </is>
      </c>
      <c r="P39" t="inlineStr">
        <is>
          <t>Banten</t>
        </is>
      </c>
      <c r="Q39" t="inlineStr"/>
    </row>
    <row r="40">
      <c r="A40" t="inlineStr">
        <is>
          <t>BORNEO JAYA GEMILANG KONSTRUKSI</t>
        </is>
      </c>
      <c r="B40" t="inlineStr">
        <is>
          <t>Kab. Bulungan</t>
        </is>
      </c>
      <c r="C40" t="inlineStr">
        <is>
          <t>082354512884</t>
        </is>
      </c>
      <c r="D40" t="inlineStr">
        <is>
          <t>bjgk2020@gmail.com</t>
        </is>
      </c>
      <c r="E40" t="inlineStr">
        <is>
          <t>https://lpjk.pu.go.id/search-badan-usaha-detail/M3JYSTNGV2RSRUFKRmZOUkYzcHAwUT09</t>
        </is>
      </c>
      <c r="F40" t="n">
        <v>3</v>
      </c>
      <c r="G40" t="inlineStr">
        <is>
          <t>BG003, BG009, IN004</t>
        </is>
      </c>
      <c r="H40" t="inlineStr">
        <is>
          <t>3 Januari 2020</t>
        </is>
      </c>
      <c r="I40" s="2" t="n">
        <v>46348</v>
      </c>
      <c r="J40" t="inlineStr">
        <is>
          <t>Pencabutan</t>
        </is>
      </c>
      <c r="K40" t="n">
        <v>87</v>
      </c>
      <c r="L40" t="inlineStr">
        <is>
          <t>22 November 2026</t>
        </is>
      </c>
      <c r="M40" t="inlineStr">
        <is>
          <t>Instalasi Minyak dan Gas, Konstruksi Gedung Industri, Konstruksi Gedung Lainnya</t>
        </is>
      </c>
      <c r="N40" t="inlineStr">
        <is>
          <t>B, Spesialis</t>
        </is>
      </c>
      <c r="O40" t="inlineStr">
        <is>
          <t>20231116, 20231117, 20231124</t>
        </is>
      </c>
      <c r="P40" t="inlineStr">
        <is>
          <t>Kalimantan Utara</t>
        </is>
      </c>
      <c r="Q40" t="inlineStr"/>
    </row>
    <row r="41">
      <c r="A41" t="inlineStr">
        <is>
          <t>BUMI RAYA INDAH</t>
        </is>
      </c>
      <c r="B41" t="inlineStr">
        <is>
          <t>Kota Samarinda</t>
        </is>
      </c>
      <c r="C41" t="inlineStr">
        <is>
          <t>081217059004</t>
        </is>
      </c>
      <c r="D41" t="inlineStr">
        <is>
          <t>mattsyamsudin84@gmail.com</t>
        </is>
      </c>
      <c r="E41" t="inlineStr">
        <is>
          <t>https://lpjk.pu.go.id/search-badan-usaha-detail/aWdSaWVIV0U1VG55OG5NazFKY0YwQT09</t>
        </is>
      </c>
      <c r="F41" t="n">
        <v>2</v>
      </c>
      <c r="G41" t="inlineStr">
        <is>
          <t>BS001, BS004</t>
        </is>
      </c>
      <c r="H41" t="inlineStr">
        <is>
          <t>31 Desember 2001</t>
        </is>
      </c>
      <c r="I41" s="2" t="n">
        <v>46348</v>
      </c>
      <c r="J41" t="inlineStr">
        <is>
          <t>Pencabutan</t>
        </is>
      </c>
      <c r="K41" t="n">
        <v>87</v>
      </c>
      <c r="L41" t="inlineStr">
        <is>
          <t>22 November 2026</t>
        </is>
      </c>
      <c r="M41" t="inlineStr">
        <is>
          <t>Konstruksi Bangunan Sipil Jalan, Konstruksi Jaringan Irigasi dan Drainase</t>
        </is>
      </c>
      <c r="N41" t="inlineStr">
        <is>
          <t>K</t>
        </is>
      </c>
      <c r="O41" t="inlineStr">
        <is>
          <t>20231120</t>
        </is>
      </c>
      <c r="P41" t="inlineStr">
        <is>
          <t>Kalimantan Timur</t>
        </is>
      </c>
      <c r="Q41" t="inlineStr"/>
    </row>
    <row r="42">
      <c r="A42" t="inlineStr">
        <is>
          <t>BUMINDO MULTICULTURE</t>
        </is>
      </c>
      <c r="B42" t="inlineStr">
        <is>
          <t>Kab. Tanjung Jabung Barat</t>
        </is>
      </c>
      <c r="C42" t="inlineStr">
        <is>
          <t>085266188886</t>
        </is>
      </c>
      <c r="D42" t="inlineStr">
        <is>
          <t>bumindomulticulture2022@gmail.com</t>
        </is>
      </c>
      <c r="E42" t="inlineStr">
        <is>
          <t>https://lpjk.pu.go.id/search-badan-usaha-detail/OEtuczBqS2FUQWd4WUF0RS9ncGQrZz09</t>
        </is>
      </c>
      <c r="F42" t="n">
        <v>2</v>
      </c>
      <c r="G42" t="inlineStr">
        <is>
          <t>BS001</t>
        </is>
      </c>
      <c r="H42" t="inlineStr">
        <is>
          <t>22 April 2022</t>
        </is>
      </c>
      <c r="I42" s="2" t="n">
        <v>46348</v>
      </c>
      <c r="J42" t="inlineStr">
        <is>
          <t>Disetujui</t>
        </is>
      </c>
      <c r="K42" t="n">
        <v>87</v>
      </c>
      <c r="L42" t="inlineStr">
        <is>
          <t>22 November 2026</t>
        </is>
      </c>
      <c r="M42" t="inlineStr">
        <is>
          <t>Konstruksi Bangunan Sipil Jalan</t>
        </is>
      </c>
      <c r="N42" t="inlineStr">
        <is>
          <t>K</t>
        </is>
      </c>
      <c r="O42" t="inlineStr">
        <is>
          <t>20230607</t>
        </is>
      </c>
      <c r="P42" t="inlineStr">
        <is>
          <t>Jambi</t>
        </is>
      </c>
      <c r="Q42" t="inlineStr"/>
    </row>
    <row r="43">
      <c r="A43" t="inlineStr">
        <is>
          <t>CATUR GUNA KARYA</t>
        </is>
      </c>
      <c r="B43" t="inlineStr">
        <is>
          <t>Kab. Cilacap</t>
        </is>
      </c>
      <c r="C43" t="inlineStr">
        <is>
          <t>0282 546634</t>
        </is>
      </c>
      <c r="D43" t="inlineStr">
        <is>
          <t>cv.caturgunakarya@gmail.com</t>
        </is>
      </c>
      <c r="E43" t="inlineStr">
        <is>
          <t>https://lpjk.pu.go.id/search-badan-usaha-detail/VDVBaFE5U0cxbTJVWjlFaWFIbVdNQT09</t>
        </is>
      </c>
      <c r="F43" t="n">
        <v>2</v>
      </c>
      <c r="G43" t="inlineStr">
        <is>
          <t>BS001, BS004</t>
        </is>
      </c>
      <c r="H43" t="inlineStr">
        <is>
          <t>7 Februari 1990</t>
        </is>
      </c>
      <c r="I43" s="2" t="n">
        <v>46348</v>
      </c>
      <c r="J43" t="inlineStr">
        <is>
          <t>Disetujui</t>
        </is>
      </c>
      <c r="K43" t="n">
        <v>87</v>
      </c>
      <c r="L43" t="inlineStr">
        <is>
          <t>22 November 2026</t>
        </is>
      </c>
      <c r="M43" t="inlineStr">
        <is>
          <t>Konstruksi Bangunan Sipil Jalan, Konstruksi Jaringan Irigasi dan Drainase</t>
        </is>
      </c>
      <c r="N43" t="inlineStr">
        <is>
          <t>K</t>
        </is>
      </c>
      <c r="O43" t="inlineStr">
        <is>
          <t>20231121, 20231122</t>
        </is>
      </c>
      <c r="P43" t="inlineStr">
        <is>
          <t>Jawa Tengah</t>
        </is>
      </c>
      <c r="Q43" t="inlineStr"/>
    </row>
    <row r="44">
      <c r="A44" t="inlineStr">
        <is>
          <t>CEMPAKA JAYANINDO</t>
        </is>
      </c>
      <c r="B44" t="inlineStr">
        <is>
          <t>Kota Adm. Jakarta Selatan</t>
        </is>
      </c>
      <c r="C44" t="inlineStr">
        <is>
          <t>02183786076</t>
        </is>
      </c>
      <c r="D44" t="inlineStr">
        <is>
          <t>cempaka_jayanindo@hotmail.com</t>
        </is>
      </c>
      <c r="E44" t="inlineStr">
        <is>
          <t>https://lpjk.pu.go.id/search-badan-usaha-detail/SjQ5WnphRzdhM1VBSGJXL3pYMjBOQT09</t>
        </is>
      </c>
      <c r="F44" t="n">
        <v>1</v>
      </c>
      <c r="G44" t="inlineStr">
        <is>
          <t>BG009</t>
        </is>
      </c>
      <c r="H44" t="inlineStr">
        <is>
          <t>23 Januari 2006</t>
        </is>
      </c>
      <c r="I44" s="2" t="n">
        <v>46348</v>
      </c>
      <c r="J44" t="inlineStr">
        <is>
          <t>Disetujui</t>
        </is>
      </c>
      <c r="K44" t="n">
        <v>87</v>
      </c>
      <c r="L44" t="inlineStr">
        <is>
          <t>22 November 2026</t>
        </is>
      </c>
      <c r="M44" t="inlineStr">
        <is>
          <t>Konstruksi Gedung Lainnya</t>
        </is>
      </c>
      <c r="N44" t="inlineStr">
        <is>
          <t>K</t>
        </is>
      </c>
      <c r="O44" t="inlineStr">
        <is>
          <t>20231025</t>
        </is>
      </c>
      <c r="P44" t="inlineStr">
        <is>
          <t>DKI Jakarta</t>
        </is>
      </c>
      <c r="Q44" t="inlineStr"/>
    </row>
    <row r="45">
      <c r="A45" t="inlineStr">
        <is>
          <t>CV. CINDY</t>
        </is>
      </c>
      <c r="B45" t="inlineStr">
        <is>
          <t>Kota Ambon</t>
        </is>
      </c>
      <c r="C45" t="inlineStr">
        <is>
          <t>082274784181</t>
        </is>
      </c>
      <c r="D45" t="inlineStr">
        <is>
          <t>cvcindy16@gmail.com</t>
        </is>
      </c>
      <c r="E45" t="inlineStr">
        <is>
          <t>https://lpjk.pu.go.id/search-badan-usaha-detail/VmRoUDFZZ1lzY1ZTTExGSnJXZVh3Zz09</t>
        </is>
      </c>
      <c r="F45" t="n">
        <v>2</v>
      </c>
      <c r="G45" t="inlineStr">
        <is>
          <t>BS004, BS010</t>
        </is>
      </c>
      <c r="H45" t="inlineStr">
        <is>
          <t>8 Agustus 1994</t>
        </is>
      </c>
      <c r="I45" s="2" t="n">
        <v>46348</v>
      </c>
      <c r="J45" t="inlineStr">
        <is>
          <t>Disetujui</t>
        </is>
      </c>
      <c r="K45" t="n">
        <v>87</v>
      </c>
      <c r="L45" t="inlineStr">
        <is>
          <t>22 November 2026</t>
        </is>
      </c>
      <c r="M45" t="inlineStr">
        <is>
          <t>Konstruksi Bangunan Prasarana Sumber Daya Air, Konstruksi Jaringan Irigasi dan Drainase</t>
        </is>
      </c>
      <c r="N45" t="inlineStr">
        <is>
          <t>K</t>
        </is>
      </c>
      <c r="O45" t="inlineStr">
        <is>
          <t>20231121</t>
        </is>
      </c>
      <c r="P45" t="inlineStr">
        <is>
          <t>Maluku</t>
        </is>
      </c>
      <c r="Q45" t="inlineStr"/>
    </row>
    <row r="46">
      <c r="A46" t="inlineStr">
        <is>
          <t>DAFFA ALVARO</t>
        </is>
      </c>
      <c r="B46" t="inlineStr">
        <is>
          <t>Kota Singkawang</t>
        </is>
      </c>
      <c r="C46" t="inlineStr">
        <is>
          <t>-</t>
        </is>
      </c>
      <c r="D46" t="inlineStr">
        <is>
          <t>asuhamdi69@gmail.com</t>
        </is>
      </c>
      <c r="E46" t="inlineStr">
        <is>
          <t>https://lpjk.pu.go.id/search-badan-usaha-detail/K094SGhjbDdjd2t4ekRxMVY0RDVyZz09</t>
        </is>
      </c>
      <c r="F46" t="n">
        <v>2</v>
      </c>
      <c r="G46" t="inlineStr">
        <is>
          <t>BS004</t>
        </is>
      </c>
      <c r="H46" t="inlineStr">
        <is>
          <t>10 Januari 2014</t>
        </is>
      </c>
      <c r="I46" s="2" t="n">
        <v>46348</v>
      </c>
      <c r="J46" t="inlineStr">
        <is>
          <t>Disetujui</t>
        </is>
      </c>
      <c r="K46" t="n">
        <v>87</v>
      </c>
      <c r="L46" t="inlineStr">
        <is>
          <t>22 November 2026</t>
        </is>
      </c>
      <c r="M46" t="inlineStr">
        <is>
          <t>Konstruksi Jaringan Irigasi dan Drainase</t>
        </is>
      </c>
      <c r="N46" t="inlineStr">
        <is>
          <t>K</t>
        </is>
      </c>
      <c r="O46" t="inlineStr">
        <is>
          <t>20231123</t>
        </is>
      </c>
      <c r="P46" t="inlineStr">
        <is>
          <t>Kalimantan Barat</t>
        </is>
      </c>
      <c r="Q46" t="inlineStr"/>
    </row>
    <row r="47">
      <c r="A47" t="inlineStr">
        <is>
          <t>DAKSA RESWARA PRAKASA</t>
        </is>
      </c>
      <c r="B47" t="inlineStr">
        <is>
          <t>Kota Palangkaraya</t>
        </is>
      </c>
      <c r="C47" t="inlineStr">
        <is>
          <t>082153943930</t>
        </is>
      </c>
      <c r="D47" t="inlineStr">
        <is>
          <t>cv.daksareswaraprakasa@gmail.com</t>
        </is>
      </c>
      <c r="E47" t="inlineStr">
        <is>
          <t>https://lpjk.pu.go.id/search-badan-usaha-detail/OVJmQllJbEUvaEkwTFQ5SzJEcGR5UT09</t>
        </is>
      </c>
      <c r="F47" t="n">
        <v>3</v>
      </c>
      <c r="G47" t="inlineStr">
        <is>
          <t>AR001, AR002, RK001</t>
        </is>
      </c>
      <c r="H47" t="inlineStr">
        <is>
          <t>12 Mei 2022</t>
        </is>
      </c>
      <c r="I47" s="2" t="n">
        <v>46348</v>
      </c>
      <c r="J47" t="inlineStr">
        <is>
          <t>Disetujui</t>
        </is>
      </c>
      <c r="K47" t="n">
        <v>87</v>
      </c>
      <c r="L47" t="inlineStr">
        <is>
          <t>22 November 2026</t>
        </is>
      </c>
      <c r="M47" t="inlineStr">
        <is>
          <t>Jasa Arsitektural Bangunan Gedung Hunian dan Non Hunian, Jasa Arsitektural Lainnya, Jasa Rekayasa Konstruksi Bangunan Gedung Hunian dan Non Hunian</t>
        </is>
      </c>
      <c r="N47" t="inlineStr">
        <is>
          <t>K</t>
        </is>
      </c>
      <c r="O47" t="inlineStr">
        <is>
          <t>20231110</t>
        </is>
      </c>
      <c r="P47" t="inlineStr">
        <is>
          <t>Kalimantan Tengah</t>
        </is>
      </c>
      <c r="Q47" t="inlineStr"/>
    </row>
    <row r="48">
      <c r="A48" t="inlineStr">
        <is>
          <t>DEKA JAYA PRATAMA</t>
        </is>
      </c>
      <c r="B48" t="inlineStr">
        <is>
          <t>Kab. Sukoharjo</t>
        </is>
      </c>
      <c r="C48" t="inlineStr">
        <is>
          <t>0857 4002 0023</t>
        </is>
      </c>
      <c r="D48" t="inlineStr">
        <is>
          <t>pratamadekajaya@gmail.com</t>
        </is>
      </c>
      <c r="E48" t="inlineStr">
        <is>
          <t>https://lpjk.pu.go.id/search-badan-usaha-detail/LzFXRXdtMUlsdHF0L0hISnZqMGZuZz09</t>
        </is>
      </c>
      <c r="F48" t="n">
        <v>1</v>
      </c>
      <c r="G48" t="inlineStr">
        <is>
          <t>BS001</t>
        </is>
      </c>
      <c r="H48" t="inlineStr">
        <is>
          <t>1 Januari 2018</t>
        </is>
      </c>
      <c r="I48" s="2" t="n">
        <v>46348</v>
      </c>
      <c r="J48" t="inlineStr">
        <is>
          <t>Disetujui</t>
        </is>
      </c>
      <c r="K48" t="n">
        <v>87</v>
      </c>
      <c r="L48" t="inlineStr">
        <is>
          <t>22 November 2026</t>
        </is>
      </c>
      <c r="M48" t="inlineStr">
        <is>
          <t>Konstruksi Bangunan Sipil Jalan</t>
        </is>
      </c>
      <c r="N48" t="inlineStr">
        <is>
          <t>K</t>
        </is>
      </c>
      <c r="O48" t="inlineStr">
        <is>
          <t>20231030</t>
        </is>
      </c>
      <c r="P48" t="inlineStr">
        <is>
          <t>Jawa Tengah</t>
        </is>
      </c>
      <c r="Q48" t="inlineStr"/>
    </row>
    <row r="49">
      <c r="A49" t="inlineStr">
        <is>
          <t>DIAN SARANA</t>
        </is>
      </c>
      <c r="B49" t="inlineStr">
        <is>
          <t>Kab. Kuningan</t>
        </is>
      </c>
      <c r="C49" t="inlineStr">
        <is>
          <t>08112244050</t>
        </is>
      </c>
      <c r="D49" t="inlineStr">
        <is>
          <t>gm.winduhaji@yahoo.co.id</t>
        </is>
      </c>
      <c r="E49" t="inlineStr">
        <is>
          <t>https://lpjk.pu.go.id/search-badan-usaha-detail/OEE0d2wxNjVMdkN5SDFWcklNZk00dz09</t>
        </is>
      </c>
      <c r="F49" t="n">
        <v>1</v>
      </c>
      <c r="G49" t="inlineStr">
        <is>
          <t>BS005</t>
        </is>
      </c>
      <c r="H49" t="inlineStr">
        <is>
          <t>16 Februari 1987</t>
        </is>
      </c>
      <c r="I49" s="2" t="n">
        <v>46348</v>
      </c>
      <c r="J49" t="inlineStr">
        <is>
          <t>Disetujui</t>
        </is>
      </c>
      <c r="K49" t="n">
        <v>87</v>
      </c>
      <c r="L49" t="inlineStr">
        <is>
          <t>22 November 2026</t>
        </is>
      </c>
      <c r="M49" t="inlineStr">
        <is>
          <t>Konstruksi Bangunan Sipil Pengolahan Air Bersih</t>
        </is>
      </c>
      <c r="N49" t="inlineStr">
        <is>
          <t>K</t>
        </is>
      </c>
      <c r="O49" t="inlineStr">
        <is>
          <t>20231121</t>
        </is>
      </c>
      <c r="P49" t="inlineStr">
        <is>
          <t>Jawa Barat</t>
        </is>
      </c>
      <c r="Q49" t="inlineStr"/>
    </row>
    <row r="50">
      <c r="A50" t="inlineStr">
        <is>
          <t>DORO SANOLO</t>
        </is>
      </c>
      <c r="B50" t="inlineStr">
        <is>
          <t>Kota Bima</t>
        </is>
      </c>
      <c r="C50" t="inlineStr">
        <is>
          <t>081339783777</t>
        </is>
      </c>
      <c r="D50" t="inlineStr">
        <is>
          <t>dorosanolocv@gmail.com</t>
        </is>
      </c>
      <c r="E50" t="inlineStr">
        <is>
          <t>https://lpjk.pu.go.id/search-badan-usaha-detail/WVpKUk9TaGZLRnRlM2MzZERiQVZIZz09</t>
        </is>
      </c>
      <c r="F50" t="n">
        <v>1</v>
      </c>
      <c r="G50" t="inlineStr">
        <is>
          <t>BG008</t>
        </is>
      </c>
      <c r="H50" t="inlineStr">
        <is>
          <t>13 Februari 2023</t>
        </is>
      </c>
      <c r="I50" s="2" t="n">
        <v>46348</v>
      </c>
      <c r="J50" t="inlineStr">
        <is>
          <t>Disetujui</t>
        </is>
      </c>
      <c r="K50" t="n">
        <v>87</v>
      </c>
      <c r="L50" t="inlineStr">
        <is>
          <t>22 November 2026</t>
        </is>
      </c>
      <c r="M50" t="inlineStr">
        <is>
          <t>Konstruksi Gedung Tempat Hiburan dan Olahraga</t>
        </is>
      </c>
      <c r="N50" t="inlineStr">
        <is>
          <t>K</t>
        </is>
      </c>
      <c r="O50" t="inlineStr">
        <is>
          <t>20231123</t>
        </is>
      </c>
      <c r="P50" t="inlineStr">
        <is>
          <t>Nusa Tenggara Barat</t>
        </is>
      </c>
      <c r="Q50" t="inlineStr"/>
    </row>
    <row r="51">
      <c r="A51" t="inlineStr">
        <is>
          <t>DUTA KELUD</t>
        </is>
      </c>
      <c r="B51" t="inlineStr">
        <is>
          <t>Kab. Kediri</t>
        </is>
      </c>
      <c r="C51" t="inlineStr">
        <is>
          <t>081335442161</t>
        </is>
      </c>
      <c r="D51" t="inlineStr">
        <is>
          <t>dutakelud78@gmail.com</t>
        </is>
      </c>
      <c r="E51" t="inlineStr">
        <is>
          <t>https://lpjk.pu.go.id/search-badan-usaha-detail/WW5uZlNGNkdYdXpNOXB5aEE4VmRmQT09</t>
        </is>
      </c>
      <c r="F51" t="n">
        <v>2</v>
      </c>
      <c r="G51" t="inlineStr">
        <is>
          <t>BG004, BG008</t>
        </is>
      </c>
      <c r="H51" t="inlineStr">
        <is>
          <t>3 Maret 2001</t>
        </is>
      </c>
      <c r="I51" s="2" t="n">
        <v>46348</v>
      </c>
      <c r="J51" t="inlineStr">
        <is>
          <t>Disetujui, Pencabutan</t>
        </is>
      </c>
      <c r="K51" t="n">
        <v>87</v>
      </c>
      <c r="L51" t="inlineStr">
        <is>
          <t>22 November 2026</t>
        </is>
      </c>
      <c r="M51" t="inlineStr">
        <is>
          <t>Konstruksi Gedung Perbelanjaan, Konstruksi Gedung Tempat Hiburan dan Olahraga</t>
        </is>
      </c>
      <c r="N51" t="inlineStr">
        <is>
          <t>K</t>
        </is>
      </c>
      <c r="O51" t="inlineStr">
        <is>
          <t>20231120, 20231123</t>
        </is>
      </c>
      <c r="P51" t="inlineStr">
        <is>
          <t>Jawa Timur</t>
        </is>
      </c>
      <c r="Q51" t="inlineStr"/>
    </row>
    <row r="52">
      <c r="A52" t="inlineStr">
        <is>
          <t>EKATAMA MEGAH KONSTRUKSI</t>
        </is>
      </c>
      <c r="B52" t="inlineStr">
        <is>
          <t>Kab. Sumbawa</t>
        </is>
      </c>
      <c r="C52" t="inlineStr">
        <is>
          <t>081917617147</t>
        </is>
      </c>
      <c r="D52" t="inlineStr">
        <is>
          <t>pt.emk2017@gmail.com</t>
        </is>
      </c>
      <c r="E52" t="inlineStr">
        <is>
          <t>https://lpjk.pu.go.id/search-badan-usaha-detail/d1UzTmlzb2pPUFg2d3ArdkZMVXlrdz09</t>
        </is>
      </c>
      <c r="F52" t="n">
        <v>2</v>
      </c>
      <c r="G52" t="inlineStr">
        <is>
          <t>BS001, BS002</t>
        </is>
      </c>
      <c r="H52" t="inlineStr">
        <is>
          <t>21 Desember 2016</t>
        </is>
      </c>
      <c r="I52" s="2" t="n">
        <v>46348</v>
      </c>
      <c r="J52" t="inlineStr">
        <is>
          <t>Disetujui</t>
        </is>
      </c>
      <c r="K52" t="n">
        <v>87</v>
      </c>
      <c r="L52" t="inlineStr">
        <is>
          <t>22 November 2026</t>
        </is>
      </c>
      <c r="M52" t="inlineStr">
        <is>
          <t>Bangunan Sipil Jembatan, Jalan Layang, Fly Over, dan Underpass, Konstruksi Bangunan Sipil Jalan</t>
        </is>
      </c>
      <c r="N52" t="inlineStr">
        <is>
          <t>K</t>
        </is>
      </c>
      <c r="O52" t="inlineStr">
        <is>
          <t>20231120</t>
        </is>
      </c>
      <c r="P52" t="inlineStr">
        <is>
          <t>Nusa Tenggara Barat</t>
        </is>
      </c>
      <c r="Q52" t="inlineStr"/>
    </row>
    <row r="53">
      <c r="A53" t="inlineStr">
        <is>
          <t>ELANG EKA PERKASA</t>
        </is>
      </c>
      <c r="B53" t="inlineStr">
        <is>
          <t>Kab. Tegal</t>
        </is>
      </c>
      <c r="C53" t="inlineStr">
        <is>
          <t>081224240812</t>
        </is>
      </c>
      <c r="D53" t="inlineStr">
        <is>
          <t>pt.elangekaperkasa@gmail.com</t>
        </is>
      </c>
      <c r="E53" t="inlineStr">
        <is>
          <t>https://lpjk.pu.go.id/search-badan-usaha-detail/ZExIS0NzNE9uWFFvWWZHSWlpb1JvZz09</t>
        </is>
      </c>
      <c r="F53" t="n">
        <v>10</v>
      </c>
      <c r="G53" t="inlineStr">
        <is>
          <t>BG001, BG002, BG003, BG004, BG009</t>
        </is>
      </c>
      <c r="H53" t="inlineStr">
        <is>
          <t>16 Oktober 2023</t>
        </is>
      </c>
      <c r="I53" s="2" t="n">
        <v>46348</v>
      </c>
      <c r="J53" t="inlineStr">
        <is>
          <t>Disetujui</t>
        </is>
      </c>
      <c r="K53" t="n">
        <v>87</v>
      </c>
      <c r="L53" t="inlineStr">
        <is>
          <t>22 November 2026</t>
        </is>
      </c>
      <c r="M53" t="inlineStr">
        <is>
          <t>Konstruksi Gedung Hunian, Konstruksi Gedung Industri, Konstruksi Gedung Lainnya, Konstruksi Gedung Perbelanjaan, Konstruksi Gedung Perkantoran</t>
        </is>
      </c>
      <c r="N53" t="inlineStr">
        <is>
          <t>K</t>
        </is>
      </c>
      <c r="O53" t="inlineStr">
        <is>
          <t>20231109, 20231110</t>
        </is>
      </c>
      <c r="P53" t="inlineStr">
        <is>
          <t>Jawa Tengah</t>
        </is>
      </c>
      <c r="Q53" t="inlineStr"/>
    </row>
    <row r="54">
      <c r="A54" t="inlineStr">
        <is>
          <t>ELTRAN INDONESIA</t>
        </is>
      </c>
      <c r="B54" t="inlineStr">
        <is>
          <t>Kota Bandung</t>
        </is>
      </c>
      <c r="C54" t="inlineStr">
        <is>
          <t>02273517098</t>
        </is>
      </c>
      <c r="D54" t="inlineStr">
        <is>
          <t>marketing@eltran.co.id</t>
        </is>
      </c>
      <c r="E54" t="inlineStr">
        <is>
          <t>https://lpjk.pu.go.id/search-badan-usaha-detail/cGNYemM3UTMweEpxbWJvOFh5cHcwZz09</t>
        </is>
      </c>
      <c r="F54" t="n">
        <v>2</v>
      </c>
      <c r="G54" t="inlineStr">
        <is>
          <t>BG009, BS009</t>
        </is>
      </c>
      <c r="H54" t="inlineStr">
        <is>
          <t>24 Mei 1997</t>
        </is>
      </c>
      <c r="I54" s="2" t="n">
        <v>46348</v>
      </c>
      <c r="J54" t="inlineStr">
        <is>
          <t>Pembekuan</t>
        </is>
      </c>
      <c r="K54" t="n">
        <v>87</v>
      </c>
      <c r="L54" t="inlineStr">
        <is>
          <t>22 November 2026</t>
        </is>
      </c>
      <c r="M54" t="inlineStr">
        <is>
          <t>Konstruksi Gedung Lainnya, Konstruksi Sentral Telekomunikasi</t>
        </is>
      </c>
      <c r="N54" t="inlineStr">
        <is>
          <t>B</t>
        </is>
      </c>
      <c r="O54" t="inlineStr">
        <is>
          <t>20231122</t>
        </is>
      </c>
      <c r="P54" t="inlineStr">
        <is>
          <t>Jawa Barat</t>
        </is>
      </c>
      <c r="Q54" t="inlineStr"/>
    </row>
    <row r="55">
      <c r="A55" t="inlineStr">
        <is>
          <t>ELVANNARA DWIDAYA SAKTI</t>
        </is>
      </c>
      <c r="B55" t="inlineStr">
        <is>
          <t>Kab. Cirebon</t>
        </is>
      </c>
      <c r="C55" t="inlineStr">
        <is>
          <t>08122340328</t>
        </is>
      </c>
      <c r="D55" t="inlineStr">
        <is>
          <t>elvannara.ds@gmail.com</t>
        </is>
      </c>
      <c r="E55" t="inlineStr">
        <is>
          <t>https://lpjk.pu.go.id/search-badan-usaha-detail/dTNRTm9lWVB4T1lnbXUvaUUraFBRQT09</t>
        </is>
      </c>
      <c r="F55" t="n">
        <v>2</v>
      </c>
      <c r="G55" t="inlineStr">
        <is>
          <t>BG004, BG005</t>
        </is>
      </c>
      <c r="H55" t="inlineStr">
        <is>
          <t>15 Januari 2021</t>
        </is>
      </c>
      <c r="I55" s="2" t="n">
        <v>46348</v>
      </c>
      <c r="J55" t="inlineStr">
        <is>
          <t>Disetujui</t>
        </is>
      </c>
      <c r="K55" t="n">
        <v>87</v>
      </c>
      <c r="L55" t="inlineStr">
        <is>
          <t>22 November 2026</t>
        </is>
      </c>
      <c r="M55" t="inlineStr">
        <is>
          <t>Konstruksi Gedung Kesehatan, Konstruksi Gedung Perbelanjaan</t>
        </is>
      </c>
      <c r="N55" t="inlineStr">
        <is>
          <t>K</t>
        </is>
      </c>
      <c r="O55" t="inlineStr">
        <is>
          <t>20231122</t>
        </is>
      </c>
      <c r="P55" t="inlineStr">
        <is>
          <t>Jawa Barat</t>
        </is>
      </c>
      <c r="Q55" t="inlineStr"/>
    </row>
    <row r="56">
      <c r="A56" t="inlineStr">
        <is>
          <t>FAZA PERSADA INDONESIA</t>
        </is>
      </c>
      <c r="B56" t="inlineStr">
        <is>
          <t>Kab. Bandung Barat</t>
        </is>
      </c>
      <c r="C56" t="inlineStr">
        <is>
          <t>0816627455</t>
        </is>
      </c>
      <c r="D56" t="inlineStr">
        <is>
          <t>pt.faza.persada@gmail.com</t>
        </is>
      </c>
      <c r="E56" t="inlineStr">
        <is>
          <t>https://lpjk.pu.go.id/search-badan-usaha-detail/VGhldWMyMStaTlZCb1UrUTJvN0txdz09</t>
        </is>
      </c>
      <c r="F56" t="n">
        <v>2</v>
      </c>
      <c r="G56" t="inlineStr">
        <is>
          <t>BS001, BS004</t>
        </is>
      </c>
      <c r="H56" t="inlineStr">
        <is>
          <t>15 Desember 2015</t>
        </is>
      </c>
      <c r="I56" s="2" t="n">
        <v>46348</v>
      </c>
      <c r="J56" t="inlineStr">
        <is>
          <t>Disetujui</t>
        </is>
      </c>
      <c r="K56" t="n">
        <v>87</v>
      </c>
      <c r="L56" t="inlineStr">
        <is>
          <t>22 November 2026</t>
        </is>
      </c>
      <c r="M56" t="inlineStr">
        <is>
          <t>Konstruksi Bangunan Sipil Jalan, Konstruksi Jaringan Irigasi dan Drainase</t>
        </is>
      </c>
      <c r="N56" t="inlineStr">
        <is>
          <t>K</t>
        </is>
      </c>
      <c r="O56" t="inlineStr">
        <is>
          <t>20231114, 20231121</t>
        </is>
      </c>
      <c r="P56" t="inlineStr">
        <is>
          <t>Jawa Barat</t>
        </is>
      </c>
      <c r="Q56" t="inlineStr"/>
    </row>
    <row r="57">
      <c r="A57" t="inlineStr">
        <is>
          <t>GALIH PERKASA</t>
        </is>
      </c>
      <c r="B57" t="inlineStr">
        <is>
          <t>Kab. Jombang</t>
        </is>
      </c>
      <c r="C57" t="inlineStr">
        <is>
          <t>082245897453</t>
        </is>
      </c>
      <c r="D57" t="inlineStr">
        <is>
          <t>cvgalih27@gmail.com</t>
        </is>
      </c>
      <c r="E57" t="inlineStr">
        <is>
          <t>https://lpjk.pu.go.id/search-badan-usaha-detail/RXYxczVoM3NPOFpvRlljcXdkb1VQdz09</t>
        </is>
      </c>
      <c r="F57" t="n">
        <v>2</v>
      </c>
      <c r="G57" t="inlineStr">
        <is>
          <t>BS001</t>
        </is>
      </c>
      <c r="H57" t="inlineStr">
        <is>
          <t>19 Mei 1992</t>
        </is>
      </c>
      <c r="I57" s="2" t="n">
        <v>46348</v>
      </c>
      <c r="J57" t="inlineStr">
        <is>
          <t>Disetujui</t>
        </is>
      </c>
      <c r="K57" t="n">
        <v>87</v>
      </c>
      <c r="L57" t="inlineStr">
        <is>
          <t>22 November 2026</t>
        </is>
      </c>
      <c r="M57" t="inlineStr">
        <is>
          <t>Konstruksi Bangunan Sipil Jalan</t>
        </is>
      </c>
      <c r="N57" t="inlineStr">
        <is>
          <t>K</t>
        </is>
      </c>
      <c r="O57" t="inlineStr">
        <is>
          <t>20231123</t>
        </is>
      </c>
      <c r="P57" t="inlineStr">
        <is>
          <t>Jawa Timur</t>
        </is>
      </c>
      <c r="Q57" t="inlineStr"/>
    </row>
    <row r="58">
      <c r="A58" t="inlineStr">
        <is>
          <t>GARUDA MAS SAKTI</t>
        </is>
      </c>
      <c r="B58" t="inlineStr">
        <is>
          <t>Kota Medan</t>
        </is>
      </c>
      <c r="C58" t="inlineStr">
        <is>
          <t>081260318668</t>
        </is>
      </c>
      <c r="D58" t="inlineStr">
        <is>
          <t>gmassakti@gmail.com</t>
        </is>
      </c>
      <c r="E58" t="inlineStr">
        <is>
          <t>https://lpjk.pu.go.id/search-badan-usaha-detail/RGhEOFNvUklBVEoxNkVraDhaWXRZUT09</t>
        </is>
      </c>
      <c r="F58" t="n">
        <v>2</v>
      </c>
      <c r="G58" t="inlineStr">
        <is>
          <t>IN001, IN013</t>
        </is>
      </c>
      <c r="H58" t="inlineStr">
        <is>
          <t>18 Oktober 1995</t>
        </is>
      </c>
      <c r="I58" s="2" t="n">
        <v>46348</v>
      </c>
      <c r="J58" t="inlineStr">
        <is>
          <t>Pembekuan</t>
        </is>
      </c>
      <c r="K58" t="n">
        <v>87</v>
      </c>
      <c r="L58" t="inlineStr">
        <is>
          <t>22 November 2026</t>
        </is>
      </c>
      <c r="M58" t="inlineStr">
        <is>
          <t>Instalasi Mekanikal, Instalasi Pemanas dan Geotermal</t>
        </is>
      </c>
      <c r="N58" t="inlineStr">
        <is>
          <t>Spesialis</t>
        </is>
      </c>
      <c r="O58" t="inlineStr">
        <is>
          <t>20231122</t>
        </is>
      </c>
      <c r="P58" t="inlineStr">
        <is>
          <t>Sumatera Utara</t>
        </is>
      </c>
      <c r="Q58" t="inlineStr"/>
    </row>
    <row r="59">
      <c r="A59" t="inlineStr">
        <is>
          <t>GRAHA SAFIRA</t>
        </is>
      </c>
      <c r="B59" t="inlineStr">
        <is>
          <t>Kab. Pemalang</t>
        </is>
      </c>
      <c r="C59" t="inlineStr">
        <is>
          <t>081328722953</t>
        </is>
      </c>
      <c r="D59" t="inlineStr">
        <is>
          <t>grahasafira.cv@gmail.com</t>
        </is>
      </c>
      <c r="E59" t="inlineStr">
        <is>
          <t>https://lpjk.pu.go.id/search-badan-usaha-detail/YmpueXlYNkxyVmo4WGpCNE8yZTN0QT09</t>
        </is>
      </c>
      <c r="F59" t="n">
        <v>1</v>
      </c>
      <c r="G59" t="inlineStr">
        <is>
          <t>RK005</t>
        </is>
      </c>
      <c r="H59" t="inlineStr">
        <is>
          <t>24 Februari 2004</t>
        </is>
      </c>
      <c r="I59" s="2" t="n">
        <v>46348</v>
      </c>
      <c r="J59" t="inlineStr">
        <is>
          <t>Pencabutan</t>
        </is>
      </c>
      <c r="K59" t="n">
        <v>87</v>
      </c>
      <c r="L59" t="inlineStr">
        <is>
          <t>22 November 2026</t>
        </is>
      </c>
      <c r="M59" t="inlineStr">
        <is>
          <t>Jasa Rekayasa Lainnya</t>
        </is>
      </c>
      <c r="N59" t="inlineStr">
        <is>
          <t>K</t>
        </is>
      </c>
      <c r="O59" t="inlineStr">
        <is>
          <t>20231116</t>
        </is>
      </c>
      <c r="P59" t="inlineStr">
        <is>
          <t>Jawa Tengah</t>
        </is>
      </c>
      <c r="Q59" t="inlineStr"/>
    </row>
    <row r="60">
      <c r="A60" t="inlineStr">
        <is>
          <t>HANA RIZKYA</t>
        </is>
      </c>
      <c r="B60" t="inlineStr">
        <is>
          <t>Kab. Tapin</t>
        </is>
      </c>
      <c r="C60" t="inlineStr">
        <is>
          <t>085250913069</t>
        </is>
      </c>
      <c r="D60" t="inlineStr">
        <is>
          <t>cv.hanarizkya@gmail.com</t>
        </is>
      </c>
      <c r="E60" t="inlineStr">
        <is>
          <t>https://lpjk.pu.go.id/search-badan-usaha-detail/ZFVOUVNTSWtXYVV4WTR3Q2dEU0phZz09</t>
        </is>
      </c>
      <c r="F60" t="n">
        <v>3</v>
      </c>
      <c r="G60" t="inlineStr">
        <is>
          <t>BG009, BS001, BS004</t>
        </is>
      </c>
      <c r="H60" t="inlineStr">
        <is>
          <t>6 November 2024</t>
        </is>
      </c>
      <c r="I60" s="2" t="n">
        <v>46348</v>
      </c>
      <c r="J60" t="inlineStr">
        <is>
          <t>Disetujui, Pencabutan</t>
        </is>
      </c>
      <c r="K60" t="n">
        <v>87</v>
      </c>
      <c r="L60" t="inlineStr">
        <is>
          <t>22 November 2026</t>
        </is>
      </c>
      <c r="M60" t="inlineStr">
        <is>
          <t>Konstruksi Bangunan Sipil Jalan, Konstruksi Gedung Lainnya, Konstruksi Jaringan Irigasi dan Drainase</t>
        </is>
      </c>
      <c r="N60" t="inlineStr">
        <is>
          <t>K</t>
        </is>
      </c>
      <c r="O60" t="inlineStr">
        <is>
          <t>20231122</t>
        </is>
      </c>
      <c r="P60" t="inlineStr">
        <is>
          <t>Kalimantan Selatan</t>
        </is>
      </c>
      <c r="Q60" t="inlineStr"/>
    </row>
    <row r="61">
      <c r="A61" t="inlineStr">
        <is>
          <t>HEKAL PRATAMA BOR</t>
        </is>
      </c>
      <c r="B61" t="inlineStr">
        <is>
          <t>Kab. Kaur</t>
        </is>
      </c>
      <c r="C61" t="inlineStr">
        <is>
          <t>0</t>
        </is>
      </c>
      <c r="D61" t="inlineStr">
        <is>
          <t>herikuspi@yahoo.com</t>
        </is>
      </c>
      <c r="E61" t="inlineStr">
        <is>
          <t>https://lpjk.pu.go.id/search-badan-usaha-detail/Z01nLzJWN0xIUXRnWExydVBXNjZTQT09</t>
        </is>
      </c>
      <c r="F61" t="n">
        <v>1</v>
      </c>
      <c r="G61" t="inlineStr">
        <is>
          <t>PL005</t>
        </is>
      </c>
      <c r="H61" t="inlineStr">
        <is>
          <t>5 April 2020</t>
        </is>
      </c>
      <c r="I61" s="2" t="n">
        <v>46348</v>
      </c>
      <c r="J61" t="inlineStr">
        <is>
          <t>Disetujui</t>
        </is>
      </c>
      <c r="K61" t="n">
        <v>87</v>
      </c>
      <c r="L61" t="inlineStr">
        <is>
          <t>22 November 2026</t>
        </is>
      </c>
      <c r="M61" t="inlineStr">
        <is>
          <t>Pembuatan/Pengeboran Sumur Air Tanah</t>
        </is>
      </c>
      <c r="N61" t="inlineStr">
        <is>
          <t>Spesialis</t>
        </is>
      </c>
      <c r="O61" t="inlineStr">
        <is>
          <t>20231113</t>
        </is>
      </c>
      <c r="P61" t="inlineStr">
        <is>
          <t>Bengkulu</t>
        </is>
      </c>
      <c r="Q61" t="inlineStr"/>
    </row>
    <row r="62">
      <c r="A62" t="inlineStr">
        <is>
          <t>INTAN BATODUO</t>
        </is>
      </c>
      <c r="B62" t="inlineStr">
        <is>
          <t>Kab. Kampar</t>
        </is>
      </c>
      <c r="C62" t="inlineStr">
        <is>
          <t>085210319985</t>
        </is>
      </c>
      <c r="D62" t="inlineStr">
        <is>
          <t>cv.intanbatoduo@yahoo.com</t>
        </is>
      </c>
      <c r="E62" t="inlineStr">
        <is>
          <t>https://lpjk.pu.go.id/search-badan-usaha-detail/ZXhSdjUyRjlSdnV2UVRWdGtmcnV0dz09</t>
        </is>
      </c>
      <c r="F62" t="n">
        <v>1</v>
      </c>
      <c r="G62" t="inlineStr">
        <is>
          <t>PB010</t>
        </is>
      </c>
      <c r="H62" t="inlineStr">
        <is>
          <t>19 Desember 2014</t>
        </is>
      </c>
      <c r="I62" s="2" t="n">
        <v>46348</v>
      </c>
      <c r="J62" t="inlineStr">
        <is>
          <t>Pencabutan</t>
        </is>
      </c>
      <c r="K62" t="n">
        <v>87</v>
      </c>
      <c r="L62" t="inlineStr">
        <is>
          <t>22 November 2026</t>
        </is>
      </c>
      <c r="M62" t="inlineStr">
        <is>
          <t>Pekerjaan Lanskap, Pertamanan, dan Penanaman Vegetasi</t>
        </is>
      </c>
      <c r="N62" t="inlineStr">
        <is>
          <t>Spesialis</t>
        </is>
      </c>
      <c r="O62" t="inlineStr">
        <is>
          <t>20231122</t>
        </is>
      </c>
      <c r="P62" t="inlineStr">
        <is>
          <t>Riau</t>
        </is>
      </c>
      <c r="Q62" t="inlineStr"/>
    </row>
    <row r="63">
      <c r="A63" t="inlineStr">
        <is>
          <t>ISTIQOMAH</t>
        </is>
      </c>
      <c r="B63" t="inlineStr">
        <is>
          <t>Kab. Deli Serdang</t>
        </is>
      </c>
      <c r="C63" t="inlineStr">
        <is>
          <t>085345498800</t>
        </is>
      </c>
      <c r="D63" t="inlineStr">
        <is>
          <t>cvistiqomah0202@gmail.com</t>
        </is>
      </c>
      <c r="E63" t="inlineStr">
        <is>
          <t>https://lpjk.pu.go.id/search-badan-usaha-detail/WTdISnBFVUZMWDUyOHJnMlpzRjUydz09</t>
        </is>
      </c>
      <c r="F63" t="n">
        <v>2</v>
      </c>
      <c r="G63" t="inlineStr">
        <is>
          <t>BG005</t>
        </is>
      </c>
      <c r="H63" t="inlineStr">
        <is>
          <t>14 Februari 2017</t>
        </is>
      </c>
      <c r="I63" s="2" t="n">
        <v>46348</v>
      </c>
      <c r="J63" t="inlineStr">
        <is>
          <t>Pencabutan</t>
        </is>
      </c>
      <c r="K63" t="n">
        <v>87</v>
      </c>
      <c r="L63" t="inlineStr">
        <is>
          <t>22 November 2026</t>
        </is>
      </c>
      <c r="M63" t="inlineStr">
        <is>
          <t>Konstruksi Gedung Kesehatan</t>
        </is>
      </c>
      <c r="N63" t="inlineStr">
        <is>
          <t>K</t>
        </is>
      </c>
      <c r="O63" t="inlineStr">
        <is>
          <t>20231110</t>
        </is>
      </c>
      <c r="P63" t="inlineStr">
        <is>
          <t>Sumatera Utara</t>
        </is>
      </c>
      <c r="Q63" t="inlineStr"/>
    </row>
    <row r="64">
      <c r="A64" t="inlineStr">
        <is>
          <t>JAGAD BANYU NETES</t>
        </is>
      </c>
      <c r="B64" t="inlineStr">
        <is>
          <t>Kab. Klaten</t>
        </is>
      </c>
      <c r="C64" t="inlineStr">
        <is>
          <t>081227809279</t>
        </is>
      </c>
      <c r="D64" t="inlineStr">
        <is>
          <t>jagadbanyunetes@gmail.com</t>
        </is>
      </c>
      <c r="E64" t="inlineStr">
        <is>
          <t>https://lpjk.pu.go.id/search-badan-usaha-detail/RlhHdEJIek1GQVVtSHplQmdhTndoZz09</t>
        </is>
      </c>
      <c r="F64" t="n">
        <v>1</v>
      </c>
      <c r="G64" t="inlineStr">
        <is>
          <t>BG001</t>
        </is>
      </c>
      <c r="H64" t="inlineStr">
        <is>
          <t>27 Oktober 2023</t>
        </is>
      </c>
      <c r="I64" s="2" t="n">
        <v>46348</v>
      </c>
      <c r="J64" t="inlineStr">
        <is>
          <t>Disetujui</t>
        </is>
      </c>
      <c r="K64" t="n">
        <v>87</v>
      </c>
      <c r="L64" t="inlineStr">
        <is>
          <t>22 November 2026</t>
        </is>
      </c>
      <c r="M64" t="inlineStr">
        <is>
          <t>Konstruksi Gedung Hunian</t>
        </is>
      </c>
      <c r="N64" t="inlineStr">
        <is>
          <t>K</t>
        </is>
      </c>
      <c r="O64" t="inlineStr">
        <is>
          <t>20231123</t>
        </is>
      </c>
      <c r="P64" t="inlineStr">
        <is>
          <t>Jawa Tengah</t>
        </is>
      </c>
      <c r="Q64" t="inlineStr"/>
    </row>
    <row r="65">
      <c r="A65" t="inlineStr">
        <is>
          <t>KALIMANTAN ENAM ENAM</t>
        </is>
      </c>
      <c r="B65" t="inlineStr">
        <is>
          <t>Kota Pontianak</t>
        </is>
      </c>
      <c r="C65" t="inlineStr">
        <is>
          <t>081352625868</t>
        </is>
      </c>
      <c r="D65" t="inlineStr">
        <is>
          <t>cvkalimantan66@gmail.com</t>
        </is>
      </c>
      <c r="E65" t="inlineStr">
        <is>
          <t>https://lpjk.pu.go.id/search-badan-usaha-detail/K2RVSnhiKzhTQldwMlBqcWNlK0doQT09</t>
        </is>
      </c>
      <c r="F65" t="n">
        <v>10</v>
      </c>
      <c r="G65" t="inlineStr">
        <is>
          <t>BG001, BG002, BG005, BG006, BG009</t>
        </is>
      </c>
      <c r="H65" t="inlineStr">
        <is>
          <t>11 Februari 2020</t>
        </is>
      </c>
      <c r="I65" s="2" t="n">
        <v>46348</v>
      </c>
      <c r="J65" t="inlineStr">
        <is>
          <t>Disetujui</t>
        </is>
      </c>
      <c r="K65" t="n">
        <v>87</v>
      </c>
      <c r="L65" t="inlineStr">
        <is>
          <t>22 November 2026</t>
        </is>
      </c>
      <c r="M65" t="inlineStr">
        <is>
          <t>Konstruksi Gedung Hunian, Konstruksi Gedung Kesehatan, Konstruksi Gedung Lainnya, Konstruksi Gedung Pendidikan, Konstruksi Gedung Perkantoran</t>
        </is>
      </c>
      <c r="N65" t="inlineStr">
        <is>
          <t>K</t>
        </is>
      </c>
      <c r="O65" t="inlineStr">
        <is>
          <t>20231122</t>
        </is>
      </c>
      <c r="P65" t="inlineStr">
        <is>
          <t>Kalimantan Barat</t>
        </is>
      </c>
      <c r="Q65" t="inlineStr"/>
    </row>
    <row r="66">
      <c r="A66" t="inlineStr">
        <is>
          <t>KARYA BIMA</t>
        </is>
      </c>
      <c r="B66" t="inlineStr">
        <is>
          <t>Kab. Indramayu</t>
        </is>
      </c>
      <c r="C66" t="inlineStr">
        <is>
          <t>081802778189</t>
        </is>
      </c>
      <c r="D66" t="inlineStr">
        <is>
          <t>karyabima.cv@gmail.com</t>
        </is>
      </c>
      <c r="E66" t="inlineStr">
        <is>
          <t>https://lpjk.pu.go.id/search-badan-usaha-detail/K2lEZjljQm8wWWFReHJBYWFhc3Y2Zz09</t>
        </is>
      </c>
      <c r="F66" t="n">
        <v>2</v>
      </c>
      <c r="G66" t="inlineStr">
        <is>
          <t>BS001, BS004</t>
        </is>
      </c>
      <c r="H66" t="inlineStr">
        <is>
          <t>18 Juli 1994</t>
        </is>
      </c>
      <c r="I66" s="2" t="n">
        <v>46348</v>
      </c>
      <c r="J66" t="inlineStr">
        <is>
          <t>Disetujui</t>
        </is>
      </c>
      <c r="K66" t="n">
        <v>87</v>
      </c>
      <c r="L66" t="inlineStr">
        <is>
          <t>22 November 2026</t>
        </is>
      </c>
      <c r="M66" t="inlineStr">
        <is>
          <t>Konstruksi Bangunan Sipil Jalan, Konstruksi Jaringan Irigasi dan Drainase</t>
        </is>
      </c>
      <c r="N66" t="inlineStr">
        <is>
          <t>K</t>
        </is>
      </c>
      <c r="O66" t="inlineStr">
        <is>
          <t>20231117</t>
        </is>
      </c>
      <c r="P66" t="inlineStr">
        <is>
          <t>Jawa Barat</t>
        </is>
      </c>
      <c r="Q66" t="inlineStr"/>
    </row>
    <row r="67">
      <c r="A67" t="inlineStr">
        <is>
          <t>KARYA MULYA INDAH</t>
        </is>
      </c>
      <c r="B67" t="inlineStr">
        <is>
          <t>Kota Ambon</t>
        </is>
      </c>
      <c r="C67" t="inlineStr">
        <is>
          <t>082197919337</t>
        </is>
      </c>
      <c r="D67" t="inlineStr">
        <is>
          <t>kmiambon@gmail.com</t>
        </is>
      </c>
      <c r="E67" t="inlineStr">
        <is>
          <t>https://lpjk.pu.go.id/search-badan-usaha-detail/NEk0WjRaUllXak1mOU9DdDh4QlpHdz09</t>
        </is>
      </c>
      <c r="F67" t="n">
        <v>2</v>
      </c>
      <c r="G67" t="inlineStr">
        <is>
          <t>BG006, BS002</t>
        </is>
      </c>
      <c r="H67" t="inlineStr">
        <is>
          <t>7 September 1992</t>
        </is>
      </c>
      <c r="I67" s="2" t="n">
        <v>46348</v>
      </c>
      <c r="J67" t="inlineStr">
        <is>
          <t>Disetujui</t>
        </is>
      </c>
      <c r="K67" t="n">
        <v>87</v>
      </c>
      <c r="L67" t="inlineStr">
        <is>
          <t>22 November 2026</t>
        </is>
      </c>
      <c r="M67" t="inlineStr">
        <is>
          <t>Bangunan Sipil Jembatan, Jalan Layang, Fly Over, dan Underpass, Konstruksi Gedung Pendidikan</t>
        </is>
      </c>
      <c r="N67" t="inlineStr">
        <is>
          <t>K</t>
        </is>
      </c>
      <c r="O67" t="inlineStr">
        <is>
          <t>20231123</t>
        </is>
      </c>
      <c r="P67" t="inlineStr">
        <is>
          <t>Maluku</t>
        </is>
      </c>
      <c r="Q67" t="inlineStr"/>
    </row>
    <row r="68">
      <c r="A68" t="inlineStr">
        <is>
          <t>KARYA NUGRAHA</t>
        </is>
      </c>
      <c r="B68" t="inlineStr">
        <is>
          <t>Kab. Cilacap</t>
        </is>
      </c>
      <c r="C68" t="inlineStr">
        <is>
          <t>085227634863</t>
        </is>
      </c>
      <c r="D68" t="inlineStr">
        <is>
          <t>karyanugraha89@yahoo.com</t>
        </is>
      </c>
      <c r="E68" t="inlineStr">
        <is>
          <t>https://lpjk.pu.go.id/search-badan-usaha-detail/dmxuY0FIUlFnMUVMZzVKZlNQVmV1UT09</t>
        </is>
      </c>
      <c r="F68" t="n">
        <v>3</v>
      </c>
      <c r="G68" t="inlineStr">
        <is>
          <t>BS001, BS002, BS004</t>
        </is>
      </c>
      <c r="H68" t="inlineStr">
        <is>
          <t>3 Mei 1993</t>
        </is>
      </c>
      <c r="I68" s="2" t="n">
        <v>46348</v>
      </c>
      <c r="J68" t="inlineStr">
        <is>
          <t>Disetujui</t>
        </is>
      </c>
      <c r="K68" t="n">
        <v>87</v>
      </c>
      <c r="L68" t="inlineStr">
        <is>
          <t>22 November 2026</t>
        </is>
      </c>
      <c r="M68" t="inlineStr">
        <is>
          <t>Bangunan Sipil Jembatan, Jalan Layang, Fly Over, dan Underpass, Konstruksi Bangunan Sipil Jalan, Konstruksi Jaringan Irigasi dan Drainase</t>
        </is>
      </c>
      <c r="N68" t="inlineStr">
        <is>
          <t>K</t>
        </is>
      </c>
      <c r="O68" t="inlineStr">
        <is>
          <t>20231122</t>
        </is>
      </c>
      <c r="P68" t="inlineStr">
        <is>
          <t>Jawa Tengah</t>
        </is>
      </c>
      <c r="Q68" t="inlineStr"/>
    </row>
    <row r="69">
      <c r="A69" t="inlineStr">
        <is>
          <t>KENCANA ALAM PUTRA</t>
        </is>
      </c>
      <c r="B69" t="inlineStr">
        <is>
          <t>Kota Surabaya</t>
        </is>
      </c>
      <c r="C69" t="inlineStr">
        <is>
          <t>0315939609</t>
        </is>
      </c>
      <c r="D69" t="inlineStr">
        <is>
          <t>admin@kencana-alam.com</t>
        </is>
      </c>
      <c r="E69" t="inlineStr">
        <is>
          <t>https://lpjk.pu.go.id/search-badan-usaha-detail/c3BnZkkyYTZRdkE4dDhTbzROTDBmdz09</t>
        </is>
      </c>
      <c r="F69" t="n">
        <v>3</v>
      </c>
      <c r="G69" t="inlineStr">
        <is>
          <t>IN001, KK001, PL008</t>
        </is>
      </c>
      <c r="H69" t="inlineStr">
        <is>
          <t>24 November 1994</t>
        </is>
      </c>
      <c r="I69" s="2" t="n">
        <v>46348</v>
      </c>
      <c r="J69" t="inlineStr">
        <is>
          <t>Disetujui</t>
        </is>
      </c>
      <c r="K69" t="n">
        <v>87</v>
      </c>
      <c r="L69" t="inlineStr">
        <is>
          <t>22 November 2026</t>
        </is>
      </c>
      <c r="M69" t="inlineStr">
        <is>
          <t>Instalasi Mekanikal, Pemasangan Perancah (Steiger), Pondasi Konstruksi</t>
        </is>
      </c>
      <c r="N69" t="inlineStr">
        <is>
          <t>Spesialis</t>
        </is>
      </c>
      <c r="O69" t="inlineStr">
        <is>
          <t>20231120, 20231123</t>
        </is>
      </c>
      <c r="P69" t="inlineStr">
        <is>
          <t>Jawa Timur</t>
        </is>
      </c>
      <c r="Q69" t="inlineStr"/>
    </row>
    <row r="70">
      <c r="A70" t="inlineStr">
        <is>
          <t>KRAKATAU KONSULTAN</t>
        </is>
      </c>
      <c r="B70" t="inlineStr">
        <is>
          <t>Kota Cilegon</t>
        </is>
      </c>
      <c r="C70" t="inlineStr">
        <is>
          <t>0254315620</t>
        </is>
      </c>
      <c r="D70" t="inlineStr">
        <is>
          <t>legal.ptkk@gmail.com</t>
        </is>
      </c>
      <c r="E70" t="inlineStr">
        <is>
          <t>https://lpjk.pu.go.id/search-badan-usaha-detail/cDlpNVAxYlFTT255VEIvWktNQ3RSdz09</t>
        </is>
      </c>
      <c r="F70" t="n">
        <v>1</v>
      </c>
      <c r="G70" t="inlineStr">
        <is>
          <t>RK005</t>
        </is>
      </c>
      <c r="H70" t="inlineStr">
        <is>
          <t>22 Februari 2013</t>
        </is>
      </c>
      <c r="I70" s="2" t="n">
        <v>46348</v>
      </c>
      <c r="J70" t="inlineStr">
        <is>
          <t>Disetujui</t>
        </is>
      </c>
      <c r="K70" t="n">
        <v>87</v>
      </c>
      <c r="L70" t="inlineStr">
        <is>
          <t>22 November 2026</t>
        </is>
      </c>
      <c r="M70" t="inlineStr">
        <is>
          <t>Jasa Rekayasa Lainnya</t>
        </is>
      </c>
      <c r="N70" t="inlineStr">
        <is>
          <t>K</t>
        </is>
      </c>
      <c r="O70" t="inlineStr">
        <is>
          <t>20231113</t>
        </is>
      </c>
      <c r="P70" t="inlineStr">
        <is>
          <t>Banten</t>
        </is>
      </c>
      <c r="Q70" t="inlineStr"/>
    </row>
    <row r="71">
      <c r="A71" t="inlineStr">
        <is>
          <t>KUDA HITAM KONTRAKTOR</t>
        </is>
      </c>
      <c r="B71" t="inlineStr">
        <is>
          <t>Kab. Kampar</t>
        </is>
      </c>
      <c r="C71" t="inlineStr">
        <is>
          <t>085263049599</t>
        </is>
      </c>
      <c r="D71" t="inlineStr">
        <is>
          <t>cvkudahitamkontraktor@yahoo.com</t>
        </is>
      </c>
      <c r="E71" t="inlineStr">
        <is>
          <t>https://lpjk.pu.go.id/search-badan-usaha-detail/bVBsSG1uTysyaTRKays2QkVHVFQ0QT09</t>
        </is>
      </c>
      <c r="F71" t="n">
        <v>1</v>
      </c>
      <c r="G71" t="inlineStr">
        <is>
          <t>PB010</t>
        </is>
      </c>
      <c r="H71" t="inlineStr">
        <is>
          <t>2 Juni 2022</t>
        </is>
      </c>
      <c r="I71" s="2" t="n">
        <v>46348</v>
      </c>
      <c r="J71" t="inlineStr">
        <is>
          <t>Pencabutan</t>
        </is>
      </c>
      <c r="K71" t="n">
        <v>87</v>
      </c>
      <c r="L71" t="inlineStr">
        <is>
          <t>22 November 2026</t>
        </is>
      </c>
      <c r="M71" t="inlineStr">
        <is>
          <t>Pekerjaan Lanskap, Pertamanan, dan Penanaman Vegetasi</t>
        </is>
      </c>
      <c r="N71" t="inlineStr">
        <is>
          <t>Spesialis</t>
        </is>
      </c>
      <c r="O71" t="inlineStr">
        <is>
          <t>20231115</t>
        </is>
      </c>
      <c r="P71" t="inlineStr">
        <is>
          <t>Riau</t>
        </is>
      </c>
      <c r="Q71" t="inlineStr"/>
    </row>
    <row r="72">
      <c r="A72" t="inlineStr">
        <is>
          <t>KURNIA MULIA MANDIRI</t>
        </is>
      </c>
      <c r="B72" t="inlineStr">
        <is>
          <t>Kab. Luwu Utara</t>
        </is>
      </c>
      <c r="C72" t="inlineStr">
        <is>
          <t>085214966068</t>
        </is>
      </c>
      <c r="D72" t="inlineStr">
        <is>
          <t>pt_kurnia_mulia_mandiri@yahoo.com</t>
        </is>
      </c>
      <c r="E72" t="inlineStr">
        <is>
          <t>https://lpjk.pu.go.id/search-badan-usaha-detail/NGlZTzM5QmlJVkN5SEFiSGl2cUlRT3VkUnpxNDVBVmJMdkM2R1pQZmZhcz0</t>
        </is>
      </c>
      <c r="F72" t="n">
        <v>2</v>
      </c>
      <c r="G72" t="inlineStr">
        <is>
          <t>BS001, BS002</t>
        </is>
      </c>
      <c r="H72" t="inlineStr">
        <is>
          <t>17 Oktober 2022</t>
        </is>
      </c>
      <c r="I72" s="2" t="n">
        <v>46348</v>
      </c>
      <c r="J72" t="inlineStr">
        <is>
          <t>Disetujui</t>
        </is>
      </c>
      <c r="K72" t="n">
        <v>87</v>
      </c>
      <c r="L72" t="inlineStr">
        <is>
          <t>22 November 2026</t>
        </is>
      </c>
      <c r="M72" t="inlineStr">
        <is>
          <t>Bangunan Sipil Jembatan, Jalan Layang, Fly Over, dan Underpass, Konstruksi Bangunan Sipil Jalan</t>
        </is>
      </c>
      <c r="N72" t="inlineStr">
        <is>
          <t>M</t>
        </is>
      </c>
      <c r="O72" t="inlineStr">
        <is>
          <t>20231122, 20231123</t>
        </is>
      </c>
      <c r="P72" t="inlineStr">
        <is>
          <t>Sulawesi Selatan</t>
        </is>
      </c>
      <c r="Q72" t="inlineStr"/>
    </row>
    <row r="73">
      <c r="A73" t="inlineStr">
        <is>
          <t>LEN REKAPRIMA SEMESTA</t>
        </is>
      </c>
      <c r="B73" t="inlineStr">
        <is>
          <t>Kota Bandung</t>
        </is>
      </c>
      <c r="C73" t="inlineStr">
        <is>
          <t>0225202682</t>
        </is>
      </c>
      <c r="D73" t="inlineStr">
        <is>
          <t>marketing@lenrekaprima.co.id</t>
        </is>
      </c>
      <c r="E73" t="inlineStr">
        <is>
          <t>https://lpjk.pu.go.id/search-badan-usaha-detail/TnBhclZFSzVLMWxtdGFEdnpZUUdrNWhrQ04xckJsUGg2aXBScW9ucGRTbz0</t>
        </is>
      </c>
      <c r="F73" t="n">
        <v>3</v>
      </c>
      <c r="G73" t="inlineStr">
        <is>
          <t>BS009, IN001, IN012</t>
        </is>
      </c>
      <c r="H73" t="inlineStr">
        <is>
          <t>6 Mei 2025</t>
        </is>
      </c>
      <c r="I73" s="2" t="n">
        <v>46348</v>
      </c>
      <c r="J73" t="inlineStr">
        <is>
          <t>Disetujui</t>
        </is>
      </c>
      <c r="K73" t="n">
        <v>87</v>
      </c>
      <c r="L73" t="inlineStr">
        <is>
          <t>22 November 2026</t>
        </is>
      </c>
      <c r="M73" t="inlineStr">
        <is>
          <t>Instalasi Mekanikal, Instalasi Sinyal dan Telekomunikasi Kereta Api, Konstruksi Sentral Telekomunikasi</t>
        </is>
      </c>
      <c r="N73" t="inlineStr">
        <is>
          <t>M, Spesialis</t>
        </is>
      </c>
      <c r="O73" t="inlineStr">
        <is>
          <t>20231121, 20231122, 20231123</t>
        </is>
      </c>
      <c r="P73" t="inlineStr">
        <is>
          <t>Jawa Barat</t>
        </is>
      </c>
      <c r="Q73" t="inlineStr"/>
    </row>
    <row r="74">
      <c r="A74" t="inlineStr">
        <is>
          <t>LIMA SERANGKAI MANDIRI</t>
        </is>
      </c>
      <c r="B74" t="inlineStr">
        <is>
          <t>Kota Jayapura</t>
        </is>
      </c>
      <c r="C74" t="inlineStr">
        <is>
          <t>082197810848</t>
        </is>
      </c>
      <c r="D74" t="inlineStr">
        <is>
          <t>serangkai510@gmail.com</t>
        </is>
      </c>
      <c r="E74" t="inlineStr">
        <is>
          <t>https://lpjk.pu.go.id/search-badan-usaha-detail/bkRHTGQ2ajdMejNBRllha2JnbWRBZz09</t>
        </is>
      </c>
      <c r="F74" t="n">
        <v>1</v>
      </c>
      <c r="G74" t="inlineStr">
        <is>
          <t>BS004</t>
        </is>
      </c>
      <c r="H74" t="inlineStr">
        <is>
          <t>23 Maret 2010</t>
        </is>
      </c>
      <c r="I74" s="2" t="n">
        <v>46348</v>
      </c>
      <c r="J74" t="inlineStr">
        <is>
          <t>Disetujui</t>
        </is>
      </c>
      <c r="K74" t="n">
        <v>87</v>
      </c>
      <c r="L74" t="inlineStr">
        <is>
          <t>22 November 2026</t>
        </is>
      </c>
      <c r="M74" t="inlineStr">
        <is>
          <t>Konstruksi Jaringan Irigasi dan Drainase</t>
        </is>
      </c>
      <c r="N74" t="inlineStr">
        <is>
          <t>K</t>
        </is>
      </c>
      <c r="O74" t="inlineStr">
        <is>
          <t>20231122</t>
        </is>
      </c>
      <c r="P74" t="inlineStr">
        <is>
          <t>Papua</t>
        </is>
      </c>
      <c r="Q74" t="inlineStr"/>
    </row>
    <row r="75">
      <c r="A75" t="inlineStr">
        <is>
          <t>MADYA UTAMA</t>
        </is>
      </c>
      <c r="B75" t="inlineStr">
        <is>
          <t>Kab. Badung</t>
        </is>
      </c>
      <c r="C75" t="inlineStr">
        <is>
          <t>082144081811</t>
        </is>
      </c>
      <c r="D75" t="inlineStr">
        <is>
          <t>cvmadyautamabadung@gmail.com</t>
        </is>
      </c>
      <c r="E75" t="inlineStr">
        <is>
          <t>https://lpjk.pu.go.id/search-badan-usaha-detail/Z0tqelRrYWpuNTJiaDlSTklLbStrdz09</t>
        </is>
      </c>
      <c r="F75" t="n">
        <v>1</v>
      </c>
      <c r="G75" t="inlineStr">
        <is>
          <t>BG009</t>
        </is>
      </c>
      <c r="H75" t="inlineStr">
        <is>
          <t>2 Oktober 1991</t>
        </is>
      </c>
      <c r="I75" s="2" t="n">
        <v>46348</v>
      </c>
      <c r="J75" t="inlineStr">
        <is>
          <t>Disetujui</t>
        </is>
      </c>
      <c r="K75" t="n">
        <v>87</v>
      </c>
      <c r="L75" t="inlineStr">
        <is>
          <t>22 November 2026</t>
        </is>
      </c>
      <c r="M75" t="inlineStr">
        <is>
          <t>Konstruksi Gedung Lainnya</t>
        </is>
      </c>
      <c r="N75" t="inlineStr">
        <is>
          <t>K</t>
        </is>
      </c>
      <c r="O75" t="inlineStr">
        <is>
          <t>20231121</t>
        </is>
      </c>
      <c r="P75" t="inlineStr">
        <is>
          <t>Bali</t>
        </is>
      </c>
      <c r="Q75" t="inlineStr"/>
    </row>
    <row r="76">
      <c r="A76" t="inlineStr">
        <is>
          <t>MALINDO</t>
        </is>
      </c>
      <c r="B76" t="inlineStr">
        <is>
          <t>Kab. Bondowoso</t>
        </is>
      </c>
      <c r="C76" t="inlineStr">
        <is>
          <t>085253871456</t>
        </is>
      </c>
      <c r="D76" t="inlineStr">
        <is>
          <t>cheve_malindo@yahoo.com</t>
        </is>
      </c>
      <c r="E76" t="inlineStr">
        <is>
          <t>https://lpjk.pu.go.id/search-badan-usaha-detail/cTJpQ0NYWDEydUkwTHJuVHlGYlovQT09</t>
        </is>
      </c>
      <c r="F76" t="n">
        <v>1</v>
      </c>
      <c r="G76" t="inlineStr">
        <is>
          <t>BS001</t>
        </is>
      </c>
      <c r="H76" t="inlineStr">
        <is>
          <t>5 Januari 2009</t>
        </is>
      </c>
      <c r="I76" s="2" t="n">
        <v>46348</v>
      </c>
      <c r="J76" t="inlineStr">
        <is>
          <t>Disetujui</t>
        </is>
      </c>
      <c r="K76" t="n">
        <v>87</v>
      </c>
      <c r="L76" t="inlineStr">
        <is>
          <t>22 November 2026</t>
        </is>
      </c>
      <c r="M76" t="inlineStr">
        <is>
          <t>Konstruksi Bangunan Sipil Jalan</t>
        </is>
      </c>
      <c r="N76" t="inlineStr">
        <is>
          <t>K</t>
        </is>
      </c>
      <c r="O76" t="inlineStr">
        <is>
          <t>20230807</t>
        </is>
      </c>
      <c r="P76" t="inlineStr">
        <is>
          <t>Jawa Timur</t>
        </is>
      </c>
      <c r="Q76" t="inlineStr"/>
    </row>
    <row r="77">
      <c r="A77" t="inlineStr">
        <is>
          <t>MAMI STORE LESTARY</t>
        </is>
      </c>
      <c r="B77" t="inlineStr">
        <is>
          <t>Kab. Banggai</t>
        </is>
      </c>
      <c r="C77" t="inlineStr">
        <is>
          <t>085242890593</t>
        </is>
      </c>
      <c r="D77" t="inlineStr">
        <is>
          <t>mamistorelestary@gmail.com</t>
        </is>
      </c>
      <c r="E77" t="inlineStr">
        <is>
          <t>https://lpjk.pu.go.id/search-badan-usaha-detail/bmwwSkwvNGpuUStNK3NWazlaWjZVUT09</t>
        </is>
      </c>
      <c r="F77" t="n">
        <v>2</v>
      </c>
      <c r="G77" t="inlineStr">
        <is>
          <t>BS002, BS004</t>
        </is>
      </c>
      <c r="H77" t="inlineStr">
        <is>
          <t>31 Juli 2023</t>
        </is>
      </c>
      <c r="I77" s="2" t="n">
        <v>46348</v>
      </c>
      <c r="J77" t="inlineStr">
        <is>
          <t>Disetujui</t>
        </is>
      </c>
      <c r="K77" t="n">
        <v>87</v>
      </c>
      <c r="L77" t="inlineStr">
        <is>
          <t>22 November 2026</t>
        </is>
      </c>
      <c r="M77" t="inlineStr">
        <is>
          <t>Bangunan Sipil Jembatan, Jalan Layang, Fly Over, dan Underpass, Konstruksi Jaringan Irigasi dan Drainase</t>
        </is>
      </c>
      <c r="N77" t="inlineStr">
        <is>
          <t>K</t>
        </is>
      </c>
      <c r="O77" t="inlineStr">
        <is>
          <t>20231122</t>
        </is>
      </c>
      <c r="P77" t="inlineStr">
        <is>
          <t>Sulawesi Tengah</t>
        </is>
      </c>
      <c r="Q77" t="inlineStr"/>
    </row>
    <row r="78">
      <c r="A78" t="inlineStr">
        <is>
          <t>MASSA CIPTA SARANA</t>
        </is>
      </c>
      <c r="B78" t="inlineStr">
        <is>
          <t>Kota Bandung</t>
        </is>
      </c>
      <c r="C78" t="inlineStr">
        <is>
          <t>081802279108</t>
        </is>
      </c>
      <c r="D78" t="inlineStr">
        <is>
          <t>cv_massaciptasarana@yahoo.co.id</t>
        </is>
      </c>
      <c r="E78" t="inlineStr">
        <is>
          <t>https://lpjk.pu.go.id/search-badan-usaha-detail/ampnTzVNMFJESjlDN0VscUVSbGJkdz09</t>
        </is>
      </c>
      <c r="F78" t="n">
        <v>3</v>
      </c>
      <c r="G78" t="inlineStr">
        <is>
          <t>BG002, BG005, BG006</t>
        </is>
      </c>
      <c r="H78" t="inlineStr">
        <is>
          <t>17 Desember 1984</t>
        </is>
      </c>
      <c r="I78" s="2" t="n">
        <v>46348</v>
      </c>
      <c r="J78" t="inlineStr">
        <is>
          <t>Disetujui</t>
        </is>
      </c>
      <c r="K78" t="n">
        <v>87</v>
      </c>
      <c r="L78" t="inlineStr">
        <is>
          <t>22 November 2026</t>
        </is>
      </c>
      <c r="M78" t="inlineStr">
        <is>
          <t>Konstruksi Gedung Kesehatan, Konstruksi Gedung Pendidikan, Konstruksi Gedung Perkantoran</t>
        </is>
      </c>
      <c r="N78" t="inlineStr">
        <is>
          <t>K</t>
        </is>
      </c>
      <c r="O78" t="inlineStr">
        <is>
          <t>20231120, 20231121</t>
        </is>
      </c>
      <c r="P78" t="inlineStr">
        <is>
          <t>Jawa Barat</t>
        </is>
      </c>
      <c r="Q78" t="inlineStr"/>
    </row>
    <row r="79">
      <c r="A79" t="inlineStr">
        <is>
          <t>MILENIUM 2001</t>
        </is>
      </c>
      <c r="B79" t="inlineStr">
        <is>
          <t>Kab. Tapanuli Utara</t>
        </is>
      </c>
      <c r="C79" t="inlineStr">
        <is>
          <t>081265077980</t>
        </is>
      </c>
      <c r="D79" t="inlineStr">
        <is>
          <t>sosionggalon.hutabarat@gmail.com</t>
        </is>
      </c>
      <c r="E79" t="inlineStr">
        <is>
          <t>https://lpjk.pu.go.id/search-badan-usaha-detail/T21icmN1TUtZZXc5NnFCcmQwMWRxdz09</t>
        </is>
      </c>
      <c r="F79" t="n">
        <v>3</v>
      </c>
      <c r="G79" t="inlineStr">
        <is>
          <t>BG002, BG004, BG009</t>
        </is>
      </c>
      <c r="H79" t="inlineStr">
        <is>
          <t>1 September 2020</t>
        </is>
      </c>
      <c r="I79" s="2" t="n">
        <v>46348</v>
      </c>
      <c r="J79" t="inlineStr">
        <is>
          <t>Disetujui</t>
        </is>
      </c>
      <c r="K79" t="n">
        <v>87</v>
      </c>
      <c r="L79" t="inlineStr">
        <is>
          <t>22 November 2026</t>
        </is>
      </c>
      <c r="M79" t="inlineStr">
        <is>
          <t>Konstruksi Gedung Lainnya, Konstruksi Gedung Perbelanjaan, Konstruksi Gedung Perkantoran</t>
        </is>
      </c>
      <c r="N79" t="inlineStr">
        <is>
          <t>K</t>
        </is>
      </c>
      <c r="O79" t="inlineStr">
        <is>
          <t>20231117, 20231120, 20231121</t>
        </is>
      </c>
      <c r="P79" t="inlineStr">
        <is>
          <t>Sumatera Utara</t>
        </is>
      </c>
      <c r="Q79" t="inlineStr"/>
    </row>
    <row r="80">
      <c r="A80" t="inlineStr">
        <is>
          <t>MITRA MANDIRI</t>
        </is>
      </c>
      <c r="B80" t="inlineStr">
        <is>
          <t>Kab. Pekalongan</t>
        </is>
      </c>
      <c r="C80" t="inlineStr">
        <is>
          <t>085226382679</t>
        </is>
      </c>
      <c r="D80" t="inlineStr">
        <is>
          <t>mitra_mandiri9ku@yahoo.co.id</t>
        </is>
      </c>
      <c r="E80" t="inlineStr">
        <is>
          <t>https://lpjk.pu.go.id/search-badan-usaha-detail/ZTYvWnY5VlYrRHJUNmpUVzNpZnFhQT09</t>
        </is>
      </c>
      <c r="F80" t="n">
        <v>1</v>
      </c>
      <c r="G80" t="inlineStr">
        <is>
          <t>BS004</t>
        </is>
      </c>
      <c r="H80" t="inlineStr">
        <is>
          <t>10 Mei 2007</t>
        </is>
      </c>
      <c r="I80" s="2" t="n">
        <v>46348</v>
      </c>
      <c r="J80" t="inlineStr">
        <is>
          <t>Disetujui</t>
        </is>
      </c>
      <c r="K80" t="n">
        <v>87</v>
      </c>
      <c r="L80" t="inlineStr">
        <is>
          <t>22 November 2026</t>
        </is>
      </c>
      <c r="M80" t="inlineStr">
        <is>
          <t>Konstruksi Jaringan Irigasi dan Drainase</t>
        </is>
      </c>
      <c r="N80" t="inlineStr">
        <is>
          <t>K</t>
        </is>
      </c>
      <c r="O80" t="inlineStr">
        <is>
          <t>20231119</t>
        </is>
      </c>
      <c r="P80" t="inlineStr">
        <is>
          <t>Jawa Tengah</t>
        </is>
      </c>
      <c r="Q80" t="inlineStr"/>
    </row>
    <row r="81">
      <c r="A81" t="inlineStr">
        <is>
          <t>MUARA YATRA</t>
        </is>
      </c>
      <c r="B81" t="inlineStr">
        <is>
          <t>Kab. Banyumas</t>
        </is>
      </c>
      <c r="C81" t="inlineStr">
        <is>
          <t>08999009625</t>
        </is>
      </c>
      <c r="D81" t="inlineStr">
        <is>
          <t>cvmuarayatra@gmail.com</t>
        </is>
      </c>
      <c r="E81" t="inlineStr">
        <is>
          <t>https://lpjk.pu.go.id/search-badan-usaha-detail/R1J6L0dWa2M5c0hsK1VXdksrdVVIQT09</t>
        </is>
      </c>
      <c r="F81" t="n">
        <v>2</v>
      </c>
      <c r="G81" t="inlineStr">
        <is>
          <t>BS001, BS004</t>
        </is>
      </c>
      <c r="H81" t="inlineStr">
        <is>
          <t>8 Agustus 2023</t>
        </is>
      </c>
      <c r="I81" s="2" t="n">
        <v>46348</v>
      </c>
      <c r="J81" t="inlineStr">
        <is>
          <t>Disetujui</t>
        </is>
      </c>
      <c r="K81" t="n">
        <v>87</v>
      </c>
      <c r="L81" t="inlineStr">
        <is>
          <t>22 November 2026</t>
        </is>
      </c>
      <c r="M81" t="inlineStr">
        <is>
          <t>Konstruksi Bangunan Sipil Jalan, Konstruksi Jaringan Irigasi dan Drainase</t>
        </is>
      </c>
      <c r="N81" t="inlineStr">
        <is>
          <t>K</t>
        </is>
      </c>
      <c r="O81" t="inlineStr">
        <is>
          <t>20231118</t>
        </is>
      </c>
      <c r="P81" t="inlineStr">
        <is>
          <t>Jawa Tengah</t>
        </is>
      </c>
      <c r="Q81" t="inlineStr"/>
    </row>
    <row r="82">
      <c r="A82" t="inlineStr">
        <is>
          <t>NILAP REKAYASA KONSTRUKSI</t>
        </is>
      </c>
      <c r="B82" t="inlineStr">
        <is>
          <t>Kab. Rokan Hilir</t>
        </is>
      </c>
      <c r="C82" t="inlineStr">
        <is>
          <t>082172902424</t>
        </is>
      </c>
      <c r="D82" t="inlineStr">
        <is>
          <t>cvnilaprekayasakonstruksi@yahoo.co.id</t>
        </is>
      </c>
      <c r="E82" t="inlineStr">
        <is>
          <t>https://lpjk.pu.go.id/search-badan-usaha-detail/RUErbExkWXdaZDN3aDdIRlI5cFpCQT09</t>
        </is>
      </c>
      <c r="F82" t="n">
        <v>4</v>
      </c>
      <c r="G82" t="inlineStr">
        <is>
          <t>BG001, BG009, BS001, BS004</t>
        </is>
      </c>
      <c r="H82" t="inlineStr">
        <is>
          <t>30 April 1999</t>
        </is>
      </c>
      <c r="I82" s="2" t="n">
        <v>46348</v>
      </c>
      <c r="J82" t="inlineStr">
        <is>
          <t>Pencabutan</t>
        </is>
      </c>
      <c r="K82" t="n">
        <v>87</v>
      </c>
      <c r="L82" t="inlineStr">
        <is>
          <t>22 November 2026</t>
        </is>
      </c>
      <c r="M82" t="inlineStr">
        <is>
          <t>Konstruksi Bangunan Sipil Jalan, Konstruksi Gedung Hunian, Konstruksi Gedung Lainnya, Konstruksi Jaringan Irigasi dan Drainase</t>
        </is>
      </c>
      <c r="N82" t="inlineStr">
        <is>
          <t>K</t>
        </is>
      </c>
      <c r="O82" t="inlineStr">
        <is>
          <t>20231123</t>
        </is>
      </c>
      <c r="P82" t="inlineStr">
        <is>
          <t>Riau</t>
        </is>
      </c>
      <c r="Q82" t="inlineStr"/>
    </row>
    <row r="83">
      <c r="A83" t="inlineStr">
        <is>
          <t>NOBELLINDO</t>
        </is>
      </c>
      <c r="B83" t="inlineStr">
        <is>
          <t>Kab. Banyumas</t>
        </is>
      </c>
      <c r="C83" t="inlineStr">
        <is>
          <t>02817656200</t>
        </is>
      </c>
      <c r="D83" t="inlineStr">
        <is>
          <t>cvnobellindopwt@gmail.com</t>
        </is>
      </c>
      <c r="E83" t="inlineStr">
        <is>
          <t>https://lpjk.pu.go.id/search-badan-usaha-detail/MTluK25Pd2twQjNEUE40bWZLMFgxQT09</t>
        </is>
      </c>
      <c r="F83" t="n">
        <v>1</v>
      </c>
      <c r="G83" t="inlineStr">
        <is>
          <t>BG004</t>
        </is>
      </c>
      <c r="H83" t="inlineStr">
        <is>
          <t>8 Juni 2000</t>
        </is>
      </c>
      <c r="I83" s="2" t="n">
        <v>46348</v>
      </c>
      <c r="J83" t="inlineStr">
        <is>
          <t>Disetujui</t>
        </is>
      </c>
      <c r="K83" t="n">
        <v>87</v>
      </c>
      <c r="L83" t="inlineStr">
        <is>
          <t>22 November 2026</t>
        </is>
      </c>
      <c r="M83" t="inlineStr">
        <is>
          <t>Konstruksi Gedung Perbelanjaan</t>
        </is>
      </c>
      <c r="N83" t="inlineStr">
        <is>
          <t>K</t>
        </is>
      </c>
      <c r="O83" t="inlineStr">
        <is>
          <t>20231110</t>
        </is>
      </c>
      <c r="P83" t="inlineStr">
        <is>
          <t>Jawa Tengah</t>
        </is>
      </c>
      <c r="Q83" t="inlineStr"/>
    </row>
    <row r="84">
      <c r="A84" t="inlineStr">
        <is>
          <t>NUSA BORNEO INFINITY</t>
        </is>
      </c>
      <c r="B84" t="inlineStr">
        <is>
          <t>Kab. Kutai Timur</t>
        </is>
      </c>
      <c r="C84" t="inlineStr">
        <is>
          <t>082157843744</t>
        </is>
      </c>
      <c r="D84" t="inlineStr">
        <is>
          <t>Nusaborneoinfinity@gmail.com</t>
        </is>
      </c>
      <c r="E84" t="inlineStr">
        <is>
          <t>https://lpjk.pu.go.id/search-badan-usaha-detail/cVdxbXZzWTJhZHl5amxHTHd4OWtGQT09</t>
        </is>
      </c>
      <c r="F84" t="n">
        <v>2</v>
      </c>
      <c r="G84" t="inlineStr">
        <is>
          <t>BS001, BS004</t>
        </is>
      </c>
      <c r="H84" t="inlineStr">
        <is>
          <t>19 Oktober 2022</t>
        </is>
      </c>
      <c r="I84" s="2" t="n">
        <v>46348</v>
      </c>
      <c r="J84" t="inlineStr">
        <is>
          <t>Disetujui</t>
        </is>
      </c>
      <c r="K84" t="n">
        <v>87</v>
      </c>
      <c r="L84" t="inlineStr">
        <is>
          <t>22 November 2026</t>
        </is>
      </c>
      <c r="M84" t="inlineStr">
        <is>
          <t>Konstruksi Bangunan Sipil Jalan, Konstruksi Jaringan Irigasi dan Drainase</t>
        </is>
      </c>
      <c r="N84" t="inlineStr">
        <is>
          <t>K</t>
        </is>
      </c>
      <c r="O84" t="inlineStr">
        <is>
          <t>20231123</t>
        </is>
      </c>
      <c r="P84" t="inlineStr">
        <is>
          <t>Kalimantan Timur</t>
        </is>
      </c>
      <c r="Q84" t="inlineStr"/>
    </row>
    <row r="85">
      <c r="A85" t="inlineStr">
        <is>
          <t>PAHALA AGUNG</t>
        </is>
      </c>
      <c r="B85" t="inlineStr">
        <is>
          <t>Kota Semarang</t>
        </is>
      </c>
      <c r="C85" t="inlineStr">
        <is>
          <t>024-7602072</t>
        </is>
      </c>
      <c r="D85" t="inlineStr">
        <is>
          <t>pahalaagung.smg@gmail.com</t>
        </is>
      </c>
      <c r="E85" t="inlineStr">
        <is>
          <t>https://lpjk.pu.go.id/search-badan-usaha-detail/VXBaOXpHem95S1JzalF5NytnU0k2UT09</t>
        </is>
      </c>
      <c r="F85" t="n">
        <v>2</v>
      </c>
      <c r="G85" t="inlineStr">
        <is>
          <t>BG002, BG009</t>
        </is>
      </c>
      <c r="H85" t="inlineStr">
        <is>
          <t>21 Agustus 1997</t>
        </is>
      </c>
      <c r="I85" s="2" t="n">
        <v>46348</v>
      </c>
      <c r="J85" t="inlineStr">
        <is>
          <t>Disetujui</t>
        </is>
      </c>
      <c r="K85" t="n">
        <v>87</v>
      </c>
      <c r="L85" t="inlineStr">
        <is>
          <t>22 November 2026</t>
        </is>
      </c>
      <c r="M85" t="inlineStr">
        <is>
          <t>Konstruksi Gedung Lainnya, Konstruksi Gedung Perkantoran</t>
        </is>
      </c>
      <c r="N85" t="inlineStr">
        <is>
          <t>K</t>
        </is>
      </c>
      <c r="O85" t="inlineStr">
        <is>
          <t>20231122, 20231123</t>
        </is>
      </c>
      <c r="P85" t="inlineStr">
        <is>
          <t>Jawa Tengah</t>
        </is>
      </c>
      <c r="Q85" t="inlineStr"/>
    </row>
    <row r="86">
      <c r="A86" t="inlineStr">
        <is>
          <t>PARADIGMA NUSANTARA</t>
        </is>
      </c>
      <c r="B86" t="inlineStr">
        <is>
          <t>Kota Pekanbaru</t>
        </is>
      </c>
      <c r="C86" t="inlineStr">
        <is>
          <t>0811764433</t>
        </is>
      </c>
      <c r="D86" t="inlineStr">
        <is>
          <t>cv.paradigma1993@gmail.com</t>
        </is>
      </c>
      <c r="E86" t="inlineStr">
        <is>
          <t>https://lpjk.pu.go.id/search-badan-usaha-detail/U0R1VFRyRnZRZjFYWDRlNnlWclArUT09</t>
        </is>
      </c>
      <c r="F86" t="n">
        <v>1</v>
      </c>
      <c r="G86" t="inlineStr">
        <is>
          <t>BS001</t>
        </is>
      </c>
      <c r="H86" t="inlineStr">
        <is>
          <t>22 Juni 2012</t>
        </is>
      </c>
      <c r="I86" s="2" t="n">
        <v>46348</v>
      </c>
      <c r="J86" t="inlineStr">
        <is>
          <t>Disetujui</t>
        </is>
      </c>
      <c r="K86" t="n">
        <v>87</v>
      </c>
      <c r="L86" t="inlineStr">
        <is>
          <t>22 November 2026</t>
        </is>
      </c>
      <c r="M86" t="inlineStr">
        <is>
          <t>Konstruksi Bangunan Sipil Jalan</t>
        </is>
      </c>
      <c r="N86" t="inlineStr">
        <is>
          <t>K</t>
        </is>
      </c>
      <c r="O86" t="inlineStr">
        <is>
          <t>20231122</t>
        </is>
      </c>
      <c r="P86" t="inlineStr">
        <is>
          <t>Riau</t>
        </is>
      </c>
      <c r="Q86" t="inlineStr"/>
    </row>
    <row r="87">
      <c r="A87" t="inlineStr">
        <is>
          <t>PASTI MAKMUR BERSAMA</t>
        </is>
      </c>
      <c r="B87" t="inlineStr">
        <is>
          <t>Kota Batam</t>
        </is>
      </c>
      <c r="C87" t="inlineStr">
        <is>
          <t>07788096115</t>
        </is>
      </c>
      <c r="D87" t="inlineStr">
        <is>
          <t>batam_pmb@yahoo.com</t>
        </is>
      </c>
      <c r="E87" t="inlineStr">
        <is>
          <t>https://lpjk.pu.go.id/search-badan-usaha-detail/K3M3dXpha1RiSlg3cnpFVFhPRUZGQT09</t>
        </is>
      </c>
      <c r="F87" t="n">
        <v>1</v>
      </c>
      <c r="G87" t="inlineStr">
        <is>
          <t>BG009</t>
        </is>
      </c>
      <c r="H87" t="inlineStr">
        <is>
          <t>11 Juni 2013</t>
        </is>
      </c>
      <c r="I87" s="2" t="n">
        <v>46348</v>
      </c>
      <c r="J87" t="inlineStr">
        <is>
          <t>Disetujui</t>
        </is>
      </c>
      <c r="K87" t="n">
        <v>87</v>
      </c>
      <c r="L87" t="inlineStr">
        <is>
          <t>22 November 2026</t>
        </is>
      </c>
      <c r="M87" t="inlineStr">
        <is>
          <t>Konstruksi Gedung Lainnya</t>
        </is>
      </c>
      <c r="N87" t="inlineStr">
        <is>
          <t>K</t>
        </is>
      </c>
      <c r="O87" t="inlineStr">
        <is>
          <t>20231113</t>
        </is>
      </c>
      <c r="P87" t="inlineStr">
        <is>
          <t>Kepulauan Riau</t>
        </is>
      </c>
      <c r="Q87" t="inlineStr"/>
    </row>
    <row r="88">
      <c r="A88" t="inlineStr">
        <is>
          <t>PILAR LINTANG PRATAMA</t>
        </is>
      </c>
      <c r="B88" t="inlineStr">
        <is>
          <t>Kab. Gresik</t>
        </is>
      </c>
      <c r="C88" t="inlineStr">
        <is>
          <t>082169034352</t>
        </is>
      </c>
      <c r="D88" t="inlineStr">
        <is>
          <t>pilar_plp@yahoo.com</t>
        </is>
      </c>
      <c r="E88" t="inlineStr">
        <is>
          <t>https://lpjk.pu.go.id/search-badan-usaha-detail/WS9mZWQ1Y3Qwek94aWcwQVlxOVoxdz09</t>
        </is>
      </c>
      <c r="F88" t="n">
        <v>1</v>
      </c>
      <c r="G88" t="inlineStr">
        <is>
          <t>BG009</t>
        </is>
      </c>
      <c r="H88" t="inlineStr">
        <is>
          <t>14 November 2011</t>
        </is>
      </c>
      <c r="I88" s="2" t="n">
        <v>46348</v>
      </c>
      <c r="J88" t="inlineStr">
        <is>
          <t>Disetujui</t>
        </is>
      </c>
      <c r="K88" t="n">
        <v>87</v>
      </c>
      <c r="L88" t="inlineStr">
        <is>
          <t>22 November 2026</t>
        </is>
      </c>
      <c r="M88" t="inlineStr">
        <is>
          <t>Konstruksi Gedung Lainnya</t>
        </is>
      </c>
      <c r="N88" t="inlineStr">
        <is>
          <t>M</t>
        </is>
      </c>
      <c r="O88" t="inlineStr">
        <is>
          <t>20231101</t>
        </is>
      </c>
      <c r="P88" t="inlineStr">
        <is>
          <t>Jawa Timur</t>
        </is>
      </c>
      <c r="Q88" t="inlineStr"/>
    </row>
    <row r="89">
      <c r="A89" t="inlineStr">
        <is>
          <t>POLAWES RAYA</t>
        </is>
      </c>
      <c r="B89" t="inlineStr">
        <is>
          <t>Kota Adm. Jakarta Selatan</t>
        </is>
      </c>
      <c r="C89" t="inlineStr">
        <is>
          <t>0218305481</t>
        </is>
      </c>
      <c r="D89" t="inlineStr">
        <is>
          <t>polawesraya@gmail.com</t>
        </is>
      </c>
      <c r="E89" t="inlineStr">
        <is>
          <t>https://lpjk.pu.go.id/search-badan-usaha-detail/WjN0TnVDZytvTURwdGtqayt3RUVYUT09</t>
        </is>
      </c>
      <c r="F89" t="n">
        <v>1</v>
      </c>
      <c r="G89" t="inlineStr">
        <is>
          <t>BG005</t>
        </is>
      </c>
      <c r="H89" t="inlineStr">
        <is>
          <t>24 September 1987</t>
        </is>
      </c>
      <c r="I89" s="2" t="n">
        <v>46348</v>
      </c>
      <c r="J89" t="inlineStr">
        <is>
          <t>Pencabutan</t>
        </is>
      </c>
      <c r="K89" t="n">
        <v>87</v>
      </c>
      <c r="L89" t="inlineStr">
        <is>
          <t>22 November 2026</t>
        </is>
      </c>
      <c r="M89" t="inlineStr">
        <is>
          <t>Konstruksi Gedung Kesehatan</t>
        </is>
      </c>
      <c r="N89" t="inlineStr">
        <is>
          <t>K</t>
        </is>
      </c>
      <c r="O89" t="inlineStr">
        <is>
          <t>20231122</t>
        </is>
      </c>
      <c r="P89" t="inlineStr">
        <is>
          <t>DKI Jakarta</t>
        </is>
      </c>
      <c r="Q89" t="inlineStr"/>
    </row>
    <row r="90">
      <c r="A90" t="inlineStr">
        <is>
          <t>PRAMES WARA</t>
        </is>
      </c>
      <c r="B90" t="inlineStr">
        <is>
          <t>Kab. Toba Samosir</t>
        </is>
      </c>
      <c r="C90" t="inlineStr">
        <is>
          <t>081260089016</t>
        </is>
      </c>
      <c r="D90" t="inlineStr">
        <is>
          <t>cvprameswara@gmail.com</t>
        </is>
      </c>
      <c r="E90" t="inlineStr">
        <is>
          <t>https://lpjk.pu.go.id/search-badan-usaha-detail/R2N4R2pHdmtidnZtcTBoZ1ozUWpmQT09</t>
        </is>
      </c>
      <c r="F90" t="n">
        <v>1</v>
      </c>
      <c r="G90" t="inlineStr">
        <is>
          <t>BS004</t>
        </is>
      </c>
      <c r="H90" t="inlineStr">
        <is>
          <t>23 Agustus 2023</t>
        </is>
      </c>
      <c r="I90" s="2" t="n">
        <v>46348</v>
      </c>
      <c r="J90" t="inlineStr">
        <is>
          <t>Disetujui</t>
        </is>
      </c>
      <c r="K90" t="n">
        <v>87</v>
      </c>
      <c r="L90" t="inlineStr">
        <is>
          <t>22 November 2026</t>
        </is>
      </c>
      <c r="M90" t="inlineStr">
        <is>
          <t>Konstruksi Jaringan Irigasi dan Drainase</t>
        </is>
      </c>
      <c r="N90" t="inlineStr">
        <is>
          <t>K</t>
        </is>
      </c>
      <c r="O90" t="inlineStr">
        <is>
          <t>20231120</t>
        </is>
      </c>
      <c r="P90" t="inlineStr">
        <is>
          <t>Sumatera Utara</t>
        </is>
      </c>
      <c r="Q90" t="inlineStr"/>
    </row>
    <row r="91">
      <c r="A91" t="inlineStr">
        <is>
          <t>PUTRA ABADI JAYA</t>
        </is>
      </c>
      <c r="B91" t="inlineStr">
        <is>
          <t>Kab. Cilacap</t>
        </is>
      </c>
      <c r="C91" t="inlineStr">
        <is>
          <t>081903870617</t>
        </is>
      </c>
      <c r="D91" t="inlineStr">
        <is>
          <t>cvputraabadijaya2020@gmail.com</t>
        </is>
      </c>
      <c r="E91" t="inlineStr">
        <is>
          <t>https://lpjk.pu.go.id/search-badan-usaha-detail/M3U5NG5TVmpTeU8rSlYvL0IzRTNYUT09</t>
        </is>
      </c>
      <c r="F91" t="n">
        <v>3</v>
      </c>
      <c r="G91" t="inlineStr">
        <is>
          <t>BG005, BG006, BS004</t>
        </is>
      </c>
      <c r="H91" t="inlineStr">
        <is>
          <t>19 Februari 2020</t>
        </is>
      </c>
      <c r="I91" s="2" t="n">
        <v>46348</v>
      </c>
      <c r="J91" t="inlineStr">
        <is>
          <t>Disetujui</t>
        </is>
      </c>
      <c r="K91" t="n">
        <v>87</v>
      </c>
      <c r="L91" t="inlineStr">
        <is>
          <t>22 November 2026</t>
        </is>
      </c>
      <c r="M91" t="inlineStr">
        <is>
          <t>Konstruksi Gedung Kesehatan, Konstruksi Gedung Pendidikan, Konstruksi Jaringan Irigasi dan Drainase</t>
        </is>
      </c>
      <c r="N91" t="inlineStr">
        <is>
          <t>K</t>
        </is>
      </c>
      <c r="O91" t="inlineStr">
        <is>
          <t>20231005</t>
        </is>
      </c>
      <c r="P91" t="inlineStr">
        <is>
          <t>Jawa Tengah</t>
        </is>
      </c>
      <c r="Q91" t="inlineStr"/>
    </row>
    <row r="92">
      <c r="A92" t="inlineStr">
        <is>
          <t>PUTRA ELSA MANDIRI</t>
        </is>
      </c>
      <c r="B92" t="inlineStr">
        <is>
          <t>Kota Bukittinggi</t>
        </is>
      </c>
      <c r="C92" t="inlineStr">
        <is>
          <t>08126726779</t>
        </is>
      </c>
      <c r="D92" t="inlineStr">
        <is>
          <t>putra.em@gmail.com</t>
        </is>
      </c>
      <c r="E92" t="inlineStr">
        <is>
          <t>https://lpjk.pu.go.id/search-badan-usaha-detail/VXFWdTEyRkg1N3FXRXhicDNqODFDZz09</t>
        </is>
      </c>
      <c r="F92" t="n">
        <v>3</v>
      </c>
      <c r="G92" t="inlineStr">
        <is>
          <t>BG002, BG006, BG009</t>
        </is>
      </c>
      <c r="H92" t="inlineStr">
        <is>
          <t>11 September 2002</t>
        </is>
      </c>
      <c r="I92" s="2" t="n">
        <v>46348</v>
      </c>
      <c r="J92" t="inlineStr">
        <is>
          <t>Disetujui</t>
        </is>
      </c>
      <c r="K92" t="n">
        <v>87</v>
      </c>
      <c r="L92" t="inlineStr">
        <is>
          <t>22 November 2026</t>
        </is>
      </c>
      <c r="M92" t="inlineStr">
        <is>
          <t>Konstruksi Gedung Lainnya, Konstruksi Gedung Pendidikan, Konstruksi Gedung Perkantoran</t>
        </is>
      </c>
      <c r="N92" t="inlineStr">
        <is>
          <t>K</t>
        </is>
      </c>
      <c r="O92" t="inlineStr">
        <is>
          <t>20231120</t>
        </is>
      </c>
      <c r="P92" t="inlineStr">
        <is>
          <t>Sumatera Barat</t>
        </is>
      </c>
      <c r="Q92" t="inlineStr"/>
    </row>
    <row r="93">
      <c r="A93" t="inlineStr">
        <is>
          <t>PUTRA JAYA TEKNIK</t>
        </is>
      </c>
      <c r="B93" t="inlineStr">
        <is>
          <t>Kota Padang</t>
        </is>
      </c>
      <c r="C93" t="inlineStr">
        <is>
          <t>081166440</t>
        </is>
      </c>
      <c r="D93" t="inlineStr">
        <is>
          <t>admin@pjt.co.id</t>
        </is>
      </c>
      <c r="E93" t="inlineStr">
        <is>
          <t>https://lpjk.pu.go.id/search-badan-usaha-detail/RUI2RlF5MGlTVmUyajJFejQ5dmdyZz09</t>
        </is>
      </c>
      <c r="F93" t="n">
        <v>1</v>
      </c>
      <c r="G93" t="inlineStr">
        <is>
          <t>BG004</t>
        </is>
      </c>
      <c r="H93" t="inlineStr">
        <is>
          <t>12 November 2008</t>
        </is>
      </c>
      <c r="I93" s="2" t="n">
        <v>46348</v>
      </c>
      <c r="J93" t="inlineStr">
        <is>
          <t>Pencabutan</t>
        </is>
      </c>
      <c r="K93" t="n">
        <v>87</v>
      </c>
      <c r="L93" t="inlineStr">
        <is>
          <t>22 November 2026</t>
        </is>
      </c>
      <c r="M93" t="inlineStr">
        <is>
          <t>Konstruksi Gedung Perbelanjaan</t>
        </is>
      </c>
      <c r="N93" t="inlineStr">
        <is>
          <t>K</t>
        </is>
      </c>
      <c r="O93" t="inlineStr">
        <is>
          <t>20231116</t>
        </is>
      </c>
      <c r="P93" t="inlineStr">
        <is>
          <t>Sumatera Barat</t>
        </is>
      </c>
      <c r="Q93" t="inlineStr"/>
    </row>
    <row r="94">
      <c r="A94" t="inlineStr">
        <is>
          <t>PUTRA MITRA PERDANA</t>
        </is>
      </c>
      <c r="B94" t="inlineStr">
        <is>
          <t>Kab. Ogan Komering Ulu</t>
        </is>
      </c>
      <c r="C94" t="inlineStr">
        <is>
          <t>081524390681</t>
        </is>
      </c>
      <c r="D94" t="inlineStr">
        <is>
          <t>cvputramitraperdana@gmail.com</t>
        </is>
      </c>
      <c r="E94" t="inlineStr">
        <is>
          <t>https://lpjk.pu.go.id/search-badan-usaha-detail/VnFpV2JqczhUUTdOY241RUhzS1RCdz09</t>
        </is>
      </c>
      <c r="F94" t="n">
        <v>2</v>
      </c>
      <c r="G94" t="inlineStr">
        <is>
          <t>BS001, BS004</t>
        </is>
      </c>
      <c r="H94" t="inlineStr">
        <is>
          <t>30 November 2021</t>
        </is>
      </c>
      <c r="I94" s="2" t="n">
        <v>46348</v>
      </c>
      <c r="J94" t="inlineStr">
        <is>
          <t>Disetujui</t>
        </is>
      </c>
      <c r="K94" t="n">
        <v>87</v>
      </c>
      <c r="L94" t="inlineStr">
        <is>
          <t>22 November 2026</t>
        </is>
      </c>
      <c r="M94" t="inlineStr">
        <is>
          <t>Konstruksi Bangunan Sipil Jalan, Konstruksi Jaringan Irigasi dan Drainase</t>
        </is>
      </c>
      <c r="N94" t="inlineStr">
        <is>
          <t>K</t>
        </is>
      </c>
      <c r="O94" t="inlineStr">
        <is>
          <t>20231122, 20231123</t>
        </is>
      </c>
      <c r="P94" t="inlineStr">
        <is>
          <t>Sumatera Selatan</t>
        </is>
      </c>
      <c r="Q94" t="inlineStr"/>
    </row>
    <row r="95">
      <c r="A95" t="inlineStr">
        <is>
          <t>PUTRA OI</t>
        </is>
      </c>
      <c r="B95" t="inlineStr">
        <is>
          <t>Kab. Banyuwangi</t>
        </is>
      </c>
      <c r="C95" t="inlineStr">
        <is>
          <t>081233106985</t>
        </is>
      </c>
      <c r="D95" t="inlineStr">
        <is>
          <t>putraoi.cv@gmail.com</t>
        </is>
      </c>
      <c r="E95" t="inlineStr">
        <is>
          <t>https://lpjk.pu.go.id/search-badan-usaha-detail/L3JPTldici9vSVZWZXFOQWUwQW81dz09</t>
        </is>
      </c>
      <c r="F95" t="n">
        <v>2</v>
      </c>
      <c r="G95" t="inlineStr">
        <is>
          <t>BG006, BG009</t>
        </is>
      </c>
      <c r="H95" t="inlineStr">
        <is>
          <t>31 Maret 2016</t>
        </is>
      </c>
      <c r="I95" s="2" t="n">
        <v>46348</v>
      </c>
      <c r="J95" t="inlineStr">
        <is>
          <t>Disetujui</t>
        </is>
      </c>
      <c r="K95" t="n">
        <v>87</v>
      </c>
      <c r="L95" t="inlineStr">
        <is>
          <t>22 November 2026</t>
        </is>
      </c>
      <c r="M95" t="inlineStr">
        <is>
          <t>Konstruksi Gedung Lainnya, Konstruksi Gedung Pendidikan</t>
        </is>
      </c>
      <c r="N95" t="inlineStr">
        <is>
          <t>K</t>
        </is>
      </c>
      <c r="O95" t="inlineStr">
        <is>
          <t>20231120, 20231127</t>
        </is>
      </c>
      <c r="P95" t="inlineStr">
        <is>
          <t>Jawa Timur</t>
        </is>
      </c>
      <c r="Q95" t="inlineStr"/>
    </row>
    <row r="96">
      <c r="A96" t="inlineStr">
        <is>
          <t>PUTRA RAMBAH</t>
        </is>
      </c>
      <c r="B96" t="inlineStr">
        <is>
          <t>Kab. Pacitan</t>
        </is>
      </c>
      <c r="C96" t="inlineStr">
        <is>
          <t>085233960052</t>
        </is>
      </c>
      <c r="D96" t="inlineStr">
        <is>
          <t>cv.putrarambah@yahoo.com</t>
        </is>
      </c>
      <c r="E96" t="inlineStr">
        <is>
          <t>https://lpjk.pu.go.id/search-badan-usaha-detail/cFNEQUYwT2NiS04wQ2hpNVJweTlaZz09</t>
        </is>
      </c>
      <c r="F96" t="n">
        <v>4</v>
      </c>
      <c r="G96" t="inlineStr">
        <is>
          <t>BG002, BG006, BS001, BS010</t>
        </is>
      </c>
      <c r="H96" t="inlineStr">
        <is>
          <t>25 November 2014</t>
        </is>
      </c>
      <c r="I96" s="2" t="n">
        <v>46348</v>
      </c>
      <c r="J96" t="inlineStr">
        <is>
          <t>Disetujui, Pencabutan</t>
        </is>
      </c>
      <c r="K96" t="n">
        <v>87</v>
      </c>
      <c r="L96" t="inlineStr">
        <is>
          <t>22 November 2026</t>
        </is>
      </c>
      <c r="M96" t="inlineStr">
        <is>
          <t>Konstruksi Bangunan Prasarana Sumber Daya Air, Konstruksi Bangunan Sipil Jalan, Konstruksi Gedung Pendidikan, Konstruksi Gedung Perkantoran</t>
        </is>
      </c>
      <c r="N96" t="inlineStr">
        <is>
          <t>K</t>
        </is>
      </c>
      <c r="O96" t="inlineStr">
        <is>
          <t>20231123</t>
        </is>
      </c>
      <c r="P96" t="inlineStr">
        <is>
          <t>Jawa Timur</t>
        </is>
      </c>
      <c r="Q96" t="inlineStr"/>
    </row>
    <row r="97">
      <c r="A97" t="inlineStr">
        <is>
          <t>PUTRA SANTOSO</t>
        </is>
      </c>
      <c r="B97" t="inlineStr">
        <is>
          <t>Kota Surabaya</t>
        </is>
      </c>
      <c r="C97" t="inlineStr">
        <is>
          <t>0315942033</t>
        </is>
      </c>
      <c r="D97" t="inlineStr">
        <is>
          <t>new.putrasantoso@gmail.com</t>
        </is>
      </c>
      <c r="E97" t="inlineStr">
        <is>
          <t>https://lpjk.pu.go.id/search-badan-usaha-detail/Tm5hSkJicXo0ODZ0SllKbUNWS3hiQT09</t>
        </is>
      </c>
      <c r="F97" t="n">
        <v>4</v>
      </c>
      <c r="G97" t="inlineStr">
        <is>
          <t>BG001, BG002, BG005, BG009</t>
        </is>
      </c>
      <c r="H97" t="inlineStr">
        <is>
          <t>18 Desember 2008</t>
        </is>
      </c>
      <c r="I97" s="2" t="n">
        <v>46348</v>
      </c>
      <c r="J97" t="inlineStr">
        <is>
          <t>Disetujui</t>
        </is>
      </c>
      <c r="K97" t="n">
        <v>87</v>
      </c>
      <c r="L97" t="inlineStr">
        <is>
          <t>22 November 2026</t>
        </is>
      </c>
      <c r="M97" t="inlineStr">
        <is>
          <t>Konstruksi Gedung Hunian, Konstruksi Gedung Kesehatan, Konstruksi Gedung Lainnya, Konstruksi Gedung Perkantoran</t>
        </is>
      </c>
      <c r="N97" t="inlineStr">
        <is>
          <t>K</t>
        </is>
      </c>
      <c r="O97" t="inlineStr">
        <is>
          <t>20231122, 20231124, 20231127, 20231128</t>
        </is>
      </c>
      <c r="P97" t="inlineStr">
        <is>
          <t>Jawa Timur</t>
        </is>
      </c>
      <c r="Q97" t="inlineStr"/>
    </row>
    <row r="98">
      <c r="A98" t="inlineStr">
        <is>
          <t>PUTRA TUNGGAL MANDIRI</t>
        </is>
      </c>
      <c r="B98" t="inlineStr">
        <is>
          <t>Kab. Morowali</t>
        </is>
      </c>
      <c r="C98" t="inlineStr">
        <is>
          <t>082259601580</t>
        </is>
      </c>
      <c r="D98" t="inlineStr">
        <is>
          <t>hasimptm@yahoo.co.id</t>
        </is>
      </c>
      <c r="E98" t="inlineStr">
        <is>
          <t>https://lpjk.pu.go.id/search-badan-usaha-detail/VTVwbHlUaSsxb1prYVBKV2t0QkREUT09</t>
        </is>
      </c>
      <c r="F98" t="n">
        <v>2</v>
      </c>
      <c r="G98" t="inlineStr">
        <is>
          <t>BS005, BS010</t>
        </is>
      </c>
      <c r="H98" t="inlineStr">
        <is>
          <t>3 Oktober 2000</t>
        </is>
      </c>
      <c r="I98" s="2" t="n">
        <v>46348</v>
      </c>
      <c r="J98" t="inlineStr">
        <is>
          <t>Disetujui</t>
        </is>
      </c>
      <c r="K98" t="n">
        <v>87</v>
      </c>
      <c r="L98" t="inlineStr">
        <is>
          <t>22 November 2026</t>
        </is>
      </c>
      <c r="M98" t="inlineStr">
        <is>
          <t>Konstruksi Bangunan Prasarana Sumber Daya Air, Konstruksi Bangunan Sipil Pengolahan Air Bersih</t>
        </is>
      </c>
      <c r="N98" t="inlineStr">
        <is>
          <t>K</t>
        </is>
      </c>
      <c r="O98" t="inlineStr">
        <is>
          <t>20231122</t>
        </is>
      </c>
      <c r="P98" t="inlineStr">
        <is>
          <t>Sulawesi Tengah</t>
        </is>
      </c>
      <c r="Q98" t="inlineStr"/>
    </row>
    <row r="99">
      <c r="A99" t="inlineStr">
        <is>
          <t>RAFLESIA JAYA</t>
        </is>
      </c>
      <c r="B99" t="inlineStr">
        <is>
          <t>Kota Mataram</t>
        </is>
      </c>
      <c r="C99" t="inlineStr">
        <is>
          <t>085937019563</t>
        </is>
      </c>
      <c r="D99" t="inlineStr">
        <is>
          <t>jayaraflesia@gmail.com</t>
        </is>
      </c>
      <c r="E99" t="inlineStr">
        <is>
          <t>https://lpjk.pu.go.id/search-badan-usaha-detail/SERGY3RYR0RHanJzZHZPUmtGZHNhQT09</t>
        </is>
      </c>
      <c r="F99" t="n">
        <v>1</v>
      </c>
      <c r="G99" t="inlineStr">
        <is>
          <t>BG003</t>
        </is>
      </c>
      <c r="H99" t="inlineStr">
        <is>
          <t>12 Agustus 2020</t>
        </is>
      </c>
      <c r="I99" s="2" t="n">
        <v>46348</v>
      </c>
      <c r="J99" t="inlineStr">
        <is>
          <t>Disetujui</t>
        </is>
      </c>
      <c r="K99" t="n">
        <v>87</v>
      </c>
      <c r="L99" t="inlineStr">
        <is>
          <t>22 November 2026</t>
        </is>
      </c>
      <c r="M99" t="inlineStr">
        <is>
          <t>Konstruksi Gedung Industri</t>
        </is>
      </c>
      <c r="N99" t="inlineStr">
        <is>
          <t>K</t>
        </is>
      </c>
      <c r="O99" t="inlineStr">
        <is>
          <t>20231120</t>
        </is>
      </c>
      <c r="P99" t="inlineStr">
        <is>
          <t>Nusa Tenggara Barat</t>
        </is>
      </c>
      <c r="Q99" t="inlineStr"/>
    </row>
    <row r="100">
      <c r="A100" t="inlineStr">
        <is>
          <t>RASTY</t>
        </is>
      </c>
      <c r="B100" t="inlineStr">
        <is>
          <t>Kab. Sumedang</t>
        </is>
      </c>
      <c r="C100" t="inlineStr">
        <is>
          <t>082319106222</t>
        </is>
      </c>
      <c r="D100" t="inlineStr">
        <is>
          <t>cv.rasty@gmail.cpm</t>
        </is>
      </c>
      <c r="E100" t="inlineStr">
        <is>
          <t>https://lpjk.pu.go.id/search-badan-usaha-detail/TS9hU2swcDhvcnc5OFIyMzUxVUNTZz09</t>
        </is>
      </c>
      <c r="F100" t="n">
        <v>4</v>
      </c>
      <c r="G100" t="inlineStr">
        <is>
          <t>BG006, BG009, BS001, BS004</t>
        </is>
      </c>
      <c r="H100" t="inlineStr">
        <is>
          <t>9 Januari 2012</t>
        </is>
      </c>
      <c r="I100" s="2" t="n">
        <v>46348</v>
      </c>
      <c r="J100" t="inlineStr">
        <is>
          <t>Disetujui</t>
        </is>
      </c>
      <c r="K100" t="n">
        <v>87</v>
      </c>
      <c r="L100" t="inlineStr">
        <is>
          <t>22 November 2026</t>
        </is>
      </c>
      <c r="M100" t="inlineStr">
        <is>
          <t>Konstruksi Bangunan Sipil Jalan, Konstruksi Gedung Lainnya, Konstruksi Gedung Pendidikan, Konstruksi Jaringan Irigasi dan Drainase</t>
        </is>
      </c>
      <c r="N100" t="inlineStr">
        <is>
          <t>K</t>
        </is>
      </c>
      <c r="O100" t="inlineStr">
        <is>
          <t>20231120</t>
        </is>
      </c>
      <c r="P100" t="inlineStr">
        <is>
          <t>Jawa Barat</t>
        </is>
      </c>
      <c r="Q100" t="inlineStr"/>
    </row>
    <row r="101">
      <c r="A101" t="inlineStr">
        <is>
          <t>RAVINDO ANUGRAHA KOKAR</t>
        </is>
      </c>
      <c r="B101" t="inlineStr">
        <is>
          <t>Kab. Kampar</t>
        </is>
      </c>
      <c r="C101" t="inlineStr">
        <is>
          <t>082170319702</t>
        </is>
      </c>
      <c r="D101" t="inlineStr">
        <is>
          <t>ravindoanugrahakokar@gmail.com</t>
        </is>
      </c>
      <c r="E101" t="inlineStr">
        <is>
          <t>https://lpjk.pu.go.id/search-badan-usaha-detail/c3VSZVNiWHE0d0tPYkY3YTdRYWJYZz09</t>
        </is>
      </c>
      <c r="F101" t="n">
        <v>3</v>
      </c>
      <c r="G101" t="inlineStr">
        <is>
          <t>BG001, BG002, BG006</t>
        </is>
      </c>
      <c r="H101" t="inlineStr">
        <is>
          <t>3 Juli 2023</t>
        </is>
      </c>
      <c r="I101" s="2" t="n">
        <v>46348</v>
      </c>
      <c r="J101" t="inlineStr">
        <is>
          <t>Disetujui</t>
        </is>
      </c>
      <c r="K101" t="n">
        <v>87</v>
      </c>
      <c r="L101" t="inlineStr">
        <is>
          <t>22 November 2026</t>
        </is>
      </c>
      <c r="M101" t="inlineStr">
        <is>
          <t>Konstruksi Gedung Hunian, Konstruksi Gedung Pendidikan, Konstruksi Gedung Perkantoran</t>
        </is>
      </c>
      <c r="N101" t="inlineStr">
        <is>
          <t>K</t>
        </is>
      </c>
      <c r="O101" t="inlineStr">
        <is>
          <t>20231114</t>
        </is>
      </c>
      <c r="P101" t="inlineStr">
        <is>
          <t>Riau</t>
        </is>
      </c>
      <c r="Q101" t="inlineStr"/>
    </row>
    <row r="102">
      <c r="A102" t="inlineStr">
        <is>
          <t>SAHRIL PRATAMA PUTRA</t>
        </is>
      </c>
      <c r="B102" t="inlineStr">
        <is>
          <t>Kab. Garut</t>
        </is>
      </c>
      <c r="C102" t="inlineStr">
        <is>
          <t>081322762118</t>
        </is>
      </c>
      <c r="D102" t="inlineStr">
        <is>
          <t>sahril.pratama.putra12@gmail.com</t>
        </is>
      </c>
      <c r="E102" t="inlineStr">
        <is>
          <t>https://lpjk.pu.go.id/search-badan-usaha-detail/Zy92RktycTVLa2FCZlc3eFRheURvUT09</t>
        </is>
      </c>
      <c r="F102" t="n">
        <v>5</v>
      </c>
      <c r="G102" t="inlineStr">
        <is>
          <t>BG001, BG002, BG005, BG006, BG009</t>
        </is>
      </c>
      <c r="H102" t="inlineStr">
        <is>
          <t>1 November 2023</t>
        </is>
      </c>
      <c r="I102" s="2" t="n">
        <v>46348</v>
      </c>
      <c r="J102" t="inlineStr">
        <is>
          <t>Disetujui</t>
        </is>
      </c>
      <c r="K102" t="n">
        <v>87</v>
      </c>
      <c r="L102" t="inlineStr">
        <is>
          <t>22 November 2026</t>
        </is>
      </c>
      <c r="M102" t="inlineStr">
        <is>
          <t>Konstruksi Gedung Hunian, Konstruksi Gedung Kesehatan, Konstruksi Gedung Lainnya, Konstruksi Gedung Pendidikan, Konstruksi Gedung Perkantoran</t>
        </is>
      </c>
      <c r="N102" t="inlineStr">
        <is>
          <t>K</t>
        </is>
      </c>
      <c r="O102" t="inlineStr">
        <is>
          <t>20231113, 20231123</t>
        </is>
      </c>
      <c r="P102" t="inlineStr">
        <is>
          <t>Jawa Barat</t>
        </is>
      </c>
      <c r="Q102" t="inlineStr"/>
    </row>
    <row r="103">
      <c r="A103" t="inlineStr">
        <is>
          <t>SAMI JAGA PURNA</t>
        </is>
      </c>
      <c r="B103" t="inlineStr">
        <is>
          <t>Kota Denpasar</t>
        </is>
      </c>
      <c r="C103" t="inlineStr">
        <is>
          <t>08155776855</t>
        </is>
      </c>
      <c r="D103" t="inlineStr">
        <is>
          <t>samijagapurna.pt@gmail.com</t>
        </is>
      </c>
      <c r="E103" t="inlineStr">
        <is>
          <t>https://lpjk.pu.go.id/search-badan-usaha-detail/NVlGTVVadHk0NFdyRUlNK0orWkxqQT09</t>
        </is>
      </c>
      <c r="F103" t="n">
        <v>1</v>
      </c>
      <c r="G103" t="inlineStr">
        <is>
          <t>BG009</t>
        </is>
      </c>
      <c r="H103" t="inlineStr">
        <is>
          <t>20 Juni 2016</t>
        </is>
      </c>
      <c r="I103" s="2" t="n">
        <v>46348</v>
      </c>
      <c r="J103" t="inlineStr">
        <is>
          <t>Disetujui</t>
        </is>
      </c>
      <c r="K103" t="n">
        <v>87</v>
      </c>
      <c r="L103" t="inlineStr">
        <is>
          <t>22 November 2026</t>
        </is>
      </c>
      <c r="M103" t="inlineStr">
        <is>
          <t>Konstruksi Gedung Lainnya</t>
        </is>
      </c>
      <c r="N103" t="inlineStr">
        <is>
          <t>K</t>
        </is>
      </c>
      <c r="O103" t="inlineStr">
        <is>
          <t>20231122</t>
        </is>
      </c>
      <c r="P103" t="inlineStr">
        <is>
          <t>Bali</t>
        </is>
      </c>
      <c r="Q103" t="inlineStr"/>
    </row>
    <row r="104">
      <c r="A104" t="inlineStr">
        <is>
          <t>SAMODRA MEGA TEHNIKA</t>
        </is>
      </c>
      <c r="B104" t="inlineStr">
        <is>
          <t>Kab. Boyolali</t>
        </is>
      </c>
      <c r="C104" t="inlineStr">
        <is>
          <t>0819673788</t>
        </is>
      </c>
      <c r="D104" t="inlineStr">
        <is>
          <t>samodramegatehnikapt@gmail.com</t>
        </is>
      </c>
      <c r="E104" t="inlineStr">
        <is>
          <t>https://lpjk.pu.go.id/search-badan-usaha-detail/NWlMbm84d2VuNEo1MlNlOStza2xtUT09</t>
        </is>
      </c>
      <c r="F104" t="n">
        <v>2</v>
      </c>
      <c r="G104" t="inlineStr">
        <is>
          <t>BS005, BS010</t>
        </is>
      </c>
      <c r="H104" t="inlineStr">
        <is>
          <t>22 Oktober 2003</t>
        </is>
      </c>
      <c r="I104" s="2" t="n">
        <v>46348</v>
      </c>
      <c r="J104" t="inlineStr">
        <is>
          <t>Disetujui, Pencabutan</t>
        </is>
      </c>
      <c r="K104" t="n">
        <v>87</v>
      </c>
      <c r="L104" t="inlineStr">
        <is>
          <t>22 November 2026</t>
        </is>
      </c>
      <c r="M104" t="inlineStr">
        <is>
          <t>Konstruksi Bangunan Prasarana Sumber Daya Air, Konstruksi Bangunan Sipil Pengolahan Air Bersih</t>
        </is>
      </c>
      <c r="N104" t="inlineStr">
        <is>
          <t>M</t>
        </is>
      </c>
      <c r="O104" t="inlineStr">
        <is>
          <t>20231004, 20231013</t>
        </is>
      </c>
      <c r="P104" t="inlineStr">
        <is>
          <t>Jawa Tengah</t>
        </is>
      </c>
      <c r="Q104" t="inlineStr"/>
    </row>
    <row r="105">
      <c r="A105" t="inlineStr">
        <is>
          <t>SEKAWAN UTAMA</t>
        </is>
      </c>
      <c r="B105" t="inlineStr">
        <is>
          <t>Kab. Tabanan</t>
        </is>
      </c>
      <c r="C105" t="inlineStr">
        <is>
          <t>0361811974</t>
        </is>
      </c>
      <c r="D105" t="inlineStr">
        <is>
          <t>wayanmudiasa198@gmail.com</t>
        </is>
      </c>
      <c r="E105" t="inlineStr">
        <is>
          <t>https://lpjk.pu.go.id/search-badan-usaha-detail/RlpYNUhkSVlMRkRPU2pJbzEvb1JBdz09</t>
        </is>
      </c>
      <c r="F105" t="n">
        <v>2</v>
      </c>
      <c r="G105" t="inlineStr">
        <is>
          <t>BG009</t>
        </is>
      </c>
      <c r="H105" t="inlineStr">
        <is>
          <t>18 Februari 2004</t>
        </is>
      </c>
      <c r="I105" s="2" t="n">
        <v>46348</v>
      </c>
      <c r="J105" t="inlineStr">
        <is>
          <t>Disetujui</t>
        </is>
      </c>
      <c r="K105" t="n">
        <v>87</v>
      </c>
      <c r="L105" t="inlineStr">
        <is>
          <t>22 November 2026</t>
        </is>
      </c>
      <c r="M105" t="inlineStr">
        <is>
          <t>Konstruksi Gedung Lainnya</t>
        </is>
      </c>
      <c r="N105" t="inlineStr">
        <is>
          <t>K</t>
        </is>
      </c>
      <c r="O105" t="inlineStr">
        <is>
          <t>20231120</t>
        </is>
      </c>
      <c r="P105" t="inlineStr">
        <is>
          <t>Bali</t>
        </is>
      </c>
      <c r="Q105" t="inlineStr"/>
    </row>
    <row r="106">
      <c r="A106" t="inlineStr">
        <is>
          <t>SINAR AGUNG MANDIRI</t>
        </is>
      </c>
      <c r="B106" t="inlineStr">
        <is>
          <t>Kota Adm. Jakarta Selatan</t>
        </is>
      </c>
      <c r="C106" t="inlineStr">
        <is>
          <t>08129993402</t>
        </is>
      </c>
      <c r="D106" t="inlineStr">
        <is>
          <t>sinaragung.mandiri17@gmail.com</t>
        </is>
      </c>
      <c r="E106" t="inlineStr">
        <is>
          <t>https://lpjk.pu.go.id/search-badan-usaha-detail/NXE5c2dRNkFHUjdFRXZ1VTB4NVB2QT09</t>
        </is>
      </c>
      <c r="F106" t="n">
        <v>1</v>
      </c>
      <c r="G106" t="inlineStr">
        <is>
          <t>BG004</t>
        </is>
      </c>
      <c r="H106" t="inlineStr">
        <is>
          <t>7 Januari 2002</t>
        </is>
      </c>
      <c r="I106" s="2" t="n">
        <v>46348</v>
      </c>
      <c r="J106" t="inlineStr">
        <is>
          <t>Disetujui</t>
        </is>
      </c>
      <c r="K106" t="n">
        <v>87</v>
      </c>
      <c r="L106" t="inlineStr">
        <is>
          <t>22 November 2026</t>
        </is>
      </c>
      <c r="M106" t="inlineStr">
        <is>
          <t>Konstruksi Gedung Perbelanjaan</t>
        </is>
      </c>
      <c r="N106" t="inlineStr">
        <is>
          <t>K</t>
        </is>
      </c>
      <c r="O106" t="inlineStr">
        <is>
          <t>20231122</t>
        </is>
      </c>
      <c r="P106" t="inlineStr">
        <is>
          <t>DKI Jakarta</t>
        </is>
      </c>
      <c r="Q106" t="inlineStr"/>
    </row>
    <row r="107">
      <c r="A107" t="inlineStr">
        <is>
          <t>SINAR PRATAMA AGZA</t>
        </is>
      </c>
      <c r="B107" t="inlineStr">
        <is>
          <t>Kab. Cilacap</t>
        </is>
      </c>
      <c r="C107" t="inlineStr">
        <is>
          <t>0282540131</t>
        </is>
      </c>
      <c r="D107" t="inlineStr">
        <is>
          <t>sinarpratamaagza@gmail.com</t>
        </is>
      </c>
      <c r="E107" t="inlineStr">
        <is>
          <t>https://lpjk.pu.go.id/search-badan-usaha-detail/SGpGbXA4RVdwVnFybjFDbDR1aTJpUT09</t>
        </is>
      </c>
      <c r="F107" t="n">
        <v>1</v>
      </c>
      <c r="G107" t="inlineStr">
        <is>
          <t>ST006</t>
        </is>
      </c>
      <c r="H107" t="inlineStr">
        <is>
          <t>8 Agustus 2015</t>
        </is>
      </c>
      <c r="I107" s="2" t="n">
        <v>46348</v>
      </c>
      <c r="J107" t="inlineStr">
        <is>
          <t>Disetujui</t>
        </is>
      </c>
      <c r="K107" t="n">
        <v>87</v>
      </c>
      <c r="L107" t="inlineStr">
        <is>
          <t>22 November 2026</t>
        </is>
      </c>
      <c r="M107" t="inlineStr">
        <is>
          <t>Konstruksi Bangunan Sipil Minyak dan Gas Bumi</t>
        </is>
      </c>
      <c r="N107" t="inlineStr">
        <is>
          <t>B</t>
        </is>
      </c>
      <c r="O107" t="inlineStr">
        <is>
          <t>20230803</t>
        </is>
      </c>
      <c r="P107" t="inlineStr">
        <is>
          <t>Jawa Tengah</t>
        </is>
      </c>
      <c r="Q107" t="inlineStr"/>
    </row>
    <row r="108">
      <c r="A108" t="inlineStr">
        <is>
          <t>SUMBER BERKAT</t>
        </is>
      </c>
      <c r="B108" t="inlineStr">
        <is>
          <t>Kab. Banyuwangi</t>
        </is>
      </c>
      <c r="C108" t="inlineStr">
        <is>
          <t>081233106985</t>
        </is>
      </c>
      <c r="D108" t="inlineStr">
        <is>
          <t>sumberberkat6@gmail.com</t>
        </is>
      </c>
      <c r="E108" t="inlineStr">
        <is>
          <t>https://lpjk.pu.go.id/search-badan-usaha-detail/LzlHYWp0dDhGODBsZ2VIMzQ2aUphUT09</t>
        </is>
      </c>
      <c r="F108" t="n">
        <v>1</v>
      </c>
      <c r="G108" t="inlineStr">
        <is>
          <t>BG009</t>
        </is>
      </c>
      <c r="H108" t="inlineStr">
        <is>
          <t>31 Maret 2016</t>
        </is>
      </c>
      <c r="I108" s="2" t="n">
        <v>46348</v>
      </c>
      <c r="J108" t="inlineStr">
        <is>
          <t>Disetujui</t>
        </is>
      </c>
      <c r="K108" t="n">
        <v>87</v>
      </c>
      <c r="L108" t="inlineStr">
        <is>
          <t>22 November 2026</t>
        </is>
      </c>
      <c r="M108" t="inlineStr">
        <is>
          <t>Konstruksi Gedung Lainnya</t>
        </is>
      </c>
      <c r="N108" t="inlineStr">
        <is>
          <t>K</t>
        </is>
      </c>
      <c r="O108" t="inlineStr">
        <is>
          <t>20231120</t>
        </is>
      </c>
      <c r="P108" t="inlineStr">
        <is>
          <t>Jawa Timur</t>
        </is>
      </c>
      <c r="Q108" t="inlineStr"/>
    </row>
    <row r="109">
      <c r="A109" t="inlineStr">
        <is>
          <t>SYIFAH JAYA KALTIM</t>
        </is>
      </c>
      <c r="B109" t="inlineStr">
        <is>
          <t>Kota Samarinda</t>
        </is>
      </c>
      <c r="C109" t="inlineStr">
        <is>
          <t>081335372138</t>
        </is>
      </c>
      <c r="D109" t="inlineStr">
        <is>
          <t>syifahjayakaltim@gmail.com</t>
        </is>
      </c>
      <c r="E109" t="inlineStr">
        <is>
          <t>https://lpjk.pu.go.id/search-badan-usaha-detail/QjVKRzg1R0IvaWJPVHhoSWVXcm02QT09</t>
        </is>
      </c>
      <c r="F109" t="n">
        <v>7</v>
      </c>
      <c r="G109" t="inlineStr">
        <is>
          <t>BG002, BG006, BG009, PB001, PB004, PB007, PB009</t>
        </is>
      </c>
      <c r="H109" t="inlineStr">
        <is>
          <t>4 Mei 2020</t>
        </is>
      </c>
      <c r="I109" s="2" t="n">
        <v>46348</v>
      </c>
      <c r="J109" t="inlineStr">
        <is>
          <t>Disetujui</t>
        </is>
      </c>
      <c r="K109" t="n">
        <v>87</v>
      </c>
      <c r="L109" t="inlineStr">
        <is>
          <t>22 November 2026</t>
        </is>
      </c>
      <c r="M109" t="inlineStr">
        <is>
          <t>Dekorasi Interior, Konstruksi Gedung Lainnya, Konstruksi Gedung Pendidikan, Konstruksi Gedung Perkantoran, Pembersihan dan Perapihan Bangunan Gedung dan/atau Bangunan Sipil, Pengecatan, Pengerjaan Pemasangan Kaca dan Alumunium</t>
        </is>
      </c>
      <c r="N109" t="inlineStr">
        <is>
          <t>K, Spesialis</t>
        </is>
      </c>
      <c r="O109" t="inlineStr">
        <is>
          <t>20231121</t>
        </is>
      </c>
      <c r="P109" t="inlineStr">
        <is>
          <t>Kalimantan Timur</t>
        </is>
      </c>
      <c r="Q109" t="inlineStr"/>
    </row>
    <row r="110">
      <c r="A110" t="inlineStr">
        <is>
          <t>TATA SINERGY VIGULAND</t>
        </is>
      </c>
      <c r="B110" t="inlineStr">
        <is>
          <t>Kota Semarang</t>
        </is>
      </c>
      <c r="C110" t="inlineStr">
        <is>
          <t>081229341954</t>
        </is>
      </c>
      <c r="D110" t="inlineStr">
        <is>
          <t>tatasinergy58@gmail.com</t>
        </is>
      </c>
      <c r="E110" t="inlineStr">
        <is>
          <t>https://lpjk.pu.go.id/search-badan-usaha-detail/QURLSHRmT05zL1g4TTlyWGpSUzI1dz09</t>
        </is>
      </c>
      <c r="F110" t="n">
        <v>7</v>
      </c>
      <c r="G110" t="inlineStr">
        <is>
          <t>BG001, BG003, BG007, BG009, BS001, BS002, BS004</t>
        </is>
      </c>
      <c r="H110" t="inlineStr">
        <is>
          <t>22 Januari 2021</t>
        </is>
      </c>
      <c r="I110" s="2" t="n">
        <v>46348</v>
      </c>
      <c r="J110" t="inlineStr">
        <is>
          <t>Pencabutan</t>
        </is>
      </c>
      <c r="K110" t="n">
        <v>87</v>
      </c>
      <c r="L110" t="inlineStr">
        <is>
          <t>22 November 2026</t>
        </is>
      </c>
      <c r="M110" t="inlineStr">
        <is>
          <t>Bangunan Sipil Jembatan, Jalan Layang, Fly Over, dan Underpass, Konstruksi Bangunan Sipil Jalan, Konstruksi Gedung Hunian, Konstruksi Gedung Industri, Konstruksi Gedung Lainnya, Konstruksi Gedung Penginapan, Konstruksi Jaringan Irigasi dan Drainase</t>
        </is>
      </c>
      <c r="N110" t="inlineStr">
        <is>
          <t>K</t>
        </is>
      </c>
      <c r="O110" t="inlineStr">
        <is>
          <t>20231121, 20231122, 20231123</t>
        </is>
      </c>
      <c r="P110" t="inlineStr">
        <is>
          <t>Jawa Tengah</t>
        </is>
      </c>
      <c r="Q110" t="inlineStr"/>
    </row>
    <row r="111">
      <c r="A111" t="inlineStr">
        <is>
          <t>TEKNIK JAYA UTAMI</t>
        </is>
      </c>
      <c r="B111" t="inlineStr">
        <is>
          <t>Kab. Sidoarjo</t>
        </is>
      </c>
      <c r="C111" t="inlineStr">
        <is>
          <t>082223338931</t>
        </is>
      </c>
      <c r="D111" t="inlineStr">
        <is>
          <t>teknikjayautami57@gmail.com</t>
        </is>
      </c>
      <c r="E111" t="inlineStr">
        <is>
          <t>https://lpjk.pu.go.id/search-badan-usaha-detail/eS9qb2FOdGh0YmFtYTkxTWtOMWxQdz09</t>
        </is>
      </c>
      <c r="F111" t="n">
        <v>2</v>
      </c>
      <c r="G111" t="inlineStr">
        <is>
          <t>IN013</t>
        </is>
      </c>
      <c r="H111" t="inlineStr">
        <is>
          <t>31 Juli 2017</t>
        </is>
      </c>
      <c r="I111" s="2" t="n">
        <v>46348</v>
      </c>
      <c r="J111" t="inlineStr">
        <is>
          <t>Disetujui, Permohonan Ditolak</t>
        </is>
      </c>
      <c r="K111" t="n">
        <v>87</v>
      </c>
      <c r="L111" t="inlineStr">
        <is>
          <t>22 November 2026</t>
        </is>
      </c>
      <c r="M111" t="inlineStr">
        <is>
          <t>Instalasi Pemanas dan Geotermal</t>
        </is>
      </c>
      <c r="N111" t="inlineStr">
        <is>
          <t>Spesialis</t>
        </is>
      </c>
      <c r="O111" t="inlineStr">
        <is>
          <t>20231121, 20231124</t>
        </is>
      </c>
      <c r="P111" t="inlineStr">
        <is>
          <t>Jawa Timur</t>
        </is>
      </c>
      <c r="Q111" t="inlineStr"/>
    </row>
    <row r="112">
      <c r="A112" t="inlineStr">
        <is>
          <t>TEKNIKAL GLOBAL KONSULTAN</t>
        </is>
      </c>
      <c r="B112" t="inlineStr">
        <is>
          <t>Kota Samarinda</t>
        </is>
      </c>
      <c r="C112" t="inlineStr">
        <is>
          <t>082151820900</t>
        </is>
      </c>
      <c r="D112" t="inlineStr">
        <is>
          <t>teknikalglobalkonsultan@gmail.com</t>
        </is>
      </c>
      <c r="E112" t="inlineStr">
        <is>
          <t>https://lpjk.pu.go.id/search-badan-usaha-detail/RHlERC9sZkFrOWc2a1pTZ0w4NlF2QT09</t>
        </is>
      </c>
      <c r="F112" t="n">
        <v>2</v>
      </c>
      <c r="G112" t="inlineStr">
        <is>
          <t>RK003</t>
        </is>
      </c>
      <c r="H112" t="inlineStr">
        <is>
          <t>10 Januari 2014</t>
        </is>
      </c>
      <c r="I112" s="2" t="n">
        <v>46348</v>
      </c>
      <c r="J112" t="inlineStr">
        <is>
          <t>Disetujui</t>
        </is>
      </c>
      <c r="K112" t="n">
        <v>87</v>
      </c>
      <c r="L112" t="inlineStr">
        <is>
          <t>22 November 2026</t>
        </is>
      </c>
      <c r="M112" t="inlineStr">
        <is>
          <t>Jasa Rekayasa Pekerjaan Teknik Sipil Transportasi</t>
        </is>
      </c>
      <c r="N112" t="inlineStr">
        <is>
          <t>K</t>
        </is>
      </c>
      <c r="O112" t="inlineStr">
        <is>
          <t>20231113</t>
        </is>
      </c>
      <c r="P112" t="inlineStr">
        <is>
          <t>Kalimantan Timur</t>
        </is>
      </c>
      <c r="Q112" t="inlineStr"/>
    </row>
    <row r="113">
      <c r="A113" t="inlineStr">
        <is>
          <t>TIGA DEWA INTERNUSA</t>
        </is>
      </c>
      <c r="B113" t="inlineStr">
        <is>
          <t>Kota Bandung</t>
        </is>
      </c>
      <c r="C113" t="inlineStr">
        <is>
          <t>081233232370</t>
        </is>
      </c>
      <c r="D113" t="inlineStr">
        <is>
          <t>admin@3dewainternusa.id</t>
        </is>
      </c>
      <c r="E113" t="inlineStr">
        <is>
          <t>https://lpjk.pu.go.id/search-badan-usaha-detail/ZXZqWXhXbHAyM0NicDZOTmV5QzhqZz09</t>
        </is>
      </c>
      <c r="F113" t="n">
        <v>3</v>
      </c>
      <c r="G113" t="inlineStr">
        <is>
          <t>BG002, BG006, BG009</t>
        </is>
      </c>
      <c r="H113" t="inlineStr">
        <is>
          <t>22 September 2023</t>
        </is>
      </c>
      <c r="I113" s="2" t="n">
        <v>46348</v>
      </c>
      <c r="J113" t="inlineStr">
        <is>
          <t>Disetujui</t>
        </is>
      </c>
      <c r="K113" t="n">
        <v>87</v>
      </c>
      <c r="L113" t="inlineStr">
        <is>
          <t>22 November 2026</t>
        </is>
      </c>
      <c r="M113" t="inlineStr">
        <is>
          <t>Konstruksi Gedung Lainnya, Konstruksi Gedung Pendidikan, Konstruksi Gedung Perkantoran</t>
        </is>
      </c>
      <c r="N113" t="inlineStr">
        <is>
          <t>K</t>
        </is>
      </c>
      <c r="O113" t="inlineStr">
        <is>
          <t>20231121</t>
        </is>
      </c>
      <c r="P113" t="inlineStr">
        <is>
          <t>Jawa Barat</t>
        </is>
      </c>
      <c r="Q113" t="inlineStr"/>
    </row>
    <row r="114">
      <c r="A114" t="inlineStr">
        <is>
          <t>TJIPTAKALANG BAJAUTAMA</t>
        </is>
      </c>
      <c r="B114" t="inlineStr">
        <is>
          <t>Kota Adm. Jakarta Utara</t>
        </is>
      </c>
      <c r="C114" t="inlineStr">
        <is>
          <t>08129921819</t>
        </is>
      </c>
      <c r="D114" t="inlineStr">
        <is>
          <t>ferrykhie@gmail.com</t>
        </is>
      </c>
      <c r="E114" t="inlineStr">
        <is>
          <t>https://lpjk.pu.go.id/search-badan-usaha-detail/VUw0aGl1UFQrS1RGT1FNQ2s0Mm5rdz09</t>
        </is>
      </c>
      <c r="F114" t="n">
        <v>1</v>
      </c>
      <c r="G114" t="inlineStr">
        <is>
          <t>BG003</t>
        </is>
      </c>
      <c r="H114" t="inlineStr">
        <is>
          <t>28 Februari 1990</t>
        </is>
      </c>
      <c r="I114" s="2" t="n">
        <v>46348</v>
      </c>
      <c r="J114" t="inlineStr">
        <is>
          <t>Pembekuan</t>
        </is>
      </c>
      <c r="K114" t="n">
        <v>87</v>
      </c>
      <c r="L114" t="inlineStr">
        <is>
          <t>22 November 2026</t>
        </is>
      </c>
      <c r="M114" t="inlineStr">
        <is>
          <t>Konstruksi Gedung Industri</t>
        </is>
      </c>
      <c r="N114" t="inlineStr">
        <is>
          <t>M</t>
        </is>
      </c>
      <c r="O114" t="inlineStr">
        <is>
          <t>20231121</t>
        </is>
      </c>
      <c r="P114" t="inlineStr">
        <is>
          <t>DKI Jakarta</t>
        </is>
      </c>
      <c r="Q114" t="inlineStr"/>
    </row>
    <row r="115">
      <c r="A115" t="inlineStr">
        <is>
          <t>TRIMATRA JASA PRAKASA</t>
        </is>
      </c>
      <c r="B115" t="inlineStr">
        <is>
          <t>Kota Adm. Jakarta Selatan</t>
        </is>
      </c>
      <c r="C115" t="inlineStr">
        <is>
          <t>0217258521</t>
        </is>
      </c>
      <c r="D115" t="inlineStr">
        <is>
          <t>trimatra@trimatrajasaprakasa.co.id</t>
        </is>
      </c>
      <c r="E115" t="inlineStr">
        <is>
          <t>https://lpjk.pu.go.id/search-badan-usaha-detail/Wkd3VmZ4eVNrLzh0WWg1UUR4V0VrUT09</t>
        </is>
      </c>
      <c r="F115" t="n">
        <v>2</v>
      </c>
      <c r="G115" t="inlineStr">
        <is>
          <t>RK001</t>
        </is>
      </c>
      <c r="H115" t="inlineStr">
        <is>
          <t>14 Oktober 2016</t>
        </is>
      </c>
      <c r="I115" s="2" t="n">
        <v>46348</v>
      </c>
      <c r="J115" t="inlineStr">
        <is>
          <t>Disetujui</t>
        </is>
      </c>
      <c r="K115" t="n">
        <v>87</v>
      </c>
      <c r="L115" t="inlineStr">
        <is>
          <t>22 November 2026</t>
        </is>
      </c>
      <c r="M115" t="inlineStr">
        <is>
          <t>Jasa Rekayasa Konstruksi Bangunan Gedung Hunian dan Non Hunian</t>
        </is>
      </c>
      <c r="N115" t="inlineStr">
        <is>
          <t>B</t>
        </is>
      </c>
      <c r="O115" t="inlineStr">
        <is>
          <t>20231113</t>
        </is>
      </c>
      <c r="P115" t="inlineStr">
        <is>
          <t>DKI Jakarta</t>
        </is>
      </c>
      <c r="Q115" t="inlineStr"/>
    </row>
    <row r="116">
      <c r="A116" t="inlineStr">
        <is>
          <t>WAHYU PUTRA JAYA</t>
        </is>
      </c>
      <c r="B116" t="inlineStr">
        <is>
          <t>Kab. Kudus</t>
        </is>
      </c>
      <c r="C116" t="inlineStr">
        <is>
          <t>088989816100</t>
        </is>
      </c>
      <c r="D116" t="inlineStr">
        <is>
          <t>cv.wahyuputrajaya@yahoo.com</t>
        </is>
      </c>
      <c r="E116" t="inlineStr">
        <is>
          <t>https://lpjk.pu.go.id/search-badan-usaha-detail/SmJ0bmhxaGplSFNVcnkyaXRGa0ZBQT09</t>
        </is>
      </c>
      <c r="F116" t="n">
        <v>1</v>
      </c>
      <c r="G116" t="inlineStr">
        <is>
          <t>BS001</t>
        </is>
      </c>
      <c r="H116" t="inlineStr">
        <is>
          <t>17 Maret 2014</t>
        </is>
      </c>
      <c r="I116" s="2" t="n">
        <v>46348</v>
      </c>
      <c r="J116" t="inlineStr">
        <is>
          <t>Disetujui</t>
        </is>
      </c>
      <c r="K116" t="n">
        <v>87</v>
      </c>
      <c r="L116" t="inlineStr">
        <is>
          <t>22 November 2026</t>
        </is>
      </c>
      <c r="M116" t="inlineStr">
        <is>
          <t>Konstruksi Bangunan Sipil Jalan</t>
        </is>
      </c>
      <c r="N116" t="inlineStr">
        <is>
          <t>K</t>
        </is>
      </c>
      <c r="O116" t="inlineStr">
        <is>
          <t>20231121</t>
        </is>
      </c>
      <c r="P116" t="inlineStr">
        <is>
          <t>Jawa Tengah</t>
        </is>
      </c>
      <c r="Q116" t="inlineStr"/>
    </row>
    <row r="117">
      <c r="A117" t="inlineStr">
        <is>
          <t>WANA BAKTI NUSANTARA</t>
        </is>
      </c>
      <c r="B117" t="inlineStr">
        <is>
          <t>Kota Tangerang Selatan</t>
        </is>
      </c>
      <c r="C117" t="inlineStr">
        <is>
          <t>02138901216</t>
        </is>
      </c>
      <c r="D117" t="inlineStr">
        <is>
          <t>wanasurety@yahoo.com</t>
        </is>
      </c>
      <c r="E117" t="inlineStr">
        <is>
          <t>https://lpjk.pu.go.id/search-badan-usaha-detail/MkovQVdnd3lQVXN3TmRhaWVCWDRGUT09</t>
        </is>
      </c>
      <c r="F117" t="n">
        <v>1</v>
      </c>
      <c r="G117" t="inlineStr">
        <is>
          <t>BG002</t>
        </is>
      </c>
      <c r="H117" t="inlineStr">
        <is>
          <t>12 Desember 2012</t>
        </is>
      </c>
      <c r="I117" s="2" t="n">
        <v>46348</v>
      </c>
      <c r="J117" t="inlineStr">
        <is>
          <t>Disetujui</t>
        </is>
      </c>
      <c r="K117" t="n">
        <v>87</v>
      </c>
      <c r="L117" t="inlineStr">
        <is>
          <t>22 November 2026</t>
        </is>
      </c>
      <c r="M117" t="inlineStr">
        <is>
          <t>Konstruksi Gedung Perkantoran</t>
        </is>
      </c>
      <c r="N117" t="inlineStr">
        <is>
          <t>K</t>
        </is>
      </c>
      <c r="O117" t="inlineStr">
        <is>
          <t>20231123</t>
        </is>
      </c>
      <c r="P117" t="inlineStr">
        <is>
          <t>Banten</t>
        </is>
      </c>
      <c r="Q117" t="inlineStr"/>
    </row>
    <row r="118">
      <c r="A118" t="inlineStr">
        <is>
          <t>WIRYA KRENINDO PERKASA</t>
        </is>
      </c>
      <c r="B118" t="inlineStr">
        <is>
          <t>Kota Adm. Jakarta Utara</t>
        </is>
      </c>
      <c r="C118" t="inlineStr">
        <is>
          <t>081337705417</t>
        </is>
      </c>
      <c r="D118" t="inlineStr">
        <is>
          <t>hrga2@ekatamagroup.com</t>
        </is>
      </c>
      <c r="E118" t="inlineStr">
        <is>
          <t>https://lpjk.pu.go.id/search-badan-usaha-detail/K0hYMm9UZUNGQkNtSUJ6ZFI4Y1ZoQT09</t>
        </is>
      </c>
      <c r="F118" t="n">
        <v>1</v>
      </c>
      <c r="G118" t="inlineStr">
        <is>
          <t>KK016</t>
        </is>
      </c>
      <c r="H118" t="inlineStr">
        <is>
          <t>5 Februari 1997</t>
        </is>
      </c>
      <c r="I118" s="2" t="n">
        <v>46348</v>
      </c>
      <c r="J118" t="inlineStr">
        <is>
          <t>Disetujui</t>
        </is>
      </c>
      <c r="K118" t="n">
        <v>87</v>
      </c>
      <c r="L118" t="inlineStr">
        <is>
          <t>22 November 2026</t>
        </is>
      </c>
      <c r="M118" t="inlineStr">
        <is>
          <t>Pemasangan Kerangka Baja</t>
        </is>
      </c>
      <c r="N118" t="inlineStr">
        <is>
          <t>Spesialis</t>
        </is>
      </c>
      <c r="O118" t="inlineStr">
        <is>
          <t>20230712</t>
        </is>
      </c>
      <c r="P118" t="inlineStr">
        <is>
          <t>DKI Jakarta</t>
        </is>
      </c>
      <c r="Q118" t="inlineStr"/>
    </row>
    <row r="119">
      <c r="A119" t="inlineStr">
        <is>
          <t>YOGA KRIDA PRATAMA</t>
        </is>
      </c>
      <c r="B119" t="inlineStr">
        <is>
          <t>Kab. Bantul</t>
        </is>
      </c>
      <c r="C119" t="inlineStr">
        <is>
          <t>0818268821</t>
        </is>
      </c>
      <c r="D119" t="inlineStr">
        <is>
          <t>kridapratama321@gmail.com</t>
        </is>
      </c>
      <c r="E119" t="inlineStr">
        <is>
          <t>https://lpjk.pu.go.id/search-badan-usaha-detail/RmgxV1hpV2VFNTdoZXkwSFZPTDJKUT09</t>
        </is>
      </c>
      <c r="F119" t="n">
        <v>1</v>
      </c>
      <c r="G119" t="inlineStr">
        <is>
          <t>BG006</t>
        </is>
      </c>
      <c r="H119" t="inlineStr">
        <is>
          <t>22 Agustus 2022</t>
        </is>
      </c>
      <c r="I119" s="2" t="n">
        <v>46348</v>
      </c>
      <c r="J119" t="inlineStr">
        <is>
          <t>Disetujui</t>
        </is>
      </c>
      <c r="K119" t="n">
        <v>87</v>
      </c>
      <c r="L119" t="inlineStr">
        <is>
          <t>22 November 2026</t>
        </is>
      </c>
      <c r="M119" t="inlineStr">
        <is>
          <t>Konstruksi Gedung Pendidikan</t>
        </is>
      </c>
      <c r="N119" t="inlineStr">
        <is>
          <t>K</t>
        </is>
      </c>
      <c r="O119" t="inlineStr">
        <is>
          <t>20231108</t>
        </is>
      </c>
      <c r="P119" t="inlineStr">
        <is>
          <t>DI Yogyakarta</t>
        </is>
      </c>
      <c r="Q1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7"/>
  <sheetViews>
    <sheetView workbookViewId="0">
      <selection activeCell="A1" sqref="A1"/>
    </sheetView>
  </sheetViews>
  <sheetFormatPr baseColWidth="8" defaultRowHeight="15"/>
  <cols>
    <col width="30" customWidth="1" min="1" max="1"/>
    <col width="25" customWidth="1" min="2" max="2"/>
    <col width="15" customWidth="1" min="3" max="3"/>
    <col width="36" customWidth="1" min="4" max="4"/>
    <col width="50" customWidth="1" min="5" max="5"/>
    <col width="18" customWidth="1" min="6" max="6"/>
    <col width="42" customWidth="1" min="7" max="7"/>
    <col width="20" customWidth="1" min="8" max="8"/>
    <col width="28" customWidth="1" min="9" max="9"/>
    <col width="23" customWidth="1" min="10" max="10"/>
    <col width="11" customWidth="1" min="11" max="11"/>
    <col width="17" customWidth="1" min="12" max="12"/>
    <col width="50" customWidth="1" min="13" max="13"/>
    <col width="14" customWidth="1" min="14" max="14"/>
    <col width="2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KOKOH BANGUN ANGKASA</t>
        </is>
      </c>
      <c r="B2" t="inlineStr">
        <is>
          <t>Kab. Bogor</t>
        </is>
      </c>
      <c r="C2" t="inlineStr">
        <is>
          <t>02184935633</t>
        </is>
      </c>
      <c r="D2" t="inlineStr">
        <is>
          <t>cv.kokohbangunangkasa@gmail.com</t>
        </is>
      </c>
      <c r="E2" t="inlineStr">
        <is>
          <t>https://lpjk.pu.go.id/search-badan-usaha-detail/ZlVNTGk4ZUxzbGMvSnEweDU5MHdCQT09</t>
        </is>
      </c>
      <c r="F2" t="n">
        <v>6</v>
      </c>
      <c r="G2" t="inlineStr">
        <is>
          <t>BG001, BG005, BG006, BG009, BS001, BS004</t>
        </is>
      </c>
      <c r="H2" t="inlineStr">
        <is>
          <t>3 Januari 2018</t>
        </is>
      </c>
      <c r="I2" s="2" t="n">
        <v>46321</v>
      </c>
      <c r="J2" t="inlineStr">
        <is>
          <t>Disetujui, Pencabutan</t>
        </is>
      </c>
      <c r="K2" t="n">
        <v>60</v>
      </c>
      <c r="L2" t="inlineStr">
        <is>
          <t>26 Oktober 2026</t>
        </is>
      </c>
      <c r="M2" t="inlineStr">
        <is>
          <t>Konstruksi Bangunan Sipil Jalan, Konstruksi Gedung Hunian, Konstruksi Gedung Kesehatan, Konstruksi Gedung Lainnya, Konstruksi Gedung Pendidikan, Konstruksi Jaringan Irigasi dan Drainase</t>
        </is>
      </c>
      <c r="N2" t="inlineStr">
        <is>
          <t>K</t>
        </is>
      </c>
      <c r="O2" t="inlineStr">
        <is>
          <t>20231012, 20231013</t>
        </is>
      </c>
      <c r="P2" t="inlineStr">
        <is>
          <t>Jawa Barat</t>
        </is>
      </c>
      <c r="Q2" t="inlineStr"/>
    </row>
    <row r="3">
      <c r="A3" t="inlineStr">
        <is>
          <t>MATARAM ENJINERING SURVEINDO</t>
        </is>
      </c>
      <c r="B3" t="inlineStr">
        <is>
          <t>Kota Adm. Jakarta Timur</t>
        </is>
      </c>
      <c r="C3" t="inlineStr">
        <is>
          <t>089605779286</t>
        </is>
      </c>
      <c r="D3" t="inlineStr">
        <is>
          <t>mataram.engineer@gmail.com</t>
        </is>
      </c>
      <c r="E3" t="inlineStr">
        <is>
          <t>https://lpjk.pu.go.id/search-badan-usaha-detail/Y2ZGSW52a2ZTcENwNWhuTGM1TkNzUT09</t>
        </is>
      </c>
      <c r="F3" t="n">
        <v>2</v>
      </c>
      <c r="G3" t="inlineStr">
        <is>
          <t>PL003</t>
        </is>
      </c>
      <c r="H3" t="inlineStr">
        <is>
          <t>27 Mei 2022</t>
        </is>
      </c>
      <c r="I3" s="2" t="n">
        <v>46321</v>
      </c>
      <c r="J3" t="inlineStr">
        <is>
          <t>Pembekuan</t>
        </is>
      </c>
      <c r="K3" t="n">
        <v>60</v>
      </c>
      <c r="L3" t="inlineStr">
        <is>
          <t>26 Oktober 2026</t>
        </is>
      </c>
      <c r="M3" t="inlineStr">
        <is>
          <t>Penyiapan Lahan Konstruksi</t>
        </is>
      </c>
      <c r="N3" t="inlineStr">
        <is>
          <t>Spesialis</t>
        </is>
      </c>
      <c r="O3" t="inlineStr">
        <is>
          <t>20231025</t>
        </is>
      </c>
      <c r="P3" t="inlineStr">
        <is>
          <t>DKI Jakarta</t>
        </is>
      </c>
      <c r="Q3" s="3">
        <f>HYPERLINK("https://wa.me/6289605779286?text=*[PENGINGAT MASA BERLAKU SBU MATARAM ENJINERING SURVEINDO]*%0A%0AYth. Pimpinan MATARAM ENJINERING SURVEINDO,%0AMohon izin menginformasikan status SBU Anda di sistem LPJK:%0A%0A📄 SBU: PL003%0A📅 Expired: 26 Oktober 2026 (60 Hari Lagi)%0A%0AKami tim PT. ESDEA Assistance Management siap men-support proses perpanjangan segera agar administrasi proyek tidak terhambat%0A%0AApakah boleh saya bantu siapkan estimasi biaya dan waktu pengerjaannya?.", "Hubungi")</f>
        <v/>
      </c>
    </row>
    <row r="4">
      <c r="A4" t="inlineStr">
        <is>
          <t>NINGRAT MUDA WICAKSONO</t>
        </is>
      </c>
      <c r="B4" t="inlineStr">
        <is>
          <t>Kota Bekasi</t>
        </is>
      </c>
      <c r="C4" t="inlineStr">
        <is>
          <t>08123457711</t>
        </is>
      </c>
      <c r="D4" t="inlineStr">
        <is>
          <t>ningratmudawicaksono@gmail.com</t>
        </is>
      </c>
      <c r="E4" t="inlineStr">
        <is>
          <t>https://lpjk.pu.go.id/search-badan-usaha-detail/WEdsUDNqekR6UCtOMFYxV3BXZlp1UT09</t>
        </is>
      </c>
      <c r="F4" t="n">
        <v>1</v>
      </c>
      <c r="G4" t="inlineStr">
        <is>
          <t>BG009</t>
        </is>
      </c>
      <c r="H4" t="inlineStr">
        <is>
          <t>12 September 2022</t>
        </is>
      </c>
      <c r="I4" s="2" t="n">
        <v>46321</v>
      </c>
      <c r="J4" t="inlineStr">
        <is>
          <t>Disetujui</t>
        </is>
      </c>
      <c r="K4" t="n">
        <v>60</v>
      </c>
      <c r="L4" t="inlineStr">
        <is>
          <t>26 Oktober 2026</t>
        </is>
      </c>
      <c r="M4" t="inlineStr">
        <is>
          <t>Konstruksi Gedung Lainnya</t>
        </is>
      </c>
      <c r="N4" t="inlineStr">
        <is>
          <t>K</t>
        </is>
      </c>
      <c r="O4" t="inlineStr">
        <is>
          <t>20231026</t>
        </is>
      </c>
      <c r="P4" t="inlineStr">
        <is>
          <t>Jawa Barat</t>
        </is>
      </c>
      <c r="Q4" s="3">
        <f>HYPERLINK("https://wa.me/628123457711?text=*[PENGINGAT MASA BERLAKU SBU NINGRAT MUDA WICAKSONO]*%0A%0AYth. Pimpinan NINGRAT MUDA WICAKSONO,%0AMohon izin menginformasikan status SBU Anda di sistem LPJK:%0A%0A📄 SBU: BG009%0A📅 Expired: 26 Oktober 2026 (60 Hari Lagi)%0A%0AKami tim PT. ESDEA Assistance Management siap men-support proses perpanjangan segera agar administrasi proyek tidak terhambat%0A%0AApakah boleh saya bantu siapkan estimasi biaya dan waktu pengerjaannya?.", "Hubungi")</f>
        <v/>
      </c>
    </row>
    <row r="5">
      <c r="A5" t="inlineStr">
        <is>
          <t>PUNCAK GEMILANG SEMESTA</t>
        </is>
      </c>
      <c r="B5" t="inlineStr">
        <is>
          <t>Kab. Bekasi</t>
        </is>
      </c>
      <c r="C5" t="inlineStr">
        <is>
          <t>02189118966</t>
        </is>
      </c>
      <c r="D5" t="inlineStr">
        <is>
          <t>pgs8801@gmail.com</t>
        </is>
      </c>
      <c r="E5" t="inlineStr">
        <is>
          <t>https://lpjk.pu.go.id/search-badan-usaha-detail/Mm01ck54eEszd1dqMy9pY2g4U0VGZz09</t>
        </is>
      </c>
      <c r="F5" t="n">
        <v>1</v>
      </c>
      <c r="G5" t="inlineStr">
        <is>
          <t>IN001</t>
        </is>
      </c>
      <c r="H5" t="inlineStr">
        <is>
          <t>12 Mei 2014</t>
        </is>
      </c>
      <c r="I5" s="2" t="n">
        <v>46321</v>
      </c>
      <c r="J5" t="inlineStr">
        <is>
          <t>Disetujui</t>
        </is>
      </c>
      <c r="K5" t="n">
        <v>60</v>
      </c>
      <c r="L5" t="inlineStr">
        <is>
          <t>26 Oktober 2026</t>
        </is>
      </c>
      <c r="M5" t="inlineStr">
        <is>
          <t>Instalasi Mekanikal</t>
        </is>
      </c>
      <c r="N5" t="inlineStr">
        <is>
          <t>Spesialis</t>
        </is>
      </c>
      <c r="O5" t="inlineStr">
        <is>
          <t>20231018</t>
        </is>
      </c>
      <c r="P5" t="inlineStr">
        <is>
          <t>Jawa Barat</t>
        </is>
      </c>
      <c r="Q5" t="inlineStr"/>
    </row>
    <row r="6">
      <c r="A6" t="inlineStr">
        <is>
          <t>SYUKUR INDONESIA PRIMA</t>
        </is>
      </c>
      <c r="B6" t="inlineStr">
        <is>
          <t>Kota Bekasi</t>
        </is>
      </c>
      <c r="C6" t="inlineStr">
        <is>
          <t>0818974448</t>
        </is>
      </c>
      <c r="D6" t="inlineStr">
        <is>
          <t>syukurindonesiaprima@gmail.com</t>
        </is>
      </c>
      <c r="E6" t="inlineStr">
        <is>
          <t>https://lpjk.pu.go.id/search-badan-usaha-detail/Y1lod3pGTTUzMjVNZzlKY3lCY3RTdz09</t>
        </is>
      </c>
      <c r="F6" t="n">
        <v>1</v>
      </c>
      <c r="G6" t="inlineStr">
        <is>
          <t>BS002</t>
        </is>
      </c>
      <c r="H6" t="inlineStr">
        <is>
          <t>29 November 2022</t>
        </is>
      </c>
      <c r="I6" s="2" t="n">
        <v>46321</v>
      </c>
      <c r="J6" t="inlineStr">
        <is>
          <t>Disetujui</t>
        </is>
      </c>
      <c r="K6" t="n">
        <v>60</v>
      </c>
      <c r="L6" t="inlineStr">
        <is>
          <t>26 Oktober 2026</t>
        </is>
      </c>
      <c r="M6" t="inlineStr">
        <is>
          <t>Bangunan Sipil Jembatan, Jalan Layang, Fly Over, dan Underpass</t>
        </is>
      </c>
      <c r="N6" t="inlineStr">
        <is>
          <t>K</t>
        </is>
      </c>
      <c r="O6" t="inlineStr">
        <is>
          <t>20231026</t>
        </is>
      </c>
      <c r="P6" t="inlineStr">
        <is>
          <t>Jawa Barat</t>
        </is>
      </c>
      <c r="Q6" s="3">
        <f>HYPERLINK("https://wa.me/62818974448?text=*[PENGINGAT MASA BERLAKU SBU SYUKUR INDONESIA PRIMA]*%0A%0AYth. Pimpinan SYUKUR INDONESIA PRIMA,%0AMohon izin menginformasikan status SBU Anda di sistem LPJK:%0A%0A📄 SBU: BS002%0A📅 Expired: 26 Oktober 2026 (60 Hari Lagi)%0A%0AKami tim PT. ESDEA Assistance Management siap men-support proses perpanjangan segera agar administrasi proyek tidak terhambat%0A%0AApakah boleh saya bantu siapkan estimasi biaya dan waktu pengerjaannya?.", "Hubungi")</f>
        <v/>
      </c>
    </row>
    <row r="7">
      <c r="A7" t="inlineStr">
        <is>
          <t>TRIKARSA ESA JAYA</t>
        </is>
      </c>
      <c r="B7" t="inlineStr">
        <is>
          <t>Kota Depok</t>
        </is>
      </c>
      <c r="C7" t="inlineStr">
        <is>
          <t>08980090470</t>
        </is>
      </c>
      <c r="D7" t="inlineStr">
        <is>
          <t>Info.pttrikarsaesajaya@gmail.com</t>
        </is>
      </c>
      <c r="E7" t="inlineStr">
        <is>
          <t>https://lpjk.pu.go.id/search-badan-usaha-detail/TlVuNndtOWZYcFpWSzZXclJjcFIvZz09</t>
        </is>
      </c>
      <c r="F7" t="n">
        <v>1</v>
      </c>
      <c r="G7" t="inlineStr">
        <is>
          <t>BG009</t>
        </is>
      </c>
      <c r="H7" t="inlineStr">
        <is>
          <t>11 Februari 2020</t>
        </is>
      </c>
      <c r="I7" s="2" t="n">
        <v>46321</v>
      </c>
      <c r="J7" t="inlineStr">
        <is>
          <t>Pencabutan</t>
        </is>
      </c>
      <c r="K7" t="n">
        <v>60</v>
      </c>
      <c r="L7" t="inlineStr">
        <is>
          <t>26 Oktober 2026</t>
        </is>
      </c>
      <c r="M7" t="inlineStr">
        <is>
          <t>Konstruksi Gedung Lainnya</t>
        </is>
      </c>
      <c r="N7" t="inlineStr">
        <is>
          <t>K</t>
        </is>
      </c>
      <c r="O7" t="inlineStr">
        <is>
          <t>20231023</t>
        </is>
      </c>
      <c r="P7" t="inlineStr">
        <is>
          <t>Jawa Barat</t>
        </is>
      </c>
      <c r="Q7" s="3">
        <f>HYPERLINK("https://wa.me/628980090470?text=*[PENGINGAT MASA BERLAKU SBU TRIKARSA ESA JAYA]*%0A%0AYth. Pimpinan TRIKARSA ESA JAYA,%0AMohon izin menginformasikan status SBU Anda di sistem LPJK:%0A%0A📄 SBU: BG009%0A📅 Expired: 26 Oktober 2026 (60 Hari Lagi)%0A%0AKami tim PT. ESDEA Assistance Management siap men-support proses perpanjangan segera agar administrasi proyek tidak terhambat%0A%0AApakah boleh saya bantu siapkan estimasi biaya dan waktu pengerjaannya?.", "Hubungi")</f>
        <v/>
      </c>
    </row>
    <row r="8">
      <c r="A8" t="inlineStr">
        <is>
          <t>AGRO MAKMUR</t>
        </is>
      </c>
      <c r="B8" t="inlineStr">
        <is>
          <t>Kota Pontianak</t>
        </is>
      </c>
      <c r="C8" t="inlineStr">
        <is>
          <t>085387204229</t>
        </is>
      </c>
      <c r="D8" t="inlineStr">
        <is>
          <t>cvagromakmur2019@gmail.com</t>
        </is>
      </c>
      <c r="E8" t="inlineStr">
        <is>
          <t>https://lpjk.pu.go.id/search-badan-usaha-detail/ZzJ5aVBUOEZhNWdlZE5tWE12Z3BuQT09</t>
        </is>
      </c>
      <c r="F8" t="n">
        <v>2</v>
      </c>
      <c r="G8" t="inlineStr">
        <is>
          <t>BS001, BS004</t>
        </is>
      </c>
      <c r="H8" t="inlineStr">
        <is>
          <t>25 Januari 2017</t>
        </is>
      </c>
      <c r="I8" s="2" t="n">
        <v>46321</v>
      </c>
      <c r="J8" t="inlineStr">
        <is>
          <t>Pencabutan</t>
        </is>
      </c>
      <c r="K8" t="n">
        <v>60</v>
      </c>
      <c r="L8" t="inlineStr">
        <is>
          <t>26 Oktober 2026</t>
        </is>
      </c>
      <c r="M8" t="inlineStr">
        <is>
          <t>Konstruksi Bangunan Sipil Jalan, Konstruksi Jaringan Irigasi dan Drainase</t>
        </is>
      </c>
      <c r="N8" t="inlineStr">
        <is>
          <t>K</t>
        </is>
      </c>
      <c r="O8" t="inlineStr">
        <is>
          <t>20231021, 20231023</t>
        </is>
      </c>
      <c r="P8" t="inlineStr">
        <is>
          <t>Kalimantan Barat</t>
        </is>
      </c>
      <c r="Q8" t="inlineStr"/>
    </row>
    <row r="9">
      <c r="A9" t="inlineStr">
        <is>
          <t>AGUNG SADEWA PRATAMA</t>
        </is>
      </c>
      <c r="B9" t="inlineStr">
        <is>
          <t>Kab. Pandeglang</t>
        </is>
      </c>
      <c r="C9" t="inlineStr">
        <is>
          <t>087772755999</t>
        </is>
      </c>
      <c r="D9" t="inlineStr">
        <is>
          <t>ptagungsadewapratama@gmail.com</t>
        </is>
      </c>
      <c r="E9" t="inlineStr">
        <is>
          <t>https://lpjk.pu.go.id/search-badan-usaha-detail/aDBkem5ueTRoOXkwWUt5c2FBWFFLUT09</t>
        </is>
      </c>
      <c r="F9" t="n">
        <v>4</v>
      </c>
      <c r="G9" t="inlineStr">
        <is>
          <t>BS001, BS002</t>
        </is>
      </c>
      <c r="H9" t="inlineStr">
        <is>
          <t>9 Oktober 2020</t>
        </is>
      </c>
      <c r="I9" s="2" t="n">
        <v>46321</v>
      </c>
      <c r="J9" t="inlineStr">
        <is>
          <t>Disetujui</t>
        </is>
      </c>
      <c r="K9" t="n">
        <v>60</v>
      </c>
      <c r="L9" t="inlineStr">
        <is>
          <t>26 Oktober 2026</t>
        </is>
      </c>
      <c r="M9" t="inlineStr">
        <is>
          <t>Bangunan Sipil Jembatan, Jalan Layang, Fly Over, dan Underpass, Konstruksi Bangunan Sipil Jalan</t>
        </is>
      </c>
      <c r="N9" t="inlineStr">
        <is>
          <t>M</t>
        </is>
      </c>
      <c r="O9" t="inlineStr">
        <is>
          <t>20231017</t>
        </is>
      </c>
      <c r="P9" t="inlineStr">
        <is>
          <t>Banten</t>
        </is>
      </c>
      <c r="Q9" t="inlineStr"/>
    </row>
    <row r="10">
      <c r="A10" t="inlineStr">
        <is>
          <t>ALBA MAS</t>
        </is>
      </c>
      <c r="B10" t="inlineStr">
        <is>
          <t>Kab. Wonosobo</t>
        </is>
      </c>
      <c r="C10" t="inlineStr">
        <is>
          <t>-</t>
        </is>
      </c>
      <c r="D10" t="inlineStr">
        <is>
          <t>cvalbamaswonosobo@gmail.com</t>
        </is>
      </c>
      <c r="E10" t="inlineStr">
        <is>
          <t>https://lpjk.pu.go.id/search-badan-usaha-detail/K0hJejhibUMwa0t2K2tmMVY5WHFOQT09</t>
        </is>
      </c>
      <c r="F10" t="n">
        <v>1</v>
      </c>
      <c r="G10" t="inlineStr">
        <is>
          <t>BS004</t>
        </is>
      </c>
      <c r="H10" t="inlineStr">
        <is>
          <t>21 Januari 2009</t>
        </is>
      </c>
      <c r="I10" s="2" t="n">
        <v>46321</v>
      </c>
      <c r="J10" t="inlineStr">
        <is>
          <t>Disetujui</t>
        </is>
      </c>
      <c r="K10" t="n">
        <v>60</v>
      </c>
      <c r="L10" t="inlineStr">
        <is>
          <t>26 Oktober 2026</t>
        </is>
      </c>
      <c r="M10" t="inlineStr">
        <is>
          <t>Konstruksi Jaringan Irigasi dan Drainase</t>
        </is>
      </c>
      <c r="N10" t="inlineStr">
        <is>
          <t>K</t>
        </is>
      </c>
      <c r="O10" t="inlineStr">
        <is>
          <t>20231026</t>
        </is>
      </c>
      <c r="P10" t="inlineStr">
        <is>
          <t>Jawa Tengah</t>
        </is>
      </c>
      <c r="Q10" t="inlineStr"/>
    </row>
    <row r="11">
      <c r="A11" t="inlineStr">
        <is>
          <t>ALFAREZQI PAPUA</t>
        </is>
      </c>
      <c r="B11" t="inlineStr">
        <is>
          <t>Kab. Manokwari</t>
        </is>
      </c>
      <c r="C11" t="inlineStr">
        <is>
          <t>085244899198</t>
        </is>
      </c>
      <c r="D11" t="inlineStr">
        <is>
          <t>alfarezqipapua@gmail.com</t>
        </is>
      </c>
      <c r="E11" t="inlineStr">
        <is>
          <t>https://lpjk.pu.go.id/search-badan-usaha-detail/QTFSaUtJYXlNTWJXYUxCWjl5ZHVOZz09</t>
        </is>
      </c>
      <c r="F11" t="n">
        <v>2</v>
      </c>
      <c r="G11" t="inlineStr">
        <is>
          <t>BG001, BS001</t>
        </is>
      </c>
      <c r="H11" t="inlineStr">
        <is>
          <t>26 September 2022</t>
        </is>
      </c>
      <c r="I11" s="2" t="n">
        <v>46321</v>
      </c>
      <c r="J11" t="inlineStr">
        <is>
          <t>Disetujui, Pencabutan</t>
        </is>
      </c>
      <c r="K11" t="n">
        <v>60</v>
      </c>
      <c r="L11" t="inlineStr">
        <is>
          <t>26 Oktober 2026</t>
        </is>
      </c>
      <c r="M11" t="inlineStr">
        <is>
          <t>Konstruksi Bangunan Sipil Jalan, Konstruksi Gedung Hunian</t>
        </is>
      </c>
      <c r="N11" t="inlineStr">
        <is>
          <t>K</t>
        </is>
      </c>
      <c r="O11" t="inlineStr">
        <is>
          <t>20231024</t>
        </is>
      </c>
      <c r="P11" t="inlineStr">
        <is>
          <t>Papua Barat</t>
        </is>
      </c>
      <c r="Q11" t="inlineStr"/>
    </row>
    <row r="12">
      <c r="A12" t="inlineStr">
        <is>
          <t>AMARA RAYA</t>
        </is>
      </c>
      <c r="B12" t="inlineStr">
        <is>
          <t>Kab. Landak</t>
        </is>
      </c>
      <c r="C12" t="inlineStr">
        <is>
          <t>085252135555</t>
        </is>
      </c>
      <c r="D12" t="inlineStr">
        <is>
          <t>amaracompany@gmail.com</t>
        </is>
      </c>
      <c r="E12" t="inlineStr">
        <is>
          <t>https://lpjk.pu.go.id/search-badan-usaha-detail/b0lncUpMOTllcWI0Q3d5bnZObmN4dz09</t>
        </is>
      </c>
      <c r="F12" t="n">
        <v>4</v>
      </c>
      <c r="G12" t="inlineStr">
        <is>
          <t>BG005, BG006, BS001, BS004</t>
        </is>
      </c>
      <c r="H12" t="inlineStr">
        <is>
          <t>26 September 2016</t>
        </is>
      </c>
      <c r="I12" s="2" t="n">
        <v>46321</v>
      </c>
      <c r="J12" t="inlineStr">
        <is>
          <t>Disetujui</t>
        </is>
      </c>
      <c r="K12" t="n">
        <v>60</v>
      </c>
      <c r="L12" t="inlineStr">
        <is>
          <t>26 Oktober 2026</t>
        </is>
      </c>
      <c r="M12" t="inlineStr">
        <is>
          <t>Konstruksi Bangunan Sipil Jalan, Konstruksi Gedung Kesehatan, Konstruksi Gedung Pendidikan, Konstruksi Jaringan Irigasi dan Drainase</t>
        </is>
      </c>
      <c r="N12" t="inlineStr">
        <is>
          <t>K</t>
        </is>
      </c>
      <c r="O12" t="inlineStr">
        <is>
          <t>20231020, 20231025</t>
        </is>
      </c>
      <c r="P12" t="inlineStr">
        <is>
          <t>Kalimantan Barat</t>
        </is>
      </c>
      <c r="Q12" t="inlineStr"/>
    </row>
    <row r="13">
      <c r="A13" t="inlineStr">
        <is>
          <t>ANDRE TEKNIK MANDIRI</t>
        </is>
      </c>
      <c r="B13" t="inlineStr">
        <is>
          <t>Kota Surabaya</t>
        </is>
      </c>
      <c r="C13" t="inlineStr">
        <is>
          <t>0318272119</t>
        </is>
      </c>
      <c r="D13" t="inlineStr">
        <is>
          <t>admin@andreteknikmandiri.co.id</t>
        </is>
      </c>
      <c r="E13" t="inlineStr">
        <is>
          <t>https://lpjk.pu.go.id/search-badan-usaha-detail/eEdaZWZEbm9UQkt4MVRkQ1pXSDB1Zz09</t>
        </is>
      </c>
      <c r="F13" t="n">
        <v>1</v>
      </c>
      <c r="G13" t="inlineStr">
        <is>
          <t>BS009</t>
        </is>
      </c>
      <c r="H13" t="inlineStr">
        <is>
          <t>29 April 2013</t>
        </is>
      </c>
      <c r="I13" s="2" t="n">
        <v>46321</v>
      </c>
      <c r="J13" t="inlineStr">
        <is>
          <t>Disetujui</t>
        </is>
      </c>
      <c r="K13" t="n">
        <v>60</v>
      </c>
      <c r="L13" t="inlineStr">
        <is>
          <t>26 Oktober 2026</t>
        </is>
      </c>
      <c r="M13" t="inlineStr">
        <is>
          <t>Konstruksi Sentral Telekomunikasi</t>
        </is>
      </c>
      <c r="N13" t="inlineStr">
        <is>
          <t>K</t>
        </is>
      </c>
      <c r="O13" t="inlineStr">
        <is>
          <t>20231018</t>
        </is>
      </c>
      <c r="P13" t="inlineStr">
        <is>
          <t>Jawa Timur</t>
        </is>
      </c>
      <c r="Q13" t="inlineStr"/>
    </row>
    <row r="14">
      <c r="A14" t="inlineStr">
        <is>
          <t>ARAYAN TINGANG PAMBELOM</t>
        </is>
      </c>
      <c r="B14" t="inlineStr">
        <is>
          <t>Kota Palangkaraya</t>
        </is>
      </c>
      <c r="C14" t="inlineStr">
        <is>
          <t>081343011415</t>
        </is>
      </c>
      <c r="D14" t="inlineStr">
        <is>
          <t>arayan.pambelom@gmail.com</t>
        </is>
      </c>
      <c r="E14" t="inlineStr">
        <is>
          <t>https://lpjk.pu.go.id/search-badan-usaha-detail/bDZiaTE2YnZ4Sy80Qy9ITk1xdHZzdz09</t>
        </is>
      </c>
      <c r="F14" t="n">
        <v>10</v>
      </c>
      <c r="G14" t="inlineStr">
        <is>
          <t>BG001, BG002, BG005, BG006, BG009</t>
        </is>
      </c>
      <c r="H14" t="inlineStr">
        <is>
          <t>11 Agustus 2020</t>
        </is>
      </c>
      <c r="I14" s="2" t="n">
        <v>46321</v>
      </c>
      <c r="J14" t="inlineStr">
        <is>
          <t>Disetujui</t>
        </is>
      </c>
      <c r="K14" t="n">
        <v>60</v>
      </c>
      <c r="L14" t="inlineStr">
        <is>
          <t>26 Oktober 2026</t>
        </is>
      </c>
      <c r="M14" t="inlineStr">
        <is>
          <t>Konstruksi Gedung Hunian, Konstruksi Gedung Kesehatan, Konstruksi Gedung Lainnya, Konstruksi Gedung Pendidikan, Konstruksi Gedung Perkantoran</t>
        </is>
      </c>
      <c r="N14" t="inlineStr">
        <is>
          <t>K</t>
        </is>
      </c>
      <c r="O14" t="inlineStr">
        <is>
          <t>20231017, 20231018</t>
        </is>
      </c>
      <c r="P14" t="inlineStr">
        <is>
          <t>Kalimantan Tengah</t>
        </is>
      </c>
      <c r="Q14" t="inlineStr"/>
    </row>
    <row r="15">
      <c r="A15" t="inlineStr">
        <is>
          <t>ARIEL GLOBAL KONSTRUKSI</t>
        </is>
      </c>
      <c r="B15" t="inlineStr">
        <is>
          <t>Kab. Lahat</t>
        </is>
      </c>
      <c r="C15" t="inlineStr">
        <is>
          <t>081373766049</t>
        </is>
      </c>
      <c r="D15" t="inlineStr">
        <is>
          <t>globalkonstruksi38@gmail.com</t>
        </is>
      </c>
      <c r="E15" t="inlineStr">
        <is>
          <t>https://lpjk.pu.go.id/search-badan-usaha-detail/VlpjR1ZPVjVwTlVRMWFOMVV6dm5WUT09</t>
        </is>
      </c>
      <c r="F15" t="n">
        <v>4</v>
      </c>
      <c r="G15" t="inlineStr">
        <is>
          <t>BS001, BS004</t>
        </is>
      </c>
      <c r="H15" t="inlineStr">
        <is>
          <t>23 Juni 2023</t>
        </is>
      </c>
      <c r="I15" s="2" t="n">
        <v>46321</v>
      </c>
      <c r="J15" t="inlineStr">
        <is>
          <t>Disetujui</t>
        </is>
      </c>
      <c r="K15" t="n">
        <v>60</v>
      </c>
      <c r="L15" t="inlineStr">
        <is>
          <t>26 Oktober 2026</t>
        </is>
      </c>
      <c r="M15" t="inlineStr">
        <is>
          <t>Konstruksi Bangunan Sipil Jalan, Konstruksi Jaringan Irigasi dan Drainase</t>
        </is>
      </c>
      <c r="N15" t="inlineStr">
        <is>
          <t>K</t>
        </is>
      </c>
      <c r="O15" t="inlineStr">
        <is>
          <t>20230802</t>
        </is>
      </c>
      <c r="P15" t="inlineStr">
        <is>
          <t>Sumatera Selatan</t>
        </is>
      </c>
      <c r="Q15" t="inlineStr"/>
    </row>
    <row r="16">
      <c r="A16" t="inlineStr">
        <is>
          <t>ARMADA</t>
        </is>
      </c>
      <c r="B16" t="inlineStr">
        <is>
          <t>Kab. Tangerang</t>
        </is>
      </c>
      <c r="C16" t="inlineStr">
        <is>
          <t>082298709489</t>
        </is>
      </c>
      <c r="D16" t="inlineStr">
        <is>
          <t>taupikadot@gmail.com</t>
        </is>
      </c>
      <c r="E16" t="inlineStr">
        <is>
          <t>https://lpjk.pu.go.id/search-badan-usaha-detail/WDVkcnNjcHZrbXRNNjhlS0dmY0ozUT09</t>
        </is>
      </c>
      <c r="F16" t="n">
        <v>1</v>
      </c>
      <c r="G16" t="inlineStr">
        <is>
          <t>PL005</t>
        </is>
      </c>
      <c r="H16" t="inlineStr">
        <is>
          <t>21 Mei 2010</t>
        </is>
      </c>
      <c r="I16" s="2" t="n">
        <v>46321</v>
      </c>
      <c r="J16" t="inlineStr">
        <is>
          <t>Pencabutan</t>
        </is>
      </c>
      <c r="K16" t="n">
        <v>60</v>
      </c>
      <c r="L16" t="inlineStr">
        <is>
          <t>26 Oktober 2026</t>
        </is>
      </c>
      <c r="M16" t="inlineStr">
        <is>
          <t>Pembuatan/Pengeboran Sumur Air Tanah</t>
        </is>
      </c>
      <c r="N16" t="inlineStr">
        <is>
          <t>Spesialis</t>
        </is>
      </c>
      <c r="O16" t="inlineStr">
        <is>
          <t>20231026</t>
        </is>
      </c>
      <c r="P16" t="inlineStr">
        <is>
          <t>Banten</t>
        </is>
      </c>
      <c r="Q16" t="inlineStr"/>
    </row>
    <row r="17">
      <c r="A17" t="inlineStr">
        <is>
          <t>ARTHO LAND INDONESIA</t>
        </is>
      </c>
      <c r="B17" t="inlineStr">
        <is>
          <t>Kab. Berau</t>
        </is>
      </c>
      <c r="C17" t="inlineStr">
        <is>
          <t>081258753657</t>
        </is>
      </c>
      <c r="D17" t="inlineStr">
        <is>
          <t>artholandindonesia@gmail.com</t>
        </is>
      </c>
      <c r="E17" t="inlineStr">
        <is>
          <t>https://lpjk.pu.go.id/search-badan-usaha-detail/Ri9mc0pKYkt1NVVQMUlHNEJETE9IQT09</t>
        </is>
      </c>
      <c r="F17" t="n">
        <v>1</v>
      </c>
      <c r="G17" t="inlineStr">
        <is>
          <t>BG001</t>
        </is>
      </c>
      <c r="H17" t="inlineStr">
        <is>
          <t>20 Januari 2022</t>
        </is>
      </c>
      <c r="I17" s="2" t="n">
        <v>46321</v>
      </c>
      <c r="J17" t="inlineStr">
        <is>
          <t>Pencabutan</t>
        </is>
      </c>
      <c r="K17" t="n">
        <v>60</v>
      </c>
      <c r="L17" t="inlineStr">
        <is>
          <t>26 Oktober 2026</t>
        </is>
      </c>
      <c r="M17" t="inlineStr">
        <is>
          <t>Konstruksi Gedung Hunian</t>
        </is>
      </c>
      <c r="N17" t="inlineStr">
        <is>
          <t>K</t>
        </is>
      </c>
      <c r="O17" t="inlineStr">
        <is>
          <t>20230925</t>
        </is>
      </c>
      <c r="P17" t="inlineStr">
        <is>
          <t>Kalimantan Timur</t>
        </is>
      </c>
      <c r="Q17" t="inlineStr"/>
    </row>
    <row r="18">
      <c r="A18" t="inlineStr">
        <is>
          <t>ASMARA KARYA</t>
        </is>
      </c>
      <c r="B18" t="inlineStr">
        <is>
          <t>Kab. Sidoarjo</t>
        </is>
      </c>
      <c r="C18" t="inlineStr">
        <is>
          <t>081357147967</t>
        </is>
      </c>
      <c r="D18" t="inlineStr">
        <is>
          <t>asmara.karya@gmail.com</t>
        </is>
      </c>
      <c r="E18" t="inlineStr">
        <is>
          <t>https://lpjk.pu.go.id/search-badan-usaha-detail/QnVjRUVtbk5ndFBKRWl1TW14Y3o2QT09</t>
        </is>
      </c>
      <c r="F18" t="n">
        <v>3</v>
      </c>
      <c r="G18" t="inlineStr">
        <is>
          <t>BG005, BG006, BG009</t>
        </is>
      </c>
      <c r="H18" t="inlineStr">
        <is>
          <t>12 September 1991</t>
        </is>
      </c>
      <c r="I18" s="2" t="n">
        <v>46321</v>
      </c>
      <c r="J18" t="inlineStr">
        <is>
          <t>Disetujui, Pencabutan</t>
        </is>
      </c>
      <c r="K18" t="n">
        <v>60</v>
      </c>
      <c r="L18" t="inlineStr">
        <is>
          <t>26 Oktober 2026</t>
        </is>
      </c>
      <c r="M18" t="inlineStr">
        <is>
          <t>Konstruksi Gedung Kesehatan, Konstruksi Gedung Lainnya, Konstruksi Gedung Pendidikan</t>
        </is>
      </c>
      <c r="N18" t="inlineStr">
        <is>
          <t>K</t>
        </is>
      </c>
      <c r="O18" t="inlineStr">
        <is>
          <t>20231025</t>
        </is>
      </c>
      <c r="P18" t="inlineStr">
        <is>
          <t>Jawa Timur</t>
        </is>
      </c>
      <c r="Q18" t="inlineStr"/>
    </row>
    <row r="19">
      <c r="A19" t="inlineStr">
        <is>
          <t>BAJA SARI</t>
        </is>
      </c>
      <c r="B19" t="inlineStr">
        <is>
          <t>Kab. Aceh Tamiang</t>
        </is>
      </c>
      <c r="C19" t="inlineStr">
        <is>
          <t>085277888833</t>
        </is>
      </c>
      <c r="D19" t="inlineStr">
        <is>
          <t>bajasaricv@gmail.com</t>
        </is>
      </c>
      <c r="E19" t="inlineStr">
        <is>
          <t>https://lpjk.pu.go.id/search-badan-usaha-detail/bHNUc1BDWUNhd0F6UXc0b1NGMjNkQT09</t>
        </is>
      </c>
      <c r="F19" t="n">
        <v>1</v>
      </c>
      <c r="G19" t="inlineStr">
        <is>
          <t>BG001</t>
        </is>
      </c>
      <c r="H19" t="inlineStr">
        <is>
          <t>14 April 2015</t>
        </is>
      </c>
      <c r="I19" s="2" t="n">
        <v>46321</v>
      </c>
      <c r="J19" t="inlineStr">
        <is>
          <t>Disetujui</t>
        </is>
      </c>
      <c r="K19" t="n">
        <v>60</v>
      </c>
      <c r="L19" t="inlineStr">
        <is>
          <t>26 Oktober 2026</t>
        </is>
      </c>
      <c r="M19" t="inlineStr">
        <is>
          <t>Konstruksi Gedung Hunian</t>
        </is>
      </c>
      <c r="N19" t="inlineStr">
        <is>
          <t>K</t>
        </is>
      </c>
      <c r="O19" t="inlineStr">
        <is>
          <t>20231025</t>
        </is>
      </c>
      <c r="P19" t="inlineStr">
        <is>
          <t>Aceh</t>
        </is>
      </c>
      <c r="Q19" t="inlineStr"/>
    </row>
    <row r="20">
      <c r="A20" t="inlineStr">
        <is>
          <t>BALONG AGUNG</t>
        </is>
      </c>
      <c r="B20" t="inlineStr">
        <is>
          <t>Kab. Nganjuk</t>
        </is>
      </c>
      <c r="C20" t="inlineStr">
        <is>
          <t>081336016667</t>
        </is>
      </c>
      <c r="D20" t="inlineStr">
        <is>
          <t>cvbalongagung@gmail.com</t>
        </is>
      </c>
      <c r="E20" t="inlineStr">
        <is>
          <t>https://lpjk.pu.go.id/search-badan-usaha-detail/RkNiYUhWTm94M3BvL1BJc0d2Znpkdz09</t>
        </is>
      </c>
      <c r="F20" t="n">
        <v>1</v>
      </c>
      <c r="G20" t="inlineStr">
        <is>
          <t>BG005</t>
        </is>
      </c>
      <c r="H20" t="inlineStr">
        <is>
          <t>11 Maret 1981</t>
        </is>
      </c>
      <c r="I20" s="2" t="n">
        <v>46321</v>
      </c>
      <c r="J20" t="inlineStr">
        <is>
          <t>Disetujui</t>
        </is>
      </c>
      <c r="K20" t="n">
        <v>60</v>
      </c>
      <c r="L20" t="inlineStr">
        <is>
          <t>26 Oktober 2026</t>
        </is>
      </c>
      <c r="M20" t="inlineStr">
        <is>
          <t>Konstruksi Gedung Kesehatan</t>
        </is>
      </c>
      <c r="N20" t="inlineStr">
        <is>
          <t>K</t>
        </is>
      </c>
      <c r="O20" t="inlineStr">
        <is>
          <t>20231018</t>
        </is>
      </c>
      <c r="P20" t="inlineStr">
        <is>
          <t>Jawa Timur</t>
        </is>
      </c>
      <c r="Q20" t="inlineStr"/>
    </row>
    <row r="21">
      <c r="A21" t="inlineStr">
        <is>
          <t>BERKAH GAWI ABADI</t>
        </is>
      </c>
      <c r="B21" t="inlineStr">
        <is>
          <t>Kab. Barito Kuala</t>
        </is>
      </c>
      <c r="C21" t="inlineStr">
        <is>
          <t>081351357099</t>
        </is>
      </c>
      <c r="D21" t="inlineStr">
        <is>
          <t>abd.berkahgawi@yahoo.com</t>
        </is>
      </c>
      <c r="E21" t="inlineStr">
        <is>
          <t>https://lpjk.pu.go.id/search-badan-usaha-detail/WkNLNk5OaDVtK3dRb2dheGFnS0F3QT09</t>
        </is>
      </c>
      <c r="F21" t="n">
        <v>2</v>
      </c>
      <c r="G21" t="inlineStr">
        <is>
          <t>BS001</t>
        </is>
      </c>
      <c r="H21" t="inlineStr">
        <is>
          <t>1 September 2023</t>
        </is>
      </c>
      <c r="I21" s="2" t="n">
        <v>46321</v>
      </c>
      <c r="J21" t="inlineStr">
        <is>
          <t>Pencabutan</t>
        </is>
      </c>
      <c r="K21" t="n">
        <v>60</v>
      </c>
      <c r="L21" t="inlineStr">
        <is>
          <t>26 Oktober 2026</t>
        </is>
      </c>
      <c r="M21" t="inlineStr">
        <is>
          <t>Konstruksi Bangunan Sipil Jalan</t>
        </is>
      </c>
      <c r="N21" t="inlineStr">
        <is>
          <t>K</t>
        </is>
      </c>
      <c r="O21" t="inlineStr">
        <is>
          <t>20231019</t>
        </is>
      </c>
      <c r="P21" t="inlineStr">
        <is>
          <t>Kalimantan Selatan</t>
        </is>
      </c>
      <c r="Q21" t="inlineStr"/>
    </row>
    <row r="22">
      <c r="A22" t="inlineStr">
        <is>
          <t>BERKAH INDUSTRI MESIN ANGKAT</t>
        </is>
      </c>
      <c r="B22" t="inlineStr">
        <is>
          <t>Kota Surabaya</t>
        </is>
      </c>
      <c r="C22" t="inlineStr">
        <is>
          <t>03132991598</t>
        </is>
      </c>
      <c r="D22" t="inlineStr">
        <is>
          <t>legal@ptbima.id</t>
        </is>
      </c>
      <c r="E22" t="inlineStr">
        <is>
          <t>https://lpjk.pu.go.id/search-badan-usaha-detail/N0dyV3hLZ0daSml5ejlhUXAxSWduUT09</t>
        </is>
      </c>
      <c r="F22" t="n">
        <v>2</v>
      </c>
      <c r="G22" t="inlineStr">
        <is>
          <t>BG002</t>
        </is>
      </c>
      <c r="H22" t="inlineStr">
        <is>
          <t>10 November 2015</t>
        </is>
      </c>
      <c r="I22" s="2" t="n">
        <v>46321</v>
      </c>
      <c r="J22" t="inlineStr">
        <is>
          <t>Disetujui</t>
        </is>
      </c>
      <c r="K22" t="n">
        <v>60</v>
      </c>
      <c r="L22" t="inlineStr">
        <is>
          <t>26 Oktober 2026</t>
        </is>
      </c>
      <c r="M22" t="inlineStr">
        <is>
          <t>Konstruksi Gedung Perkantoran</t>
        </is>
      </c>
      <c r="N22" t="inlineStr">
        <is>
          <t>K</t>
        </is>
      </c>
      <c r="O22" t="inlineStr">
        <is>
          <t>20231013</t>
        </is>
      </c>
      <c r="P22" t="inlineStr">
        <is>
          <t>Jawa Timur</t>
        </is>
      </c>
      <c r="Q22" t="inlineStr"/>
    </row>
    <row r="23">
      <c r="A23" t="inlineStr">
        <is>
          <t>BERKAH SURYA</t>
        </is>
      </c>
      <c r="B23" t="inlineStr">
        <is>
          <t>Kota Pontianak</t>
        </is>
      </c>
      <c r="C23" t="inlineStr">
        <is>
          <t>05616731244</t>
        </is>
      </c>
      <c r="D23" t="inlineStr">
        <is>
          <t>cvberkahsurya@yahoo.com</t>
        </is>
      </c>
      <c r="E23" t="inlineStr">
        <is>
          <t>https://lpjk.pu.go.id/search-badan-usaha-detail/WDNrYTZlT1BqMUtqd3NhZGhtRUxpdz09</t>
        </is>
      </c>
      <c r="F23" t="n">
        <v>2</v>
      </c>
      <c r="G23" t="inlineStr">
        <is>
          <t>BS001</t>
        </is>
      </c>
      <c r="H23" t="inlineStr">
        <is>
          <t>29 Januari 2011</t>
        </is>
      </c>
      <c r="I23" s="2" t="n">
        <v>46321</v>
      </c>
      <c r="J23" t="inlineStr">
        <is>
          <t>Disetujui</t>
        </is>
      </c>
      <c r="K23" t="n">
        <v>60</v>
      </c>
      <c r="L23" t="inlineStr">
        <is>
          <t>26 Oktober 2026</t>
        </is>
      </c>
      <c r="M23" t="inlineStr">
        <is>
          <t>Konstruksi Bangunan Sipil Jalan</t>
        </is>
      </c>
      <c r="N23" t="inlineStr">
        <is>
          <t>K</t>
        </is>
      </c>
      <c r="O23" t="inlineStr">
        <is>
          <t>20231020</t>
        </is>
      </c>
      <c r="P23" t="inlineStr">
        <is>
          <t>Kalimantan Barat</t>
        </is>
      </c>
      <c r="Q23" t="inlineStr"/>
    </row>
    <row r="24">
      <c r="A24" t="inlineStr">
        <is>
          <t>BERKARYA MANDIRI</t>
        </is>
      </c>
      <c r="B24" t="inlineStr">
        <is>
          <t>Kab. Pacitan</t>
        </is>
      </c>
      <c r="C24" t="inlineStr">
        <is>
          <t>081217003361</t>
        </is>
      </c>
      <c r="D24" t="inlineStr">
        <is>
          <t>berkaryamandiri.pct@gmail.com</t>
        </is>
      </c>
      <c r="E24" t="inlineStr">
        <is>
          <t>https://lpjk.pu.go.id/search-badan-usaha-detail/c3pKQWhZOHFwNHNwd29za2FHZCtIUT09</t>
        </is>
      </c>
      <c r="F24" t="n">
        <v>4</v>
      </c>
      <c r="G24" t="inlineStr">
        <is>
          <t>BG009, BS004</t>
        </is>
      </c>
      <c r="H24" t="inlineStr">
        <is>
          <t>21 Januari 2019</t>
        </is>
      </c>
      <c r="I24" s="2" t="n">
        <v>46321</v>
      </c>
      <c r="J24" t="inlineStr">
        <is>
          <t>Disetujui</t>
        </is>
      </c>
      <c r="K24" t="n">
        <v>60</v>
      </c>
      <c r="L24" t="inlineStr">
        <is>
          <t>26 Oktober 2026</t>
        </is>
      </c>
      <c r="M24" t="inlineStr">
        <is>
          <t>Konstruksi Gedung Lainnya, Konstruksi Jaringan Irigasi dan Drainase</t>
        </is>
      </c>
      <c r="N24" t="inlineStr">
        <is>
          <t>K</t>
        </is>
      </c>
      <c r="O24" t="inlineStr">
        <is>
          <t>20231019</t>
        </is>
      </c>
      <c r="P24" t="inlineStr">
        <is>
          <t>Jawa Timur</t>
        </is>
      </c>
      <c r="Q24" t="inlineStr"/>
    </row>
    <row r="25">
      <c r="A25" t="inlineStr">
        <is>
          <t>BERSAMA GROUP</t>
        </is>
      </c>
      <c r="B25" t="inlineStr">
        <is>
          <t>Kota Medan</t>
        </is>
      </c>
      <c r="C25" t="inlineStr">
        <is>
          <t>081288027317</t>
        </is>
      </c>
      <c r="D25" t="inlineStr">
        <is>
          <t>bersamagroup71@gmail.com</t>
        </is>
      </c>
      <c r="E25" t="inlineStr">
        <is>
          <t>https://lpjk.pu.go.id/search-badan-usaha-detail/bTg4K2NlamlqTGZFRUJLREYxcGZmQT09</t>
        </is>
      </c>
      <c r="F25" t="n">
        <v>1</v>
      </c>
      <c r="G25" t="inlineStr">
        <is>
          <t>BS005</t>
        </is>
      </c>
      <c r="H25" t="inlineStr">
        <is>
          <t>28 Maret 2012</t>
        </is>
      </c>
      <c r="I25" s="2" t="n">
        <v>46321</v>
      </c>
      <c r="J25" t="inlineStr">
        <is>
          <t>Disetujui</t>
        </is>
      </c>
      <c r="K25" t="n">
        <v>60</v>
      </c>
      <c r="L25" t="inlineStr">
        <is>
          <t>26 Oktober 2026</t>
        </is>
      </c>
      <c r="M25" t="inlineStr">
        <is>
          <t>Konstruksi Bangunan Sipil Pengolahan Air Bersih</t>
        </is>
      </c>
      <c r="N25" t="inlineStr">
        <is>
          <t>K</t>
        </is>
      </c>
      <c r="O25" t="inlineStr">
        <is>
          <t>20231026</t>
        </is>
      </c>
      <c r="P25" t="inlineStr">
        <is>
          <t>Sumatera Utara</t>
        </is>
      </c>
      <c r="Q25" t="inlineStr"/>
    </row>
    <row r="26">
      <c r="A26" t="inlineStr">
        <is>
          <t>BINJAY SELATAN</t>
        </is>
      </c>
      <c r="B26" t="inlineStr">
        <is>
          <t>Kab. Sukabumi</t>
        </is>
      </c>
      <c r="C26" t="inlineStr">
        <is>
          <t>081563730134</t>
        </is>
      </c>
      <c r="D26" t="inlineStr">
        <is>
          <t>Cvbinjayselatan@gmail.com</t>
        </is>
      </c>
      <c r="E26" t="inlineStr">
        <is>
          <t>https://lpjk.pu.go.id/search-badan-usaha-detail/WkMyMDNZMDVyeDh4dk41UEFkTVQ0dz09</t>
        </is>
      </c>
      <c r="F26" t="n">
        <v>1</v>
      </c>
      <c r="G26" t="inlineStr">
        <is>
          <t>BG006</t>
        </is>
      </c>
      <c r="H26" t="inlineStr">
        <is>
          <t>7 April 2022</t>
        </is>
      </c>
      <c r="I26" s="2" t="n">
        <v>46321</v>
      </c>
      <c r="J26" t="inlineStr">
        <is>
          <t>Disetujui</t>
        </is>
      </c>
      <c r="K26" t="n">
        <v>60</v>
      </c>
      <c r="L26" t="inlineStr">
        <is>
          <t>26 Oktober 2026</t>
        </is>
      </c>
      <c r="M26" t="inlineStr">
        <is>
          <t>Konstruksi Gedung Pendidikan</t>
        </is>
      </c>
      <c r="N26" t="inlineStr">
        <is>
          <t>K</t>
        </is>
      </c>
      <c r="O26" t="inlineStr">
        <is>
          <t>20231027</t>
        </is>
      </c>
      <c r="P26" t="inlineStr">
        <is>
          <t>Jawa Barat</t>
        </is>
      </c>
      <c r="Q26" t="inlineStr"/>
    </row>
    <row r="27">
      <c r="A27" t="inlineStr">
        <is>
          <t>BONANZA SUKSES BERSAMA</t>
        </is>
      </c>
      <c r="B27" t="inlineStr">
        <is>
          <t>Kota Cilegon</t>
        </is>
      </c>
      <c r="C27" t="inlineStr">
        <is>
          <t>083192333904</t>
        </is>
      </c>
      <c r="D27" t="inlineStr">
        <is>
          <t>bonanzasukses.pt@gmail.com</t>
        </is>
      </c>
      <c r="E27" t="inlineStr">
        <is>
          <t>https://lpjk.pu.go.id/search-badan-usaha-detail/VXR4OWVoU1RoV1pxS3QzbFNURUpZUT09</t>
        </is>
      </c>
      <c r="F27" t="n">
        <v>6</v>
      </c>
      <c r="G27" t="inlineStr">
        <is>
          <t>BG002, BG003, BG009</t>
        </is>
      </c>
      <c r="H27" t="inlineStr">
        <is>
          <t>17 Juli 2018</t>
        </is>
      </c>
      <c r="I27" s="2" t="n">
        <v>46321</v>
      </c>
      <c r="J27" t="inlineStr">
        <is>
          <t>Pencabutan</t>
        </is>
      </c>
      <c r="K27" t="n">
        <v>60</v>
      </c>
      <c r="L27" t="inlineStr">
        <is>
          <t>26 Oktober 2026</t>
        </is>
      </c>
      <c r="M27" t="inlineStr">
        <is>
          <t>Konstruksi Gedung Industri, Konstruksi Gedung Lainnya, Konstruksi Gedung Perkantoran</t>
        </is>
      </c>
      <c r="N27" t="inlineStr">
        <is>
          <t>K</t>
        </is>
      </c>
      <c r="O27" t="inlineStr">
        <is>
          <t>20231015</t>
        </is>
      </c>
      <c r="P27" t="inlineStr">
        <is>
          <t>Banten</t>
        </is>
      </c>
      <c r="Q27" t="inlineStr"/>
    </row>
    <row r="28">
      <c r="A28" t="inlineStr">
        <is>
          <t>BUDI KARYA</t>
        </is>
      </c>
      <c r="B28" t="inlineStr">
        <is>
          <t>Kab. Tabanan</t>
        </is>
      </c>
      <c r="C28" t="inlineStr">
        <is>
          <t>0361811974</t>
        </is>
      </c>
      <c r="D28" t="inlineStr">
        <is>
          <t>cv.budikarya.85@gmail.com</t>
        </is>
      </c>
      <c r="E28" t="inlineStr">
        <is>
          <t>https://lpjk.pu.go.id/search-badan-usaha-detail/bjZLeTlNZkdDNUdUZkxLVmJaTUJSQT09</t>
        </is>
      </c>
      <c r="F28" t="n">
        <v>1</v>
      </c>
      <c r="G28" t="inlineStr">
        <is>
          <t>BS004</t>
        </is>
      </c>
      <c r="H28" t="inlineStr">
        <is>
          <t>3 Juni 1996</t>
        </is>
      </c>
      <c r="I28" s="2" t="n">
        <v>46321</v>
      </c>
      <c r="J28" t="inlineStr">
        <is>
          <t>Disetujui</t>
        </is>
      </c>
      <c r="K28" t="n">
        <v>60</v>
      </c>
      <c r="L28" t="inlineStr">
        <is>
          <t>26 Oktober 2026</t>
        </is>
      </c>
      <c r="M28" t="inlineStr">
        <is>
          <t>Konstruksi Jaringan Irigasi dan Drainase</t>
        </is>
      </c>
      <c r="N28" t="inlineStr">
        <is>
          <t>K</t>
        </is>
      </c>
      <c r="O28" t="inlineStr">
        <is>
          <t>20231018</t>
        </is>
      </c>
      <c r="P28" t="inlineStr">
        <is>
          <t>Bali</t>
        </is>
      </c>
      <c r="Q28" t="inlineStr"/>
    </row>
    <row r="29">
      <c r="A29" t="inlineStr">
        <is>
          <t>BUKIT SEJAHTERA</t>
        </is>
      </c>
      <c r="B29" t="inlineStr">
        <is>
          <t>Kab. Banyuwangi</t>
        </is>
      </c>
      <c r="C29" t="inlineStr">
        <is>
          <t>081233106985</t>
        </is>
      </c>
      <c r="D29" t="inlineStr">
        <is>
          <t>bukitsejahtera.cv@gmail.com</t>
        </is>
      </c>
      <c r="E29" t="inlineStr">
        <is>
          <t>https://lpjk.pu.go.id/search-badan-usaha-detail/R0h5UEhmQ1BOUXZVelJTRUhiNmpGZz09</t>
        </is>
      </c>
      <c r="F29" t="n">
        <v>3</v>
      </c>
      <c r="G29" t="inlineStr">
        <is>
          <t>BS001, BS002, BS004</t>
        </is>
      </c>
      <c r="H29" t="inlineStr">
        <is>
          <t>20 Januari 2016</t>
        </is>
      </c>
      <c r="I29" s="2" t="n">
        <v>46321</v>
      </c>
      <c r="J29" t="inlineStr">
        <is>
          <t>Disetujui</t>
        </is>
      </c>
      <c r="K29" t="n">
        <v>60</v>
      </c>
      <c r="L29" t="inlineStr">
        <is>
          <t>26 Oktober 2026</t>
        </is>
      </c>
      <c r="M29" t="inlineStr">
        <is>
          <t>Bangunan Sipil Jembatan, Jalan Layang, Fly Over, dan Underpass, Konstruksi Bangunan Sipil Jalan, Konstruksi Jaringan Irigasi dan Drainase</t>
        </is>
      </c>
      <c r="N29" t="inlineStr">
        <is>
          <t>K</t>
        </is>
      </c>
      <c r="O29" t="inlineStr">
        <is>
          <t>20231024, 20231027</t>
        </is>
      </c>
      <c r="P29" t="inlineStr">
        <is>
          <t>Jawa Timur</t>
        </is>
      </c>
      <c r="Q29" t="inlineStr"/>
    </row>
    <row r="30">
      <c r="A30" t="inlineStr">
        <is>
          <t>BUMI LUKE PUTRA MANDIRI</t>
        </is>
      </c>
      <c r="B30" t="inlineStr">
        <is>
          <t>Kota Surabaya</t>
        </is>
      </c>
      <c r="C30" t="inlineStr">
        <is>
          <t>081236752719</t>
        </is>
      </c>
      <c r="D30" t="inlineStr">
        <is>
          <t>bumilukeputramandiri@gmail.com</t>
        </is>
      </c>
      <c r="E30" t="inlineStr">
        <is>
          <t>https://lpjk.pu.go.id/search-badan-usaha-detail/ZjVUOCtmTkNidzlJUlNUajIvMktCZz09</t>
        </is>
      </c>
      <c r="F30" t="n">
        <v>1</v>
      </c>
      <c r="G30" t="inlineStr">
        <is>
          <t>BS011</t>
        </is>
      </c>
      <c r="H30" t="inlineStr">
        <is>
          <t>13 Juli 2023</t>
        </is>
      </c>
      <c r="I30" s="2" t="n">
        <v>46321</v>
      </c>
      <c r="J30" t="inlineStr">
        <is>
          <t>Disetujui</t>
        </is>
      </c>
      <c r="K30" t="n">
        <v>60</v>
      </c>
      <c r="L30" t="inlineStr">
        <is>
          <t>26 Oktober 2026</t>
        </is>
      </c>
      <c r="M30" t="inlineStr">
        <is>
          <t>Konstruksi Bangunan Pelabuhan Bukan Perikanan</t>
        </is>
      </c>
      <c r="N30" t="inlineStr">
        <is>
          <t>K</t>
        </is>
      </c>
      <c r="O30" t="inlineStr">
        <is>
          <t>20231009</t>
        </is>
      </c>
      <c r="P30" t="inlineStr">
        <is>
          <t>Jawa Timur</t>
        </is>
      </c>
      <c r="Q30" t="inlineStr"/>
    </row>
    <row r="31">
      <c r="A31" t="inlineStr">
        <is>
          <t>BUMI MAS MANDIRI</t>
        </is>
      </c>
      <c r="B31" t="inlineStr">
        <is>
          <t>Kab. Ogan Ilir</t>
        </is>
      </c>
      <c r="C31" t="inlineStr">
        <is>
          <t>082280358319</t>
        </is>
      </c>
      <c r="D31" t="inlineStr">
        <is>
          <t>bumimasmandiri7@gmail.com</t>
        </is>
      </c>
      <c r="E31" t="inlineStr">
        <is>
          <t>https://lpjk.pu.go.id/search-badan-usaha-detail/QVpBejg4VEZiOWlLQ1hZRmxSeTB5QT09</t>
        </is>
      </c>
      <c r="F31" t="n">
        <v>1</v>
      </c>
      <c r="G31" t="inlineStr">
        <is>
          <t>BS001</t>
        </is>
      </c>
      <c r="H31" t="inlineStr">
        <is>
          <t>21 September 2020</t>
        </is>
      </c>
      <c r="I31" s="2" t="n">
        <v>46321</v>
      </c>
      <c r="J31" t="inlineStr">
        <is>
          <t>Disetujui</t>
        </is>
      </c>
      <c r="K31" t="n">
        <v>60</v>
      </c>
      <c r="L31" t="inlineStr">
        <is>
          <t>26 Oktober 2026</t>
        </is>
      </c>
      <c r="M31" t="inlineStr">
        <is>
          <t>Konstruksi Bangunan Sipil Jalan</t>
        </is>
      </c>
      <c r="N31" t="inlineStr">
        <is>
          <t>K</t>
        </is>
      </c>
      <c r="O31" t="inlineStr">
        <is>
          <t>20231026</t>
        </is>
      </c>
      <c r="P31" t="inlineStr">
        <is>
          <t>Sumatera Selatan</t>
        </is>
      </c>
      <c r="Q31" t="inlineStr"/>
    </row>
    <row r="32">
      <c r="A32" t="inlineStr">
        <is>
          <t>CAHYA SEJAHTERA</t>
        </is>
      </c>
      <c r="B32" t="inlineStr">
        <is>
          <t>Kab. Sampang</t>
        </is>
      </c>
      <c r="C32" t="inlineStr">
        <is>
          <t>087750010308</t>
        </is>
      </c>
      <c r="D32" t="inlineStr">
        <is>
          <t>cahyasejahteracv@gmail.com</t>
        </is>
      </c>
      <c r="E32" t="inlineStr">
        <is>
          <t>https://lpjk.pu.go.id/search-badan-usaha-detail/aVpibnN0VmZHalZ1K2lwYUtRdU44dz09</t>
        </is>
      </c>
      <c r="F32" t="n">
        <v>1</v>
      </c>
      <c r="G32" t="inlineStr">
        <is>
          <t>BG006</t>
        </is>
      </c>
      <c r="H32" t="inlineStr">
        <is>
          <t>4 Maret 2020</t>
        </is>
      </c>
      <c r="I32" s="2" t="n">
        <v>46321</v>
      </c>
      <c r="J32" t="inlineStr">
        <is>
          <t>Disetujui</t>
        </is>
      </c>
      <c r="K32" t="n">
        <v>60</v>
      </c>
      <c r="L32" t="inlineStr">
        <is>
          <t>26 Oktober 2026</t>
        </is>
      </c>
      <c r="M32" t="inlineStr">
        <is>
          <t>Konstruksi Gedung Pendidikan</t>
        </is>
      </c>
      <c r="N32" t="inlineStr">
        <is>
          <t>K</t>
        </is>
      </c>
      <c r="O32" t="inlineStr">
        <is>
          <t>20231026</t>
        </is>
      </c>
      <c r="P32" t="inlineStr">
        <is>
          <t>Jawa Timur</t>
        </is>
      </c>
      <c r="Q32" t="inlineStr"/>
    </row>
    <row r="33">
      <c r="A33" t="inlineStr">
        <is>
          <t>CITRA DELTA MAKMUR</t>
        </is>
      </c>
      <c r="B33" t="inlineStr">
        <is>
          <t>Kab. Sidoarjo</t>
        </is>
      </c>
      <c r="C33" t="inlineStr">
        <is>
          <t>03199005858</t>
        </is>
      </c>
      <c r="D33" t="inlineStr">
        <is>
          <t>smcitradelta@gmail.com</t>
        </is>
      </c>
      <c r="E33" t="inlineStr">
        <is>
          <t>https://lpjk.pu.go.id/search-badan-usaha-detail/anZBRzBwMk8rK2RYZEhqYXdteEprUT09</t>
        </is>
      </c>
      <c r="F33" t="n">
        <v>1</v>
      </c>
      <c r="G33" t="inlineStr">
        <is>
          <t>BS009</t>
        </is>
      </c>
      <c r="H33" t="inlineStr">
        <is>
          <t>26 Maret 2012</t>
        </is>
      </c>
      <c r="I33" s="2" t="n">
        <v>46321</v>
      </c>
      <c r="J33" t="inlineStr">
        <is>
          <t>Disetujui</t>
        </is>
      </c>
      <c r="K33" t="n">
        <v>60</v>
      </c>
      <c r="L33" t="inlineStr">
        <is>
          <t>26 Oktober 2026</t>
        </is>
      </c>
      <c r="M33" t="inlineStr">
        <is>
          <t>Konstruksi Sentral Telekomunikasi</t>
        </is>
      </c>
      <c r="N33" t="inlineStr">
        <is>
          <t>K</t>
        </is>
      </c>
      <c r="O33" t="inlineStr">
        <is>
          <t>20231027</t>
        </is>
      </c>
      <c r="P33" t="inlineStr">
        <is>
          <t>Jawa Timur</t>
        </is>
      </c>
      <c r="Q33" t="inlineStr"/>
    </row>
    <row r="34">
      <c r="A34" t="inlineStr">
        <is>
          <t>CITRA SEMBILANSATU</t>
        </is>
      </c>
      <c r="B34" t="inlineStr">
        <is>
          <t>Kota Adm. Jakarta Utara</t>
        </is>
      </c>
      <c r="C34" t="inlineStr">
        <is>
          <t>02129375521</t>
        </is>
      </c>
      <c r="D34" t="inlineStr">
        <is>
          <t>mail.citra91@citra91.net</t>
        </is>
      </c>
      <c r="E34" t="inlineStr">
        <is>
          <t>https://lpjk.pu.go.id/search-badan-usaha-detail/RjdNRDV5b2tqY3J6SDZMNFphRXdhQT09</t>
        </is>
      </c>
      <c r="F34" t="n">
        <v>2</v>
      </c>
      <c r="G34" t="inlineStr">
        <is>
          <t>BG002, BG009</t>
        </is>
      </c>
      <c r="H34" t="inlineStr">
        <is>
          <t>28 Agustus 1991</t>
        </is>
      </c>
      <c r="I34" s="2" t="n">
        <v>46321</v>
      </c>
      <c r="J34" t="inlineStr">
        <is>
          <t>Disetujui</t>
        </is>
      </c>
      <c r="K34" t="n">
        <v>60</v>
      </c>
      <c r="L34" t="inlineStr">
        <is>
          <t>26 Oktober 2026</t>
        </is>
      </c>
      <c r="M34" t="inlineStr">
        <is>
          <t>Konstruksi Gedung Lainnya, Konstruksi Gedung Perkantoran</t>
        </is>
      </c>
      <c r="N34" t="inlineStr">
        <is>
          <t>K</t>
        </is>
      </c>
      <c r="O34" t="inlineStr">
        <is>
          <t>20231020</t>
        </is>
      </c>
      <c r="P34" t="inlineStr">
        <is>
          <t>DKI Jakarta</t>
        </is>
      </c>
      <c r="Q34" t="inlineStr"/>
    </row>
    <row r="35">
      <c r="A35" t="inlineStr">
        <is>
          <t>DAUROH QOLBIYAH</t>
        </is>
      </c>
      <c r="B35" t="inlineStr">
        <is>
          <t>Kab. Karawang</t>
        </is>
      </c>
      <c r="C35" t="inlineStr">
        <is>
          <t>081311630371</t>
        </is>
      </c>
      <c r="D35" t="inlineStr">
        <is>
          <t>spt.daurohqolbiyah@gmail.com</t>
        </is>
      </c>
      <c r="E35" t="inlineStr">
        <is>
          <t>https://lpjk.pu.go.id/search-badan-usaha-detail/Nkp2eGtNTGk0cERZRmZiVXdSbDlYdz09</t>
        </is>
      </c>
      <c r="F35" t="n">
        <v>1</v>
      </c>
      <c r="G35" t="inlineStr">
        <is>
          <t>BG001</t>
        </is>
      </c>
      <c r="H35" t="inlineStr">
        <is>
          <t>8 September 2014</t>
        </is>
      </c>
      <c r="I35" s="2" t="n">
        <v>46321</v>
      </c>
      <c r="J35" t="inlineStr">
        <is>
          <t>Disetujui</t>
        </is>
      </c>
      <c r="K35" t="n">
        <v>60</v>
      </c>
      <c r="L35" t="inlineStr">
        <is>
          <t>26 Oktober 2026</t>
        </is>
      </c>
      <c r="M35" t="inlineStr">
        <is>
          <t>Konstruksi Gedung Hunian</t>
        </is>
      </c>
      <c r="N35" t="inlineStr">
        <is>
          <t>K</t>
        </is>
      </c>
      <c r="O35" t="inlineStr">
        <is>
          <t>20231026</t>
        </is>
      </c>
      <c r="P35" t="inlineStr">
        <is>
          <t>Jawa Barat</t>
        </is>
      </c>
      <c r="Q35" t="inlineStr"/>
    </row>
    <row r="36">
      <c r="A36" t="inlineStr">
        <is>
          <t>DUTANIAGA KONSTRUKSI</t>
        </is>
      </c>
      <c r="B36" t="inlineStr">
        <is>
          <t>Kab. Blitar</t>
        </is>
      </c>
      <c r="C36" t="inlineStr">
        <is>
          <t>0342562953</t>
        </is>
      </c>
      <c r="D36" t="inlineStr">
        <is>
          <t>cv.dutaniaga1@yahoo.com</t>
        </is>
      </c>
      <c r="E36" t="inlineStr">
        <is>
          <t>https://lpjk.pu.go.id/search-badan-usaha-detail/SXVJZW56ZzJuUWo5c0VEVk0vZnVBdz09</t>
        </is>
      </c>
      <c r="F36" t="n">
        <v>2</v>
      </c>
      <c r="G36" t="inlineStr">
        <is>
          <t>BG006, BG009</t>
        </is>
      </c>
      <c r="H36" t="inlineStr">
        <is>
          <t>8 Agustus 2005</t>
        </is>
      </c>
      <c r="I36" s="2" t="n">
        <v>46321</v>
      </c>
      <c r="J36" t="inlineStr">
        <is>
          <t>Disetujui</t>
        </is>
      </c>
      <c r="K36" t="n">
        <v>60</v>
      </c>
      <c r="L36" t="inlineStr">
        <is>
          <t>26 Oktober 2026</t>
        </is>
      </c>
      <c r="M36" t="inlineStr">
        <is>
          <t>Konstruksi Gedung Lainnya, Konstruksi Gedung Pendidikan</t>
        </is>
      </c>
      <c r="N36" t="inlineStr">
        <is>
          <t>K</t>
        </is>
      </c>
      <c r="O36" t="inlineStr">
        <is>
          <t>20231026</t>
        </is>
      </c>
      <c r="P36" t="inlineStr">
        <is>
          <t>Jawa Timur</t>
        </is>
      </c>
      <c r="Q36" t="inlineStr"/>
    </row>
    <row r="37">
      <c r="A37" t="inlineStr">
        <is>
          <t>ELSA NUREGA</t>
        </is>
      </c>
      <c r="B37" t="inlineStr">
        <is>
          <t>Kab. Gunungkidul</t>
        </is>
      </c>
      <c r="C37" t="inlineStr">
        <is>
          <t>0882008379708</t>
        </is>
      </c>
      <c r="D37" t="inlineStr">
        <is>
          <t>enurega@yahoo.com</t>
        </is>
      </c>
      <c r="E37" t="inlineStr">
        <is>
          <t>https://lpjk.pu.go.id/search-badan-usaha-detail/eGxiYVc0M0xFMEJEWVhpNnpRcjg1QT09</t>
        </is>
      </c>
      <c r="F37" t="n">
        <v>1</v>
      </c>
      <c r="G37" t="inlineStr">
        <is>
          <t>BG003</t>
        </is>
      </c>
      <c r="H37" t="inlineStr">
        <is>
          <t>1 Mei 2007</t>
        </is>
      </c>
      <c r="I37" s="2" t="n">
        <v>46321</v>
      </c>
      <c r="J37" t="inlineStr">
        <is>
          <t>Disetujui</t>
        </is>
      </c>
      <c r="K37" t="n">
        <v>60</v>
      </c>
      <c r="L37" t="inlineStr">
        <is>
          <t>26 Oktober 2026</t>
        </is>
      </c>
      <c r="M37" t="inlineStr">
        <is>
          <t>Konstruksi Gedung Industri</t>
        </is>
      </c>
      <c r="N37" t="inlineStr">
        <is>
          <t>K</t>
        </is>
      </c>
      <c r="O37" t="inlineStr">
        <is>
          <t>20231018</t>
        </is>
      </c>
      <c r="P37" t="inlineStr">
        <is>
          <t>DI Yogyakarta</t>
        </is>
      </c>
      <c r="Q37" t="inlineStr"/>
    </row>
    <row r="38">
      <c r="A38" t="inlineStr">
        <is>
          <t>ELVANNARA DWIDAYA SAKTI</t>
        </is>
      </c>
      <c r="B38" t="inlineStr">
        <is>
          <t>Kab. Cirebon</t>
        </is>
      </c>
      <c r="C38" t="inlineStr">
        <is>
          <t>08122340328</t>
        </is>
      </c>
      <c r="D38" t="inlineStr">
        <is>
          <t>elvannara.ds@gmail.com</t>
        </is>
      </c>
      <c r="E38" t="inlineStr">
        <is>
          <t>https://lpjk.pu.go.id/search-badan-usaha-detail/dTNRTm9lWVB4T1lnbXUvaUUraFBRQT09</t>
        </is>
      </c>
      <c r="F38" t="n">
        <v>1</v>
      </c>
      <c r="G38" t="inlineStr">
        <is>
          <t>BS004</t>
        </is>
      </c>
      <c r="H38" t="inlineStr">
        <is>
          <t>15 Januari 2021</t>
        </is>
      </c>
      <c r="I38" s="2" t="n">
        <v>46321</v>
      </c>
      <c r="J38" t="inlineStr">
        <is>
          <t>Disetujui</t>
        </is>
      </c>
      <c r="K38" t="n">
        <v>60</v>
      </c>
      <c r="L38" t="inlineStr">
        <is>
          <t>26 Oktober 2026</t>
        </is>
      </c>
      <c r="M38" t="inlineStr">
        <is>
          <t>Konstruksi Jaringan Irigasi dan Drainase</t>
        </is>
      </c>
      <c r="N38" t="inlineStr">
        <is>
          <t>K</t>
        </is>
      </c>
      <c r="O38" t="inlineStr">
        <is>
          <t>20231026</t>
        </is>
      </c>
      <c r="P38" t="inlineStr">
        <is>
          <t>Jawa Barat</t>
        </is>
      </c>
      <c r="Q38" t="inlineStr"/>
    </row>
    <row r="39">
      <c r="A39" t="inlineStr">
        <is>
          <t>GRAHA ANUGERAH SUKSES</t>
        </is>
      </c>
      <c r="B39" t="inlineStr">
        <is>
          <t>Kab. Tangerang</t>
        </is>
      </c>
      <c r="C39" t="inlineStr">
        <is>
          <t>081380640575</t>
        </is>
      </c>
      <c r="D39" t="inlineStr">
        <is>
          <t>gas2022.cv@gmail.com</t>
        </is>
      </c>
      <c r="E39" t="inlineStr">
        <is>
          <t>https://lpjk.pu.go.id/search-badan-usaha-detail/YWliZHhKSzNnSTVwalZYNHJZdWNyUT09</t>
        </is>
      </c>
      <c r="F39" t="n">
        <v>1</v>
      </c>
      <c r="G39" t="inlineStr">
        <is>
          <t>BS016</t>
        </is>
      </c>
      <c r="H39" t="inlineStr">
        <is>
          <t>21 Desember 2022</t>
        </is>
      </c>
      <c r="I39" s="2" t="n">
        <v>46321</v>
      </c>
      <c r="J39" t="inlineStr">
        <is>
          <t>Disetujui</t>
        </is>
      </c>
      <c r="K39" t="n">
        <v>60</v>
      </c>
      <c r="L39" t="inlineStr">
        <is>
          <t>26 Oktober 2026</t>
        </is>
      </c>
      <c r="M39" t="inlineStr">
        <is>
          <t>Konstruksi Bangunan Sipil Fasilitas Olah Raga</t>
        </is>
      </c>
      <c r="N39" t="inlineStr">
        <is>
          <t>K</t>
        </is>
      </c>
      <c r="O39" t="inlineStr">
        <is>
          <t>20231026</t>
        </is>
      </c>
      <c r="P39" t="inlineStr">
        <is>
          <t>Banten</t>
        </is>
      </c>
      <c r="Q39" t="inlineStr"/>
    </row>
    <row r="40">
      <c r="A40" t="inlineStr">
        <is>
          <t>HASBI KARYA</t>
        </is>
      </c>
      <c r="B40" t="inlineStr">
        <is>
          <t>Kab. Majalengka</t>
        </is>
      </c>
      <c r="C40" t="inlineStr">
        <is>
          <t>081322876547</t>
        </is>
      </c>
      <c r="D40" t="inlineStr">
        <is>
          <t>cvhasbikarya@gmail.com</t>
        </is>
      </c>
      <c r="E40" t="inlineStr">
        <is>
          <t>https://lpjk.pu.go.id/search-badan-usaha-detail/VHpydFpMaDNWNjRzaDFJYjdiVTlFQT09</t>
        </is>
      </c>
      <c r="F40" t="n">
        <v>3</v>
      </c>
      <c r="G40" t="inlineStr">
        <is>
          <t>BG006, BS001, BS004</t>
        </is>
      </c>
      <c r="H40" t="inlineStr">
        <is>
          <t>18 Agustus 2020</t>
        </is>
      </c>
      <c r="I40" s="2" t="n">
        <v>46321</v>
      </c>
      <c r="J40" t="inlineStr">
        <is>
          <t>Disetujui</t>
        </is>
      </c>
      <c r="K40" t="n">
        <v>60</v>
      </c>
      <c r="L40" t="inlineStr">
        <is>
          <t>26 Oktober 2026</t>
        </is>
      </c>
      <c r="M40" t="inlineStr">
        <is>
          <t>Konstruksi Bangunan Sipil Jalan, Konstruksi Gedung Pendidikan, Konstruksi Jaringan Irigasi dan Drainase</t>
        </is>
      </c>
      <c r="N40" t="inlineStr">
        <is>
          <t>K</t>
        </is>
      </c>
      <c r="O40" t="inlineStr">
        <is>
          <t>20231027</t>
        </is>
      </c>
      <c r="P40" t="inlineStr">
        <is>
          <t>Jawa Barat</t>
        </is>
      </c>
      <c r="Q40" t="inlineStr"/>
    </row>
    <row r="41">
      <c r="A41" t="inlineStr">
        <is>
          <t>HEXA PRIMA PERKASA</t>
        </is>
      </c>
      <c r="B41" t="inlineStr">
        <is>
          <t>Kota Bandung</t>
        </is>
      </c>
      <c r="C41" t="inlineStr">
        <is>
          <t>022-87310383</t>
        </is>
      </c>
      <c r="D41" t="inlineStr">
        <is>
          <t>hexaprima.perkasa@gmail.com</t>
        </is>
      </c>
      <c r="E41" t="inlineStr">
        <is>
          <t>https://lpjk.pu.go.id/search-badan-usaha-detail/YVFTSGVSNFQ4WDl3SmFEWlZXMHBPQT09</t>
        </is>
      </c>
      <c r="F41" t="n">
        <v>2</v>
      </c>
      <c r="G41" t="inlineStr">
        <is>
          <t>BS010</t>
        </is>
      </c>
      <c r="H41" t="inlineStr">
        <is>
          <t>25 Juli 2008</t>
        </is>
      </c>
      <c r="I41" s="2" t="n">
        <v>46321</v>
      </c>
      <c r="J41" t="inlineStr">
        <is>
          <t>Pencabutan</t>
        </is>
      </c>
      <c r="K41" t="n">
        <v>60</v>
      </c>
      <c r="L41" t="inlineStr">
        <is>
          <t>26 Oktober 2026</t>
        </is>
      </c>
      <c r="M41" t="inlineStr">
        <is>
          <t>Konstruksi Bangunan Prasarana Sumber Daya Air</t>
        </is>
      </c>
      <c r="N41" t="inlineStr">
        <is>
          <t>M</t>
        </is>
      </c>
      <c r="O41" t="inlineStr">
        <is>
          <t>20230915</t>
        </is>
      </c>
      <c r="P41" t="inlineStr">
        <is>
          <t>Jawa Barat</t>
        </is>
      </c>
      <c r="Q41" t="inlineStr"/>
    </row>
    <row r="42">
      <c r="A42" t="inlineStr">
        <is>
          <t>HUTAMA YASA</t>
        </is>
      </c>
      <c r="B42" t="inlineStr">
        <is>
          <t>Kab. Gunungkidul</t>
        </is>
      </c>
      <c r="C42" t="inlineStr">
        <is>
          <t>085228936168</t>
        </is>
      </c>
      <c r="D42" t="inlineStr">
        <is>
          <t>hutamayasa4@gmail.com</t>
        </is>
      </c>
      <c r="E42" t="inlineStr">
        <is>
          <t>https://lpjk.pu.go.id/search-badan-usaha-detail/Y2NrbFNwUm5FcUZGS3FsTU94Z2JmUT09</t>
        </is>
      </c>
      <c r="F42" t="n">
        <v>6</v>
      </c>
      <c r="G42" t="inlineStr">
        <is>
          <t>BG006, BS001, BS004</t>
        </is>
      </c>
      <c r="H42" t="inlineStr">
        <is>
          <t>10 Desember 1985</t>
        </is>
      </c>
      <c r="I42" s="2" t="n">
        <v>46321</v>
      </c>
      <c r="J42" t="inlineStr">
        <is>
          <t>Disetujui</t>
        </is>
      </c>
      <c r="K42" t="n">
        <v>60</v>
      </c>
      <c r="L42" t="inlineStr">
        <is>
          <t>26 Oktober 2026</t>
        </is>
      </c>
      <c r="M42" t="inlineStr">
        <is>
          <t>Konstruksi Bangunan Sipil Jalan, Konstruksi Gedung Pendidikan, Konstruksi Jaringan Irigasi dan Drainase</t>
        </is>
      </c>
      <c r="N42" t="inlineStr">
        <is>
          <t>K</t>
        </is>
      </c>
      <c r="O42" t="inlineStr">
        <is>
          <t>20231024, 20231026</t>
        </is>
      </c>
      <c r="P42" t="inlineStr">
        <is>
          <t>DI Yogyakarta</t>
        </is>
      </c>
      <c r="Q42" t="inlineStr"/>
    </row>
    <row r="43">
      <c r="A43" t="inlineStr">
        <is>
          <t>INTAN &amp; CO</t>
        </is>
      </c>
      <c r="B43" t="inlineStr">
        <is>
          <t>Kab. Purwakarta</t>
        </is>
      </c>
      <c r="C43" t="inlineStr">
        <is>
          <t>081214333369</t>
        </is>
      </c>
      <c r="D43" t="inlineStr">
        <is>
          <t>intanandco.cv@gmail.com</t>
        </is>
      </c>
      <c r="E43" t="inlineStr">
        <is>
          <t>https://lpjk.pu.go.id/search-badan-usaha-detail/c0pIbEdneGJzR1VicWlsSjZIN01oQT09</t>
        </is>
      </c>
      <c r="F43" t="n">
        <v>1</v>
      </c>
      <c r="G43" t="inlineStr">
        <is>
          <t>BG005</t>
        </is>
      </c>
      <c r="H43" t="inlineStr">
        <is>
          <t>20 Februari 1983</t>
        </is>
      </c>
      <c r="I43" s="2" t="n">
        <v>46321</v>
      </c>
      <c r="J43" t="inlineStr">
        <is>
          <t>Disetujui</t>
        </is>
      </c>
      <c r="K43" t="n">
        <v>60</v>
      </c>
      <c r="L43" t="inlineStr">
        <is>
          <t>26 Oktober 2026</t>
        </is>
      </c>
      <c r="M43" t="inlineStr">
        <is>
          <t>Konstruksi Gedung Kesehatan</t>
        </is>
      </c>
      <c r="N43" t="inlineStr">
        <is>
          <t>K</t>
        </is>
      </c>
      <c r="O43" t="inlineStr">
        <is>
          <t>20231026</t>
        </is>
      </c>
      <c r="P43" t="inlineStr">
        <is>
          <t>Jawa Barat</t>
        </is>
      </c>
      <c r="Q43" t="inlineStr"/>
    </row>
    <row r="44">
      <c r="A44" t="inlineStr">
        <is>
          <t>JAYA PRIMA</t>
        </is>
      </c>
      <c r="B44" t="inlineStr">
        <is>
          <t>Kota Palembang</t>
        </is>
      </c>
      <c r="C44" t="inlineStr">
        <is>
          <t>082281180330</t>
        </is>
      </c>
      <c r="D44" t="inlineStr">
        <is>
          <t>pujianto.777@yahoo.com</t>
        </is>
      </c>
      <c r="E44" t="inlineStr">
        <is>
          <t>https://lpjk.pu.go.id/search-badan-usaha-detail/ZTliM2p1RGp3UXlvV3ovQnVSWHFUdz09</t>
        </is>
      </c>
      <c r="F44" t="n">
        <v>1</v>
      </c>
      <c r="G44" t="inlineStr">
        <is>
          <t>BG002</t>
        </is>
      </c>
      <c r="H44" t="inlineStr">
        <is>
          <t>17 Mei 1990</t>
        </is>
      </c>
      <c r="I44" s="2" t="n">
        <v>46321</v>
      </c>
      <c r="J44" t="inlineStr">
        <is>
          <t>Disetujui</t>
        </is>
      </c>
      <c r="K44" t="n">
        <v>60</v>
      </c>
      <c r="L44" t="inlineStr">
        <is>
          <t>26 Oktober 2026</t>
        </is>
      </c>
      <c r="M44" t="inlineStr">
        <is>
          <t>Konstruksi Gedung Perkantoran</t>
        </is>
      </c>
      <c r="N44" t="inlineStr">
        <is>
          <t>K</t>
        </is>
      </c>
      <c r="O44" t="inlineStr">
        <is>
          <t>20231024</t>
        </is>
      </c>
      <c r="P44" t="inlineStr">
        <is>
          <t>Sumatera Selatan</t>
        </is>
      </c>
      <c r="Q44" t="inlineStr"/>
    </row>
    <row r="45">
      <c r="A45" t="inlineStr">
        <is>
          <t>JOINT BANGUN NEGERI</t>
        </is>
      </c>
      <c r="B45" t="inlineStr">
        <is>
          <t>Kota Ambon</t>
        </is>
      </c>
      <c r="C45" t="inlineStr">
        <is>
          <t>085243065306</t>
        </is>
      </c>
      <c r="D45" t="inlineStr">
        <is>
          <t>cv.jointbangunnegeri@gmail.com</t>
        </is>
      </c>
      <c r="E45" t="inlineStr">
        <is>
          <t>https://lpjk.pu.go.id/search-badan-usaha-detail/UFhFMnE3KzlkWGY2U29nWmJNMFlUQT09</t>
        </is>
      </c>
      <c r="F45" t="n">
        <v>2</v>
      </c>
      <c r="G45" t="inlineStr">
        <is>
          <t>BG002, BS010</t>
        </is>
      </c>
      <c r="H45" t="inlineStr">
        <is>
          <t>28 Juli 2023</t>
        </is>
      </c>
      <c r="I45" s="2" t="n">
        <v>46321</v>
      </c>
      <c r="J45" t="inlineStr">
        <is>
          <t>Disetujui</t>
        </is>
      </c>
      <c r="K45" t="n">
        <v>60</v>
      </c>
      <c r="L45" t="inlineStr">
        <is>
          <t>26 Oktober 2026</t>
        </is>
      </c>
      <c r="M45" t="inlineStr">
        <is>
          <t>Konstruksi Bangunan Prasarana Sumber Daya Air, Konstruksi Gedung Perkantoran</t>
        </is>
      </c>
      <c r="N45" t="inlineStr">
        <is>
          <t>K</t>
        </is>
      </c>
      <c r="O45" t="inlineStr">
        <is>
          <t>20231026</t>
        </is>
      </c>
      <c r="P45" t="inlineStr">
        <is>
          <t>Maluku</t>
        </is>
      </c>
      <c r="Q45" t="inlineStr"/>
    </row>
    <row r="46">
      <c r="A46" t="inlineStr">
        <is>
          <t>KARYA BANGUN NASIONAL</t>
        </is>
      </c>
      <c r="B46" t="inlineStr">
        <is>
          <t>Kota Pekalongan</t>
        </is>
      </c>
      <c r="C46" t="inlineStr">
        <is>
          <t>085729905066</t>
        </is>
      </c>
      <c r="D46" t="inlineStr">
        <is>
          <t>pt.Karyabangunnasional99@gmail.com</t>
        </is>
      </c>
      <c r="E46" t="inlineStr">
        <is>
          <t>https://lpjk.pu.go.id/search-badan-usaha-detail/ZFpSeThUNDI5YzVpZWRMa3BKUEJIZz09</t>
        </is>
      </c>
      <c r="F46" t="n">
        <v>1</v>
      </c>
      <c r="G46" t="inlineStr">
        <is>
          <t>BG005</t>
        </is>
      </c>
      <c r="H46" t="inlineStr">
        <is>
          <t>28 Agustus 2015</t>
        </is>
      </c>
      <c r="I46" s="2" t="n">
        <v>46321</v>
      </c>
      <c r="J46" t="inlineStr">
        <is>
          <t>Disetujui</t>
        </is>
      </c>
      <c r="K46" t="n">
        <v>60</v>
      </c>
      <c r="L46" t="inlineStr">
        <is>
          <t>26 Oktober 2026</t>
        </is>
      </c>
      <c r="M46" t="inlineStr">
        <is>
          <t>Konstruksi Gedung Kesehatan</t>
        </is>
      </c>
      <c r="N46" t="inlineStr">
        <is>
          <t>K</t>
        </is>
      </c>
      <c r="O46" t="inlineStr">
        <is>
          <t>20231023</t>
        </is>
      </c>
      <c r="P46" t="inlineStr">
        <is>
          <t>Jawa Tengah</t>
        </is>
      </c>
      <c r="Q46" t="inlineStr"/>
    </row>
    <row r="47">
      <c r="A47" t="inlineStr">
        <is>
          <t>KARYA HERU ABADI</t>
        </is>
      </c>
      <c r="B47" t="inlineStr">
        <is>
          <t>Kab. Indramayu</t>
        </is>
      </c>
      <c r="C47" t="inlineStr">
        <is>
          <t>0234273948</t>
        </is>
      </c>
      <c r="D47" t="inlineStr">
        <is>
          <t>karyaheruabadi.cv@gmail.com</t>
        </is>
      </c>
      <c r="E47" t="inlineStr">
        <is>
          <t>https://lpjk.pu.go.id/search-badan-usaha-detail/d1lvMzl5NDdiRktSVHVuK1pLNFI4UT09</t>
        </is>
      </c>
      <c r="F47" t="n">
        <v>3</v>
      </c>
      <c r="G47" t="inlineStr">
        <is>
          <t>BG005, BG006, BG009</t>
        </is>
      </c>
      <c r="H47" t="inlineStr">
        <is>
          <t>10 Juni 1997</t>
        </is>
      </c>
      <c r="I47" s="2" t="n">
        <v>46321</v>
      </c>
      <c r="J47" t="inlineStr">
        <is>
          <t>Disetujui</t>
        </is>
      </c>
      <c r="K47" t="n">
        <v>60</v>
      </c>
      <c r="L47" t="inlineStr">
        <is>
          <t>26 Oktober 2026</t>
        </is>
      </c>
      <c r="M47" t="inlineStr">
        <is>
          <t>Konstruksi Gedung Kesehatan, Konstruksi Gedung Lainnya, Konstruksi Gedung Pendidikan</t>
        </is>
      </c>
      <c r="N47" t="inlineStr">
        <is>
          <t>K</t>
        </is>
      </c>
      <c r="O47" t="inlineStr">
        <is>
          <t>20231026, 20231027</t>
        </is>
      </c>
      <c r="P47" t="inlineStr">
        <is>
          <t>Jawa Barat</t>
        </is>
      </c>
      <c r="Q47" t="inlineStr"/>
    </row>
    <row r="48">
      <c r="A48" t="inlineStr">
        <is>
          <t>KONSTRUKSI INTI SEJAHTERA</t>
        </is>
      </c>
      <c r="B48" t="inlineStr">
        <is>
          <t>Kab. Deli Serdang</t>
        </is>
      </c>
      <c r="C48" t="inlineStr">
        <is>
          <t>06142564827</t>
        </is>
      </c>
      <c r="D48" t="inlineStr">
        <is>
          <t>pt.konstruksiintisjtra@yahoo.com</t>
        </is>
      </c>
      <c r="E48" t="inlineStr">
        <is>
          <t>https://lpjk.pu.go.id/search-badan-usaha-detail/aG0xblRuMCtkTmR6TnpkMTFIRFQ2Zz09</t>
        </is>
      </c>
      <c r="F48" t="n">
        <v>1</v>
      </c>
      <c r="G48" t="inlineStr">
        <is>
          <t>BG001</t>
        </is>
      </c>
      <c r="H48" t="inlineStr">
        <is>
          <t>22 Juni 2012</t>
        </is>
      </c>
      <c r="I48" s="2" t="n">
        <v>46321</v>
      </c>
      <c r="J48" t="inlineStr">
        <is>
          <t>Pembekuan</t>
        </is>
      </c>
      <c r="K48" t="n">
        <v>60</v>
      </c>
      <c r="L48" t="inlineStr">
        <is>
          <t>26 Oktober 2026</t>
        </is>
      </c>
      <c r="M48" t="inlineStr">
        <is>
          <t>Konstruksi Gedung Hunian</t>
        </is>
      </c>
      <c r="N48" t="inlineStr">
        <is>
          <t>M</t>
        </is>
      </c>
      <c r="O48" t="inlineStr">
        <is>
          <t>20231025</t>
        </is>
      </c>
      <c r="P48" t="inlineStr">
        <is>
          <t>Sumatera Utara</t>
        </is>
      </c>
      <c r="Q48" t="inlineStr"/>
    </row>
    <row r="49">
      <c r="A49" t="inlineStr">
        <is>
          <t>LASER RANDEX AMBAI</t>
        </is>
      </c>
      <c r="B49" t="inlineStr">
        <is>
          <t>Kota Sorong</t>
        </is>
      </c>
      <c r="C49" t="inlineStr">
        <is>
          <t>08124802007</t>
        </is>
      </c>
      <c r="D49" t="inlineStr">
        <is>
          <t>cvlaserrandexa@gmail.com</t>
        </is>
      </c>
      <c r="E49" t="inlineStr">
        <is>
          <t>https://lpjk.pu.go.id/search-badan-usaha-detail/alJGcEhqbWhOOEErZFJZYWVtN3ZLdz09</t>
        </is>
      </c>
      <c r="F49" t="n">
        <v>1</v>
      </c>
      <c r="G49" t="inlineStr">
        <is>
          <t>BS001</t>
        </is>
      </c>
      <c r="H49" t="inlineStr">
        <is>
          <t>14 Maret 2012</t>
        </is>
      </c>
      <c r="I49" s="2" t="n">
        <v>46321</v>
      </c>
      <c r="J49" t="inlineStr">
        <is>
          <t>Disetujui</t>
        </is>
      </c>
      <c r="K49" t="n">
        <v>60</v>
      </c>
      <c r="L49" t="inlineStr">
        <is>
          <t>26 Oktober 2026</t>
        </is>
      </c>
      <c r="M49" t="inlineStr">
        <is>
          <t>Konstruksi Bangunan Sipil Jalan</t>
        </is>
      </c>
      <c r="N49" t="inlineStr">
        <is>
          <t>K</t>
        </is>
      </c>
      <c r="O49" t="inlineStr">
        <is>
          <t>20230710</t>
        </is>
      </c>
      <c r="P49" t="inlineStr">
        <is>
          <t>Papua Barat</t>
        </is>
      </c>
      <c r="Q49" t="inlineStr"/>
    </row>
    <row r="50">
      <c r="A50" t="inlineStr">
        <is>
          <t>LULU</t>
        </is>
      </c>
      <c r="B50" t="inlineStr">
        <is>
          <t>Kota Pangkal Pinang</t>
        </is>
      </c>
      <c r="C50" t="inlineStr">
        <is>
          <t>082298876060</t>
        </is>
      </c>
      <c r="D50" t="inlineStr">
        <is>
          <t>cvlulupkp@gmail.com</t>
        </is>
      </c>
      <c r="E50" t="inlineStr">
        <is>
          <t>https://lpjk.pu.go.id/search-badan-usaha-detail/b2J4ZUorcUZCT01Da0pESEVuajZTdz09</t>
        </is>
      </c>
      <c r="F50" t="n">
        <v>1</v>
      </c>
      <c r="G50" t="inlineStr">
        <is>
          <t>BS001</t>
        </is>
      </c>
      <c r="H50" t="inlineStr">
        <is>
          <t>18 November 2021</t>
        </is>
      </c>
      <c r="I50" s="2" t="n">
        <v>46321</v>
      </c>
      <c r="J50" t="inlineStr">
        <is>
          <t>Disetujui</t>
        </is>
      </c>
      <c r="K50" t="n">
        <v>60</v>
      </c>
      <c r="L50" t="inlineStr">
        <is>
          <t>26 Oktober 2026</t>
        </is>
      </c>
      <c r="M50" t="inlineStr">
        <is>
          <t>Konstruksi Bangunan Sipil Jalan</t>
        </is>
      </c>
      <c r="N50" t="inlineStr">
        <is>
          <t>K</t>
        </is>
      </c>
      <c r="O50" t="inlineStr">
        <is>
          <t>20231024</t>
        </is>
      </c>
      <c r="P50" t="inlineStr">
        <is>
          <t>Kepulauan Bangka Belitung</t>
        </is>
      </c>
      <c r="Q50" t="inlineStr"/>
    </row>
    <row r="51">
      <c r="A51" t="inlineStr">
        <is>
          <t>MAKMUR</t>
        </is>
      </c>
      <c r="B51" t="inlineStr">
        <is>
          <t>Kab. Sampang</t>
        </is>
      </c>
      <c r="C51" t="inlineStr">
        <is>
          <t>082131474474</t>
        </is>
      </c>
      <c r="D51" t="inlineStr">
        <is>
          <t>makmur.spgcv@yahoo.co.id</t>
        </is>
      </c>
      <c r="E51" t="inlineStr">
        <is>
          <t>https://lpjk.pu.go.id/search-badan-usaha-detail/TDBGSUttU1l0ODN4bTl6ZXRQR0JPQT09</t>
        </is>
      </c>
      <c r="F51" t="n">
        <v>1</v>
      </c>
      <c r="G51" t="inlineStr">
        <is>
          <t>BG009</t>
        </is>
      </c>
      <c r="H51" t="inlineStr">
        <is>
          <t>28 April 1994</t>
        </is>
      </c>
      <c r="I51" s="2" t="n">
        <v>46321</v>
      </c>
      <c r="J51" t="inlineStr">
        <is>
          <t>Disetujui</t>
        </is>
      </c>
      <c r="K51" t="n">
        <v>60</v>
      </c>
      <c r="L51" t="inlineStr">
        <is>
          <t>26 Oktober 2026</t>
        </is>
      </c>
      <c r="M51" t="inlineStr">
        <is>
          <t>Konstruksi Gedung Lainnya</t>
        </is>
      </c>
      <c r="N51" t="inlineStr">
        <is>
          <t>K</t>
        </is>
      </c>
      <c r="O51" t="inlineStr">
        <is>
          <t>20231020</t>
        </is>
      </c>
      <c r="P51" t="inlineStr">
        <is>
          <t>Jawa Timur</t>
        </is>
      </c>
      <c r="Q51" t="inlineStr"/>
    </row>
    <row r="52">
      <c r="A52" t="inlineStr">
        <is>
          <t>MAKMUR JAYA</t>
        </is>
      </c>
      <c r="B52" t="inlineStr">
        <is>
          <t>Kab. Lombok Timur</t>
        </is>
      </c>
      <c r="C52" t="inlineStr">
        <is>
          <t>081805213228</t>
        </is>
      </c>
      <c r="D52" t="inlineStr">
        <is>
          <t>cvmakmurjaya2023@gmail.com</t>
        </is>
      </c>
      <c r="E52" t="inlineStr">
        <is>
          <t>https://lpjk.pu.go.id/search-badan-usaha-detail/b003bmhKZzVUejQ4aWVlanNlMTFjQT09</t>
        </is>
      </c>
      <c r="F52" t="n">
        <v>1</v>
      </c>
      <c r="G52" t="inlineStr">
        <is>
          <t>BS010</t>
        </is>
      </c>
      <c r="H52" t="inlineStr">
        <is>
          <t>30 November 1991</t>
        </is>
      </c>
      <c r="I52" s="2" t="n">
        <v>46321</v>
      </c>
      <c r="J52" t="inlineStr">
        <is>
          <t>Disetujui</t>
        </is>
      </c>
      <c r="K52" t="n">
        <v>60</v>
      </c>
      <c r="L52" t="inlineStr">
        <is>
          <t>26 Oktober 2026</t>
        </is>
      </c>
      <c r="M52" t="inlineStr">
        <is>
          <t>Konstruksi Bangunan Prasarana Sumber Daya Air</t>
        </is>
      </c>
      <c r="N52" t="inlineStr">
        <is>
          <t>K</t>
        </is>
      </c>
      <c r="O52" t="inlineStr">
        <is>
          <t>20231024</t>
        </is>
      </c>
      <c r="P52" t="inlineStr">
        <is>
          <t>Nusa Tenggara Barat</t>
        </is>
      </c>
      <c r="Q52" t="inlineStr"/>
    </row>
    <row r="53">
      <c r="A53" t="inlineStr">
        <is>
          <t>MEGA AGUNG</t>
        </is>
      </c>
      <c r="B53" t="inlineStr">
        <is>
          <t>Kab. Donggala</t>
        </is>
      </c>
      <c r="C53" t="inlineStr">
        <is>
          <t>082348770678</t>
        </is>
      </c>
      <c r="D53" t="inlineStr">
        <is>
          <t>cvmegaagung245@gmail.com</t>
        </is>
      </c>
      <c r="E53" t="inlineStr">
        <is>
          <t>https://lpjk.pu.go.id/search-badan-usaha-detail/OVVRYmdwbDg2VVA5cmZHaTdDN3hydz09</t>
        </is>
      </c>
      <c r="F53" t="n">
        <v>1</v>
      </c>
      <c r="G53" t="inlineStr">
        <is>
          <t>BG004</t>
        </is>
      </c>
      <c r="H53" t="inlineStr">
        <is>
          <t>16 Juni 2011</t>
        </is>
      </c>
      <c r="I53" s="2" t="n">
        <v>46321</v>
      </c>
      <c r="J53" t="inlineStr">
        <is>
          <t>Disetujui</t>
        </is>
      </c>
      <c r="K53" t="n">
        <v>60</v>
      </c>
      <c r="L53" t="inlineStr">
        <is>
          <t>26 Oktober 2026</t>
        </is>
      </c>
      <c r="M53" t="inlineStr">
        <is>
          <t>Konstruksi Gedung Perbelanjaan</t>
        </is>
      </c>
      <c r="N53" t="inlineStr">
        <is>
          <t>K</t>
        </is>
      </c>
      <c r="O53" t="inlineStr">
        <is>
          <t>20231005</t>
        </is>
      </c>
      <c r="P53" t="inlineStr">
        <is>
          <t>Sulawesi Tengah</t>
        </is>
      </c>
      <c r="Q53" t="inlineStr"/>
    </row>
    <row r="54">
      <c r="A54" t="inlineStr">
        <is>
          <t>MENARA ARMADA PRATAMA</t>
        </is>
      </c>
      <c r="B54" t="inlineStr">
        <is>
          <t>Kab. Manggarai</t>
        </is>
      </c>
      <c r="C54" t="inlineStr">
        <is>
          <t>038522233</t>
        </is>
      </c>
      <c r="D54" t="inlineStr">
        <is>
          <t>ptmapruteng@yahoo.co.id</t>
        </is>
      </c>
      <c r="E54" t="inlineStr">
        <is>
          <t>https://lpjk.pu.go.id/search-badan-usaha-detail/WXRLNkxRcmlqdFlRNzRBM2FkUlU4dz09</t>
        </is>
      </c>
      <c r="F54" t="n">
        <v>1</v>
      </c>
      <c r="G54" t="inlineStr">
        <is>
          <t>BS001</t>
        </is>
      </c>
      <c r="H54" t="inlineStr">
        <is>
          <t>22 April 1997</t>
        </is>
      </c>
      <c r="I54" s="2" t="n">
        <v>46321</v>
      </c>
      <c r="J54" t="inlineStr">
        <is>
          <t>Pencabutan</t>
        </is>
      </c>
      <c r="K54" t="n">
        <v>60</v>
      </c>
      <c r="L54" t="inlineStr">
        <is>
          <t>26 Oktober 2026</t>
        </is>
      </c>
      <c r="M54" t="inlineStr">
        <is>
          <t>Konstruksi Bangunan Sipil Jalan</t>
        </is>
      </c>
      <c r="N54" t="inlineStr">
        <is>
          <t>M</t>
        </is>
      </c>
      <c r="O54" t="inlineStr">
        <is>
          <t>20230728</t>
        </is>
      </c>
      <c r="P54" t="inlineStr">
        <is>
          <t>Nusa Tenggara Timur</t>
        </is>
      </c>
      <c r="Q54" t="inlineStr"/>
    </row>
    <row r="55">
      <c r="A55" t="inlineStr">
        <is>
          <t>MITRA LABIAN</t>
        </is>
      </c>
      <c r="B55" t="inlineStr">
        <is>
          <t>Kab. Kapuas Hulu</t>
        </is>
      </c>
      <c r="C55" t="inlineStr">
        <is>
          <t>082250618380</t>
        </is>
      </c>
      <c r="D55" t="inlineStr">
        <is>
          <t>mitralabian@yahoo.com</t>
        </is>
      </c>
      <c r="E55" t="inlineStr">
        <is>
          <t>https://lpjk.pu.go.id/search-badan-usaha-detail/YWdlVi9jZTEyeGJqeG50eGhKY2Fwdz09</t>
        </is>
      </c>
      <c r="F55" t="n">
        <v>1</v>
      </c>
      <c r="G55" t="inlineStr">
        <is>
          <t>BS001</t>
        </is>
      </c>
      <c r="H55" t="inlineStr">
        <is>
          <t>17 November 2016</t>
        </is>
      </c>
      <c r="I55" s="2" t="n">
        <v>46321</v>
      </c>
      <c r="J55" t="inlineStr">
        <is>
          <t>Disetujui</t>
        </is>
      </c>
      <c r="K55" t="n">
        <v>60</v>
      </c>
      <c r="L55" t="inlineStr">
        <is>
          <t>26 Oktober 2026</t>
        </is>
      </c>
      <c r="M55" t="inlineStr">
        <is>
          <t>Konstruksi Bangunan Sipil Jalan</t>
        </is>
      </c>
      <c r="N55" t="inlineStr">
        <is>
          <t>K</t>
        </is>
      </c>
      <c r="O55" t="inlineStr">
        <is>
          <t>20231024</t>
        </is>
      </c>
      <c r="P55" t="inlineStr">
        <is>
          <t>Kalimantan Barat</t>
        </is>
      </c>
      <c r="Q55" t="inlineStr"/>
    </row>
    <row r="56">
      <c r="A56" t="inlineStr">
        <is>
          <t>MITRA MAHER MASAGI</t>
        </is>
      </c>
      <c r="B56" t="inlineStr">
        <is>
          <t>Kota Bandung</t>
        </is>
      </c>
      <c r="C56" t="inlineStr">
        <is>
          <t>085701022944</t>
        </is>
      </c>
      <c r="D56" t="inlineStr">
        <is>
          <t>mitramahermasagi.cv@gmail.com</t>
        </is>
      </c>
      <c r="E56" t="inlineStr">
        <is>
          <t>https://lpjk.pu.go.id/search-badan-usaha-detail/NFJ2OFdnaGd6NSt5OEFGTnJWaHlJQT09</t>
        </is>
      </c>
      <c r="F56" t="n">
        <v>1</v>
      </c>
      <c r="G56" t="inlineStr">
        <is>
          <t>BS002</t>
        </is>
      </c>
      <c r="H56" t="inlineStr">
        <is>
          <t>8 Juni 2023</t>
        </is>
      </c>
      <c r="I56" s="2" t="n">
        <v>46321</v>
      </c>
      <c r="J56" t="inlineStr">
        <is>
          <t>Disetujui</t>
        </is>
      </c>
      <c r="K56" t="n">
        <v>60</v>
      </c>
      <c r="L56" t="inlineStr">
        <is>
          <t>26 Oktober 2026</t>
        </is>
      </c>
      <c r="M56" t="inlineStr">
        <is>
          <t>Bangunan Sipil Jembatan, Jalan Layang, Fly Over, dan Underpass</t>
        </is>
      </c>
      <c r="N56" t="inlineStr">
        <is>
          <t>K</t>
        </is>
      </c>
      <c r="O56" t="inlineStr">
        <is>
          <t>20231020</t>
        </is>
      </c>
      <c r="P56" t="inlineStr">
        <is>
          <t>Jawa Barat</t>
        </is>
      </c>
      <c r="Q56" t="inlineStr"/>
    </row>
    <row r="57">
      <c r="A57" t="inlineStr">
        <is>
          <t>MITRATAMA PERSADA SINERGI</t>
        </is>
      </c>
      <c r="B57" t="inlineStr">
        <is>
          <t>Kota Medan</t>
        </is>
      </c>
      <c r="C57" t="inlineStr">
        <is>
          <t>081241616541</t>
        </is>
      </c>
      <c r="D57" t="inlineStr">
        <is>
          <t>mitratamaps.cv@gmail.com</t>
        </is>
      </c>
      <c r="E57" t="inlineStr">
        <is>
          <t>https://lpjk.pu.go.id/search-badan-usaha-detail/MFJoM0lJV3M3emlNUXNqdDBSVnFBQT09</t>
        </is>
      </c>
      <c r="F57" t="n">
        <v>4</v>
      </c>
      <c r="G57" t="inlineStr">
        <is>
          <t>BG001, BS001</t>
        </is>
      </c>
      <c r="H57" t="inlineStr">
        <is>
          <t>18 Juni 2021</t>
        </is>
      </c>
      <c r="I57" s="2" t="n">
        <v>46321</v>
      </c>
      <c r="J57" t="inlineStr">
        <is>
          <t>Disetujui</t>
        </is>
      </c>
      <c r="K57" t="n">
        <v>60</v>
      </c>
      <c r="L57" t="inlineStr">
        <is>
          <t>26 Oktober 2026</t>
        </is>
      </c>
      <c r="M57" t="inlineStr">
        <is>
          <t>Konstruksi Bangunan Sipil Jalan, Konstruksi Gedung Hunian</t>
        </is>
      </c>
      <c r="N57" t="inlineStr">
        <is>
          <t>K</t>
        </is>
      </c>
      <c r="O57" t="inlineStr">
        <is>
          <t>20231023</t>
        </is>
      </c>
      <c r="P57" t="inlineStr">
        <is>
          <t>Sumatera Utara</t>
        </is>
      </c>
      <c r="Q57" t="inlineStr"/>
    </row>
    <row r="58">
      <c r="A58" t="inlineStr">
        <is>
          <t>PADAENGKA JAMBI</t>
        </is>
      </c>
      <c r="B58" t="inlineStr">
        <is>
          <t>Kota Jambi</t>
        </is>
      </c>
      <c r="C58" t="inlineStr">
        <is>
          <t>08117401305</t>
        </is>
      </c>
      <c r="D58" t="inlineStr">
        <is>
          <t>jambi_raya@yahoo.co.id</t>
        </is>
      </c>
      <c r="E58" t="inlineStr">
        <is>
          <t>https://lpjk.pu.go.id/search-badan-usaha-detail/bGxDdHFPNmtrR1JuV0sxMnZsQmhsQT09</t>
        </is>
      </c>
      <c r="F58" t="n">
        <v>4</v>
      </c>
      <c r="G58" t="inlineStr">
        <is>
          <t>BG001, BG002, BG005, BG009</t>
        </is>
      </c>
      <c r="H58" t="inlineStr">
        <is>
          <t>26 Januari 2002</t>
        </is>
      </c>
      <c r="I58" s="2" t="n">
        <v>46321</v>
      </c>
      <c r="J58" t="inlineStr">
        <is>
          <t>Disetujui</t>
        </is>
      </c>
      <c r="K58" t="n">
        <v>60</v>
      </c>
      <c r="L58" t="inlineStr">
        <is>
          <t>26 Oktober 2026</t>
        </is>
      </c>
      <c r="M58" t="inlineStr">
        <is>
          <t>Konstruksi Gedung Hunian, Konstruksi Gedung Kesehatan, Konstruksi Gedung Lainnya, Konstruksi Gedung Perkantoran</t>
        </is>
      </c>
      <c r="N58" t="inlineStr">
        <is>
          <t>K</t>
        </is>
      </c>
      <c r="O58" t="inlineStr">
        <is>
          <t>20231025</t>
        </is>
      </c>
      <c r="P58" t="inlineStr">
        <is>
          <t>Jambi</t>
        </is>
      </c>
      <c r="Q58" t="inlineStr"/>
    </row>
    <row r="59">
      <c r="A59" t="inlineStr">
        <is>
          <t>PAHALA KEKAL PROPERTINDO</t>
        </is>
      </c>
      <c r="B59" t="inlineStr">
        <is>
          <t>Kota Pematangsiantar</t>
        </is>
      </c>
      <c r="C59" t="inlineStr">
        <is>
          <t>085215775699</t>
        </is>
      </c>
      <c r="D59" t="inlineStr">
        <is>
          <t>ptpahalakekalpropertindo@gmail.com</t>
        </is>
      </c>
      <c r="E59" t="inlineStr">
        <is>
          <t>https://lpjk.pu.go.id/search-badan-usaha-detail/WGVoaXNORHVLNEVvVnppbjMzSExDdz09</t>
        </is>
      </c>
      <c r="F59" t="n">
        <v>1</v>
      </c>
      <c r="G59" t="inlineStr">
        <is>
          <t>BG001</t>
        </is>
      </c>
      <c r="H59" t="inlineStr">
        <is>
          <t>5 September 2023</t>
        </is>
      </c>
      <c r="I59" s="2" t="n">
        <v>46321</v>
      </c>
      <c r="J59" t="inlineStr">
        <is>
          <t>Disetujui</t>
        </is>
      </c>
      <c r="K59" t="n">
        <v>60</v>
      </c>
      <c r="L59" t="inlineStr">
        <is>
          <t>26 Oktober 2026</t>
        </is>
      </c>
      <c r="M59" t="inlineStr">
        <is>
          <t>Konstruksi Gedung Hunian</t>
        </is>
      </c>
      <c r="N59" t="inlineStr">
        <is>
          <t>K</t>
        </is>
      </c>
      <c r="O59" t="inlineStr">
        <is>
          <t>20231021</t>
        </is>
      </c>
      <c r="P59" t="inlineStr">
        <is>
          <t>Sumatera Utara</t>
        </is>
      </c>
      <c r="Q59" t="inlineStr"/>
    </row>
    <row r="60">
      <c r="A60" t="inlineStr">
        <is>
          <t>PALMA NAFINDO PRATAMA</t>
        </is>
      </c>
      <c r="B60" t="inlineStr">
        <is>
          <t>Kota Langsa</t>
        </is>
      </c>
      <c r="C60" t="inlineStr">
        <is>
          <t>081360974386</t>
        </is>
      </c>
      <c r="D60" t="inlineStr">
        <is>
          <t>palmapratama@yahoo.co.id</t>
        </is>
      </c>
      <c r="E60" t="inlineStr">
        <is>
          <t>https://lpjk.pu.go.id/search-badan-usaha-detail/ODlWWWVkL0h3WVNpZWdmZUJSMHRJQjdIR01pM1BHNkdUSzJJSjZac1pyMD0</t>
        </is>
      </c>
      <c r="F60" t="n">
        <v>5</v>
      </c>
      <c r="G60" t="inlineStr">
        <is>
          <t>BG001, BG002, BG005, BG006, BG009</t>
        </is>
      </c>
      <c r="H60" t="inlineStr">
        <is>
          <t>7 Juni 2023</t>
        </is>
      </c>
      <c r="I60" s="2" t="n">
        <v>46321</v>
      </c>
      <c r="J60" t="inlineStr">
        <is>
          <t>Disetujui</t>
        </is>
      </c>
      <c r="K60" t="n">
        <v>60</v>
      </c>
      <c r="L60" t="inlineStr">
        <is>
          <t>26 Oktober 2026</t>
        </is>
      </c>
      <c r="M60" t="inlineStr">
        <is>
          <t>Konstruksi Gedung Hunian, Konstruksi Gedung Kesehatan, Konstruksi Gedung Lainnya, Konstruksi Gedung Pendidikan, Konstruksi Gedung Perkantoran</t>
        </is>
      </c>
      <c r="N60" t="inlineStr">
        <is>
          <t>K</t>
        </is>
      </c>
      <c r="O60" t="inlineStr">
        <is>
          <t>20231026</t>
        </is>
      </c>
      <c r="P60" t="inlineStr">
        <is>
          <t>Aceh</t>
        </is>
      </c>
      <c r="Q60" t="inlineStr"/>
    </row>
    <row r="61">
      <c r="A61" t="inlineStr">
        <is>
          <t>PRANAJA CIPTA PERSADA</t>
        </is>
      </c>
      <c r="B61" t="inlineStr">
        <is>
          <t>Kota Palembang</t>
        </is>
      </c>
      <c r="C61" t="inlineStr">
        <is>
          <t>082137518694</t>
        </is>
      </c>
      <c r="D61" t="inlineStr">
        <is>
          <t>cv.pranaja@gmail.com</t>
        </is>
      </c>
      <c r="E61" t="inlineStr">
        <is>
          <t>https://lpjk.pu.go.id/search-badan-usaha-detail/LysrQlZXTmFtMFBBMGI4Q1FqTitoZz09</t>
        </is>
      </c>
      <c r="F61" t="n">
        <v>1</v>
      </c>
      <c r="G61" t="inlineStr">
        <is>
          <t>BS001</t>
        </is>
      </c>
      <c r="H61" t="inlineStr">
        <is>
          <t>29 September 2023</t>
        </is>
      </c>
      <c r="I61" s="2" t="n">
        <v>46321</v>
      </c>
      <c r="J61" t="inlineStr">
        <is>
          <t>Disetujui</t>
        </is>
      </c>
      <c r="K61" t="n">
        <v>60</v>
      </c>
      <c r="L61" t="inlineStr">
        <is>
          <t>26 Oktober 2026</t>
        </is>
      </c>
      <c r="M61" t="inlineStr">
        <is>
          <t>Konstruksi Bangunan Sipil Jalan</t>
        </is>
      </c>
      <c r="N61" t="inlineStr">
        <is>
          <t>K</t>
        </is>
      </c>
      <c r="O61" t="inlineStr">
        <is>
          <t>20231023</t>
        </is>
      </c>
      <c r="P61" t="inlineStr">
        <is>
          <t>Sumatera Selatan</t>
        </is>
      </c>
      <c r="Q61" t="inlineStr"/>
    </row>
    <row r="62">
      <c r="A62" t="inlineStr">
        <is>
          <t>PRASETYA PUTRAMAS MANDIRI</t>
        </is>
      </c>
      <c r="B62" t="inlineStr">
        <is>
          <t>Kota Adm. Jakarta Utara</t>
        </is>
      </c>
      <c r="C62" t="inlineStr">
        <is>
          <t>02145878553</t>
        </is>
      </c>
      <c r="D62" t="inlineStr">
        <is>
          <t>anne.bom@putramas.com</t>
        </is>
      </c>
      <c r="E62" t="inlineStr">
        <is>
          <t>https://lpjk.pu.go.id/search-badan-usaha-detail/OXlHL1dsVWxoWjVISUVYVnJ1YzdBZz09</t>
        </is>
      </c>
      <c r="F62" t="n">
        <v>1</v>
      </c>
      <c r="G62" t="inlineStr">
        <is>
          <t>BG009</t>
        </is>
      </c>
      <c r="H62" t="inlineStr">
        <is>
          <t>10 Juli 1999</t>
        </is>
      </c>
      <c r="I62" s="2" t="n">
        <v>46321</v>
      </c>
      <c r="J62" t="inlineStr">
        <is>
          <t>Disetujui</t>
        </is>
      </c>
      <c r="K62" t="n">
        <v>60</v>
      </c>
      <c r="L62" t="inlineStr">
        <is>
          <t>26 Oktober 2026</t>
        </is>
      </c>
      <c r="M62" t="inlineStr">
        <is>
          <t>Konstruksi Gedung Lainnya</t>
        </is>
      </c>
      <c r="N62" t="inlineStr">
        <is>
          <t>K</t>
        </is>
      </c>
      <c r="O62" t="inlineStr">
        <is>
          <t>20221114</t>
        </is>
      </c>
      <c r="P62" t="inlineStr">
        <is>
          <t>DKI Jakarta</t>
        </is>
      </c>
      <c r="Q62" t="inlineStr"/>
    </row>
    <row r="63">
      <c r="A63" t="inlineStr">
        <is>
          <t>PRATAMA KARYA MANDIRI</t>
        </is>
      </c>
      <c r="B63" t="inlineStr">
        <is>
          <t>Kota Mataram</t>
        </is>
      </c>
      <c r="C63" t="inlineStr">
        <is>
          <t>087865008933</t>
        </is>
      </c>
      <c r="D63" t="inlineStr">
        <is>
          <t>pratamakaryamandiri82@gmail.com</t>
        </is>
      </c>
      <c r="E63" t="inlineStr">
        <is>
          <t>https://lpjk.pu.go.id/search-badan-usaha-detail/L256c2NKdVhxMDhqUE5PdkV3dWhOUT09</t>
        </is>
      </c>
      <c r="F63" t="n">
        <v>1</v>
      </c>
      <c r="G63" t="inlineStr">
        <is>
          <t>BG009</t>
        </is>
      </c>
      <c r="H63" t="inlineStr">
        <is>
          <t>29 Januari 2016</t>
        </is>
      </c>
      <c r="I63" s="2" t="n">
        <v>46321</v>
      </c>
      <c r="J63" t="inlineStr">
        <is>
          <t>Disetujui</t>
        </is>
      </c>
      <c r="K63" t="n">
        <v>60</v>
      </c>
      <c r="L63" t="inlineStr">
        <is>
          <t>26 Oktober 2026</t>
        </is>
      </c>
      <c r="M63" t="inlineStr">
        <is>
          <t>Konstruksi Gedung Lainnya</t>
        </is>
      </c>
      <c r="N63" t="inlineStr">
        <is>
          <t>K</t>
        </is>
      </c>
      <c r="O63" t="inlineStr">
        <is>
          <t>20231019</t>
        </is>
      </c>
      <c r="P63" t="inlineStr">
        <is>
          <t>Nusa Tenggara Barat</t>
        </is>
      </c>
      <c r="Q63" t="inlineStr"/>
    </row>
    <row r="64">
      <c r="A64" t="inlineStr">
        <is>
          <t>PUTRA MALASIK</t>
        </is>
      </c>
      <c r="B64" t="inlineStr">
        <is>
          <t>Kab. Sorong</t>
        </is>
      </c>
      <c r="C64" t="inlineStr">
        <is>
          <t>082198101655</t>
        </is>
      </c>
      <c r="D64" t="inlineStr">
        <is>
          <t>cv.putramalasik@gmail.com</t>
        </is>
      </c>
      <c r="E64" t="inlineStr">
        <is>
          <t>https://lpjk.pu.go.id/search-badan-usaha-detail/bWZJd3VPdXpONDBma2pVWktWY1R1dz09</t>
        </is>
      </c>
      <c r="F64" t="n">
        <v>2</v>
      </c>
      <c r="G64" t="inlineStr">
        <is>
          <t>BG006, BS001</t>
        </is>
      </c>
      <c r="H64" t="inlineStr">
        <is>
          <t>16 Agustus 2023</t>
        </is>
      </c>
      <c r="I64" s="2" t="n">
        <v>46321</v>
      </c>
      <c r="J64" t="inlineStr">
        <is>
          <t>Disetujui</t>
        </is>
      </c>
      <c r="K64" t="n">
        <v>60</v>
      </c>
      <c r="L64" t="inlineStr">
        <is>
          <t>26 Oktober 2026</t>
        </is>
      </c>
      <c r="M64" t="inlineStr">
        <is>
          <t>Konstruksi Bangunan Sipil Jalan, Konstruksi Gedung Pendidikan</t>
        </is>
      </c>
      <c r="N64" t="inlineStr">
        <is>
          <t>K</t>
        </is>
      </c>
      <c r="O64" t="inlineStr">
        <is>
          <t>20231020, 20231023</t>
        </is>
      </c>
      <c r="P64" t="inlineStr">
        <is>
          <t>Papua Barat</t>
        </is>
      </c>
      <c r="Q64" t="inlineStr"/>
    </row>
    <row r="65">
      <c r="A65" t="inlineStr">
        <is>
          <t>PUTRI REZEKI</t>
        </is>
      </c>
      <c r="B65" t="inlineStr">
        <is>
          <t>Kab. Aceh Barat</t>
        </is>
      </c>
      <c r="C65" t="inlineStr">
        <is>
          <t>085277215850</t>
        </is>
      </c>
      <c r="D65" t="inlineStr">
        <is>
          <t>putrirezeki555@gmail.com</t>
        </is>
      </c>
      <c r="E65" t="inlineStr">
        <is>
          <t>https://lpjk.pu.go.id/search-badan-usaha-detail/cUJMSVh6R0NhYVRHeWhqeFhlZDZtZz09</t>
        </is>
      </c>
      <c r="F65" t="n">
        <v>1</v>
      </c>
      <c r="G65" t="inlineStr">
        <is>
          <t>BS004</t>
        </is>
      </c>
      <c r="H65" t="inlineStr">
        <is>
          <t>26 Februari 2007</t>
        </is>
      </c>
      <c r="I65" s="2" t="n">
        <v>46321</v>
      </c>
      <c r="J65" t="inlineStr">
        <is>
          <t>Disetujui</t>
        </is>
      </c>
      <c r="K65" t="n">
        <v>60</v>
      </c>
      <c r="L65" t="inlineStr">
        <is>
          <t>26 Oktober 2026</t>
        </is>
      </c>
      <c r="M65" t="inlineStr">
        <is>
          <t>Konstruksi Jaringan Irigasi dan Drainase</t>
        </is>
      </c>
      <c r="N65" t="inlineStr">
        <is>
          <t>K</t>
        </is>
      </c>
      <c r="O65" t="inlineStr">
        <is>
          <t>20230926</t>
        </is>
      </c>
      <c r="P65" t="inlineStr">
        <is>
          <t>Aceh</t>
        </is>
      </c>
      <c r="Q65" t="inlineStr"/>
    </row>
    <row r="66">
      <c r="A66" t="inlineStr">
        <is>
          <t>REKA CIPTA KONSULTAN</t>
        </is>
      </c>
      <c r="B66" t="inlineStr">
        <is>
          <t>Kota Serang</t>
        </is>
      </c>
      <c r="C66" t="inlineStr">
        <is>
          <t>081911229888</t>
        </is>
      </c>
      <c r="D66" t="inlineStr">
        <is>
          <t>rekacipta.konsultan@gmail.com</t>
        </is>
      </c>
      <c r="E66" t="inlineStr">
        <is>
          <t>https://lpjk.pu.go.id/search-badan-usaha-detail/Qi81VUl1NHJNWXVnV1BuZUI2UzByQT09</t>
        </is>
      </c>
      <c r="F66" t="n">
        <v>3</v>
      </c>
      <c r="G66" t="inlineStr">
        <is>
          <t>RK001, RK002, RK003</t>
        </is>
      </c>
      <c r="H66" t="inlineStr">
        <is>
          <t>30 Juni 2015</t>
        </is>
      </c>
      <c r="I66" s="2" t="n">
        <v>46321</v>
      </c>
      <c r="J66" t="inlineStr">
        <is>
          <t>Disetujui</t>
        </is>
      </c>
      <c r="K66" t="n">
        <v>60</v>
      </c>
      <c r="L66" t="inlineStr">
        <is>
          <t>26 Oktober 2026</t>
        </is>
      </c>
      <c r="M66" t="inlineStr">
        <is>
          <t>Jasa Rekayasa Konstruksi Bangunan Gedung Hunian dan Non Hunian, Jasa Rekayasa Pekerjaan Teknik Sipil Sumber Daya Air, Jasa Rekayasa Pekerjaan Teknik Sipil Transportasi</t>
        </is>
      </c>
      <c r="N66" t="inlineStr">
        <is>
          <t>K</t>
        </is>
      </c>
      <c r="O66" t="inlineStr">
        <is>
          <t>20231011</t>
        </is>
      </c>
      <c r="P66" t="inlineStr">
        <is>
          <t>Banten</t>
        </is>
      </c>
      <c r="Q66" t="inlineStr"/>
    </row>
    <row r="67">
      <c r="A67" t="inlineStr">
        <is>
          <t>REZKY BERSAMA</t>
        </is>
      </c>
      <c r="B67" t="inlineStr">
        <is>
          <t>Kab. Muara Enim</t>
        </is>
      </c>
      <c r="C67" t="inlineStr">
        <is>
          <t>081273768899</t>
        </is>
      </c>
      <c r="D67" t="inlineStr">
        <is>
          <t>rezkybersama12@gmail.com</t>
        </is>
      </c>
      <c r="E67" t="inlineStr">
        <is>
          <t>https://lpjk.pu.go.id/search-badan-usaha-detail/Zk5KTkk1UnBTUWxWTmNKY2tVTHp2dz09</t>
        </is>
      </c>
      <c r="F67" t="n">
        <v>2</v>
      </c>
      <c r="G67" t="inlineStr">
        <is>
          <t>BG001, BG009</t>
        </is>
      </c>
      <c r="H67" t="inlineStr">
        <is>
          <t>3 Maret 2020</t>
        </is>
      </c>
      <c r="I67" s="2" t="n">
        <v>46321</v>
      </c>
      <c r="J67" t="inlineStr">
        <is>
          <t>Disetujui</t>
        </is>
      </c>
      <c r="K67" t="n">
        <v>60</v>
      </c>
      <c r="L67" t="inlineStr">
        <is>
          <t>26 Oktober 2026</t>
        </is>
      </c>
      <c r="M67" t="inlineStr">
        <is>
          <t>Konstruksi Gedung Hunian, Konstruksi Gedung Lainnya</t>
        </is>
      </c>
      <c r="N67" t="inlineStr">
        <is>
          <t>K</t>
        </is>
      </c>
      <c r="O67" t="inlineStr">
        <is>
          <t>20231026</t>
        </is>
      </c>
      <c r="P67" t="inlineStr">
        <is>
          <t>Sumatera Selatan</t>
        </is>
      </c>
      <c r="Q67" t="inlineStr"/>
    </row>
    <row r="68">
      <c r="A68" t="inlineStr">
        <is>
          <t>RIHIT MAS</t>
        </is>
      </c>
      <c r="B68" t="inlineStr">
        <is>
          <t>Kab. Simalungun</t>
        </is>
      </c>
      <c r="C68" t="inlineStr">
        <is>
          <t>-</t>
        </is>
      </c>
      <c r="D68" t="inlineStr">
        <is>
          <t>cvrihitmas@gmail.com</t>
        </is>
      </c>
      <c r="E68" t="inlineStr">
        <is>
          <t>https://lpjk.pu.go.id/search-badan-usaha-detail/dnJTa01IV2dmM1pzOWlHTHA2ME42Zz09</t>
        </is>
      </c>
      <c r="F68" t="n">
        <v>1</v>
      </c>
      <c r="G68" t="inlineStr">
        <is>
          <t>BS004</t>
        </is>
      </c>
      <c r="H68" t="inlineStr">
        <is>
          <t>24 April 2000</t>
        </is>
      </c>
      <c r="I68" s="2" t="n">
        <v>46321</v>
      </c>
      <c r="J68" t="inlineStr">
        <is>
          <t>Disetujui</t>
        </is>
      </c>
      <c r="K68" t="n">
        <v>60</v>
      </c>
      <c r="L68" t="inlineStr">
        <is>
          <t>26 Oktober 2026</t>
        </is>
      </c>
      <c r="M68" t="inlineStr">
        <is>
          <t>Konstruksi Jaringan Irigasi dan Drainase</t>
        </is>
      </c>
      <c r="N68" t="inlineStr">
        <is>
          <t>K</t>
        </is>
      </c>
      <c r="O68" t="inlineStr">
        <is>
          <t>20231009</t>
        </is>
      </c>
      <c r="P68" t="inlineStr">
        <is>
          <t>Sumatera Utara</t>
        </is>
      </c>
      <c r="Q68" t="inlineStr"/>
    </row>
    <row r="69">
      <c r="A69" t="inlineStr">
        <is>
          <t>RONALD JAYA</t>
        </is>
      </c>
      <c r="B69" t="inlineStr">
        <is>
          <t>Kota Makassar</t>
        </is>
      </c>
      <c r="C69" t="inlineStr">
        <is>
          <t>0811411999</t>
        </is>
      </c>
      <c r="D69" t="inlineStr">
        <is>
          <t>cv.ronaldjaya01@gmail.com</t>
        </is>
      </c>
      <c r="E69" t="inlineStr">
        <is>
          <t>https://lpjk.pu.go.id/search-badan-usaha-detail/UjdEZlJSRGFvSDl5V0szc3Vma3djUT09</t>
        </is>
      </c>
      <c r="F69" t="n">
        <v>1</v>
      </c>
      <c r="G69" t="inlineStr">
        <is>
          <t>BG001</t>
        </is>
      </c>
      <c r="H69" t="inlineStr">
        <is>
          <t>7 November 1991</t>
        </is>
      </c>
      <c r="I69" s="2" t="n">
        <v>46321</v>
      </c>
      <c r="J69" t="inlineStr">
        <is>
          <t>Disetujui</t>
        </is>
      </c>
      <c r="K69" t="n">
        <v>60</v>
      </c>
      <c r="L69" t="inlineStr">
        <is>
          <t>26 Oktober 2026</t>
        </is>
      </c>
      <c r="M69" t="inlineStr">
        <is>
          <t>Konstruksi Gedung Hunian</t>
        </is>
      </c>
      <c r="N69" t="inlineStr">
        <is>
          <t>K</t>
        </is>
      </c>
      <c r="O69" t="inlineStr">
        <is>
          <t>20220105</t>
        </is>
      </c>
      <c r="P69" t="inlineStr">
        <is>
          <t>Sulawesi Selatan</t>
        </is>
      </c>
      <c r="Q69" t="inlineStr"/>
    </row>
    <row r="70">
      <c r="A70" t="inlineStr">
        <is>
          <t>SAHABAT</t>
        </is>
      </c>
      <c r="B70" t="inlineStr">
        <is>
          <t>Kota Bandung</t>
        </is>
      </c>
      <c r="C70" t="inlineStr">
        <is>
          <t>08112022215</t>
        </is>
      </c>
      <c r="D70" t="inlineStr">
        <is>
          <t>ccvsahabat@gmail.com</t>
        </is>
      </c>
      <c r="E70" t="inlineStr">
        <is>
          <t>https://lpjk.pu.go.id/search-badan-usaha-detail/TGNzcTN3QnRab09Ob3BqNU1hYk1RUT09</t>
        </is>
      </c>
      <c r="F70" t="n">
        <v>2</v>
      </c>
      <c r="G70" t="inlineStr">
        <is>
          <t>BS001, BS004</t>
        </is>
      </c>
      <c r="H70" t="inlineStr">
        <is>
          <t>16 Juli 2001</t>
        </is>
      </c>
      <c r="I70" s="2" t="n">
        <v>46321</v>
      </c>
      <c r="J70" t="inlineStr">
        <is>
          <t>Disetujui</t>
        </is>
      </c>
      <c r="K70" t="n">
        <v>60</v>
      </c>
      <c r="L70" t="inlineStr">
        <is>
          <t>26 Oktober 2026</t>
        </is>
      </c>
      <c r="M70" t="inlineStr">
        <is>
          <t>Konstruksi Bangunan Sipil Jalan, Konstruksi Jaringan Irigasi dan Drainase</t>
        </is>
      </c>
      <c r="N70" t="inlineStr">
        <is>
          <t>K</t>
        </is>
      </c>
      <c r="O70" t="inlineStr">
        <is>
          <t>20231026</t>
        </is>
      </c>
      <c r="P70" t="inlineStr">
        <is>
          <t>Jawa Barat</t>
        </is>
      </c>
      <c r="Q70" t="inlineStr"/>
    </row>
    <row r="71">
      <c r="A71" t="inlineStr">
        <is>
          <t>SAMUDERA BERSAUDARA</t>
        </is>
      </c>
      <c r="B71" t="inlineStr">
        <is>
          <t>Kab. Lampung Tengah</t>
        </is>
      </c>
      <c r="C71" t="inlineStr">
        <is>
          <t>081272433993</t>
        </is>
      </c>
      <c r="D71" t="inlineStr">
        <is>
          <t>cvsamuderabersaudara@gmail.com</t>
        </is>
      </c>
      <c r="E71" t="inlineStr">
        <is>
          <t>https://lpjk.pu.go.id/search-badan-usaha-detail/T2hIMEZjSFc4ajVjZGNGNk5SOURXQT09</t>
        </is>
      </c>
      <c r="F71" t="n">
        <v>4</v>
      </c>
      <c r="G71" t="inlineStr">
        <is>
          <t>BG005, BG006, BS001, BS004</t>
        </is>
      </c>
      <c r="H71" t="inlineStr">
        <is>
          <t>30 Agustus 2023</t>
        </is>
      </c>
      <c r="I71" s="2" t="n">
        <v>46321</v>
      </c>
      <c r="J71" t="inlineStr">
        <is>
          <t>Disetujui</t>
        </is>
      </c>
      <c r="K71" t="n">
        <v>60</v>
      </c>
      <c r="L71" t="inlineStr">
        <is>
          <t>26 Oktober 2026</t>
        </is>
      </c>
      <c r="M71" t="inlineStr">
        <is>
          <t>Konstruksi Bangunan Sipil Jalan, Konstruksi Gedung Kesehatan, Konstruksi Gedung Pendidikan, Konstruksi Jaringan Irigasi dan Drainase</t>
        </is>
      </c>
      <c r="N71" t="inlineStr">
        <is>
          <t>K</t>
        </is>
      </c>
      <c r="O71" t="inlineStr">
        <is>
          <t>20231026</t>
        </is>
      </c>
      <c r="P71" t="inlineStr">
        <is>
          <t>Lampung</t>
        </is>
      </c>
      <c r="Q71" t="inlineStr"/>
    </row>
    <row r="72">
      <c r="A72" t="inlineStr">
        <is>
          <t>SAMUEL MARPA ABADI</t>
        </is>
      </c>
      <c r="B72" t="inlineStr">
        <is>
          <t>Kota Adm. Jakarta Utara</t>
        </is>
      </c>
      <c r="C72" t="inlineStr">
        <is>
          <t>087875833373</t>
        </is>
      </c>
      <c r="D72" t="inlineStr">
        <is>
          <t>samuelmarpaabadi@gmail.com</t>
        </is>
      </c>
      <c r="E72" t="inlineStr">
        <is>
          <t>https://lpjk.pu.go.id/search-badan-usaha-detail/RVlvOGM1Y0NRKzZCR3NjWGYvVk1yZz09</t>
        </is>
      </c>
      <c r="F72" t="n">
        <v>1</v>
      </c>
      <c r="G72" t="inlineStr">
        <is>
          <t>PB010</t>
        </is>
      </c>
      <c r="H72" t="inlineStr">
        <is>
          <t>30 Agustus 2023</t>
        </is>
      </c>
      <c r="I72" s="2" t="n">
        <v>46321</v>
      </c>
      <c r="J72" t="inlineStr">
        <is>
          <t>Disetujui</t>
        </is>
      </c>
      <c r="K72" t="n">
        <v>60</v>
      </c>
      <c r="L72" t="inlineStr">
        <is>
          <t>26 Oktober 2026</t>
        </is>
      </c>
      <c r="M72" t="inlineStr">
        <is>
          <t>Pekerjaan Lanskap, Pertamanan, dan Penanaman Vegetasi</t>
        </is>
      </c>
      <c r="N72" t="inlineStr">
        <is>
          <t>Spesialis</t>
        </is>
      </c>
      <c r="O72" t="inlineStr">
        <is>
          <t>20231009</t>
        </is>
      </c>
      <c r="P72" t="inlineStr">
        <is>
          <t>DKI Jakarta</t>
        </is>
      </c>
      <c r="Q72" t="inlineStr"/>
    </row>
    <row r="73">
      <c r="A73" t="inlineStr">
        <is>
          <t>SAPTA GUNA</t>
        </is>
      </c>
      <c r="B73" t="inlineStr">
        <is>
          <t>Kota Malang</t>
        </is>
      </c>
      <c r="C73" t="inlineStr">
        <is>
          <t>081555600738</t>
        </is>
      </c>
      <c r="D73" t="inlineStr">
        <is>
          <t>guna_sapta@yahoo.co.id</t>
        </is>
      </c>
      <c r="E73" t="inlineStr">
        <is>
          <t>https://lpjk.pu.go.id/search-badan-usaha-detail/VlA4elhSZ1JUZlBZRDFDTEFOOHNRZz09</t>
        </is>
      </c>
      <c r="F73" t="n">
        <v>4</v>
      </c>
      <c r="G73" t="inlineStr">
        <is>
          <t>BG002, BG006, BG009, BS005</t>
        </is>
      </c>
      <c r="H73" t="inlineStr">
        <is>
          <t>20 Juni 1979</t>
        </is>
      </c>
      <c r="I73" s="2" t="n">
        <v>46321</v>
      </c>
      <c r="J73" t="inlineStr">
        <is>
          <t>Disetujui</t>
        </is>
      </c>
      <c r="K73" t="n">
        <v>60</v>
      </c>
      <c r="L73" t="inlineStr">
        <is>
          <t>26 Oktober 2026</t>
        </is>
      </c>
      <c r="M73" t="inlineStr">
        <is>
          <t>Konstruksi Bangunan Sipil Pengolahan Air Bersih, Konstruksi Gedung Lainnya, Konstruksi Gedung Pendidikan, Konstruksi Gedung Perkantoran</t>
        </is>
      </c>
      <c r="N73" t="inlineStr">
        <is>
          <t>K</t>
        </is>
      </c>
      <c r="O73" t="inlineStr">
        <is>
          <t>20231024</t>
        </is>
      </c>
      <c r="P73" t="inlineStr">
        <is>
          <t>Jawa Timur</t>
        </is>
      </c>
      <c r="Q73" t="inlineStr"/>
    </row>
    <row r="74">
      <c r="A74" t="inlineStr">
        <is>
          <t>SATRIA UTAMA</t>
        </is>
      </c>
      <c r="B74" t="inlineStr">
        <is>
          <t>Kota Semarang</t>
        </is>
      </c>
      <c r="C74" t="inlineStr">
        <is>
          <t>-</t>
        </is>
      </c>
      <c r="D74" t="inlineStr">
        <is>
          <t>satriautamacv052@gmail.com</t>
        </is>
      </c>
      <c r="E74" t="inlineStr">
        <is>
          <t>https://lpjk.pu.go.id/search-badan-usaha-detail/eXR0U2lENE14L3VheFRXUXFpZGlsUT09</t>
        </is>
      </c>
      <c r="F74" t="n">
        <v>1</v>
      </c>
      <c r="G74" t="inlineStr">
        <is>
          <t>BS010</t>
        </is>
      </c>
      <c r="H74" t="inlineStr">
        <is>
          <t>16 Januari 2013</t>
        </is>
      </c>
      <c r="I74" s="2" t="n">
        <v>46321</v>
      </c>
      <c r="J74" t="inlineStr">
        <is>
          <t>Disetujui</t>
        </is>
      </c>
      <c r="K74" t="n">
        <v>60</v>
      </c>
      <c r="L74" t="inlineStr">
        <is>
          <t>26 Oktober 2026</t>
        </is>
      </c>
      <c r="M74" t="inlineStr">
        <is>
          <t>Konstruksi Bangunan Prasarana Sumber Daya Air</t>
        </is>
      </c>
      <c r="N74" t="inlineStr">
        <is>
          <t>K</t>
        </is>
      </c>
      <c r="O74" t="inlineStr">
        <is>
          <t>20231024</t>
        </is>
      </c>
      <c r="P74" t="inlineStr">
        <is>
          <t>Jawa Tengah</t>
        </is>
      </c>
      <c r="Q74" t="inlineStr"/>
    </row>
    <row r="75">
      <c r="A75" t="inlineStr">
        <is>
          <t>SATRIAMAS KARYATAMA</t>
        </is>
      </c>
      <c r="B75" t="inlineStr">
        <is>
          <t>Kota Semarang</t>
        </is>
      </c>
      <c r="C75" t="inlineStr">
        <is>
          <t>0243580362</t>
        </is>
      </c>
      <c r="D75" t="inlineStr">
        <is>
          <t>satriamas.karyatama@yahoo.com</t>
        </is>
      </c>
      <c r="E75" t="inlineStr">
        <is>
          <t>https://lpjk.pu.go.id/search-badan-usaha-detail/UFVtb21rZWprZGlRNGtyMlgzZldzdz09</t>
        </is>
      </c>
      <c r="F75" t="n">
        <v>1</v>
      </c>
      <c r="G75" t="inlineStr">
        <is>
          <t>BG002</t>
        </is>
      </c>
      <c r="H75" t="inlineStr">
        <is>
          <t>21 Juni 2003</t>
        </is>
      </c>
      <c r="I75" s="2" t="n">
        <v>46321</v>
      </c>
      <c r="J75" t="inlineStr">
        <is>
          <t>Disetujui</t>
        </is>
      </c>
      <c r="K75" t="n">
        <v>60</v>
      </c>
      <c r="L75" t="inlineStr">
        <is>
          <t>26 Oktober 2026</t>
        </is>
      </c>
      <c r="M75" t="inlineStr">
        <is>
          <t>Konstruksi Gedung Perkantoran</t>
        </is>
      </c>
      <c r="N75" t="inlineStr">
        <is>
          <t>M</t>
        </is>
      </c>
      <c r="O75" t="inlineStr">
        <is>
          <t>20231024</t>
        </is>
      </c>
      <c r="P75" t="inlineStr">
        <is>
          <t>Jawa Tengah</t>
        </is>
      </c>
      <c r="Q75" t="inlineStr"/>
    </row>
    <row r="76">
      <c r="A76" t="inlineStr">
        <is>
          <t>SATU KATA KONSTRUKSI</t>
        </is>
      </c>
      <c r="B76" t="inlineStr">
        <is>
          <t>Kota Adm. Jakarta Barat</t>
        </is>
      </c>
      <c r="C76" t="inlineStr">
        <is>
          <t>082285940668</t>
        </is>
      </c>
      <c r="D76" t="inlineStr">
        <is>
          <t>1katakonstruksi@gmail.com</t>
        </is>
      </c>
      <c r="E76" t="inlineStr">
        <is>
          <t>https://lpjk.pu.go.id/search-badan-usaha-detail/eGw4bEdQaHRQeHlxUHBUeGZIUThJQT09</t>
        </is>
      </c>
      <c r="F76" t="n">
        <v>4</v>
      </c>
      <c r="G76" t="inlineStr">
        <is>
          <t>BG001, BG002, BG003, BG007</t>
        </is>
      </c>
      <c r="H76" t="inlineStr">
        <is>
          <t>13 Oktober 2021</t>
        </is>
      </c>
      <c r="I76" s="2" t="n">
        <v>46321</v>
      </c>
      <c r="J76" t="inlineStr">
        <is>
          <t>Disetujui</t>
        </is>
      </c>
      <c r="K76" t="n">
        <v>60</v>
      </c>
      <c r="L76" t="inlineStr">
        <is>
          <t>26 Oktober 2026</t>
        </is>
      </c>
      <c r="M76" t="inlineStr">
        <is>
          <t>Konstruksi Gedung Hunian, Konstruksi Gedung Industri, Konstruksi Gedung Penginapan, Konstruksi Gedung Perkantoran</t>
        </is>
      </c>
      <c r="N76" t="inlineStr">
        <is>
          <t>K</t>
        </is>
      </c>
      <c r="O76" t="inlineStr">
        <is>
          <t>20231025</t>
        </is>
      </c>
      <c r="P76" t="inlineStr">
        <is>
          <t>DKI Jakarta</t>
        </is>
      </c>
      <c r="Q76" t="inlineStr"/>
    </row>
    <row r="77">
      <c r="A77" t="inlineStr">
        <is>
          <t>SINAR TIGA BINTANG</t>
        </is>
      </c>
      <c r="B77" t="inlineStr">
        <is>
          <t>Kab. Karawang</t>
        </is>
      </c>
      <c r="C77" t="inlineStr">
        <is>
          <t>081380433344</t>
        </is>
      </c>
      <c r="D77" t="inlineStr">
        <is>
          <t>sinartigabintang01@gmail.com</t>
        </is>
      </c>
      <c r="E77" t="inlineStr">
        <is>
          <t>https://lpjk.pu.go.id/search-badan-usaha-detail/RElkNlp4cFdmQU1IaUR4d3ZvSHNJdz09</t>
        </is>
      </c>
      <c r="F77" t="n">
        <v>4</v>
      </c>
      <c r="G77" t="inlineStr">
        <is>
          <t>BG006, BG009, BS001, BS004</t>
        </is>
      </c>
      <c r="H77" t="inlineStr">
        <is>
          <t>24 Juni 2020</t>
        </is>
      </c>
      <c r="I77" s="2" t="n">
        <v>46321</v>
      </c>
      <c r="J77" t="inlineStr">
        <is>
          <t>Disetujui</t>
        </is>
      </c>
      <c r="K77" t="n">
        <v>60</v>
      </c>
      <c r="L77" t="inlineStr">
        <is>
          <t>26 Oktober 2026</t>
        </is>
      </c>
      <c r="M77" t="inlineStr">
        <is>
          <t>Konstruksi Bangunan Sipil Jalan, Konstruksi Gedung Lainnya, Konstruksi Gedung Pendidikan, Konstruksi Jaringan Irigasi dan Drainase</t>
        </is>
      </c>
      <c r="N77" t="inlineStr">
        <is>
          <t>K</t>
        </is>
      </c>
      <c r="O77" t="inlineStr">
        <is>
          <t>20231016</t>
        </is>
      </c>
      <c r="P77" t="inlineStr">
        <is>
          <t>Jawa Barat</t>
        </is>
      </c>
      <c r="Q77" t="inlineStr"/>
    </row>
    <row r="78">
      <c r="A78" t="inlineStr">
        <is>
          <t>TANDANG MAKALANGAN</t>
        </is>
      </c>
      <c r="B78" t="inlineStr">
        <is>
          <t>Kota Bandung</t>
        </is>
      </c>
      <c r="C78" t="inlineStr">
        <is>
          <t>08595674409</t>
        </is>
      </c>
      <c r="D78" t="inlineStr">
        <is>
          <t>tandangmakalangancv@gmail.com</t>
        </is>
      </c>
      <c r="E78" t="inlineStr">
        <is>
          <t>https://lpjk.pu.go.id/search-badan-usaha-detail/TVVNQVZLQ3Q5eGl2WEg0SG9lcWwrUT09</t>
        </is>
      </c>
      <c r="F78" t="n">
        <v>4</v>
      </c>
      <c r="G78" t="inlineStr">
        <is>
          <t>BS001, BS004</t>
        </is>
      </c>
      <c r="H78" t="inlineStr">
        <is>
          <t>25 Oktober 2011</t>
        </is>
      </c>
      <c r="I78" s="2" t="n">
        <v>46321</v>
      </c>
      <c r="J78" t="inlineStr">
        <is>
          <t>Disetujui</t>
        </is>
      </c>
      <c r="K78" t="n">
        <v>60</v>
      </c>
      <c r="L78" t="inlineStr">
        <is>
          <t>26 Oktober 2026</t>
        </is>
      </c>
      <c r="M78" t="inlineStr">
        <is>
          <t>Konstruksi Bangunan Sipil Jalan, Konstruksi Jaringan Irigasi dan Drainase</t>
        </is>
      </c>
      <c r="N78" t="inlineStr">
        <is>
          <t>K</t>
        </is>
      </c>
      <c r="O78" t="inlineStr">
        <is>
          <t>20231026</t>
        </is>
      </c>
      <c r="P78" t="inlineStr">
        <is>
          <t>Jawa Barat</t>
        </is>
      </c>
      <c r="Q78" t="inlineStr"/>
    </row>
    <row r="79">
      <c r="A79" t="inlineStr">
        <is>
          <t>TRI KARYA ABADI</t>
        </is>
      </c>
      <c r="B79" t="inlineStr">
        <is>
          <t>Kab. Purwakarta</t>
        </is>
      </c>
      <c r="C79" t="inlineStr">
        <is>
          <t>081224463998</t>
        </is>
      </c>
      <c r="D79" t="inlineStr">
        <is>
          <t>cv.tkabadi@gmail.com</t>
        </is>
      </c>
      <c r="E79" t="inlineStr">
        <is>
          <t>https://lpjk.pu.go.id/search-badan-usaha-detail/Y3VCZTEvVGFSKzB6T3JQQ3VJci9JZz09</t>
        </is>
      </c>
      <c r="F79" t="n">
        <v>1</v>
      </c>
      <c r="G79" t="inlineStr">
        <is>
          <t>BG005</t>
        </is>
      </c>
      <c r="H79" t="inlineStr">
        <is>
          <t>18 Maret 1983</t>
        </is>
      </c>
      <c r="I79" s="2" t="n">
        <v>46321</v>
      </c>
      <c r="J79" t="inlineStr">
        <is>
          <t>Disetujui</t>
        </is>
      </c>
      <c r="K79" t="n">
        <v>60</v>
      </c>
      <c r="L79" t="inlineStr">
        <is>
          <t>26 Oktober 2026</t>
        </is>
      </c>
      <c r="M79" t="inlineStr">
        <is>
          <t>Konstruksi Gedung Kesehatan</t>
        </is>
      </c>
      <c r="N79" t="inlineStr">
        <is>
          <t>K</t>
        </is>
      </c>
      <c r="O79" t="inlineStr">
        <is>
          <t>20231026</t>
        </is>
      </c>
      <c r="P79" t="inlineStr">
        <is>
          <t>Jawa Barat</t>
        </is>
      </c>
      <c r="Q79" t="inlineStr"/>
    </row>
    <row r="80">
      <c r="A80" t="inlineStr">
        <is>
          <t>TRI REJEKI ABADI</t>
        </is>
      </c>
      <c r="B80" t="inlineStr">
        <is>
          <t>Kota Cirebon</t>
        </is>
      </c>
      <c r="C80" t="inlineStr">
        <is>
          <t>082219103670</t>
        </is>
      </c>
      <c r="D80" t="inlineStr">
        <is>
          <t>marketing@trirejekiabadi.com</t>
        </is>
      </c>
      <c r="E80" t="inlineStr">
        <is>
          <t>https://lpjk.pu.go.id/search-badan-usaha-detail/U0V5ZHh3S3BjVkNHRlpMTG9PcWRlZz09</t>
        </is>
      </c>
      <c r="F80" t="n">
        <v>1</v>
      </c>
      <c r="G80" t="inlineStr">
        <is>
          <t>PA001</t>
        </is>
      </c>
      <c r="H80" t="inlineStr">
        <is>
          <t>29 Juli 2013</t>
        </is>
      </c>
      <c r="I80" s="2" t="n">
        <v>46321</v>
      </c>
      <c r="J80" t="inlineStr">
        <is>
          <t>Pembekuan</t>
        </is>
      </c>
      <c r="K80" t="n">
        <v>60</v>
      </c>
      <c r="L80" t="inlineStr">
        <is>
          <t>26 Oktober 2026</t>
        </is>
      </c>
      <c r="M80" t="inlineStr">
        <is>
          <t>Penyewaan Peralatan Konstruksi</t>
        </is>
      </c>
      <c r="N80" t="inlineStr">
        <is>
          <t>Spesialis</t>
        </is>
      </c>
      <c r="O80" t="inlineStr">
        <is>
          <t>20231026</t>
        </is>
      </c>
      <c r="P80" t="inlineStr">
        <is>
          <t>Jawa Barat</t>
        </is>
      </c>
      <c r="Q80" t="inlineStr"/>
    </row>
    <row r="81">
      <c r="A81" t="inlineStr">
        <is>
          <t>TRIJAYA SEJAHTERA ABADI</t>
        </is>
      </c>
      <c r="B81" t="inlineStr">
        <is>
          <t>Kota Tangerang</t>
        </is>
      </c>
      <c r="C81" t="inlineStr">
        <is>
          <t>02155765224</t>
        </is>
      </c>
      <c r="D81" t="inlineStr">
        <is>
          <t>trijayagroup123@gmail.com</t>
        </is>
      </c>
      <c r="E81" t="inlineStr">
        <is>
          <t>https://lpjk.pu.go.id/search-badan-usaha-detail/d09SRGdWMWFzcDVXd0RaSDI4YWloQT09</t>
        </is>
      </c>
      <c r="F81" t="n">
        <v>2</v>
      </c>
      <c r="G81" t="inlineStr">
        <is>
          <t>KK006, KK016</t>
        </is>
      </c>
      <c r="H81" t="inlineStr">
        <is>
          <t>27 November 2008</t>
        </is>
      </c>
      <c r="I81" s="2" t="n">
        <v>46321</v>
      </c>
      <c r="J81" t="inlineStr">
        <is>
          <t>Disetujui</t>
        </is>
      </c>
      <c r="K81" t="n">
        <v>60</v>
      </c>
      <c r="L81" t="inlineStr">
        <is>
          <t>26 Oktober 2026</t>
        </is>
      </c>
      <c r="M81" t="inlineStr">
        <is>
          <t>Pekerjaan Konstruksi Kedap Air, Minyak, dan Gas, Pemasangan Kerangka Baja</t>
        </is>
      </c>
      <c r="N81" t="inlineStr">
        <is>
          <t>Spesialis</t>
        </is>
      </c>
      <c r="O81" t="inlineStr">
        <is>
          <t>20231025, 20231026</t>
        </is>
      </c>
      <c r="P81" t="inlineStr">
        <is>
          <t>Banten</t>
        </is>
      </c>
      <c r="Q81" t="inlineStr"/>
    </row>
    <row r="82">
      <c r="A82" t="inlineStr">
        <is>
          <t>TRIO MERLY BERSAUDARA</t>
        </is>
      </c>
      <c r="B82" t="inlineStr">
        <is>
          <t>Kota Makassar</t>
        </is>
      </c>
      <c r="C82" t="inlineStr">
        <is>
          <t>08124131036</t>
        </is>
      </c>
      <c r="D82" t="inlineStr">
        <is>
          <t>triomerlybersaudara@gmail.com</t>
        </is>
      </c>
      <c r="E82" t="inlineStr">
        <is>
          <t>https://lpjk.pu.go.id/search-badan-usaha-detail/WUhjN0xJZzIrL0ZzNXYwekN0elBPQT09</t>
        </is>
      </c>
      <c r="F82" t="n">
        <v>3</v>
      </c>
      <c r="G82" t="inlineStr">
        <is>
          <t>AR001, AR002, AR003</t>
        </is>
      </c>
      <c r="H82" t="inlineStr">
        <is>
          <t>8 Oktober 2003</t>
        </is>
      </c>
      <c r="I82" s="2" t="n">
        <v>46321</v>
      </c>
      <c r="J82" t="inlineStr">
        <is>
          <t>Pencabutan</t>
        </is>
      </c>
      <c r="K82" t="n">
        <v>60</v>
      </c>
      <c r="L82" t="inlineStr">
        <is>
          <t>26 Oktober 2026</t>
        </is>
      </c>
      <c r="M82" t="inlineStr">
        <is>
          <t>Jasa Arsitektural Bangunan Gedung Hunian dan Non Hunian, Jasa Arsitektural Lainnya, Jasa Desain Interior pada Bangunan Gedung dan Bangunan Sipil</t>
        </is>
      </c>
      <c r="N82" t="inlineStr">
        <is>
          <t>K</t>
        </is>
      </c>
      <c r="O82" t="inlineStr">
        <is>
          <t>20230925, 20230926</t>
        </is>
      </c>
      <c r="P82" t="inlineStr">
        <is>
          <t>Sulawesi Selatan</t>
        </is>
      </c>
      <c r="Q82" t="inlineStr"/>
    </row>
    <row r="83">
      <c r="A83" t="inlineStr">
        <is>
          <t>TRIPUTRA JAYA MAKMUR</t>
        </is>
      </c>
      <c r="B83" t="inlineStr">
        <is>
          <t>Kota Samarinda</t>
        </is>
      </c>
      <c r="C83" t="inlineStr">
        <is>
          <t>05417802915</t>
        </is>
      </c>
      <c r="D83" t="inlineStr">
        <is>
          <t>pttriputrajayamakmur@yahoo.com</t>
        </is>
      </c>
      <c r="E83" t="inlineStr">
        <is>
          <t>https://lpjk.pu.go.id/search-badan-usaha-detail/ME16WW82QWpQTGowaFo0OWkxcUhBdz09</t>
        </is>
      </c>
      <c r="F83" t="n">
        <v>1</v>
      </c>
      <c r="G83" t="inlineStr">
        <is>
          <t>PL003</t>
        </is>
      </c>
      <c r="H83" t="inlineStr">
        <is>
          <t>13 Januari 2021</t>
        </is>
      </c>
      <c r="I83" s="2" t="n">
        <v>46321</v>
      </c>
      <c r="J83" t="inlineStr">
        <is>
          <t>Pencabutan</t>
        </is>
      </c>
      <c r="K83" t="n">
        <v>60</v>
      </c>
      <c r="L83" t="inlineStr">
        <is>
          <t>26 Oktober 2026</t>
        </is>
      </c>
      <c r="M83" t="inlineStr">
        <is>
          <t>Penyiapan Lahan Konstruksi</t>
        </is>
      </c>
      <c r="N83" t="inlineStr">
        <is>
          <t>Spesialis</t>
        </is>
      </c>
      <c r="O83" t="inlineStr">
        <is>
          <t>20230712</t>
        </is>
      </c>
      <c r="P83" t="inlineStr">
        <is>
          <t>Kalimantan Timur</t>
        </is>
      </c>
      <c r="Q83" t="inlineStr"/>
    </row>
    <row r="84">
      <c r="A84" t="inlineStr">
        <is>
          <t>UNTUNG BERKAH</t>
        </is>
      </c>
      <c r="B84" t="inlineStr">
        <is>
          <t>Kab. Trenggalek</t>
        </is>
      </c>
      <c r="C84" t="inlineStr">
        <is>
          <t>085330872251</t>
        </is>
      </c>
      <c r="D84" t="inlineStr">
        <is>
          <t>untung.berkahcv@gmail.com</t>
        </is>
      </c>
      <c r="E84" t="inlineStr">
        <is>
          <t>https://lpjk.pu.go.id/search-badan-usaha-detail/bjh4VHJ6cVNjV2NWSXpqazNCcGgwZz09</t>
        </is>
      </c>
      <c r="F84" t="n">
        <v>2</v>
      </c>
      <c r="G84" t="inlineStr">
        <is>
          <t>BS001, PL003</t>
        </is>
      </c>
      <c r="H84" t="inlineStr">
        <is>
          <t>13 Mei 2023</t>
        </is>
      </c>
      <c r="I84" s="2" t="n">
        <v>46321</v>
      </c>
      <c r="J84" t="inlineStr">
        <is>
          <t>Disetujui, Pembekuan</t>
        </is>
      </c>
      <c r="K84" t="n">
        <v>60</v>
      </c>
      <c r="L84" t="inlineStr">
        <is>
          <t>26 Oktober 2026</t>
        </is>
      </c>
      <c r="M84" t="inlineStr">
        <is>
          <t>Konstruksi Bangunan Sipil Jalan, Penyiapan Lahan Konstruksi</t>
        </is>
      </c>
      <c r="N84" t="inlineStr">
        <is>
          <t>K, Spesialis</t>
        </is>
      </c>
      <c r="O84" t="inlineStr">
        <is>
          <t>20231026, 20231027</t>
        </is>
      </c>
      <c r="P84" t="inlineStr">
        <is>
          <t>Jawa Timur</t>
        </is>
      </c>
      <c r="Q84" t="inlineStr"/>
    </row>
    <row r="85">
      <c r="A85" t="inlineStr">
        <is>
          <t>WAHANA MITRA</t>
        </is>
      </c>
      <c r="B85" t="inlineStr">
        <is>
          <t>Kab. Barito Kuala</t>
        </is>
      </c>
      <c r="C85" t="inlineStr">
        <is>
          <t>081350822236</t>
        </is>
      </c>
      <c r="D85" t="inlineStr">
        <is>
          <t>wahanamitra6@gmail.com</t>
        </is>
      </c>
      <c r="E85" t="inlineStr">
        <is>
          <t>https://lpjk.pu.go.id/search-badan-usaha-detail/dlJocGpheGwzaHZoL0Qyd0d5SDlrUT09</t>
        </is>
      </c>
      <c r="F85" t="n">
        <v>4</v>
      </c>
      <c r="G85" t="inlineStr">
        <is>
          <t>BG001, BG008, BS001, BS004</t>
        </is>
      </c>
      <c r="H85" t="inlineStr">
        <is>
          <t>27 Maret 1997</t>
        </is>
      </c>
      <c r="I85" s="2" t="n">
        <v>46321</v>
      </c>
      <c r="J85" t="inlineStr">
        <is>
          <t>Disetujui</t>
        </is>
      </c>
      <c r="K85" t="n">
        <v>60</v>
      </c>
      <c r="L85" t="inlineStr">
        <is>
          <t>26 Oktober 2026</t>
        </is>
      </c>
      <c r="M85" t="inlineStr">
        <is>
          <t>Konstruksi Bangunan Sipil Jalan, Konstruksi Gedung Hunian, Konstruksi Gedung Tempat Hiburan dan Olahraga, Konstruksi Jaringan Irigasi dan Drainase</t>
        </is>
      </c>
      <c r="N85" t="inlineStr">
        <is>
          <t>K</t>
        </is>
      </c>
      <c r="O85" t="inlineStr">
        <is>
          <t>20231026</t>
        </is>
      </c>
      <c r="P85" t="inlineStr">
        <is>
          <t>Kalimantan Selatan</t>
        </is>
      </c>
      <c r="Q85" t="inlineStr"/>
    </row>
    <row r="86">
      <c r="A86" t="inlineStr">
        <is>
          <t>WAN INDO KONSULTAN</t>
        </is>
      </c>
      <c r="B86" t="inlineStr">
        <is>
          <t>Kab. Bandung Barat</t>
        </is>
      </c>
      <c r="C86" t="inlineStr">
        <is>
          <t>0895605400085</t>
        </is>
      </c>
      <c r="D86" t="inlineStr">
        <is>
          <t>ptwanindokonsultan.bdg@gmail.com</t>
        </is>
      </c>
      <c r="E86" t="inlineStr">
        <is>
          <t>https://lpjk.pu.go.id/search-badan-usaha-detail/S0FsK25HS1RuMGxqU2g2SnZLN3ZuZz09</t>
        </is>
      </c>
      <c r="F86" t="n">
        <v>1</v>
      </c>
      <c r="G86" t="inlineStr">
        <is>
          <t>AR001</t>
        </is>
      </c>
      <c r="H86" t="inlineStr">
        <is>
          <t>31 Maret 2022</t>
        </is>
      </c>
      <c r="I86" s="2" t="n">
        <v>46321</v>
      </c>
      <c r="J86" t="inlineStr">
        <is>
          <t>Disetujui</t>
        </is>
      </c>
      <c r="K86" t="n">
        <v>60</v>
      </c>
      <c r="L86" t="inlineStr">
        <is>
          <t>26 Oktober 2026</t>
        </is>
      </c>
      <c r="M86" t="inlineStr">
        <is>
          <t>Jasa Arsitektural Bangunan Gedung Hunian dan Non Hunian</t>
        </is>
      </c>
      <c r="N86" t="inlineStr">
        <is>
          <t>K</t>
        </is>
      </c>
      <c r="O86" t="inlineStr">
        <is>
          <t>20231010</t>
        </is>
      </c>
      <c r="P86" t="inlineStr">
        <is>
          <t>Jawa Barat</t>
        </is>
      </c>
      <c r="Q86" t="inlineStr"/>
    </row>
    <row r="87">
      <c r="A87" t="inlineStr">
        <is>
          <t>WIMASA KARYA CONSULTANT</t>
        </is>
      </c>
      <c r="B87" t="inlineStr">
        <is>
          <t>Kab. Sumedang</t>
        </is>
      </c>
      <c r="C87" t="inlineStr">
        <is>
          <t>081220762132</t>
        </is>
      </c>
      <c r="D87" t="inlineStr">
        <is>
          <t>wimasaconsultant@gmail.com</t>
        </is>
      </c>
      <c r="E87" t="inlineStr">
        <is>
          <t>https://lpjk.pu.go.id/search-badan-usaha-detail/VWNNaGZjTVdMajNDcTdyRGJUeWJMUT09</t>
        </is>
      </c>
      <c r="F87" t="n">
        <v>2</v>
      </c>
      <c r="G87" t="inlineStr">
        <is>
          <t>AR001, RK001</t>
        </is>
      </c>
      <c r="H87" t="inlineStr">
        <is>
          <t>9 Juni 2023</t>
        </is>
      </c>
      <c r="I87" s="2" t="n">
        <v>46321</v>
      </c>
      <c r="J87" t="inlineStr">
        <is>
          <t>Disetujui</t>
        </is>
      </c>
      <c r="K87" t="n">
        <v>60</v>
      </c>
      <c r="L87" t="inlineStr">
        <is>
          <t>26 Oktober 2026</t>
        </is>
      </c>
      <c r="M87" t="inlineStr">
        <is>
          <t>Jasa Arsitektural Bangunan Gedung Hunian dan Non Hunian, Jasa Rekayasa Konstruksi Bangunan Gedung Hunian dan Non Hunian</t>
        </is>
      </c>
      <c r="N87" t="inlineStr">
        <is>
          <t>K</t>
        </is>
      </c>
      <c r="O87" t="inlineStr">
        <is>
          <t>20231013</t>
        </is>
      </c>
      <c r="P87" t="inlineStr">
        <is>
          <t>Jawa Barat</t>
        </is>
      </c>
      <c r="Q8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4"/>
  <sheetViews>
    <sheetView workbookViewId="0">
      <selection activeCell="A1" sqref="A1"/>
    </sheetView>
  </sheetViews>
  <sheetFormatPr baseColWidth="8" defaultRowHeight="15"/>
  <cols>
    <col width="34" customWidth="1" min="1" max="1"/>
    <col width="27" customWidth="1" min="2" max="2"/>
    <col width="14" customWidth="1" min="3" max="3"/>
    <col width="38"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9" customWidth="1" min="12" max="12"/>
    <col width="50" customWidth="1" min="13" max="13"/>
    <col width="14" customWidth="1" min="14" max="14"/>
    <col width="4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BANGUN BUMI WIJAYA</t>
        </is>
      </c>
      <c r="B2" t="inlineStr">
        <is>
          <t>Kota Adm. Jakarta Timur</t>
        </is>
      </c>
      <c r="C2" t="inlineStr">
        <is>
          <t>02186612104</t>
        </is>
      </c>
      <c r="D2" t="inlineStr">
        <is>
          <t>bangun_bumi_wijaya29@yahoo.co.id</t>
        </is>
      </c>
      <c r="E2" t="inlineStr">
        <is>
          <t>https://lpjk.pu.go.id/search-badan-usaha-detail/MmJyajl1SFVENlQrY1JIOXV3ZGRidz09</t>
        </is>
      </c>
      <c r="F2" t="n">
        <v>2</v>
      </c>
      <c r="G2" t="inlineStr">
        <is>
          <t>IN001, IN007</t>
        </is>
      </c>
      <c r="H2" t="inlineStr">
        <is>
          <t>11 Februari 2004</t>
        </is>
      </c>
      <c r="I2" s="2" t="n">
        <v>46291</v>
      </c>
      <c r="J2" t="inlineStr">
        <is>
          <t>Disetujui</t>
        </is>
      </c>
      <c r="K2" t="n">
        <v>30</v>
      </c>
      <c r="L2" t="inlineStr">
        <is>
          <t>26 September 2026</t>
        </is>
      </c>
      <c r="M2" t="inlineStr">
        <is>
          <t>Instalasi Mekanikal, Instalasi Saluran Air (Plambing)</t>
        </is>
      </c>
      <c r="N2" t="inlineStr">
        <is>
          <t>Spesialis</t>
        </is>
      </c>
      <c r="O2" t="inlineStr">
        <is>
          <t>20230805, 20230812</t>
        </is>
      </c>
      <c r="P2" t="inlineStr">
        <is>
          <t>DKI Jakarta</t>
        </is>
      </c>
      <c r="Q2" t="inlineStr"/>
    </row>
    <row r="3">
      <c r="A3" t="inlineStr">
        <is>
          <t>BAYUSAKA DELTA BUWANA</t>
        </is>
      </c>
      <c r="B3" t="inlineStr">
        <is>
          <t>Kab. Bekasi</t>
        </is>
      </c>
      <c r="C3" t="inlineStr">
        <is>
          <t>082111384305</t>
        </is>
      </c>
      <c r="D3" t="inlineStr">
        <is>
          <t>ptbayusaka@yahoo.com</t>
        </is>
      </c>
      <c r="E3" t="inlineStr">
        <is>
          <t>https://lpjk.pu.go.id/search-badan-usaha-detail/TUJSQXpDdGhXOXB3WWFZbnFtZnlEQT09</t>
        </is>
      </c>
      <c r="F3" t="n">
        <v>2</v>
      </c>
      <c r="G3" t="inlineStr">
        <is>
          <t>BS004</t>
        </is>
      </c>
      <c r="H3" t="inlineStr">
        <is>
          <t>15 Maret 2021</t>
        </is>
      </c>
      <c r="I3" s="2" t="n">
        <v>46291</v>
      </c>
      <c r="J3" t="inlineStr">
        <is>
          <t>Pencabutan</t>
        </is>
      </c>
      <c r="K3" t="n">
        <v>30</v>
      </c>
      <c r="L3" t="inlineStr">
        <is>
          <t>26 September 2026</t>
        </is>
      </c>
      <c r="M3" t="inlineStr">
        <is>
          <t>Konstruksi Jaringan Irigasi dan Drainase</t>
        </is>
      </c>
      <c r="N3" t="inlineStr">
        <is>
          <t>K</t>
        </is>
      </c>
      <c r="O3" t="inlineStr">
        <is>
          <t>20230926</t>
        </is>
      </c>
      <c r="P3" t="inlineStr">
        <is>
          <t>Jawa Barat</t>
        </is>
      </c>
      <c r="Q3" s="3">
        <f>HYPERLINK("https://wa.me/6282111384305?text=*[Pengingat Masa Berlaku SBU BAYUSAKA DELTA BUWANA]*%0A%0AYth. Pimpinan BAYUSAKA DELTA BUWANA,%0AMohon izin menginformasikan status SBU Anda:%0A%0A📄 SBU: BS004%0A📅 Expired: 26 September 2026 (30 Hari Lagi)%0A%0AKami tim PT. ESDEA Assistance Management siap men-support proses perpanjangan segera agar administrasi proyek tidak terhambat%0A%0AApakah boleh saya bantu siapkan estimasi biaya dan waktu pengerjaannya?.", "Hubungi")</f>
        <v/>
      </c>
    </row>
    <row r="4">
      <c r="A4" t="inlineStr">
        <is>
          <t>DICKY KARYA MANDIRI</t>
        </is>
      </c>
      <c r="B4" t="inlineStr">
        <is>
          <t>Kota Bekasi</t>
        </is>
      </c>
      <c r="C4" t="inlineStr">
        <is>
          <t>081319196570</t>
        </is>
      </c>
      <c r="D4" t="inlineStr">
        <is>
          <t>dickykaryamandiri@gmail.com</t>
        </is>
      </c>
      <c r="E4" t="inlineStr">
        <is>
          <t>https://lpjk.pu.go.id/search-badan-usaha-detail/djRQQzBxaitiQ3laTVJXNVBoVFFWdz09</t>
        </is>
      </c>
      <c r="F4" t="n">
        <v>5</v>
      </c>
      <c r="G4" t="inlineStr">
        <is>
          <t>BG005, BG006, BG009, BS001, BS004</t>
        </is>
      </c>
      <c r="H4" t="inlineStr">
        <is>
          <t>19 Oktober 2019</t>
        </is>
      </c>
      <c r="I4" s="2" t="n">
        <v>46291</v>
      </c>
      <c r="J4" t="inlineStr">
        <is>
          <t>Disetujui</t>
        </is>
      </c>
      <c r="K4" t="n">
        <v>30</v>
      </c>
      <c r="L4" t="inlineStr">
        <is>
          <t>26 September 2026</t>
        </is>
      </c>
      <c r="M4" t="inlineStr">
        <is>
          <t>Konstruksi Bangunan Sipil Jalan, Konstruksi Gedung Kesehatan, Konstruksi Gedung Lainnya, Konstruksi Gedung Pendidikan, Konstruksi Jaringan Irigasi dan Drainase</t>
        </is>
      </c>
      <c r="N4" t="inlineStr">
        <is>
          <t>K</t>
        </is>
      </c>
      <c r="O4" t="inlineStr">
        <is>
          <t>20230926</t>
        </is>
      </c>
      <c r="P4" t="inlineStr">
        <is>
          <t>Jawa Barat</t>
        </is>
      </c>
      <c r="Q4" s="3">
        <f>HYPERLINK("https://wa.me/6281319196570?text=*[Pengingat Masa Berlaku SBU DICKY KARYA MANDIRI]*%0A%0AYth. Pimpinan DICKY KARYA MANDIRI,%0AMohon izin menginformasikan status SBU Anda:%0A%0A📄 SBU: BG005, BG006, BG009, BS001, BS004%0A📅 Expired: 26 September 2026 (30 Hari Lagi)%0A%0AKami tim PT. ESDEA Assistance Management siap men-support proses perpanjangan segera agar administrasi proyek tidak terhambat%0A%0AApakah boleh saya bantu siapkan estimasi biaya dan waktu pengerjaannya?.", "Hubungi")</f>
        <v/>
      </c>
    </row>
    <row r="5">
      <c r="A5" t="inlineStr">
        <is>
          <t>EASTERN INDOTECH MULTITAMA</t>
        </is>
      </c>
      <c r="B5" t="inlineStr">
        <is>
          <t>Kab. Bekasi</t>
        </is>
      </c>
      <c r="C5" t="inlineStr">
        <is>
          <t>02122101964</t>
        </is>
      </c>
      <c r="D5" t="inlineStr">
        <is>
          <t>sales@easternindotech.com</t>
        </is>
      </c>
      <c r="E5" t="inlineStr">
        <is>
          <t>https://lpjk.pu.go.id/search-badan-usaha-detail/VnpxeGJQelErajNyT0J1dnkzRW9Idz09</t>
        </is>
      </c>
      <c r="F5" t="n">
        <v>4</v>
      </c>
      <c r="G5" t="inlineStr">
        <is>
          <t>BG002, BG004, BG009, IN008</t>
        </is>
      </c>
      <c r="H5" t="inlineStr">
        <is>
          <t>20 Februari 2006</t>
        </is>
      </c>
      <c r="I5" s="2" t="n">
        <v>46291</v>
      </c>
      <c r="J5" t="inlineStr">
        <is>
          <t>Disetujui</t>
        </is>
      </c>
      <c r="K5" t="n">
        <v>30</v>
      </c>
      <c r="L5" t="inlineStr">
        <is>
          <t>26 September 2026</t>
        </is>
      </c>
      <c r="M5" t="inlineStr">
        <is>
          <t>Instalasi Pendingin Dan Ventilasi Udara, Konstruksi Gedung Lainnya, Konstruksi Gedung Perbelanjaan, Konstruksi Gedung Perkantoran</t>
        </is>
      </c>
      <c r="N5" t="inlineStr">
        <is>
          <t>M, Spesialis</t>
        </is>
      </c>
      <c r="O5" t="inlineStr">
        <is>
          <t>20230918</t>
        </is>
      </c>
      <c r="P5" t="inlineStr">
        <is>
          <t>Jawa Barat</t>
        </is>
      </c>
      <c r="Q5" t="inlineStr"/>
    </row>
    <row r="6">
      <c r="A6" t="inlineStr">
        <is>
          <t>ESKON BANGUN LESTARI</t>
        </is>
      </c>
      <c r="B6" t="inlineStr">
        <is>
          <t>Kab. Bekasi</t>
        </is>
      </c>
      <c r="C6" t="inlineStr">
        <is>
          <t>02189832858</t>
        </is>
      </c>
      <c r="D6" t="inlineStr">
        <is>
          <t>eskon.bangunlestari@yahoo.com</t>
        </is>
      </c>
      <c r="E6" t="inlineStr">
        <is>
          <t>https://lpjk.pu.go.id/search-badan-usaha-detail/ODUxYmVaeE5lMjZyaTc3QWtHQ0c2dz09</t>
        </is>
      </c>
      <c r="F6" t="n">
        <v>1</v>
      </c>
      <c r="G6" t="inlineStr">
        <is>
          <t>BG003</t>
        </is>
      </c>
      <c r="H6" t="inlineStr">
        <is>
          <t>13 Juli 2005</t>
        </is>
      </c>
      <c r="I6" s="2" t="n">
        <v>46291</v>
      </c>
      <c r="J6" t="inlineStr">
        <is>
          <t>Pembekuan</t>
        </is>
      </c>
      <c r="K6" t="n">
        <v>30</v>
      </c>
      <c r="L6" t="inlineStr">
        <is>
          <t>26 September 2026</t>
        </is>
      </c>
      <c r="M6" t="inlineStr">
        <is>
          <t>Konstruksi Gedung Industri</t>
        </is>
      </c>
      <c r="N6" t="inlineStr">
        <is>
          <t>M</t>
        </is>
      </c>
      <c r="O6" t="inlineStr">
        <is>
          <t>20230925</t>
        </is>
      </c>
      <c r="P6" t="inlineStr">
        <is>
          <t>Jawa Barat</t>
        </is>
      </c>
      <c r="Q6" t="inlineStr"/>
    </row>
    <row r="7">
      <c r="A7" t="inlineStr">
        <is>
          <t>HUTAMA CITRA ESTETIKA</t>
        </is>
      </c>
      <c r="B7" t="inlineStr">
        <is>
          <t>Kab. Bogor</t>
        </is>
      </c>
      <c r="C7" t="inlineStr">
        <is>
          <t>082299451856</t>
        </is>
      </c>
      <c r="D7" t="inlineStr">
        <is>
          <t>pt.hutamacitra@gmail.com</t>
        </is>
      </c>
      <c r="E7" t="inlineStr">
        <is>
          <t>https://lpjk.pu.go.id/search-badan-usaha-detail/blYyRDFHSkVhYTkrQTMxNHk3TkZTQT09</t>
        </is>
      </c>
      <c r="F7" t="n">
        <v>2</v>
      </c>
      <c r="G7" t="inlineStr">
        <is>
          <t>BG005</t>
        </is>
      </c>
      <c r="H7" t="inlineStr">
        <is>
          <t>30 Januari 2023</t>
        </is>
      </c>
      <c r="I7" s="2" t="n">
        <v>46291</v>
      </c>
      <c r="J7" t="inlineStr">
        <is>
          <t>Disetujui</t>
        </is>
      </c>
      <c r="K7" t="n">
        <v>30</v>
      </c>
      <c r="L7" t="inlineStr">
        <is>
          <t>26 September 2026</t>
        </is>
      </c>
      <c r="M7" t="inlineStr">
        <is>
          <t>Konstruksi Gedung Kesehatan</t>
        </is>
      </c>
      <c r="N7" t="inlineStr">
        <is>
          <t>K</t>
        </is>
      </c>
      <c r="O7" t="inlineStr">
        <is>
          <t>20230920</t>
        </is>
      </c>
      <c r="P7" t="inlineStr">
        <is>
          <t>Jawa Barat</t>
        </is>
      </c>
      <c r="Q7" s="3">
        <f>HYPERLINK("https://wa.me/6282299451856?text=*[Pengingat Masa Berlaku SBU HUTAMA CITRA ESTETIKA]*%0A%0AYth. Pimpinan HUTAMA CITRA ESTETIKA,%0AMohon izin menginformasikan status SBU Anda:%0A%0A📄 SBU: BG005%0A📅 Expired: 26 September 2026 (30 Hari Lagi)%0A%0AKami tim PT. ESDEA Assistance Management siap men-support proses perpanjangan segera agar administrasi proyek tidak terhambat%0A%0AApakah boleh saya bantu siapkan estimasi biaya dan waktu pengerjaannya?.", "Hubungi")</f>
        <v/>
      </c>
    </row>
    <row r="8">
      <c r="A8" t="inlineStr">
        <is>
          <t>JAYA RAYA</t>
        </is>
      </c>
      <c r="B8" t="inlineStr">
        <is>
          <t>Kab. Bekasi</t>
        </is>
      </c>
      <c r="C8" t="inlineStr">
        <is>
          <t>082125602849</t>
        </is>
      </c>
      <c r="D8" t="inlineStr">
        <is>
          <t>jayaracv@yahoo.com</t>
        </is>
      </c>
      <c r="E8" t="inlineStr">
        <is>
          <t>https://lpjk.pu.go.id/search-badan-usaha-detail/bk5KUU9PUWNCT2ZCNG9VRGtrVUx2dz09</t>
        </is>
      </c>
      <c r="F8" t="n">
        <v>3</v>
      </c>
      <c r="G8" t="inlineStr">
        <is>
          <t>BG005, BG006, BG009</t>
        </is>
      </c>
      <c r="H8" t="inlineStr">
        <is>
          <t>15 Oktober 2011</t>
        </is>
      </c>
      <c r="I8" s="2" t="n">
        <v>46291</v>
      </c>
      <c r="J8" t="inlineStr">
        <is>
          <t>Disetujui</t>
        </is>
      </c>
      <c r="K8" t="n">
        <v>30</v>
      </c>
      <c r="L8" t="inlineStr">
        <is>
          <t>26 September 2026</t>
        </is>
      </c>
      <c r="M8" t="inlineStr">
        <is>
          <t>Konstruksi Gedung Kesehatan, Konstruksi Gedung Lainnya, Konstruksi Gedung Pendidikan</t>
        </is>
      </c>
      <c r="N8" t="inlineStr">
        <is>
          <t>K</t>
        </is>
      </c>
      <c r="O8" t="inlineStr">
        <is>
          <t>20230925</t>
        </is>
      </c>
      <c r="P8" t="inlineStr">
        <is>
          <t>Jawa Barat</t>
        </is>
      </c>
      <c r="Q8" s="3">
        <f>HYPERLINK("https://wa.me/6282125602849?text=*[Pengingat Masa Berlaku SBU JAYA RAYA]*%0A%0AYth. Pimpinan JAYA RAYA,%0AMohon izin menginformasikan status SBU Anda:%0A%0A📄 SBU: BG005, BG006, BG009%0A📅 Expired: 26 September 2026 (30 Hari Lagi)%0A%0AKami tim PT. ESDEA Assistance Management siap men-support proses perpanjangan segera agar administrasi proyek tidak terhambat%0A%0AApakah boleh saya bantu siapkan estimasi biaya dan waktu pengerjaannya?.", "Hubungi")</f>
        <v/>
      </c>
    </row>
    <row r="9">
      <c r="A9" t="inlineStr">
        <is>
          <t>JOVANO KARYA LESTARI</t>
        </is>
      </c>
      <c r="B9" t="inlineStr">
        <is>
          <t>Kab. Bogor</t>
        </is>
      </c>
      <c r="C9" t="inlineStr">
        <is>
          <t>02122887249</t>
        </is>
      </c>
      <c r="D9" t="inlineStr">
        <is>
          <t>rivaldojovano288@gmail.com</t>
        </is>
      </c>
      <c r="E9" t="inlineStr">
        <is>
          <t>https://lpjk.pu.go.id/search-badan-usaha-detail/aUxaQlM2bXY5d3FTQldLcEcvdzVpUT09</t>
        </is>
      </c>
      <c r="F9" t="n">
        <v>1</v>
      </c>
      <c r="G9" t="inlineStr">
        <is>
          <t>BG001</t>
        </is>
      </c>
      <c r="H9" t="inlineStr">
        <is>
          <t>4 Desember 2019</t>
        </is>
      </c>
      <c r="I9" s="2" t="n">
        <v>46291</v>
      </c>
      <c r="J9" t="inlineStr">
        <is>
          <t>Disetujui</t>
        </is>
      </c>
      <c r="K9" t="n">
        <v>30</v>
      </c>
      <c r="L9" t="inlineStr">
        <is>
          <t>26 September 2026</t>
        </is>
      </c>
      <c r="M9" t="inlineStr">
        <is>
          <t>Konstruksi Gedung Hunian</t>
        </is>
      </c>
      <c r="N9" t="inlineStr">
        <is>
          <t>K</t>
        </is>
      </c>
      <c r="O9" t="inlineStr">
        <is>
          <t>20230925</t>
        </is>
      </c>
      <c r="P9" t="inlineStr">
        <is>
          <t>Jawa Barat</t>
        </is>
      </c>
      <c r="Q9" t="inlineStr"/>
    </row>
    <row r="10">
      <c r="A10" t="inlineStr">
        <is>
          <t>MEGA BUANA</t>
        </is>
      </c>
      <c r="B10" t="inlineStr">
        <is>
          <t>Kab. Bekasi</t>
        </is>
      </c>
      <c r="C10" t="inlineStr">
        <is>
          <t>081281790599</t>
        </is>
      </c>
      <c r="D10" t="inlineStr">
        <is>
          <t>megabuana@emailsaya.com</t>
        </is>
      </c>
      <c r="E10" t="inlineStr">
        <is>
          <t>https://lpjk.pu.go.id/search-badan-usaha-detail/N1NkYWU4c2VEYzFleTRKZ0luclFTUT09</t>
        </is>
      </c>
      <c r="F10" t="n">
        <v>3</v>
      </c>
      <c r="G10" t="inlineStr">
        <is>
          <t>BG006, BG009, BS001</t>
        </is>
      </c>
      <c r="H10" t="inlineStr">
        <is>
          <t>20 September 2002</t>
        </is>
      </c>
      <c r="I10" s="2" t="n">
        <v>46291</v>
      </c>
      <c r="J10" t="inlineStr">
        <is>
          <t>Disetujui</t>
        </is>
      </c>
      <c r="K10" t="n">
        <v>30</v>
      </c>
      <c r="L10" t="inlineStr">
        <is>
          <t>26 September 2026</t>
        </is>
      </c>
      <c r="M10" t="inlineStr">
        <is>
          <t>Konstruksi Bangunan Sipil Jalan, Konstruksi Gedung Lainnya, Konstruksi Gedung Pendidikan</t>
        </is>
      </c>
      <c r="N10" t="inlineStr">
        <is>
          <t>K</t>
        </is>
      </c>
      <c r="O10" t="inlineStr">
        <is>
          <t>20230922</t>
        </is>
      </c>
      <c r="P10" t="inlineStr">
        <is>
          <t>Jawa Barat</t>
        </is>
      </c>
      <c r="Q10" s="3">
        <f>HYPERLINK("https://wa.me/6281281790599?text=*[Pengingat Masa Berlaku SBU MEGA BUANA]*%0A%0AYth. Pimpinan MEGA BUANA,%0AMohon izin menginformasikan status SBU Anda:%0A%0A📄 SBU: BG006, BG009, BS001%0A📅 Expired: 26 September 2026 (30 Hari Lagi)%0A%0AKami tim PT. ESDEA Assistance Management siap men-support proses perpanjangan segera agar administrasi proyek tidak terhambat%0A%0AApakah boleh saya bantu siapkan estimasi biaya dan waktu pengerjaannya?.", "Hubungi")</f>
        <v/>
      </c>
    </row>
    <row r="11">
      <c r="A11" t="inlineStr">
        <is>
          <t>ABADI KEREN</t>
        </is>
      </c>
      <c r="B11" t="inlineStr">
        <is>
          <t>Kab. Mamuju</t>
        </is>
      </c>
      <c r="C11" t="inlineStr">
        <is>
          <t>085254706510</t>
        </is>
      </c>
      <c r="D11" t="inlineStr">
        <is>
          <t>cvabadikeren@gmail.com</t>
        </is>
      </c>
      <c r="E11" t="inlineStr">
        <is>
          <t>https://lpjk.pu.go.id/search-badan-usaha-detail/N3VoSXpqLzZZeHhDdTZRZiswdUtlUT09</t>
        </is>
      </c>
      <c r="F11" t="n">
        <v>4</v>
      </c>
      <c r="G11" t="inlineStr">
        <is>
          <t>BG005, BG006</t>
        </is>
      </c>
      <c r="H11" t="inlineStr">
        <is>
          <t>9 November 2022</t>
        </is>
      </c>
      <c r="I11" s="2" t="n">
        <v>46291</v>
      </c>
      <c r="J11" t="inlineStr">
        <is>
          <t>Disetujui</t>
        </is>
      </c>
      <c r="K11" t="n">
        <v>30</v>
      </c>
      <c r="L11" t="inlineStr">
        <is>
          <t>26 September 2026</t>
        </is>
      </c>
      <c r="M11" t="inlineStr">
        <is>
          <t>Konstruksi Gedung Kesehatan, Konstruksi Gedung Pendidikan</t>
        </is>
      </c>
      <c r="N11" t="inlineStr">
        <is>
          <t>K</t>
        </is>
      </c>
      <c r="O11" t="inlineStr">
        <is>
          <t>20230916</t>
        </is>
      </c>
      <c r="P11" t="inlineStr">
        <is>
          <t>Sulawesi Barat</t>
        </is>
      </c>
      <c r="Q11" t="inlineStr"/>
    </row>
    <row r="12">
      <c r="A12" t="inlineStr">
        <is>
          <t>ADHI UTAMA</t>
        </is>
      </c>
      <c r="B12" t="inlineStr">
        <is>
          <t>Kota Denpasar</t>
        </is>
      </c>
      <c r="C12" t="inlineStr">
        <is>
          <t>081239201188</t>
        </is>
      </c>
      <c r="D12" t="inlineStr">
        <is>
          <t>adhiutama.konsultan@yahoo.co.id</t>
        </is>
      </c>
      <c r="E12" t="inlineStr">
        <is>
          <t>https://lpjk.pu.go.id/search-badan-usaha-detail/c2ovRE5HY1RuS083ajZDMjRiYWZCUT09</t>
        </is>
      </c>
      <c r="F12" t="n">
        <v>2</v>
      </c>
      <c r="G12" t="inlineStr">
        <is>
          <t>AR001, RK001</t>
        </is>
      </c>
      <c r="H12" t="inlineStr">
        <is>
          <t>18 Agustus 1993</t>
        </is>
      </c>
      <c r="I12" s="2" t="n">
        <v>46291</v>
      </c>
      <c r="J12" t="inlineStr">
        <is>
          <t>Disetujui</t>
        </is>
      </c>
      <c r="K12" t="n">
        <v>30</v>
      </c>
      <c r="L12" t="inlineStr">
        <is>
          <t>26 September 2026</t>
        </is>
      </c>
      <c r="M12" t="inlineStr">
        <is>
          <t>Jasa Arsitektural Bangunan Gedung Hunian dan Non Hunian, Jasa Rekayasa Konstruksi Bangunan Gedung Hunian dan Non Hunian</t>
        </is>
      </c>
      <c r="N12" t="inlineStr">
        <is>
          <t>K</t>
        </is>
      </c>
      <c r="O12" t="inlineStr">
        <is>
          <t>20230918</t>
        </is>
      </c>
      <c r="P12" t="inlineStr">
        <is>
          <t>Bali</t>
        </is>
      </c>
      <c r="Q12" t="inlineStr"/>
    </row>
    <row r="13">
      <c r="A13" t="inlineStr">
        <is>
          <t>ADHYA ALAM LESTARI</t>
        </is>
      </c>
      <c r="B13" t="inlineStr">
        <is>
          <t>Kab. Indramayu</t>
        </is>
      </c>
      <c r="C13" t="inlineStr">
        <is>
          <t>082123339393</t>
        </is>
      </c>
      <c r="D13" t="inlineStr">
        <is>
          <t>cv.adhyaalamlestari@gmail.com</t>
        </is>
      </c>
      <c r="E13" t="inlineStr">
        <is>
          <t>https://lpjk.pu.go.id/search-badan-usaha-detail/VFhhWTh6MkVueDJveXRCRzNHdVJQQT09</t>
        </is>
      </c>
      <c r="F13" t="n">
        <v>6</v>
      </c>
      <c r="G13" t="inlineStr">
        <is>
          <t>BG005, BG006, BG009</t>
        </is>
      </c>
      <c r="H13" t="inlineStr">
        <is>
          <t>28 Desember 2022</t>
        </is>
      </c>
      <c r="I13" s="2" t="n">
        <v>46291</v>
      </c>
      <c r="J13" t="inlineStr">
        <is>
          <t>Disetujui</t>
        </is>
      </c>
      <c r="K13" t="n">
        <v>30</v>
      </c>
      <c r="L13" t="inlineStr">
        <is>
          <t>26 September 2026</t>
        </is>
      </c>
      <c r="M13" t="inlineStr">
        <is>
          <t>Konstruksi Gedung Kesehatan, Konstruksi Gedung Lainnya, Konstruksi Gedung Pendidikan</t>
        </is>
      </c>
      <c r="N13" t="inlineStr">
        <is>
          <t>K</t>
        </is>
      </c>
      <c r="O13" t="inlineStr">
        <is>
          <t>20230925, 20230926</t>
        </is>
      </c>
      <c r="P13" t="inlineStr">
        <is>
          <t>Jawa Barat</t>
        </is>
      </c>
      <c r="Q13" t="inlineStr"/>
    </row>
    <row r="14">
      <c r="A14" t="inlineStr">
        <is>
          <t>ADHYA CIPTA NAWASENA</t>
        </is>
      </c>
      <c r="B14" t="inlineStr">
        <is>
          <t>Kota Palembang</t>
        </is>
      </c>
      <c r="C14" t="inlineStr">
        <is>
          <t>081347288276</t>
        </is>
      </c>
      <c r="D14" t="inlineStr">
        <is>
          <t>adhyaciptanawasena@gmail.com</t>
        </is>
      </c>
      <c r="E14" t="inlineStr">
        <is>
          <t>https://lpjk.pu.go.id/search-badan-usaha-detail/Q2JHNm9ZNVR1MmhWKzVYQWVVM2JuQT09</t>
        </is>
      </c>
      <c r="F14" t="n">
        <v>4</v>
      </c>
      <c r="G14" t="inlineStr">
        <is>
          <t>BS001, BS002</t>
        </is>
      </c>
      <c r="H14" t="inlineStr">
        <is>
          <t>28 April 2023</t>
        </is>
      </c>
      <c r="I14" s="2" t="n">
        <v>46291</v>
      </c>
      <c r="J14" t="inlineStr">
        <is>
          <t>Disetujui</t>
        </is>
      </c>
      <c r="K14" t="n">
        <v>30</v>
      </c>
      <c r="L14" t="inlineStr">
        <is>
          <t>26 September 2026</t>
        </is>
      </c>
      <c r="M14" t="inlineStr">
        <is>
          <t>Bangunan Sipil Jembatan, Jalan Layang, Fly Over, dan Underpass, Konstruksi Bangunan Sipil Jalan</t>
        </is>
      </c>
      <c r="N14" t="inlineStr">
        <is>
          <t>K</t>
        </is>
      </c>
      <c r="O14" t="inlineStr">
        <is>
          <t>20230925, 20230927</t>
        </is>
      </c>
      <c r="P14" t="inlineStr">
        <is>
          <t>Sumatera Selatan</t>
        </is>
      </c>
      <c r="Q14" t="inlineStr"/>
    </row>
    <row r="15">
      <c r="A15" t="inlineStr">
        <is>
          <t>ADI CIPTA</t>
        </is>
      </c>
      <c r="B15" t="inlineStr">
        <is>
          <t>Kota Mataram</t>
        </is>
      </c>
      <c r="C15" t="inlineStr">
        <is>
          <t>08123782303</t>
        </is>
      </c>
      <c r="D15" t="inlineStr">
        <is>
          <t>cv_adi_cipta@yahoo.co.id</t>
        </is>
      </c>
      <c r="E15" t="inlineStr">
        <is>
          <t>https://lpjk.pu.go.id/search-badan-usaha-detail/dExxVVBQYnU5UlphM1VXVzdiQlF1dz09</t>
        </is>
      </c>
      <c r="F15" t="n">
        <v>1</v>
      </c>
      <c r="G15" t="inlineStr">
        <is>
          <t>AL001</t>
        </is>
      </c>
      <c r="H15" t="inlineStr">
        <is>
          <t>27 September 1993</t>
        </is>
      </c>
      <c r="I15" s="2" t="n">
        <v>46291</v>
      </c>
      <c r="J15" t="inlineStr">
        <is>
          <t>Disetujui</t>
        </is>
      </c>
      <c r="K15" t="n">
        <v>30</v>
      </c>
      <c r="L15" t="inlineStr">
        <is>
          <t>26 September 2026</t>
        </is>
      </c>
      <c r="M15" t="inlineStr">
        <is>
          <t>Jasa Pengembangan Pemanfaatan Ruang</t>
        </is>
      </c>
      <c r="N15" t="inlineStr">
        <is>
          <t>K</t>
        </is>
      </c>
      <c r="O15" t="inlineStr">
        <is>
          <t>20230907</t>
        </is>
      </c>
      <c r="P15" t="inlineStr">
        <is>
          <t>Nusa Tenggara Barat</t>
        </is>
      </c>
      <c r="Q15" t="inlineStr"/>
    </row>
    <row r="16">
      <c r="A16" t="inlineStr">
        <is>
          <t>ADIYASA KONSTRUKSI SOLUSINDO</t>
        </is>
      </c>
      <c r="B16" t="inlineStr">
        <is>
          <t>Kota Malang</t>
        </is>
      </c>
      <c r="C16" t="inlineStr">
        <is>
          <t>081334399894</t>
        </is>
      </c>
      <c r="D16" t="inlineStr">
        <is>
          <t>adiyasakonstruksisolusindo@gmail.com</t>
        </is>
      </c>
      <c r="E16" t="inlineStr">
        <is>
          <t>https://lpjk.pu.go.id/search-badan-usaha-detail/dFl0Qm5aM1ByUWV0UC9JcWdFa2JTdz09</t>
        </is>
      </c>
      <c r="F16" t="n">
        <v>5</v>
      </c>
      <c r="G16" t="inlineStr">
        <is>
          <t>BG002, BG004, BG005, BG006, BG009</t>
        </is>
      </c>
      <c r="H16" t="inlineStr">
        <is>
          <t>2 Maret 2020</t>
        </is>
      </c>
      <c r="I16" s="2" t="n">
        <v>46291</v>
      </c>
      <c r="J16" t="inlineStr">
        <is>
          <t>Disetujui</t>
        </is>
      </c>
      <c r="K16" t="n">
        <v>30</v>
      </c>
      <c r="L16" t="inlineStr">
        <is>
          <t>26 September 2026</t>
        </is>
      </c>
      <c r="M16" t="inlineStr">
        <is>
          <t>Konstruksi Gedung Kesehatan, Konstruksi Gedung Lainnya, Konstruksi Gedung Pendidikan, Konstruksi Gedung Perbelanjaan, Konstruksi Gedung Perkantoran</t>
        </is>
      </c>
      <c r="N16" t="inlineStr">
        <is>
          <t>K</t>
        </is>
      </c>
      <c r="O16" t="inlineStr">
        <is>
          <t>20230920, 20230921, 20230922</t>
        </is>
      </c>
      <c r="P16" t="inlineStr">
        <is>
          <t>Jawa Timur</t>
        </is>
      </c>
      <c r="Q16" t="inlineStr"/>
    </row>
    <row r="17">
      <c r="A17" t="inlineStr">
        <is>
          <t>AHZAFA PUTRA</t>
        </is>
      </c>
      <c r="B17" t="inlineStr">
        <is>
          <t>Kota Banda Aceh</t>
        </is>
      </c>
      <c r="C17" t="inlineStr">
        <is>
          <t>081375764755</t>
        </is>
      </c>
      <c r="D17" t="inlineStr">
        <is>
          <t>ahzafaputra@gmail.com</t>
        </is>
      </c>
      <c r="E17" t="inlineStr">
        <is>
          <t>https://lpjk.pu.go.id/search-badan-usaha-detail/ZHlmeUgxZ1pmOHVlYUN5VTEzMEcwdz09</t>
        </is>
      </c>
      <c r="F17" t="n">
        <v>2</v>
      </c>
      <c r="G17" t="inlineStr">
        <is>
          <t>BS001</t>
        </is>
      </c>
      <c r="H17" t="inlineStr">
        <is>
          <t>8 Agustus 2023</t>
        </is>
      </c>
      <c r="I17" s="2" t="n">
        <v>46291</v>
      </c>
      <c r="J17" t="inlineStr">
        <is>
          <t>Disetujui</t>
        </is>
      </c>
      <c r="K17" t="n">
        <v>30</v>
      </c>
      <c r="L17" t="inlineStr">
        <is>
          <t>26 September 2026</t>
        </is>
      </c>
      <c r="M17" t="inlineStr">
        <is>
          <t>Konstruksi Bangunan Sipil Jalan</t>
        </is>
      </c>
      <c r="N17" t="inlineStr">
        <is>
          <t>K</t>
        </is>
      </c>
      <c r="O17" t="inlineStr">
        <is>
          <t>20230927</t>
        </is>
      </c>
      <c r="P17" t="inlineStr">
        <is>
          <t>Aceh</t>
        </is>
      </c>
      <c r="Q17" t="inlineStr"/>
    </row>
    <row r="18">
      <c r="A18" t="inlineStr">
        <is>
          <t>AKSA JAYA KONSTRUKSI</t>
        </is>
      </c>
      <c r="B18" t="inlineStr">
        <is>
          <t>Kab. Banyuwangi</t>
        </is>
      </c>
      <c r="C18" t="inlineStr">
        <is>
          <t>082132466667</t>
        </is>
      </c>
      <c r="D18" t="inlineStr">
        <is>
          <t>cv.aksajayakonstruksi@gmail.com</t>
        </is>
      </c>
      <c r="E18" t="inlineStr">
        <is>
          <t>https://lpjk.pu.go.id/search-badan-usaha-detail/Z1RocWI0U1NLNkJqVzBVNGFFeWFFQT09</t>
        </is>
      </c>
      <c r="F18" t="n">
        <v>5</v>
      </c>
      <c r="G18" t="inlineStr">
        <is>
          <t>BG006, BG009, BS001, BS004</t>
        </is>
      </c>
      <c r="H18" t="inlineStr">
        <is>
          <t>21 Juni 2023</t>
        </is>
      </c>
      <c r="I18" s="2" t="n">
        <v>46291</v>
      </c>
      <c r="J18" t="inlineStr">
        <is>
          <t>Disetujui</t>
        </is>
      </c>
      <c r="K18" t="n">
        <v>30</v>
      </c>
      <c r="L18" t="inlineStr">
        <is>
          <t>26 September 2026</t>
        </is>
      </c>
      <c r="M18" t="inlineStr">
        <is>
          <t>Konstruksi Bangunan Sipil Jalan, Konstruksi Gedung Lainnya, Konstruksi Gedung Pendidikan, Konstruksi Jaringan Irigasi dan Drainase</t>
        </is>
      </c>
      <c r="N18" t="inlineStr">
        <is>
          <t>K</t>
        </is>
      </c>
      <c r="O18" t="inlineStr">
        <is>
          <t>20230803, 20230926, 20231002</t>
        </is>
      </c>
      <c r="P18" t="inlineStr">
        <is>
          <t>Jawa Timur</t>
        </is>
      </c>
      <c r="Q18" t="inlineStr"/>
    </row>
    <row r="19">
      <c r="A19" t="inlineStr">
        <is>
          <t>ALFIAN DINAMIKA ENGINEER</t>
        </is>
      </c>
      <c r="B19" t="inlineStr">
        <is>
          <t>Kota Pontianak</t>
        </is>
      </c>
      <c r="C19" t="inlineStr">
        <is>
          <t>085245010122</t>
        </is>
      </c>
      <c r="D19" t="inlineStr">
        <is>
          <t>alfian.dinamika@gmail.com</t>
        </is>
      </c>
      <c r="E19" t="inlineStr">
        <is>
          <t>https://lpjk.pu.go.id/search-badan-usaha-detail/aHR0Wm1td3NsNjBJN2pEQXNhS0JNdz09</t>
        </is>
      </c>
      <c r="F19" t="n">
        <v>2</v>
      </c>
      <c r="G19" t="inlineStr">
        <is>
          <t>BS004, BS011</t>
        </is>
      </c>
      <c r="H19" t="inlineStr">
        <is>
          <t>22 Juni 2012</t>
        </is>
      </c>
      <c r="I19" s="2" t="n">
        <v>46291</v>
      </c>
      <c r="J19" t="inlineStr">
        <is>
          <t>Disetujui</t>
        </is>
      </c>
      <c r="K19" t="n">
        <v>30</v>
      </c>
      <c r="L19" t="inlineStr">
        <is>
          <t>26 September 2026</t>
        </is>
      </c>
      <c r="M19" t="inlineStr">
        <is>
          <t>Konstruksi Bangunan Pelabuhan Bukan Perikanan, Konstruksi Jaringan Irigasi dan Drainase</t>
        </is>
      </c>
      <c r="N19" t="inlineStr">
        <is>
          <t>K</t>
        </is>
      </c>
      <c r="O19" t="inlineStr">
        <is>
          <t>20230921</t>
        </is>
      </c>
      <c r="P19" t="inlineStr">
        <is>
          <t>Kalimantan Barat</t>
        </is>
      </c>
      <c r="Q19" t="inlineStr"/>
    </row>
    <row r="20">
      <c r="A20" t="inlineStr">
        <is>
          <t>ALIF UTAMA KONTRAKTOR</t>
        </is>
      </c>
      <c r="B20" t="inlineStr">
        <is>
          <t>Kab. Solok</t>
        </is>
      </c>
      <c r="C20" t="inlineStr">
        <is>
          <t>081363477500</t>
        </is>
      </c>
      <c r="D20" t="inlineStr">
        <is>
          <t>cvaliefutama@gmail.com</t>
        </is>
      </c>
      <c r="E20" t="inlineStr">
        <is>
          <t>https://lpjk.pu.go.id/search-badan-usaha-detail/b0NjcmRnQVNzMG5SQ3BRa1FoK3d6QT09</t>
        </is>
      </c>
      <c r="F20" t="n">
        <v>1</v>
      </c>
      <c r="G20" t="inlineStr">
        <is>
          <t>BS001</t>
        </is>
      </c>
      <c r="H20" t="inlineStr">
        <is>
          <t>31 Desember 2021</t>
        </is>
      </c>
      <c r="I20" s="2" t="n">
        <v>46291</v>
      </c>
      <c r="J20" t="inlineStr">
        <is>
          <t>Disetujui</t>
        </is>
      </c>
      <c r="K20" t="n">
        <v>30</v>
      </c>
      <c r="L20" t="inlineStr">
        <is>
          <t>26 September 2026</t>
        </is>
      </c>
      <c r="M20" t="inlineStr">
        <is>
          <t>Konstruksi Bangunan Sipil Jalan</t>
        </is>
      </c>
      <c r="N20" t="inlineStr">
        <is>
          <t>K</t>
        </is>
      </c>
      <c r="O20" t="inlineStr">
        <is>
          <t>20230927</t>
        </is>
      </c>
      <c r="P20" t="inlineStr">
        <is>
          <t>Sumatera Barat</t>
        </is>
      </c>
      <c r="Q20" t="inlineStr"/>
    </row>
    <row r="21">
      <c r="A21" t="inlineStr">
        <is>
          <t>AMARTA JAYA SENTOSA</t>
        </is>
      </c>
      <c r="B21" t="inlineStr">
        <is>
          <t>Kota Semarang</t>
        </is>
      </c>
      <c r="C21" t="inlineStr">
        <is>
          <t>08157658965</t>
        </is>
      </c>
      <c r="D21" t="inlineStr">
        <is>
          <t>amartajayasentosa@yahoo.com</t>
        </is>
      </c>
      <c r="E21" t="inlineStr">
        <is>
          <t>https://lpjk.pu.go.id/search-badan-usaha-detail/S0h2OW1pcE5zVFNlaElyZmxlaTVtZz09</t>
        </is>
      </c>
      <c r="F21" t="n">
        <v>4</v>
      </c>
      <c r="G21" t="inlineStr">
        <is>
          <t>BG009, BS005</t>
        </is>
      </c>
      <c r="H21" t="inlineStr">
        <is>
          <t>13 Desember 2017</t>
        </is>
      </c>
      <c r="I21" s="2" t="n">
        <v>46291</v>
      </c>
      <c r="J21" t="inlineStr">
        <is>
          <t>Disetujui</t>
        </is>
      </c>
      <c r="K21" t="n">
        <v>30</v>
      </c>
      <c r="L21" t="inlineStr">
        <is>
          <t>26 September 2026</t>
        </is>
      </c>
      <c r="M21" t="inlineStr">
        <is>
          <t>Konstruksi Bangunan Sipil Pengolahan Air Bersih, Konstruksi Gedung Lainnya</t>
        </is>
      </c>
      <c r="N21" t="inlineStr">
        <is>
          <t>K</t>
        </is>
      </c>
      <c r="O21" t="inlineStr">
        <is>
          <t>20230926</t>
        </is>
      </c>
      <c r="P21" t="inlineStr">
        <is>
          <t>Jawa Tengah</t>
        </is>
      </c>
      <c r="Q21" t="inlineStr"/>
    </row>
    <row r="22">
      <c r="A22" t="inlineStr">
        <is>
          <t>ANDARU CAKRA ALAM</t>
        </is>
      </c>
      <c r="B22" t="inlineStr">
        <is>
          <t>Kab. Indramayu</t>
        </is>
      </c>
      <c r="C22" t="inlineStr">
        <is>
          <t>081911380404</t>
        </is>
      </c>
      <c r="D22" t="inlineStr">
        <is>
          <t>cv.andaru.88@gmail.com</t>
        </is>
      </c>
      <c r="E22" t="inlineStr">
        <is>
          <t>https://lpjk.pu.go.id/search-badan-usaha-detail/QnNHNkRxbWcxVTF6dFNWTjZ0OXNzZz09</t>
        </is>
      </c>
      <c r="F22" t="n">
        <v>4</v>
      </c>
      <c r="G22" t="inlineStr">
        <is>
          <t>BG002, BS001</t>
        </is>
      </c>
      <c r="H22" t="inlineStr">
        <is>
          <t>8 Agustus 2023</t>
        </is>
      </c>
      <c r="I22" s="2" t="n">
        <v>46291</v>
      </c>
      <c r="J22" t="inlineStr">
        <is>
          <t>Disetujui</t>
        </is>
      </c>
      <c r="K22" t="n">
        <v>30</v>
      </c>
      <c r="L22" t="inlineStr">
        <is>
          <t>26 September 2026</t>
        </is>
      </c>
      <c r="M22" t="inlineStr">
        <is>
          <t>Konstruksi Bangunan Sipil Jalan, Konstruksi Gedung Perkantoran</t>
        </is>
      </c>
      <c r="N22" t="inlineStr">
        <is>
          <t>K</t>
        </is>
      </c>
      <c r="O22" t="inlineStr">
        <is>
          <t>20230927</t>
        </is>
      </c>
      <c r="P22" t="inlineStr">
        <is>
          <t>Jawa Barat</t>
        </is>
      </c>
      <c r="Q22" t="inlineStr"/>
    </row>
    <row r="23">
      <c r="A23" t="inlineStr">
        <is>
          <t>ANUGRAH DWITAMA INDONESIA</t>
        </is>
      </c>
      <c r="B23" t="inlineStr">
        <is>
          <t>Kota Samarinda</t>
        </is>
      </c>
      <c r="C23" t="inlineStr">
        <is>
          <t>082280444488</t>
        </is>
      </c>
      <c r="D23" t="inlineStr">
        <is>
          <t>anugrahdwitamaindonesia@gmail.com</t>
        </is>
      </c>
      <c r="E23" t="inlineStr">
        <is>
          <t>https://lpjk.pu.go.id/search-badan-usaha-detail/M0pEYmg2NkdZWEx2RUZrZk80M3dhdz09</t>
        </is>
      </c>
      <c r="F23" t="n">
        <v>14</v>
      </c>
      <c r="G23" t="inlineStr">
        <is>
          <t>BG001, BG002, BG003, BG005, BG006, BS001, BS004</t>
        </is>
      </c>
      <c r="H23" t="inlineStr">
        <is>
          <t>9 Agustus 2023</t>
        </is>
      </c>
      <c r="I23" s="2" t="n">
        <v>46291</v>
      </c>
      <c r="J23" t="inlineStr">
        <is>
          <t>Disetujui</t>
        </is>
      </c>
      <c r="K23" t="n">
        <v>30</v>
      </c>
      <c r="L23" t="inlineStr">
        <is>
          <t>26 September 2026</t>
        </is>
      </c>
      <c r="M23" t="inlineStr">
        <is>
          <t>Konstruksi Bangunan Sipil Jalan, Konstruksi Gedung Hunian, Konstruksi Gedung Industri, Konstruksi Gedung Kesehatan, Konstruksi Gedung Pendidikan, Konstruksi Gedung Perkantoran, Konstruksi Jaringan Irigasi dan Drainase</t>
        </is>
      </c>
      <c r="N23" t="inlineStr">
        <is>
          <t>K</t>
        </is>
      </c>
      <c r="O23" t="inlineStr">
        <is>
          <t>20230923, 20230925</t>
        </is>
      </c>
      <c r="P23" t="inlineStr">
        <is>
          <t>Kalimantan Timur</t>
        </is>
      </c>
      <c r="Q23" t="inlineStr"/>
    </row>
    <row r="24">
      <c r="A24" t="inlineStr">
        <is>
          <t>ARIA WANGSAKARA TEKNIK PERSADA</t>
        </is>
      </c>
      <c r="B24" t="inlineStr">
        <is>
          <t>Kota Tangerang Selatan</t>
        </is>
      </c>
      <c r="C24" t="inlineStr">
        <is>
          <t>02175677788</t>
        </is>
      </c>
      <c r="D24" t="inlineStr">
        <is>
          <t>teknikpersada18@gmail.com</t>
        </is>
      </c>
      <c r="E24" t="inlineStr">
        <is>
          <t>https://lpjk.pu.go.id/search-badan-usaha-detail/VVRhY0ovZFZGNmpjYWtTN0RuQWM1dz09</t>
        </is>
      </c>
      <c r="F24" t="n">
        <v>5</v>
      </c>
      <c r="G24" t="inlineStr">
        <is>
          <t>BG002, BG003, BG005, BG006, BG009</t>
        </is>
      </c>
      <c r="H24" t="inlineStr">
        <is>
          <t>11 Januari 2017</t>
        </is>
      </c>
      <c r="I24" s="2" t="n">
        <v>46291</v>
      </c>
      <c r="J24" t="inlineStr">
        <is>
          <t>Disetujui</t>
        </is>
      </c>
      <c r="K24" t="n">
        <v>30</v>
      </c>
      <c r="L24" t="inlineStr">
        <is>
          <t>26 September 2026</t>
        </is>
      </c>
      <c r="M24" t="inlineStr">
        <is>
          <t>Konstruksi Gedung Industri, Konstruksi Gedung Kesehatan, Konstruksi Gedung Lainnya, Konstruksi Gedung Pendidikan, Konstruksi Gedung Perkantoran</t>
        </is>
      </c>
      <c r="N24" t="inlineStr">
        <is>
          <t>K</t>
        </is>
      </c>
      <c r="O24" t="inlineStr">
        <is>
          <t>20230925, 20230927</t>
        </is>
      </c>
      <c r="P24" t="inlineStr">
        <is>
          <t>Banten</t>
        </is>
      </c>
      <c r="Q24" t="inlineStr"/>
    </row>
    <row r="25">
      <c r="A25" t="inlineStr">
        <is>
          <t>ARIS KARYA</t>
        </is>
      </c>
      <c r="B25" t="inlineStr">
        <is>
          <t>Kota Padang Sidempuan</t>
        </is>
      </c>
      <c r="C25" t="inlineStr">
        <is>
          <t>082276778267</t>
        </is>
      </c>
      <c r="D25" t="inlineStr">
        <is>
          <t>cvariskaryapsp@gmail.com</t>
        </is>
      </c>
      <c r="E25" t="inlineStr">
        <is>
          <t>https://lpjk.pu.go.id/search-badan-usaha-detail/Ymg0Q0xvYWdtdjhadHhRcUtiOUZoUT09</t>
        </is>
      </c>
      <c r="F25" t="n">
        <v>4</v>
      </c>
      <c r="G25" t="inlineStr">
        <is>
          <t>BG006, BG009, BS001, BS004</t>
        </is>
      </c>
      <c r="H25" t="inlineStr">
        <is>
          <t>2 April 2011</t>
        </is>
      </c>
      <c r="I25" s="2" t="n">
        <v>46291</v>
      </c>
      <c r="J25" t="inlineStr">
        <is>
          <t>Disetujui</t>
        </is>
      </c>
      <c r="K25" t="n">
        <v>30</v>
      </c>
      <c r="L25" t="inlineStr">
        <is>
          <t>26 September 2026</t>
        </is>
      </c>
      <c r="M25" t="inlineStr">
        <is>
          <t>Konstruksi Bangunan Sipil Jalan, Konstruksi Gedung Lainnya, Konstruksi Gedung Pendidikan, Konstruksi Jaringan Irigasi dan Drainase</t>
        </is>
      </c>
      <c r="N25" t="inlineStr">
        <is>
          <t>K</t>
        </is>
      </c>
      <c r="O25" t="inlineStr">
        <is>
          <t>20230926, 20230927, 20230929</t>
        </is>
      </c>
      <c r="P25" t="inlineStr">
        <is>
          <t>Sumatera Utara</t>
        </is>
      </c>
      <c r="Q25" t="inlineStr"/>
    </row>
    <row r="26">
      <c r="A26" t="inlineStr">
        <is>
          <t>AURA GLOBAL ACEH</t>
        </is>
      </c>
      <c r="B26" t="inlineStr">
        <is>
          <t>Kota Langsa</t>
        </is>
      </c>
      <c r="C26" t="inlineStr">
        <is>
          <t>085371178383</t>
        </is>
      </c>
      <c r="D26" t="inlineStr">
        <is>
          <t>aura_global@ymail.com</t>
        </is>
      </c>
      <c r="E26" t="inlineStr">
        <is>
          <t>https://lpjk.pu.go.id/search-badan-usaha-detail/bEkyUkxEaTBJZFU2bCtOREx2VFNhdz09</t>
        </is>
      </c>
      <c r="F26" t="n">
        <v>1</v>
      </c>
      <c r="G26" t="inlineStr">
        <is>
          <t>BS001</t>
        </is>
      </c>
      <c r="H26" t="inlineStr">
        <is>
          <t>13 Juni 2011</t>
        </is>
      </c>
      <c r="I26" s="2" t="n">
        <v>46291</v>
      </c>
      <c r="J26" t="inlineStr">
        <is>
          <t>Disetujui</t>
        </is>
      </c>
      <c r="K26" t="n">
        <v>30</v>
      </c>
      <c r="L26" t="inlineStr">
        <is>
          <t>26 September 2026</t>
        </is>
      </c>
      <c r="M26" t="inlineStr">
        <is>
          <t>Konstruksi Bangunan Sipil Jalan</t>
        </is>
      </c>
      <c r="N26" t="inlineStr">
        <is>
          <t>K</t>
        </is>
      </c>
      <c r="O26" t="inlineStr">
        <is>
          <t>20230920</t>
        </is>
      </c>
      <c r="P26" t="inlineStr">
        <is>
          <t>Aceh</t>
        </is>
      </c>
      <c r="Q26" t="inlineStr"/>
    </row>
    <row r="27">
      <c r="A27" t="inlineStr">
        <is>
          <t>BANGUN JAYA MANDIRI</t>
        </is>
      </c>
      <c r="B27" t="inlineStr">
        <is>
          <t>Kota Adm. Jakarta Utara</t>
        </is>
      </c>
      <c r="C27" t="inlineStr">
        <is>
          <t>0216692696</t>
        </is>
      </c>
      <c r="D27" t="inlineStr">
        <is>
          <t>bangunjayamandiri88@gmail.com</t>
        </is>
      </c>
      <c r="E27" t="inlineStr">
        <is>
          <t>https://lpjk.pu.go.id/search-badan-usaha-detail/UFptdFNhSERvbXdqR1Zma3JvdHlNQT09</t>
        </is>
      </c>
      <c r="F27" t="n">
        <v>3</v>
      </c>
      <c r="G27" t="inlineStr">
        <is>
          <t>BG001, BG002, BG003</t>
        </is>
      </c>
      <c r="H27" t="inlineStr">
        <is>
          <t>31 Agustus 2016</t>
        </is>
      </c>
      <c r="I27" s="2" t="n">
        <v>46291</v>
      </c>
      <c r="J27" t="inlineStr">
        <is>
          <t>Disetujui</t>
        </is>
      </c>
      <c r="K27" t="n">
        <v>30</v>
      </c>
      <c r="L27" t="inlineStr">
        <is>
          <t>26 September 2026</t>
        </is>
      </c>
      <c r="M27" t="inlineStr">
        <is>
          <t>Konstruksi Gedung Hunian, Konstruksi Gedung Industri, Konstruksi Gedung Perkantoran</t>
        </is>
      </c>
      <c r="N27" t="inlineStr">
        <is>
          <t>K</t>
        </is>
      </c>
      <c r="O27" t="inlineStr">
        <is>
          <t>20230922</t>
        </is>
      </c>
      <c r="P27" t="inlineStr">
        <is>
          <t>DKI Jakarta</t>
        </is>
      </c>
      <c r="Q27" t="inlineStr"/>
    </row>
    <row r="28">
      <c r="A28" t="inlineStr">
        <is>
          <t>BAYU RATA UTAMA</t>
        </is>
      </c>
      <c r="B28" t="inlineStr">
        <is>
          <t>Kota Samarinda</t>
        </is>
      </c>
      <c r="C28" t="inlineStr">
        <is>
          <t>08115827799</t>
        </is>
      </c>
      <c r="D28" t="inlineStr">
        <is>
          <t>cvbayuratautama@yahoo.com</t>
        </is>
      </c>
      <c r="E28" t="inlineStr">
        <is>
          <t>https://lpjk.pu.go.id/search-badan-usaha-detail/c0xaYnVxNEtqY094d0xLTnhBMjlLZz09</t>
        </is>
      </c>
      <c r="F28" t="n">
        <v>4</v>
      </c>
      <c r="G28" t="inlineStr">
        <is>
          <t>BG003, BG006, BS001, BS004</t>
        </is>
      </c>
      <c r="H28" t="inlineStr">
        <is>
          <t>16 Januari 2008</t>
        </is>
      </c>
      <c r="I28" s="2" t="n">
        <v>46291</v>
      </c>
      <c r="J28" t="inlineStr">
        <is>
          <t>Disetujui</t>
        </is>
      </c>
      <c r="K28" t="n">
        <v>30</v>
      </c>
      <c r="L28" t="inlineStr">
        <is>
          <t>26 September 2026</t>
        </is>
      </c>
      <c r="M28" t="inlineStr">
        <is>
          <t>Konstruksi Bangunan Sipil Jalan, Konstruksi Gedung Industri, Konstruksi Gedung Pendidikan, Konstruksi Jaringan Irigasi dan Drainase</t>
        </is>
      </c>
      <c r="N28" t="inlineStr">
        <is>
          <t>K</t>
        </is>
      </c>
      <c r="O28" t="inlineStr">
        <is>
          <t>20230926</t>
        </is>
      </c>
      <c r="P28" t="inlineStr">
        <is>
          <t>Kalimantan Timur</t>
        </is>
      </c>
      <c r="Q28" t="inlineStr"/>
    </row>
    <row r="29">
      <c r="A29" t="inlineStr">
        <is>
          <t>BERKAT ANUGERAH</t>
        </is>
      </c>
      <c r="B29" t="inlineStr">
        <is>
          <t>Kab. Kutai Timur</t>
        </is>
      </c>
      <c r="C29" t="inlineStr">
        <is>
          <t>081347533384</t>
        </is>
      </c>
      <c r="D29" t="inlineStr">
        <is>
          <t>berkatanugerah.cv@yahoo.com</t>
        </is>
      </c>
      <c r="E29" t="inlineStr">
        <is>
          <t>https://lpjk.pu.go.id/search-badan-usaha-detail/K0R0cE52K0JTM0RFdVM3K29INjdUZz09</t>
        </is>
      </c>
      <c r="F29" t="n">
        <v>2</v>
      </c>
      <c r="G29" t="inlineStr">
        <is>
          <t>BS011</t>
        </is>
      </c>
      <c r="H29" t="inlineStr">
        <is>
          <t>10 September 2014</t>
        </is>
      </c>
      <c r="I29" s="2" t="n">
        <v>46291</v>
      </c>
      <c r="J29" t="inlineStr">
        <is>
          <t>Disetujui</t>
        </is>
      </c>
      <c r="K29" t="n">
        <v>30</v>
      </c>
      <c r="L29" t="inlineStr">
        <is>
          <t>26 September 2026</t>
        </is>
      </c>
      <c r="M29" t="inlineStr">
        <is>
          <t>Konstruksi Bangunan Pelabuhan Bukan Perikanan</t>
        </is>
      </c>
      <c r="N29" t="inlineStr">
        <is>
          <t>K</t>
        </is>
      </c>
      <c r="O29" t="inlineStr">
        <is>
          <t>20230927</t>
        </is>
      </c>
      <c r="P29" t="inlineStr">
        <is>
          <t>Kalimantan Timur</t>
        </is>
      </c>
      <c r="Q29" t="inlineStr"/>
    </row>
    <row r="30">
      <c r="A30" t="inlineStr">
        <is>
          <t>BORNEO ANUGERAH PERKASA</t>
        </is>
      </c>
      <c r="B30" t="inlineStr">
        <is>
          <t>Kota Balikpapan</t>
        </is>
      </c>
      <c r="C30" t="inlineStr">
        <is>
          <t>081351978567</t>
        </is>
      </c>
      <c r="D30" t="inlineStr">
        <is>
          <t>borneo.anugerahperkasa@gmail.com</t>
        </is>
      </c>
      <c r="E30" t="inlineStr">
        <is>
          <t>https://lpjk.pu.go.id/search-badan-usaha-detail/SDc3YUs0VTNrWEZ0Y2Z4RnA4UnUyQT09</t>
        </is>
      </c>
      <c r="F30" t="n">
        <v>4</v>
      </c>
      <c r="G30" t="inlineStr">
        <is>
          <t>BG003, BG006, BG009, BS001</t>
        </is>
      </c>
      <c r="H30" t="inlineStr">
        <is>
          <t>2 Januari 2019</t>
        </is>
      </c>
      <c r="I30" s="2" t="n">
        <v>46291</v>
      </c>
      <c r="J30" t="inlineStr">
        <is>
          <t>Disetujui</t>
        </is>
      </c>
      <c r="K30" t="n">
        <v>30</v>
      </c>
      <c r="L30" t="inlineStr">
        <is>
          <t>26 September 2026</t>
        </is>
      </c>
      <c r="M30" t="inlineStr">
        <is>
          <t>Konstruksi Bangunan Sipil Jalan, Konstruksi Gedung Industri, Konstruksi Gedung Lainnya, Konstruksi Gedung Pendidikan</t>
        </is>
      </c>
      <c r="N30" t="inlineStr">
        <is>
          <t>K</t>
        </is>
      </c>
      <c r="O30" t="inlineStr">
        <is>
          <t>20230926, 20230927, 20230929</t>
        </is>
      </c>
      <c r="P30" t="inlineStr">
        <is>
          <t>Kalimantan Timur</t>
        </is>
      </c>
      <c r="Q30" t="inlineStr"/>
    </row>
    <row r="31">
      <c r="A31" t="inlineStr">
        <is>
          <t>BUKIT RAYA LESTARI</t>
        </is>
      </c>
      <c r="B31" t="inlineStr">
        <is>
          <t>Kota Samarinda</t>
        </is>
      </c>
      <c r="C31" t="inlineStr">
        <is>
          <t>082153977141</t>
        </is>
      </c>
      <c r="D31" t="inlineStr">
        <is>
          <t>bukitrayalestaricv@gmail.com</t>
        </is>
      </c>
      <c r="E31" t="inlineStr">
        <is>
          <t>https://lpjk.pu.go.id/search-badan-usaha-detail/VHdHTUxuek0yU2RYcFg2aG1NVTF0UT09</t>
        </is>
      </c>
      <c r="F31" t="n">
        <v>2</v>
      </c>
      <c r="G31" t="inlineStr">
        <is>
          <t>BS001, BS004</t>
        </is>
      </c>
      <c r="H31" t="inlineStr">
        <is>
          <t>18 November 2019</t>
        </is>
      </c>
      <c r="I31" s="2" t="n">
        <v>46291</v>
      </c>
      <c r="J31" t="inlineStr">
        <is>
          <t>Disetujui</t>
        </is>
      </c>
      <c r="K31" t="n">
        <v>30</v>
      </c>
      <c r="L31" t="inlineStr">
        <is>
          <t>26 September 2026</t>
        </is>
      </c>
      <c r="M31" t="inlineStr">
        <is>
          <t>Konstruksi Bangunan Sipil Jalan, Konstruksi Jaringan Irigasi dan Drainase</t>
        </is>
      </c>
      <c r="N31" t="inlineStr">
        <is>
          <t>K</t>
        </is>
      </c>
      <c r="O31" t="inlineStr">
        <is>
          <t>20230925, 20230926</t>
        </is>
      </c>
      <c r="P31" t="inlineStr">
        <is>
          <t>Kalimantan Timur</t>
        </is>
      </c>
      <c r="Q31" t="inlineStr"/>
    </row>
    <row r="32">
      <c r="A32" t="inlineStr">
        <is>
          <t>BUMI SAMPIRAN</t>
        </is>
      </c>
      <c r="B32" t="inlineStr">
        <is>
          <t>Kab. Serang</t>
        </is>
      </c>
      <c r="C32" t="inlineStr">
        <is>
          <t>087771258117</t>
        </is>
      </c>
      <c r="D32" t="inlineStr">
        <is>
          <t>bumisampiran_Pt1@yahoo.com</t>
        </is>
      </c>
      <c r="E32" t="inlineStr">
        <is>
          <t>https://lpjk.pu.go.id/search-badan-usaha-detail/VXpmQy8wa24ram5XOGc2bEd2U3lqUT09</t>
        </is>
      </c>
      <c r="F32" t="n">
        <v>2</v>
      </c>
      <c r="G32" t="inlineStr">
        <is>
          <t>BG003, BS001</t>
        </is>
      </c>
      <c r="H32" t="inlineStr">
        <is>
          <t>28 April 2009</t>
        </is>
      </c>
      <c r="I32" s="2" t="n">
        <v>46291</v>
      </c>
      <c r="J32" t="inlineStr">
        <is>
          <t>Disetujui</t>
        </is>
      </c>
      <c r="K32" t="n">
        <v>30</v>
      </c>
      <c r="L32" t="inlineStr">
        <is>
          <t>26 September 2026</t>
        </is>
      </c>
      <c r="M32" t="inlineStr">
        <is>
          <t>Konstruksi Bangunan Sipil Jalan, Konstruksi Gedung Industri</t>
        </is>
      </c>
      <c r="N32" t="inlineStr">
        <is>
          <t>K</t>
        </is>
      </c>
      <c r="O32" t="inlineStr">
        <is>
          <t>20221103, 20230925</t>
        </is>
      </c>
      <c r="P32" t="inlineStr">
        <is>
          <t>Banten</t>
        </is>
      </c>
      <c r="Q32" t="inlineStr"/>
    </row>
    <row r="33">
      <c r="A33" t="inlineStr">
        <is>
          <t>CAHAYA SAMUDRA</t>
        </is>
      </c>
      <c r="B33" t="inlineStr">
        <is>
          <t>Kab. Kutai Timur</t>
        </is>
      </c>
      <c r="C33" t="inlineStr">
        <is>
          <t>08115533343</t>
        </is>
      </c>
      <c r="D33" t="inlineStr">
        <is>
          <t>samudracahaya393@yahoo.com</t>
        </is>
      </c>
      <c r="E33" t="inlineStr">
        <is>
          <t>https://lpjk.pu.go.id/search-badan-usaha-detail/bjRKZ3FRTFUwWUlQKzBjUVM5NnlFZz09</t>
        </is>
      </c>
      <c r="F33" t="n">
        <v>4</v>
      </c>
      <c r="G33" t="inlineStr">
        <is>
          <t>BG002, BG006, BG008, BG009</t>
        </is>
      </c>
      <c r="H33" t="inlineStr">
        <is>
          <t>1 Juni 2014</t>
        </is>
      </c>
      <c r="I33" s="2" t="n">
        <v>46291</v>
      </c>
      <c r="J33" t="inlineStr">
        <is>
          <t>Disetujui</t>
        </is>
      </c>
      <c r="K33" t="n">
        <v>30</v>
      </c>
      <c r="L33" t="inlineStr">
        <is>
          <t>26 September 2026</t>
        </is>
      </c>
      <c r="M33" t="inlineStr">
        <is>
          <t>Konstruksi Gedung Lainnya, Konstruksi Gedung Pendidikan, Konstruksi Gedung Perkantoran, Konstruksi Gedung Tempat Hiburan dan Olahraga</t>
        </is>
      </c>
      <c r="N33" t="inlineStr">
        <is>
          <t>K</t>
        </is>
      </c>
      <c r="O33" t="inlineStr">
        <is>
          <t>20230926</t>
        </is>
      </c>
      <c r="P33" t="inlineStr">
        <is>
          <t>Kalimantan Timur</t>
        </is>
      </c>
      <c r="Q33" t="inlineStr"/>
    </row>
    <row r="34">
      <c r="A34" t="inlineStr">
        <is>
          <t>CAKRA MARGA RAYA</t>
        </is>
      </c>
      <c r="B34" t="inlineStr">
        <is>
          <t>Kota Surabaya</t>
        </is>
      </c>
      <c r="C34" t="inlineStr">
        <is>
          <t>08113380180</t>
        </is>
      </c>
      <c r="D34" t="inlineStr">
        <is>
          <t>cv.cakramargaraya@gmail.com</t>
        </is>
      </c>
      <c r="E34" t="inlineStr">
        <is>
          <t>https://lpjk.pu.go.id/search-badan-usaha-detail/VW9VSTVsMnNvUjR5T25KQ3FmOUpsUT09</t>
        </is>
      </c>
      <c r="F34" t="n">
        <v>1</v>
      </c>
      <c r="G34" t="inlineStr">
        <is>
          <t>RK003</t>
        </is>
      </c>
      <c r="H34" t="inlineStr">
        <is>
          <t>14 November 2022</t>
        </is>
      </c>
      <c r="I34" s="2" t="n">
        <v>46291</v>
      </c>
      <c r="J34" t="inlineStr">
        <is>
          <t>Disetujui</t>
        </is>
      </c>
      <c r="K34" t="n">
        <v>30</v>
      </c>
      <c r="L34" t="inlineStr">
        <is>
          <t>26 September 2026</t>
        </is>
      </c>
      <c r="M34" t="inlineStr">
        <is>
          <t>Jasa Rekayasa Pekerjaan Teknik Sipil Transportasi</t>
        </is>
      </c>
      <c r="N34" t="inlineStr">
        <is>
          <t>K</t>
        </is>
      </c>
      <c r="O34" t="inlineStr">
        <is>
          <t>20230920</t>
        </is>
      </c>
      <c r="P34" t="inlineStr">
        <is>
          <t>Jawa Timur</t>
        </is>
      </c>
      <c r="Q34" t="inlineStr"/>
    </row>
    <row r="35">
      <c r="A35" t="inlineStr">
        <is>
          <t>CHANDRA MITRA STRUKTURINDO</t>
        </is>
      </c>
      <c r="B35" t="inlineStr">
        <is>
          <t>Kota Adm. Jakarta Utara</t>
        </is>
      </c>
      <c r="C35" t="inlineStr">
        <is>
          <t>08158788859</t>
        </is>
      </c>
      <c r="D35" t="inlineStr">
        <is>
          <t>chandra.mitra.strukturindo@gmail.com</t>
        </is>
      </c>
      <c r="E35" t="inlineStr">
        <is>
          <t>https://lpjk.pu.go.id/search-badan-usaha-detail/T0JaUU1ENHVjQVpudjluRXhYd3dvQT09</t>
        </is>
      </c>
      <c r="F35" t="n">
        <v>1</v>
      </c>
      <c r="G35" t="inlineStr">
        <is>
          <t>BG004</t>
        </is>
      </c>
      <c r="H35" t="inlineStr">
        <is>
          <t>23 Februari 2022</t>
        </is>
      </c>
      <c r="I35" s="2" t="n">
        <v>46291</v>
      </c>
      <c r="J35" t="inlineStr">
        <is>
          <t>Disetujui</t>
        </is>
      </c>
      <c r="K35" t="n">
        <v>30</v>
      </c>
      <c r="L35" t="inlineStr">
        <is>
          <t>26 September 2026</t>
        </is>
      </c>
      <c r="M35" t="inlineStr">
        <is>
          <t>Konstruksi Gedung Perbelanjaan</t>
        </is>
      </c>
      <c r="N35" t="inlineStr">
        <is>
          <t>M</t>
        </is>
      </c>
      <c r="O35" t="inlineStr">
        <is>
          <t>20230926</t>
        </is>
      </c>
      <c r="P35" t="inlineStr">
        <is>
          <t>DKI Jakarta</t>
        </is>
      </c>
      <c r="Q35" t="inlineStr"/>
    </row>
    <row r="36">
      <c r="A36" t="inlineStr">
        <is>
          <t>CITRA DAYA PERSADA</t>
        </is>
      </c>
      <c r="B36" t="inlineStr">
        <is>
          <t>Kab. Indramayu</t>
        </is>
      </c>
      <c r="C36" t="inlineStr">
        <is>
          <t>089507280464</t>
        </is>
      </c>
      <c r="D36" t="inlineStr">
        <is>
          <t>citradayapersada@gmail.com</t>
        </is>
      </c>
      <c r="E36" t="inlineStr">
        <is>
          <t>https://lpjk.pu.go.id/search-badan-usaha-detail/dDBJTFJ4bTNySEo2WVcyMk14MFJndz09</t>
        </is>
      </c>
      <c r="F36" t="n">
        <v>7</v>
      </c>
      <c r="G36" t="inlineStr">
        <is>
          <t>BG002, BG005, BG006, BG008, BG009, BS001, BS004</t>
        </is>
      </c>
      <c r="H36" t="inlineStr">
        <is>
          <t>11 September 2023</t>
        </is>
      </c>
      <c r="I36" s="2" t="n">
        <v>46291</v>
      </c>
      <c r="J36" t="inlineStr">
        <is>
          <t>Disetujui</t>
        </is>
      </c>
      <c r="K36" t="n">
        <v>30</v>
      </c>
      <c r="L36" t="inlineStr">
        <is>
          <t>26 September 2026</t>
        </is>
      </c>
      <c r="M36" t="inlineStr">
        <is>
          <t>Konstruksi Bangunan Sipil Jalan, Konstruksi Gedung Kesehatan, Konstruksi Gedung Lainnya, Konstruksi Gedung Pendidikan, Konstruksi Gedung Perkantoran, Konstruksi Gedung Tempat Hiburan dan Olahraga, Konstruksi Jaringan Irigasi dan Drainase</t>
        </is>
      </c>
      <c r="N36" t="inlineStr">
        <is>
          <t>K</t>
        </is>
      </c>
      <c r="O36" t="inlineStr">
        <is>
          <t>20230925, 20230927</t>
        </is>
      </c>
      <c r="P36" t="inlineStr">
        <is>
          <t>Jawa Barat</t>
        </is>
      </c>
      <c r="Q36" t="inlineStr"/>
    </row>
    <row r="37">
      <c r="A37" t="inlineStr">
        <is>
          <t>CITRA KARYA PRATAMA</t>
        </is>
      </c>
      <c r="B37" t="inlineStr">
        <is>
          <t>Kota Medan</t>
        </is>
      </c>
      <c r="C37" t="inlineStr">
        <is>
          <t>081263687778</t>
        </is>
      </c>
      <c r="D37" t="inlineStr">
        <is>
          <t>cvcitrakaryapratama@yahoo.com</t>
        </is>
      </c>
      <c r="E37" t="inlineStr">
        <is>
          <t>https://lpjk.pu.go.id/search-badan-usaha-detail/WThCSU1NajBOU0p3SnZmMEtLd3hmUT09</t>
        </is>
      </c>
      <c r="F37" t="n">
        <v>7</v>
      </c>
      <c r="G37" t="inlineStr">
        <is>
          <t>BG001, BG003, BG006, BG009, BS001, BS002, BS004</t>
        </is>
      </c>
      <c r="H37" t="inlineStr">
        <is>
          <t>4 Oktober 2007</t>
        </is>
      </c>
      <c r="I37" s="2" t="n">
        <v>46291</v>
      </c>
      <c r="J37" t="inlineStr">
        <is>
          <t>Disetujui</t>
        </is>
      </c>
      <c r="K37" t="n">
        <v>30</v>
      </c>
      <c r="L37" t="inlineStr">
        <is>
          <t>26 September 2026</t>
        </is>
      </c>
      <c r="M37" t="inlineStr">
        <is>
          <t>Bangunan Sipil Jembatan, Jalan Layang, Fly Over, dan Underpass, Konstruksi Bangunan Sipil Jalan, Konstruksi Gedung Hunian, Konstruksi Gedung Industri, Konstruksi Gedung Lainnya, Konstruksi Gedung Pendidikan, Konstruksi Jaringan Irigasi dan Drainase</t>
        </is>
      </c>
      <c r="N37" t="inlineStr">
        <is>
          <t>K</t>
        </is>
      </c>
      <c r="O37" t="inlineStr">
        <is>
          <t>20230912</t>
        </is>
      </c>
      <c r="P37" t="inlineStr">
        <is>
          <t>Sumatera Utara</t>
        </is>
      </c>
      <c r="Q37" t="inlineStr"/>
    </row>
    <row r="38">
      <c r="A38" t="inlineStr">
        <is>
          <t>DANAU HIJAU LESTARI</t>
        </is>
      </c>
      <c r="B38" t="inlineStr">
        <is>
          <t>Kota Palembang</t>
        </is>
      </c>
      <c r="C38" t="inlineStr">
        <is>
          <t>081368606352</t>
        </is>
      </c>
      <c r="D38" t="inlineStr">
        <is>
          <t>danauhijaulestari@gmail.com</t>
        </is>
      </c>
      <c r="E38" t="inlineStr">
        <is>
          <t>https://lpjk.pu.go.id/search-badan-usaha-detail/eGtseTU4bTBpR1Vaek9RK2tONDRwQT09</t>
        </is>
      </c>
      <c r="F38" t="n">
        <v>2</v>
      </c>
      <c r="G38" t="inlineStr">
        <is>
          <t>BG002, BS001</t>
        </is>
      </c>
      <c r="H38" t="inlineStr">
        <is>
          <t>30 Maret 2016</t>
        </is>
      </c>
      <c r="I38" s="2" t="n">
        <v>46291</v>
      </c>
      <c r="J38" t="inlineStr">
        <is>
          <t>Disetujui</t>
        </is>
      </c>
      <c r="K38" t="n">
        <v>30</v>
      </c>
      <c r="L38" t="inlineStr">
        <is>
          <t>26 September 2026</t>
        </is>
      </c>
      <c r="M38" t="inlineStr">
        <is>
          <t>Konstruksi Bangunan Sipil Jalan, Konstruksi Gedung Perkantoran</t>
        </is>
      </c>
      <c r="N38" t="inlineStr">
        <is>
          <t>K</t>
        </is>
      </c>
      <c r="O38" t="inlineStr">
        <is>
          <t>20230926</t>
        </is>
      </c>
      <c r="P38" t="inlineStr">
        <is>
          <t>Sumatera Selatan</t>
        </is>
      </c>
      <c r="Q38" t="inlineStr"/>
    </row>
    <row r="39">
      <c r="A39" t="inlineStr">
        <is>
          <t>DARMA RAYA KONSTRUKSI</t>
        </is>
      </c>
      <c r="B39" t="inlineStr">
        <is>
          <t>Kab. Jember</t>
        </is>
      </c>
      <c r="C39" t="inlineStr">
        <is>
          <t>08174107000</t>
        </is>
      </c>
      <c r="D39" t="inlineStr">
        <is>
          <t>wkencagie@gmail.com</t>
        </is>
      </c>
      <c r="E39" t="inlineStr">
        <is>
          <t>https://lpjk.pu.go.id/search-badan-usaha-detail/ZGFFVHB4c1BEdzh5Um5VVkErZkk3QT09</t>
        </is>
      </c>
      <c r="F39" t="n">
        <v>7</v>
      </c>
      <c r="G39" t="inlineStr">
        <is>
          <t>BG005, BG006, BG009, BS004</t>
        </is>
      </c>
      <c r="H39" t="inlineStr">
        <is>
          <t>22 Maret 2017</t>
        </is>
      </c>
      <c r="I39" s="2" t="n">
        <v>46291</v>
      </c>
      <c r="J39" t="inlineStr">
        <is>
          <t>Disetujui</t>
        </is>
      </c>
      <c r="K39" t="n">
        <v>30</v>
      </c>
      <c r="L39" t="inlineStr">
        <is>
          <t>26 September 2026</t>
        </is>
      </c>
      <c r="M39" t="inlineStr">
        <is>
          <t>Konstruksi Gedung Kesehatan, Konstruksi Gedung Lainnya, Konstruksi Gedung Pendidikan, Konstruksi Jaringan Irigasi dan Drainase</t>
        </is>
      </c>
      <c r="N39" t="inlineStr">
        <is>
          <t>K</t>
        </is>
      </c>
      <c r="O39" t="inlineStr">
        <is>
          <t>20230925</t>
        </is>
      </c>
      <c r="P39" t="inlineStr">
        <is>
          <t>Jawa Timur</t>
        </is>
      </c>
      <c r="Q39" t="inlineStr"/>
    </row>
    <row r="40">
      <c r="A40" t="inlineStr">
        <is>
          <t>DEVA RAHMANI</t>
        </is>
      </c>
      <c r="B40" t="inlineStr">
        <is>
          <t>Kab. Kutai Timur</t>
        </is>
      </c>
      <c r="C40" t="inlineStr">
        <is>
          <t>081253097743</t>
        </is>
      </c>
      <c r="D40" t="inlineStr">
        <is>
          <t>cvdevarahmani@gmail.com</t>
        </is>
      </c>
      <c r="E40" t="inlineStr">
        <is>
          <t>https://lpjk.pu.go.id/search-badan-usaha-detail/N1hiSUh2TGhmVzQxWERJa2FXMjhYQT09</t>
        </is>
      </c>
      <c r="F40" t="n">
        <v>2</v>
      </c>
      <c r="G40" t="inlineStr">
        <is>
          <t>BG009, BS004</t>
        </is>
      </c>
      <c r="H40" t="inlineStr">
        <is>
          <t>9 September 2023</t>
        </is>
      </c>
      <c r="I40" s="2" t="n">
        <v>46291</v>
      </c>
      <c r="J40" t="inlineStr">
        <is>
          <t>Disetujui</t>
        </is>
      </c>
      <c r="K40" t="n">
        <v>30</v>
      </c>
      <c r="L40" t="inlineStr">
        <is>
          <t>26 September 2026</t>
        </is>
      </c>
      <c r="M40" t="inlineStr">
        <is>
          <t>Konstruksi Gedung Lainnya, Konstruksi Jaringan Irigasi dan Drainase</t>
        </is>
      </c>
      <c r="N40" t="inlineStr">
        <is>
          <t>K</t>
        </is>
      </c>
      <c r="O40" t="inlineStr">
        <is>
          <t>20230927</t>
        </is>
      </c>
      <c r="P40" t="inlineStr">
        <is>
          <t>Kalimantan Timur</t>
        </is>
      </c>
      <c r="Q40" t="inlineStr"/>
    </row>
    <row r="41">
      <c r="A41" t="inlineStr">
        <is>
          <t>DITA KARYA SEJAHTERA</t>
        </is>
      </c>
      <c r="B41" t="inlineStr">
        <is>
          <t>Kab. Asmat</t>
        </is>
      </c>
      <c r="C41" t="inlineStr">
        <is>
          <t>085256444888</t>
        </is>
      </c>
      <c r="D41" t="inlineStr">
        <is>
          <t>ditakaryasejahtera.cv@gmail.com</t>
        </is>
      </c>
      <c r="E41" t="inlineStr">
        <is>
          <t>https://lpjk.pu.go.id/search-badan-usaha-detail/bmJrTUQ5L3NmTVZFZ2h2WVArbDFHQT09</t>
        </is>
      </c>
      <c r="F41" t="n">
        <v>1</v>
      </c>
      <c r="G41" t="inlineStr">
        <is>
          <t>BG001</t>
        </is>
      </c>
      <c r="H41" t="inlineStr">
        <is>
          <t>4 April 2016</t>
        </is>
      </c>
      <c r="I41" s="2" t="n">
        <v>46291</v>
      </c>
      <c r="J41" t="inlineStr">
        <is>
          <t>Disetujui</t>
        </is>
      </c>
      <c r="K41" t="n">
        <v>30</v>
      </c>
      <c r="L41" t="inlineStr">
        <is>
          <t>26 September 2026</t>
        </is>
      </c>
      <c r="M41" t="inlineStr">
        <is>
          <t>Konstruksi Gedung Hunian</t>
        </is>
      </c>
      <c r="N41" t="inlineStr">
        <is>
          <t>K</t>
        </is>
      </c>
      <c r="O41" t="inlineStr">
        <is>
          <t>20230925</t>
        </is>
      </c>
      <c r="P41" t="inlineStr">
        <is>
          <t>Papua Selatan</t>
        </is>
      </c>
      <c r="Q41" t="inlineStr"/>
    </row>
    <row r="42">
      <c r="A42" t="inlineStr">
        <is>
          <t>DOA BUNDA</t>
        </is>
      </c>
      <c r="B42" t="inlineStr">
        <is>
          <t>Kab. Pesisir Selatan</t>
        </is>
      </c>
      <c r="C42" t="inlineStr">
        <is>
          <t>081267994995</t>
        </is>
      </c>
      <c r="D42" t="inlineStr">
        <is>
          <t>cv.doabundapainan@gmail.com</t>
        </is>
      </c>
      <c r="E42" t="inlineStr">
        <is>
          <t>https://lpjk.pu.go.id/search-badan-usaha-detail/WW1wR2lCZkUwYzdINWUvdnA4cFJrZz09</t>
        </is>
      </c>
      <c r="F42" t="n">
        <v>5</v>
      </c>
      <c r="G42" t="inlineStr">
        <is>
          <t>BG002, BG004, BG005, BG006, BG009</t>
        </is>
      </c>
      <c r="H42" t="inlineStr">
        <is>
          <t>18 Desember 2006</t>
        </is>
      </c>
      <c r="I42" s="2" t="n">
        <v>46291</v>
      </c>
      <c r="J42" t="inlineStr">
        <is>
          <t>Disetujui</t>
        </is>
      </c>
      <c r="K42" t="n">
        <v>30</v>
      </c>
      <c r="L42" t="inlineStr">
        <is>
          <t>26 September 2026</t>
        </is>
      </c>
      <c r="M42" t="inlineStr">
        <is>
          <t>Konstruksi Gedung Kesehatan, Konstruksi Gedung Lainnya, Konstruksi Gedung Pendidikan, Konstruksi Gedung Perbelanjaan, Konstruksi Gedung Perkantoran</t>
        </is>
      </c>
      <c r="N42" t="inlineStr">
        <is>
          <t>K</t>
        </is>
      </c>
      <c r="O42" t="inlineStr">
        <is>
          <t>20230926, 20230927</t>
        </is>
      </c>
      <c r="P42" t="inlineStr">
        <is>
          <t>Sumatera Barat</t>
        </is>
      </c>
      <c r="Q42" t="inlineStr"/>
    </row>
    <row r="43">
      <c r="A43" t="inlineStr">
        <is>
          <t>DUA ARY KUS</t>
        </is>
      </c>
      <c r="B43" t="inlineStr">
        <is>
          <t>Kab. Purwakarta</t>
        </is>
      </c>
      <c r="C43" t="inlineStr">
        <is>
          <t>087802126018</t>
        </is>
      </c>
      <c r="D43" t="inlineStr">
        <is>
          <t>cvduaarykus@gmail.com</t>
        </is>
      </c>
      <c r="E43" t="inlineStr">
        <is>
          <t>https://lpjk.pu.go.id/search-badan-usaha-detail/Vm1BL3JkVzlsVWRLU1NaY3FVTVZDZz09</t>
        </is>
      </c>
      <c r="F43" t="n">
        <v>5</v>
      </c>
      <c r="G43" t="inlineStr">
        <is>
          <t>BG003, BG006, BG009, BS001, BS004</t>
        </is>
      </c>
      <c r="H43" t="inlineStr">
        <is>
          <t>24 Juli 2024</t>
        </is>
      </c>
      <c r="I43" s="2" t="n">
        <v>46291</v>
      </c>
      <c r="J43" t="inlineStr">
        <is>
          <t>Disetujui</t>
        </is>
      </c>
      <c r="K43" t="n">
        <v>30</v>
      </c>
      <c r="L43" t="inlineStr">
        <is>
          <t>26 September 2026</t>
        </is>
      </c>
      <c r="M43" t="inlineStr">
        <is>
          <t>Konstruksi Bangunan Sipil Jalan, Konstruksi Gedung Industri, Konstruksi Gedung Lainnya, Konstruksi Gedung Pendidikan, Konstruksi Jaringan Irigasi dan Drainase</t>
        </is>
      </c>
      <c r="N43" t="inlineStr">
        <is>
          <t>K</t>
        </is>
      </c>
      <c r="O43" t="inlineStr">
        <is>
          <t>20230902, 20230921, 20230925</t>
        </is>
      </c>
      <c r="P43" t="inlineStr">
        <is>
          <t>Jawa Barat</t>
        </is>
      </c>
      <c r="Q43" t="inlineStr"/>
    </row>
    <row r="44">
      <c r="A44" t="inlineStr">
        <is>
          <t>DUA PUTRI TUNGGAL</t>
        </is>
      </c>
      <c r="B44" t="inlineStr">
        <is>
          <t>Kab. Bone</t>
        </is>
      </c>
      <c r="C44" t="inlineStr">
        <is>
          <t>081356185923</t>
        </is>
      </c>
      <c r="D44" t="inlineStr">
        <is>
          <t>ummulhaeri77@gmail.com</t>
        </is>
      </c>
      <c r="E44" t="inlineStr">
        <is>
          <t>https://lpjk.pu.go.id/search-badan-usaha-detail/NnNlalFGK2N3R04ya09jU3F6eUdxdz09</t>
        </is>
      </c>
      <c r="F44" t="n">
        <v>1</v>
      </c>
      <c r="G44" t="inlineStr">
        <is>
          <t>BS001</t>
        </is>
      </c>
      <c r="H44" t="inlineStr">
        <is>
          <t>13 Agustus 2018</t>
        </is>
      </c>
      <c r="I44" s="2" t="n">
        <v>46291</v>
      </c>
      <c r="J44" t="inlineStr">
        <is>
          <t>Disetujui</t>
        </is>
      </c>
      <c r="K44" t="n">
        <v>30</v>
      </c>
      <c r="L44" t="inlineStr">
        <is>
          <t>26 September 2026</t>
        </is>
      </c>
      <c r="M44" t="inlineStr">
        <is>
          <t>Konstruksi Bangunan Sipil Jalan</t>
        </is>
      </c>
      <c r="N44" t="inlineStr">
        <is>
          <t>K</t>
        </is>
      </c>
      <c r="O44" t="inlineStr">
        <is>
          <t>20230926</t>
        </is>
      </c>
      <c r="P44" t="inlineStr">
        <is>
          <t>Sulawesi Selatan</t>
        </is>
      </c>
      <c r="Q44" t="inlineStr"/>
    </row>
    <row r="45">
      <c r="A45" t="inlineStr">
        <is>
          <t>DUTA BANGUN CIPTA</t>
        </is>
      </c>
      <c r="B45" t="inlineStr">
        <is>
          <t>Kota Surabaya</t>
        </is>
      </c>
      <c r="C45" t="inlineStr">
        <is>
          <t>081703458088</t>
        </is>
      </c>
      <c r="D45" t="inlineStr">
        <is>
          <t>dbc.projectsby@gmail.com</t>
        </is>
      </c>
      <c r="E45" t="inlineStr">
        <is>
          <t>https://lpjk.pu.go.id/search-badan-usaha-detail/M1pzZzBVd3R3b0hxaHoxN25MNUFjdz09</t>
        </is>
      </c>
      <c r="F45" t="n">
        <v>2</v>
      </c>
      <c r="G45" t="inlineStr">
        <is>
          <t>BG002, BG004</t>
        </is>
      </c>
      <c r="H45" t="inlineStr">
        <is>
          <t>11 Januari 2018</t>
        </is>
      </c>
      <c r="I45" s="2" t="n">
        <v>46291</v>
      </c>
      <c r="J45" t="inlineStr">
        <is>
          <t>Disetujui</t>
        </is>
      </c>
      <c r="K45" t="n">
        <v>30</v>
      </c>
      <c r="L45" t="inlineStr">
        <is>
          <t>26 September 2026</t>
        </is>
      </c>
      <c r="M45" t="inlineStr">
        <is>
          <t>Konstruksi Gedung Perbelanjaan, Konstruksi Gedung Perkantoran</t>
        </is>
      </c>
      <c r="N45" t="inlineStr">
        <is>
          <t>K</t>
        </is>
      </c>
      <c r="O45" t="inlineStr">
        <is>
          <t>20230926, 20230929</t>
        </is>
      </c>
      <c r="P45" t="inlineStr">
        <is>
          <t>Jawa Timur</t>
        </is>
      </c>
      <c r="Q45" t="inlineStr"/>
    </row>
    <row r="46">
      <c r="A46" t="inlineStr">
        <is>
          <t>DUTA KALTIM</t>
        </is>
      </c>
      <c r="B46" t="inlineStr">
        <is>
          <t>Kota Samarinda</t>
        </is>
      </c>
      <c r="C46" t="inlineStr">
        <is>
          <t>081399998805</t>
        </is>
      </c>
      <c r="D46" t="inlineStr">
        <is>
          <t>dutakaltim2023@gmail.com</t>
        </is>
      </c>
      <c r="E46" t="inlineStr">
        <is>
          <t>https://lpjk.pu.go.id/search-badan-usaha-detail/amd0eEcwa29LRXJKNVBoZ0Y4VDBKZz09</t>
        </is>
      </c>
      <c r="F46" t="n">
        <v>3</v>
      </c>
      <c r="G46" t="inlineStr">
        <is>
          <t>BG005, BG006, BG009</t>
        </is>
      </c>
      <c r="H46" t="inlineStr">
        <is>
          <t>30 Agustus 2023</t>
        </is>
      </c>
      <c r="I46" s="2" t="n">
        <v>46291</v>
      </c>
      <c r="J46" t="inlineStr">
        <is>
          <t>Disetujui</t>
        </is>
      </c>
      <c r="K46" t="n">
        <v>30</v>
      </c>
      <c r="L46" t="inlineStr">
        <is>
          <t>26 September 2026</t>
        </is>
      </c>
      <c r="M46" t="inlineStr">
        <is>
          <t>Konstruksi Gedung Kesehatan, Konstruksi Gedung Lainnya, Konstruksi Gedung Pendidikan</t>
        </is>
      </c>
      <c r="N46" t="inlineStr">
        <is>
          <t>K</t>
        </is>
      </c>
      <c r="O46" t="inlineStr">
        <is>
          <t>20230925, 20230926</t>
        </is>
      </c>
      <c r="P46" t="inlineStr">
        <is>
          <t>Kalimantan Timur</t>
        </is>
      </c>
      <c r="Q46" t="inlineStr"/>
    </row>
    <row r="47">
      <c r="A47" t="inlineStr">
        <is>
          <t>DUTA PUTRI RINJANI</t>
        </is>
      </c>
      <c r="B47" t="inlineStr">
        <is>
          <t>Kab. Lombok Barat</t>
        </is>
      </c>
      <c r="C47" t="inlineStr">
        <is>
          <t>085238482501</t>
        </is>
      </c>
      <c r="D47" t="inlineStr">
        <is>
          <t>muhamadmunir627@yahoo.co.id</t>
        </is>
      </c>
      <c r="E47" t="inlineStr">
        <is>
          <t>https://lpjk.pu.go.id/search-badan-usaha-detail/VENIeEVTK1BEa3lreEpDZS95akNaZz09</t>
        </is>
      </c>
      <c r="F47" t="n">
        <v>6</v>
      </c>
      <c r="G47" t="inlineStr">
        <is>
          <t>BG001, BG005, BG006, BG009, BS001, BS004</t>
        </is>
      </c>
      <c r="H47" t="inlineStr">
        <is>
          <t>17 Desember 2009</t>
        </is>
      </c>
      <c r="I47" s="2" t="n">
        <v>46291</v>
      </c>
      <c r="J47" t="inlineStr">
        <is>
          <t>Disetujui</t>
        </is>
      </c>
      <c r="K47" t="n">
        <v>30</v>
      </c>
      <c r="L47" t="inlineStr">
        <is>
          <t>26 September 2026</t>
        </is>
      </c>
      <c r="M47" t="inlineStr">
        <is>
          <t>Konstruksi Bangunan Sipil Jalan, Konstruksi Gedung Hunian, Konstruksi Gedung Kesehatan, Konstruksi Gedung Lainnya, Konstruksi Gedung Pendidikan, Konstruksi Jaringan Irigasi dan Drainase</t>
        </is>
      </c>
      <c r="N47" t="inlineStr">
        <is>
          <t>K</t>
        </is>
      </c>
      <c r="O47" t="inlineStr">
        <is>
          <t>20230922</t>
        </is>
      </c>
      <c r="P47" t="inlineStr">
        <is>
          <t>Nusa Tenggara Barat</t>
        </is>
      </c>
      <c r="Q47" t="inlineStr"/>
    </row>
    <row r="48">
      <c r="A48" t="inlineStr">
        <is>
          <t>DWI KARYA</t>
        </is>
      </c>
      <c r="B48" t="inlineStr">
        <is>
          <t>Kab. Bondowoso</t>
        </is>
      </c>
      <c r="C48" t="inlineStr">
        <is>
          <t>08123563023</t>
        </is>
      </c>
      <c r="D48" t="inlineStr">
        <is>
          <t>babynisazahira@yahoo.com</t>
        </is>
      </c>
      <c r="E48" t="inlineStr">
        <is>
          <t>https://lpjk.pu.go.id/search-badan-usaha-detail/WFQyUS9IUVA2NDZmbkl6QWMwNzFkbXhWWDNIb21Ydm9qWG9WTEZZR1hBdz0</t>
        </is>
      </c>
      <c r="F48" t="n">
        <v>1</v>
      </c>
      <c r="G48" t="inlineStr">
        <is>
          <t>BS001</t>
        </is>
      </c>
      <c r="H48" t="inlineStr">
        <is>
          <t>15 Agustus 2025</t>
        </is>
      </c>
      <c r="I48" s="2" t="n">
        <v>46291</v>
      </c>
      <c r="J48" t="inlineStr">
        <is>
          <t>Disetujui</t>
        </is>
      </c>
      <c r="K48" t="n">
        <v>30</v>
      </c>
      <c r="L48" t="inlineStr">
        <is>
          <t>26 September 2026</t>
        </is>
      </c>
      <c r="M48" t="inlineStr">
        <is>
          <t>Konstruksi Bangunan Sipil Jalan</t>
        </is>
      </c>
      <c r="N48" t="inlineStr">
        <is>
          <t>K</t>
        </is>
      </c>
      <c r="O48" t="inlineStr">
        <is>
          <t>20230921</t>
        </is>
      </c>
      <c r="P48" t="inlineStr">
        <is>
          <t>Jawa Timur</t>
        </is>
      </c>
      <c r="Q48" t="inlineStr"/>
    </row>
    <row r="49">
      <c r="A49" t="inlineStr">
        <is>
          <t>EKADANTA BANGUN PERSADA</t>
        </is>
      </c>
      <c r="B49" t="inlineStr">
        <is>
          <t>Kota Adm. Jakarta Selatan</t>
        </is>
      </c>
      <c r="C49" t="inlineStr">
        <is>
          <t>0217202266</t>
        </is>
      </c>
      <c r="D49" t="inlineStr">
        <is>
          <t>info.ekadantabp@gmail.com</t>
        </is>
      </c>
      <c r="E49" t="inlineStr">
        <is>
          <t>https://lpjk.pu.go.id/search-badan-usaha-detail/dCt4OTRoeENWMXBjcGZUOW9EUW1hQT09</t>
        </is>
      </c>
      <c r="F49" t="n">
        <v>1</v>
      </c>
      <c r="G49" t="inlineStr">
        <is>
          <t>BG002</t>
        </is>
      </c>
      <c r="H49" t="inlineStr">
        <is>
          <t>31 Juli 2023</t>
        </is>
      </c>
      <c r="I49" s="2" t="n">
        <v>46291</v>
      </c>
      <c r="J49" t="inlineStr">
        <is>
          <t>Disetujui</t>
        </is>
      </c>
      <c r="K49" t="n">
        <v>30</v>
      </c>
      <c r="L49" t="inlineStr">
        <is>
          <t>26 September 2026</t>
        </is>
      </c>
      <c r="M49" t="inlineStr">
        <is>
          <t>Konstruksi Gedung Perkantoran</t>
        </is>
      </c>
      <c r="N49" t="inlineStr">
        <is>
          <t>K</t>
        </is>
      </c>
      <c r="O49" t="inlineStr">
        <is>
          <t>20230922</t>
        </is>
      </c>
      <c r="P49" t="inlineStr">
        <is>
          <t>DKI Jakarta</t>
        </is>
      </c>
      <c r="Q49" t="inlineStr"/>
    </row>
    <row r="50">
      <c r="A50" t="inlineStr">
        <is>
          <t>ERGATES CITRA MANDIRI</t>
        </is>
      </c>
      <c r="B50" t="inlineStr">
        <is>
          <t>Kab. Sidoarjo</t>
        </is>
      </c>
      <c r="C50" t="inlineStr">
        <is>
          <t>081230126611</t>
        </is>
      </c>
      <c r="D50" t="inlineStr">
        <is>
          <t>pt.ergatescitramandiri2009@gmail.com</t>
        </is>
      </c>
      <c r="E50" t="inlineStr">
        <is>
          <t>https://lpjk.pu.go.id/search-badan-usaha-detail/cW1HSEIrS1pLQk5SQUJDTHVNeENkUT09</t>
        </is>
      </c>
      <c r="F50" t="n">
        <v>1</v>
      </c>
      <c r="G50" t="inlineStr">
        <is>
          <t>BS002</t>
        </is>
      </c>
      <c r="H50" t="inlineStr">
        <is>
          <t>28 April 2009</t>
        </is>
      </c>
      <c r="I50" s="2" t="n">
        <v>46291</v>
      </c>
      <c r="J50" t="inlineStr">
        <is>
          <t>Disetujui</t>
        </is>
      </c>
      <c r="K50" t="n">
        <v>30</v>
      </c>
      <c r="L50" t="inlineStr">
        <is>
          <t>26 September 2026</t>
        </is>
      </c>
      <c r="M50" t="inlineStr">
        <is>
          <t>Bangunan Sipil Jembatan, Jalan Layang, Fly Over, dan Underpass</t>
        </is>
      </c>
      <c r="N50" t="inlineStr">
        <is>
          <t>K</t>
        </is>
      </c>
      <c r="O50" t="inlineStr">
        <is>
          <t>20230825</t>
        </is>
      </c>
      <c r="P50" t="inlineStr">
        <is>
          <t>Jawa Timur</t>
        </is>
      </c>
      <c r="Q50" t="inlineStr"/>
    </row>
    <row r="51">
      <c r="A51" t="inlineStr">
        <is>
          <t>FAJAR BARU MANDIRI</t>
        </is>
      </c>
      <c r="B51" t="inlineStr">
        <is>
          <t>Kota Lubuk Linggau</t>
        </is>
      </c>
      <c r="C51" t="inlineStr">
        <is>
          <t>082180099704</t>
        </is>
      </c>
      <c r="D51" t="inlineStr">
        <is>
          <t>cv.fajarbaru2020@gmail.com</t>
        </is>
      </c>
      <c r="E51" t="inlineStr">
        <is>
          <t>https://lpjk.pu.go.id/search-badan-usaha-detail/K0x6cXlLaFVNUWFUa24vREFlSUpuQT09</t>
        </is>
      </c>
      <c r="F51" t="n">
        <v>2</v>
      </c>
      <c r="G51" t="inlineStr">
        <is>
          <t>BG009, BS001</t>
        </is>
      </c>
      <c r="H51" t="inlineStr">
        <is>
          <t>19 Maret 2020</t>
        </is>
      </c>
      <c r="I51" s="2" t="n">
        <v>46291</v>
      </c>
      <c r="J51" t="inlineStr">
        <is>
          <t>Disetujui</t>
        </is>
      </c>
      <c r="K51" t="n">
        <v>30</v>
      </c>
      <c r="L51" t="inlineStr">
        <is>
          <t>26 September 2026</t>
        </is>
      </c>
      <c r="M51" t="inlineStr">
        <is>
          <t>Konstruksi Bangunan Sipil Jalan, Konstruksi Gedung Lainnya</t>
        </is>
      </c>
      <c r="N51" t="inlineStr">
        <is>
          <t>K</t>
        </is>
      </c>
      <c r="O51" t="inlineStr">
        <is>
          <t>20230926, 20230927</t>
        </is>
      </c>
      <c r="P51" t="inlineStr">
        <is>
          <t>Sumatera Selatan</t>
        </is>
      </c>
      <c r="Q51" t="inlineStr"/>
    </row>
    <row r="52">
      <c r="A52" t="inlineStr">
        <is>
          <t>FATHAN PERMATA</t>
        </is>
      </c>
      <c r="B52" t="inlineStr">
        <is>
          <t>Kota Palembang</t>
        </is>
      </c>
      <c r="C52" t="inlineStr">
        <is>
          <t>085366668686</t>
        </is>
      </c>
      <c r="D52" t="inlineStr">
        <is>
          <t>cvfathanpermata8@gmail.com</t>
        </is>
      </c>
      <c r="E52" t="inlineStr">
        <is>
          <t>https://lpjk.pu.go.id/search-badan-usaha-detail/enEvcnJ4d2VVV3ZLOHpQeUNsMUpGZz09</t>
        </is>
      </c>
      <c r="F52" t="n">
        <v>1</v>
      </c>
      <c r="G52" t="inlineStr">
        <is>
          <t>BS001</t>
        </is>
      </c>
      <c r="H52" t="inlineStr">
        <is>
          <t>18 Juli 2023</t>
        </is>
      </c>
      <c r="I52" s="2" t="n">
        <v>46291</v>
      </c>
      <c r="J52" t="inlineStr">
        <is>
          <t>Disetujui</t>
        </is>
      </c>
      <c r="K52" t="n">
        <v>30</v>
      </c>
      <c r="L52" t="inlineStr">
        <is>
          <t>26 September 2026</t>
        </is>
      </c>
      <c r="M52" t="inlineStr">
        <is>
          <t>Konstruksi Bangunan Sipil Jalan</t>
        </is>
      </c>
      <c r="N52" t="inlineStr">
        <is>
          <t>K</t>
        </is>
      </c>
      <c r="O52" t="inlineStr">
        <is>
          <t>20230927</t>
        </is>
      </c>
      <c r="P52" t="inlineStr">
        <is>
          <t>Sumatera Selatan</t>
        </is>
      </c>
      <c r="Q52" t="inlineStr"/>
    </row>
    <row r="53">
      <c r="A53" t="inlineStr">
        <is>
          <t>FORTUNA</t>
        </is>
      </c>
      <c r="B53" t="inlineStr">
        <is>
          <t>Kab. Ciamis</t>
        </is>
      </c>
      <c r="C53" t="inlineStr">
        <is>
          <t>085220777222</t>
        </is>
      </c>
      <c r="D53" t="inlineStr">
        <is>
          <t>fortunacv9@gmail.com</t>
        </is>
      </c>
      <c r="E53" t="inlineStr">
        <is>
          <t>https://lpjk.pu.go.id/search-badan-usaha-detail/MlpIT1AyU3RDOXBEcDlkZkh2QlNKQT09</t>
        </is>
      </c>
      <c r="F53" t="n">
        <v>6</v>
      </c>
      <c r="G53" t="inlineStr">
        <is>
          <t>BG003, BG008, BG009, BS004, BS005, BS010</t>
        </is>
      </c>
      <c r="H53" t="inlineStr">
        <is>
          <t>14 Oktober 1985</t>
        </is>
      </c>
      <c r="I53" s="2" t="n">
        <v>46291</v>
      </c>
      <c r="J53" t="inlineStr">
        <is>
          <t>Disetujui</t>
        </is>
      </c>
      <c r="K53" t="n">
        <v>30</v>
      </c>
      <c r="L53" t="inlineStr">
        <is>
          <t>26 September 2026</t>
        </is>
      </c>
      <c r="M53" t="inlineStr">
        <is>
          <t>Konstruksi Bangunan Prasarana Sumber Daya Air, Konstruksi Bangunan Sipil Pengolahan Air Bersih, Konstruksi Gedung Industri, Konstruksi Gedung Lainnya, Konstruksi Gedung Tempat Hiburan dan Olahraga, Konstruksi Jaringan Irigasi dan Drainase</t>
        </is>
      </c>
      <c r="N53" t="inlineStr">
        <is>
          <t>K</t>
        </is>
      </c>
      <c r="O53" t="inlineStr">
        <is>
          <t>20230925</t>
        </is>
      </c>
      <c r="P53" t="inlineStr">
        <is>
          <t>Jawa Barat</t>
        </is>
      </c>
      <c r="Q53" t="inlineStr"/>
    </row>
    <row r="54">
      <c r="A54" t="inlineStr">
        <is>
          <t>GEO GREEN ENVIROTAMA</t>
        </is>
      </c>
      <c r="B54" t="inlineStr">
        <is>
          <t>Kab. Semarang</t>
        </is>
      </c>
      <c r="C54" t="inlineStr">
        <is>
          <t>0246921723</t>
        </is>
      </c>
      <c r="D54" t="inlineStr">
        <is>
          <t>ricyanto.c@gmail.com</t>
        </is>
      </c>
      <c r="E54" t="inlineStr">
        <is>
          <t>https://lpjk.pu.go.id/search-badan-usaha-detail/N2JLc1UvSW5abFlodndERWt4NERNZz09</t>
        </is>
      </c>
      <c r="F54" t="n">
        <v>4</v>
      </c>
      <c r="G54" t="inlineStr">
        <is>
          <t>BG001, BS005, BS006, BS010</t>
        </is>
      </c>
      <c r="H54" t="inlineStr">
        <is>
          <t>5 Januari 2010</t>
        </is>
      </c>
      <c r="I54" s="2" t="n">
        <v>46291</v>
      </c>
      <c r="J54" t="inlineStr">
        <is>
          <t>Disetujui</t>
        </is>
      </c>
      <c r="K54" t="n">
        <v>30</v>
      </c>
      <c r="L54" t="inlineStr">
        <is>
          <t>26 September 2026</t>
        </is>
      </c>
      <c r="M54" t="inlineStr">
        <is>
          <t>Konstruksi Bangunan Prasarana Sumber Daya Air, Konstruksi Bangunan Sipil Pengolahan Air Bersih, Konstruksi Bangunan Sipil Prasarana dan Sarana Sistem Pengolahan Limbah Padat, Cair, dan Gas, Konstruksi Gedung Hunian</t>
        </is>
      </c>
      <c r="N54" t="inlineStr">
        <is>
          <t>K</t>
        </is>
      </c>
      <c r="O54" t="inlineStr">
        <is>
          <t>20230921</t>
        </is>
      </c>
      <c r="P54" t="inlineStr">
        <is>
          <t>Jawa Tengah</t>
        </is>
      </c>
      <c r="Q54" t="inlineStr"/>
    </row>
    <row r="55">
      <c r="A55" t="inlineStr">
        <is>
          <t>GERBANG KONSTRUKSI NUSANTARA</t>
        </is>
      </c>
      <c r="B55" t="inlineStr">
        <is>
          <t>Kota Padang</t>
        </is>
      </c>
      <c r="C55" t="inlineStr">
        <is>
          <t>081266515108</t>
        </is>
      </c>
      <c r="D55" t="inlineStr">
        <is>
          <t>gerbang108.pajak@gmail.com</t>
        </is>
      </c>
      <c r="E55" t="inlineStr">
        <is>
          <t>https://lpjk.pu.go.id/search-badan-usaha-detail/ZzBXbEt6OFBQNzRRUTdwVUp3Y0xHQT09</t>
        </is>
      </c>
      <c r="F55" t="n">
        <v>1</v>
      </c>
      <c r="G55" t="inlineStr">
        <is>
          <t>BS002</t>
        </is>
      </c>
      <c r="H55" t="inlineStr">
        <is>
          <t>10 Agustus 2009</t>
        </is>
      </c>
      <c r="I55" s="2" t="n">
        <v>46291</v>
      </c>
      <c r="J55" t="inlineStr">
        <is>
          <t>Disetujui</t>
        </is>
      </c>
      <c r="K55" t="n">
        <v>30</v>
      </c>
      <c r="L55" t="inlineStr">
        <is>
          <t>26 September 2026</t>
        </is>
      </c>
      <c r="M55" t="inlineStr">
        <is>
          <t>Bangunan Sipil Jembatan, Jalan Layang, Fly Over, dan Underpass</t>
        </is>
      </c>
      <c r="N55" t="inlineStr">
        <is>
          <t>K</t>
        </is>
      </c>
      <c r="O55" t="inlineStr">
        <is>
          <t>20230913</t>
        </is>
      </c>
      <c r="P55" t="inlineStr">
        <is>
          <t>Sumatera Barat</t>
        </is>
      </c>
      <c r="Q55" t="inlineStr"/>
    </row>
    <row r="56">
      <c r="A56" t="inlineStr">
        <is>
          <t>GLOBAL NUSA PERSADA CONSTRUCTION</t>
        </is>
      </c>
      <c r="B56" t="inlineStr">
        <is>
          <t>Kota Bandar Lampung</t>
        </is>
      </c>
      <c r="C56" t="inlineStr">
        <is>
          <t>081379759244</t>
        </is>
      </c>
      <c r="D56" t="inlineStr">
        <is>
          <t>globalnusapersada@gmail.com</t>
        </is>
      </c>
      <c r="E56" t="inlineStr">
        <is>
          <t>https://lpjk.pu.go.id/search-badan-usaha-detail/TDA3ZlVYRkVTTXlvOXBpcDVEZStndz09</t>
        </is>
      </c>
      <c r="F56" t="n">
        <v>1</v>
      </c>
      <c r="G56" t="inlineStr">
        <is>
          <t>BG001</t>
        </is>
      </c>
      <c r="H56" t="inlineStr">
        <is>
          <t>24 Januari 2022</t>
        </is>
      </c>
      <c r="I56" s="2" t="n">
        <v>46291</v>
      </c>
      <c r="J56" t="inlineStr">
        <is>
          <t>Pencabutan</t>
        </is>
      </c>
      <c r="K56" t="n">
        <v>30</v>
      </c>
      <c r="L56" t="inlineStr">
        <is>
          <t>26 September 2026</t>
        </is>
      </c>
      <c r="M56" t="inlineStr">
        <is>
          <t>Konstruksi Gedung Hunian</t>
        </is>
      </c>
      <c r="N56" t="inlineStr">
        <is>
          <t>K</t>
        </is>
      </c>
      <c r="O56" t="inlineStr">
        <is>
          <t>20230926</t>
        </is>
      </c>
      <c r="P56" t="inlineStr">
        <is>
          <t>Lampung</t>
        </is>
      </c>
      <c r="Q56" t="inlineStr"/>
    </row>
    <row r="57">
      <c r="A57" t="inlineStr">
        <is>
          <t>GRAHADITAMA CONSULTAN</t>
        </is>
      </c>
      <c r="B57" t="inlineStr">
        <is>
          <t>Kota Tanjung Pinang</t>
        </is>
      </c>
      <c r="C57" t="inlineStr">
        <is>
          <t>082171216686</t>
        </is>
      </c>
      <c r="D57" t="inlineStr">
        <is>
          <t>grahaditama.cv@gmail.com</t>
        </is>
      </c>
      <c r="E57" t="inlineStr">
        <is>
          <t>https://lpjk.pu.go.id/search-badan-usaha-detail/K25YcVdmcTVZWjMwTHUxK0RDanlPZz09</t>
        </is>
      </c>
      <c r="F57" t="n">
        <v>1</v>
      </c>
      <c r="G57" t="inlineStr">
        <is>
          <t>RK002</t>
        </is>
      </c>
      <c r="H57" t="inlineStr">
        <is>
          <t>17 Februari 2000</t>
        </is>
      </c>
      <c r="I57" s="2" t="n">
        <v>46291</v>
      </c>
      <c r="J57" t="inlineStr">
        <is>
          <t>Disetujui</t>
        </is>
      </c>
      <c r="K57" t="n">
        <v>30</v>
      </c>
      <c r="L57" t="inlineStr">
        <is>
          <t>26 September 2026</t>
        </is>
      </c>
      <c r="M57" t="inlineStr">
        <is>
          <t>Jasa Rekayasa Pekerjaan Teknik Sipil Sumber Daya Air</t>
        </is>
      </c>
      <c r="N57" t="inlineStr">
        <is>
          <t>K</t>
        </is>
      </c>
      <c r="O57" t="inlineStr">
        <is>
          <t>20230918</t>
        </is>
      </c>
      <c r="P57" t="inlineStr">
        <is>
          <t>Kepulauan Riau</t>
        </is>
      </c>
      <c r="Q57" t="inlineStr"/>
    </row>
    <row r="58">
      <c r="A58" t="inlineStr">
        <is>
          <t>HABA BERDIKARI</t>
        </is>
      </c>
      <c r="B58" t="inlineStr">
        <is>
          <t>Kab. Cirebon</t>
        </is>
      </c>
      <c r="C58" t="inlineStr">
        <is>
          <t>08157778995</t>
        </is>
      </c>
      <c r="D58" t="inlineStr">
        <is>
          <t>hababerdikari.cv@gmail.com</t>
        </is>
      </c>
      <c r="E58" t="inlineStr">
        <is>
          <t>https://lpjk.pu.go.id/search-badan-usaha-detail/eUdBeElmYk9QSXdlcUxIcVlJYXNYUT09</t>
        </is>
      </c>
      <c r="F58" t="n">
        <v>8</v>
      </c>
      <c r="G58" t="inlineStr">
        <is>
          <t>BG001, BG002, BG003, BG009</t>
        </is>
      </c>
      <c r="H58" t="inlineStr">
        <is>
          <t>28 Agustus 2023</t>
        </is>
      </c>
      <c r="I58" s="2" t="n">
        <v>46291</v>
      </c>
      <c r="J58" t="inlineStr">
        <is>
          <t>Pencabutan</t>
        </is>
      </c>
      <c r="K58" t="n">
        <v>30</v>
      </c>
      <c r="L58" t="inlineStr">
        <is>
          <t>26 September 2026</t>
        </is>
      </c>
      <c r="M58" t="inlineStr">
        <is>
          <t>Konstruksi Gedung Hunian, Konstruksi Gedung Industri, Konstruksi Gedung Lainnya, Konstruksi Gedung Perkantoran</t>
        </is>
      </c>
      <c r="N58" t="inlineStr">
        <is>
          <t>K</t>
        </is>
      </c>
      <c r="O58" t="inlineStr">
        <is>
          <t>20230926</t>
        </is>
      </c>
      <c r="P58" t="inlineStr">
        <is>
          <t>Jawa Barat</t>
        </is>
      </c>
      <c r="Q58" t="inlineStr"/>
    </row>
    <row r="59">
      <c r="A59" t="inlineStr">
        <is>
          <t>HARITA</t>
        </is>
      </c>
      <c r="B59" t="inlineStr">
        <is>
          <t>Kota Bandung</t>
        </is>
      </c>
      <c r="C59" t="inlineStr">
        <is>
          <t>0225437000</t>
        </is>
      </c>
      <c r="D59" t="inlineStr">
        <is>
          <t>ptharita2017@gmail.com</t>
        </is>
      </c>
      <c r="E59" t="inlineStr">
        <is>
          <t>https://lpjk.pu.go.id/search-badan-usaha-detail/VXJUdWZxVm1jczI0VjQ2UjZ5ZjdSUT09</t>
        </is>
      </c>
      <c r="F59" t="n">
        <v>1</v>
      </c>
      <c r="G59" t="inlineStr">
        <is>
          <t>BS017</t>
        </is>
      </c>
      <c r="H59" t="inlineStr">
        <is>
          <t>26 Agustus 2005</t>
        </is>
      </c>
      <c r="I59" s="2" t="n">
        <v>46291</v>
      </c>
      <c r="J59" t="inlineStr">
        <is>
          <t>Disetujui</t>
        </is>
      </c>
      <c r="K59" t="n">
        <v>30</v>
      </c>
      <c r="L59" t="inlineStr">
        <is>
          <t>26 September 2026</t>
        </is>
      </c>
      <c r="M59" t="inlineStr">
        <is>
          <t>Konstruksi Bangunan Sipil Lainnya Ytdl</t>
        </is>
      </c>
      <c r="N59" t="inlineStr">
        <is>
          <t>K</t>
        </is>
      </c>
      <c r="O59" t="inlineStr">
        <is>
          <t>20230908</t>
        </is>
      </c>
      <c r="P59" t="inlineStr">
        <is>
          <t>Jawa Barat</t>
        </is>
      </c>
      <c r="Q59" t="inlineStr"/>
    </row>
    <row r="60">
      <c r="A60" t="inlineStr">
        <is>
          <t>HARMONI MAKMUR SENTOSA</t>
        </is>
      </c>
      <c r="B60" t="inlineStr">
        <is>
          <t>Kab. Kutai Timur</t>
        </is>
      </c>
      <c r="C60" t="inlineStr">
        <is>
          <t>082192827087</t>
        </is>
      </c>
      <c r="D60" t="inlineStr">
        <is>
          <t>cv.harmonimakmursentosa@gmail.com</t>
        </is>
      </c>
      <c r="E60" t="inlineStr">
        <is>
          <t>https://lpjk.pu.go.id/search-badan-usaha-detail/b3hUc3VSMHBoYm9zV01YbXBHZTdmZz09</t>
        </is>
      </c>
      <c r="F60" t="n">
        <v>2</v>
      </c>
      <c r="G60" t="inlineStr">
        <is>
          <t>BG005, BG009</t>
        </is>
      </c>
      <c r="H60" t="inlineStr">
        <is>
          <t>9 Januari 2023</t>
        </is>
      </c>
      <c r="I60" s="2" t="n">
        <v>46291</v>
      </c>
      <c r="J60" t="inlineStr">
        <is>
          <t>Disetujui</t>
        </is>
      </c>
      <c r="K60" t="n">
        <v>30</v>
      </c>
      <c r="L60" t="inlineStr">
        <is>
          <t>26 September 2026</t>
        </is>
      </c>
      <c r="M60" t="inlineStr">
        <is>
          <t>Konstruksi Gedung Kesehatan, Konstruksi Gedung Lainnya</t>
        </is>
      </c>
      <c r="N60" t="inlineStr">
        <is>
          <t>K</t>
        </is>
      </c>
      <c r="O60" t="inlineStr">
        <is>
          <t>20230926</t>
        </is>
      </c>
      <c r="P60" t="inlineStr">
        <is>
          <t>Kalimantan Timur</t>
        </is>
      </c>
      <c r="Q60" t="inlineStr"/>
    </row>
    <row r="61">
      <c r="A61" t="inlineStr">
        <is>
          <t>INDAH PRATAMA</t>
        </is>
      </c>
      <c r="B61" t="inlineStr">
        <is>
          <t>Kota Prabumulih</t>
        </is>
      </c>
      <c r="C61" t="inlineStr">
        <is>
          <t>082372562009</t>
        </is>
      </c>
      <c r="D61" t="inlineStr">
        <is>
          <t>indahpratama.cv123@gmail.com</t>
        </is>
      </c>
      <c r="E61" t="inlineStr">
        <is>
          <t>https://lpjk.pu.go.id/search-badan-usaha-detail/bytCWnd3Y3ljb012eWtSeU9CR1Zvdz09</t>
        </is>
      </c>
      <c r="F61" t="n">
        <v>3</v>
      </c>
      <c r="G61" t="inlineStr">
        <is>
          <t>BG002, BG006, BS001</t>
        </is>
      </c>
      <c r="H61" t="inlineStr">
        <is>
          <t>16 April 1999</t>
        </is>
      </c>
      <c r="I61" s="2" t="n">
        <v>46291</v>
      </c>
      <c r="J61" t="inlineStr">
        <is>
          <t>Disetujui</t>
        </is>
      </c>
      <c r="K61" t="n">
        <v>30</v>
      </c>
      <c r="L61" t="inlineStr">
        <is>
          <t>26 September 2026</t>
        </is>
      </c>
      <c r="M61" t="inlineStr">
        <is>
          <t>Konstruksi Bangunan Sipil Jalan, Konstruksi Gedung Pendidikan, Konstruksi Gedung Perkantoran</t>
        </is>
      </c>
      <c r="N61" t="inlineStr">
        <is>
          <t>K</t>
        </is>
      </c>
      <c r="O61" t="inlineStr">
        <is>
          <t>20230925</t>
        </is>
      </c>
      <c r="P61" t="inlineStr">
        <is>
          <t>Sumatera Selatan</t>
        </is>
      </c>
      <c r="Q61" t="inlineStr"/>
    </row>
    <row r="62">
      <c r="A62" t="inlineStr">
        <is>
          <t>INDOTECH KARYA MANDIRI</t>
        </is>
      </c>
      <c r="B62" t="inlineStr">
        <is>
          <t>Kota Tangerang</t>
        </is>
      </c>
      <c r="C62" t="inlineStr">
        <is>
          <t>02122052029</t>
        </is>
      </c>
      <c r="D62" t="inlineStr">
        <is>
          <t>indokarman2022@gmail.co</t>
        </is>
      </c>
      <c r="E62" t="inlineStr">
        <is>
          <t>https://lpjk.pu.go.id/search-badan-usaha-detail/Ylg2a3VMZ3oyMllJbERmMnZLdjlGUT09</t>
        </is>
      </c>
      <c r="F62" t="n">
        <v>1</v>
      </c>
      <c r="G62" t="inlineStr">
        <is>
          <t>BG009</t>
        </is>
      </c>
      <c r="H62" t="inlineStr">
        <is>
          <t>29 Januari 2011</t>
        </is>
      </c>
      <c r="I62" s="2" t="n">
        <v>46291</v>
      </c>
      <c r="J62" t="inlineStr">
        <is>
          <t>Pencabutan</t>
        </is>
      </c>
      <c r="K62" t="n">
        <v>30</v>
      </c>
      <c r="L62" t="inlineStr">
        <is>
          <t>26 September 2026</t>
        </is>
      </c>
      <c r="M62" t="inlineStr">
        <is>
          <t>Konstruksi Gedung Lainnya</t>
        </is>
      </c>
      <c r="N62" t="inlineStr">
        <is>
          <t>B</t>
        </is>
      </c>
      <c r="O62" t="inlineStr">
        <is>
          <t>20230922</t>
        </is>
      </c>
      <c r="P62" t="inlineStr">
        <is>
          <t>Banten</t>
        </is>
      </c>
      <c r="Q62" t="inlineStr"/>
    </row>
    <row r="63">
      <c r="A63" t="inlineStr">
        <is>
          <t>INTEGRITAS TIRTA MANDIRI</t>
        </is>
      </c>
      <c r="B63" t="inlineStr">
        <is>
          <t>Kota Surabaya</t>
        </is>
      </c>
      <c r="C63" t="inlineStr">
        <is>
          <t>081332182671</t>
        </is>
      </c>
      <c r="D63" t="inlineStr">
        <is>
          <t>integritasmandiri.database@gmail.com</t>
        </is>
      </c>
      <c r="E63" t="inlineStr">
        <is>
          <t>https://lpjk.pu.go.id/search-badan-usaha-detail/YVBPNDRwcWUyRVNyRnJqY2tydTVudz09</t>
        </is>
      </c>
      <c r="F63" t="n">
        <v>2</v>
      </c>
      <c r="G63" t="inlineStr">
        <is>
          <t>BG002, BG003</t>
        </is>
      </c>
      <c r="H63" t="inlineStr">
        <is>
          <t>31 Juli 2020</t>
        </is>
      </c>
      <c r="I63" s="2" t="n">
        <v>46291</v>
      </c>
      <c r="J63" t="inlineStr">
        <is>
          <t>Disetujui</t>
        </is>
      </c>
      <c r="K63" t="n">
        <v>30</v>
      </c>
      <c r="L63" t="inlineStr">
        <is>
          <t>26 September 2026</t>
        </is>
      </c>
      <c r="M63" t="inlineStr">
        <is>
          <t>Konstruksi Gedung Industri, Konstruksi Gedung Perkantoran</t>
        </is>
      </c>
      <c r="N63" t="inlineStr">
        <is>
          <t>K</t>
        </is>
      </c>
      <c r="O63" t="inlineStr">
        <is>
          <t>20230926</t>
        </is>
      </c>
      <c r="P63" t="inlineStr">
        <is>
          <t>Jawa Timur</t>
        </is>
      </c>
      <c r="Q63" t="inlineStr"/>
    </row>
    <row r="64">
      <c r="A64" t="inlineStr">
        <is>
          <t>JAYA GRAHA</t>
        </is>
      </c>
      <c r="B64" t="inlineStr">
        <is>
          <t>Kota Makassar</t>
        </is>
      </c>
      <c r="C64" t="inlineStr">
        <is>
          <t>04114672691</t>
        </is>
      </c>
      <c r="D64" t="inlineStr">
        <is>
          <t>jaya_graha_mks@yahoo.com</t>
        </is>
      </c>
      <c r="E64" t="inlineStr">
        <is>
          <t>https://lpjk.pu.go.id/search-badan-usaha-detail/SmZWazY5bm1hNnVPSUlwSzhOVmgzZz09</t>
        </is>
      </c>
      <c r="F64" t="n">
        <v>5</v>
      </c>
      <c r="G64" t="inlineStr">
        <is>
          <t>BG001, BG002, BG005, BG006, BG009</t>
        </is>
      </c>
      <c r="H64" t="inlineStr">
        <is>
          <t>11 September 2006</t>
        </is>
      </c>
      <c r="I64" s="2" t="n">
        <v>46291</v>
      </c>
      <c r="J64" t="inlineStr">
        <is>
          <t>Disetujui</t>
        </is>
      </c>
      <c r="K64" t="n">
        <v>30</v>
      </c>
      <c r="L64" t="inlineStr">
        <is>
          <t>26 September 2026</t>
        </is>
      </c>
      <c r="M64" t="inlineStr">
        <is>
          <t>Konstruksi Gedung Hunian, Konstruksi Gedung Kesehatan, Konstruksi Gedung Lainnya, Konstruksi Gedung Pendidikan, Konstruksi Gedung Perkantoran</t>
        </is>
      </c>
      <c r="N64" t="inlineStr">
        <is>
          <t>K, M</t>
        </is>
      </c>
      <c r="O64" t="inlineStr">
        <is>
          <t>20230914</t>
        </is>
      </c>
      <c r="P64" t="inlineStr">
        <is>
          <t>Sulawesi Selatan</t>
        </is>
      </c>
      <c r="Q64" t="inlineStr"/>
    </row>
    <row r="65">
      <c r="A65" t="inlineStr">
        <is>
          <t>JAYA PADMA</t>
        </is>
      </c>
      <c r="B65" t="inlineStr">
        <is>
          <t>Kab. Pati</t>
        </is>
      </c>
      <c r="C65" t="inlineStr">
        <is>
          <t>082226603688</t>
        </is>
      </c>
      <c r="D65" t="inlineStr">
        <is>
          <t>cv.jayapadma@gmail.com</t>
        </is>
      </c>
      <c r="E65" t="inlineStr">
        <is>
          <t>https://lpjk.pu.go.id/search-badan-usaha-detail/Q3JiSElEQzZwRDBobDhpeXlTdnp1Zz09</t>
        </is>
      </c>
      <c r="F65" t="n">
        <v>4</v>
      </c>
      <c r="G65" t="inlineStr">
        <is>
          <t>BS001, BS002, BS004, BS010</t>
        </is>
      </c>
      <c r="H65" t="inlineStr">
        <is>
          <t>25 September 2013</t>
        </is>
      </c>
      <c r="I65" s="2" t="n">
        <v>46291</v>
      </c>
      <c r="J65" t="inlineStr">
        <is>
          <t>Disetujui</t>
        </is>
      </c>
      <c r="K65" t="n">
        <v>30</v>
      </c>
      <c r="L65" t="inlineStr">
        <is>
          <t>26 September 2026</t>
        </is>
      </c>
      <c r="M65" t="inlineStr">
        <is>
          <t>Bangunan Sipil Jembatan, Jalan Layang, Fly Over, dan Underpass, Konstruksi Bangunan Prasarana Sumber Daya Air, Konstruksi Bangunan Sipil Jalan, Konstruksi Jaringan Irigasi dan Drainase</t>
        </is>
      </c>
      <c r="N65" t="inlineStr">
        <is>
          <t>K</t>
        </is>
      </c>
      <c r="O65" t="inlineStr">
        <is>
          <t>20230922</t>
        </is>
      </c>
      <c r="P65" t="inlineStr">
        <is>
          <t>Jawa Tengah</t>
        </is>
      </c>
      <c r="Q65" t="inlineStr"/>
    </row>
    <row r="66">
      <c r="A66" t="inlineStr">
        <is>
          <t>JAYA UTAMA ARCON</t>
        </is>
      </c>
      <c r="B66" t="inlineStr">
        <is>
          <t>Kota Tangerang</t>
        </is>
      </c>
      <c r="C66" t="inlineStr">
        <is>
          <t>081510025005</t>
        </is>
      </c>
      <c r="D66" t="inlineStr">
        <is>
          <t>hjkidppbanten@gmail.com</t>
        </is>
      </c>
      <c r="E66" t="inlineStr">
        <is>
          <t>https://lpjk.pu.go.id/search-badan-usaha-detail/bWl3eU5RNk1oQkZyWTZ6QmRvK09LUT09</t>
        </is>
      </c>
      <c r="F66" t="n">
        <v>1</v>
      </c>
      <c r="G66" t="inlineStr">
        <is>
          <t>BG002</t>
        </is>
      </c>
      <c r="H66" t="inlineStr">
        <is>
          <t>4 Desember 2019</t>
        </is>
      </c>
      <c r="I66" s="2" t="n">
        <v>46291</v>
      </c>
      <c r="J66" t="inlineStr">
        <is>
          <t>Disetujui</t>
        </is>
      </c>
      <c r="K66" t="n">
        <v>30</v>
      </c>
      <c r="L66" t="inlineStr">
        <is>
          <t>26 September 2026</t>
        </is>
      </c>
      <c r="M66" t="inlineStr">
        <is>
          <t>Konstruksi Gedung Perkantoran</t>
        </is>
      </c>
      <c r="N66" t="inlineStr">
        <is>
          <t>K</t>
        </is>
      </c>
      <c r="O66" t="inlineStr">
        <is>
          <t>20230209</t>
        </is>
      </c>
      <c r="P66" t="inlineStr">
        <is>
          <t>Banten</t>
        </is>
      </c>
      <c r="Q66" t="inlineStr"/>
    </row>
    <row r="67">
      <c r="A67" t="inlineStr">
        <is>
          <t>JUNA</t>
        </is>
      </c>
      <c r="B67" t="inlineStr">
        <is>
          <t>Kab. Lampung Timur</t>
        </is>
      </c>
      <c r="C67" t="inlineStr">
        <is>
          <t>-</t>
        </is>
      </c>
      <c r="D67" t="inlineStr">
        <is>
          <t>junamasputra@yahoo.co.id</t>
        </is>
      </c>
      <c r="E67" t="inlineStr">
        <is>
          <t>https://lpjk.pu.go.id/search-badan-usaha-detail/cUZ5ek5RK210dzk1VnQ2eHdjRXg0UT09</t>
        </is>
      </c>
      <c r="F67" t="n">
        <v>3</v>
      </c>
      <c r="G67" t="inlineStr">
        <is>
          <t>BG002, BG006, BS001</t>
        </is>
      </c>
      <c r="H67" t="inlineStr">
        <is>
          <t>16 September 1999</t>
        </is>
      </c>
      <c r="I67" s="2" t="n">
        <v>46291</v>
      </c>
      <c r="J67" t="inlineStr">
        <is>
          <t>Disetujui</t>
        </is>
      </c>
      <c r="K67" t="n">
        <v>30</v>
      </c>
      <c r="L67" t="inlineStr">
        <is>
          <t>26 September 2026</t>
        </is>
      </c>
      <c r="M67" t="inlineStr">
        <is>
          <t>Konstruksi Bangunan Sipil Jalan, Konstruksi Gedung Pendidikan, Konstruksi Gedung Perkantoran</t>
        </is>
      </c>
      <c r="N67" t="inlineStr">
        <is>
          <t>K</t>
        </is>
      </c>
      <c r="O67" t="inlineStr">
        <is>
          <t>20230919</t>
        </is>
      </c>
      <c r="P67" t="inlineStr">
        <is>
          <t>Lampung</t>
        </is>
      </c>
      <c r="Q67" t="inlineStr"/>
    </row>
    <row r="68">
      <c r="A68" t="inlineStr">
        <is>
          <t>KARYA BAHANA GEMILANG</t>
        </is>
      </c>
      <c r="B68" t="inlineStr">
        <is>
          <t>Kab. Tangerang</t>
        </is>
      </c>
      <c r="C68" t="inlineStr">
        <is>
          <t>081311332379</t>
        </is>
      </c>
      <c r="D68" t="inlineStr">
        <is>
          <t>hesto.biz@gmail.com</t>
        </is>
      </c>
      <c r="E68" t="inlineStr">
        <is>
          <t>https://lpjk.pu.go.id/search-badan-usaha-detail/VmE2bFBGUEtSVklYMWRYNmg3Y3VuUT09</t>
        </is>
      </c>
      <c r="F68" t="n">
        <v>1</v>
      </c>
      <c r="G68" t="inlineStr">
        <is>
          <t>BS001</t>
        </is>
      </c>
      <c r="H68" t="inlineStr">
        <is>
          <t>26 Maret 2018</t>
        </is>
      </c>
      <c r="I68" s="2" t="n">
        <v>46291</v>
      </c>
      <c r="J68" t="inlineStr">
        <is>
          <t>Disetujui</t>
        </is>
      </c>
      <c r="K68" t="n">
        <v>30</v>
      </c>
      <c r="L68" t="inlineStr">
        <is>
          <t>26 September 2026</t>
        </is>
      </c>
      <c r="M68" t="inlineStr">
        <is>
          <t>Konstruksi Bangunan Sipil Jalan</t>
        </is>
      </c>
      <c r="N68" t="inlineStr">
        <is>
          <t>K</t>
        </is>
      </c>
      <c r="O68" t="inlineStr">
        <is>
          <t>20230922</t>
        </is>
      </c>
      <c r="P68" t="inlineStr">
        <is>
          <t>Banten</t>
        </is>
      </c>
      <c r="Q68" t="inlineStr"/>
    </row>
    <row r="69">
      <c r="A69" t="inlineStr">
        <is>
          <t>KARYA BANGUN</t>
        </is>
      </c>
      <c r="B69" t="inlineStr">
        <is>
          <t>Kab. Pati</t>
        </is>
      </c>
      <c r="C69" t="inlineStr">
        <is>
          <t>082226603688</t>
        </is>
      </c>
      <c r="D69" t="inlineStr">
        <is>
          <t>cv.karyabangun88@gmail.com</t>
        </is>
      </c>
      <c r="E69" t="inlineStr">
        <is>
          <t>https://lpjk.pu.go.id/search-badan-usaha-detail/aXhLUUIySTR5V1FrYUdSZVJVZG1Vdz09</t>
        </is>
      </c>
      <c r="F69" t="n">
        <v>9</v>
      </c>
      <c r="G69" t="inlineStr">
        <is>
          <t>BG002, BG004, BG005, BG006, BG008, BS001, BS002, BS004, BS010</t>
        </is>
      </c>
      <c r="H69" t="inlineStr">
        <is>
          <t>17 Juli 2017</t>
        </is>
      </c>
      <c r="I69" s="2" t="n">
        <v>46291</v>
      </c>
      <c r="J69" t="inlineStr">
        <is>
          <t>Disetujui</t>
        </is>
      </c>
      <c r="K69" t="n">
        <v>30</v>
      </c>
      <c r="L69" t="inlineStr">
        <is>
          <t>26 September 2026</t>
        </is>
      </c>
      <c r="M69" t="inlineStr">
        <is>
          <t>Bangunan Sipil Jembatan, Jalan Layang, Fly Over, dan Underpass, Konstruksi Bangunan Prasarana Sumber Daya Air, Konstruksi Bangunan Sipil Jalan, Konstruksi Gedung Kesehatan, Konstruksi Gedung Pendidikan, Konstruksi Gedung Perbelanjaan, Konstruksi Gedung Perkantoran, Konstruksi Gedung Tempat Hiburan dan Olahraga, Konstruksi Jaringan Irigasi dan Drainase</t>
        </is>
      </c>
      <c r="N69" t="inlineStr">
        <is>
          <t>K</t>
        </is>
      </c>
      <c r="O69" t="inlineStr">
        <is>
          <t>20230922</t>
        </is>
      </c>
      <c r="P69" t="inlineStr">
        <is>
          <t>Jawa Tengah</t>
        </is>
      </c>
      <c r="Q69" t="inlineStr"/>
    </row>
    <row r="70">
      <c r="A70" t="inlineStr">
        <is>
          <t>KARYA JASA</t>
        </is>
      </c>
      <c r="B70" t="inlineStr">
        <is>
          <t>Kab. Majene</t>
        </is>
      </c>
      <c r="C70" t="inlineStr">
        <is>
          <t>085240398116</t>
        </is>
      </c>
      <c r="D70" t="inlineStr">
        <is>
          <t>muhammadyusufislam333@gmail.com</t>
        </is>
      </c>
      <c r="E70" t="inlineStr">
        <is>
          <t>https://lpjk.pu.go.id/search-badan-usaha-detail/RDd5N1pJbFd3MFlCaUE3K2JlVm1iUT09</t>
        </is>
      </c>
      <c r="F70" t="n">
        <v>1</v>
      </c>
      <c r="G70" t="inlineStr">
        <is>
          <t>BS005</t>
        </is>
      </c>
      <c r="H70" t="inlineStr">
        <is>
          <t>17 Januari 2004</t>
        </is>
      </c>
      <c r="I70" s="2" t="n">
        <v>46291</v>
      </c>
      <c r="J70" t="inlineStr">
        <is>
          <t>Disetujui</t>
        </is>
      </c>
      <c r="K70" t="n">
        <v>30</v>
      </c>
      <c r="L70" t="inlineStr">
        <is>
          <t>26 September 2026</t>
        </is>
      </c>
      <c r="M70" t="inlineStr">
        <is>
          <t>Konstruksi Bangunan Sipil Pengolahan Air Bersih</t>
        </is>
      </c>
      <c r="N70" t="inlineStr">
        <is>
          <t>K</t>
        </is>
      </c>
      <c r="O70" t="inlineStr">
        <is>
          <t>20230925</t>
        </is>
      </c>
      <c r="P70" t="inlineStr">
        <is>
          <t>Sulawesi Barat</t>
        </is>
      </c>
      <c r="Q70" t="inlineStr"/>
    </row>
    <row r="71">
      <c r="A71" t="inlineStr">
        <is>
          <t>KARYA LANGGENG</t>
        </is>
      </c>
      <c r="B71" t="inlineStr">
        <is>
          <t>Kab. Mojokerto</t>
        </is>
      </c>
      <c r="C71" t="inlineStr">
        <is>
          <t>082151691480</t>
        </is>
      </c>
      <c r="D71" t="inlineStr">
        <is>
          <t>arissafirotulf.ks115@gmail.com</t>
        </is>
      </c>
      <c r="E71" t="inlineStr">
        <is>
          <t>https://lpjk.pu.go.id/search-badan-usaha-detail/SEI4dmpCQ0NUck5kV3pPaUdIZzc5UT09</t>
        </is>
      </c>
      <c r="F71" t="n">
        <v>4</v>
      </c>
      <c r="G71" t="inlineStr">
        <is>
          <t>BG005, BG006, BG009, BS001</t>
        </is>
      </c>
      <c r="H71" t="inlineStr">
        <is>
          <t>4 Agustus 2012</t>
        </is>
      </c>
      <c r="I71" s="2" t="n">
        <v>46291</v>
      </c>
      <c r="J71" t="inlineStr">
        <is>
          <t>Disetujui</t>
        </is>
      </c>
      <c r="K71" t="n">
        <v>30</v>
      </c>
      <c r="L71" t="inlineStr">
        <is>
          <t>26 September 2026</t>
        </is>
      </c>
      <c r="M71" t="inlineStr">
        <is>
          <t>Konstruksi Bangunan Sipil Jalan, Konstruksi Gedung Kesehatan, Konstruksi Gedung Lainnya, Konstruksi Gedung Pendidikan</t>
        </is>
      </c>
      <c r="N71" t="inlineStr">
        <is>
          <t>K</t>
        </is>
      </c>
      <c r="O71" t="inlineStr">
        <is>
          <t>20230816, 20230929</t>
        </is>
      </c>
      <c r="P71" t="inlineStr">
        <is>
          <t>Jawa Timur</t>
        </is>
      </c>
      <c r="Q71" t="inlineStr"/>
    </row>
    <row r="72">
      <c r="A72" t="inlineStr">
        <is>
          <t>KARYA SEJAHTERA</t>
        </is>
      </c>
      <c r="B72" t="inlineStr">
        <is>
          <t>Kab. Jember</t>
        </is>
      </c>
      <c r="C72" t="inlineStr">
        <is>
          <t>081231809130</t>
        </is>
      </c>
      <c r="D72" t="inlineStr">
        <is>
          <t>karya_sejahterajbr@yahoo.co.id</t>
        </is>
      </c>
      <c r="E72" t="inlineStr">
        <is>
          <t>https://lpjk.pu.go.id/search-badan-usaha-detail/U2t0S2pJaFlBaVBQRnk3N0s3MGtndz09</t>
        </is>
      </c>
      <c r="F72" t="n">
        <v>3</v>
      </c>
      <c r="G72" t="inlineStr">
        <is>
          <t>BS001, BS002, BS004</t>
        </is>
      </c>
      <c r="H72" t="inlineStr">
        <is>
          <t>4 Mei 1999</t>
        </is>
      </c>
      <c r="I72" s="2" t="n">
        <v>46291</v>
      </c>
      <c r="J72" t="inlineStr">
        <is>
          <t>Disetujui</t>
        </is>
      </c>
      <c r="K72" t="n">
        <v>30</v>
      </c>
      <c r="L72" t="inlineStr">
        <is>
          <t>26 September 2026</t>
        </is>
      </c>
      <c r="M72" t="inlineStr">
        <is>
          <t>Bangunan Sipil Jembatan, Jalan Layang, Fly Over, dan Underpass, Konstruksi Bangunan Sipil Jalan, Konstruksi Jaringan Irigasi dan Drainase</t>
        </is>
      </c>
      <c r="N72" t="inlineStr">
        <is>
          <t>K</t>
        </is>
      </c>
      <c r="O72" t="inlineStr">
        <is>
          <t>20230921</t>
        </is>
      </c>
      <c r="P72" t="inlineStr">
        <is>
          <t>Jawa Timur</t>
        </is>
      </c>
      <c r="Q72" t="inlineStr"/>
    </row>
    <row r="73">
      <c r="A73" t="inlineStr">
        <is>
          <t>KARYA UTAMA</t>
        </is>
      </c>
      <c r="B73" t="inlineStr">
        <is>
          <t>Kota Pekanbaru</t>
        </is>
      </c>
      <c r="C73" t="inlineStr">
        <is>
          <t>0761849594</t>
        </is>
      </c>
      <c r="D73" t="inlineStr">
        <is>
          <t>cv.karyautamapku@outlook.com</t>
        </is>
      </c>
      <c r="E73" t="inlineStr">
        <is>
          <t>https://lpjk.pu.go.id/search-badan-usaha-detail/Z29NcjhLK1NCUGY4eXJPMXpMRUJnUT09</t>
        </is>
      </c>
      <c r="F73" t="n">
        <v>5</v>
      </c>
      <c r="G73" t="inlineStr">
        <is>
          <t>BG001, BG002, BG005, BG006, BG009</t>
        </is>
      </c>
      <c r="H73" t="inlineStr">
        <is>
          <t>1 Juli 1999</t>
        </is>
      </c>
      <c r="I73" s="2" t="n">
        <v>46291</v>
      </c>
      <c r="J73" t="inlineStr">
        <is>
          <t>Disetujui</t>
        </is>
      </c>
      <c r="K73" t="n">
        <v>30</v>
      </c>
      <c r="L73" t="inlineStr">
        <is>
          <t>26 September 2026</t>
        </is>
      </c>
      <c r="M73" t="inlineStr">
        <is>
          <t>Konstruksi Gedung Hunian, Konstruksi Gedung Kesehatan, Konstruksi Gedung Lainnya, Konstruksi Gedung Pendidikan, Konstruksi Gedung Perkantoran</t>
        </is>
      </c>
      <c r="N73" t="inlineStr">
        <is>
          <t>K</t>
        </is>
      </c>
      <c r="O73" t="inlineStr">
        <is>
          <t>20230904, 20230907, 20230921</t>
        </is>
      </c>
      <c r="P73" t="inlineStr">
        <is>
          <t>Riau</t>
        </is>
      </c>
      <c r="Q73" t="inlineStr"/>
    </row>
    <row r="74">
      <c r="A74" t="inlineStr">
        <is>
          <t>KAUTSAR KARYA BERSAMA</t>
        </is>
      </c>
      <c r="B74" t="inlineStr">
        <is>
          <t>Kab. Sidoarjo</t>
        </is>
      </c>
      <c r="C74" t="inlineStr">
        <is>
          <t>03199039918</t>
        </is>
      </c>
      <c r="D74" t="inlineStr">
        <is>
          <t>kautsarkaryabersama@yahoo.com</t>
        </is>
      </c>
      <c r="E74" t="inlineStr">
        <is>
          <t>https://lpjk.pu.go.id/search-badan-usaha-detail/R0ZlZnJYbXlnL0M1RXd1cmhhdFlIZz09</t>
        </is>
      </c>
      <c r="F74" t="n">
        <v>4</v>
      </c>
      <c r="G74" t="inlineStr">
        <is>
          <t>BG003, BG009, BS001, BS004</t>
        </is>
      </c>
      <c r="H74" t="inlineStr">
        <is>
          <t>14 November 2012</t>
        </is>
      </c>
      <c r="I74" s="2" t="n">
        <v>46291</v>
      </c>
      <c r="J74" t="inlineStr">
        <is>
          <t>Disetujui</t>
        </is>
      </c>
      <c r="K74" t="n">
        <v>30</v>
      </c>
      <c r="L74" t="inlineStr">
        <is>
          <t>26 September 2026</t>
        </is>
      </c>
      <c r="M74" t="inlineStr">
        <is>
          <t>Konstruksi Bangunan Sipil Jalan, Konstruksi Gedung Industri, Konstruksi Gedung Lainnya, Konstruksi Jaringan Irigasi dan Drainase</t>
        </is>
      </c>
      <c r="N74" t="inlineStr">
        <is>
          <t>K</t>
        </is>
      </c>
      <c r="O74" t="inlineStr">
        <is>
          <t>20230919, 20230920</t>
        </is>
      </c>
      <c r="P74" t="inlineStr">
        <is>
          <t>Jawa Timur</t>
        </is>
      </c>
      <c r="Q74" t="inlineStr"/>
    </row>
    <row r="75">
      <c r="A75" t="inlineStr">
        <is>
          <t>KAYAR TAMA</t>
        </is>
      </c>
      <c r="B75" t="inlineStr">
        <is>
          <t>Kab. Kubu Raya</t>
        </is>
      </c>
      <c r="C75" t="inlineStr">
        <is>
          <t>081258852244</t>
        </is>
      </c>
      <c r="D75" t="inlineStr">
        <is>
          <t>kayar.tama18@gmail.com</t>
        </is>
      </c>
      <c r="E75" t="inlineStr">
        <is>
          <t>https://lpjk.pu.go.id/search-badan-usaha-detail/ZVB0RkdMU3RvNWNxcFd3NGVCUWUzQT09</t>
        </is>
      </c>
      <c r="F75" t="n">
        <v>2</v>
      </c>
      <c r="G75" t="inlineStr">
        <is>
          <t>BG006, BS002</t>
        </is>
      </c>
      <c r="H75" t="inlineStr">
        <is>
          <t>19 September 2018</t>
        </is>
      </c>
      <c r="I75" s="2" t="n">
        <v>46291</v>
      </c>
      <c r="J75" t="inlineStr">
        <is>
          <t>Disetujui</t>
        </is>
      </c>
      <c r="K75" t="n">
        <v>30</v>
      </c>
      <c r="L75" t="inlineStr">
        <is>
          <t>26 September 2026</t>
        </is>
      </c>
      <c r="M75" t="inlineStr">
        <is>
          <t>Bangunan Sipil Jembatan, Jalan Layang, Fly Over, dan Underpass, Konstruksi Gedung Pendidikan</t>
        </is>
      </c>
      <c r="N75" t="inlineStr">
        <is>
          <t>K</t>
        </is>
      </c>
      <c r="O75" t="inlineStr">
        <is>
          <t>20230825, 20230927</t>
        </is>
      </c>
      <c r="P75" t="inlineStr">
        <is>
          <t>Kalimantan Barat</t>
        </is>
      </c>
      <c r="Q75" t="inlineStr"/>
    </row>
    <row r="76">
      <c r="A76" t="inlineStr">
        <is>
          <t>KIAN JAYA NUSANTARA</t>
        </is>
      </c>
      <c r="B76" t="inlineStr">
        <is>
          <t>Kab. Nganjuk</t>
        </is>
      </c>
      <c r="C76" t="inlineStr">
        <is>
          <t>085333399994</t>
        </is>
      </c>
      <c r="D76" t="inlineStr">
        <is>
          <t>kianjayanusantara@gmail.com</t>
        </is>
      </c>
      <c r="E76" t="inlineStr">
        <is>
          <t>https://lpjk.pu.go.id/search-badan-usaha-detail/SlAxVUJPUEVxOUJObUlFYzYrQk04dz09</t>
        </is>
      </c>
      <c r="F76" t="n">
        <v>4</v>
      </c>
      <c r="G76" t="inlineStr">
        <is>
          <t>BG006, BG009, BS001, BS004</t>
        </is>
      </c>
      <c r="H76" t="inlineStr">
        <is>
          <t>24 Maret 2023</t>
        </is>
      </c>
      <c r="I76" s="2" t="n">
        <v>46291</v>
      </c>
      <c r="J76" t="inlineStr">
        <is>
          <t>Disetujui</t>
        </is>
      </c>
      <c r="K76" t="n">
        <v>30</v>
      </c>
      <c r="L76" t="inlineStr">
        <is>
          <t>26 September 2026</t>
        </is>
      </c>
      <c r="M76" t="inlineStr">
        <is>
          <t>Konstruksi Bangunan Sipil Jalan, Konstruksi Gedung Lainnya, Konstruksi Gedung Pendidikan, Konstruksi Jaringan Irigasi dan Drainase</t>
        </is>
      </c>
      <c r="N76" t="inlineStr">
        <is>
          <t>K</t>
        </is>
      </c>
      <c r="O76" t="inlineStr">
        <is>
          <t>20230925, 20230926</t>
        </is>
      </c>
      <c r="P76" t="inlineStr">
        <is>
          <t>Jawa Timur</t>
        </is>
      </c>
      <c r="Q76" t="inlineStr"/>
    </row>
    <row r="77">
      <c r="A77" t="inlineStr">
        <is>
          <t>KONSTRUKSI PERKASA NASIONAL</t>
        </is>
      </c>
      <c r="B77" t="inlineStr">
        <is>
          <t>Kota Adm. Jakarta Barat</t>
        </is>
      </c>
      <c r="C77" t="inlineStr">
        <is>
          <t>02129020190</t>
        </is>
      </c>
      <c r="D77" t="inlineStr">
        <is>
          <t>kpn888jakarta@gmail.com</t>
        </is>
      </c>
      <c r="E77" t="inlineStr">
        <is>
          <t>https://lpjk.pu.go.id/search-badan-usaha-detail/dU5zUDRGSm1JQlpaVS85bmxpTjhtZz09</t>
        </is>
      </c>
      <c r="F77" t="n">
        <v>2</v>
      </c>
      <c r="G77" t="inlineStr">
        <is>
          <t>BG003, IN003</t>
        </is>
      </c>
      <c r="H77" t="inlineStr">
        <is>
          <t>9 Juni 2023</t>
        </is>
      </c>
      <c r="I77" s="2" t="n">
        <v>46291</v>
      </c>
      <c r="J77" t="inlineStr">
        <is>
          <t>Disetujui</t>
        </is>
      </c>
      <c r="K77" t="n">
        <v>30</v>
      </c>
      <c r="L77" t="inlineStr">
        <is>
          <t>26 September 2026</t>
        </is>
      </c>
      <c r="M77" t="inlineStr">
        <is>
          <t>Instalasi Peralatan Infrastruktur Pertambangan dan Manufaktur, Konstruksi Gedung Industri</t>
        </is>
      </c>
      <c r="N77" t="inlineStr">
        <is>
          <t>K, Spesialis</t>
        </is>
      </c>
      <c r="O77" t="inlineStr">
        <is>
          <t>20230926</t>
        </is>
      </c>
      <c r="P77" t="inlineStr">
        <is>
          <t>DKI Jakarta</t>
        </is>
      </c>
      <c r="Q77" t="inlineStr"/>
    </row>
    <row r="78">
      <c r="A78" t="inlineStr">
        <is>
          <t>LIM KONSTRUKSI</t>
        </is>
      </c>
      <c r="B78" t="inlineStr">
        <is>
          <t>Kota Sukabumi</t>
        </is>
      </c>
      <c r="C78" t="inlineStr">
        <is>
          <t>085863451553</t>
        </is>
      </c>
      <c r="D78" t="inlineStr">
        <is>
          <t>limkonstruksi@gmail.com</t>
        </is>
      </c>
      <c r="E78" t="inlineStr">
        <is>
          <t>https://lpjk.pu.go.id/search-badan-usaha-detail/NUlGZ1FMTlpONmZEekcxWmtvcXVGQT09</t>
        </is>
      </c>
      <c r="F78" t="n">
        <v>2</v>
      </c>
      <c r="G78" t="inlineStr">
        <is>
          <t>BG006, BS004</t>
        </is>
      </c>
      <c r="H78" t="inlineStr">
        <is>
          <t>17 Januari 2020</t>
        </is>
      </c>
      <c r="I78" s="2" t="n">
        <v>46291</v>
      </c>
      <c r="J78" t="inlineStr">
        <is>
          <t>Disetujui</t>
        </is>
      </c>
      <c r="K78" t="n">
        <v>30</v>
      </c>
      <c r="L78" t="inlineStr">
        <is>
          <t>26 September 2026</t>
        </is>
      </c>
      <c r="M78" t="inlineStr">
        <is>
          <t>Konstruksi Gedung Pendidikan, Konstruksi Jaringan Irigasi dan Drainase</t>
        </is>
      </c>
      <c r="N78" t="inlineStr">
        <is>
          <t>K</t>
        </is>
      </c>
      <c r="O78" t="inlineStr">
        <is>
          <t>20230921</t>
        </is>
      </c>
      <c r="P78" t="inlineStr">
        <is>
          <t>Jawa Barat</t>
        </is>
      </c>
      <c r="Q78" t="inlineStr"/>
    </row>
    <row r="79">
      <c r="A79" t="inlineStr">
        <is>
          <t>LINGKAR PALUKA NAGARI</t>
        </is>
      </c>
      <c r="B79" t="inlineStr">
        <is>
          <t>Kota Padang</t>
        </is>
      </c>
      <c r="C79" t="inlineStr">
        <is>
          <t>081365410910</t>
        </is>
      </c>
      <c r="D79" t="inlineStr">
        <is>
          <t>lingkar.palukanagari@gmail.com</t>
        </is>
      </c>
      <c r="E79" t="inlineStr">
        <is>
          <t>https://lpjk.pu.go.id/search-badan-usaha-detail/T2hXa1RmUURhMFBRM1NwZm5SNUlWUT09</t>
        </is>
      </c>
      <c r="F79" t="n">
        <v>2</v>
      </c>
      <c r="G79" t="inlineStr">
        <is>
          <t>BG006, BG009</t>
        </is>
      </c>
      <c r="H79" t="inlineStr">
        <is>
          <t>7 November 2022</t>
        </is>
      </c>
      <c r="I79" s="2" t="n">
        <v>46291</v>
      </c>
      <c r="J79" t="inlineStr">
        <is>
          <t>Disetujui</t>
        </is>
      </c>
      <c r="K79" t="n">
        <v>30</v>
      </c>
      <c r="L79" t="inlineStr">
        <is>
          <t>26 September 2026</t>
        </is>
      </c>
      <c r="M79" t="inlineStr">
        <is>
          <t>Konstruksi Gedung Lainnya, Konstruksi Gedung Pendidikan</t>
        </is>
      </c>
      <c r="N79" t="inlineStr">
        <is>
          <t>K</t>
        </is>
      </c>
      <c r="O79" t="inlineStr">
        <is>
          <t>20230922, 20230926</t>
        </is>
      </c>
      <c r="P79" t="inlineStr">
        <is>
          <t>Sumatera Barat</t>
        </is>
      </c>
      <c r="Q79" t="inlineStr"/>
    </row>
    <row r="80">
      <c r="A80" t="inlineStr">
        <is>
          <t>LINTANG BANGUN NAGARI</t>
        </is>
      </c>
      <c r="B80" t="inlineStr">
        <is>
          <t>Kab. Tuban</t>
        </is>
      </c>
      <c r="C80" t="inlineStr">
        <is>
          <t>082247610475</t>
        </is>
      </c>
      <c r="D80" t="inlineStr">
        <is>
          <t>lintangbangunnagari@gmail.com</t>
        </is>
      </c>
      <c r="E80" t="inlineStr">
        <is>
          <t>https://lpjk.pu.go.id/search-badan-usaha-detail/NVVKTVNFYTlxQTBqR0dOM2lYOWQ3Zz09</t>
        </is>
      </c>
      <c r="F80" t="n">
        <v>2</v>
      </c>
      <c r="G80" t="inlineStr">
        <is>
          <t>BS001</t>
        </is>
      </c>
      <c r="H80" t="inlineStr">
        <is>
          <t>26 Maret 2021</t>
        </is>
      </c>
      <c r="I80" s="2" t="n">
        <v>46291</v>
      </c>
      <c r="J80" t="inlineStr">
        <is>
          <t>Disetujui</t>
        </is>
      </c>
      <c r="K80" t="n">
        <v>30</v>
      </c>
      <c r="L80" t="inlineStr">
        <is>
          <t>26 September 2026</t>
        </is>
      </c>
      <c r="M80" t="inlineStr">
        <is>
          <t>Konstruksi Bangunan Sipil Jalan</t>
        </is>
      </c>
      <c r="N80" t="inlineStr">
        <is>
          <t>K</t>
        </is>
      </c>
      <c r="O80" t="inlineStr">
        <is>
          <t>20230919</t>
        </is>
      </c>
      <c r="P80" t="inlineStr">
        <is>
          <t>Jawa Timur</t>
        </is>
      </c>
      <c r="Q80" t="inlineStr"/>
    </row>
    <row r="81">
      <c r="A81" t="inlineStr">
        <is>
          <t>MAHARANI JAYA SEJAHTERA</t>
        </is>
      </c>
      <c r="B81" t="inlineStr">
        <is>
          <t>Kab. Purwakarta</t>
        </is>
      </c>
      <c r="C81" t="inlineStr">
        <is>
          <t>087778635770</t>
        </is>
      </c>
      <c r="D81" t="inlineStr">
        <is>
          <t>ptmaharanipwk@gmail.com</t>
        </is>
      </c>
      <c r="E81" t="inlineStr">
        <is>
          <t>https://lpjk.pu.go.id/search-badan-usaha-detail/QTJVeUJSSGpuY0dNanh2UkI3WDlUQT09</t>
        </is>
      </c>
      <c r="F81" t="n">
        <v>4</v>
      </c>
      <c r="G81" t="inlineStr">
        <is>
          <t>BG003</t>
        </is>
      </c>
      <c r="H81" t="inlineStr">
        <is>
          <t>14 Desember 2021</t>
        </is>
      </c>
      <c r="I81" s="2" t="n">
        <v>46291</v>
      </c>
      <c r="J81" t="inlineStr">
        <is>
          <t>Disetujui</t>
        </is>
      </c>
      <c r="K81" t="n">
        <v>30</v>
      </c>
      <c r="L81" t="inlineStr">
        <is>
          <t>26 September 2026</t>
        </is>
      </c>
      <c r="M81" t="inlineStr">
        <is>
          <t>Konstruksi Gedung Industri</t>
        </is>
      </c>
      <c r="N81" t="inlineStr">
        <is>
          <t>K</t>
        </is>
      </c>
      <c r="O81" t="inlineStr">
        <is>
          <t>20230922</t>
        </is>
      </c>
      <c r="P81" t="inlineStr">
        <is>
          <t>Jawa Barat</t>
        </is>
      </c>
      <c r="Q81" t="inlineStr"/>
    </row>
    <row r="82">
      <c r="A82" t="inlineStr">
        <is>
          <t>MANDIRI LANGGENG GEMILANG</t>
        </is>
      </c>
      <c r="B82" t="inlineStr">
        <is>
          <t>Kota Batu</t>
        </is>
      </c>
      <c r="C82" t="inlineStr">
        <is>
          <t>082143167880</t>
        </is>
      </c>
      <c r="D82" t="inlineStr">
        <is>
          <t>mandirilan88enggemilang@gmail.com</t>
        </is>
      </c>
      <c r="E82" t="inlineStr">
        <is>
          <t>https://lpjk.pu.go.id/search-badan-usaha-detail/Mm5lU2RQSkd6WS83TWhRSWNEeXQ4QT09</t>
        </is>
      </c>
      <c r="F82" t="n">
        <v>1</v>
      </c>
      <c r="G82" t="inlineStr">
        <is>
          <t>BS001</t>
        </is>
      </c>
      <c r="H82" t="inlineStr">
        <is>
          <t>13 Desember 2016</t>
        </is>
      </c>
      <c r="I82" s="2" t="n">
        <v>46291</v>
      </c>
      <c r="J82" t="inlineStr">
        <is>
          <t>Disetujui</t>
        </is>
      </c>
      <c r="K82" t="n">
        <v>30</v>
      </c>
      <c r="L82" t="inlineStr">
        <is>
          <t>26 September 2026</t>
        </is>
      </c>
      <c r="M82" t="inlineStr">
        <is>
          <t>Konstruksi Bangunan Sipil Jalan</t>
        </is>
      </c>
      <c r="N82" t="inlineStr">
        <is>
          <t>K</t>
        </is>
      </c>
      <c r="O82" t="inlineStr">
        <is>
          <t>20230922</t>
        </is>
      </c>
      <c r="P82" t="inlineStr">
        <is>
          <t>Jawa Timur</t>
        </is>
      </c>
      <c r="Q82" t="inlineStr"/>
    </row>
    <row r="83">
      <c r="A83" t="inlineStr">
        <is>
          <t>MASAYU GUNTER</t>
        </is>
      </c>
      <c r="B83" t="inlineStr">
        <is>
          <t>Kota Palembang</t>
        </is>
      </c>
      <c r="C83" t="inlineStr">
        <is>
          <t>081377778393</t>
        </is>
      </c>
      <c r="D83" t="inlineStr">
        <is>
          <t>ptmasayugunter2016@gmail.com</t>
        </is>
      </c>
      <c r="E83" t="inlineStr">
        <is>
          <t>https://lpjk.pu.go.id/search-badan-usaha-detail/WEQ0cU8xOWYwSjRycVg2ZFYxSlE2UT09</t>
        </is>
      </c>
      <c r="F83" t="n">
        <v>4</v>
      </c>
      <c r="G83" t="inlineStr">
        <is>
          <t>BG009, BS001</t>
        </is>
      </c>
      <c r="H83" t="inlineStr">
        <is>
          <t>24 November 2010</t>
        </is>
      </c>
      <c r="I83" s="2" t="n">
        <v>46291</v>
      </c>
      <c r="J83" t="inlineStr">
        <is>
          <t>Disetujui</t>
        </is>
      </c>
      <c r="K83" t="n">
        <v>30</v>
      </c>
      <c r="L83" t="inlineStr">
        <is>
          <t>26 September 2026</t>
        </is>
      </c>
      <c r="M83" t="inlineStr">
        <is>
          <t>Konstruksi Bangunan Sipil Jalan, Konstruksi Gedung Lainnya</t>
        </is>
      </c>
      <c r="N83" t="inlineStr">
        <is>
          <t>K</t>
        </is>
      </c>
      <c r="O83" t="inlineStr">
        <is>
          <t>20230927, 20230928</t>
        </is>
      </c>
      <c r="P83" t="inlineStr">
        <is>
          <t>Sumatera Selatan</t>
        </is>
      </c>
      <c r="Q83" t="inlineStr"/>
    </row>
    <row r="84">
      <c r="A84" t="inlineStr">
        <is>
          <t>MEGAH BERLIAN DINAMIKA TEKNINDO</t>
        </is>
      </c>
      <c r="B84" t="inlineStr">
        <is>
          <t>Kota Medan</t>
        </is>
      </c>
      <c r="C84" t="inlineStr">
        <is>
          <t>06180502000</t>
        </is>
      </c>
      <c r="D84" t="inlineStr">
        <is>
          <t>pt.mbdt01@gmail.com</t>
        </is>
      </c>
      <c r="E84" t="inlineStr">
        <is>
          <t>https://lpjk.pu.go.id/search-badan-usaha-detail/alpzM1lDYUdOS2twdWVOQ3JQNkdFQT09</t>
        </is>
      </c>
      <c r="F84" t="n">
        <v>8</v>
      </c>
      <c r="G84" t="inlineStr">
        <is>
          <t>BG001, BG002, BG003, BG005</t>
        </is>
      </c>
      <c r="H84" t="inlineStr">
        <is>
          <t>27 Agustus 2014</t>
        </is>
      </c>
      <c r="I84" s="2" t="n">
        <v>46291</v>
      </c>
      <c r="J84" t="inlineStr">
        <is>
          <t>Disetujui</t>
        </is>
      </c>
      <c r="K84" t="n">
        <v>30</v>
      </c>
      <c r="L84" t="inlineStr">
        <is>
          <t>26 September 2026</t>
        </is>
      </c>
      <c r="M84" t="inlineStr">
        <is>
          <t>Konstruksi Gedung Hunian, Konstruksi Gedung Industri, Konstruksi Gedung Kesehatan, Konstruksi Gedung Perkantoran</t>
        </is>
      </c>
      <c r="N84" t="inlineStr">
        <is>
          <t>M</t>
        </is>
      </c>
      <c r="O84" t="inlineStr">
        <is>
          <t>20230803, 20230901</t>
        </is>
      </c>
      <c r="P84" t="inlineStr">
        <is>
          <t>Sumatera Utara</t>
        </is>
      </c>
      <c r="Q84" t="inlineStr"/>
    </row>
    <row r="85">
      <c r="A85" t="inlineStr">
        <is>
          <t>MITRA ANDALAN SAKTI</t>
        </is>
      </c>
      <c r="B85" t="inlineStr">
        <is>
          <t>Kota Semarang</t>
        </is>
      </c>
      <c r="C85" t="inlineStr">
        <is>
          <t>081904348136</t>
        </is>
      </c>
      <c r="D85" t="inlineStr">
        <is>
          <t>info.mitrasakti@gmail.com</t>
        </is>
      </c>
      <c r="E85" t="inlineStr">
        <is>
          <t>https://lpjk.pu.go.id/search-badan-usaha-detail/b2lMMFBsNlg2RlNocTA1anlKdU9pNm4yeEVXSlh6RU1neFJkRmxiWXdIaz0</t>
        </is>
      </c>
      <c r="F85" t="n">
        <v>4</v>
      </c>
      <c r="G85" t="inlineStr">
        <is>
          <t>BS002, IN001, IN007, IN008</t>
        </is>
      </c>
      <c r="H85" t="inlineStr">
        <is>
          <t>27 Desember 2022</t>
        </is>
      </c>
      <c r="I85" s="2" t="n">
        <v>46291</v>
      </c>
      <c r="J85" t="inlineStr">
        <is>
          <t>Disetujui</t>
        </is>
      </c>
      <c r="K85" t="n">
        <v>30</v>
      </c>
      <c r="L85" t="inlineStr">
        <is>
          <t>26 September 2026</t>
        </is>
      </c>
      <c r="M85" t="inlineStr">
        <is>
          <t>Bangunan Sipil Jembatan, Jalan Layang, Fly Over, dan Underpass, Instalasi Mekanikal, Instalasi Pendingin Dan Ventilasi Udara, Instalasi Saluran Air (Plambing)</t>
        </is>
      </c>
      <c r="N85" t="inlineStr">
        <is>
          <t>B, Spesialis</t>
        </is>
      </c>
      <c r="O85" t="inlineStr">
        <is>
          <t>20230918, 20230922, 20230925</t>
        </is>
      </c>
      <c r="P85" t="inlineStr">
        <is>
          <t>Jawa Tengah</t>
        </is>
      </c>
      <c r="Q85" t="inlineStr"/>
    </row>
    <row r="86">
      <c r="A86" t="inlineStr">
        <is>
          <t>MITRA INSAN PERSADA</t>
        </is>
      </c>
      <c r="B86" t="inlineStr">
        <is>
          <t>Kab. Sidoarjo</t>
        </is>
      </c>
      <c r="C86" t="inlineStr">
        <is>
          <t>03199840772</t>
        </is>
      </c>
      <c r="D86" t="inlineStr">
        <is>
          <t>mitra.insanpersada@yahoo.com</t>
        </is>
      </c>
      <c r="E86" t="inlineStr">
        <is>
          <t>https://lpjk.pu.go.id/search-badan-usaha-detail/RjdoZlV4RFNpZzJLdy8yY1pYNTg4dz09</t>
        </is>
      </c>
      <c r="F86" t="n">
        <v>1</v>
      </c>
      <c r="G86" t="inlineStr">
        <is>
          <t>BG003</t>
        </is>
      </c>
      <c r="H86" t="inlineStr">
        <is>
          <t>18 September 2012</t>
        </is>
      </c>
      <c r="I86" s="2" t="n">
        <v>46291</v>
      </c>
      <c r="J86" t="inlineStr">
        <is>
          <t>Disetujui</t>
        </is>
      </c>
      <c r="K86" t="n">
        <v>30</v>
      </c>
      <c r="L86" t="inlineStr">
        <is>
          <t>26 September 2026</t>
        </is>
      </c>
      <c r="M86" t="inlineStr">
        <is>
          <t>Konstruksi Gedung Industri</t>
        </is>
      </c>
      <c r="N86" t="inlineStr">
        <is>
          <t>K</t>
        </is>
      </c>
      <c r="O86" t="inlineStr">
        <is>
          <t>20230917</t>
        </is>
      </c>
      <c r="P86" t="inlineStr">
        <is>
          <t>Jawa Timur</t>
        </is>
      </c>
      <c r="Q86" t="inlineStr"/>
    </row>
    <row r="87">
      <c r="A87" t="inlineStr">
        <is>
          <t>NABILA ZASKI ABADI</t>
        </is>
      </c>
      <c r="B87" t="inlineStr">
        <is>
          <t>Kab. Kolaka</t>
        </is>
      </c>
      <c r="C87" t="inlineStr">
        <is>
          <t>085299317511</t>
        </is>
      </c>
      <c r="D87" t="inlineStr">
        <is>
          <t>nabilaabadi41@gmail.com</t>
        </is>
      </c>
      <c r="E87" t="inlineStr">
        <is>
          <t>https://lpjk.pu.go.id/search-badan-usaha-detail/YWFudUMxelhpelp0dTFibENaRWtkdz09</t>
        </is>
      </c>
      <c r="F87" t="n">
        <v>2</v>
      </c>
      <c r="G87" t="inlineStr">
        <is>
          <t>BS010</t>
        </is>
      </c>
      <c r="H87" t="inlineStr">
        <is>
          <t>12 Februari 2015</t>
        </is>
      </c>
      <c r="I87" s="2" t="n">
        <v>46291</v>
      </c>
      <c r="J87" t="inlineStr">
        <is>
          <t>Disetujui</t>
        </is>
      </c>
      <c r="K87" t="n">
        <v>30</v>
      </c>
      <c r="L87" t="inlineStr">
        <is>
          <t>26 September 2026</t>
        </is>
      </c>
      <c r="M87" t="inlineStr">
        <is>
          <t>Konstruksi Bangunan Prasarana Sumber Daya Air</t>
        </is>
      </c>
      <c r="N87" t="inlineStr">
        <is>
          <t>K</t>
        </is>
      </c>
      <c r="O87" t="inlineStr">
        <is>
          <t>20230910</t>
        </is>
      </c>
      <c r="P87" t="inlineStr">
        <is>
          <t>Sulawesi Tenggara</t>
        </is>
      </c>
      <c r="Q87" t="inlineStr"/>
    </row>
    <row r="88">
      <c r="A88" t="inlineStr">
        <is>
          <t>NAGA SAKTI</t>
        </is>
      </c>
      <c r="B88" t="inlineStr">
        <is>
          <t>Kota Medan</t>
        </is>
      </c>
      <c r="C88" t="inlineStr">
        <is>
          <t>0614144808</t>
        </is>
      </c>
      <c r="D88" t="inlineStr">
        <is>
          <t>naga88sakti@yahoo.com</t>
        </is>
      </c>
      <c r="E88" t="inlineStr">
        <is>
          <t>https://lpjk.pu.go.id/search-badan-usaha-detail/Rm1LSG1iOGl0YmhHOFFvb0IvZ0Vwdz09</t>
        </is>
      </c>
      <c r="F88" t="n">
        <v>1</v>
      </c>
      <c r="G88" t="inlineStr">
        <is>
          <t>BG009</t>
        </is>
      </c>
      <c r="H88" t="inlineStr">
        <is>
          <t>19 September 1987</t>
        </is>
      </c>
      <c r="I88" s="2" t="n">
        <v>46291</v>
      </c>
      <c r="J88" t="inlineStr">
        <is>
          <t>Disetujui</t>
        </is>
      </c>
      <c r="K88" t="n">
        <v>30</v>
      </c>
      <c r="L88" t="inlineStr">
        <is>
          <t>26 September 2026</t>
        </is>
      </c>
      <c r="M88" t="inlineStr">
        <is>
          <t>Konstruksi Gedung Lainnya</t>
        </is>
      </c>
      <c r="N88" t="inlineStr">
        <is>
          <t>K</t>
        </is>
      </c>
      <c r="O88" t="inlineStr">
        <is>
          <t>20230718</t>
        </is>
      </c>
      <c r="P88" t="inlineStr">
        <is>
          <t>Sumatera Utara</t>
        </is>
      </c>
      <c r="Q88" t="inlineStr"/>
    </row>
    <row r="89">
      <c r="A89" t="inlineStr">
        <is>
          <t>NAGABE SAROHA JAYA</t>
        </is>
      </c>
      <c r="B89" t="inlineStr">
        <is>
          <t>Kab. Sanggau</t>
        </is>
      </c>
      <c r="C89" t="inlineStr">
        <is>
          <t>085386112897</t>
        </is>
      </c>
      <c r="D89" t="inlineStr">
        <is>
          <t>cvnagabesarohajaya@gmail.com</t>
        </is>
      </c>
      <c r="E89" t="inlineStr">
        <is>
          <t>https://lpjk.pu.go.id/search-badan-usaha-detail/RXIxcnJ2ZmtsaHI2aUd5YjhRNFpKQT09</t>
        </is>
      </c>
      <c r="F89" t="n">
        <v>4</v>
      </c>
      <c r="G89" t="inlineStr">
        <is>
          <t>BS002</t>
        </is>
      </c>
      <c r="H89" t="inlineStr">
        <is>
          <t>24 Maret 2023</t>
        </is>
      </c>
      <c r="I89" s="2" t="n">
        <v>46291</v>
      </c>
      <c r="J89" t="inlineStr">
        <is>
          <t>Disetujui</t>
        </is>
      </c>
      <c r="K89" t="n">
        <v>30</v>
      </c>
      <c r="L89" t="inlineStr">
        <is>
          <t>26 September 2026</t>
        </is>
      </c>
      <c r="M89" t="inlineStr">
        <is>
          <t>Bangunan Sipil Jembatan, Jalan Layang, Fly Over, dan Underpass</t>
        </is>
      </c>
      <c r="N89" t="inlineStr">
        <is>
          <t>K</t>
        </is>
      </c>
      <c r="O89" t="inlineStr">
        <is>
          <t>20230908</t>
        </is>
      </c>
      <c r="P89" t="inlineStr">
        <is>
          <t>Kalimantan Barat</t>
        </is>
      </c>
      <c r="Q89" t="inlineStr"/>
    </row>
    <row r="90">
      <c r="A90" t="inlineStr">
        <is>
          <t>NUSA INDAH RAYA</t>
        </is>
      </c>
      <c r="B90" t="inlineStr">
        <is>
          <t>Kota Banjarmasin</t>
        </is>
      </c>
      <c r="C90" t="inlineStr">
        <is>
          <t>081251994739</t>
        </is>
      </c>
      <c r="D90" t="inlineStr">
        <is>
          <t>cv_nusaindahraya@yahoo.com</t>
        </is>
      </c>
      <c r="E90" t="inlineStr">
        <is>
          <t>https://lpjk.pu.go.id/search-badan-usaha-detail/SkJqSTVVZG1iUytIeEg0WlBNOFp5UT09</t>
        </is>
      </c>
      <c r="F90" t="n">
        <v>2</v>
      </c>
      <c r="G90" t="inlineStr">
        <is>
          <t>BG005, BG006</t>
        </is>
      </c>
      <c r="H90" t="inlineStr">
        <is>
          <t>18 Desember 2000</t>
        </is>
      </c>
      <c r="I90" s="2" t="n">
        <v>46291</v>
      </c>
      <c r="J90" t="inlineStr">
        <is>
          <t>Disetujui</t>
        </is>
      </c>
      <c r="K90" t="n">
        <v>30</v>
      </c>
      <c r="L90" t="inlineStr">
        <is>
          <t>26 September 2026</t>
        </is>
      </c>
      <c r="M90" t="inlineStr">
        <is>
          <t>Konstruksi Gedung Kesehatan, Konstruksi Gedung Pendidikan</t>
        </is>
      </c>
      <c r="N90" t="inlineStr">
        <is>
          <t>K</t>
        </is>
      </c>
      <c r="O90" t="inlineStr">
        <is>
          <t>20230914, 20231001</t>
        </is>
      </c>
      <c r="P90" t="inlineStr">
        <is>
          <t>Kalimantan Selatan</t>
        </is>
      </c>
      <c r="Q90" t="inlineStr"/>
    </row>
    <row r="91">
      <c r="A91" t="inlineStr">
        <is>
          <t>PILAR MAS</t>
        </is>
      </c>
      <c r="B91" t="inlineStr">
        <is>
          <t>Kab. Blitar</t>
        </is>
      </c>
      <c r="C91" t="inlineStr">
        <is>
          <t>081556596825</t>
        </is>
      </c>
      <c r="D91" t="inlineStr">
        <is>
          <t>pilar_masblitar@yahoo.co.id</t>
        </is>
      </c>
      <c r="E91" t="inlineStr">
        <is>
          <t>https://lpjk.pu.go.id/search-badan-usaha-detail/QU1LenRQcXNOdWVMZC80UVNxUDQzQT09</t>
        </is>
      </c>
      <c r="F91" t="n">
        <v>7</v>
      </c>
      <c r="G91" t="inlineStr">
        <is>
          <t>BG002, BG004, BG005, BG006, BG009, BS001, BS004</t>
        </is>
      </c>
      <c r="H91" t="inlineStr">
        <is>
          <t>12 April 2006</t>
        </is>
      </c>
      <c r="I91" s="2" t="n">
        <v>46291</v>
      </c>
      <c r="J91" t="inlineStr">
        <is>
          <t>Disetujui</t>
        </is>
      </c>
      <c r="K91" t="n">
        <v>30</v>
      </c>
      <c r="L91" t="inlineStr">
        <is>
          <t>26 September 2026</t>
        </is>
      </c>
      <c r="M91" t="inlineStr">
        <is>
          <t>Konstruksi Bangunan Sipil Jalan, Konstruksi Gedung Kesehatan, Konstruksi Gedung Lainnya, Konstruksi Gedung Pendidikan, Konstruksi Gedung Perbelanjaan, Konstruksi Gedung Perkantoran, Konstruksi Jaringan Irigasi dan Drainase</t>
        </is>
      </c>
      <c r="N91" t="inlineStr">
        <is>
          <t>K</t>
        </is>
      </c>
      <c r="O91" t="inlineStr">
        <is>
          <t>20230919, 20230926, 20230927</t>
        </is>
      </c>
      <c r="P91" t="inlineStr">
        <is>
          <t>Jawa Timur</t>
        </is>
      </c>
      <c r="Q91" t="inlineStr"/>
    </row>
    <row r="92">
      <c r="A92" t="inlineStr">
        <is>
          <t>PROMISCO SINERGI INDONESIA</t>
        </is>
      </c>
      <c r="B92" t="inlineStr">
        <is>
          <t>Kota Bandung</t>
        </is>
      </c>
      <c r="C92" t="inlineStr">
        <is>
          <t>0222536666</t>
        </is>
      </c>
      <c r="D92" t="inlineStr">
        <is>
          <t>office@promisco.com</t>
        </is>
      </c>
      <c r="E92" t="inlineStr">
        <is>
          <t>https://lpjk.pu.go.id/search-badan-usaha-detail/UHk0SXNsblRtS2Fic1R6QlhGc0NRUT09</t>
        </is>
      </c>
      <c r="F92" t="n">
        <v>4</v>
      </c>
      <c r="G92" t="inlineStr">
        <is>
          <t>RK001, RK002, RK003, RK005</t>
        </is>
      </c>
      <c r="H92" t="inlineStr">
        <is>
          <t>8 Oktober 2012</t>
        </is>
      </c>
      <c r="I92" s="2" t="n">
        <v>46291</v>
      </c>
      <c r="J92" t="inlineStr">
        <is>
          <t>Disetujui</t>
        </is>
      </c>
      <c r="K92" t="n">
        <v>30</v>
      </c>
      <c r="L92" t="inlineStr">
        <is>
          <t>26 September 2026</t>
        </is>
      </c>
      <c r="M92" t="inlineStr">
        <is>
          <t>Jasa Rekayasa Konstruksi Bangunan Gedung Hunian dan Non Hunian, Jasa Rekayasa Lainnya, Jasa Rekayasa Pekerjaan Teknik Sipil Sumber Daya Air, Jasa Rekayasa Pekerjaan Teknik Sipil Transportasi</t>
        </is>
      </c>
      <c r="N92" t="inlineStr">
        <is>
          <t>B, K</t>
        </is>
      </c>
      <c r="O92" t="inlineStr">
        <is>
          <t>20230904, 20230920</t>
        </is>
      </c>
      <c r="P92" t="inlineStr">
        <is>
          <t>Jawa Barat</t>
        </is>
      </c>
      <c r="Q92" t="inlineStr"/>
    </row>
    <row r="93">
      <c r="A93" t="inlineStr">
        <is>
          <t>PUTRA DELANG MANDIRI</t>
        </is>
      </c>
      <c r="B93" t="inlineStr">
        <is>
          <t>Kab. Lamandau</t>
        </is>
      </c>
      <c r="C93" t="inlineStr">
        <is>
          <t>082152400159</t>
        </is>
      </c>
      <c r="D93" t="inlineStr">
        <is>
          <t>putradelangmandiricv@gmail.com</t>
        </is>
      </c>
      <c r="E93" t="inlineStr">
        <is>
          <t>https://lpjk.pu.go.id/search-badan-usaha-detail/MTBQVTBUT0NjMThOeVdDWjFKTklNdz09</t>
        </is>
      </c>
      <c r="F93" t="n">
        <v>2</v>
      </c>
      <c r="G93" t="inlineStr">
        <is>
          <t>BS001, BS006</t>
        </is>
      </c>
      <c r="H93" t="inlineStr">
        <is>
          <t>25 Maret 2014</t>
        </is>
      </c>
      <c r="I93" s="2" t="n">
        <v>46291</v>
      </c>
      <c r="J93" t="inlineStr">
        <is>
          <t>Disetujui</t>
        </is>
      </c>
      <c r="K93" t="n">
        <v>30</v>
      </c>
      <c r="L93" t="inlineStr">
        <is>
          <t>26 September 2026</t>
        </is>
      </c>
      <c r="M93" t="inlineStr">
        <is>
          <t>Konstruksi Bangunan Sipil Jalan, Konstruksi Bangunan Sipil Prasarana dan Sarana Sistem Pengolahan Limbah Padat, Cair, dan Gas</t>
        </is>
      </c>
      <c r="N93" t="inlineStr">
        <is>
          <t>K</t>
        </is>
      </c>
      <c r="O93" t="inlineStr">
        <is>
          <t>20230926</t>
        </is>
      </c>
      <c r="P93" t="inlineStr">
        <is>
          <t>Kalimantan Tengah</t>
        </is>
      </c>
      <c r="Q93" t="inlineStr"/>
    </row>
    <row r="94">
      <c r="A94" t="inlineStr">
        <is>
          <t>PUTRA JAYA</t>
        </is>
      </c>
      <c r="B94" t="inlineStr">
        <is>
          <t>Kab. Humbang Hasundutan</t>
        </is>
      </c>
      <c r="C94" t="inlineStr">
        <is>
          <t>082276777534</t>
        </is>
      </c>
      <c r="D94" t="inlineStr">
        <is>
          <t>simamorajuliana59@gmail.com</t>
        </is>
      </c>
      <c r="E94" t="inlineStr">
        <is>
          <t>https://lpjk.pu.go.id/search-badan-usaha-detail/Wm1BUndIdFZDa3hnanNXek4wbjNwZz09</t>
        </is>
      </c>
      <c r="F94" t="n">
        <v>1</v>
      </c>
      <c r="G94" t="inlineStr">
        <is>
          <t>BS001</t>
        </is>
      </c>
      <c r="H94" t="inlineStr">
        <is>
          <t>15 Februari 2018</t>
        </is>
      </c>
      <c r="I94" s="2" t="n">
        <v>46291</v>
      </c>
      <c r="J94" t="inlineStr">
        <is>
          <t>Disetujui</t>
        </is>
      </c>
      <c r="K94" t="n">
        <v>30</v>
      </c>
      <c r="L94" t="inlineStr">
        <is>
          <t>26 September 2026</t>
        </is>
      </c>
      <c r="M94" t="inlineStr">
        <is>
          <t>Konstruksi Bangunan Sipil Jalan</t>
        </is>
      </c>
      <c r="N94" t="inlineStr">
        <is>
          <t>K</t>
        </is>
      </c>
      <c r="O94" t="inlineStr">
        <is>
          <t>20230925</t>
        </is>
      </c>
      <c r="P94" t="inlineStr">
        <is>
          <t>Sumatera Utara</t>
        </is>
      </c>
      <c r="Q94" t="inlineStr"/>
    </row>
    <row r="95">
      <c r="A95" t="inlineStr">
        <is>
          <t>PUTRA KENCANA TEHNIK</t>
        </is>
      </c>
      <c r="B95" t="inlineStr">
        <is>
          <t>Kota Tanjung Balai</t>
        </is>
      </c>
      <c r="C95" t="inlineStr">
        <is>
          <t>082272274507</t>
        </is>
      </c>
      <c r="D95" t="inlineStr">
        <is>
          <t>pkencanatehnik@gmail.com</t>
        </is>
      </c>
      <c r="E95" t="inlineStr">
        <is>
          <t>https://lpjk.pu.go.id/search-badan-usaha-detail/SFJma3MzQ0dpbGVKMVZOZjRwNCtlQT09</t>
        </is>
      </c>
      <c r="F95" t="n">
        <v>1</v>
      </c>
      <c r="G95" t="inlineStr">
        <is>
          <t>BG005</t>
        </is>
      </c>
      <c r="H95" t="inlineStr">
        <is>
          <t>23 September 2015</t>
        </is>
      </c>
      <c r="I95" s="2" t="n">
        <v>46291</v>
      </c>
      <c r="J95" t="inlineStr">
        <is>
          <t>Disetujui</t>
        </is>
      </c>
      <c r="K95" t="n">
        <v>30</v>
      </c>
      <c r="L95" t="inlineStr">
        <is>
          <t>26 September 2026</t>
        </is>
      </c>
      <c r="M95" t="inlineStr">
        <is>
          <t>Konstruksi Gedung Kesehatan</t>
        </is>
      </c>
      <c r="N95" t="inlineStr">
        <is>
          <t>K</t>
        </is>
      </c>
      <c r="O95" t="inlineStr">
        <is>
          <t>20230926</t>
        </is>
      </c>
      <c r="P95" t="inlineStr">
        <is>
          <t>Sumatera Utara</t>
        </is>
      </c>
      <c r="Q95" t="inlineStr"/>
    </row>
    <row r="96">
      <c r="A96" t="inlineStr">
        <is>
          <t>PUTRA RANAJAYA</t>
        </is>
      </c>
      <c r="B96" t="inlineStr">
        <is>
          <t>Kab. Gowa</t>
        </is>
      </c>
      <c r="C96" t="inlineStr">
        <is>
          <t>08111235858</t>
        </is>
      </c>
      <c r="D96" t="inlineStr">
        <is>
          <t>putraranajaya@gmail.com</t>
        </is>
      </c>
      <c r="E96" t="inlineStr">
        <is>
          <t>https://lpjk.pu.go.id/search-badan-usaha-detail/SzM5VUZHZ1VjQVZ5bkNLMTE4b0c3Zz09</t>
        </is>
      </c>
      <c r="F96" t="n">
        <v>4</v>
      </c>
      <c r="G96" t="inlineStr">
        <is>
          <t>BG002, BG006, BG007, BG009</t>
        </is>
      </c>
      <c r="H96" t="inlineStr">
        <is>
          <t>25 Juni 2020</t>
        </is>
      </c>
      <c r="I96" s="2" t="n">
        <v>46291</v>
      </c>
      <c r="J96" t="inlineStr">
        <is>
          <t>Disetujui</t>
        </is>
      </c>
      <c r="K96" t="n">
        <v>30</v>
      </c>
      <c r="L96" t="inlineStr">
        <is>
          <t>26 September 2026</t>
        </is>
      </c>
      <c r="M96" t="inlineStr">
        <is>
          <t>Konstruksi Gedung Lainnya, Konstruksi Gedung Pendidikan, Konstruksi Gedung Penginapan, Konstruksi Gedung Perkantoran</t>
        </is>
      </c>
      <c r="N96" t="inlineStr">
        <is>
          <t>K</t>
        </is>
      </c>
      <c r="O96" t="inlineStr">
        <is>
          <t>20230921</t>
        </is>
      </c>
      <c r="P96" t="inlineStr">
        <is>
          <t>Sulawesi Selatan</t>
        </is>
      </c>
      <c r="Q96" t="inlineStr"/>
    </row>
    <row r="97">
      <c r="A97" t="inlineStr">
        <is>
          <t>PUTRA TUBAN</t>
        </is>
      </c>
      <c r="B97" t="inlineStr">
        <is>
          <t>Kota Medan</t>
        </is>
      </c>
      <c r="C97" t="inlineStr">
        <is>
          <t>081375383187</t>
        </is>
      </c>
      <c r="D97" t="inlineStr">
        <is>
          <t>cvputratuban02@gmail.com</t>
        </is>
      </c>
      <c r="E97" t="inlineStr">
        <is>
          <t>https://lpjk.pu.go.id/search-badan-usaha-detail/RDhzVEVtcHk1WlJqQWIvTERZMHp6QT09</t>
        </is>
      </c>
      <c r="F97" t="n">
        <v>1</v>
      </c>
      <c r="G97" t="inlineStr">
        <is>
          <t>BS004</t>
        </is>
      </c>
      <c r="H97" t="inlineStr">
        <is>
          <t>2 Juni 2010</t>
        </is>
      </c>
      <c r="I97" s="2" t="n">
        <v>46291</v>
      </c>
      <c r="J97" t="inlineStr">
        <is>
          <t>Disetujui</t>
        </is>
      </c>
      <c r="K97" t="n">
        <v>30</v>
      </c>
      <c r="L97" t="inlineStr">
        <is>
          <t>26 September 2026</t>
        </is>
      </c>
      <c r="M97" t="inlineStr">
        <is>
          <t>Konstruksi Jaringan Irigasi dan Drainase</t>
        </is>
      </c>
      <c r="N97" t="inlineStr">
        <is>
          <t>K</t>
        </is>
      </c>
      <c r="O97" t="inlineStr">
        <is>
          <t>20230905</t>
        </is>
      </c>
      <c r="P97" t="inlineStr">
        <is>
          <t>Sumatera Utara</t>
        </is>
      </c>
      <c r="Q97" t="inlineStr"/>
    </row>
    <row r="98">
      <c r="A98" t="inlineStr">
        <is>
          <t>PUTRI SAMBAS</t>
        </is>
      </c>
      <c r="B98" t="inlineStr">
        <is>
          <t>Kab. Sintang</t>
        </is>
      </c>
      <c r="C98" t="inlineStr">
        <is>
          <t>082358411533</t>
        </is>
      </c>
      <c r="D98" t="inlineStr">
        <is>
          <t>cv.putrisambas@gmail.com</t>
        </is>
      </c>
      <c r="E98" t="inlineStr">
        <is>
          <t>https://lpjk.pu.go.id/search-badan-usaha-detail/ZSszbDVmWGN1cndRckJZY3BNMkdZZz09</t>
        </is>
      </c>
      <c r="F98" t="n">
        <v>2</v>
      </c>
      <c r="G98" t="inlineStr">
        <is>
          <t>BG006, BS004</t>
        </is>
      </c>
      <c r="H98" t="inlineStr">
        <is>
          <t>22 Mei 2018</t>
        </is>
      </c>
      <c r="I98" s="2" t="n">
        <v>46291</v>
      </c>
      <c r="J98" t="inlineStr">
        <is>
          <t>Disetujui</t>
        </is>
      </c>
      <c r="K98" t="n">
        <v>30</v>
      </c>
      <c r="L98" t="inlineStr">
        <is>
          <t>26 September 2026</t>
        </is>
      </c>
      <c r="M98" t="inlineStr">
        <is>
          <t>Konstruksi Gedung Pendidikan, Konstruksi Jaringan Irigasi dan Drainase</t>
        </is>
      </c>
      <c r="N98" t="inlineStr">
        <is>
          <t>K</t>
        </is>
      </c>
      <c r="O98" t="inlineStr">
        <is>
          <t>20230925, 20230929</t>
        </is>
      </c>
      <c r="P98" t="inlineStr">
        <is>
          <t>Kalimantan Barat</t>
        </is>
      </c>
      <c r="Q98" t="inlineStr"/>
    </row>
    <row r="99">
      <c r="A99" t="inlineStr">
        <is>
          <t>RAHMAT</t>
        </is>
      </c>
      <c r="B99" t="inlineStr">
        <is>
          <t>Kab. Tanjung Jabung Barat</t>
        </is>
      </c>
      <c r="C99" t="inlineStr">
        <is>
          <t>08117488220</t>
        </is>
      </c>
      <c r="D99" t="inlineStr">
        <is>
          <t>cvrahmat7@gmail.com</t>
        </is>
      </c>
      <c r="E99" t="inlineStr">
        <is>
          <t>https://lpjk.pu.go.id/search-badan-usaha-detail/VklVRk1namVjLzZZZmlUQkJ2VnMyQT09</t>
        </is>
      </c>
      <c r="F99" t="n">
        <v>2</v>
      </c>
      <c r="G99" t="inlineStr">
        <is>
          <t>BG009</t>
        </is>
      </c>
      <c r="H99" t="inlineStr">
        <is>
          <t>3 November 1988</t>
        </is>
      </c>
      <c r="I99" s="2" t="n">
        <v>46291</v>
      </c>
      <c r="J99" t="inlineStr">
        <is>
          <t>Disetujui</t>
        </is>
      </c>
      <c r="K99" t="n">
        <v>30</v>
      </c>
      <c r="L99" t="inlineStr">
        <is>
          <t>26 September 2026</t>
        </is>
      </c>
      <c r="M99" t="inlineStr">
        <is>
          <t>Konstruksi Gedung Lainnya</t>
        </is>
      </c>
      <c r="N99" t="inlineStr">
        <is>
          <t>K</t>
        </is>
      </c>
      <c r="O99" t="inlineStr">
        <is>
          <t>20230927</t>
        </is>
      </c>
      <c r="P99" t="inlineStr">
        <is>
          <t>Jambi</t>
        </is>
      </c>
      <c r="Q99" t="inlineStr"/>
    </row>
    <row r="100">
      <c r="A100" t="inlineStr">
        <is>
          <t>RANCANG BANGUN ADI PERKASA</t>
        </is>
      </c>
      <c r="B100" t="inlineStr">
        <is>
          <t>Kab. Ponorogo</t>
        </is>
      </c>
      <c r="C100" t="inlineStr">
        <is>
          <t>081235976746</t>
        </is>
      </c>
      <c r="D100" t="inlineStr">
        <is>
          <t>rabasa.ponorogo@gmail.com</t>
        </is>
      </c>
      <c r="E100" t="inlineStr">
        <is>
          <t>https://lpjk.pu.go.id/search-badan-usaha-detail/QU1ycXZOSldjeUpNdEZRc2FCL09yQT09</t>
        </is>
      </c>
      <c r="F100" t="n">
        <v>4</v>
      </c>
      <c r="G100" t="inlineStr">
        <is>
          <t>RK001, RK003</t>
        </is>
      </c>
      <c r="H100" t="inlineStr">
        <is>
          <t>28 Maret 2005</t>
        </is>
      </c>
      <c r="I100" s="2" t="n">
        <v>46291</v>
      </c>
      <c r="J100" t="inlineStr">
        <is>
          <t>Disetujui</t>
        </is>
      </c>
      <c r="K100" t="n">
        <v>30</v>
      </c>
      <c r="L100" t="inlineStr">
        <is>
          <t>26 September 2026</t>
        </is>
      </c>
      <c r="M100" t="inlineStr">
        <is>
          <t>Jasa Rekayasa Konstruksi Bangunan Gedung Hunian dan Non Hunian, Jasa Rekayasa Pekerjaan Teknik Sipil Transportasi</t>
        </is>
      </c>
      <c r="N100" t="inlineStr">
        <is>
          <t>K</t>
        </is>
      </c>
      <c r="O100" t="inlineStr">
        <is>
          <t>20230918</t>
        </is>
      </c>
      <c r="P100" t="inlineStr">
        <is>
          <t>Jawa Timur</t>
        </is>
      </c>
      <c r="Q100" t="inlineStr"/>
    </row>
    <row r="101">
      <c r="A101" t="inlineStr">
        <is>
          <t>RANUM DESYA PERKASA</t>
        </is>
      </c>
      <c r="B101" t="inlineStr">
        <is>
          <t>Kab. Kayong Utara</t>
        </is>
      </c>
      <c r="C101" t="inlineStr">
        <is>
          <t>089612562728</t>
        </is>
      </c>
      <c r="D101" t="inlineStr">
        <is>
          <t>cv.ranumdesyaperkasa@gmail.com</t>
        </is>
      </c>
      <c r="E101" t="inlineStr">
        <is>
          <t>https://lpjk.pu.go.id/search-badan-usaha-detail/YnVVMms0OWo2QUk2TTd5V0psREJlUT09</t>
        </is>
      </c>
      <c r="F101" t="n">
        <v>3</v>
      </c>
      <c r="G101" t="inlineStr">
        <is>
          <t>BG005, BG006, BG009</t>
        </is>
      </c>
      <c r="H101" t="inlineStr">
        <is>
          <t>4 Januari 2012</t>
        </is>
      </c>
      <c r="I101" s="2" t="n">
        <v>46291</v>
      </c>
      <c r="J101" t="inlineStr">
        <is>
          <t>Disetujui</t>
        </is>
      </c>
      <c r="K101" t="n">
        <v>30</v>
      </c>
      <c r="L101" t="inlineStr">
        <is>
          <t>26 September 2026</t>
        </is>
      </c>
      <c r="M101" t="inlineStr">
        <is>
          <t>Konstruksi Gedung Kesehatan, Konstruksi Gedung Lainnya, Konstruksi Gedung Pendidikan</t>
        </is>
      </c>
      <c r="N101" t="inlineStr">
        <is>
          <t>K</t>
        </is>
      </c>
      <c r="O101" t="inlineStr">
        <is>
          <t>20230920</t>
        </is>
      </c>
      <c r="P101" t="inlineStr">
        <is>
          <t>Kalimantan Barat</t>
        </is>
      </c>
      <c r="Q101" t="inlineStr"/>
    </row>
    <row r="102">
      <c r="A102" t="inlineStr">
        <is>
          <t>RATU BAGJA</t>
        </is>
      </c>
      <c r="B102" t="inlineStr">
        <is>
          <t>Kab. Subang</t>
        </is>
      </c>
      <c r="C102" t="inlineStr">
        <is>
          <t>085624817781</t>
        </is>
      </c>
      <c r="D102" t="inlineStr">
        <is>
          <t>ratubajga2023@gmail.com</t>
        </is>
      </c>
      <c r="E102" t="inlineStr">
        <is>
          <t>https://lpjk.pu.go.id/search-badan-usaha-detail/WkRFVzkvb1BvYjdxaUEwLzI4WmF1Zz09</t>
        </is>
      </c>
      <c r="F102" t="n">
        <v>5</v>
      </c>
      <c r="G102" t="inlineStr">
        <is>
          <t>BG006, BG009, BS001, BS002, BS004</t>
        </is>
      </c>
      <c r="H102" t="inlineStr">
        <is>
          <t>17 Januari 2020</t>
        </is>
      </c>
      <c r="I102" s="2" t="n">
        <v>46291</v>
      </c>
      <c r="J102" t="inlineStr">
        <is>
          <t>Disetujui</t>
        </is>
      </c>
      <c r="K102" t="n">
        <v>30</v>
      </c>
      <c r="L102" t="inlineStr">
        <is>
          <t>26 September 2026</t>
        </is>
      </c>
      <c r="M102" t="inlineStr">
        <is>
          <t>Bangunan Sipil Jembatan, Jalan Layang, Fly Over, dan Underpass, Konstruksi Bangunan Sipil Jalan, Konstruksi Gedung Lainnya, Konstruksi Gedung Pendidikan, Konstruksi Jaringan Irigasi dan Drainase</t>
        </is>
      </c>
      <c r="N102" t="inlineStr">
        <is>
          <t>K</t>
        </is>
      </c>
      <c r="O102" t="inlineStr">
        <is>
          <t>20230922</t>
        </is>
      </c>
      <c r="P102" t="inlineStr">
        <is>
          <t>Jawa Barat</t>
        </is>
      </c>
      <c r="Q102" t="inlineStr"/>
    </row>
    <row r="103">
      <c r="A103" t="inlineStr">
        <is>
          <t>REHAN WIJAYA</t>
        </is>
      </c>
      <c r="B103" t="inlineStr">
        <is>
          <t>Kab. Kutai Kartanegara</t>
        </is>
      </c>
      <c r="C103" t="inlineStr">
        <is>
          <t>082125428216</t>
        </is>
      </c>
      <c r="D103" t="inlineStr">
        <is>
          <t>cv.rehanwijaya@gmail.com</t>
        </is>
      </c>
      <c r="E103" t="inlineStr">
        <is>
          <t>https://lpjk.pu.go.id/search-badan-usaha-detail/SEdlL2taWEF3SFMwTDhvRW8xU0dQUT09</t>
        </is>
      </c>
      <c r="F103" t="n">
        <v>1</v>
      </c>
      <c r="G103" t="inlineStr">
        <is>
          <t>BS001</t>
        </is>
      </c>
      <c r="H103" t="inlineStr">
        <is>
          <t>24 Desember 2013</t>
        </is>
      </c>
      <c r="I103" s="2" t="n">
        <v>46291</v>
      </c>
      <c r="J103" t="inlineStr">
        <is>
          <t>Disetujui</t>
        </is>
      </c>
      <c r="K103" t="n">
        <v>30</v>
      </c>
      <c r="L103" t="inlineStr">
        <is>
          <t>26 September 2026</t>
        </is>
      </c>
      <c r="M103" t="inlineStr">
        <is>
          <t>Konstruksi Bangunan Sipil Jalan</t>
        </is>
      </c>
      <c r="N103" t="inlineStr">
        <is>
          <t>K</t>
        </is>
      </c>
      <c r="O103" t="inlineStr">
        <is>
          <t>20230926</t>
        </is>
      </c>
      <c r="P103" t="inlineStr">
        <is>
          <t>Kalimantan Timur</t>
        </is>
      </c>
      <c r="Q103" t="inlineStr"/>
    </row>
    <row r="104">
      <c r="A104" t="inlineStr">
        <is>
          <t>REKAYASA GEOMATIKA INDONESIA</t>
        </is>
      </c>
      <c r="B104" t="inlineStr">
        <is>
          <t>Kota Tebing Tinggi</t>
        </is>
      </c>
      <c r="C104" t="inlineStr">
        <is>
          <t>081222772186</t>
        </is>
      </c>
      <c r="D104" t="inlineStr">
        <is>
          <t>rekayasageomatikaindonesia@gmail.com</t>
        </is>
      </c>
      <c r="E104" t="inlineStr">
        <is>
          <t>https://lpjk.pu.go.id/search-badan-usaha-detail/d2V5M0tSQWZid3BJeWRldEpYeS9HZz09</t>
        </is>
      </c>
      <c r="F104" t="n">
        <v>4</v>
      </c>
      <c r="G104" t="inlineStr">
        <is>
          <t>RK001, RK003</t>
        </is>
      </c>
      <c r="H104" t="inlineStr">
        <is>
          <t>15 November 2019</t>
        </is>
      </c>
      <c r="I104" s="2" t="n">
        <v>46291</v>
      </c>
      <c r="J104" t="inlineStr">
        <is>
          <t>Disetujui</t>
        </is>
      </c>
      <c r="K104" t="n">
        <v>30</v>
      </c>
      <c r="L104" t="inlineStr">
        <is>
          <t>26 September 2026</t>
        </is>
      </c>
      <c r="M104" t="inlineStr">
        <is>
          <t>Jasa Rekayasa Konstruksi Bangunan Gedung Hunian dan Non Hunian, Jasa Rekayasa Pekerjaan Teknik Sipil Transportasi</t>
        </is>
      </c>
      <c r="N104" t="inlineStr">
        <is>
          <t>K</t>
        </is>
      </c>
      <c r="O104" t="inlineStr">
        <is>
          <t>20230920</t>
        </is>
      </c>
      <c r="P104" t="inlineStr">
        <is>
          <t>Sumatera Utara</t>
        </is>
      </c>
      <c r="Q104" t="inlineStr"/>
    </row>
    <row r="105">
      <c r="A105" t="inlineStr">
        <is>
          <t>RISWANA SATU DARAH</t>
        </is>
      </c>
      <c r="B105" t="inlineStr">
        <is>
          <t>Kab. Bandung</t>
        </is>
      </c>
      <c r="C105" t="inlineStr">
        <is>
          <t>081222841451</t>
        </is>
      </c>
      <c r="D105" t="inlineStr">
        <is>
          <t>riswana.satu.darah@gmail.com</t>
        </is>
      </c>
      <c r="E105" t="inlineStr">
        <is>
          <t>https://lpjk.pu.go.id/search-badan-usaha-detail/Z0Z2U3lZdzBPS3RjL041a2tINStNQT09</t>
        </is>
      </c>
      <c r="F105" t="n">
        <v>2</v>
      </c>
      <c r="G105" t="inlineStr">
        <is>
          <t>BS003</t>
        </is>
      </c>
      <c r="H105" t="inlineStr">
        <is>
          <t>1 Agustus 2022</t>
        </is>
      </c>
      <c r="I105" s="2" t="n">
        <v>46291</v>
      </c>
      <c r="J105" t="inlineStr">
        <is>
          <t>Disetujui</t>
        </is>
      </c>
      <c r="K105" t="n">
        <v>30</v>
      </c>
      <c r="L105" t="inlineStr">
        <is>
          <t>26 September 2026</t>
        </is>
      </c>
      <c r="M105" t="inlineStr">
        <is>
          <t>Konstruksi Jalan Rel</t>
        </is>
      </c>
      <c r="N105" t="inlineStr">
        <is>
          <t>K</t>
        </is>
      </c>
      <c r="O105" t="inlineStr">
        <is>
          <t>20230927</t>
        </is>
      </c>
      <c r="P105" t="inlineStr">
        <is>
          <t>Jawa Barat</t>
        </is>
      </c>
      <c r="Q105" t="inlineStr"/>
    </row>
    <row r="106">
      <c r="A106" t="inlineStr">
        <is>
          <t>RYAN SYAHM JAYA</t>
        </is>
      </c>
      <c r="B106" t="inlineStr">
        <is>
          <t>Kab. Barru</t>
        </is>
      </c>
      <c r="C106" t="inlineStr">
        <is>
          <t>082395237777</t>
        </is>
      </c>
      <c r="D106" t="inlineStr">
        <is>
          <t>ptryansyahmjaya@gmail.com</t>
        </is>
      </c>
      <c r="E106" t="inlineStr">
        <is>
          <t>https://lpjk.pu.go.id/search-badan-usaha-detail/ckZHbVUzWkszYjltSGhjZy9yVTl4Zz09</t>
        </is>
      </c>
      <c r="F106" t="n">
        <v>1</v>
      </c>
      <c r="G106" t="inlineStr">
        <is>
          <t>BS004</t>
        </is>
      </c>
      <c r="H106" t="inlineStr">
        <is>
          <t>22 Agustus 2017</t>
        </is>
      </c>
      <c r="I106" s="2" t="n">
        <v>46291</v>
      </c>
      <c r="J106" t="inlineStr">
        <is>
          <t>Pencabutan</t>
        </is>
      </c>
      <c r="K106" t="n">
        <v>30</v>
      </c>
      <c r="L106" t="inlineStr">
        <is>
          <t>26 September 2026</t>
        </is>
      </c>
      <c r="M106" t="inlineStr">
        <is>
          <t>Konstruksi Jaringan Irigasi dan Drainase</t>
        </is>
      </c>
      <c r="N106" t="inlineStr">
        <is>
          <t>K</t>
        </is>
      </c>
      <c r="O106" t="inlineStr">
        <is>
          <t>20230829</t>
        </is>
      </c>
      <c r="P106" t="inlineStr">
        <is>
          <t>Sulawesi Selatan</t>
        </is>
      </c>
      <c r="Q106" t="inlineStr"/>
    </row>
    <row r="107">
      <c r="A107" t="inlineStr">
        <is>
          <t>SAMOFA JAYA</t>
        </is>
      </c>
      <c r="B107" t="inlineStr">
        <is>
          <t>Kab. Tojo Una Una</t>
        </is>
      </c>
      <c r="C107" t="inlineStr">
        <is>
          <t>081356503165</t>
        </is>
      </c>
      <c r="D107" t="inlineStr">
        <is>
          <t>samofa_jaya@yahoo.com</t>
        </is>
      </c>
      <c r="E107" t="inlineStr">
        <is>
          <t>https://lpjk.pu.go.id/search-badan-usaha-detail/MStYQWJxdXppcXhrbUVhSWFNS29RZz09</t>
        </is>
      </c>
      <c r="F107" t="n">
        <v>2</v>
      </c>
      <c r="G107" t="inlineStr">
        <is>
          <t>BS001, BS005</t>
        </is>
      </c>
      <c r="H107" t="inlineStr">
        <is>
          <t>10 Februari 2012</t>
        </is>
      </c>
      <c r="I107" s="2" t="n">
        <v>46291</v>
      </c>
      <c r="J107" t="inlineStr">
        <is>
          <t>Disetujui</t>
        </is>
      </c>
      <c r="K107" t="n">
        <v>30</v>
      </c>
      <c r="L107" t="inlineStr">
        <is>
          <t>26 September 2026</t>
        </is>
      </c>
      <c r="M107" t="inlineStr">
        <is>
          <t>Konstruksi Bangunan Sipil Jalan, Konstruksi Bangunan Sipil Pengolahan Air Bersih</t>
        </is>
      </c>
      <c r="N107" t="inlineStr">
        <is>
          <t>K</t>
        </is>
      </c>
      <c r="O107" t="inlineStr">
        <is>
          <t>20230926, 20231002</t>
        </is>
      </c>
      <c r="P107" t="inlineStr">
        <is>
          <t>Sulawesi Tengah</t>
        </is>
      </c>
      <c r="Q107" t="inlineStr"/>
    </row>
    <row r="108">
      <c r="A108" t="inlineStr">
        <is>
          <t>SAPUTRA RAMBANG BERJAYA</t>
        </is>
      </c>
      <c r="B108" t="inlineStr">
        <is>
          <t>Kota Prabumulih</t>
        </is>
      </c>
      <c r="C108" t="inlineStr">
        <is>
          <t>081368477882</t>
        </is>
      </c>
      <c r="D108" t="inlineStr">
        <is>
          <t>saputrarambangberjaya@gmail.com</t>
        </is>
      </c>
      <c r="E108" t="inlineStr">
        <is>
          <t>https://lpjk.pu.go.id/search-badan-usaha-detail/TmxCMlZmT2Y1bnlWdk1DY21IR1E2dz09</t>
        </is>
      </c>
      <c r="F108" t="n">
        <v>2</v>
      </c>
      <c r="G108" t="inlineStr">
        <is>
          <t>BS001</t>
        </is>
      </c>
      <c r="H108" t="inlineStr">
        <is>
          <t>1 September 2023</t>
        </is>
      </c>
      <c r="I108" s="2" t="n">
        <v>46291</v>
      </c>
      <c r="J108" t="inlineStr">
        <is>
          <t>Disetujui</t>
        </is>
      </c>
      <c r="K108" t="n">
        <v>30</v>
      </c>
      <c r="L108" t="inlineStr">
        <is>
          <t>26 September 2026</t>
        </is>
      </c>
      <c r="M108" t="inlineStr">
        <is>
          <t>Konstruksi Bangunan Sipil Jalan</t>
        </is>
      </c>
      <c r="N108" t="inlineStr">
        <is>
          <t>K</t>
        </is>
      </c>
      <c r="O108" t="inlineStr">
        <is>
          <t>20230927</t>
        </is>
      </c>
      <c r="P108" t="inlineStr">
        <is>
          <t>Sumatera Selatan</t>
        </is>
      </c>
      <c r="Q108" t="inlineStr"/>
    </row>
    <row r="109">
      <c r="A109" t="inlineStr">
        <is>
          <t>SARANA DINAMIKA MAJUTAMA</t>
        </is>
      </c>
      <c r="B109" t="inlineStr">
        <is>
          <t>Kab. Indramayu</t>
        </is>
      </c>
      <c r="C109" t="inlineStr">
        <is>
          <t>0234273845</t>
        </is>
      </c>
      <c r="D109" t="inlineStr">
        <is>
          <t>saran_dinamica@yahoo.com</t>
        </is>
      </c>
      <c r="E109" t="inlineStr">
        <is>
          <t>https://lpjk.pu.go.id/search-badan-usaha-detail/T1RybTlDNnFDcmZDdUtPRi9KU2FJdz09</t>
        </is>
      </c>
      <c r="F109" t="n">
        <v>2</v>
      </c>
      <c r="G109" t="inlineStr">
        <is>
          <t>BG003, BG009</t>
        </is>
      </c>
      <c r="H109" t="inlineStr">
        <is>
          <t>26 Januari 2007</t>
        </is>
      </c>
      <c r="I109" s="2" t="n">
        <v>46291</v>
      </c>
      <c r="J109" t="inlineStr">
        <is>
          <t>Disetujui</t>
        </is>
      </c>
      <c r="K109" t="n">
        <v>30</v>
      </c>
      <c r="L109" t="inlineStr">
        <is>
          <t>26 September 2026</t>
        </is>
      </c>
      <c r="M109" t="inlineStr">
        <is>
          <t>Konstruksi Gedung Industri, Konstruksi Gedung Lainnya</t>
        </is>
      </c>
      <c r="N109" t="inlineStr">
        <is>
          <t>K</t>
        </is>
      </c>
      <c r="O109" t="inlineStr">
        <is>
          <t>20230925</t>
        </is>
      </c>
      <c r="P109" t="inlineStr">
        <is>
          <t>Jawa Barat</t>
        </is>
      </c>
      <c r="Q109" t="inlineStr"/>
    </row>
    <row r="110">
      <c r="A110" t="inlineStr">
        <is>
          <t>SARI WAHYU</t>
        </is>
      </c>
      <c r="B110" t="inlineStr">
        <is>
          <t>Kab. Madiun</t>
        </is>
      </c>
      <c r="C110" t="inlineStr">
        <is>
          <t>08123725216</t>
        </is>
      </c>
      <c r="D110" t="inlineStr">
        <is>
          <t>sariwahyu080266@gmail.com</t>
        </is>
      </c>
      <c r="E110" t="inlineStr">
        <is>
          <t>https://lpjk.pu.go.id/search-badan-usaha-detail/NEFpR3p4ZDBGSHJkWnB6enFwNUgwUT09</t>
        </is>
      </c>
      <c r="F110" t="n">
        <v>1</v>
      </c>
      <c r="G110" t="inlineStr">
        <is>
          <t>BS001</t>
        </is>
      </c>
      <c r="H110" t="inlineStr">
        <is>
          <t>28 Februari 2014</t>
        </is>
      </c>
      <c r="I110" s="2" t="n">
        <v>46291</v>
      </c>
      <c r="J110" t="inlineStr">
        <is>
          <t>Disetujui</t>
        </is>
      </c>
      <c r="K110" t="n">
        <v>30</v>
      </c>
      <c r="L110" t="inlineStr">
        <is>
          <t>26 September 2026</t>
        </is>
      </c>
      <c r="M110" t="inlineStr">
        <is>
          <t>Konstruksi Bangunan Sipil Jalan</t>
        </is>
      </c>
      <c r="N110" t="inlineStr">
        <is>
          <t>K</t>
        </is>
      </c>
      <c r="O110" t="inlineStr">
        <is>
          <t>20230926</t>
        </is>
      </c>
      <c r="P110" t="inlineStr">
        <is>
          <t>Jawa Timur</t>
        </is>
      </c>
      <c r="Q110" t="inlineStr"/>
    </row>
    <row r="111">
      <c r="A111" t="inlineStr">
        <is>
          <t>SEMOGA PADI JAYA</t>
        </is>
      </c>
      <c r="B111" t="inlineStr">
        <is>
          <t>Kab. Kutai Timur</t>
        </is>
      </c>
      <c r="C111" t="inlineStr">
        <is>
          <t>081258666863</t>
        </is>
      </c>
      <c r="D111" t="inlineStr">
        <is>
          <t>semogapadijaya.cv@yahoo.com</t>
        </is>
      </c>
      <c r="E111" t="inlineStr">
        <is>
          <t>https://lpjk.pu.go.id/search-badan-usaha-detail/OVFrbURKYkNYWHZDUVBic1pLNmNJUT09</t>
        </is>
      </c>
      <c r="F111" t="n">
        <v>6</v>
      </c>
      <c r="G111" t="inlineStr">
        <is>
          <t>BG002, BG005, BG006, BG008, BS001, BS004</t>
        </is>
      </c>
      <c r="H111" t="inlineStr">
        <is>
          <t>3 Januari 2013</t>
        </is>
      </c>
      <c r="I111" s="2" t="n">
        <v>46291</v>
      </c>
      <c r="J111" t="inlineStr">
        <is>
          <t>Disetujui</t>
        </is>
      </c>
      <c r="K111" t="n">
        <v>30</v>
      </c>
      <c r="L111" t="inlineStr">
        <is>
          <t>26 September 2026</t>
        </is>
      </c>
      <c r="M111" t="inlineStr">
        <is>
          <t>Konstruksi Bangunan Sipil Jalan, Konstruksi Gedung Kesehatan, Konstruksi Gedung Pendidikan, Konstruksi Gedung Perkantoran, Konstruksi Gedung Tempat Hiburan dan Olahraga, Konstruksi Jaringan Irigasi dan Drainase</t>
        </is>
      </c>
      <c r="N111" t="inlineStr">
        <is>
          <t>K</t>
        </is>
      </c>
      <c r="O111" t="inlineStr">
        <is>
          <t>20230920, 20230921, 20230922, 20230926</t>
        </is>
      </c>
      <c r="P111" t="inlineStr">
        <is>
          <t>Kalimantan Timur</t>
        </is>
      </c>
      <c r="Q111" t="inlineStr"/>
    </row>
    <row r="112">
      <c r="A112" t="inlineStr">
        <is>
          <t>SEMPURNA GLOBAL PERTAMA</t>
        </is>
      </c>
      <c r="B112" t="inlineStr">
        <is>
          <t>Kota Adm. Jakarta Barat</t>
        </is>
      </c>
      <c r="C112" t="inlineStr">
        <is>
          <t>02156944342</t>
        </is>
      </c>
      <c r="D112" t="inlineStr">
        <is>
          <t>project.admin@sempurnagp.com</t>
        </is>
      </c>
      <c r="E112" t="inlineStr">
        <is>
          <t>https://lpjk.pu.go.id/search-badan-usaha-detail/clAyNEQ5Y2dxMnFzWDdsU0dLWlkyQT09</t>
        </is>
      </c>
      <c r="F112" t="n">
        <v>2</v>
      </c>
      <c r="G112" t="inlineStr">
        <is>
          <t>IN002</t>
        </is>
      </c>
      <c r="H112" t="inlineStr">
        <is>
          <t>6 Desember 2007</t>
        </is>
      </c>
      <c r="I112" s="2" t="n">
        <v>46291</v>
      </c>
      <c r="J112" t="inlineStr">
        <is>
          <t>Disetujui</t>
        </is>
      </c>
      <c r="K112" t="n">
        <v>30</v>
      </c>
      <c r="L112" t="inlineStr">
        <is>
          <t>26 September 2026</t>
        </is>
      </c>
      <c r="M112" t="inlineStr">
        <is>
          <t>Instalasi Telekomunikasi</t>
        </is>
      </c>
      <c r="N112" t="inlineStr">
        <is>
          <t>Spesialis</t>
        </is>
      </c>
      <c r="O112" t="inlineStr">
        <is>
          <t>20230830</t>
        </is>
      </c>
      <c r="P112" t="inlineStr">
        <is>
          <t>DKI Jakarta</t>
        </is>
      </c>
      <c r="Q112" t="inlineStr"/>
    </row>
    <row r="113">
      <c r="A113" t="inlineStr">
        <is>
          <t>SINAR ALAM</t>
        </is>
      </c>
      <c r="B113" t="inlineStr">
        <is>
          <t>Kab. Morowali</t>
        </is>
      </c>
      <c r="C113" t="inlineStr">
        <is>
          <t>082288904456</t>
        </is>
      </c>
      <c r="D113" t="inlineStr">
        <is>
          <t>cv.sinar.alam100@gmail.com</t>
        </is>
      </c>
      <c r="E113" t="inlineStr">
        <is>
          <t>https://lpjk.pu.go.id/search-badan-usaha-detail/NGxWZ28zWDNYV1ZIM3hRYk4wd0g5QT09</t>
        </is>
      </c>
      <c r="F113" t="n">
        <v>2</v>
      </c>
      <c r="G113" t="inlineStr">
        <is>
          <t>BG001, BG009</t>
        </is>
      </c>
      <c r="H113" t="inlineStr">
        <is>
          <t>19 Januari 2007</t>
        </is>
      </c>
      <c r="I113" s="2" t="n">
        <v>46291</v>
      </c>
      <c r="J113" t="inlineStr">
        <is>
          <t>Disetujui, Pencabutan</t>
        </is>
      </c>
      <c r="K113" t="n">
        <v>30</v>
      </c>
      <c r="L113" t="inlineStr">
        <is>
          <t>26 September 2026</t>
        </is>
      </c>
      <c r="M113" t="inlineStr">
        <is>
          <t>Konstruksi Gedung Hunian, Konstruksi Gedung Lainnya</t>
        </is>
      </c>
      <c r="N113" t="inlineStr">
        <is>
          <t>K</t>
        </is>
      </c>
      <c r="O113" t="inlineStr">
        <is>
          <t>20230913, 20230922</t>
        </is>
      </c>
      <c r="P113" t="inlineStr">
        <is>
          <t>Sulawesi Tengah</t>
        </is>
      </c>
      <c r="Q113" t="inlineStr"/>
    </row>
    <row r="114">
      <c r="A114" t="inlineStr">
        <is>
          <t>SINAR JAYA</t>
        </is>
      </c>
      <c r="B114" t="inlineStr">
        <is>
          <t>Kab. Dompu</t>
        </is>
      </c>
      <c r="C114" t="inlineStr">
        <is>
          <t>08192299923</t>
        </is>
      </c>
      <c r="D114" t="inlineStr">
        <is>
          <t>cv.sinarjaya888@ymail.com</t>
        </is>
      </c>
      <c r="E114" t="inlineStr">
        <is>
          <t>https://lpjk.pu.go.id/search-badan-usaha-detail/RENZcjcwUThPZmQvSHd1SE41NkJMZz09</t>
        </is>
      </c>
      <c r="F114" t="n">
        <v>2</v>
      </c>
      <c r="G114" t="inlineStr">
        <is>
          <t>BS002, BS010</t>
        </is>
      </c>
      <c r="H114" t="inlineStr">
        <is>
          <t>27 Desember 1974</t>
        </is>
      </c>
      <c r="I114" s="2" t="n">
        <v>46291</v>
      </c>
      <c r="J114" t="inlineStr">
        <is>
          <t>Disetujui</t>
        </is>
      </c>
      <c r="K114" t="n">
        <v>30</v>
      </c>
      <c r="L114" t="inlineStr">
        <is>
          <t>26 September 2026</t>
        </is>
      </c>
      <c r="M114" t="inlineStr">
        <is>
          <t>Bangunan Sipil Jembatan, Jalan Layang, Fly Over, dan Underpass, Konstruksi Bangunan Prasarana Sumber Daya Air</t>
        </is>
      </c>
      <c r="N114" t="inlineStr">
        <is>
          <t>K</t>
        </is>
      </c>
      <c r="O114" t="inlineStr">
        <is>
          <t>20230921, 20230930</t>
        </is>
      </c>
      <c r="P114" t="inlineStr">
        <is>
          <t>Nusa Tenggara Barat</t>
        </is>
      </c>
      <c r="Q114" t="inlineStr"/>
    </row>
    <row r="115">
      <c r="A115" t="inlineStr">
        <is>
          <t>SINAR MARDAGUL</t>
        </is>
      </c>
      <c r="B115" t="inlineStr">
        <is>
          <t>Kota Adm. Jakarta Barat</t>
        </is>
      </c>
      <c r="C115" t="inlineStr">
        <is>
          <t>0215800815</t>
        </is>
      </c>
      <c r="D115" t="inlineStr">
        <is>
          <t>sinarmardagul@yahoo.co.id</t>
        </is>
      </c>
      <c r="E115" t="inlineStr">
        <is>
          <t>https://lpjk.pu.go.id/search-badan-usaha-detail/bFdiZ3lqSTlJeFZ3RlFhcWVpT3gzUT09</t>
        </is>
      </c>
      <c r="F115" t="n">
        <v>1</v>
      </c>
      <c r="G115" t="inlineStr">
        <is>
          <t>BS004</t>
        </is>
      </c>
      <c r="H115" t="inlineStr">
        <is>
          <t>3 November 1987</t>
        </is>
      </c>
      <c r="I115" s="2" t="n">
        <v>46291</v>
      </c>
      <c r="J115" t="inlineStr">
        <is>
          <t>Pembekuan</t>
        </is>
      </c>
      <c r="K115" t="n">
        <v>30</v>
      </c>
      <c r="L115" t="inlineStr">
        <is>
          <t>26 September 2026</t>
        </is>
      </c>
      <c r="M115" t="inlineStr">
        <is>
          <t>Konstruksi Jaringan Irigasi dan Drainase</t>
        </is>
      </c>
      <c r="N115" t="inlineStr">
        <is>
          <t>M</t>
        </is>
      </c>
      <c r="O115" t="inlineStr">
        <is>
          <t>20230330</t>
        </is>
      </c>
      <c r="P115" t="inlineStr">
        <is>
          <t>DKI Jakarta</t>
        </is>
      </c>
      <c r="Q115" t="inlineStr"/>
    </row>
    <row r="116">
      <c r="A116" t="inlineStr">
        <is>
          <t>SUMBER KARYA</t>
        </is>
      </c>
      <c r="B116" t="inlineStr">
        <is>
          <t>Kab. Agam</t>
        </is>
      </c>
      <c r="C116" t="inlineStr">
        <is>
          <t>082387407880</t>
        </is>
      </c>
      <c r="D116" t="inlineStr">
        <is>
          <t>indratalago@yahoo.co.id</t>
        </is>
      </c>
      <c r="E116" t="inlineStr">
        <is>
          <t>https://lpjk.pu.go.id/search-badan-usaha-detail/dVltbFlVTm13OGhxL3pYdDRPUzhvUT09</t>
        </is>
      </c>
      <c r="F116" t="n">
        <v>1</v>
      </c>
      <c r="G116" t="inlineStr">
        <is>
          <t>BG001</t>
        </is>
      </c>
      <c r="H116" t="inlineStr">
        <is>
          <t>1 Mei 1972</t>
        </is>
      </c>
      <c r="I116" s="2" t="n">
        <v>46291</v>
      </c>
      <c r="J116" t="inlineStr">
        <is>
          <t>Disetujui</t>
        </is>
      </c>
      <c r="K116" t="n">
        <v>30</v>
      </c>
      <c r="L116" t="inlineStr">
        <is>
          <t>26 September 2026</t>
        </is>
      </c>
      <c r="M116" t="inlineStr">
        <is>
          <t>Konstruksi Gedung Hunian</t>
        </is>
      </c>
      <c r="N116" t="inlineStr">
        <is>
          <t>K</t>
        </is>
      </c>
      <c r="O116" t="inlineStr">
        <is>
          <t>20230922</t>
        </is>
      </c>
      <c r="P116" t="inlineStr">
        <is>
          <t>Sumatera Barat</t>
        </is>
      </c>
      <c r="Q116" t="inlineStr"/>
    </row>
    <row r="117">
      <c r="A117" t="inlineStr">
        <is>
          <t>SWADAYA CIPTA</t>
        </is>
      </c>
      <c r="B117" t="inlineStr">
        <is>
          <t>Kab. Gresik</t>
        </is>
      </c>
      <c r="C117" t="inlineStr">
        <is>
          <t>03139923700</t>
        </is>
      </c>
      <c r="D117" t="inlineStr">
        <is>
          <t>admin@swadayacipta.com</t>
        </is>
      </c>
      <c r="E117" t="inlineStr">
        <is>
          <t>https://lpjk.pu.go.id/search-badan-usaha-detail/OWUxYkJ0MnZPVHJ2bFdKSjR5N24vQT09</t>
        </is>
      </c>
      <c r="F117" t="n">
        <v>1</v>
      </c>
      <c r="G117" t="inlineStr">
        <is>
          <t>BG003</t>
        </is>
      </c>
      <c r="H117" t="inlineStr">
        <is>
          <t>23 Agustus 2005</t>
        </is>
      </c>
      <c r="I117" s="2" t="n">
        <v>46291</v>
      </c>
      <c r="J117" t="inlineStr">
        <is>
          <t>Disetujui</t>
        </is>
      </c>
      <c r="K117" t="n">
        <v>30</v>
      </c>
      <c r="L117" t="inlineStr">
        <is>
          <t>26 September 2026</t>
        </is>
      </c>
      <c r="M117" t="inlineStr">
        <is>
          <t>Konstruksi Gedung Industri</t>
        </is>
      </c>
      <c r="N117" t="inlineStr">
        <is>
          <t>M</t>
        </is>
      </c>
      <c r="O117" t="inlineStr">
        <is>
          <t>20230731</t>
        </is>
      </c>
      <c r="P117" t="inlineStr">
        <is>
          <t>Jawa Timur</t>
        </is>
      </c>
      <c r="Q117" t="inlineStr"/>
    </row>
    <row r="118">
      <c r="A118" t="inlineStr">
        <is>
          <t>SWARNA MANGGAR ABADI</t>
        </is>
      </c>
      <c r="B118" t="inlineStr">
        <is>
          <t>Kab. Sukoharjo</t>
        </is>
      </c>
      <c r="C118" t="inlineStr">
        <is>
          <t>081329040311</t>
        </is>
      </c>
      <c r="D118" t="inlineStr">
        <is>
          <t>manggarcv024@gmail.com</t>
        </is>
      </c>
      <c r="E118" t="inlineStr">
        <is>
          <t>https://lpjk.pu.go.id/search-badan-usaha-detail/SlZiM3BlbUpRUmx2aGtXZTZEbDJrUT09</t>
        </is>
      </c>
      <c r="F118" t="n">
        <v>1</v>
      </c>
      <c r="G118" t="inlineStr">
        <is>
          <t>BG002</t>
        </is>
      </c>
      <c r="H118" t="inlineStr">
        <is>
          <t>16 Juni 2023</t>
        </is>
      </c>
      <c r="I118" s="2" t="n">
        <v>46291</v>
      </c>
      <c r="J118" t="inlineStr">
        <is>
          <t>Disetujui</t>
        </is>
      </c>
      <c r="K118" t="n">
        <v>30</v>
      </c>
      <c r="L118" t="inlineStr">
        <is>
          <t>26 September 2026</t>
        </is>
      </c>
      <c r="M118" t="inlineStr">
        <is>
          <t>Konstruksi Gedung Perkantoran</t>
        </is>
      </c>
      <c r="N118" t="inlineStr">
        <is>
          <t>K</t>
        </is>
      </c>
      <c r="O118" t="inlineStr">
        <is>
          <t>20230925</t>
        </is>
      </c>
      <c r="P118" t="inlineStr">
        <is>
          <t>Jawa Tengah</t>
        </is>
      </c>
      <c r="Q118" t="inlineStr"/>
    </row>
    <row r="119">
      <c r="A119" t="inlineStr">
        <is>
          <t>TEAM BROTHERS</t>
        </is>
      </c>
      <c r="B119" t="inlineStr">
        <is>
          <t>Kota Sawahlunto</t>
        </is>
      </c>
      <c r="C119" t="inlineStr">
        <is>
          <t>081363240000</t>
        </is>
      </c>
      <c r="D119" t="inlineStr">
        <is>
          <t>cvteambrothers@gmail.com</t>
        </is>
      </c>
      <c r="E119" t="inlineStr">
        <is>
          <t>https://lpjk.pu.go.id/search-badan-usaha-detail/bDlndHhWWVRCczJlNUFuYTJpSWZyUT09</t>
        </is>
      </c>
      <c r="F119" t="n">
        <v>1</v>
      </c>
      <c r="G119" t="inlineStr">
        <is>
          <t>BS004</t>
        </is>
      </c>
      <c r="H119" t="inlineStr">
        <is>
          <t>23 Januari 2017</t>
        </is>
      </c>
      <c r="I119" s="2" t="n">
        <v>46291</v>
      </c>
      <c r="J119" t="inlineStr">
        <is>
          <t>Disetujui</t>
        </is>
      </c>
      <c r="K119" t="n">
        <v>30</v>
      </c>
      <c r="L119" t="inlineStr">
        <is>
          <t>26 September 2026</t>
        </is>
      </c>
      <c r="M119" t="inlineStr">
        <is>
          <t>Konstruksi Jaringan Irigasi dan Drainase</t>
        </is>
      </c>
      <c r="N119" t="inlineStr">
        <is>
          <t>K</t>
        </is>
      </c>
      <c r="O119" t="inlineStr">
        <is>
          <t>20230915</t>
        </is>
      </c>
      <c r="P119" t="inlineStr">
        <is>
          <t>Sumatera Barat</t>
        </is>
      </c>
      <c r="Q119" t="inlineStr"/>
    </row>
    <row r="120">
      <c r="A120" t="inlineStr">
        <is>
          <t>TIGA CAHAYA PERMATA</t>
        </is>
      </c>
      <c r="B120" t="inlineStr">
        <is>
          <t>Kab. Purwakarta</t>
        </is>
      </c>
      <c r="C120" t="inlineStr">
        <is>
          <t>081315718667</t>
        </is>
      </c>
      <c r="D120" t="inlineStr">
        <is>
          <t>cvtigacahayaa@gmail.com</t>
        </is>
      </c>
      <c r="E120" t="inlineStr">
        <is>
          <t>https://lpjk.pu.go.id/search-badan-usaha-detail/V1lhTGhaL0FYaWs0anp1S01ERHVUdz09</t>
        </is>
      </c>
      <c r="F120" t="n">
        <v>5</v>
      </c>
      <c r="G120" t="inlineStr">
        <is>
          <t>BG003, BG006, BG009, BS001, BS004</t>
        </is>
      </c>
      <c r="H120" t="inlineStr">
        <is>
          <t>14 Agustus 2023</t>
        </is>
      </c>
      <c r="I120" s="2" t="n">
        <v>46291</v>
      </c>
      <c r="J120" t="inlineStr">
        <is>
          <t>Disetujui</t>
        </is>
      </c>
      <c r="K120" t="n">
        <v>30</v>
      </c>
      <c r="L120" t="inlineStr">
        <is>
          <t>26 September 2026</t>
        </is>
      </c>
      <c r="M120" t="inlineStr">
        <is>
          <t>Konstruksi Bangunan Sipil Jalan, Konstruksi Gedung Industri, Konstruksi Gedung Lainnya, Konstruksi Gedung Pendidikan, Konstruksi Jaringan Irigasi dan Drainase</t>
        </is>
      </c>
      <c r="N120" t="inlineStr">
        <is>
          <t>K</t>
        </is>
      </c>
      <c r="O120" t="inlineStr">
        <is>
          <t>20230926</t>
        </is>
      </c>
      <c r="P120" t="inlineStr">
        <is>
          <t>Jawa Barat</t>
        </is>
      </c>
      <c r="Q120" t="inlineStr"/>
    </row>
    <row r="121">
      <c r="A121" t="inlineStr">
        <is>
          <t>TINA YUDHA</t>
        </is>
      </c>
      <c r="B121" t="inlineStr">
        <is>
          <t>Kota Bandung</t>
        </is>
      </c>
      <c r="C121" t="inlineStr">
        <is>
          <t>08122359055</t>
        </is>
      </c>
      <c r="D121" t="inlineStr">
        <is>
          <t>yudhatina0@gmail.com</t>
        </is>
      </c>
      <c r="E121" t="inlineStr">
        <is>
          <t>https://lpjk.pu.go.id/search-badan-usaha-detail/QXM0MGtvOC95UGJ4dWFzNWkrUWljZz09</t>
        </is>
      </c>
      <c r="F121" t="n">
        <v>1</v>
      </c>
      <c r="G121" t="inlineStr">
        <is>
          <t>BG002</t>
        </is>
      </c>
      <c r="H121" t="inlineStr">
        <is>
          <t>15 Januari 1994</t>
        </is>
      </c>
      <c r="I121" s="2" t="n">
        <v>46291</v>
      </c>
      <c r="J121" t="inlineStr">
        <is>
          <t>Disetujui</t>
        </is>
      </c>
      <c r="K121" t="n">
        <v>30</v>
      </c>
      <c r="L121" t="inlineStr">
        <is>
          <t>26 September 2026</t>
        </is>
      </c>
      <c r="M121" t="inlineStr">
        <is>
          <t>Konstruksi Gedung Perkantoran</t>
        </is>
      </c>
      <c r="N121" t="inlineStr">
        <is>
          <t>K</t>
        </is>
      </c>
      <c r="O121" t="inlineStr">
        <is>
          <t>20230919</t>
        </is>
      </c>
      <c r="P121" t="inlineStr">
        <is>
          <t>Jawa Barat</t>
        </is>
      </c>
      <c r="Q121" t="inlineStr"/>
    </row>
    <row r="122">
      <c r="A122" t="inlineStr">
        <is>
          <t>TRI JAYA MAKMUR</t>
        </is>
      </c>
      <c r="B122" t="inlineStr">
        <is>
          <t>Kota Palembang</t>
        </is>
      </c>
      <c r="C122" t="inlineStr">
        <is>
          <t>081224869124</t>
        </is>
      </c>
      <c r="D122" t="inlineStr">
        <is>
          <t>tjm70@yahoo.com</t>
        </is>
      </c>
      <c r="E122" t="inlineStr">
        <is>
          <t>https://lpjk.pu.go.id/search-badan-usaha-detail/b1U4OURLZTA2RTIvL0s0YzBsU0I5QT09</t>
        </is>
      </c>
      <c r="F122" t="n">
        <v>1</v>
      </c>
      <c r="G122" t="inlineStr">
        <is>
          <t>BS002</t>
        </is>
      </c>
      <c r="H122" t="inlineStr">
        <is>
          <t>30 Agustus 2023</t>
        </is>
      </c>
      <c r="I122" s="2" t="n">
        <v>46291</v>
      </c>
      <c r="J122" t="inlineStr">
        <is>
          <t>Disetujui</t>
        </is>
      </c>
      <c r="K122" t="n">
        <v>30</v>
      </c>
      <c r="L122" t="inlineStr">
        <is>
          <t>26 September 2026</t>
        </is>
      </c>
      <c r="M122" t="inlineStr">
        <is>
          <t>Bangunan Sipil Jembatan, Jalan Layang, Fly Over, dan Underpass</t>
        </is>
      </c>
      <c r="N122" t="inlineStr">
        <is>
          <t>K</t>
        </is>
      </c>
      <c r="O122" t="inlineStr">
        <is>
          <t>20230926</t>
        </is>
      </c>
      <c r="P122" t="inlineStr">
        <is>
          <t>Sumatera Selatan</t>
        </is>
      </c>
      <c r="Q122" t="inlineStr"/>
    </row>
    <row r="123">
      <c r="A123" t="inlineStr">
        <is>
          <t>UTARA JAYA USAHA</t>
        </is>
      </c>
      <c r="B123" t="inlineStr">
        <is>
          <t>Kab. Kutai Timur</t>
        </is>
      </c>
      <c r="C123" t="inlineStr">
        <is>
          <t>082110681414</t>
        </is>
      </c>
      <c r="D123" t="inlineStr">
        <is>
          <t>utarajayausaha@gmail.com</t>
        </is>
      </c>
      <c r="E123" t="inlineStr">
        <is>
          <t>https://lpjk.pu.go.id/search-badan-usaha-detail/RFdtN2xNeFMvaUxRUnhDQnRWZ0w4dz09</t>
        </is>
      </c>
      <c r="F123" t="n">
        <v>7</v>
      </c>
      <c r="G123" t="inlineStr">
        <is>
          <t>BG001, BG005, BG006, BG009, BS001, BS004, BS005</t>
        </is>
      </c>
      <c r="H123" t="inlineStr">
        <is>
          <t>9 Juni 2017</t>
        </is>
      </c>
      <c r="I123" s="2" t="n">
        <v>46291</v>
      </c>
      <c r="J123" t="inlineStr">
        <is>
          <t>Disetujui</t>
        </is>
      </c>
      <c r="K123" t="n">
        <v>30</v>
      </c>
      <c r="L123" t="inlineStr">
        <is>
          <t>26 September 2026</t>
        </is>
      </c>
      <c r="M123" t="inlineStr">
        <is>
          <t>Konstruksi Bangunan Sipil Jalan, Konstruksi Bangunan Sipil Pengolahan Air Bersih, Konstruksi Gedung Hunian, Konstruksi Gedung Kesehatan, Konstruksi Gedung Lainnya, Konstruksi Gedung Pendidikan, Konstruksi Jaringan Irigasi dan Drainase</t>
        </is>
      </c>
      <c r="N123" t="inlineStr">
        <is>
          <t>K</t>
        </is>
      </c>
      <c r="O123" t="inlineStr">
        <is>
          <t>20230922, 20230925</t>
        </is>
      </c>
      <c r="P123" t="inlineStr">
        <is>
          <t>Kalimantan Timur</t>
        </is>
      </c>
      <c r="Q123" t="inlineStr"/>
    </row>
    <row r="124">
      <c r="A124" t="inlineStr">
        <is>
          <t>YUDA PERMATA</t>
        </is>
      </c>
      <c r="B124" t="inlineStr">
        <is>
          <t>Kab. Madiun</t>
        </is>
      </c>
      <c r="C124" t="inlineStr">
        <is>
          <t>085259067302</t>
        </is>
      </c>
      <c r="D124" t="inlineStr">
        <is>
          <t>permatayuda_cv@yahoo.co.id</t>
        </is>
      </c>
      <c r="E124" t="inlineStr">
        <is>
          <t>https://lpjk.pu.go.id/search-badan-usaha-detail/N1ExRUxYdUZ3ZGlRQVdyVTNLODNuQT09</t>
        </is>
      </c>
      <c r="F124" t="n">
        <v>1</v>
      </c>
      <c r="G124" t="inlineStr">
        <is>
          <t>BS004</t>
        </is>
      </c>
      <c r="H124" t="inlineStr">
        <is>
          <t>11 April 2002</t>
        </is>
      </c>
      <c r="I124" s="2" t="n">
        <v>46291</v>
      </c>
      <c r="J124" t="inlineStr">
        <is>
          <t>Disetujui</t>
        </is>
      </c>
      <c r="K124" t="n">
        <v>30</v>
      </c>
      <c r="L124" t="inlineStr">
        <is>
          <t>26 September 2026</t>
        </is>
      </c>
      <c r="M124" t="inlineStr">
        <is>
          <t>Konstruksi Jaringan Irigasi dan Drainase</t>
        </is>
      </c>
      <c r="N124" t="inlineStr">
        <is>
          <t>K</t>
        </is>
      </c>
      <c r="O124" t="inlineStr">
        <is>
          <t>20230926</t>
        </is>
      </c>
      <c r="P124" t="inlineStr">
        <is>
          <t>Jawa Timur</t>
        </is>
      </c>
      <c r="Q1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2026-08-27T07:47:54Z</dcterms:created>
  <dcterms:modified xsi:type="dcterms:W3CDTF">2026-08-27T07:47:54Z</dcterms:modified>
</cp:coreProperties>
</file>