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8"/>
  <sheetViews>
    <sheetView workbookViewId="0">
      <selection activeCell="A1" sqref="A1"/>
    </sheetView>
  </sheetViews>
  <sheetFormatPr baseColWidth="8" defaultRowHeight="15"/>
  <cols>
    <col width="50" customWidth="1" min="1" max="1"/>
    <col width="27" customWidth="1" min="2" max="2"/>
    <col width="16"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AVIA JAYA ARTHA</t>
        </is>
      </c>
      <c r="B2" t="inlineStr">
        <is>
          <t>Kota Adm. Jakarta Timur</t>
        </is>
      </c>
      <c r="C2" t="inlineStr">
        <is>
          <t>081219403272</t>
        </is>
      </c>
      <c r="D2" t="inlineStr">
        <is>
          <t>aviajayaartha@gmail.com</t>
        </is>
      </c>
      <c r="E2" t="inlineStr">
        <is>
          <t>https://lpjk.pu.go.id/search-badan-usaha-detail/bVNZb21TenVNZHJldEUrUTFFQXhMZz09</t>
        </is>
      </c>
      <c r="F2" t="n">
        <v>2</v>
      </c>
      <c r="G2" t="inlineStr">
        <is>
          <t>BG005, BS006</t>
        </is>
      </c>
      <c r="H2" t="inlineStr">
        <is>
          <t>26 Juli 2023</t>
        </is>
      </c>
      <c r="I2" s="2" t="n">
        <v>46272</v>
      </c>
      <c r="J2" t="inlineStr">
        <is>
          <t>Pencabutan</t>
        </is>
      </c>
      <c r="K2" t="n">
        <v>90</v>
      </c>
      <c r="L2" t="inlineStr">
        <is>
          <t>7 September 2026</t>
        </is>
      </c>
      <c r="M2" t="inlineStr">
        <is>
          <t>Konstruksi Bangunan Sipil Prasarana dan Sarana Sistem Pengolahan Limbah Padat, Cair, dan Gas, Konstruksi Gedung Kesehatan</t>
        </is>
      </c>
      <c r="N2" t="inlineStr">
        <is>
          <t>K</t>
        </is>
      </c>
      <c r="O2" t="inlineStr">
        <is>
          <t>20230905, 20230906</t>
        </is>
      </c>
      <c r="P2" t="inlineStr">
        <is>
          <t>DKI Jakarta</t>
        </is>
      </c>
      <c r="Q2" s="3">
        <f>HYPERLINK("https://wa.me/6281219403272?text=Selamat siang Bapak/Ibu pimpinan AVIA JAYA ARTHA,%0A%0ASemoga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DON DUAN SEKAWAN</t>
        </is>
      </c>
      <c r="B3" t="inlineStr">
        <is>
          <t>Kota Bekasi</t>
        </is>
      </c>
      <c r="C3" t="inlineStr">
        <is>
          <t>082112753332</t>
        </is>
      </c>
      <c r="D3" t="inlineStr">
        <is>
          <t>ptdonduangrup@gmail.com</t>
        </is>
      </c>
      <c r="E3" t="inlineStr">
        <is>
          <t>https://lpjk.pu.go.id/search-badan-usaha-detail/bUt6TldPcytVU1dKTmFJdHV2RVJBZz09</t>
        </is>
      </c>
      <c r="F3" t="n">
        <v>1</v>
      </c>
      <c r="G3" t="inlineStr">
        <is>
          <t>BG009</t>
        </is>
      </c>
      <c r="H3" t="inlineStr">
        <is>
          <t>28 Mei 2021</t>
        </is>
      </c>
      <c r="I3" s="2" t="n">
        <v>46272</v>
      </c>
      <c r="J3" t="inlineStr">
        <is>
          <t>Disetujui</t>
        </is>
      </c>
      <c r="K3" t="n">
        <v>90</v>
      </c>
      <c r="L3" t="inlineStr">
        <is>
          <t>7 September 2026</t>
        </is>
      </c>
      <c r="M3" t="inlineStr">
        <is>
          <t>Konstruksi Gedung Lainnya</t>
        </is>
      </c>
      <c r="N3" t="inlineStr">
        <is>
          <t>K</t>
        </is>
      </c>
      <c r="O3" t="inlineStr">
        <is>
          <t>20230908</t>
        </is>
      </c>
      <c r="P3" t="inlineStr">
        <is>
          <t>Jawa Barat</t>
        </is>
      </c>
      <c r="Q3" s="3">
        <f>HYPERLINK("https://wa.me/6282112753332?text=Selamat siang Bapak/Ibu pimpinan DON DUAN SEKAWAN,%0A%0ASemoga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DUA PUTRA ABADI</t>
        </is>
      </c>
      <c r="B4" t="inlineStr">
        <is>
          <t>Kota Bekasi</t>
        </is>
      </c>
      <c r="C4" t="inlineStr">
        <is>
          <t>081287980229</t>
        </is>
      </c>
      <c r="D4" t="inlineStr">
        <is>
          <t>duaputraabadi@gmail.com</t>
        </is>
      </c>
      <c r="E4" t="inlineStr">
        <is>
          <t>https://lpjk.pu.go.id/search-badan-usaha-detail/U2NwUndheHFhYXk1OXBCaWxWaFdOUT09</t>
        </is>
      </c>
      <c r="F4" t="n">
        <v>1</v>
      </c>
      <c r="G4" t="inlineStr">
        <is>
          <t>BS004</t>
        </is>
      </c>
      <c r="H4" t="inlineStr">
        <is>
          <t>14 Januari 2015</t>
        </is>
      </c>
      <c r="I4" s="2" t="n">
        <v>46272</v>
      </c>
      <c r="J4" t="inlineStr">
        <is>
          <t>Disetujui</t>
        </is>
      </c>
      <c r="K4" t="n">
        <v>90</v>
      </c>
      <c r="L4" t="inlineStr">
        <is>
          <t>7 September 2026</t>
        </is>
      </c>
      <c r="M4" t="inlineStr">
        <is>
          <t>Konstruksi Jaringan Irigasi dan Drainase</t>
        </is>
      </c>
      <c r="N4" t="inlineStr">
        <is>
          <t>K</t>
        </is>
      </c>
      <c r="O4" t="inlineStr">
        <is>
          <t>20230906</t>
        </is>
      </c>
      <c r="P4" t="inlineStr">
        <is>
          <t>Jawa Barat</t>
        </is>
      </c>
      <c r="Q4" s="3">
        <f>HYPERLINK("https://wa.me/6281287980229?text=Selamat siang Bapak/Ibu pimpinan DUA PUTRA ABADI,%0A%0ASemoga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ENHAKA SMALL CONSTRUCTION</t>
        </is>
      </c>
      <c r="B5" t="inlineStr">
        <is>
          <t>Kab. Bekasi</t>
        </is>
      </c>
      <c r="C5" t="inlineStr">
        <is>
          <t>081291654516</t>
        </is>
      </c>
      <c r="D5" t="inlineStr">
        <is>
          <t>ptenhakasmallconstruction@gmail.com</t>
        </is>
      </c>
      <c r="E5" t="inlineStr">
        <is>
          <t>https://lpjk.pu.go.id/search-badan-usaha-detail/RVlLZkszRXJxQm54L3NjVHN4cDl2UT09</t>
        </is>
      </c>
      <c r="F5" t="n">
        <v>4</v>
      </c>
      <c r="G5" t="inlineStr">
        <is>
          <t>BG002, BG006, BG009, BS001</t>
        </is>
      </c>
      <c r="H5" t="inlineStr">
        <is>
          <t>4 Januari 2022</t>
        </is>
      </c>
      <c r="I5" s="2" t="n">
        <v>46272</v>
      </c>
      <c r="J5" t="inlineStr">
        <is>
          <t>Disetujui</t>
        </is>
      </c>
      <c r="K5" t="n">
        <v>90</v>
      </c>
      <c r="L5" t="inlineStr">
        <is>
          <t>7 September 2026</t>
        </is>
      </c>
      <c r="M5" t="inlineStr">
        <is>
          <t>Konstruksi Bangunan Sipil Jalan, Konstruksi Gedung Lainnya, Konstruksi Gedung Pendidikan, Konstruksi Gedung Perkantoran</t>
        </is>
      </c>
      <c r="N5" t="inlineStr">
        <is>
          <t>K</t>
        </is>
      </c>
      <c r="O5" t="inlineStr">
        <is>
          <t>20230906</t>
        </is>
      </c>
      <c r="P5" t="inlineStr">
        <is>
          <t>Jawa Barat</t>
        </is>
      </c>
      <c r="Q5" s="3">
        <f>HYPERLINK("https://wa.me/6281291654516?text=Selamat siang Bapak/Ibu pimpinan ENHAKA SMALL CONSTRUCTION,%0A%0ASemoga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FURAMA</t>
        </is>
      </c>
      <c r="B6" t="inlineStr">
        <is>
          <t>Kota Bekasi</t>
        </is>
      </c>
      <c r="C6" t="inlineStr">
        <is>
          <t>02182671123</t>
        </is>
      </c>
      <c r="D6" t="inlineStr">
        <is>
          <t>furama_ciknus@yahoo.com</t>
        </is>
      </c>
      <c r="E6" t="inlineStr">
        <is>
          <t>https://lpjk.pu.go.id/search-badan-usaha-detail/V2VVV3FCRDUza2M5ZnZjclR0aU5zQT09</t>
        </is>
      </c>
      <c r="F6" t="n">
        <v>1</v>
      </c>
      <c r="G6" t="inlineStr">
        <is>
          <t>BS001</t>
        </is>
      </c>
      <c r="H6" t="inlineStr">
        <is>
          <t>12 November 2009</t>
        </is>
      </c>
      <c r="I6" s="2" t="n">
        <v>46272</v>
      </c>
      <c r="J6" t="inlineStr">
        <is>
          <t>Disetujui</t>
        </is>
      </c>
      <c r="K6" t="n">
        <v>90</v>
      </c>
      <c r="L6" t="inlineStr">
        <is>
          <t>7 September 2026</t>
        </is>
      </c>
      <c r="M6" t="inlineStr">
        <is>
          <t>Konstruksi Bangunan Sipil Jalan</t>
        </is>
      </c>
      <c r="N6" t="inlineStr">
        <is>
          <t>K</t>
        </is>
      </c>
      <c r="O6" t="inlineStr">
        <is>
          <t>20230905</t>
        </is>
      </c>
      <c r="P6" t="inlineStr">
        <is>
          <t>Jawa Barat</t>
        </is>
      </c>
      <c r="Q6" t="inlineStr"/>
    </row>
    <row r="7">
      <c r="A7" t="inlineStr">
        <is>
          <t>META DIGITAL TEKNOLOGI</t>
        </is>
      </c>
      <c r="B7" t="inlineStr">
        <is>
          <t>Kota Depok</t>
        </is>
      </c>
      <c r="C7" t="inlineStr">
        <is>
          <t>081318454544</t>
        </is>
      </c>
      <c r="D7" t="inlineStr">
        <is>
          <t>metadigitalteknologi@gmail.com</t>
        </is>
      </c>
      <c r="E7" t="inlineStr">
        <is>
          <t>https://lpjk.pu.go.id/search-badan-usaha-detail/NmduYjlTSXRlSzhIK1dLTEhWUzJXQT09</t>
        </is>
      </c>
      <c r="F7" t="n">
        <v>3</v>
      </c>
      <c r="G7" t="inlineStr">
        <is>
          <t>BG003, BG006, BG009</t>
        </is>
      </c>
      <c r="H7" t="inlineStr">
        <is>
          <t>5 Juli 2023</t>
        </is>
      </c>
      <c r="I7" s="2" t="n">
        <v>46272</v>
      </c>
      <c r="J7" t="inlineStr">
        <is>
          <t>Pencabutan</t>
        </is>
      </c>
      <c r="K7" t="n">
        <v>90</v>
      </c>
      <c r="L7" t="inlineStr">
        <is>
          <t>7 September 2026</t>
        </is>
      </c>
      <c r="M7" t="inlineStr">
        <is>
          <t>Konstruksi Gedung Industri, Konstruksi Gedung Lainnya, Konstruksi Gedung Pendidikan</t>
        </is>
      </c>
      <c r="N7" t="inlineStr">
        <is>
          <t>K</t>
        </is>
      </c>
      <c r="O7" t="inlineStr">
        <is>
          <t>20230906</t>
        </is>
      </c>
      <c r="P7" t="inlineStr">
        <is>
          <t>Jawa Barat</t>
        </is>
      </c>
      <c r="Q7" s="3">
        <f>HYPERLINK("https://wa.me/6281318454544?text=Selamat siang Bapak/Ibu pimpinan META DIGITAL TEKNOLOGI,%0A%0ASemoga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MITRA PERKASA EKATAMA</t>
        </is>
      </c>
      <c r="B8" t="inlineStr">
        <is>
          <t>Kota Bekasi</t>
        </is>
      </c>
      <c r="C8" t="inlineStr">
        <is>
          <t>02182607472</t>
        </is>
      </c>
      <c r="D8" t="inlineStr">
        <is>
          <t>accounting@mitrape.com</t>
        </is>
      </c>
      <c r="E8" t="inlineStr">
        <is>
          <t>https://lpjk.pu.go.id/search-badan-usaha-detail/Z2FXSGdHbmdTUmVhN2srRFVuTFJPQT09</t>
        </is>
      </c>
      <c r="F8" t="n">
        <v>1</v>
      </c>
      <c r="G8" t="inlineStr">
        <is>
          <t>BG006</t>
        </is>
      </c>
      <c r="H8" t="inlineStr">
        <is>
          <t>30 Oktober 2000</t>
        </is>
      </c>
      <c r="I8" s="2" t="n">
        <v>46272</v>
      </c>
      <c r="J8" t="inlineStr">
        <is>
          <t>Disetujui</t>
        </is>
      </c>
      <c r="K8" t="n">
        <v>90</v>
      </c>
      <c r="L8" t="inlineStr">
        <is>
          <t>7 September 2026</t>
        </is>
      </c>
      <c r="M8" t="inlineStr">
        <is>
          <t>Konstruksi Gedung Pendidikan</t>
        </is>
      </c>
      <c r="N8" t="inlineStr">
        <is>
          <t>K</t>
        </is>
      </c>
      <c r="O8" t="inlineStr">
        <is>
          <t>20230907</t>
        </is>
      </c>
      <c r="P8" t="inlineStr">
        <is>
          <t>Jawa Barat</t>
        </is>
      </c>
      <c r="Q8" t="inlineStr"/>
    </row>
    <row r="9">
      <c r="A9" t="inlineStr">
        <is>
          <t>NINDYA BETON</t>
        </is>
      </c>
      <c r="B9" t="inlineStr">
        <is>
          <t>Kota Adm. Jakarta Timur</t>
        </is>
      </c>
      <c r="C9" t="inlineStr">
        <is>
          <t>081398718746</t>
        </is>
      </c>
      <c r="D9" t="inlineStr">
        <is>
          <t>info.nindyabeton@gmail.com</t>
        </is>
      </c>
      <c r="E9" t="inlineStr">
        <is>
          <t>https://lpjk.pu.go.id/search-badan-usaha-detail/NDUwRmFWODROak5zVGRMZXRmM2pBZz09</t>
        </is>
      </c>
      <c r="F9" t="n">
        <v>2</v>
      </c>
      <c r="G9" t="inlineStr">
        <is>
          <t>BG009</t>
        </is>
      </c>
      <c r="H9" t="inlineStr">
        <is>
          <t>19 Februari 2013</t>
        </is>
      </c>
      <c r="I9" s="2" t="n">
        <v>46272</v>
      </c>
      <c r="J9" t="inlineStr">
        <is>
          <t>Pencabutan</t>
        </is>
      </c>
      <c r="K9" t="n">
        <v>90</v>
      </c>
      <c r="L9" t="inlineStr">
        <is>
          <t>7 September 2026</t>
        </is>
      </c>
      <c r="M9" t="inlineStr">
        <is>
          <t>Konstruksi Gedung Lainnya</t>
        </is>
      </c>
      <c r="N9" t="inlineStr">
        <is>
          <t>M</t>
        </is>
      </c>
      <c r="O9" t="inlineStr">
        <is>
          <t>20230907</t>
        </is>
      </c>
      <c r="P9" t="inlineStr">
        <is>
          <t>DKI Jakarta</t>
        </is>
      </c>
      <c r="Q9" s="3">
        <f>HYPERLINK("https://wa.me/6281398718746?text=Selamat siang Bapak/Ibu pimpinan NINDYA BETON,%0A%0ASemoga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PERUSAHAAN PERSEROAN (PERSERO) PT. BRANTAS ABIPRAYA</t>
        </is>
      </c>
      <c r="B10" t="inlineStr">
        <is>
          <t>Kota Adm. Jakarta Timur</t>
        </is>
      </c>
      <c r="C10" t="inlineStr">
        <is>
          <t>0218516290</t>
        </is>
      </c>
      <c r="D10" t="inlineStr">
        <is>
          <t>pemasaran@brantas-abipraya.com</t>
        </is>
      </c>
      <c r="E10" t="inlineStr">
        <is>
          <t>https://lpjk.pu.go.id/search-badan-usaha-detail/RjZBdzBwOUpLYXpodkJPYUFNMEdUUT09</t>
        </is>
      </c>
      <c r="F10" t="n">
        <v>1</v>
      </c>
      <c r="G10" t="inlineStr">
        <is>
          <t>IN002</t>
        </is>
      </c>
      <c r="H10" t="inlineStr">
        <is>
          <t>7 September 1993</t>
        </is>
      </c>
      <c r="I10" s="2" t="n">
        <v>46272</v>
      </c>
      <c r="J10" t="inlineStr">
        <is>
          <t>Disetujui</t>
        </is>
      </c>
      <c r="K10" t="n">
        <v>90</v>
      </c>
      <c r="L10" t="inlineStr">
        <is>
          <t>7 September 2026</t>
        </is>
      </c>
      <c r="M10" t="inlineStr">
        <is>
          <t>Instalasi Telekomunikasi</t>
        </is>
      </c>
      <c r="N10" t="inlineStr">
        <is>
          <t>Spesialis</t>
        </is>
      </c>
      <c r="O10" t="inlineStr">
        <is>
          <t>20230302</t>
        </is>
      </c>
      <c r="P10" t="inlineStr">
        <is>
          <t>DKI Jakarta</t>
        </is>
      </c>
      <c r="Q10" t="inlineStr"/>
    </row>
    <row r="11">
      <c r="A11" t="inlineStr">
        <is>
          <t>REDA JAYA UTAMA</t>
        </is>
      </c>
      <c r="B11" t="inlineStr">
        <is>
          <t>Kota Bekasi</t>
        </is>
      </c>
      <c r="C11" t="inlineStr">
        <is>
          <t>08129612870</t>
        </is>
      </c>
      <c r="D11" t="inlineStr">
        <is>
          <t>RedaJayaUtama@yahoo.com</t>
        </is>
      </c>
      <c r="E11" t="inlineStr">
        <is>
          <t>https://lpjk.pu.go.id/search-badan-usaha-detail/elFVWG1leGk3TlZEZjd4TlhVN1FUdz09</t>
        </is>
      </c>
      <c r="F11" t="n">
        <v>1</v>
      </c>
      <c r="G11" t="inlineStr">
        <is>
          <t>KK016</t>
        </is>
      </c>
      <c r="H11" t="inlineStr">
        <is>
          <t>5 Agustus 2006</t>
        </is>
      </c>
      <c r="I11" s="2" t="n">
        <v>46272</v>
      </c>
      <c r="J11" t="inlineStr">
        <is>
          <t>Disetujui</t>
        </is>
      </c>
      <c r="K11" t="n">
        <v>90</v>
      </c>
      <c r="L11" t="inlineStr">
        <is>
          <t>7 September 2026</t>
        </is>
      </c>
      <c r="M11" t="inlineStr">
        <is>
          <t>Pemasangan Kerangka Baja</t>
        </is>
      </c>
      <c r="N11" t="inlineStr">
        <is>
          <t>Spesialis</t>
        </is>
      </c>
      <c r="O11" t="inlineStr">
        <is>
          <t>20230907</t>
        </is>
      </c>
      <c r="P11" t="inlineStr">
        <is>
          <t>Jawa Barat</t>
        </is>
      </c>
      <c r="Q11" s="3">
        <f>HYPERLINK("https://wa.me/628129612870?text=Selamat siang Bapak/Ibu pimpinan REDA JAYA 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TATA GRAHA UTAMA</t>
        </is>
      </c>
      <c r="B12" t="inlineStr">
        <is>
          <t>Kota Bekasi</t>
        </is>
      </c>
      <c r="C12" t="inlineStr">
        <is>
          <t>02184999241</t>
        </is>
      </c>
      <c r="D12" t="inlineStr">
        <is>
          <t>tatagrahautama@gmail.com</t>
        </is>
      </c>
      <c r="E12" t="inlineStr">
        <is>
          <t>https://lpjk.pu.go.id/search-badan-usaha-detail/aVBuNzdiTExBMEZVZUFVVkdreXVmZz09</t>
        </is>
      </c>
      <c r="F12" t="n">
        <v>1</v>
      </c>
      <c r="G12" t="inlineStr">
        <is>
          <t>BS001</t>
        </is>
      </c>
      <c r="H12" t="inlineStr">
        <is>
          <t>3 Mei 2019</t>
        </is>
      </c>
      <c r="I12" s="2" t="n">
        <v>46272</v>
      </c>
      <c r="J12" t="inlineStr">
        <is>
          <t>Disetujui</t>
        </is>
      </c>
      <c r="K12" t="n">
        <v>90</v>
      </c>
      <c r="L12" t="inlineStr">
        <is>
          <t>7 September 2026</t>
        </is>
      </c>
      <c r="M12" t="inlineStr">
        <is>
          <t>Konstruksi Bangunan Sipil Jalan</t>
        </is>
      </c>
      <c r="N12" t="inlineStr">
        <is>
          <t>K</t>
        </is>
      </c>
      <c r="O12" t="inlineStr">
        <is>
          <t>20230831</t>
        </is>
      </c>
      <c r="P12" t="inlineStr">
        <is>
          <t>Jawa Barat</t>
        </is>
      </c>
      <c r="Q12" t="inlineStr"/>
    </row>
    <row r="13">
      <c r="A13" t="inlineStr">
        <is>
          <t>TRI ARKA BARA</t>
        </is>
      </c>
      <c r="B13" t="inlineStr">
        <is>
          <t>Kota Adm. Jakarta Timur</t>
        </is>
      </c>
      <c r="C13" t="inlineStr">
        <is>
          <t>02122487532</t>
        </is>
      </c>
      <c r="D13" t="inlineStr">
        <is>
          <t>baratriarka@gmail.com</t>
        </is>
      </c>
      <c r="E13" t="inlineStr">
        <is>
          <t>https://lpjk.pu.go.id/search-badan-usaha-detail/eVYxTE41TURFOEZVZ3Y3OWF0S1k4UT09</t>
        </is>
      </c>
      <c r="F13" t="n">
        <v>1</v>
      </c>
      <c r="G13" t="inlineStr">
        <is>
          <t>BG001</t>
        </is>
      </c>
      <c r="H13" t="inlineStr">
        <is>
          <t>17 Juli 2023</t>
        </is>
      </c>
      <c r="I13" s="2" t="n">
        <v>46272</v>
      </c>
      <c r="J13" t="inlineStr">
        <is>
          <t>Disetujui</t>
        </is>
      </c>
      <c r="K13" t="n">
        <v>90</v>
      </c>
      <c r="L13" t="inlineStr">
        <is>
          <t>7 September 2026</t>
        </is>
      </c>
      <c r="M13" t="inlineStr">
        <is>
          <t>Konstruksi Gedung Hunian</t>
        </is>
      </c>
      <c r="N13" t="inlineStr">
        <is>
          <t>K</t>
        </is>
      </c>
      <c r="O13" t="inlineStr">
        <is>
          <t>20230825</t>
        </is>
      </c>
      <c r="P13" t="inlineStr">
        <is>
          <t>DKI Jakarta</t>
        </is>
      </c>
      <c r="Q13" t="inlineStr"/>
    </row>
    <row r="14">
      <c r="A14" t="inlineStr">
        <is>
          <t>WISMA KARYA JAYA</t>
        </is>
      </c>
      <c r="B14" t="inlineStr">
        <is>
          <t>Kab. Bogor</t>
        </is>
      </c>
      <c r="C14" t="inlineStr">
        <is>
          <t>082123055804</t>
        </is>
      </c>
      <c r="D14" t="inlineStr">
        <is>
          <t>pt.wismakaryajaya@gmail.com</t>
        </is>
      </c>
      <c r="E14" t="inlineStr">
        <is>
          <t>https://lpjk.pu.go.id/search-badan-usaha-detail/UERxbStXcTc5Y1NyM2xVemovZWMxdz09</t>
        </is>
      </c>
      <c r="F14" t="n">
        <v>1</v>
      </c>
      <c r="G14" t="inlineStr">
        <is>
          <t>BS004</t>
        </is>
      </c>
      <c r="H14" t="inlineStr">
        <is>
          <t>27 Januari 2023</t>
        </is>
      </c>
      <c r="I14" s="2" t="n">
        <v>46272</v>
      </c>
      <c r="J14" t="inlineStr">
        <is>
          <t>Disetujui</t>
        </is>
      </c>
      <c r="K14" t="n">
        <v>90</v>
      </c>
      <c r="L14" t="inlineStr">
        <is>
          <t>7 September 2026</t>
        </is>
      </c>
      <c r="M14" t="inlineStr">
        <is>
          <t>Konstruksi Jaringan Irigasi dan Drainase</t>
        </is>
      </c>
      <c r="N14" t="inlineStr">
        <is>
          <t>K</t>
        </is>
      </c>
      <c r="O14" t="inlineStr">
        <is>
          <t>20230906</t>
        </is>
      </c>
      <c r="P14" t="inlineStr">
        <is>
          <t>Jawa Barat</t>
        </is>
      </c>
      <c r="Q14" s="3">
        <f>HYPERLINK("https://wa.me/6282123055804?text=Selamat siang Bapak/Ibu pimpinan WISMA KARYA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5">
      <c r="A15" t="inlineStr">
        <is>
          <t>ABIDIN JAYATAMA</t>
        </is>
      </c>
      <c r="B15" t="inlineStr">
        <is>
          <t>Kab. Karawang</t>
        </is>
      </c>
      <c r="C15" t="inlineStr">
        <is>
          <t>08111290029</t>
        </is>
      </c>
      <c r="D15" t="inlineStr">
        <is>
          <t>cvabidinjayatama@gmail.com</t>
        </is>
      </c>
      <c r="E15" t="inlineStr">
        <is>
          <t>https://lpjk.pu.go.id/search-badan-usaha-detail/K2szbEZwcUdoL0hsdGJsTTN0a3Y2UT09</t>
        </is>
      </c>
      <c r="F15" t="n">
        <v>1</v>
      </c>
      <c r="G15" t="inlineStr">
        <is>
          <t>BS001</t>
        </is>
      </c>
      <c r="H15" t="inlineStr">
        <is>
          <t>15 Januari 2009</t>
        </is>
      </c>
      <c r="I15" s="2" t="n">
        <v>46272</v>
      </c>
      <c r="J15" t="inlineStr">
        <is>
          <t>Disetujui</t>
        </is>
      </c>
      <c r="K15" t="n">
        <v>90</v>
      </c>
      <c r="L15" t="inlineStr">
        <is>
          <t>7 September 2026</t>
        </is>
      </c>
      <c r="M15" t="inlineStr">
        <is>
          <t>Konstruksi Bangunan Sipil Jalan</t>
        </is>
      </c>
      <c r="N15" t="inlineStr">
        <is>
          <t>K</t>
        </is>
      </c>
      <c r="O15" t="inlineStr">
        <is>
          <t>20230905</t>
        </is>
      </c>
      <c r="P15" t="inlineStr">
        <is>
          <t>Jawa Barat</t>
        </is>
      </c>
      <c r="Q15" t="inlineStr"/>
    </row>
    <row r="16">
      <c r="A16" t="inlineStr">
        <is>
          <t>ADE MITRA PRIMAH JAYA</t>
        </is>
      </c>
      <c r="B16" t="inlineStr">
        <is>
          <t>Kab. Pelalawan</t>
        </is>
      </c>
      <c r="C16" t="inlineStr">
        <is>
          <t>081363858101</t>
        </is>
      </c>
      <c r="D16" t="inlineStr">
        <is>
          <t>ptademitraprimahjaya@gmail.com</t>
        </is>
      </c>
      <c r="E16" t="inlineStr">
        <is>
          <t>https://lpjk.pu.go.id/search-badan-usaha-detail/YU9jVDRGaTR2eHFtcHZvdm9QTlU1Zz09</t>
        </is>
      </c>
      <c r="F16" t="n">
        <v>1</v>
      </c>
      <c r="G16" t="inlineStr">
        <is>
          <t>BS002</t>
        </is>
      </c>
      <c r="H16" t="inlineStr">
        <is>
          <t>9 Agustus 2021</t>
        </is>
      </c>
      <c r="I16" s="2" t="n">
        <v>46272</v>
      </c>
      <c r="J16" t="inlineStr">
        <is>
          <t>Pencabutan</t>
        </is>
      </c>
      <c r="K16" t="n">
        <v>90</v>
      </c>
      <c r="L16" t="inlineStr">
        <is>
          <t>7 September 2026</t>
        </is>
      </c>
      <c r="M16" t="inlineStr">
        <is>
          <t>Bangunan Sipil Jembatan, Jalan Layang, Fly Over, dan Underpass</t>
        </is>
      </c>
      <c r="N16" t="inlineStr">
        <is>
          <t>K</t>
        </is>
      </c>
      <c r="O16" t="inlineStr">
        <is>
          <t>20230901</t>
        </is>
      </c>
      <c r="P16" t="inlineStr">
        <is>
          <t>Riau</t>
        </is>
      </c>
      <c r="Q16" t="inlineStr"/>
    </row>
    <row r="17">
      <c r="A17" t="inlineStr">
        <is>
          <t>ADI JAYA SENTOSA</t>
        </is>
      </c>
      <c r="B17" t="inlineStr">
        <is>
          <t>Kota Adm. Jakarta Selatan</t>
        </is>
      </c>
      <c r="C17" t="inlineStr">
        <is>
          <t>081212300617</t>
        </is>
      </c>
      <c r="D17" t="inlineStr">
        <is>
          <t>adijayasentosa1@gmail.com</t>
        </is>
      </c>
      <c r="E17" t="inlineStr">
        <is>
          <t>https://lpjk.pu.go.id/search-badan-usaha-detail/S2ZDRFJoNjNIaDc5RE9Ia2pvYWRxQT09</t>
        </is>
      </c>
      <c r="F17" t="n">
        <v>2</v>
      </c>
      <c r="G17" t="inlineStr">
        <is>
          <t>BG002, BG004</t>
        </is>
      </c>
      <c r="H17" t="inlineStr">
        <is>
          <t>20 Juli 2023</t>
        </is>
      </c>
      <c r="I17" s="2" t="n">
        <v>46272</v>
      </c>
      <c r="J17" t="inlineStr">
        <is>
          <t>Disetujui</t>
        </is>
      </c>
      <c r="K17" t="n">
        <v>90</v>
      </c>
      <c r="L17" t="inlineStr">
        <is>
          <t>7 September 2026</t>
        </is>
      </c>
      <c r="M17" t="inlineStr">
        <is>
          <t>Konstruksi Gedung Perbelanjaan, Konstruksi Gedung Perkantoran</t>
        </is>
      </c>
      <c r="N17" t="inlineStr">
        <is>
          <t>K</t>
        </is>
      </c>
      <c r="O17" t="inlineStr">
        <is>
          <t>20230902</t>
        </is>
      </c>
      <c r="P17" t="inlineStr">
        <is>
          <t>DKI Jakarta</t>
        </is>
      </c>
      <c r="Q17" t="inlineStr"/>
    </row>
    <row r="18">
      <c r="A18" t="inlineStr">
        <is>
          <t>ADI YASA</t>
        </is>
      </c>
      <c r="B18" t="inlineStr">
        <is>
          <t>Kab. Buleleng</t>
        </is>
      </c>
      <c r="C18" t="inlineStr">
        <is>
          <t>081936489395</t>
        </is>
      </c>
      <c r="D18" t="inlineStr">
        <is>
          <t>cv_adiyasa@ymail.com</t>
        </is>
      </c>
      <c r="E18" t="inlineStr">
        <is>
          <t>https://lpjk.pu.go.id/search-badan-usaha-detail/dm5IZUNaZFpBSDRQTFk1dCtDeFRmUT09</t>
        </is>
      </c>
      <c r="F18" t="n">
        <v>1</v>
      </c>
      <c r="G18" t="inlineStr">
        <is>
          <t>BS001</t>
        </is>
      </c>
      <c r="H18" t="inlineStr">
        <is>
          <t>16 Juli 2004</t>
        </is>
      </c>
      <c r="I18" s="2" t="n">
        <v>46272</v>
      </c>
      <c r="J18" t="inlineStr">
        <is>
          <t>Disetujui</t>
        </is>
      </c>
      <c r="K18" t="n">
        <v>90</v>
      </c>
      <c r="L18" t="inlineStr">
        <is>
          <t>7 September 2026</t>
        </is>
      </c>
      <c r="M18" t="inlineStr">
        <is>
          <t>Konstruksi Bangunan Sipil Jalan</t>
        </is>
      </c>
      <c r="N18" t="inlineStr">
        <is>
          <t>K</t>
        </is>
      </c>
      <c r="O18" t="inlineStr">
        <is>
          <t>20230906</t>
        </is>
      </c>
      <c r="P18" t="inlineStr">
        <is>
          <t>Bali</t>
        </is>
      </c>
      <c r="Q18" t="inlineStr"/>
    </row>
    <row r="19">
      <c r="A19" t="inlineStr">
        <is>
          <t>AKSARA IKSAN PERKASA</t>
        </is>
      </c>
      <c r="B19" t="inlineStr">
        <is>
          <t>Kota Kendari</t>
        </is>
      </c>
      <c r="C19" t="inlineStr">
        <is>
          <t>081527833022</t>
        </is>
      </c>
      <c r="D19" t="inlineStr">
        <is>
          <t>cv.aksaraiksanperkasa@gmail.com</t>
        </is>
      </c>
      <c r="E19" t="inlineStr">
        <is>
          <t>https://lpjk.pu.go.id/search-badan-usaha-detail/T1hpN2hqdEFwSE1YUGxBV3ZXRUNFQT09</t>
        </is>
      </c>
      <c r="F19" t="n">
        <v>4</v>
      </c>
      <c r="G19" t="inlineStr">
        <is>
          <t>BG002, BG009</t>
        </is>
      </c>
      <c r="H19" t="inlineStr">
        <is>
          <t>15 Juni 2021</t>
        </is>
      </c>
      <c r="I19" s="2" t="n">
        <v>46272</v>
      </c>
      <c r="J19" t="inlineStr">
        <is>
          <t>Disetujui</t>
        </is>
      </c>
      <c r="K19" t="n">
        <v>90</v>
      </c>
      <c r="L19" t="inlineStr">
        <is>
          <t>7 September 2026</t>
        </is>
      </c>
      <c r="M19" t="inlineStr">
        <is>
          <t>Konstruksi Gedung Lainnya, Konstruksi Gedung Perkantoran</t>
        </is>
      </c>
      <c r="N19" t="inlineStr">
        <is>
          <t>K</t>
        </is>
      </c>
      <c r="O19" t="inlineStr">
        <is>
          <t>20230904</t>
        </is>
      </c>
      <c r="P19" t="inlineStr">
        <is>
          <t>Sulawesi Tenggara</t>
        </is>
      </c>
      <c r="Q19" t="inlineStr"/>
    </row>
    <row r="20">
      <c r="A20" t="inlineStr">
        <is>
          <t>AKTIVA LINTAS BUANA</t>
        </is>
      </c>
      <c r="B20" t="inlineStr">
        <is>
          <t>Kota Bandung</t>
        </is>
      </c>
      <c r="C20" t="inlineStr">
        <is>
          <t>022</t>
        </is>
      </c>
      <c r="D20" t="inlineStr">
        <is>
          <t>ptalb181@gmail.com</t>
        </is>
      </c>
      <c r="E20" t="inlineStr">
        <is>
          <t>https://lpjk.pu.go.id/search-badan-usaha-detail/ajRYRTRFOXhNQUE5SDFhY2RvdFg1dz09</t>
        </is>
      </c>
      <c r="F20" t="n">
        <v>2</v>
      </c>
      <c r="G20" t="inlineStr">
        <is>
          <t>BG004, BG009</t>
        </is>
      </c>
      <c r="H20" t="inlineStr">
        <is>
          <t>27 Maret 2009</t>
        </is>
      </c>
      <c r="I20" s="2" t="n">
        <v>46272</v>
      </c>
      <c r="J20" t="inlineStr">
        <is>
          <t>Disetujui</t>
        </is>
      </c>
      <c r="K20" t="n">
        <v>90</v>
      </c>
      <c r="L20" t="inlineStr">
        <is>
          <t>7 September 2026</t>
        </is>
      </c>
      <c r="M20" t="inlineStr">
        <is>
          <t>Konstruksi Gedung Lainnya, Konstruksi Gedung Perbelanjaan</t>
        </is>
      </c>
      <c r="N20" t="inlineStr">
        <is>
          <t>K</t>
        </is>
      </c>
      <c r="O20" t="inlineStr">
        <is>
          <t>20230904</t>
        </is>
      </c>
      <c r="P20" t="inlineStr">
        <is>
          <t>Jawa Barat</t>
        </is>
      </c>
      <c r="Q20" t="inlineStr"/>
    </row>
    <row r="21">
      <c r="A21" t="inlineStr">
        <is>
          <t>ALBYTAMA BANGUN NUSA</t>
        </is>
      </c>
      <c r="B21" t="inlineStr">
        <is>
          <t>Kota Pekalongan</t>
        </is>
      </c>
      <c r="C21" t="inlineStr">
        <is>
          <t>081775012496</t>
        </is>
      </c>
      <c r="D21" t="inlineStr">
        <is>
          <t>pt.albytama@gmail.com</t>
        </is>
      </c>
      <c r="E21" t="inlineStr">
        <is>
          <t>https://lpjk.pu.go.id/search-badan-usaha-detail/MTdjSTlJeG1nRVFrZHpmL2VrSWNEdz09</t>
        </is>
      </c>
      <c r="F21" t="n">
        <v>2</v>
      </c>
      <c r="G21" t="inlineStr">
        <is>
          <t>BG005, BG008</t>
        </is>
      </c>
      <c r="H21" t="inlineStr">
        <is>
          <t>6 Agustus 2022</t>
        </is>
      </c>
      <c r="I21" s="2" t="n">
        <v>46272</v>
      </c>
      <c r="J21" t="inlineStr">
        <is>
          <t>Disetujui</t>
        </is>
      </c>
      <c r="K21" t="n">
        <v>90</v>
      </c>
      <c r="L21" t="inlineStr">
        <is>
          <t>7 September 2026</t>
        </is>
      </c>
      <c r="M21" t="inlineStr">
        <is>
          <t>Konstruksi Gedung Kesehatan, Konstruksi Gedung Tempat Hiburan dan Olahraga</t>
        </is>
      </c>
      <c r="N21" t="inlineStr">
        <is>
          <t>K</t>
        </is>
      </c>
      <c r="O21" t="inlineStr">
        <is>
          <t>20230905</t>
        </is>
      </c>
      <c r="P21" t="inlineStr">
        <is>
          <t>Jawa Tengah</t>
        </is>
      </c>
      <c r="Q21" t="inlineStr"/>
    </row>
    <row r="22">
      <c r="A22" t="inlineStr">
        <is>
          <t>ANDI BERSAUDARA</t>
        </is>
      </c>
      <c r="B22" t="inlineStr">
        <is>
          <t>Kab. Serdang Bedagai</t>
        </is>
      </c>
      <c r="C22" t="inlineStr">
        <is>
          <t>081370989396</t>
        </is>
      </c>
      <c r="D22" t="inlineStr">
        <is>
          <t>cvandibersaudara@gmail.com</t>
        </is>
      </c>
      <c r="E22" t="inlineStr">
        <is>
          <t>https://lpjk.pu.go.id/search-badan-usaha-detail/aSszSU5MenBKWTFjOUd3Q09iQmViQT09</t>
        </is>
      </c>
      <c r="F22" t="n">
        <v>1</v>
      </c>
      <c r="G22" t="inlineStr">
        <is>
          <t>BS001</t>
        </is>
      </c>
      <c r="H22" t="inlineStr">
        <is>
          <t>27 Agustus 2019</t>
        </is>
      </c>
      <c r="I22" s="2" t="n">
        <v>46272</v>
      </c>
      <c r="J22" t="inlineStr">
        <is>
          <t>Pencabutan</t>
        </is>
      </c>
      <c r="K22" t="n">
        <v>90</v>
      </c>
      <c r="L22" t="inlineStr">
        <is>
          <t>7 September 2026</t>
        </is>
      </c>
      <c r="M22" t="inlineStr">
        <is>
          <t>Konstruksi Bangunan Sipil Jalan</t>
        </is>
      </c>
      <c r="N22" t="inlineStr">
        <is>
          <t>K</t>
        </is>
      </c>
      <c r="O22" t="inlineStr">
        <is>
          <t>20230824</t>
        </is>
      </c>
      <c r="P22" t="inlineStr">
        <is>
          <t>Sumatera Utara</t>
        </is>
      </c>
      <c r="Q22" t="inlineStr"/>
    </row>
    <row r="23">
      <c r="A23" t="inlineStr">
        <is>
          <t>ANGGER BARITO SEJAHTERA</t>
        </is>
      </c>
      <c r="B23" t="inlineStr">
        <is>
          <t>Kab. Barito Kuala</t>
        </is>
      </c>
      <c r="C23" t="inlineStr">
        <is>
          <t>081254334335</t>
        </is>
      </c>
      <c r="D23" t="inlineStr">
        <is>
          <t>anggerbaritosejahtera@gmail.com</t>
        </is>
      </c>
      <c r="E23" t="inlineStr">
        <is>
          <t>https://lpjk.pu.go.id/search-badan-usaha-detail/aysyNHNld3luakg2dDZjN0FrY28yQT09</t>
        </is>
      </c>
      <c r="F23" t="n">
        <v>6</v>
      </c>
      <c r="G23" t="inlineStr">
        <is>
          <t>BG001, BG003, BG006, BS002, BS004</t>
        </is>
      </c>
      <c r="H23" t="inlineStr">
        <is>
          <t>4 April 2001</t>
        </is>
      </c>
      <c r="I23" s="2" t="n">
        <v>46272</v>
      </c>
      <c r="J23" t="inlineStr">
        <is>
          <t>Disetujui</t>
        </is>
      </c>
      <c r="K23" t="n">
        <v>90</v>
      </c>
      <c r="L23" t="inlineStr">
        <is>
          <t>7 September 2026</t>
        </is>
      </c>
      <c r="M23" t="inlineStr">
        <is>
          <t>Bangunan Sipil Jembatan, Jalan Layang, Fly Over, dan Underpass, Konstruksi Gedung Hunian, Konstruksi Gedung Industri, Konstruksi Gedung Pendidikan, Konstruksi Jaringan Irigasi dan Drainase</t>
        </is>
      </c>
      <c r="N23" t="inlineStr">
        <is>
          <t>K</t>
        </is>
      </c>
      <c r="O23" t="inlineStr">
        <is>
          <t>20230313, 20230906</t>
        </is>
      </c>
      <c r="P23" t="inlineStr">
        <is>
          <t>Kalimantan Selatan</t>
        </is>
      </c>
      <c r="Q23" t="inlineStr"/>
    </row>
    <row r="24">
      <c r="A24" t="inlineStr">
        <is>
          <t>ANGKASA KARYA</t>
        </is>
      </c>
      <c r="B24" t="inlineStr">
        <is>
          <t>Kota Jayapura</t>
        </is>
      </c>
      <c r="C24" t="inlineStr">
        <is>
          <t>085244617184</t>
        </is>
      </c>
      <c r="D24" t="inlineStr">
        <is>
          <t>angkasakarya18@gmail.com</t>
        </is>
      </c>
      <c r="E24" t="inlineStr">
        <is>
          <t>https://lpjk.pu.go.id/search-badan-usaha-detail/cGllYUx3dEpsRWx5VmxDZFc4dXRaQT09</t>
        </is>
      </c>
      <c r="F24" t="n">
        <v>4</v>
      </c>
      <c r="G24" t="inlineStr">
        <is>
          <t>BG007, BS005</t>
        </is>
      </c>
      <c r="H24" t="inlineStr">
        <is>
          <t>7 September 2015</t>
        </is>
      </c>
      <c r="I24" s="2" t="n">
        <v>46272</v>
      </c>
      <c r="J24" t="inlineStr">
        <is>
          <t>Disetujui</t>
        </is>
      </c>
      <c r="K24" t="n">
        <v>90</v>
      </c>
      <c r="L24" t="inlineStr">
        <is>
          <t>7 September 2026</t>
        </is>
      </c>
      <c r="M24" t="inlineStr">
        <is>
          <t>Konstruksi Bangunan Sipil Pengolahan Air Bersih, Konstruksi Gedung Penginapan</t>
        </is>
      </c>
      <c r="N24" t="inlineStr">
        <is>
          <t>K</t>
        </is>
      </c>
      <c r="O24" t="inlineStr">
        <is>
          <t>20230905, 20230906</t>
        </is>
      </c>
      <c r="P24" t="inlineStr">
        <is>
          <t>Papua</t>
        </is>
      </c>
      <c r="Q24" t="inlineStr"/>
    </row>
    <row r="25">
      <c r="A25" t="inlineStr">
        <is>
          <t>ANUGERAH ALAM KONSTRUKSI</t>
        </is>
      </c>
      <c r="B25" t="inlineStr">
        <is>
          <t>Kota Palembang</t>
        </is>
      </c>
      <c r="C25" t="inlineStr">
        <is>
          <t>082180002248</t>
        </is>
      </c>
      <c r="D25" t="inlineStr">
        <is>
          <t>anugerahalamkonstruksi@gmail.com</t>
        </is>
      </c>
      <c r="E25" t="inlineStr">
        <is>
          <t>https://lpjk.pu.go.id/search-badan-usaha-detail/RWhXRkVwYWdMNTlTLzZHTmsrbFVOUT09</t>
        </is>
      </c>
      <c r="F25" t="n">
        <v>1</v>
      </c>
      <c r="G25" t="inlineStr">
        <is>
          <t>BS001</t>
        </is>
      </c>
      <c r="H25" t="inlineStr">
        <is>
          <t>9 Agustus 2023</t>
        </is>
      </c>
      <c r="I25" s="2" t="n">
        <v>46272</v>
      </c>
      <c r="J25" t="inlineStr">
        <is>
          <t>Disetujui</t>
        </is>
      </c>
      <c r="K25" t="n">
        <v>90</v>
      </c>
      <c r="L25" t="inlineStr">
        <is>
          <t>7 September 2026</t>
        </is>
      </c>
      <c r="M25" t="inlineStr">
        <is>
          <t>Konstruksi Bangunan Sipil Jalan</t>
        </is>
      </c>
      <c r="N25" t="inlineStr">
        <is>
          <t>K</t>
        </is>
      </c>
      <c r="O25" t="inlineStr">
        <is>
          <t>20230821</t>
        </is>
      </c>
      <c r="P25" t="inlineStr">
        <is>
          <t>Sumatera Selatan</t>
        </is>
      </c>
      <c r="Q25" t="inlineStr"/>
    </row>
    <row r="26">
      <c r="A26" t="inlineStr">
        <is>
          <t>ANUGERAH GEMILANG</t>
        </is>
      </c>
      <c r="B26" t="inlineStr">
        <is>
          <t>Kota Padang Sidempuan</t>
        </is>
      </c>
      <c r="C26" t="inlineStr">
        <is>
          <t>081269698383</t>
        </is>
      </c>
      <c r="D26" t="inlineStr">
        <is>
          <t>cvanugrahgemilang92@gmail.com</t>
        </is>
      </c>
      <c r="E26" t="inlineStr">
        <is>
          <t>https://lpjk.pu.go.id/search-badan-usaha-detail/R3RGeTlyTXhQK3FQSTNidm1SVkFhZz09</t>
        </is>
      </c>
      <c r="F26" t="n">
        <v>1</v>
      </c>
      <c r="G26" t="inlineStr">
        <is>
          <t>BG009</t>
        </is>
      </c>
      <c r="H26" t="inlineStr">
        <is>
          <t>10 Oktober 2017</t>
        </is>
      </c>
      <c r="I26" s="2" t="n">
        <v>46272</v>
      </c>
      <c r="J26" t="inlineStr">
        <is>
          <t>Disetujui</t>
        </is>
      </c>
      <c r="K26" t="n">
        <v>90</v>
      </c>
      <c r="L26" t="inlineStr">
        <is>
          <t>7 September 2026</t>
        </is>
      </c>
      <c r="M26" t="inlineStr">
        <is>
          <t>Konstruksi Gedung Lainnya</t>
        </is>
      </c>
      <c r="N26" t="inlineStr">
        <is>
          <t>K</t>
        </is>
      </c>
      <c r="O26" t="inlineStr">
        <is>
          <t>20230901</t>
        </is>
      </c>
      <c r="P26" t="inlineStr">
        <is>
          <t>Sumatera Utara</t>
        </is>
      </c>
      <c r="Q26" t="inlineStr"/>
    </row>
    <row r="27">
      <c r="A27" t="inlineStr">
        <is>
          <t>ANUGERAH LARAS KONSTRUKSI</t>
        </is>
      </c>
      <c r="B27" t="inlineStr">
        <is>
          <t>Kota Denpasar</t>
        </is>
      </c>
      <c r="C27" t="inlineStr">
        <is>
          <t>081273113500</t>
        </is>
      </c>
      <c r="D27" t="inlineStr">
        <is>
          <t>anita_tata17@yahoo.com</t>
        </is>
      </c>
      <c r="E27" t="inlineStr">
        <is>
          <t>https://lpjk.pu.go.id/search-badan-usaha-detail/dnllWFNlY0NUWDZpVjFzZlFlaENGZz09</t>
        </is>
      </c>
      <c r="F27" t="n">
        <v>1</v>
      </c>
      <c r="G27" t="inlineStr">
        <is>
          <t>BG001</t>
        </is>
      </c>
      <c r="H27" t="inlineStr">
        <is>
          <t>27 Juni 2015</t>
        </is>
      </c>
      <c r="I27" s="2" t="n">
        <v>46272</v>
      </c>
      <c r="J27" t="inlineStr">
        <is>
          <t>Disetujui</t>
        </is>
      </c>
      <c r="K27" t="n">
        <v>90</v>
      </c>
      <c r="L27" t="inlineStr">
        <is>
          <t>7 September 2026</t>
        </is>
      </c>
      <c r="M27" t="inlineStr">
        <is>
          <t>Konstruksi Gedung Hunian</t>
        </is>
      </c>
      <c r="N27" t="inlineStr">
        <is>
          <t>M</t>
        </is>
      </c>
      <c r="O27" t="inlineStr">
        <is>
          <t>20230511</t>
        </is>
      </c>
      <c r="P27" t="inlineStr">
        <is>
          <t>Bali</t>
        </is>
      </c>
      <c r="Q27" t="inlineStr"/>
    </row>
    <row r="28">
      <c r="A28" t="inlineStr">
        <is>
          <t>ARA PEUSAJA</t>
        </is>
      </c>
      <c r="B28" t="inlineStr">
        <is>
          <t>Kab. Nagan Raya</t>
        </is>
      </c>
      <c r="C28" t="inlineStr">
        <is>
          <t>081360774394</t>
        </is>
      </c>
      <c r="D28" t="inlineStr">
        <is>
          <t>marzukiarapeusaja@gmail.com</t>
        </is>
      </c>
      <c r="E28" t="inlineStr">
        <is>
          <t>https://lpjk.pu.go.id/search-badan-usaha-detail/eEkvSkYzMW5uU3RtM3hQdExvYS9ZZz09</t>
        </is>
      </c>
      <c r="F28" t="n">
        <v>2</v>
      </c>
      <c r="G28" t="inlineStr">
        <is>
          <t>BG005, BG006</t>
        </is>
      </c>
      <c r="H28" t="inlineStr">
        <is>
          <t>30 November 2006</t>
        </is>
      </c>
      <c r="I28" s="2" t="n">
        <v>46272</v>
      </c>
      <c r="J28" t="inlineStr">
        <is>
          <t>Pencabutan</t>
        </is>
      </c>
      <c r="K28" t="n">
        <v>90</v>
      </c>
      <c r="L28" t="inlineStr">
        <is>
          <t>7 September 2026</t>
        </is>
      </c>
      <c r="M28" t="inlineStr">
        <is>
          <t>Konstruksi Gedung Kesehatan, Konstruksi Gedung Pendidikan</t>
        </is>
      </c>
      <c r="N28" t="inlineStr">
        <is>
          <t>K</t>
        </is>
      </c>
      <c r="O28" t="inlineStr">
        <is>
          <t>20230907</t>
        </is>
      </c>
      <c r="P28" t="inlineStr">
        <is>
          <t>Aceh</t>
        </is>
      </c>
      <c r="Q28" t="inlineStr"/>
    </row>
    <row r="29">
      <c r="A29" t="inlineStr">
        <is>
          <t>ARIA JAYA RAYA</t>
        </is>
      </c>
      <c r="B29" t="inlineStr">
        <is>
          <t>Kab. Lombok Barat</t>
        </is>
      </c>
      <c r="C29" t="inlineStr">
        <is>
          <t>085237354982</t>
        </is>
      </c>
      <c r="D29" t="inlineStr">
        <is>
          <t>ajr.ariajayaraya@gmail.com</t>
        </is>
      </c>
      <c r="E29" t="inlineStr">
        <is>
          <t>https://lpjk.pu.go.id/search-badan-usaha-detail/eHl3VGJ3OW1qcVhCVFpCcjVRUExVUT09</t>
        </is>
      </c>
      <c r="F29" t="n">
        <v>1</v>
      </c>
      <c r="G29" t="inlineStr">
        <is>
          <t>BG004</t>
        </is>
      </c>
      <c r="H29" t="inlineStr">
        <is>
          <t>23 Maret 1983</t>
        </is>
      </c>
      <c r="I29" s="2" t="n">
        <v>46272</v>
      </c>
      <c r="J29" t="inlineStr">
        <is>
          <t>Disetujui</t>
        </is>
      </c>
      <c r="K29" t="n">
        <v>90</v>
      </c>
      <c r="L29" t="inlineStr">
        <is>
          <t>7 September 2026</t>
        </is>
      </c>
      <c r="M29" t="inlineStr">
        <is>
          <t>Konstruksi Gedung Perbelanjaan</t>
        </is>
      </c>
      <c r="N29" t="inlineStr">
        <is>
          <t>M</t>
        </is>
      </c>
      <c r="O29" t="inlineStr">
        <is>
          <t>20230824</t>
        </is>
      </c>
      <c r="P29" t="inlineStr">
        <is>
          <t>Nusa Tenggara Barat</t>
        </is>
      </c>
      <c r="Q29" t="inlineStr"/>
    </row>
    <row r="30">
      <c r="A30" t="inlineStr">
        <is>
          <t>ARKATAMA PUTRA</t>
        </is>
      </c>
      <c r="B30" t="inlineStr">
        <is>
          <t>Kab. Jember</t>
        </is>
      </c>
      <c r="C30" t="inlineStr">
        <is>
          <t>085236370640</t>
        </is>
      </c>
      <c r="D30" t="inlineStr">
        <is>
          <t>cv.arkatamaputra@gmail.com</t>
        </is>
      </c>
      <c r="E30" t="inlineStr">
        <is>
          <t>https://lpjk.pu.go.id/search-badan-usaha-detail/RG12RFFMZXR1N055K1R6OFZWQ29keWY2aXRzUU9YdWd4Q3NzdnRIdklIWT0</t>
        </is>
      </c>
      <c r="F30" t="n">
        <v>3</v>
      </c>
      <c r="G30" t="inlineStr">
        <is>
          <t>BS004</t>
        </is>
      </c>
      <c r="H30" t="inlineStr">
        <is>
          <t>25 Maret 2026</t>
        </is>
      </c>
      <c r="I30" s="2" t="n">
        <v>46272</v>
      </c>
      <c r="J30" t="inlineStr">
        <is>
          <t>Disetujui</t>
        </is>
      </c>
      <c r="K30" t="n">
        <v>90</v>
      </c>
      <c r="L30" t="inlineStr">
        <is>
          <t>7 September 2026</t>
        </is>
      </c>
      <c r="M30" t="inlineStr">
        <is>
          <t>Konstruksi Jaringan Irigasi dan Drainase</t>
        </is>
      </c>
      <c r="N30" t="inlineStr">
        <is>
          <t>K</t>
        </is>
      </c>
      <c r="O30" t="inlineStr">
        <is>
          <t>20230905</t>
        </is>
      </c>
      <c r="P30" t="inlineStr">
        <is>
          <t>Jawa Timur</t>
        </is>
      </c>
      <c r="Q30" t="inlineStr"/>
    </row>
    <row r="31">
      <c r="A31" t="inlineStr">
        <is>
          <t>ARTA BINTAN JAYA</t>
        </is>
      </c>
      <c r="B31" t="inlineStr">
        <is>
          <t>Kota Tanjung Pinang</t>
        </is>
      </c>
      <c r="C31" t="inlineStr">
        <is>
          <t>081364700808</t>
        </is>
      </c>
      <c r="D31" t="inlineStr">
        <is>
          <t>cv.artasederhana01@gmail.com</t>
        </is>
      </c>
      <c r="E31" t="inlineStr">
        <is>
          <t>https://lpjk.pu.go.id/search-badan-usaha-detail/OG9tMGpacTNVTUVQWjhoM2NlVXVnQT09</t>
        </is>
      </c>
      <c r="F31" t="n">
        <v>1</v>
      </c>
      <c r="G31" t="inlineStr">
        <is>
          <t>BS002</t>
        </is>
      </c>
      <c r="H31" t="inlineStr">
        <is>
          <t>9 Juni 2023</t>
        </is>
      </c>
      <c r="I31" s="2" t="n">
        <v>46272</v>
      </c>
      <c r="J31" t="inlineStr">
        <is>
          <t>Pencabutan</t>
        </is>
      </c>
      <c r="K31" t="n">
        <v>90</v>
      </c>
      <c r="L31" t="inlineStr">
        <is>
          <t>7 September 2026</t>
        </is>
      </c>
      <c r="M31" t="inlineStr">
        <is>
          <t>Bangunan Sipil Jembatan, Jalan Layang, Fly Over, dan Underpass</t>
        </is>
      </c>
      <c r="N31" t="inlineStr">
        <is>
          <t>K</t>
        </is>
      </c>
      <c r="O31" t="inlineStr">
        <is>
          <t>20230906</t>
        </is>
      </c>
      <c r="P31" t="inlineStr">
        <is>
          <t>Kepulauan Riau</t>
        </is>
      </c>
      <c r="Q31" t="inlineStr"/>
    </row>
    <row r="32">
      <c r="A32" t="inlineStr">
        <is>
          <t>ARTHA BERSAMA KREASINDO</t>
        </is>
      </c>
      <c r="B32" t="inlineStr">
        <is>
          <t>Kota Adm. Jakarta Pusat</t>
        </is>
      </c>
      <c r="C32" t="inlineStr">
        <is>
          <t>081297863330</t>
        </is>
      </c>
      <c r="D32" t="inlineStr">
        <is>
          <t>arthabersamakreasindo@gmail.com</t>
        </is>
      </c>
      <c r="E32" t="inlineStr">
        <is>
          <t>https://lpjk.pu.go.id/search-badan-usaha-detail/aUdlOHFycm9mSFBjZnpYOG1OTjFFUT09</t>
        </is>
      </c>
      <c r="F32" t="n">
        <v>1</v>
      </c>
      <c r="G32" t="inlineStr">
        <is>
          <t>BG009</t>
        </is>
      </c>
      <c r="H32" t="inlineStr">
        <is>
          <t>25 Agustus 2023</t>
        </is>
      </c>
      <c r="I32" s="2" t="n">
        <v>46272</v>
      </c>
      <c r="J32" t="inlineStr">
        <is>
          <t>Pencabutan</t>
        </is>
      </c>
      <c r="K32" t="n">
        <v>90</v>
      </c>
      <c r="L32" t="inlineStr">
        <is>
          <t>7 September 2026</t>
        </is>
      </c>
      <c r="M32" t="inlineStr">
        <is>
          <t>Konstruksi Gedung Lainnya</t>
        </is>
      </c>
      <c r="N32" t="inlineStr">
        <is>
          <t>K</t>
        </is>
      </c>
      <c r="O32" t="inlineStr">
        <is>
          <t>20230907</t>
        </is>
      </c>
      <c r="P32" t="inlineStr">
        <is>
          <t>DKI Jakarta</t>
        </is>
      </c>
      <c r="Q32" t="inlineStr"/>
    </row>
    <row r="33">
      <c r="A33" t="inlineStr">
        <is>
          <t>ASTA REKAYASA UNGGUL</t>
        </is>
      </c>
      <c r="B33" t="inlineStr">
        <is>
          <t>Kab. Kutai Kartanegara</t>
        </is>
      </c>
      <c r="C33" t="inlineStr">
        <is>
          <t>05417894513</t>
        </is>
      </c>
      <c r="D33" t="inlineStr">
        <is>
          <t>marketing@arung.co.id</t>
        </is>
      </c>
      <c r="E33" t="inlineStr">
        <is>
          <t>https://lpjk.pu.go.id/search-badan-usaha-detail/ZFZYMk1WUFl5a0w0S3pMcHhNaGUwdz09</t>
        </is>
      </c>
      <c r="F33" t="n">
        <v>1</v>
      </c>
      <c r="G33" t="inlineStr">
        <is>
          <t>BS013</t>
        </is>
      </c>
      <c r="H33" t="inlineStr">
        <is>
          <t>14 Januari 2008</t>
        </is>
      </c>
      <c r="I33" s="2" t="n">
        <v>46272</v>
      </c>
      <c r="J33" t="inlineStr">
        <is>
          <t>Disetujui</t>
        </is>
      </c>
      <c r="K33" t="n">
        <v>90</v>
      </c>
      <c r="L33" t="inlineStr">
        <is>
          <t>7 September 2026</t>
        </is>
      </c>
      <c r="M33" t="inlineStr">
        <is>
          <t>Konstruksi Bangunan Sipil Minyak dan Gas Bumi</t>
        </is>
      </c>
      <c r="N33" t="inlineStr">
        <is>
          <t>B</t>
        </is>
      </c>
      <c r="O33" t="inlineStr">
        <is>
          <t>20230831</t>
        </is>
      </c>
      <c r="P33" t="inlineStr">
        <is>
          <t>Kalimantan Timur</t>
        </is>
      </c>
      <c r="Q33" t="inlineStr"/>
    </row>
    <row r="34">
      <c r="A34" t="inlineStr">
        <is>
          <t>BAGOLO RAYA UTAMA</t>
        </is>
      </c>
      <c r="B34" t="inlineStr">
        <is>
          <t>Kab. Pangandaran</t>
        </is>
      </c>
      <c r="C34" t="inlineStr">
        <is>
          <t>08122434712</t>
        </is>
      </c>
      <c r="D34" t="inlineStr">
        <is>
          <t>cv.bagolorayautama77@gmail.com</t>
        </is>
      </c>
      <c r="E34" t="inlineStr">
        <is>
          <t>https://lpjk.pu.go.id/search-badan-usaha-detail/QmR2UjMweS9HSndLd0orbzVOL2FZQT09</t>
        </is>
      </c>
      <c r="F34" t="n">
        <v>1</v>
      </c>
      <c r="G34" t="inlineStr">
        <is>
          <t>BG006</t>
        </is>
      </c>
      <c r="H34" t="inlineStr">
        <is>
          <t>1 November 2010</t>
        </is>
      </c>
      <c r="I34" s="2" t="n">
        <v>46272</v>
      </c>
      <c r="J34" t="inlineStr">
        <is>
          <t>Disetujui</t>
        </is>
      </c>
      <c r="K34" t="n">
        <v>90</v>
      </c>
      <c r="L34" t="inlineStr">
        <is>
          <t>7 September 2026</t>
        </is>
      </c>
      <c r="M34" t="inlineStr">
        <is>
          <t>Konstruksi Gedung Pendidikan</t>
        </is>
      </c>
      <c r="N34" t="inlineStr">
        <is>
          <t>K</t>
        </is>
      </c>
      <c r="O34" t="inlineStr">
        <is>
          <t>20230829</t>
        </is>
      </c>
      <c r="P34" t="inlineStr">
        <is>
          <t>Jawa Barat</t>
        </is>
      </c>
      <c r="Q34" t="inlineStr"/>
    </row>
    <row r="35">
      <c r="A35" t="inlineStr">
        <is>
          <t>BANDUNG PILAR KONTRUKSINDO</t>
        </is>
      </c>
      <c r="B35" t="inlineStr">
        <is>
          <t>Kota Cimahi</t>
        </is>
      </c>
      <c r="C35" t="inlineStr">
        <is>
          <t>081320935494</t>
        </is>
      </c>
      <c r="D35" t="inlineStr">
        <is>
          <t>pt.bapikon@gmail.com</t>
        </is>
      </c>
      <c r="E35" t="inlineStr">
        <is>
          <t>https://lpjk.pu.go.id/search-badan-usaha-detail/eVY4SGJDTW5UeklUMjUrREducjYwQT09</t>
        </is>
      </c>
      <c r="F35" t="n">
        <v>1</v>
      </c>
      <c r="G35" t="inlineStr">
        <is>
          <t>BG005</t>
        </is>
      </c>
      <c r="H35" t="inlineStr">
        <is>
          <t>4 Januari 2018</t>
        </is>
      </c>
      <c r="I35" s="2" t="n">
        <v>46272</v>
      </c>
      <c r="J35" t="inlineStr">
        <is>
          <t>Pencabutan</t>
        </is>
      </c>
      <c r="K35" t="n">
        <v>90</v>
      </c>
      <c r="L35" t="inlineStr">
        <is>
          <t>7 September 2026</t>
        </is>
      </c>
      <c r="M35" t="inlineStr">
        <is>
          <t>Konstruksi Gedung Kesehatan</t>
        </is>
      </c>
      <c r="N35" t="inlineStr">
        <is>
          <t>K</t>
        </is>
      </c>
      <c r="O35" t="inlineStr">
        <is>
          <t>20230907</t>
        </is>
      </c>
      <c r="P35" t="inlineStr">
        <is>
          <t>Jawa Barat</t>
        </is>
      </c>
      <c r="Q35" t="inlineStr"/>
    </row>
    <row r="36">
      <c r="A36" t="inlineStr">
        <is>
          <t>BANGUN MANDIRI</t>
        </is>
      </c>
      <c r="B36" t="inlineStr">
        <is>
          <t>Kab. Bangka Tengah</t>
        </is>
      </c>
      <c r="C36" t="inlineStr">
        <is>
          <t>081273256165</t>
        </is>
      </c>
      <c r="D36" t="inlineStr">
        <is>
          <t>bangunmandiri2011@gmail.com</t>
        </is>
      </c>
      <c r="E36" t="inlineStr">
        <is>
          <t>https://lpjk.pu.go.id/search-badan-usaha-detail/amNMZGVGckVpdXNDaW1PZ2FtVEN4dz09</t>
        </is>
      </c>
      <c r="F36" t="n">
        <v>6</v>
      </c>
      <c r="G36" t="inlineStr">
        <is>
          <t>BG002, BG005, BG006, BS001, BS004</t>
        </is>
      </c>
      <c r="H36" t="inlineStr">
        <is>
          <t>17 Agustus 2011</t>
        </is>
      </c>
      <c r="I36" s="2" t="n">
        <v>46272</v>
      </c>
      <c r="J36" t="inlineStr">
        <is>
          <t>Disetujui</t>
        </is>
      </c>
      <c r="K36" t="n">
        <v>90</v>
      </c>
      <c r="L36" t="inlineStr">
        <is>
          <t>7 September 2026</t>
        </is>
      </c>
      <c r="M36" t="inlineStr">
        <is>
          <t>Konstruksi Bangunan Sipil Jalan, Konstruksi Gedung Kesehatan, Konstruksi Gedung Pendidikan, Konstruksi Gedung Perkantoran, Konstruksi Jaringan Irigasi dan Drainase</t>
        </is>
      </c>
      <c r="N36" t="inlineStr">
        <is>
          <t>K</t>
        </is>
      </c>
      <c r="O36" t="inlineStr">
        <is>
          <t>20230907</t>
        </is>
      </c>
      <c r="P36" t="inlineStr">
        <is>
          <t>Kepulauan Bangka Belitung</t>
        </is>
      </c>
      <c r="Q36" t="inlineStr"/>
    </row>
    <row r="37">
      <c r="A37" t="inlineStr">
        <is>
          <t>BERKAH ETAM SEJAHTERA</t>
        </is>
      </c>
      <c r="B37" t="inlineStr">
        <is>
          <t>Kab. Kutai Timur</t>
        </is>
      </c>
      <c r="C37" t="inlineStr">
        <is>
          <t>081254620329</t>
        </is>
      </c>
      <c r="D37" t="inlineStr">
        <is>
          <t>cv.berkahetamsejahtera@gmail.com</t>
        </is>
      </c>
      <c r="E37" t="inlineStr">
        <is>
          <t>https://lpjk.pu.go.id/search-badan-usaha-detail/NlAyZmFxV0E3YXBrRDFMQmJOeDV6Zz09</t>
        </is>
      </c>
      <c r="F37" t="n">
        <v>2</v>
      </c>
      <c r="G37" t="inlineStr">
        <is>
          <t>BG002</t>
        </is>
      </c>
      <c r="H37" t="inlineStr">
        <is>
          <t>23 Agustus 2023</t>
        </is>
      </c>
      <c r="I37" s="2" t="n">
        <v>46272</v>
      </c>
      <c r="J37" t="inlineStr">
        <is>
          <t>Disetujui</t>
        </is>
      </c>
      <c r="K37" t="n">
        <v>90</v>
      </c>
      <c r="L37" t="inlineStr">
        <is>
          <t>7 September 2026</t>
        </is>
      </c>
      <c r="M37" t="inlineStr">
        <is>
          <t>Konstruksi Gedung Perkantoran</t>
        </is>
      </c>
      <c r="N37" t="inlineStr">
        <is>
          <t>K</t>
        </is>
      </c>
      <c r="O37" t="inlineStr">
        <is>
          <t>20230905</t>
        </is>
      </c>
      <c r="P37" t="inlineStr">
        <is>
          <t>Kalimantan Timur</t>
        </is>
      </c>
      <c r="Q37" t="inlineStr"/>
    </row>
    <row r="38">
      <c r="A38" t="inlineStr">
        <is>
          <t>BIMA ADHIKARI KONSTRUKSI</t>
        </is>
      </c>
      <c r="B38" t="inlineStr">
        <is>
          <t>Kota Surabaya</t>
        </is>
      </c>
      <c r="C38" t="inlineStr">
        <is>
          <t>085850961799</t>
        </is>
      </c>
      <c r="D38" t="inlineStr">
        <is>
          <t>BIMAADHIKARIKONSTRUKSI@GMAIL.COM</t>
        </is>
      </c>
      <c r="E38" t="inlineStr">
        <is>
          <t>https://lpjk.pu.go.id/search-badan-usaha-detail/ZllVM1Zrd3BrZFROazZsOFJ6NE1jQT09</t>
        </is>
      </c>
      <c r="F38" t="n">
        <v>1</v>
      </c>
      <c r="G38" t="inlineStr">
        <is>
          <t>BG004</t>
        </is>
      </c>
      <c r="H38" t="inlineStr">
        <is>
          <t>8 Agustus 2023</t>
        </is>
      </c>
      <c r="I38" s="2" t="n">
        <v>46272</v>
      </c>
      <c r="J38" t="inlineStr">
        <is>
          <t>Disetujui</t>
        </is>
      </c>
      <c r="K38" t="n">
        <v>90</v>
      </c>
      <c r="L38" t="inlineStr">
        <is>
          <t>7 September 2026</t>
        </is>
      </c>
      <c r="M38" t="inlineStr">
        <is>
          <t>Konstruksi Gedung Perbelanjaan</t>
        </is>
      </c>
      <c r="N38" t="inlineStr">
        <is>
          <t>K</t>
        </is>
      </c>
      <c r="O38" t="inlineStr">
        <is>
          <t>20230905</t>
        </is>
      </c>
      <c r="P38" t="inlineStr">
        <is>
          <t>Jawa Timur</t>
        </is>
      </c>
      <c r="Q38" t="inlineStr"/>
    </row>
    <row r="39">
      <c r="A39" t="inlineStr">
        <is>
          <t>BIMO NUGROHO</t>
        </is>
      </c>
      <c r="B39" t="inlineStr">
        <is>
          <t>Kab. Cilacap</t>
        </is>
      </c>
      <c r="C39" t="inlineStr">
        <is>
          <t>08562582011</t>
        </is>
      </c>
      <c r="D39" t="inlineStr">
        <is>
          <t>bimonugrohocv@yahoo.co.id</t>
        </is>
      </c>
      <c r="E39" t="inlineStr">
        <is>
          <t>https://lpjk.pu.go.id/search-badan-usaha-detail/K3pBQWYzaGUyTk16eFZEZVhTVEREdz09</t>
        </is>
      </c>
      <c r="F39" t="n">
        <v>1</v>
      </c>
      <c r="G39" t="inlineStr">
        <is>
          <t>BG006</t>
        </is>
      </c>
      <c r="H39" t="inlineStr">
        <is>
          <t>29 Maret 2007</t>
        </is>
      </c>
      <c r="I39" s="2" t="n">
        <v>46272</v>
      </c>
      <c r="J39" t="inlineStr">
        <is>
          <t>Disetujui</t>
        </is>
      </c>
      <c r="K39" t="n">
        <v>90</v>
      </c>
      <c r="L39" t="inlineStr">
        <is>
          <t>7 September 2026</t>
        </is>
      </c>
      <c r="M39" t="inlineStr">
        <is>
          <t>Konstruksi Gedung Pendidikan</t>
        </is>
      </c>
      <c r="N39" t="inlineStr">
        <is>
          <t>K</t>
        </is>
      </c>
      <c r="O39" t="inlineStr">
        <is>
          <t>20230907</t>
        </is>
      </c>
      <c r="P39" t="inlineStr">
        <is>
          <t>Jawa Tengah</t>
        </is>
      </c>
      <c r="Q39" t="inlineStr"/>
    </row>
    <row r="40">
      <c r="A40" t="inlineStr">
        <is>
          <t>BINA HARMONI SEMESTA</t>
        </is>
      </c>
      <c r="B40" t="inlineStr">
        <is>
          <t>Kab. Situbondo</t>
        </is>
      </c>
      <c r="C40" t="inlineStr">
        <is>
          <t>081931565111</t>
        </is>
      </c>
      <c r="D40" t="inlineStr">
        <is>
          <t>lsbugkb3512@gmail.com</t>
        </is>
      </c>
      <c r="E40" t="inlineStr">
        <is>
          <t>https://lpjk.pu.go.id/search-badan-usaha-detail/NUM4NWlTRVhCcDhRNEU0VTJHQ29Ddz09</t>
        </is>
      </c>
      <c r="F40" t="n">
        <v>2</v>
      </c>
      <c r="G40" t="inlineStr">
        <is>
          <t>BG005, BG006</t>
        </is>
      </c>
      <c r="H40" t="inlineStr">
        <is>
          <t>24 April 2018</t>
        </is>
      </c>
      <c r="I40" s="2" t="n">
        <v>46272</v>
      </c>
      <c r="J40" t="inlineStr">
        <is>
          <t>Disetujui</t>
        </is>
      </c>
      <c r="K40" t="n">
        <v>90</v>
      </c>
      <c r="L40" t="inlineStr">
        <is>
          <t>7 September 2026</t>
        </is>
      </c>
      <c r="M40" t="inlineStr">
        <is>
          <t>Konstruksi Gedung Kesehatan, Konstruksi Gedung Pendidikan</t>
        </is>
      </c>
      <c r="N40" t="inlineStr">
        <is>
          <t>K</t>
        </is>
      </c>
      <c r="O40" t="inlineStr">
        <is>
          <t>20230906</t>
        </is>
      </c>
      <c r="P40" t="inlineStr">
        <is>
          <t>Jawa Timur</t>
        </is>
      </c>
      <c r="Q40" t="inlineStr"/>
    </row>
    <row r="41">
      <c r="A41" t="inlineStr">
        <is>
          <t>BUDHI KARYA UTAMA</t>
        </is>
      </c>
      <c r="B41" t="inlineStr">
        <is>
          <t>Kab. Nganjuk</t>
        </is>
      </c>
      <c r="C41" t="inlineStr">
        <is>
          <t>082336448353</t>
        </is>
      </c>
      <c r="D41" t="inlineStr">
        <is>
          <t>budiantobudhikaryautama@gmail.com</t>
        </is>
      </c>
      <c r="E41" t="inlineStr">
        <is>
          <t>https://lpjk.pu.go.id/search-badan-usaha-detail/OGxsbUpvVEl3eHFhSFRXSWc1Wm0vdz09</t>
        </is>
      </c>
      <c r="F41" t="n">
        <v>5</v>
      </c>
      <c r="G41" t="inlineStr">
        <is>
          <t>BG002, BG004, BG005, BG006, BG009</t>
        </is>
      </c>
      <c r="H41" t="inlineStr">
        <is>
          <t>29 Desember 2006</t>
        </is>
      </c>
      <c r="I41" s="2" t="n">
        <v>46272</v>
      </c>
      <c r="J41" t="inlineStr">
        <is>
          <t>Disetujui</t>
        </is>
      </c>
      <c r="K41" t="n">
        <v>90</v>
      </c>
      <c r="L41" t="inlineStr">
        <is>
          <t>7 September 2026</t>
        </is>
      </c>
      <c r="M41" t="inlineStr">
        <is>
          <t>Konstruksi Gedung Kesehatan, Konstruksi Gedung Lainnya, Konstruksi Gedung Pendidikan, Konstruksi Gedung Perbelanjaan, Konstruksi Gedung Perkantoran</t>
        </is>
      </c>
      <c r="N41" t="inlineStr">
        <is>
          <t>K</t>
        </is>
      </c>
      <c r="O41" t="inlineStr">
        <is>
          <t>20230829, 20230907</t>
        </is>
      </c>
      <c r="P41" t="inlineStr">
        <is>
          <t>Jawa Timur</t>
        </is>
      </c>
      <c r="Q41" t="inlineStr"/>
    </row>
    <row r="42">
      <c r="A42" t="inlineStr">
        <is>
          <t>BUDIGUNA BAKTI</t>
        </is>
      </c>
      <c r="B42" t="inlineStr">
        <is>
          <t>Kab. Kuningan</t>
        </is>
      </c>
      <c r="C42" t="inlineStr">
        <is>
          <t>089662769184</t>
        </is>
      </c>
      <c r="D42" t="inlineStr">
        <is>
          <t>cvbudigunabakti@gmail.com</t>
        </is>
      </c>
      <c r="E42" t="inlineStr">
        <is>
          <t>https://lpjk.pu.go.id/search-badan-usaha-detail/U1l3VTliQTVoZldVK0VJc1FGZ3BqQT09</t>
        </is>
      </c>
      <c r="F42" t="n">
        <v>2</v>
      </c>
      <c r="G42" t="inlineStr">
        <is>
          <t>BG009</t>
        </is>
      </c>
      <c r="H42" t="inlineStr">
        <is>
          <t>27 Juli 2023</t>
        </is>
      </c>
      <c r="I42" s="2" t="n">
        <v>46272</v>
      </c>
      <c r="J42" t="inlineStr">
        <is>
          <t>Disetujui</t>
        </is>
      </c>
      <c r="K42" t="n">
        <v>90</v>
      </c>
      <c r="L42" t="inlineStr">
        <is>
          <t>7 September 2026</t>
        </is>
      </c>
      <c r="M42" t="inlineStr">
        <is>
          <t>Konstruksi Gedung Lainnya</t>
        </is>
      </c>
      <c r="N42" t="inlineStr">
        <is>
          <t>K</t>
        </is>
      </c>
      <c r="O42" t="inlineStr">
        <is>
          <t>20230901</t>
        </is>
      </c>
      <c r="P42" t="inlineStr">
        <is>
          <t>Jawa Barat</t>
        </is>
      </c>
      <c r="Q42" t="inlineStr"/>
    </row>
    <row r="43">
      <c r="A43" t="inlineStr">
        <is>
          <t>BUKIT SION ITAH</t>
        </is>
      </c>
      <c r="B43" t="inlineStr">
        <is>
          <t>Kota Palangkaraya</t>
        </is>
      </c>
      <c r="C43" t="inlineStr">
        <is>
          <t>081349233207</t>
        </is>
      </c>
      <c r="D43" t="inlineStr">
        <is>
          <t>cvbukitsionitah@gmail.com</t>
        </is>
      </c>
      <c r="E43" t="inlineStr">
        <is>
          <t>https://lpjk.pu.go.id/search-badan-usaha-detail/S0dzc0Q1cnBJSkNSMnpUUHpnbzdSdz09</t>
        </is>
      </c>
      <c r="F43" t="n">
        <v>1</v>
      </c>
      <c r="G43" t="inlineStr">
        <is>
          <t>BG005</t>
        </is>
      </c>
      <c r="H43" t="inlineStr">
        <is>
          <t>3 Agustus 2023</t>
        </is>
      </c>
      <c r="I43" s="2" t="n">
        <v>46272</v>
      </c>
      <c r="J43" t="inlineStr">
        <is>
          <t>Disetujui</t>
        </is>
      </c>
      <c r="K43" t="n">
        <v>90</v>
      </c>
      <c r="L43" t="inlineStr">
        <is>
          <t>7 September 2026</t>
        </is>
      </c>
      <c r="M43" t="inlineStr">
        <is>
          <t>Konstruksi Gedung Kesehatan</t>
        </is>
      </c>
      <c r="N43" t="inlineStr">
        <is>
          <t>K</t>
        </is>
      </c>
      <c r="O43" t="inlineStr">
        <is>
          <t>20230907</t>
        </is>
      </c>
      <c r="P43" t="inlineStr">
        <is>
          <t>Kalimantan Tengah</t>
        </is>
      </c>
      <c r="Q43" t="inlineStr"/>
    </row>
    <row r="44">
      <c r="A44" t="inlineStr">
        <is>
          <t>BUMI RAYA</t>
        </is>
      </c>
      <c r="B44" t="inlineStr">
        <is>
          <t>Kab. Polewali Mandar</t>
        </is>
      </c>
      <c r="C44" t="inlineStr">
        <is>
          <t>6281356247110</t>
        </is>
      </c>
      <c r="D44" t="inlineStr">
        <is>
          <t>bambang_kusnaedhie@yahoo.co.id</t>
        </is>
      </c>
      <c r="E44" t="inlineStr">
        <is>
          <t>https://lpjk.pu.go.id/search-badan-usaha-detail/emY4T1VBalovTjlyNm5sTVg3cmRQUT09</t>
        </is>
      </c>
      <c r="F44" t="n">
        <v>1</v>
      </c>
      <c r="G44" t="inlineStr">
        <is>
          <t>BS001</t>
        </is>
      </c>
      <c r="H44" t="inlineStr">
        <is>
          <t>10 Februari 1998</t>
        </is>
      </c>
      <c r="I44" s="2" t="n">
        <v>46272</v>
      </c>
      <c r="J44" t="inlineStr">
        <is>
          <t>Pencabutan</t>
        </is>
      </c>
      <c r="K44" t="n">
        <v>90</v>
      </c>
      <c r="L44" t="inlineStr">
        <is>
          <t>7 September 2026</t>
        </is>
      </c>
      <c r="M44" t="inlineStr">
        <is>
          <t>Konstruksi Bangunan Sipil Jalan</t>
        </is>
      </c>
      <c r="N44" t="inlineStr">
        <is>
          <t>K</t>
        </is>
      </c>
      <c r="O44" t="inlineStr">
        <is>
          <t>20230908</t>
        </is>
      </c>
      <c r="P44" t="inlineStr">
        <is>
          <t>Sulawesi Barat</t>
        </is>
      </c>
      <c r="Q44" t="inlineStr"/>
    </row>
    <row r="45">
      <c r="A45" t="inlineStr">
        <is>
          <t>BUMI RAYA MEGATRINDO</t>
        </is>
      </c>
      <c r="B45" t="inlineStr">
        <is>
          <t>Kota Kendari</t>
        </is>
      </c>
      <c r="C45" t="inlineStr">
        <is>
          <t>082187635404</t>
        </is>
      </c>
      <c r="D45" t="inlineStr">
        <is>
          <t>pt.bumirayamegatrindo@gmail.com</t>
        </is>
      </c>
      <c r="E45" t="inlineStr">
        <is>
          <t>https://lpjk.pu.go.id/search-badan-usaha-detail/K01sb0o3NStBbW9idHNybFhnNUVqdz09</t>
        </is>
      </c>
      <c r="F45" t="n">
        <v>2</v>
      </c>
      <c r="G45" t="inlineStr">
        <is>
          <t>BG003, BG009</t>
        </is>
      </c>
      <c r="H45" t="inlineStr">
        <is>
          <t>15 Agustus 2006</t>
        </is>
      </c>
      <c r="I45" s="2" t="n">
        <v>46272</v>
      </c>
      <c r="J45" t="inlineStr">
        <is>
          <t>Disetujui</t>
        </is>
      </c>
      <c r="K45" t="n">
        <v>90</v>
      </c>
      <c r="L45" t="inlineStr">
        <is>
          <t>7 September 2026</t>
        </is>
      </c>
      <c r="M45" t="inlineStr">
        <is>
          <t>Konstruksi Gedung Industri, Konstruksi Gedung Lainnya</t>
        </is>
      </c>
      <c r="N45" t="inlineStr">
        <is>
          <t>K</t>
        </is>
      </c>
      <c r="O45" t="inlineStr">
        <is>
          <t>20230901</t>
        </is>
      </c>
      <c r="P45" t="inlineStr">
        <is>
          <t>Sulawesi Tenggara</t>
        </is>
      </c>
      <c r="Q45" t="inlineStr"/>
    </row>
    <row r="46">
      <c r="A46" t="inlineStr">
        <is>
          <t>BUNGA MAYANG PUTRA</t>
        </is>
      </c>
      <c r="B46" t="inlineStr">
        <is>
          <t>Kota Bandar Lampung</t>
        </is>
      </c>
      <c r="C46" t="inlineStr">
        <is>
          <t>081271115252</t>
        </is>
      </c>
      <c r="D46" t="inlineStr">
        <is>
          <t>cvbungamayangputra@gmail.com</t>
        </is>
      </c>
      <c r="E46" t="inlineStr">
        <is>
          <t>https://lpjk.pu.go.id/search-badan-usaha-detail/ZG9zZVhtWDhsb0R5czJBOU5pWHIwdz09</t>
        </is>
      </c>
      <c r="F46" t="n">
        <v>1</v>
      </c>
      <c r="G46" t="inlineStr">
        <is>
          <t>BS001</t>
        </is>
      </c>
      <c r="H46" t="inlineStr">
        <is>
          <t>19 September 2019</t>
        </is>
      </c>
      <c r="I46" s="2" t="n">
        <v>46272</v>
      </c>
      <c r="J46" t="inlineStr">
        <is>
          <t>Disetujui</t>
        </is>
      </c>
      <c r="K46" t="n">
        <v>90</v>
      </c>
      <c r="L46" t="inlineStr">
        <is>
          <t>7 September 2026</t>
        </is>
      </c>
      <c r="M46" t="inlineStr">
        <is>
          <t>Konstruksi Bangunan Sipil Jalan</t>
        </is>
      </c>
      <c r="N46" t="inlineStr">
        <is>
          <t>K</t>
        </is>
      </c>
      <c r="O46" t="inlineStr">
        <is>
          <t>20230907</t>
        </is>
      </c>
      <c r="P46" t="inlineStr">
        <is>
          <t>Lampung</t>
        </is>
      </c>
      <c r="Q46" t="inlineStr"/>
    </row>
    <row r="47">
      <c r="A47" t="inlineStr">
        <is>
          <t>BUNGA ROSE</t>
        </is>
      </c>
      <c r="B47" t="inlineStr">
        <is>
          <t>Kab. Belitung</t>
        </is>
      </c>
      <c r="C47" t="inlineStr">
        <is>
          <t>07199301068</t>
        </is>
      </c>
      <c r="D47" t="inlineStr">
        <is>
          <t>cv.bungarose@yahoo.com</t>
        </is>
      </c>
      <c r="E47" t="inlineStr">
        <is>
          <t>https://lpjk.pu.go.id/search-badan-usaha-detail/QWtjZklzaTg5cXVXbmY0MTU1blR3QT09</t>
        </is>
      </c>
      <c r="F47" t="n">
        <v>2</v>
      </c>
      <c r="G47" t="inlineStr">
        <is>
          <t>BS005, BS010</t>
        </is>
      </c>
      <c r="H47" t="inlineStr">
        <is>
          <t>1 Oktober 2012</t>
        </is>
      </c>
      <c r="I47" s="2" t="n">
        <v>46272</v>
      </c>
      <c r="J47" t="inlineStr">
        <is>
          <t>Disetujui</t>
        </is>
      </c>
      <c r="K47" t="n">
        <v>90</v>
      </c>
      <c r="L47" t="inlineStr">
        <is>
          <t>7 September 2026</t>
        </is>
      </c>
      <c r="M47" t="inlineStr">
        <is>
          <t>Konstruksi Bangunan Prasarana Sumber Daya Air, Konstruksi Bangunan Sipil Pengolahan Air Bersih</t>
        </is>
      </c>
      <c r="N47" t="inlineStr">
        <is>
          <t>K</t>
        </is>
      </c>
      <c r="O47" t="inlineStr">
        <is>
          <t>20230905, 20230906</t>
        </is>
      </c>
      <c r="P47" t="inlineStr">
        <is>
          <t>Kepulauan Bangka Belitung</t>
        </is>
      </c>
      <c r="Q47" t="inlineStr"/>
    </row>
    <row r="48">
      <c r="A48" t="inlineStr">
        <is>
          <t>CAHAYA DUA PUTRA</t>
        </is>
      </c>
      <c r="B48" t="inlineStr">
        <is>
          <t>Kab. Boalemo</t>
        </is>
      </c>
      <c r="C48" t="inlineStr">
        <is>
          <t>082290643380</t>
        </is>
      </c>
      <c r="D48" t="inlineStr">
        <is>
          <t>putracahaya933@gmail.com</t>
        </is>
      </c>
      <c r="E48" t="inlineStr">
        <is>
          <t>https://lpjk.pu.go.id/search-badan-usaha-detail/czhya01HUDA0TjhrZG5jY2tiSjRVQT09</t>
        </is>
      </c>
      <c r="F48" t="n">
        <v>3</v>
      </c>
      <c r="G48" t="inlineStr">
        <is>
          <t>BG004, BG005, BG009</t>
        </is>
      </c>
      <c r="H48" t="inlineStr">
        <is>
          <t>9 September 2014</t>
        </is>
      </c>
      <c r="I48" s="2" t="n">
        <v>46272</v>
      </c>
      <c r="J48" t="inlineStr">
        <is>
          <t>Disetujui</t>
        </is>
      </c>
      <c r="K48" t="n">
        <v>90</v>
      </c>
      <c r="L48" t="inlineStr">
        <is>
          <t>7 September 2026</t>
        </is>
      </c>
      <c r="M48" t="inlineStr">
        <is>
          <t>Konstruksi Gedung Kesehatan, Konstruksi Gedung Lainnya, Konstruksi Gedung Perbelanjaan</t>
        </is>
      </c>
      <c r="N48" t="inlineStr">
        <is>
          <t>K</t>
        </is>
      </c>
      <c r="O48" t="inlineStr">
        <is>
          <t>20230906, 20230907</t>
        </is>
      </c>
      <c r="P48" t="inlineStr">
        <is>
          <t>Gorontalo</t>
        </is>
      </c>
      <c r="Q48" t="inlineStr"/>
    </row>
    <row r="49">
      <c r="A49" t="inlineStr">
        <is>
          <t>CIPTA ANUGRAH</t>
        </is>
      </c>
      <c r="B49" t="inlineStr">
        <is>
          <t>Kota Pontianak</t>
        </is>
      </c>
      <c r="C49" t="inlineStr">
        <is>
          <t>081256636899</t>
        </is>
      </c>
      <c r="D49" t="inlineStr">
        <is>
          <t>cipta.anugrah18@gmail.com</t>
        </is>
      </c>
      <c r="E49" t="inlineStr">
        <is>
          <t>https://lpjk.pu.go.id/search-badan-usaha-detail/Vmk0VUluU1Bid1VzSDdKRDd6cmh4QT09</t>
        </is>
      </c>
      <c r="F49" t="n">
        <v>1</v>
      </c>
      <c r="G49" t="inlineStr">
        <is>
          <t>BG001</t>
        </is>
      </c>
      <c r="H49" t="inlineStr">
        <is>
          <t>16 Juli 2008</t>
        </is>
      </c>
      <c r="I49" s="2" t="n">
        <v>46272</v>
      </c>
      <c r="J49" t="inlineStr">
        <is>
          <t>Disetujui</t>
        </is>
      </c>
      <c r="K49" t="n">
        <v>90</v>
      </c>
      <c r="L49" t="inlineStr">
        <is>
          <t>7 September 2026</t>
        </is>
      </c>
      <c r="M49" t="inlineStr">
        <is>
          <t>Konstruksi Gedung Hunian</t>
        </is>
      </c>
      <c r="N49" t="inlineStr">
        <is>
          <t>K</t>
        </is>
      </c>
      <c r="O49" t="inlineStr">
        <is>
          <t>20230823</t>
        </is>
      </c>
      <c r="P49" t="inlineStr">
        <is>
          <t>Kalimantan Barat</t>
        </is>
      </c>
      <c r="Q49" t="inlineStr"/>
    </row>
    <row r="50">
      <c r="A50" t="inlineStr">
        <is>
          <t>CIPTA DANA</t>
        </is>
      </c>
      <c r="B50" t="inlineStr">
        <is>
          <t>Kab. Tegal</t>
        </is>
      </c>
      <c r="C50" t="inlineStr">
        <is>
          <t>085742656588</t>
        </is>
      </c>
      <c r="D50" t="inlineStr">
        <is>
          <t>cvciptadana09@gmail.com</t>
        </is>
      </c>
      <c r="E50" t="inlineStr">
        <is>
          <t>https://lpjk.pu.go.id/search-badan-usaha-detail/M0xDT2xGRHZJRlFjTWdWUkpFelp6UT09</t>
        </is>
      </c>
      <c r="F50" t="n">
        <v>12</v>
      </c>
      <c r="G50" t="inlineStr">
        <is>
          <t>BG002, BG005, BG006, BG009, BS001, BS004</t>
        </is>
      </c>
      <c r="H50" t="inlineStr">
        <is>
          <t>3 Oktober 1998</t>
        </is>
      </c>
      <c r="I50" s="2" t="n">
        <v>46272</v>
      </c>
      <c r="J50" t="inlineStr">
        <is>
          <t>Disetujui</t>
        </is>
      </c>
      <c r="K50" t="n">
        <v>90</v>
      </c>
      <c r="L50" t="inlineStr">
        <is>
          <t>7 September 2026</t>
        </is>
      </c>
      <c r="M50" t="inlineStr">
        <is>
          <t>Konstruksi Bangunan Sipil Jalan, Konstruksi Gedung Kesehatan, Konstruksi Gedung Lainnya, Konstruksi Gedung Pendidikan, Konstruksi Gedung Perkantoran, Konstruksi Jaringan Irigasi dan Drainase</t>
        </is>
      </c>
      <c r="N50" t="inlineStr">
        <is>
          <t>K</t>
        </is>
      </c>
      <c r="O50" t="inlineStr">
        <is>
          <t>20230901, 20230905</t>
        </is>
      </c>
      <c r="P50" t="inlineStr">
        <is>
          <t>Jawa Tengah</t>
        </is>
      </c>
      <c r="Q50" t="inlineStr"/>
    </row>
    <row r="51">
      <c r="A51" t="inlineStr">
        <is>
          <t>CIPTA WAHANA KONSULTAN</t>
        </is>
      </c>
      <c r="B51" t="inlineStr">
        <is>
          <t>Kota Bengkulu</t>
        </is>
      </c>
      <c r="C51" t="inlineStr">
        <is>
          <t>085225787610</t>
        </is>
      </c>
      <c r="D51" t="inlineStr">
        <is>
          <t>ptcwkbengkulu@yahoo.co.id</t>
        </is>
      </c>
      <c r="E51" t="inlineStr">
        <is>
          <t>https://lpjk.pu.go.id/search-badan-usaha-detail/U3ZsOVVqRk5QZnFCeTIxdEowUEJkUT09</t>
        </is>
      </c>
      <c r="F51" t="n">
        <v>3</v>
      </c>
      <c r="G51" t="inlineStr">
        <is>
          <t>AR001, RK001, RK002</t>
        </is>
      </c>
      <c r="H51" t="inlineStr">
        <is>
          <t>27 November 2006</t>
        </is>
      </c>
      <c r="I51" s="2" t="n">
        <v>46272</v>
      </c>
      <c r="J51" t="inlineStr">
        <is>
          <t>Disetujui</t>
        </is>
      </c>
      <c r="K51" t="n">
        <v>90</v>
      </c>
      <c r="L51" t="inlineStr">
        <is>
          <t>7 September 2026</t>
        </is>
      </c>
      <c r="M51" t="inlineStr">
        <is>
          <t>Jasa Arsitektural Bangunan Gedung Hunian dan Non Hunian, Jasa Rekayasa Konstruksi Bangunan Gedung Hunian dan Non Hunian, Jasa Rekayasa Pekerjaan Teknik Sipil Sumber Daya Air</t>
        </is>
      </c>
      <c r="N51" t="inlineStr">
        <is>
          <t>K</t>
        </is>
      </c>
      <c r="O51" t="inlineStr">
        <is>
          <t>20230805, 20230901</t>
        </is>
      </c>
      <c r="P51" t="inlineStr">
        <is>
          <t>Bengkulu</t>
        </is>
      </c>
      <c r="Q51" t="inlineStr"/>
    </row>
    <row r="52">
      <c r="A52" t="inlineStr">
        <is>
          <t>CITRA MANDIRI NUSANTARA</t>
        </is>
      </c>
      <c r="B52" t="inlineStr">
        <is>
          <t>Kota Medan</t>
        </is>
      </c>
      <c r="C52" t="inlineStr">
        <is>
          <t>08126466481</t>
        </is>
      </c>
      <c r="D52" t="inlineStr">
        <is>
          <t>citramandirinusantara1212@gmail.com</t>
        </is>
      </c>
      <c r="E52" t="inlineStr">
        <is>
          <t>https://lpjk.pu.go.id/search-badan-usaha-detail/N2RoQkhJZ0d0TkhMUy80ZEszUGFvUT09</t>
        </is>
      </c>
      <c r="F52" t="n">
        <v>1</v>
      </c>
      <c r="G52" t="inlineStr">
        <is>
          <t>BS004</t>
        </is>
      </c>
      <c r="H52" t="inlineStr">
        <is>
          <t>13 Agustus 2021</t>
        </is>
      </c>
      <c r="I52" s="2" t="n">
        <v>46272</v>
      </c>
      <c r="J52" t="inlineStr">
        <is>
          <t>Pencabutan</t>
        </is>
      </c>
      <c r="K52" t="n">
        <v>90</v>
      </c>
      <c r="L52" t="inlineStr">
        <is>
          <t>7 September 2026</t>
        </is>
      </c>
      <c r="M52" t="inlineStr">
        <is>
          <t>Konstruksi Jaringan Irigasi dan Drainase</t>
        </is>
      </c>
      <c r="N52" t="inlineStr">
        <is>
          <t>K</t>
        </is>
      </c>
      <c r="O52" t="inlineStr">
        <is>
          <t>20230908</t>
        </is>
      </c>
      <c r="P52" t="inlineStr">
        <is>
          <t>Sumatera Utara</t>
        </is>
      </c>
      <c r="Q52" t="inlineStr"/>
    </row>
    <row r="53">
      <c r="A53" t="inlineStr">
        <is>
          <t>CND GEOTEKNIKA</t>
        </is>
      </c>
      <c r="B53" t="inlineStr">
        <is>
          <t>Kota Cimahi</t>
        </is>
      </c>
      <c r="C53" t="inlineStr">
        <is>
          <t>022-6611917</t>
        </is>
      </c>
      <c r="D53" t="inlineStr">
        <is>
          <t>cndoffice@gmail.com</t>
        </is>
      </c>
      <c r="E53" t="inlineStr">
        <is>
          <t>https://lpjk.pu.go.id/search-badan-usaha-detail/UWdkN1RYcDEzZ1QwR3Jqa2MwSFJNZz09</t>
        </is>
      </c>
      <c r="F53" t="n">
        <v>1</v>
      </c>
      <c r="G53" t="inlineStr">
        <is>
          <t>PL005</t>
        </is>
      </c>
      <c r="H53" t="inlineStr">
        <is>
          <t>16 Maret 2002</t>
        </is>
      </c>
      <c r="I53" s="2" t="n">
        <v>46272</v>
      </c>
      <c r="J53" t="inlineStr">
        <is>
          <t>Disetujui</t>
        </is>
      </c>
      <c r="K53" t="n">
        <v>90</v>
      </c>
      <c r="L53" t="inlineStr">
        <is>
          <t>7 September 2026</t>
        </is>
      </c>
      <c r="M53" t="inlineStr">
        <is>
          <t>Pembuatan/Pengeboran Sumur Air Tanah</t>
        </is>
      </c>
      <c r="N53" t="inlineStr">
        <is>
          <t>Spesialis</t>
        </is>
      </c>
      <c r="O53" t="inlineStr">
        <is>
          <t>20230825</t>
        </is>
      </c>
      <c r="P53" t="inlineStr">
        <is>
          <t>Jawa Barat</t>
        </is>
      </c>
      <c r="Q53" t="inlineStr"/>
    </row>
    <row r="54">
      <c r="A54" t="inlineStr">
        <is>
          <t>CV. AIFA UTAMA</t>
        </is>
      </c>
      <c r="B54" t="inlineStr">
        <is>
          <t>Kab. Aceh Besar</t>
        </is>
      </c>
      <c r="C54" t="inlineStr">
        <is>
          <t>08126903071</t>
        </is>
      </c>
      <c r="D54" t="inlineStr">
        <is>
          <t>aifautama@yahoo.com</t>
        </is>
      </c>
      <c r="E54" t="inlineStr">
        <is>
          <t>https://lpjk.pu.go.id/search-badan-usaha-detail/WThYWFV1YnZwODFGaC92OGFtZndqdz09</t>
        </is>
      </c>
      <c r="F54" t="n">
        <v>1</v>
      </c>
      <c r="G54" t="inlineStr">
        <is>
          <t>BS001</t>
        </is>
      </c>
      <c r="H54" t="inlineStr">
        <is>
          <t>26 September 2000</t>
        </is>
      </c>
      <c r="I54" s="2" t="n">
        <v>46272</v>
      </c>
      <c r="J54" t="inlineStr">
        <is>
          <t>Disetujui</t>
        </is>
      </c>
      <c r="K54" t="n">
        <v>90</v>
      </c>
      <c r="L54" t="inlineStr">
        <is>
          <t>7 September 2026</t>
        </is>
      </c>
      <c r="M54" t="inlineStr">
        <is>
          <t>Konstruksi Bangunan Sipil Jalan</t>
        </is>
      </c>
      <c r="N54" t="inlineStr">
        <is>
          <t>K</t>
        </is>
      </c>
      <c r="O54" t="inlineStr">
        <is>
          <t>20230901</t>
        </is>
      </c>
      <c r="P54" t="inlineStr">
        <is>
          <t>Aceh</t>
        </is>
      </c>
      <c r="Q54" t="inlineStr"/>
    </row>
    <row r="55">
      <c r="A55" t="inlineStr">
        <is>
          <t>DEVINA ANUGERAH SUMBERTAMA</t>
        </is>
      </c>
      <c r="B55" t="inlineStr">
        <is>
          <t>Kab. Sumbawa Barat</t>
        </is>
      </c>
      <c r="C55" t="inlineStr">
        <is>
          <t>087847379056</t>
        </is>
      </c>
      <c r="D55" t="inlineStr">
        <is>
          <t>pt.devinaanugerahsumbertama@gmail.com</t>
        </is>
      </c>
      <c r="E55" t="inlineStr">
        <is>
          <t>https://lpjk.pu.go.id/search-badan-usaha-detail/Nkd0blVOUHU5bmVhSVU3a1ZNaDdLQT09</t>
        </is>
      </c>
      <c r="F55" t="n">
        <v>1</v>
      </c>
      <c r="G55" t="inlineStr">
        <is>
          <t>BG009</t>
        </is>
      </c>
      <c r="H55" t="inlineStr">
        <is>
          <t>9 November 2022</t>
        </is>
      </c>
      <c r="I55" s="2" t="n">
        <v>46272</v>
      </c>
      <c r="J55" t="inlineStr">
        <is>
          <t>Disetujui</t>
        </is>
      </c>
      <c r="K55" t="n">
        <v>90</v>
      </c>
      <c r="L55" t="inlineStr">
        <is>
          <t>7 September 2026</t>
        </is>
      </c>
      <c r="M55" t="inlineStr">
        <is>
          <t>Konstruksi Gedung Lainnya</t>
        </is>
      </c>
      <c r="N55" t="inlineStr">
        <is>
          <t>K</t>
        </is>
      </c>
      <c r="O55" t="inlineStr">
        <is>
          <t>20230904</t>
        </is>
      </c>
      <c r="P55" t="inlineStr">
        <is>
          <t>Nusa Tenggara Barat</t>
        </is>
      </c>
      <c r="Q55" t="inlineStr"/>
    </row>
    <row r="56">
      <c r="A56" t="inlineStr">
        <is>
          <t>DIMENSI STATIKA</t>
        </is>
      </c>
      <c r="B56" t="inlineStr">
        <is>
          <t>Kota Jambi</t>
        </is>
      </c>
      <c r="C56" t="inlineStr">
        <is>
          <t>081274797872</t>
        </is>
      </c>
      <c r="D56" t="inlineStr">
        <is>
          <t>statika.dimensi@gmail.com</t>
        </is>
      </c>
      <c r="E56" t="inlineStr">
        <is>
          <t>https://lpjk.pu.go.id/search-badan-usaha-detail/Q2JQRWJPeTBWNjBKdjZpWko2cVN1Zz09</t>
        </is>
      </c>
      <c r="F56" t="n">
        <v>3</v>
      </c>
      <c r="G56" t="inlineStr">
        <is>
          <t>RK001, RK002, RK003</t>
        </is>
      </c>
      <c r="H56" t="inlineStr">
        <is>
          <t>20 Oktober 2009</t>
        </is>
      </c>
      <c r="I56" s="2" t="n">
        <v>46272</v>
      </c>
      <c r="J56" t="inlineStr">
        <is>
          <t>Disetujui</t>
        </is>
      </c>
      <c r="K56" t="n">
        <v>90</v>
      </c>
      <c r="L56" t="inlineStr">
        <is>
          <t>7 September 2026</t>
        </is>
      </c>
      <c r="M56" t="inlineStr">
        <is>
          <t>Jasa Rekayasa Konstruksi Bangunan Gedung Hunian dan Non Hunian, Jasa Rekayasa Pekerjaan Teknik Sipil Sumber Daya Air, Jasa Rekayasa Pekerjaan Teknik Sipil Transportasi</t>
        </is>
      </c>
      <c r="N56" t="inlineStr">
        <is>
          <t>K</t>
        </is>
      </c>
      <c r="O56" t="inlineStr">
        <is>
          <t>20230825, 20230830</t>
        </is>
      </c>
      <c r="P56" t="inlineStr">
        <is>
          <t>Jambi</t>
        </is>
      </c>
      <c r="Q56" t="inlineStr"/>
    </row>
    <row r="57">
      <c r="A57" t="inlineStr">
        <is>
          <t>DINA PRATAMA</t>
        </is>
      </c>
      <c r="B57" t="inlineStr">
        <is>
          <t>Kota Bandar Lampung</t>
        </is>
      </c>
      <c r="C57" t="inlineStr">
        <is>
          <t>085269738811</t>
        </is>
      </c>
      <c r="D57" t="inlineStr">
        <is>
          <t>dina_pratama.cv@yahoo.com</t>
        </is>
      </c>
      <c r="E57" t="inlineStr">
        <is>
          <t>https://lpjk.pu.go.id/search-badan-usaha-detail/NzRvcDRBaTRnRFQxNWRLazFBcXFidz09</t>
        </is>
      </c>
      <c r="F57" t="n">
        <v>2</v>
      </c>
      <c r="G57" t="inlineStr">
        <is>
          <t>BS004</t>
        </is>
      </c>
      <c r="H57" t="inlineStr">
        <is>
          <t>3 Februari 2012</t>
        </is>
      </c>
      <c r="I57" s="2" t="n">
        <v>46272</v>
      </c>
      <c r="J57" t="inlineStr">
        <is>
          <t>Disetujui</t>
        </is>
      </c>
      <c r="K57" t="n">
        <v>90</v>
      </c>
      <c r="L57" t="inlineStr">
        <is>
          <t>7 September 2026</t>
        </is>
      </c>
      <c r="M57" t="inlineStr">
        <is>
          <t>Konstruksi Jaringan Irigasi dan Drainase</t>
        </is>
      </c>
      <c r="N57" t="inlineStr">
        <is>
          <t>K</t>
        </is>
      </c>
      <c r="O57" t="inlineStr">
        <is>
          <t>20230906</t>
        </is>
      </c>
      <c r="P57" t="inlineStr">
        <is>
          <t>Lampung</t>
        </is>
      </c>
      <c r="Q57" t="inlineStr"/>
    </row>
    <row r="58">
      <c r="A58" t="inlineStr">
        <is>
          <t>DUTA KONSTRUKSI PRIBADI</t>
        </is>
      </c>
      <c r="B58" t="inlineStr">
        <is>
          <t>Kota Pontianak</t>
        </is>
      </c>
      <c r="C58" t="inlineStr">
        <is>
          <t>085252523778</t>
        </is>
      </c>
      <c r="D58" t="inlineStr">
        <is>
          <t>dutakontruksi888@gmail.com</t>
        </is>
      </c>
      <c r="E58" t="inlineStr">
        <is>
          <t>https://lpjk.pu.go.id/search-badan-usaha-detail/djBMM212eEQ5djZsUWRZMjJVNFkzQT09</t>
        </is>
      </c>
      <c r="F58" t="n">
        <v>2</v>
      </c>
      <c r="G58" t="inlineStr">
        <is>
          <t>BG009, BS004</t>
        </is>
      </c>
      <c r="H58" t="inlineStr">
        <is>
          <t>9 Januari 2020</t>
        </is>
      </c>
      <c r="I58" s="2" t="n">
        <v>46272</v>
      </c>
      <c r="J58" t="inlineStr">
        <is>
          <t>Disetujui</t>
        </is>
      </c>
      <c r="K58" t="n">
        <v>90</v>
      </c>
      <c r="L58" t="inlineStr">
        <is>
          <t>7 September 2026</t>
        </is>
      </c>
      <c r="M58" t="inlineStr">
        <is>
          <t>Konstruksi Gedung Lainnya, Konstruksi Jaringan Irigasi dan Drainase</t>
        </is>
      </c>
      <c r="N58" t="inlineStr">
        <is>
          <t>K</t>
        </is>
      </c>
      <c r="O58" t="inlineStr">
        <is>
          <t>20230808, 20230906</t>
        </is>
      </c>
      <c r="P58" t="inlineStr">
        <is>
          <t>Kalimantan Barat</t>
        </is>
      </c>
      <c r="Q58" t="inlineStr"/>
    </row>
    <row r="59">
      <c r="A59" t="inlineStr">
        <is>
          <t>DUTA TEKNIK TRIMITRA</t>
        </is>
      </c>
      <c r="B59" t="inlineStr">
        <is>
          <t>Kab. Kapuas</t>
        </is>
      </c>
      <c r="C59" t="inlineStr">
        <is>
          <t>0511</t>
        </is>
      </c>
      <c r="D59" t="inlineStr">
        <is>
          <t>cvdutatekniktrimitra@gmail.com</t>
        </is>
      </c>
      <c r="E59" t="inlineStr">
        <is>
          <t>https://lpjk.pu.go.id/search-badan-usaha-detail/NG42YTF4RjZmNngvcGwxZE84WGhFZz09</t>
        </is>
      </c>
      <c r="F59" t="n">
        <v>2</v>
      </c>
      <c r="G59" t="inlineStr">
        <is>
          <t>BS001, BS004</t>
        </is>
      </c>
      <c r="H59" t="inlineStr">
        <is>
          <t>28 Juli 2020</t>
        </is>
      </c>
      <c r="I59" s="2" t="n">
        <v>46272</v>
      </c>
      <c r="J59" t="inlineStr">
        <is>
          <t>Pencabutan</t>
        </is>
      </c>
      <c r="K59" t="n">
        <v>90</v>
      </c>
      <c r="L59" t="inlineStr">
        <is>
          <t>7 September 2026</t>
        </is>
      </c>
      <c r="M59" t="inlineStr">
        <is>
          <t>Konstruksi Bangunan Sipil Jalan, Konstruksi Jaringan Irigasi dan Drainase</t>
        </is>
      </c>
      <c r="N59" t="inlineStr">
        <is>
          <t>K</t>
        </is>
      </c>
      <c r="O59" t="inlineStr">
        <is>
          <t>20230907</t>
        </is>
      </c>
      <c r="P59" t="inlineStr">
        <is>
          <t>Kalimantan Tengah</t>
        </is>
      </c>
      <c r="Q59" t="inlineStr"/>
    </row>
    <row r="60">
      <c r="A60" t="inlineStr">
        <is>
          <t>ELVIRA MANDIRI</t>
        </is>
      </c>
      <c r="B60" t="inlineStr">
        <is>
          <t>Kab. Banyumas</t>
        </is>
      </c>
      <c r="C60" t="inlineStr">
        <is>
          <t>082323460554</t>
        </is>
      </c>
      <c r="D60" t="inlineStr">
        <is>
          <t>elviramandiri@yahoo.com</t>
        </is>
      </c>
      <c r="E60" t="inlineStr">
        <is>
          <t>https://lpjk.pu.go.id/search-badan-usaha-detail/b0F5RE1QV2hVT09IeUF0UFZhbnZYdz09</t>
        </is>
      </c>
      <c r="F60" t="n">
        <v>1</v>
      </c>
      <c r="G60" t="inlineStr">
        <is>
          <t>BS001</t>
        </is>
      </c>
      <c r="H60" t="inlineStr">
        <is>
          <t>4 Februari 2012</t>
        </is>
      </c>
      <c r="I60" s="2" t="n">
        <v>46272</v>
      </c>
      <c r="J60" t="inlineStr">
        <is>
          <t>Disetujui</t>
        </is>
      </c>
      <c r="K60" t="n">
        <v>90</v>
      </c>
      <c r="L60" t="inlineStr">
        <is>
          <t>7 September 2026</t>
        </is>
      </c>
      <c r="M60" t="inlineStr">
        <is>
          <t>Konstruksi Bangunan Sipil Jalan</t>
        </is>
      </c>
      <c r="N60" t="inlineStr">
        <is>
          <t>K</t>
        </is>
      </c>
      <c r="O60" t="inlineStr">
        <is>
          <t>20230907</t>
        </is>
      </c>
      <c r="P60" t="inlineStr">
        <is>
          <t>Jawa Tengah</t>
        </is>
      </c>
      <c r="Q60" t="inlineStr"/>
    </row>
    <row r="61">
      <c r="A61" t="inlineStr">
        <is>
          <t>ERA TECHNICS CONSULT</t>
        </is>
      </c>
      <c r="B61" t="inlineStr">
        <is>
          <t>Kab. Berau</t>
        </is>
      </c>
      <c r="C61" t="inlineStr">
        <is>
          <t>05542027015</t>
        </is>
      </c>
      <c r="D61" t="inlineStr">
        <is>
          <t>era_consultant@yahoo.com</t>
        </is>
      </c>
      <c r="E61" t="inlineStr">
        <is>
          <t>https://lpjk.pu.go.id/search-badan-usaha-detail/bHlHZlJmakNVVDl6NTRiNTB0UnhNdz09</t>
        </is>
      </c>
      <c r="F61" t="n">
        <v>3</v>
      </c>
      <c r="G61" t="inlineStr">
        <is>
          <t>RK001, RK002, RK003</t>
        </is>
      </c>
      <c r="H61" t="inlineStr">
        <is>
          <t>15 Mei 1996</t>
        </is>
      </c>
      <c r="I61" s="2" t="n">
        <v>46272</v>
      </c>
      <c r="J61" t="inlineStr">
        <is>
          <t>Disetujui</t>
        </is>
      </c>
      <c r="K61" t="n">
        <v>90</v>
      </c>
      <c r="L61" t="inlineStr">
        <is>
          <t>7 September 2026</t>
        </is>
      </c>
      <c r="M61" t="inlineStr">
        <is>
          <t>Jasa Rekayasa Konstruksi Bangunan Gedung Hunian dan Non Hunian, Jasa Rekayasa Pekerjaan Teknik Sipil Sumber Daya Air, Jasa Rekayasa Pekerjaan Teknik Sipil Transportasi</t>
        </is>
      </c>
      <c r="N61" t="inlineStr">
        <is>
          <t>K</t>
        </is>
      </c>
      <c r="O61" t="inlineStr">
        <is>
          <t>20230816, 20230829</t>
        </is>
      </c>
      <c r="P61" t="inlineStr">
        <is>
          <t>Kalimantan Timur</t>
        </is>
      </c>
      <c r="Q61" t="inlineStr"/>
    </row>
    <row r="62">
      <c r="A62" t="inlineStr">
        <is>
          <t>ESTU RAMA ABDI</t>
        </is>
      </c>
      <c r="B62" t="inlineStr">
        <is>
          <t>Kab. Mempawah</t>
        </is>
      </c>
      <c r="C62" t="inlineStr">
        <is>
          <t>085245548811</t>
        </is>
      </c>
      <c r="D62" t="inlineStr">
        <is>
          <t>esturamaabdi77@gmail.com</t>
        </is>
      </c>
      <c r="E62" t="inlineStr">
        <is>
          <t>https://lpjk.pu.go.id/search-badan-usaha-detail/ZEpabllqMTZFNTZJQnMvU2t5a0I5dz09</t>
        </is>
      </c>
      <c r="F62" t="n">
        <v>1</v>
      </c>
      <c r="G62" t="inlineStr">
        <is>
          <t>BS010</t>
        </is>
      </c>
      <c r="H62" t="inlineStr">
        <is>
          <t>26 Februari 2002</t>
        </is>
      </c>
      <c r="I62" s="2" t="n">
        <v>46272</v>
      </c>
      <c r="J62" t="inlineStr">
        <is>
          <t>Disetujui</t>
        </is>
      </c>
      <c r="K62" t="n">
        <v>90</v>
      </c>
      <c r="L62" t="inlineStr">
        <is>
          <t>7 September 2026</t>
        </is>
      </c>
      <c r="M62" t="inlineStr">
        <is>
          <t>Konstruksi Bangunan Prasarana Sumber Daya Air</t>
        </is>
      </c>
      <c r="N62" t="inlineStr">
        <is>
          <t>K</t>
        </is>
      </c>
      <c r="O62" t="inlineStr">
        <is>
          <t>20230906</t>
        </is>
      </c>
      <c r="P62" t="inlineStr">
        <is>
          <t>Kalimantan Barat</t>
        </is>
      </c>
      <c r="Q62" t="inlineStr"/>
    </row>
    <row r="63">
      <c r="A63" t="inlineStr">
        <is>
          <t>FADHILA</t>
        </is>
      </c>
      <c r="B63" t="inlineStr">
        <is>
          <t>Kota Banda Aceh</t>
        </is>
      </c>
      <c r="C63" t="inlineStr">
        <is>
          <t>081269121970</t>
        </is>
      </c>
      <c r="D63" t="inlineStr">
        <is>
          <t>fadhila.cv@gmail.com</t>
        </is>
      </c>
      <c r="E63" t="inlineStr">
        <is>
          <t>https://lpjk.pu.go.id/search-badan-usaha-detail/MGpGZU9tZ0U0UXBVMEVqY0tIMnlKdz09</t>
        </is>
      </c>
      <c r="F63" t="n">
        <v>10</v>
      </c>
      <c r="G63" t="inlineStr">
        <is>
          <t>BG001, BG009, BS001, BS004, BS010</t>
        </is>
      </c>
      <c r="H63" t="inlineStr">
        <is>
          <t>6 Maret 2015</t>
        </is>
      </c>
      <c r="I63" s="2" t="n">
        <v>46272</v>
      </c>
      <c r="J63" t="inlineStr">
        <is>
          <t>Disetujui</t>
        </is>
      </c>
      <c r="K63" t="n">
        <v>90</v>
      </c>
      <c r="L63" t="inlineStr">
        <is>
          <t>7 September 2026</t>
        </is>
      </c>
      <c r="M63" t="inlineStr">
        <is>
          <t>Konstruksi Bangunan Prasarana Sumber Daya Air, Konstruksi Bangunan Sipil Jalan, Konstruksi Gedung Hunian, Konstruksi Gedung Lainnya, Konstruksi Jaringan Irigasi dan Drainase</t>
        </is>
      </c>
      <c r="N63" t="inlineStr">
        <is>
          <t>K</t>
        </is>
      </c>
      <c r="O63" t="inlineStr">
        <is>
          <t>20230901, 20230904, 20230905</t>
        </is>
      </c>
      <c r="P63" t="inlineStr">
        <is>
          <t>Aceh</t>
        </is>
      </c>
      <c r="Q63" t="inlineStr"/>
    </row>
    <row r="64">
      <c r="A64" t="inlineStr">
        <is>
          <t>FAJAR KURNIA</t>
        </is>
      </c>
      <c r="B64" t="inlineStr">
        <is>
          <t>Kab. Ciamis</t>
        </is>
      </c>
      <c r="C64" t="inlineStr">
        <is>
          <t>085223035228</t>
        </is>
      </c>
      <c r="D64" t="inlineStr">
        <is>
          <t>fajarkurnia33@yahoo.com</t>
        </is>
      </c>
      <c r="E64" t="inlineStr">
        <is>
          <t>https://lpjk.pu.go.id/search-badan-usaha-detail/TWJBUHo2YVlJc1J6dWVyeXZPbFE2dz09</t>
        </is>
      </c>
      <c r="F64" t="n">
        <v>1</v>
      </c>
      <c r="G64" t="inlineStr">
        <is>
          <t>BS004</t>
        </is>
      </c>
      <c r="H64" t="inlineStr">
        <is>
          <t>27 November 1992</t>
        </is>
      </c>
      <c r="I64" s="2" t="n">
        <v>46272</v>
      </c>
      <c r="J64" t="inlineStr">
        <is>
          <t>Disetujui</t>
        </is>
      </c>
      <c r="K64" t="n">
        <v>90</v>
      </c>
      <c r="L64" t="inlineStr">
        <is>
          <t>7 September 2026</t>
        </is>
      </c>
      <c r="M64" t="inlineStr">
        <is>
          <t>Konstruksi Jaringan Irigasi dan Drainase</t>
        </is>
      </c>
      <c r="N64" t="inlineStr">
        <is>
          <t>K</t>
        </is>
      </c>
      <c r="O64" t="inlineStr">
        <is>
          <t>20230904</t>
        </is>
      </c>
      <c r="P64" t="inlineStr">
        <is>
          <t>Jawa Barat</t>
        </is>
      </c>
      <c r="Q64" t="inlineStr"/>
    </row>
    <row r="65">
      <c r="A65" t="inlineStr">
        <is>
          <t>FUJICON PRIANGAN PERDANA</t>
        </is>
      </c>
      <c r="B65" t="inlineStr">
        <is>
          <t>Kota Bandung</t>
        </is>
      </c>
      <c r="C65" t="inlineStr">
        <is>
          <t>0227537631</t>
        </is>
      </c>
      <c r="D65" t="inlineStr">
        <is>
          <t>hrd@fujicon-japan.com</t>
        </is>
      </c>
      <c r="E65" t="inlineStr">
        <is>
          <t>https://lpjk.pu.go.id/search-badan-usaha-detail/WlROMUJZcUhqRFB1TjQ2VGN2MHJsZz09</t>
        </is>
      </c>
      <c r="F65" t="n">
        <v>2</v>
      </c>
      <c r="G65" t="inlineStr">
        <is>
          <t>BG003</t>
        </is>
      </c>
      <c r="H65" t="inlineStr">
        <is>
          <t>29 Desember 2003</t>
        </is>
      </c>
      <c r="I65" s="2" t="n">
        <v>46272</v>
      </c>
      <c r="J65" t="inlineStr">
        <is>
          <t>Disetujui</t>
        </is>
      </c>
      <c r="K65" t="n">
        <v>90</v>
      </c>
      <c r="L65" t="inlineStr">
        <is>
          <t>7 September 2026</t>
        </is>
      </c>
      <c r="M65" t="inlineStr">
        <is>
          <t>Konstruksi Gedung Industri</t>
        </is>
      </c>
      <c r="N65" t="inlineStr">
        <is>
          <t>K</t>
        </is>
      </c>
      <c r="O65" t="inlineStr">
        <is>
          <t>20230906</t>
        </is>
      </c>
      <c r="P65" t="inlineStr">
        <is>
          <t>Jawa Barat</t>
        </is>
      </c>
      <c r="Q65" t="inlineStr"/>
    </row>
    <row r="66">
      <c r="A66" t="inlineStr">
        <is>
          <t>GALINDO</t>
        </is>
      </c>
      <c r="B66" t="inlineStr">
        <is>
          <t>Kab. Pasuruan</t>
        </is>
      </c>
      <c r="C66" t="inlineStr">
        <is>
          <t>81337679528</t>
        </is>
      </c>
      <c r="D66" t="inlineStr">
        <is>
          <t>cvgalindo123@gmail.com</t>
        </is>
      </c>
      <c r="E66" t="inlineStr">
        <is>
          <t>https://lpjk.pu.go.id/search-badan-usaha-detail/ZjA3TVZmVVowR2ttb2xLNHpEMmJadz09</t>
        </is>
      </c>
      <c r="F66" t="n">
        <v>2</v>
      </c>
      <c r="G66" t="inlineStr">
        <is>
          <t>BG009</t>
        </is>
      </c>
      <c r="H66" t="inlineStr">
        <is>
          <t>17 Desember 2003</t>
        </is>
      </c>
      <c r="I66" s="2" t="n">
        <v>46272</v>
      </c>
      <c r="J66" t="inlineStr">
        <is>
          <t>Pencabutan</t>
        </is>
      </c>
      <c r="K66" t="n">
        <v>90</v>
      </c>
      <c r="L66" t="inlineStr">
        <is>
          <t>7 September 2026</t>
        </is>
      </c>
      <c r="M66" t="inlineStr">
        <is>
          <t>Konstruksi Gedung Lainnya</t>
        </is>
      </c>
      <c r="N66" t="inlineStr">
        <is>
          <t>K</t>
        </is>
      </c>
      <c r="O66" t="inlineStr">
        <is>
          <t>20230831</t>
        </is>
      </c>
      <c r="P66" t="inlineStr">
        <is>
          <t>Jawa Timur</t>
        </is>
      </c>
      <c r="Q66" t="inlineStr"/>
    </row>
    <row r="67">
      <c r="A67" t="inlineStr">
        <is>
          <t>GEMILANG AGUNG CEMERLANG</t>
        </is>
      </c>
      <c r="B67" t="inlineStr">
        <is>
          <t>Kota Medan</t>
        </is>
      </c>
      <c r="C67" t="inlineStr">
        <is>
          <t>085174237442</t>
        </is>
      </c>
      <c r="D67" t="inlineStr">
        <is>
          <t>gmac.co.id@gmail.com</t>
        </is>
      </c>
      <c r="E67" t="inlineStr">
        <is>
          <t>https://lpjk.pu.go.id/search-badan-usaha-detail/ZE1CcGF6cG9aS1haWmo1WUFmWnJ2QT09</t>
        </is>
      </c>
      <c r="F67" t="n">
        <v>5</v>
      </c>
      <c r="G67" t="inlineStr">
        <is>
          <t>BG001, BG003, BG009</t>
        </is>
      </c>
      <c r="H67" t="inlineStr">
        <is>
          <t>21 Februari 2023</t>
        </is>
      </c>
      <c r="I67" s="2" t="n">
        <v>46272</v>
      </c>
      <c r="J67" t="inlineStr">
        <is>
          <t>Disetujui</t>
        </is>
      </c>
      <c r="K67" t="n">
        <v>90</v>
      </c>
      <c r="L67" t="inlineStr">
        <is>
          <t>7 September 2026</t>
        </is>
      </c>
      <c r="M67" t="inlineStr">
        <is>
          <t>Konstruksi Gedung Hunian, Konstruksi Gedung Industri, Konstruksi Gedung Lainnya</t>
        </is>
      </c>
      <c r="N67" t="inlineStr">
        <is>
          <t>K</t>
        </is>
      </c>
      <c r="O67" t="inlineStr">
        <is>
          <t>20230821, 20230825</t>
        </is>
      </c>
      <c r="P67" t="inlineStr">
        <is>
          <t>Sumatera Utara</t>
        </is>
      </c>
      <c r="Q67" t="inlineStr"/>
    </row>
    <row r="68">
      <c r="A68" t="inlineStr">
        <is>
          <t>GENTA MAS</t>
        </is>
      </c>
      <c r="B68" t="inlineStr">
        <is>
          <t>Kab. Kediri</t>
        </is>
      </c>
      <c r="C68" t="inlineStr">
        <is>
          <t>0354685477</t>
        </is>
      </c>
      <c r="D68" t="inlineStr">
        <is>
          <t>genta_mas@windowslive.com</t>
        </is>
      </c>
      <c r="E68" t="inlineStr">
        <is>
          <t>https://lpjk.pu.go.id/search-badan-usaha-detail/L0kzMjlteG1WWXdsMzFRNWhHKy9XQT09</t>
        </is>
      </c>
      <c r="F68" t="n">
        <v>2</v>
      </c>
      <c r="G68" t="inlineStr">
        <is>
          <t>BS001, BS004</t>
        </is>
      </c>
      <c r="H68" t="inlineStr">
        <is>
          <t>31 Januari 2007</t>
        </is>
      </c>
      <c r="I68" s="2" t="n">
        <v>46272</v>
      </c>
      <c r="J68" t="inlineStr">
        <is>
          <t>Disetujui</t>
        </is>
      </c>
      <c r="K68" t="n">
        <v>90</v>
      </c>
      <c r="L68" t="inlineStr">
        <is>
          <t>7 September 2026</t>
        </is>
      </c>
      <c r="M68" t="inlineStr">
        <is>
          <t>Konstruksi Bangunan Sipil Jalan, Konstruksi Jaringan Irigasi dan Drainase</t>
        </is>
      </c>
      <c r="N68" t="inlineStr">
        <is>
          <t>K</t>
        </is>
      </c>
      <c r="O68" t="inlineStr">
        <is>
          <t>20230827</t>
        </is>
      </c>
      <c r="P68" t="inlineStr">
        <is>
          <t>Jawa Timur</t>
        </is>
      </c>
      <c r="Q68" t="inlineStr"/>
    </row>
    <row r="69">
      <c r="A69" t="inlineStr">
        <is>
          <t>GIRI KENCANA</t>
        </is>
      </c>
      <c r="B69" t="inlineStr">
        <is>
          <t>Kota Pekanbaru</t>
        </is>
      </c>
      <c r="C69" t="inlineStr">
        <is>
          <t>082169977877</t>
        </is>
      </c>
      <c r="D69" t="inlineStr">
        <is>
          <t>girikencana082019@gmail.com</t>
        </is>
      </c>
      <c r="E69" t="inlineStr">
        <is>
          <t>https://lpjk.pu.go.id/search-badan-usaha-detail/U05pZkF4NFZVSlZ6OUVHZnNyRTJpZz09</t>
        </is>
      </c>
      <c r="F69" t="n">
        <v>3</v>
      </c>
      <c r="G69" t="inlineStr">
        <is>
          <t>BG001, BG003, BS001</t>
        </is>
      </c>
      <c r="H69" t="inlineStr">
        <is>
          <t>15 Mei 1996</t>
        </is>
      </c>
      <c r="I69" s="2" t="n">
        <v>46272</v>
      </c>
      <c r="J69" t="inlineStr">
        <is>
          <t>Pencabutan</t>
        </is>
      </c>
      <c r="K69" t="n">
        <v>90</v>
      </c>
      <c r="L69" t="inlineStr">
        <is>
          <t>7 September 2026</t>
        </is>
      </c>
      <c r="M69" t="inlineStr">
        <is>
          <t>Konstruksi Bangunan Sipil Jalan, Konstruksi Gedung Hunian, Konstruksi Gedung Industri</t>
        </is>
      </c>
      <c r="N69" t="inlineStr">
        <is>
          <t>K</t>
        </is>
      </c>
      <c r="O69" t="inlineStr">
        <is>
          <t>20230905, 20230907</t>
        </is>
      </c>
      <c r="P69" t="inlineStr">
        <is>
          <t>Riau</t>
        </is>
      </c>
      <c r="Q69" t="inlineStr"/>
    </row>
    <row r="70">
      <c r="A70" t="inlineStr">
        <is>
          <t>GITA PRATAMA LESTARI</t>
        </is>
      </c>
      <c r="B70" t="inlineStr">
        <is>
          <t>Kab. Ciamis</t>
        </is>
      </c>
      <c r="C70" t="inlineStr">
        <is>
          <t>082218652158</t>
        </is>
      </c>
      <c r="D70" t="inlineStr">
        <is>
          <t>pt.gplestari@gmail.com</t>
        </is>
      </c>
      <c r="E70" t="inlineStr">
        <is>
          <t>https://lpjk.pu.go.id/search-badan-usaha-detail/MWk5eTZyekhBZmlRSHNrTUs3M3pOUT09</t>
        </is>
      </c>
      <c r="F70" t="n">
        <v>2</v>
      </c>
      <c r="G70" t="inlineStr">
        <is>
          <t>BS004, BS006</t>
        </is>
      </c>
      <c r="H70" t="inlineStr">
        <is>
          <t>27 Juli 2023</t>
        </is>
      </c>
      <c r="I70" s="2" t="n">
        <v>46272</v>
      </c>
      <c r="J70" t="inlineStr">
        <is>
          <t>Disetujui</t>
        </is>
      </c>
      <c r="K70" t="n">
        <v>90</v>
      </c>
      <c r="L70" t="inlineStr">
        <is>
          <t>7 September 2026</t>
        </is>
      </c>
      <c r="M70" t="inlineStr">
        <is>
          <t>Konstruksi Bangunan Sipil Prasarana dan Sarana Sistem Pengolahan Limbah Padat, Cair, dan Gas, Konstruksi Jaringan Irigasi dan Drainase</t>
        </is>
      </c>
      <c r="N70" t="inlineStr">
        <is>
          <t>K</t>
        </is>
      </c>
      <c r="O70" t="inlineStr">
        <is>
          <t>20230828</t>
        </is>
      </c>
      <c r="P70" t="inlineStr">
        <is>
          <t>Jawa Barat</t>
        </is>
      </c>
      <c r="Q70" t="inlineStr"/>
    </row>
    <row r="71">
      <c r="A71" t="inlineStr">
        <is>
          <t>GUA BATU JAYA</t>
        </is>
      </c>
      <c r="B71" t="inlineStr">
        <is>
          <t>Kab. Badung</t>
        </is>
      </c>
      <c r="C71" t="inlineStr">
        <is>
          <t>082340407606</t>
        </is>
      </c>
      <c r="D71" t="inlineStr">
        <is>
          <t>guabatujaya@gmail.com</t>
        </is>
      </c>
      <c r="E71" t="inlineStr">
        <is>
          <t>https://lpjk.pu.go.id/search-badan-usaha-detail/a21PcDhaa1kzMmZoZTZBeXp1aHJiUT09</t>
        </is>
      </c>
      <c r="F71" t="n">
        <v>1</v>
      </c>
      <c r="G71" t="inlineStr">
        <is>
          <t>BS001</t>
        </is>
      </c>
      <c r="H71" t="inlineStr">
        <is>
          <t>15 Agustus 2018</t>
        </is>
      </c>
      <c r="I71" s="2" t="n">
        <v>46272</v>
      </c>
      <c r="J71" t="inlineStr">
        <is>
          <t>Pencabutan</t>
        </is>
      </c>
      <c r="K71" t="n">
        <v>90</v>
      </c>
      <c r="L71" t="inlineStr">
        <is>
          <t>7 September 2026</t>
        </is>
      </c>
      <c r="M71" t="inlineStr">
        <is>
          <t>Konstruksi Bangunan Sipil Jalan</t>
        </is>
      </c>
      <c r="N71" t="inlineStr">
        <is>
          <t>K</t>
        </is>
      </c>
      <c r="O71" t="inlineStr">
        <is>
          <t>20230908</t>
        </is>
      </c>
      <c r="P71" t="inlineStr">
        <is>
          <t>Bali</t>
        </is>
      </c>
      <c r="Q71" t="inlineStr"/>
    </row>
    <row r="72">
      <c r="A72" t="inlineStr">
        <is>
          <t>GUNA TATA SINAMBUNG</t>
        </is>
      </c>
      <c r="B72" t="inlineStr">
        <is>
          <t>Kab. Subang</t>
        </is>
      </c>
      <c r="C72" t="inlineStr">
        <is>
          <t>081220257920</t>
        </is>
      </c>
      <c r="D72" t="inlineStr">
        <is>
          <t>gunatatasinambung1996@yahoo.com</t>
        </is>
      </c>
      <c r="E72" t="inlineStr">
        <is>
          <t>https://lpjk.pu.go.id/search-badan-usaha-detail/S09QbTlJT1dYU0FDbVhYUk1EOGRVQT09</t>
        </is>
      </c>
      <c r="F72" t="n">
        <v>1</v>
      </c>
      <c r="G72" t="inlineStr">
        <is>
          <t>BS004</t>
        </is>
      </c>
      <c r="H72" t="inlineStr">
        <is>
          <t>4 Maret 1996</t>
        </is>
      </c>
      <c r="I72" s="2" t="n">
        <v>46272</v>
      </c>
      <c r="J72" t="inlineStr">
        <is>
          <t>Pencabutan</t>
        </is>
      </c>
      <c r="K72" t="n">
        <v>90</v>
      </c>
      <c r="L72" t="inlineStr">
        <is>
          <t>7 September 2026</t>
        </is>
      </c>
      <c r="M72" t="inlineStr">
        <is>
          <t>Konstruksi Jaringan Irigasi dan Drainase</t>
        </is>
      </c>
      <c r="N72" t="inlineStr">
        <is>
          <t>K</t>
        </is>
      </c>
      <c r="O72" t="inlineStr">
        <is>
          <t>20230906</t>
        </is>
      </c>
      <c r="P72" t="inlineStr">
        <is>
          <t>Jawa Barat</t>
        </is>
      </c>
      <c r="Q72" t="inlineStr"/>
    </row>
    <row r="73">
      <c r="A73" t="inlineStr">
        <is>
          <t>HARAPAN KITA</t>
        </is>
      </c>
      <c r="B73" t="inlineStr">
        <is>
          <t>Kota Semarang</t>
        </is>
      </c>
      <c r="C73" t="inlineStr">
        <is>
          <t>085942112132</t>
        </is>
      </c>
      <c r="D73" t="inlineStr">
        <is>
          <t>cvharapankita57@gmail.com</t>
        </is>
      </c>
      <c r="E73" t="inlineStr">
        <is>
          <t>https://lpjk.pu.go.id/search-badan-usaha-detail/VWtiUTJlM0JtWkI5OG50STJWbXBMZz09</t>
        </is>
      </c>
      <c r="F73" t="n">
        <v>12</v>
      </c>
      <c r="G73" t="inlineStr">
        <is>
          <t>BG002, BG006, BG009, BS001, BS004, BS005</t>
        </is>
      </c>
      <c r="H73" t="inlineStr">
        <is>
          <t>13 Februari 1991</t>
        </is>
      </c>
      <c r="I73" s="2" t="n">
        <v>46272</v>
      </c>
      <c r="J73" t="inlineStr">
        <is>
          <t>Disetujui</t>
        </is>
      </c>
      <c r="K73" t="n">
        <v>90</v>
      </c>
      <c r="L73" t="inlineStr">
        <is>
          <t>7 September 2026</t>
        </is>
      </c>
      <c r="M73" t="inlineStr">
        <is>
          <t>Konstruksi Bangunan Sipil Jalan, Konstruksi Bangunan Sipil Pengolahan Air Bersih, Konstruksi Gedung Lainnya, Konstruksi Gedung Pendidikan, Konstruksi Gedung Perkantoran, Konstruksi Jaringan Irigasi dan Drainase</t>
        </is>
      </c>
      <c r="N73" t="inlineStr">
        <is>
          <t>K</t>
        </is>
      </c>
      <c r="O73" t="inlineStr">
        <is>
          <t>20230902, 20230905</t>
        </is>
      </c>
      <c r="P73" t="inlineStr">
        <is>
          <t>Jawa Tengah</t>
        </is>
      </c>
      <c r="Q73" t="inlineStr"/>
    </row>
    <row r="74">
      <c r="A74" t="inlineStr">
        <is>
          <t>HIKMAH</t>
        </is>
      </c>
      <c r="B74" t="inlineStr">
        <is>
          <t>Kab. Banggai</t>
        </is>
      </c>
      <c r="C74" t="inlineStr">
        <is>
          <t>082292946251</t>
        </is>
      </c>
      <c r="D74" t="inlineStr">
        <is>
          <t>nhana1008@gmail.com</t>
        </is>
      </c>
      <c r="E74" t="inlineStr">
        <is>
          <t>https://lpjk.pu.go.id/search-badan-usaha-detail/SW9oTXlkWnh4NHlodDYzZGNQTFFzUT09</t>
        </is>
      </c>
      <c r="F74" t="n">
        <v>1</v>
      </c>
      <c r="G74" t="inlineStr">
        <is>
          <t>BG009</t>
        </is>
      </c>
      <c r="H74" t="inlineStr">
        <is>
          <t>8 Maret 1983</t>
        </is>
      </c>
      <c r="I74" s="2" t="n">
        <v>46272</v>
      </c>
      <c r="J74" t="inlineStr">
        <is>
          <t>Disetujui</t>
        </is>
      </c>
      <c r="K74" t="n">
        <v>90</v>
      </c>
      <c r="L74" t="inlineStr">
        <is>
          <t>7 September 2026</t>
        </is>
      </c>
      <c r="M74" t="inlineStr">
        <is>
          <t>Konstruksi Gedung Lainnya</t>
        </is>
      </c>
      <c r="N74" t="inlineStr">
        <is>
          <t>K</t>
        </is>
      </c>
      <c r="O74" t="inlineStr">
        <is>
          <t>20230831</t>
        </is>
      </c>
      <c r="P74" t="inlineStr">
        <is>
          <t>Sulawesi Tengah</t>
        </is>
      </c>
      <c r="Q74" t="inlineStr"/>
    </row>
    <row r="75">
      <c r="A75" t="inlineStr">
        <is>
          <t>IDEA GROUP</t>
        </is>
      </c>
      <c r="B75" t="inlineStr">
        <is>
          <t>Kab. Indramayu</t>
        </is>
      </c>
      <c r="C75" t="inlineStr">
        <is>
          <t>085314450218</t>
        </is>
      </c>
      <c r="D75" t="inlineStr">
        <is>
          <t>ideagroup.cv@gmail.com</t>
        </is>
      </c>
      <c r="E75" t="inlineStr">
        <is>
          <t>https://lpjk.pu.go.id/search-badan-usaha-detail/WEJwNUM2Sng5WGFpdVBLQW9yTU9hUT09</t>
        </is>
      </c>
      <c r="F75" t="n">
        <v>1</v>
      </c>
      <c r="G75" t="inlineStr">
        <is>
          <t>BG002</t>
        </is>
      </c>
      <c r="H75" t="inlineStr">
        <is>
          <t>13 Juni 2019</t>
        </is>
      </c>
      <c r="I75" s="2" t="n">
        <v>46272</v>
      </c>
      <c r="J75" t="inlineStr">
        <is>
          <t>Disetujui</t>
        </is>
      </c>
      <c r="K75" t="n">
        <v>90</v>
      </c>
      <c r="L75" t="inlineStr">
        <is>
          <t>7 September 2026</t>
        </is>
      </c>
      <c r="M75" t="inlineStr">
        <is>
          <t>Konstruksi Gedung Perkantoran</t>
        </is>
      </c>
      <c r="N75" t="inlineStr">
        <is>
          <t>K</t>
        </is>
      </c>
      <c r="O75" t="inlineStr">
        <is>
          <t>20230905</t>
        </is>
      </c>
      <c r="P75" t="inlineStr">
        <is>
          <t>Jawa Barat</t>
        </is>
      </c>
      <c r="Q75" t="inlineStr"/>
    </row>
    <row r="76">
      <c r="A76" t="inlineStr">
        <is>
          <t>ILHAM JAYA ABADI</t>
        </is>
      </c>
      <c r="B76" t="inlineStr">
        <is>
          <t>Kota Makassar</t>
        </is>
      </c>
      <c r="C76" t="inlineStr">
        <is>
          <t>081241013203</t>
        </is>
      </c>
      <c r="D76" t="inlineStr">
        <is>
          <t>ilham_muhammad0358@yahoo.com</t>
        </is>
      </c>
      <c r="E76" t="inlineStr">
        <is>
          <t>https://lpjk.pu.go.id/search-badan-usaha-detail/S08rWm90a21oVEFYOFBMaDlQQm44dz09</t>
        </is>
      </c>
      <c r="F76" t="n">
        <v>4</v>
      </c>
      <c r="G76" t="inlineStr">
        <is>
          <t>BG002, BG005, BG006, BG009</t>
        </is>
      </c>
      <c r="H76" t="inlineStr">
        <is>
          <t>16 Oktober 2014</t>
        </is>
      </c>
      <c r="I76" s="2" t="n">
        <v>46272</v>
      </c>
      <c r="J76" t="inlineStr">
        <is>
          <t>Disetujui</t>
        </is>
      </c>
      <c r="K76" t="n">
        <v>90</v>
      </c>
      <c r="L76" t="inlineStr">
        <is>
          <t>7 September 2026</t>
        </is>
      </c>
      <c r="M76" t="inlineStr">
        <is>
          <t>Konstruksi Gedung Kesehatan, Konstruksi Gedung Lainnya, Konstruksi Gedung Pendidikan, Konstruksi Gedung Perkantoran</t>
        </is>
      </c>
      <c r="N76" t="inlineStr">
        <is>
          <t>K</t>
        </is>
      </c>
      <c r="O76" t="inlineStr">
        <is>
          <t>20230816</t>
        </is>
      </c>
      <c r="P76" t="inlineStr">
        <is>
          <t>Sulawesi Selatan</t>
        </is>
      </c>
      <c r="Q76" t="inlineStr"/>
    </row>
    <row r="77">
      <c r="A77" t="inlineStr">
        <is>
          <t>INDAH JAYA BERSINAR</t>
        </is>
      </c>
      <c r="B77" t="inlineStr">
        <is>
          <t>Kab. Kutai Timur</t>
        </is>
      </c>
      <c r="C77" t="inlineStr">
        <is>
          <t>085246888861</t>
        </is>
      </c>
      <c r="D77" t="inlineStr">
        <is>
          <t>cv.indahjayabersinar@gmail.com</t>
        </is>
      </c>
      <c r="E77" t="inlineStr">
        <is>
          <t>https://lpjk.pu.go.id/search-badan-usaha-detail/cCtmZ09KSVNReU04UXVoLzBxUHdGZz09</t>
        </is>
      </c>
      <c r="F77" t="n">
        <v>1</v>
      </c>
      <c r="G77" t="inlineStr">
        <is>
          <t>BS001</t>
        </is>
      </c>
      <c r="H77" t="inlineStr">
        <is>
          <t>11 Januari 2023</t>
        </is>
      </c>
      <c r="I77" s="2" t="n">
        <v>46272</v>
      </c>
      <c r="J77" t="inlineStr">
        <is>
          <t>Disetujui</t>
        </is>
      </c>
      <c r="K77" t="n">
        <v>90</v>
      </c>
      <c r="L77" t="inlineStr">
        <is>
          <t>7 September 2026</t>
        </is>
      </c>
      <c r="M77" t="inlineStr">
        <is>
          <t>Konstruksi Bangunan Sipil Jalan</t>
        </is>
      </c>
      <c r="N77" t="inlineStr">
        <is>
          <t>K</t>
        </is>
      </c>
      <c r="O77" t="inlineStr">
        <is>
          <t>20230905</t>
        </is>
      </c>
      <c r="P77" t="inlineStr">
        <is>
          <t>Kalimantan Timur</t>
        </is>
      </c>
      <c r="Q77" t="inlineStr"/>
    </row>
    <row r="78">
      <c r="A78" t="inlineStr">
        <is>
          <t>INDONESIA SEJAHTERA</t>
        </is>
      </c>
      <c r="B78" t="inlineStr">
        <is>
          <t>Kota Kupang</t>
        </is>
      </c>
      <c r="C78" t="inlineStr">
        <is>
          <t>081339789988</t>
        </is>
      </c>
      <c r="D78" t="inlineStr">
        <is>
          <t>indonesiasejahtera15@gmail.com</t>
        </is>
      </c>
      <c r="E78" t="inlineStr">
        <is>
          <t>https://lpjk.pu.go.id/search-badan-usaha-detail/MzN5RU8yUzl0MEZoZGxyL1dYOUJ1Zz09</t>
        </is>
      </c>
      <c r="F78" t="n">
        <v>2</v>
      </c>
      <c r="G78" t="inlineStr">
        <is>
          <t>BS001</t>
        </is>
      </c>
      <c r="H78" t="inlineStr">
        <is>
          <t>24 Oktober 2017</t>
        </is>
      </c>
      <c r="I78" s="2" t="n">
        <v>46272</v>
      </c>
      <c r="J78" t="inlineStr">
        <is>
          <t>Disetujui</t>
        </is>
      </c>
      <c r="K78" t="n">
        <v>90</v>
      </c>
      <c r="L78" t="inlineStr">
        <is>
          <t>7 September 2026</t>
        </is>
      </c>
      <c r="M78" t="inlineStr">
        <is>
          <t>Konstruksi Bangunan Sipil Jalan</t>
        </is>
      </c>
      <c r="N78" t="inlineStr">
        <is>
          <t>K</t>
        </is>
      </c>
      <c r="O78" t="inlineStr">
        <is>
          <t>20230905</t>
        </is>
      </c>
      <c r="P78" t="inlineStr">
        <is>
          <t>Nusa Tenggara Timur</t>
        </is>
      </c>
      <c r="Q78" t="inlineStr"/>
    </row>
    <row r="79">
      <c r="A79" t="inlineStr">
        <is>
          <t>INDRA JAYA EMPAT DUA</t>
        </is>
      </c>
      <c r="B79" t="inlineStr">
        <is>
          <t>Kab. Kotabaru</t>
        </is>
      </c>
      <c r="C79" t="inlineStr">
        <is>
          <t>081255042226</t>
        </is>
      </c>
      <c r="D79" t="inlineStr">
        <is>
          <t>cvindrajayaempatdua@gmail.com</t>
        </is>
      </c>
      <c r="E79" t="inlineStr">
        <is>
          <t>https://lpjk.pu.go.id/search-badan-usaha-detail/b21BVXB3VlA3ZFNmQUdvMVp1eXhtdz09</t>
        </is>
      </c>
      <c r="F79" t="n">
        <v>1</v>
      </c>
      <c r="G79" t="inlineStr">
        <is>
          <t>BS001</t>
        </is>
      </c>
      <c r="H79" t="inlineStr">
        <is>
          <t>12 Juli 2023</t>
        </is>
      </c>
      <c r="I79" s="2" t="n">
        <v>46272</v>
      </c>
      <c r="J79" t="inlineStr">
        <is>
          <t>Disetujui</t>
        </is>
      </c>
      <c r="K79" t="n">
        <v>90</v>
      </c>
      <c r="L79" t="inlineStr">
        <is>
          <t>7 September 2026</t>
        </is>
      </c>
      <c r="M79" t="inlineStr">
        <is>
          <t>Konstruksi Bangunan Sipil Jalan</t>
        </is>
      </c>
      <c r="N79" t="inlineStr">
        <is>
          <t>K</t>
        </is>
      </c>
      <c r="O79" t="inlineStr">
        <is>
          <t>20230905</t>
        </is>
      </c>
      <c r="P79" t="inlineStr">
        <is>
          <t>Kalimantan Selatan</t>
        </is>
      </c>
      <c r="Q79" t="inlineStr"/>
    </row>
    <row r="80">
      <c r="A80" t="inlineStr">
        <is>
          <t>JAYA BUMI PERKASA</t>
        </is>
      </c>
      <c r="B80" t="inlineStr">
        <is>
          <t>Kota Padang</t>
        </is>
      </c>
      <c r="C80" t="inlineStr">
        <is>
          <t>-</t>
        </is>
      </c>
      <c r="D80" t="inlineStr">
        <is>
          <t>jayabumiperkasa@gmail.com</t>
        </is>
      </c>
      <c r="E80" t="inlineStr">
        <is>
          <t>https://lpjk.pu.go.id/search-badan-usaha-detail/aU1pVUhwUE42dDh0YngvQ3pRTlV2UT09</t>
        </is>
      </c>
      <c r="F80" t="n">
        <v>1</v>
      </c>
      <c r="G80" t="inlineStr">
        <is>
          <t>BG005</t>
        </is>
      </c>
      <c r="H80" t="inlineStr">
        <is>
          <t>6 Juli 2020</t>
        </is>
      </c>
      <c r="I80" s="2" t="n">
        <v>46272</v>
      </c>
      <c r="J80" t="inlineStr">
        <is>
          <t>Disetujui</t>
        </is>
      </c>
      <c r="K80" t="n">
        <v>90</v>
      </c>
      <c r="L80" t="inlineStr">
        <is>
          <t>7 September 2026</t>
        </is>
      </c>
      <c r="M80" t="inlineStr">
        <is>
          <t>Konstruksi Gedung Kesehatan</t>
        </is>
      </c>
      <c r="N80" t="inlineStr">
        <is>
          <t>K</t>
        </is>
      </c>
      <c r="O80" t="inlineStr">
        <is>
          <t>20230906</t>
        </is>
      </c>
      <c r="P80" t="inlineStr">
        <is>
          <t>Sumatera Barat</t>
        </is>
      </c>
      <c r="Q80" t="inlineStr"/>
    </row>
    <row r="81">
      <c r="A81" t="inlineStr">
        <is>
          <t>JAYA VISTA GROUP</t>
        </is>
      </c>
      <c r="B81" t="inlineStr">
        <is>
          <t>Kota Padang</t>
        </is>
      </c>
      <c r="C81" t="inlineStr">
        <is>
          <t>085375486528</t>
        </is>
      </c>
      <c r="D81" t="inlineStr">
        <is>
          <t>cv.jayavistagroup@gmail.com</t>
        </is>
      </c>
      <c r="E81" t="inlineStr">
        <is>
          <t>https://lpjk.pu.go.id/search-badan-usaha-detail/RTIwUzdWdzFnNGlENk5YWjZDUHZLdz09</t>
        </is>
      </c>
      <c r="F81" t="n">
        <v>1</v>
      </c>
      <c r="G81" t="inlineStr">
        <is>
          <t>BG004</t>
        </is>
      </c>
      <c r="H81" t="inlineStr">
        <is>
          <t>30 September 2022</t>
        </is>
      </c>
      <c r="I81" s="2" t="n">
        <v>46272</v>
      </c>
      <c r="J81" t="inlineStr">
        <is>
          <t>Disetujui</t>
        </is>
      </c>
      <c r="K81" t="n">
        <v>90</v>
      </c>
      <c r="L81" t="inlineStr">
        <is>
          <t>7 September 2026</t>
        </is>
      </c>
      <c r="M81" t="inlineStr">
        <is>
          <t>Konstruksi Gedung Perbelanjaan</t>
        </is>
      </c>
      <c r="N81" t="inlineStr">
        <is>
          <t>K</t>
        </is>
      </c>
      <c r="O81" t="inlineStr">
        <is>
          <t>20230906</t>
        </is>
      </c>
      <c r="P81" t="inlineStr">
        <is>
          <t>Sumatera Barat</t>
        </is>
      </c>
      <c r="Q81" t="inlineStr"/>
    </row>
    <row r="82">
      <c r="A82" t="inlineStr">
        <is>
          <t>KALIJAGA</t>
        </is>
      </c>
      <c r="B82" t="inlineStr">
        <is>
          <t>Kab. Jombang</t>
        </is>
      </c>
      <c r="C82" t="inlineStr">
        <is>
          <t>0813 5789 4477</t>
        </is>
      </c>
      <c r="D82" t="inlineStr">
        <is>
          <t>cvkalijaga.ina@gmail.com</t>
        </is>
      </c>
      <c r="E82" t="inlineStr">
        <is>
          <t>https://lpjk.pu.go.id/search-badan-usaha-detail/djVSNTQ3OG9TZFBSdTJocnRES29nUT09</t>
        </is>
      </c>
      <c r="F82" t="n">
        <v>1</v>
      </c>
      <c r="G82" t="inlineStr">
        <is>
          <t>BG006</t>
        </is>
      </c>
      <c r="H82" t="inlineStr">
        <is>
          <t>28 Maret 2018</t>
        </is>
      </c>
      <c r="I82" s="2" t="n">
        <v>46272</v>
      </c>
      <c r="J82" t="inlineStr">
        <is>
          <t>Disetujui</t>
        </is>
      </c>
      <c r="K82" t="n">
        <v>90</v>
      </c>
      <c r="L82" t="inlineStr">
        <is>
          <t>7 September 2026</t>
        </is>
      </c>
      <c r="M82" t="inlineStr">
        <is>
          <t>Konstruksi Gedung Pendidikan</t>
        </is>
      </c>
      <c r="N82" t="inlineStr">
        <is>
          <t>K</t>
        </is>
      </c>
      <c r="O82" t="inlineStr">
        <is>
          <t>20230905</t>
        </is>
      </c>
      <c r="P82" t="inlineStr">
        <is>
          <t>Jawa Timur</t>
        </is>
      </c>
      <c r="Q82" t="inlineStr"/>
    </row>
    <row r="83">
      <c r="A83" t="inlineStr">
        <is>
          <t>KALIMAYA</t>
        </is>
      </c>
      <c r="B83" t="inlineStr">
        <is>
          <t>Kota Surabaya</t>
        </is>
      </c>
      <c r="C83" t="inlineStr">
        <is>
          <t>081332642262</t>
        </is>
      </c>
      <c r="D83" t="inlineStr">
        <is>
          <t>kalimaya_surabaya@yahoo.com</t>
        </is>
      </c>
      <c r="E83" t="inlineStr">
        <is>
          <t>https://lpjk.pu.go.id/search-badan-usaha-detail/c28yZFhKUnhDdTd3Q0IrWER5MXJZQT09</t>
        </is>
      </c>
      <c r="F83" t="n">
        <v>3</v>
      </c>
      <c r="G83" t="inlineStr">
        <is>
          <t>BG002</t>
        </is>
      </c>
      <c r="H83" t="inlineStr">
        <is>
          <t>18 Mei 2006</t>
        </is>
      </c>
      <c r="I83" s="2" t="n">
        <v>46272</v>
      </c>
      <c r="J83" t="inlineStr">
        <is>
          <t>Disetujui</t>
        </is>
      </c>
      <c r="K83" t="n">
        <v>90</v>
      </c>
      <c r="L83" t="inlineStr">
        <is>
          <t>7 September 2026</t>
        </is>
      </c>
      <c r="M83" t="inlineStr">
        <is>
          <t>Konstruksi Gedung Perkantoran</t>
        </is>
      </c>
      <c r="N83" t="inlineStr">
        <is>
          <t>M</t>
        </is>
      </c>
      <c r="O83" t="inlineStr">
        <is>
          <t>20230831</t>
        </is>
      </c>
      <c r="P83" t="inlineStr">
        <is>
          <t>Jawa Timur</t>
        </is>
      </c>
      <c r="Q83" t="inlineStr"/>
    </row>
    <row r="84">
      <c r="A84" t="inlineStr">
        <is>
          <t>KARYA ANUGERAH INMA</t>
        </is>
      </c>
      <c r="B84" t="inlineStr">
        <is>
          <t>Kota Makassar</t>
        </is>
      </c>
      <c r="C84" t="inlineStr">
        <is>
          <t>08119700528</t>
        </is>
      </c>
      <c r="D84" t="inlineStr">
        <is>
          <t>pt_kai2000@yahoo.com</t>
        </is>
      </c>
      <c r="E84" t="inlineStr">
        <is>
          <t>https://lpjk.pu.go.id/search-badan-usaha-detail/TE5GYUtCbWpPRGFncHI4R0tid2NiUT09</t>
        </is>
      </c>
      <c r="F84" t="n">
        <v>1</v>
      </c>
      <c r="G84" t="inlineStr">
        <is>
          <t>BS010</t>
        </is>
      </c>
      <c r="H84" t="inlineStr">
        <is>
          <t>26 Agustus 1982</t>
        </is>
      </c>
      <c r="I84" s="2" t="n">
        <v>46272</v>
      </c>
      <c r="J84" t="inlineStr">
        <is>
          <t>Pencabutan</t>
        </is>
      </c>
      <c r="K84" t="n">
        <v>90</v>
      </c>
      <c r="L84" t="inlineStr">
        <is>
          <t>7 September 2026</t>
        </is>
      </c>
      <c r="M84" t="inlineStr">
        <is>
          <t>Konstruksi Bangunan Prasarana Sumber Daya Air</t>
        </is>
      </c>
      <c r="N84" t="inlineStr">
        <is>
          <t>B</t>
        </is>
      </c>
      <c r="O84" t="inlineStr">
        <is>
          <t>20230907</t>
        </is>
      </c>
      <c r="P84" t="inlineStr">
        <is>
          <t>Sulawesi Selatan</t>
        </is>
      </c>
      <c r="Q84" t="inlineStr"/>
    </row>
    <row r="85">
      <c r="A85" t="inlineStr">
        <is>
          <t>KARYA GEMILANG UTAMA</t>
        </is>
      </c>
      <c r="B85" t="inlineStr">
        <is>
          <t>Kab. Tanjung Jabung Timur</t>
        </is>
      </c>
      <c r="C85" t="inlineStr">
        <is>
          <t>082279014077</t>
        </is>
      </c>
      <c r="D85" t="inlineStr">
        <is>
          <t>karyagemilangutama.cv@gmail.com</t>
        </is>
      </c>
      <c r="E85" t="inlineStr">
        <is>
          <t>https://lpjk.pu.go.id/search-badan-usaha-detail/QlgzaEk3NzNzM3hpU0pGcjBYTEdnQT09</t>
        </is>
      </c>
      <c r="F85" t="n">
        <v>4</v>
      </c>
      <c r="G85" t="inlineStr">
        <is>
          <t>BG002, BG005, BG006, BS007</t>
        </is>
      </c>
      <c r="H85" t="inlineStr">
        <is>
          <t>14 Maret 2014</t>
        </is>
      </c>
      <c r="I85" s="2" t="n">
        <v>46272</v>
      </c>
      <c r="J85" t="inlineStr">
        <is>
          <t>Disetujui</t>
        </is>
      </c>
      <c r="K85" t="n">
        <v>90</v>
      </c>
      <c r="L85" t="inlineStr">
        <is>
          <t>7 September 2026</t>
        </is>
      </c>
      <c r="M85" t="inlineStr">
        <is>
          <t>Konstruksi Bangunan Sipil Elektrikal, Konstruksi Gedung Kesehatan, Konstruksi Gedung Pendidikan, Konstruksi Gedung Perkantoran</t>
        </is>
      </c>
      <c r="N85" t="inlineStr">
        <is>
          <t>K</t>
        </is>
      </c>
      <c r="O85" t="inlineStr">
        <is>
          <t>20230901</t>
        </is>
      </c>
      <c r="P85" t="inlineStr">
        <is>
          <t>Jambi</t>
        </is>
      </c>
      <c r="Q85" t="inlineStr"/>
    </row>
    <row r="86">
      <c r="A86" t="inlineStr">
        <is>
          <t>KARYA KIYURA JAYA</t>
        </is>
      </c>
      <c r="B86" t="inlineStr">
        <is>
          <t>Kab. Sumenep</t>
        </is>
      </c>
      <c r="C86" t="inlineStr">
        <is>
          <t>087730505060</t>
        </is>
      </c>
      <c r="D86" t="inlineStr">
        <is>
          <t>cv.karyakiyurajaya@gmail.com</t>
        </is>
      </c>
      <c r="E86" t="inlineStr">
        <is>
          <t>https://lpjk.pu.go.id/search-badan-usaha-detail/K1hCK0V1RzFMUEdLeFZHbmRGdGdlUT09</t>
        </is>
      </c>
      <c r="F86" t="n">
        <v>3</v>
      </c>
      <c r="G86" t="inlineStr">
        <is>
          <t>BG002, BG005, BG009</t>
        </is>
      </c>
      <c r="H86" t="inlineStr">
        <is>
          <t>20 Februari 2020</t>
        </is>
      </c>
      <c r="I86" s="2" t="n">
        <v>46272</v>
      </c>
      <c r="J86" t="inlineStr">
        <is>
          <t>Disetujui</t>
        </is>
      </c>
      <c r="K86" t="n">
        <v>90</v>
      </c>
      <c r="L86" t="inlineStr">
        <is>
          <t>7 September 2026</t>
        </is>
      </c>
      <c r="M86" t="inlineStr">
        <is>
          <t>Konstruksi Gedung Kesehatan, Konstruksi Gedung Lainnya, Konstruksi Gedung Perkantoran</t>
        </is>
      </c>
      <c r="N86" t="inlineStr">
        <is>
          <t>K</t>
        </is>
      </c>
      <c r="O86" t="inlineStr">
        <is>
          <t>20230901</t>
        </is>
      </c>
      <c r="P86" t="inlineStr">
        <is>
          <t>Jawa Timur</t>
        </is>
      </c>
      <c r="Q86" t="inlineStr"/>
    </row>
    <row r="87">
      <c r="A87" t="inlineStr">
        <is>
          <t>KARYA MANDIRI</t>
        </is>
      </c>
      <c r="B87" t="inlineStr">
        <is>
          <t>Kota Pontianak</t>
        </is>
      </c>
      <c r="C87" t="inlineStr">
        <is>
          <t>081345511105</t>
        </is>
      </c>
      <c r="D87" t="inlineStr">
        <is>
          <t>karya_mandiri_cv@yahoo.co.id</t>
        </is>
      </c>
      <c r="E87" t="inlineStr">
        <is>
          <t>https://lpjk.pu.go.id/search-badan-usaha-detail/VFduU2hsYVVmSDYvT1BBODFpQW0wQT09</t>
        </is>
      </c>
      <c r="F87" t="n">
        <v>1</v>
      </c>
      <c r="G87" t="inlineStr">
        <is>
          <t>BS010</t>
        </is>
      </c>
      <c r="H87" t="inlineStr">
        <is>
          <t>23 Juli 1993</t>
        </is>
      </c>
      <c r="I87" s="2" t="n">
        <v>46272</v>
      </c>
      <c r="J87" t="inlineStr">
        <is>
          <t>Disetujui</t>
        </is>
      </c>
      <c r="K87" t="n">
        <v>90</v>
      </c>
      <c r="L87" t="inlineStr">
        <is>
          <t>7 September 2026</t>
        </is>
      </c>
      <c r="M87" t="inlineStr">
        <is>
          <t>Konstruksi Bangunan Prasarana Sumber Daya Air</t>
        </is>
      </c>
      <c r="N87" t="inlineStr">
        <is>
          <t>K</t>
        </is>
      </c>
      <c r="O87" t="inlineStr">
        <is>
          <t>20230906</t>
        </is>
      </c>
      <c r="P87" t="inlineStr">
        <is>
          <t>Kalimantan Barat</t>
        </is>
      </c>
      <c r="Q87" t="inlineStr"/>
    </row>
    <row r="88">
      <c r="A88" t="inlineStr">
        <is>
          <t>KARYA SETIA</t>
        </is>
      </c>
      <c r="B88" t="inlineStr">
        <is>
          <t>Kota Bandung</t>
        </is>
      </c>
      <c r="C88" t="inlineStr">
        <is>
          <t>081221778170</t>
        </is>
      </c>
      <c r="D88" t="inlineStr">
        <is>
          <t>karyasetiacv@yahoo.co.id</t>
        </is>
      </c>
      <c r="E88" t="inlineStr">
        <is>
          <t>https://lpjk.pu.go.id/search-badan-usaha-detail/UjZjVUc4eG1lMDlSeVQ3OW9rUERGZz09</t>
        </is>
      </c>
      <c r="F88" t="n">
        <v>2</v>
      </c>
      <c r="G88" t="inlineStr">
        <is>
          <t>BG005, BS001</t>
        </is>
      </c>
      <c r="H88" t="inlineStr">
        <is>
          <t>16 Januari 1988</t>
        </is>
      </c>
      <c r="I88" s="2" t="n">
        <v>46272</v>
      </c>
      <c r="J88" t="inlineStr">
        <is>
          <t>Disetujui</t>
        </is>
      </c>
      <c r="K88" t="n">
        <v>90</v>
      </c>
      <c r="L88" t="inlineStr">
        <is>
          <t>7 September 2026</t>
        </is>
      </c>
      <c r="M88" t="inlineStr">
        <is>
          <t>Konstruksi Bangunan Sipil Jalan, Konstruksi Gedung Kesehatan</t>
        </is>
      </c>
      <c r="N88" t="inlineStr">
        <is>
          <t>K</t>
        </is>
      </c>
      <c r="O88" t="inlineStr">
        <is>
          <t>20230828, 20230904</t>
        </is>
      </c>
      <c r="P88" t="inlineStr">
        <is>
          <t>Jawa Barat</t>
        </is>
      </c>
      <c r="Q88" t="inlineStr"/>
    </row>
    <row r="89">
      <c r="A89" t="inlineStr">
        <is>
          <t>KARYA TRISTA ASRI</t>
        </is>
      </c>
      <c r="B89" t="inlineStr">
        <is>
          <t>Kab. Bandung</t>
        </is>
      </c>
      <c r="C89" t="inlineStr">
        <is>
          <t>08122359113</t>
        </is>
      </c>
      <c r="D89" t="inlineStr">
        <is>
          <t>karya.trista@yahoo.co.id</t>
        </is>
      </c>
      <c r="E89" t="inlineStr">
        <is>
          <t>https://lpjk.pu.go.id/search-badan-usaha-detail/b2FqN2sxa0VMQnYzMWxkMG9lVVFFUT09</t>
        </is>
      </c>
      <c r="F89" t="n">
        <v>2</v>
      </c>
      <c r="G89" t="inlineStr">
        <is>
          <t>BG005, BG009</t>
        </is>
      </c>
      <c r="H89" t="inlineStr">
        <is>
          <t>15 Agustus 2003</t>
        </is>
      </c>
      <c r="I89" s="2" t="n">
        <v>46272</v>
      </c>
      <c r="J89" t="inlineStr">
        <is>
          <t>Disetujui</t>
        </is>
      </c>
      <c r="K89" t="n">
        <v>90</v>
      </c>
      <c r="L89" t="inlineStr">
        <is>
          <t>7 September 2026</t>
        </is>
      </c>
      <c r="M89" t="inlineStr">
        <is>
          <t>Konstruksi Gedung Kesehatan, Konstruksi Gedung Lainnya</t>
        </is>
      </c>
      <c r="N89" t="inlineStr">
        <is>
          <t>K</t>
        </is>
      </c>
      <c r="O89" t="inlineStr">
        <is>
          <t>20230905</t>
        </is>
      </c>
      <c r="P89" t="inlineStr">
        <is>
          <t>Jawa Barat</t>
        </is>
      </c>
      <c r="Q89" t="inlineStr"/>
    </row>
    <row r="90">
      <c r="A90" t="inlineStr">
        <is>
          <t>KOPERASI KOPEGTEL BANJARMASIN</t>
        </is>
      </c>
      <c r="B90" t="inlineStr">
        <is>
          <t>Kota Banjarmasin</t>
        </is>
      </c>
      <c r="C90" t="inlineStr">
        <is>
          <t>05113307868</t>
        </is>
      </c>
      <c r="D90" t="inlineStr">
        <is>
          <t>susilobjm@yahoo.com</t>
        </is>
      </c>
      <c r="E90" t="inlineStr">
        <is>
          <t>https://lpjk.pu.go.id/search-badan-usaha-detail/NzIxVnNtOXNaMnI2SUpTOVNSejdhdz09</t>
        </is>
      </c>
      <c r="F90" t="n">
        <v>1</v>
      </c>
      <c r="G90" t="inlineStr">
        <is>
          <t>IN002</t>
        </is>
      </c>
      <c r="H90" t="inlineStr">
        <is>
          <t>12 Maret 1985</t>
        </is>
      </c>
      <c r="I90" s="2" t="n">
        <v>46272</v>
      </c>
      <c r="J90" t="inlineStr">
        <is>
          <t>Disetujui</t>
        </is>
      </c>
      <c r="K90" t="n">
        <v>90</v>
      </c>
      <c r="L90" t="inlineStr">
        <is>
          <t>7 September 2026</t>
        </is>
      </c>
      <c r="M90" t="inlineStr">
        <is>
          <t>Instalasi Telekomunikasi</t>
        </is>
      </c>
      <c r="N90" t="inlineStr">
        <is>
          <t>Spesialis</t>
        </is>
      </c>
      <c r="O90" t="inlineStr">
        <is>
          <t>20230525</t>
        </is>
      </c>
      <c r="P90" t="inlineStr">
        <is>
          <t>Kalimantan Selatan</t>
        </is>
      </c>
      <c r="Q90" t="inlineStr"/>
    </row>
    <row r="91">
      <c r="A91" t="inlineStr">
        <is>
          <t>KRIDA UTAMA</t>
        </is>
      </c>
      <c r="B91" t="inlineStr">
        <is>
          <t>Kota Palembang</t>
        </is>
      </c>
      <c r="C91" t="inlineStr">
        <is>
          <t>0711430721</t>
        </is>
      </c>
      <c r="D91" t="inlineStr">
        <is>
          <t>kridautama19@gmail.com</t>
        </is>
      </c>
      <c r="E91" t="inlineStr">
        <is>
          <t>https://lpjk.pu.go.id/search-badan-usaha-detail/Z2JDT1A3M3hrQlNuUVliVitjSG4vUT09</t>
        </is>
      </c>
      <c r="F91" t="n">
        <v>1</v>
      </c>
      <c r="G91" t="inlineStr">
        <is>
          <t>BS002</t>
        </is>
      </c>
      <c r="H91" t="inlineStr">
        <is>
          <t>20 April 2004</t>
        </is>
      </c>
      <c r="I91" s="2" t="n">
        <v>46272</v>
      </c>
      <c r="J91" t="inlineStr">
        <is>
          <t>Disetujui</t>
        </is>
      </c>
      <c r="K91" t="n">
        <v>90</v>
      </c>
      <c r="L91" t="inlineStr">
        <is>
          <t>7 September 2026</t>
        </is>
      </c>
      <c r="M91" t="inlineStr">
        <is>
          <t>Bangunan Sipil Jembatan, Jalan Layang, Fly Over, dan Underpass</t>
        </is>
      </c>
      <c r="N91" t="inlineStr">
        <is>
          <t>M</t>
        </is>
      </c>
      <c r="O91" t="inlineStr">
        <is>
          <t>20230707</t>
        </is>
      </c>
      <c r="P91" t="inlineStr">
        <is>
          <t>Sumatera Selatan</t>
        </is>
      </c>
      <c r="Q91" t="inlineStr"/>
    </row>
    <row r="92">
      <c r="A92" t="inlineStr">
        <is>
          <t>KURNIA</t>
        </is>
      </c>
      <c r="B92" t="inlineStr">
        <is>
          <t>Kab. Sanggau</t>
        </is>
      </c>
      <c r="C92" t="inlineStr">
        <is>
          <t>08125697547</t>
        </is>
      </c>
      <c r="D92" t="inlineStr">
        <is>
          <t>mail.kurniacv@gmail.com</t>
        </is>
      </c>
      <c r="E92" t="inlineStr">
        <is>
          <t>https://lpjk.pu.go.id/search-badan-usaha-detail/bnc2Q3BlL1M0eW13bWwvcUM5aHFlZz09</t>
        </is>
      </c>
      <c r="F92" t="n">
        <v>3</v>
      </c>
      <c r="G92" t="inlineStr">
        <is>
          <t>BG006, BG009, BS001</t>
        </is>
      </c>
      <c r="H92" t="inlineStr">
        <is>
          <t>19 Agustus 1999</t>
        </is>
      </c>
      <c r="I92" s="2" t="n">
        <v>46272</v>
      </c>
      <c r="J92" t="inlineStr">
        <is>
          <t>Disetujui</t>
        </is>
      </c>
      <c r="K92" t="n">
        <v>90</v>
      </c>
      <c r="L92" t="inlineStr">
        <is>
          <t>7 September 2026</t>
        </is>
      </c>
      <c r="M92" t="inlineStr">
        <is>
          <t>Konstruksi Bangunan Sipil Jalan, Konstruksi Gedung Lainnya, Konstruksi Gedung Pendidikan</t>
        </is>
      </c>
      <c r="N92" t="inlineStr">
        <is>
          <t>K</t>
        </is>
      </c>
      <c r="O92" t="inlineStr">
        <is>
          <t>20230905</t>
        </is>
      </c>
      <c r="P92" t="inlineStr">
        <is>
          <t>Kalimantan Barat</t>
        </is>
      </c>
      <c r="Q92" t="inlineStr"/>
    </row>
    <row r="93">
      <c r="A93" t="inlineStr">
        <is>
          <t>LAMPOH AWE</t>
        </is>
      </c>
      <c r="B93" t="inlineStr">
        <is>
          <t>Kab. Pidie</t>
        </is>
      </c>
      <c r="C93" t="inlineStr">
        <is>
          <t>085260198452</t>
        </is>
      </c>
      <c r="D93" t="inlineStr">
        <is>
          <t>lampohawel@gmail.com</t>
        </is>
      </c>
      <c r="E93" t="inlineStr">
        <is>
          <t>https://lpjk.pu.go.id/search-badan-usaha-detail/bGxVbzVUQUxMeERKQ3p5SUtOQXZldz09</t>
        </is>
      </c>
      <c r="F93" t="n">
        <v>3</v>
      </c>
      <c r="G93" t="inlineStr">
        <is>
          <t>BG001, BG006, BG009</t>
        </is>
      </c>
      <c r="H93" t="inlineStr">
        <is>
          <t>8 Maret 2011</t>
        </is>
      </c>
      <c r="I93" s="2" t="n">
        <v>46272</v>
      </c>
      <c r="J93" t="inlineStr">
        <is>
          <t>Pencabutan</t>
        </is>
      </c>
      <c r="K93" t="n">
        <v>90</v>
      </c>
      <c r="L93" t="inlineStr">
        <is>
          <t>7 September 2026</t>
        </is>
      </c>
      <c r="M93" t="inlineStr">
        <is>
          <t>Konstruksi Gedung Hunian, Konstruksi Gedung Lainnya, Konstruksi Gedung Pendidikan</t>
        </is>
      </c>
      <c r="N93" t="inlineStr">
        <is>
          <t>K</t>
        </is>
      </c>
      <c r="O93" t="inlineStr">
        <is>
          <t>20230907</t>
        </is>
      </c>
      <c r="P93" t="inlineStr">
        <is>
          <t>Aceh</t>
        </is>
      </c>
      <c r="Q93" t="inlineStr"/>
    </row>
    <row r="94">
      <c r="A94" t="inlineStr">
        <is>
          <t>LAMPU BABELENG</t>
        </is>
      </c>
      <c r="B94" t="inlineStr">
        <is>
          <t>Kab. Aceh Singkil</t>
        </is>
      </c>
      <c r="C94" t="inlineStr">
        <is>
          <t>081319533860</t>
        </is>
      </c>
      <c r="D94" t="inlineStr">
        <is>
          <t>lampubabeleng1@gmail.com</t>
        </is>
      </c>
      <c r="E94" t="inlineStr">
        <is>
          <t>https://lpjk.pu.go.id/search-badan-usaha-detail/aFBVWGF1aVpUWGpKenI3R3pQa0k0dz09</t>
        </is>
      </c>
      <c r="F94" t="n">
        <v>1</v>
      </c>
      <c r="G94" t="inlineStr">
        <is>
          <t>BS004</t>
        </is>
      </c>
      <c r="H94" t="inlineStr">
        <is>
          <t>2 Maret 2017</t>
        </is>
      </c>
      <c r="I94" s="2" t="n">
        <v>46272</v>
      </c>
      <c r="J94" t="inlineStr">
        <is>
          <t>Disetujui</t>
        </is>
      </c>
      <c r="K94" t="n">
        <v>90</v>
      </c>
      <c r="L94" t="inlineStr">
        <is>
          <t>7 September 2026</t>
        </is>
      </c>
      <c r="M94" t="inlineStr">
        <is>
          <t>Konstruksi Jaringan Irigasi dan Drainase</t>
        </is>
      </c>
      <c r="N94" t="inlineStr">
        <is>
          <t>K</t>
        </is>
      </c>
      <c r="O94" t="inlineStr">
        <is>
          <t>20230906</t>
        </is>
      </c>
      <c r="P94" t="inlineStr">
        <is>
          <t>Aceh</t>
        </is>
      </c>
      <c r="Q94" t="inlineStr"/>
    </row>
    <row r="95">
      <c r="A95" t="inlineStr">
        <is>
          <t>LESTARI INOVASI MAKMUR</t>
        </is>
      </c>
      <c r="B95" t="inlineStr">
        <is>
          <t>Kota Tebing Tinggi</t>
        </is>
      </c>
      <c r="C95" t="inlineStr">
        <is>
          <t>082370007574</t>
        </is>
      </c>
      <c r="D95" t="inlineStr">
        <is>
          <t>lestarimakmurcv6@gmail.com</t>
        </is>
      </c>
      <c r="E95" t="inlineStr">
        <is>
          <t>https://lpjk.pu.go.id/search-badan-usaha-detail/UW5Dd0JVY2NLQWd3QlV4dlJPS0YzZz09</t>
        </is>
      </c>
      <c r="F95" t="n">
        <v>3</v>
      </c>
      <c r="G95" t="inlineStr">
        <is>
          <t>BG005, BG006, BS001</t>
        </is>
      </c>
      <c r="H95" t="inlineStr">
        <is>
          <t>12 Agustus 2023</t>
        </is>
      </c>
      <c r="I95" s="2" t="n">
        <v>46272</v>
      </c>
      <c r="J95" t="inlineStr">
        <is>
          <t>Disetujui</t>
        </is>
      </c>
      <c r="K95" t="n">
        <v>90</v>
      </c>
      <c r="L95" t="inlineStr">
        <is>
          <t>7 September 2026</t>
        </is>
      </c>
      <c r="M95" t="inlineStr">
        <is>
          <t>Konstruksi Bangunan Sipil Jalan, Konstruksi Gedung Kesehatan, Konstruksi Gedung Pendidikan</t>
        </is>
      </c>
      <c r="N95" t="inlineStr">
        <is>
          <t>K</t>
        </is>
      </c>
      <c r="O95" t="inlineStr">
        <is>
          <t>20230907</t>
        </is>
      </c>
      <c r="P95" t="inlineStr">
        <is>
          <t>Sumatera Utara</t>
        </is>
      </c>
      <c r="Q95" t="inlineStr"/>
    </row>
    <row r="96">
      <c r="A96" t="inlineStr">
        <is>
          <t>MAKMUR JAYA</t>
        </is>
      </c>
      <c r="B96" t="inlineStr">
        <is>
          <t>Kab. Sukabumi</t>
        </is>
      </c>
      <c r="C96" t="inlineStr">
        <is>
          <t>085659640098</t>
        </is>
      </c>
      <c r="D96" t="inlineStr">
        <is>
          <t>makmurjayacv972@gmail.com</t>
        </is>
      </c>
      <c r="E96" t="inlineStr">
        <is>
          <t>https://lpjk.pu.go.id/search-badan-usaha-detail/OHQ1ck5jVlBZYm9DT1M1YUdQRlhJQT09</t>
        </is>
      </c>
      <c r="F96" t="n">
        <v>1</v>
      </c>
      <c r="G96" t="inlineStr">
        <is>
          <t>BG006</t>
        </is>
      </c>
      <c r="H96" t="inlineStr">
        <is>
          <t>3 November 1981</t>
        </is>
      </c>
      <c r="I96" s="2" t="n">
        <v>46272</v>
      </c>
      <c r="J96" t="inlineStr">
        <is>
          <t>Disetujui</t>
        </is>
      </c>
      <c r="K96" t="n">
        <v>90</v>
      </c>
      <c r="L96" t="inlineStr">
        <is>
          <t>7 September 2026</t>
        </is>
      </c>
      <c r="M96" t="inlineStr">
        <is>
          <t>Konstruksi Gedung Pendidikan</t>
        </is>
      </c>
      <c r="N96" t="inlineStr">
        <is>
          <t>K</t>
        </is>
      </c>
      <c r="O96" t="inlineStr">
        <is>
          <t>20230816</t>
        </is>
      </c>
      <c r="P96" t="inlineStr">
        <is>
          <t>Jawa Barat</t>
        </is>
      </c>
      <c r="Q96" t="inlineStr"/>
    </row>
    <row r="97">
      <c r="A97" t="inlineStr">
        <is>
          <t>MANDIRI RAYA BORNEO</t>
        </is>
      </c>
      <c r="B97" t="inlineStr">
        <is>
          <t>Kab. Bulungan</t>
        </is>
      </c>
      <c r="C97" t="inlineStr">
        <is>
          <t>081346828555</t>
        </is>
      </c>
      <c r="D97" t="inlineStr">
        <is>
          <t>mandirirayaborneo@gmail.com</t>
        </is>
      </c>
      <c r="E97" t="inlineStr">
        <is>
          <t>https://lpjk.pu.go.id/search-badan-usaha-detail/M2tHNVFDMk1GZ1BTRkU4emhPVDkrUT09</t>
        </is>
      </c>
      <c r="F97" t="n">
        <v>1</v>
      </c>
      <c r="G97" t="inlineStr">
        <is>
          <t>BG009</t>
        </is>
      </c>
      <c r="H97" t="inlineStr">
        <is>
          <t>31 Mei 2023</t>
        </is>
      </c>
      <c r="I97" s="2" t="n">
        <v>46272</v>
      </c>
      <c r="J97" t="inlineStr">
        <is>
          <t>Disetujui</t>
        </is>
      </c>
      <c r="K97" t="n">
        <v>90</v>
      </c>
      <c r="L97" t="inlineStr">
        <is>
          <t>7 September 2026</t>
        </is>
      </c>
      <c r="M97" t="inlineStr">
        <is>
          <t>Konstruksi Gedung Lainnya</t>
        </is>
      </c>
      <c r="N97" t="inlineStr">
        <is>
          <t>K</t>
        </is>
      </c>
      <c r="O97" t="inlineStr">
        <is>
          <t>20230904</t>
        </is>
      </c>
      <c r="P97" t="inlineStr">
        <is>
          <t>Kalimantan Utara</t>
        </is>
      </c>
      <c r="Q97" t="inlineStr"/>
    </row>
    <row r="98">
      <c r="A98" t="inlineStr">
        <is>
          <t>MARWAH CIPTA MANDIRI</t>
        </is>
      </c>
      <c r="B98" t="inlineStr">
        <is>
          <t>Kab. Kolaka</t>
        </is>
      </c>
      <c r="C98" t="inlineStr">
        <is>
          <t>08114000428</t>
        </is>
      </c>
      <c r="D98" t="inlineStr">
        <is>
          <t>mcmmarwah@gmail.com</t>
        </is>
      </c>
      <c r="E98" t="inlineStr">
        <is>
          <t>https://lpjk.pu.go.id/search-badan-usaha-detail/Y1gwUDZEYkNoQUZQN0NBdHovMXRtQT09</t>
        </is>
      </c>
      <c r="F98" t="n">
        <v>1</v>
      </c>
      <c r="G98" t="inlineStr">
        <is>
          <t>BS001</t>
        </is>
      </c>
      <c r="H98" t="inlineStr">
        <is>
          <t>18 April 2016</t>
        </is>
      </c>
      <c r="I98" s="2" t="n">
        <v>46272</v>
      </c>
      <c r="J98" t="inlineStr">
        <is>
          <t>Disetujui</t>
        </is>
      </c>
      <c r="K98" t="n">
        <v>90</v>
      </c>
      <c r="L98" t="inlineStr">
        <is>
          <t>7 September 2026</t>
        </is>
      </c>
      <c r="M98" t="inlineStr">
        <is>
          <t>Konstruksi Bangunan Sipil Jalan</t>
        </is>
      </c>
      <c r="N98" t="inlineStr">
        <is>
          <t>K</t>
        </is>
      </c>
      <c r="O98" t="inlineStr">
        <is>
          <t>20230907</t>
        </is>
      </c>
      <c r="P98" t="inlineStr">
        <is>
          <t>Sulawesi Tenggara</t>
        </is>
      </c>
      <c r="Q98" t="inlineStr"/>
    </row>
    <row r="99">
      <c r="A99" t="inlineStr">
        <is>
          <t>MAULANA JAYA</t>
        </is>
      </c>
      <c r="B99" t="inlineStr">
        <is>
          <t>Kab. Cirebon</t>
        </is>
      </c>
      <c r="C99" t="inlineStr">
        <is>
          <t>89696667627</t>
        </is>
      </c>
      <c r="D99" t="inlineStr">
        <is>
          <t>Ovimaulana7gmail.com</t>
        </is>
      </c>
      <c r="E99" t="inlineStr">
        <is>
          <t>https://lpjk.pu.go.id/search-badan-usaha-detail/ZlJ3Z3JzVWlLb1dXZGdTOXpYU2txUT09</t>
        </is>
      </c>
      <c r="F99" t="n">
        <v>1</v>
      </c>
      <c r="G99" t="inlineStr">
        <is>
          <t>BS004</t>
        </is>
      </c>
      <c r="H99" t="inlineStr">
        <is>
          <t>31 Desember 2018</t>
        </is>
      </c>
      <c r="I99" s="2" t="n">
        <v>46272</v>
      </c>
      <c r="J99" t="inlineStr">
        <is>
          <t>Disetujui</t>
        </is>
      </c>
      <c r="K99" t="n">
        <v>90</v>
      </c>
      <c r="L99" t="inlineStr">
        <is>
          <t>7 September 2026</t>
        </is>
      </c>
      <c r="M99" t="inlineStr">
        <is>
          <t>Konstruksi Jaringan Irigasi dan Drainase</t>
        </is>
      </c>
      <c r="N99" t="inlineStr">
        <is>
          <t>K</t>
        </is>
      </c>
      <c r="O99" t="inlineStr">
        <is>
          <t>20230906</t>
        </is>
      </c>
      <c r="P99" t="inlineStr">
        <is>
          <t>Jawa Barat</t>
        </is>
      </c>
      <c r="Q99" t="inlineStr"/>
    </row>
    <row r="100">
      <c r="A100" t="inlineStr">
        <is>
          <t>MEGA CAKRA NUSANTARA</t>
        </is>
      </c>
      <c r="B100" t="inlineStr">
        <is>
          <t>Kota Semarang</t>
        </is>
      </c>
      <c r="C100" t="inlineStr">
        <is>
          <t>02430000269</t>
        </is>
      </c>
      <c r="D100" t="inlineStr">
        <is>
          <t>megacakranusantara@gmail.com</t>
        </is>
      </c>
      <c r="E100" t="inlineStr">
        <is>
          <t>https://lpjk.pu.go.id/search-badan-usaha-detail/K1hIT05qbDZveU9JSHRyWHNTUEdQQT09</t>
        </is>
      </c>
      <c r="F100" t="n">
        <v>2</v>
      </c>
      <c r="G100" t="inlineStr">
        <is>
          <t>BG002</t>
        </is>
      </c>
      <c r="H100" t="inlineStr">
        <is>
          <t>11 Juli 2023</t>
        </is>
      </c>
      <c r="I100" s="2" t="n">
        <v>46272</v>
      </c>
      <c r="J100" t="inlineStr">
        <is>
          <t>Disetujui</t>
        </is>
      </c>
      <c r="K100" t="n">
        <v>90</v>
      </c>
      <c r="L100" t="inlineStr">
        <is>
          <t>7 September 2026</t>
        </is>
      </c>
      <c r="M100" t="inlineStr">
        <is>
          <t>Konstruksi Gedung Perkantoran</t>
        </is>
      </c>
      <c r="N100" t="inlineStr">
        <is>
          <t>K</t>
        </is>
      </c>
      <c r="O100" t="inlineStr">
        <is>
          <t>20230907</t>
        </is>
      </c>
      <c r="P100" t="inlineStr">
        <is>
          <t>Jawa Tengah</t>
        </is>
      </c>
      <c r="Q100" t="inlineStr"/>
    </row>
    <row r="101">
      <c r="A101" t="inlineStr">
        <is>
          <t>MEGAH</t>
        </is>
      </c>
      <c r="B101" t="inlineStr">
        <is>
          <t>Kab. Tanah Laut</t>
        </is>
      </c>
      <c r="C101" t="inlineStr">
        <is>
          <t>081349332331</t>
        </is>
      </c>
      <c r="D101" t="inlineStr">
        <is>
          <t>cv.megah@yahoo.com</t>
        </is>
      </c>
      <c r="E101" t="inlineStr">
        <is>
          <t>https://lpjk.pu.go.id/search-badan-usaha-detail/N3psOUdBMlcwbElBRWFFbm5ZR2U3dz09</t>
        </is>
      </c>
      <c r="F101" t="n">
        <v>2</v>
      </c>
      <c r="G101" t="inlineStr">
        <is>
          <t>BS001</t>
        </is>
      </c>
      <c r="H101" t="inlineStr">
        <is>
          <t>2 Agustus 2007</t>
        </is>
      </c>
      <c r="I101" s="2" t="n">
        <v>46272</v>
      </c>
      <c r="J101" t="inlineStr">
        <is>
          <t>Disetujui</t>
        </is>
      </c>
      <c r="K101" t="n">
        <v>90</v>
      </c>
      <c r="L101" t="inlineStr">
        <is>
          <t>7 September 2026</t>
        </is>
      </c>
      <c r="M101" t="inlineStr">
        <is>
          <t>Konstruksi Bangunan Sipil Jalan</t>
        </is>
      </c>
      <c r="N101" t="inlineStr">
        <is>
          <t>K</t>
        </is>
      </c>
      <c r="O101" t="inlineStr">
        <is>
          <t>20230830</t>
        </is>
      </c>
      <c r="P101" t="inlineStr">
        <is>
          <t>Kalimantan Selatan</t>
        </is>
      </c>
      <c r="Q101" t="inlineStr"/>
    </row>
    <row r="102">
      <c r="A102" t="inlineStr">
        <is>
          <t>MEKAR MANDIRI</t>
        </is>
      </c>
      <c r="B102" t="inlineStr">
        <is>
          <t>Kota Cirebon</t>
        </is>
      </c>
      <c r="C102" t="inlineStr">
        <is>
          <t>082319592500</t>
        </is>
      </c>
      <c r="D102" t="inlineStr">
        <is>
          <t>mandiri.mekar@yahoo.co.id</t>
        </is>
      </c>
      <c r="E102" t="inlineStr">
        <is>
          <t>https://lpjk.pu.go.id/search-badan-usaha-detail/d1dkNndGZ0xLcldHYWo0TzhOMVdmdz09</t>
        </is>
      </c>
      <c r="F102" t="n">
        <v>4</v>
      </c>
      <c r="G102" t="inlineStr">
        <is>
          <t>BG005, BS001</t>
        </is>
      </c>
      <c r="H102" t="inlineStr">
        <is>
          <t>12 Juni 2008</t>
        </is>
      </c>
      <c r="I102" s="2" t="n">
        <v>46272</v>
      </c>
      <c r="J102" t="inlineStr">
        <is>
          <t>Disetujui</t>
        </is>
      </c>
      <c r="K102" t="n">
        <v>90</v>
      </c>
      <c r="L102" t="inlineStr">
        <is>
          <t>7 September 2026</t>
        </is>
      </c>
      <c r="M102" t="inlineStr">
        <is>
          <t>Konstruksi Bangunan Sipil Jalan, Konstruksi Gedung Kesehatan</t>
        </is>
      </c>
      <c r="N102" t="inlineStr">
        <is>
          <t>K</t>
        </is>
      </c>
      <c r="O102" t="inlineStr">
        <is>
          <t>20230905</t>
        </is>
      </c>
      <c r="P102" t="inlineStr">
        <is>
          <t>Jawa Barat</t>
        </is>
      </c>
      <c r="Q102" t="inlineStr"/>
    </row>
    <row r="103">
      <c r="A103" t="inlineStr">
        <is>
          <t>METAKOM CHANDRAPRANATA</t>
        </is>
      </c>
      <c r="B103" t="inlineStr">
        <is>
          <t>Kota Adm. Jakarta Barat</t>
        </is>
      </c>
      <c r="C103" t="inlineStr">
        <is>
          <t>02129319378</t>
        </is>
      </c>
      <c r="D103" t="inlineStr">
        <is>
          <t>finance.mcp@gmail.com</t>
        </is>
      </c>
      <c r="E103" t="inlineStr">
        <is>
          <t>https://lpjk.pu.go.id/search-badan-usaha-detail/dVZpKzRzNElqNXZua08zbVBBSEtzZz09</t>
        </is>
      </c>
      <c r="F103" t="n">
        <v>1</v>
      </c>
      <c r="G103" t="inlineStr">
        <is>
          <t>RK004</t>
        </is>
      </c>
      <c r="H103" t="inlineStr">
        <is>
          <t>5 Oktober 2012</t>
        </is>
      </c>
      <c r="I103" s="2" t="n">
        <v>46272</v>
      </c>
      <c r="J103" t="inlineStr">
        <is>
          <t>Disetujui</t>
        </is>
      </c>
      <c r="K103" t="n">
        <v>90</v>
      </c>
      <c r="L103" t="inlineStr">
        <is>
          <t>7 September 2026</t>
        </is>
      </c>
      <c r="M103" t="inlineStr">
        <is>
          <t>Jasa Rekayasa Pekerjaan Mekanikal Dalam Bangunan</t>
        </is>
      </c>
      <c r="N103" t="inlineStr">
        <is>
          <t>K</t>
        </is>
      </c>
      <c r="O103" t="inlineStr">
        <is>
          <t>20230901</t>
        </is>
      </c>
      <c r="P103" t="inlineStr">
        <is>
          <t>DKI Jakarta</t>
        </is>
      </c>
      <c r="Q103" t="inlineStr"/>
    </row>
    <row r="104">
      <c r="A104" t="inlineStr">
        <is>
          <t>MINANG BARU</t>
        </is>
      </c>
      <c r="B104" t="inlineStr">
        <is>
          <t>Kab. Tebo</t>
        </is>
      </c>
      <c r="C104" t="inlineStr">
        <is>
          <t>085369683030</t>
        </is>
      </c>
      <c r="D104" t="inlineStr">
        <is>
          <t>minangbaru247@gmail.com</t>
        </is>
      </c>
      <c r="E104" t="inlineStr">
        <is>
          <t>https://lpjk.pu.go.id/search-badan-usaha-detail/VG5OdEZZRmphNHB3cFZ6R0hUZGV1QT09</t>
        </is>
      </c>
      <c r="F104" t="n">
        <v>2</v>
      </c>
      <c r="G104" t="inlineStr">
        <is>
          <t>BS002, BS004</t>
        </is>
      </c>
      <c r="H104" t="inlineStr">
        <is>
          <t>12 Agustus 2023</t>
        </is>
      </c>
      <c r="I104" s="2" t="n">
        <v>46272</v>
      </c>
      <c r="J104" t="inlineStr">
        <is>
          <t>Disetujui</t>
        </is>
      </c>
      <c r="K104" t="n">
        <v>90</v>
      </c>
      <c r="L104" t="inlineStr">
        <is>
          <t>7 September 2026</t>
        </is>
      </c>
      <c r="M104" t="inlineStr">
        <is>
          <t>Bangunan Sipil Jembatan, Jalan Layang, Fly Over, dan Underpass, Konstruksi Jaringan Irigasi dan Drainase</t>
        </is>
      </c>
      <c r="N104" t="inlineStr">
        <is>
          <t>K</t>
        </is>
      </c>
      <c r="O104" t="inlineStr">
        <is>
          <t>20230905</t>
        </is>
      </c>
      <c r="P104" t="inlineStr">
        <is>
          <t>Jambi</t>
        </is>
      </c>
      <c r="Q104" t="inlineStr"/>
    </row>
    <row r="105">
      <c r="A105" t="inlineStr">
        <is>
          <t>MITRA ANASYA EXPRESINDO</t>
        </is>
      </c>
      <c r="B105" t="inlineStr">
        <is>
          <t>Kota Ambon</t>
        </is>
      </c>
      <c r="C105" t="inlineStr">
        <is>
          <t>0811470522</t>
        </is>
      </c>
      <c r="D105" t="inlineStr">
        <is>
          <t>cv.mitraanasya@gmail.com</t>
        </is>
      </c>
      <c r="E105" t="inlineStr">
        <is>
          <t>https://lpjk.pu.go.id/search-badan-usaha-detail/cEl6aGhHYTZJYVlQUGRCNHhzOGVzdz09</t>
        </is>
      </c>
      <c r="F105" t="n">
        <v>1</v>
      </c>
      <c r="G105" t="inlineStr">
        <is>
          <t>BG009</t>
        </is>
      </c>
      <c r="H105" t="inlineStr">
        <is>
          <t>12 November 2001</t>
        </is>
      </c>
      <c r="I105" s="2" t="n">
        <v>46272</v>
      </c>
      <c r="J105" t="inlineStr">
        <is>
          <t>Disetujui</t>
        </is>
      </c>
      <c r="K105" t="n">
        <v>90</v>
      </c>
      <c r="L105" t="inlineStr">
        <is>
          <t>7 September 2026</t>
        </is>
      </c>
      <c r="M105" t="inlineStr">
        <is>
          <t>Konstruksi Gedung Lainnya</t>
        </is>
      </c>
      <c r="N105" t="inlineStr">
        <is>
          <t>K</t>
        </is>
      </c>
      <c r="O105" t="inlineStr">
        <is>
          <t>20230905</t>
        </is>
      </c>
      <c r="P105" t="inlineStr">
        <is>
          <t>Maluku</t>
        </is>
      </c>
      <c r="Q105" t="inlineStr"/>
    </row>
    <row r="106">
      <c r="A106" t="inlineStr">
        <is>
          <t>MITRA KERJA MANDIRI</t>
        </is>
      </c>
      <c r="B106" t="inlineStr">
        <is>
          <t>Kota Bandung</t>
        </is>
      </c>
      <c r="C106" t="inlineStr">
        <is>
          <t>081572664840</t>
        </is>
      </c>
      <c r="D106" t="inlineStr">
        <is>
          <t>mitrakerjamandiri@yahoo.com</t>
        </is>
      </c>
      <c r="E106" t="inlineStr">
        <is>
          <t>https://lpjk.pu.go.id/search-badan-usaha-detail/aGhHc3B5TGtxMWV4aDg5dnBaUXRaZz09</t>
        </is>
      </c>
      <c r="F106" t="n">
        <v>1</v>
      </c>
      <c r="G106" t="inlineStr">
        <is>
          <t>BS001</t>
        </is>
      </c>
      <c r="H106" t="inlineStr">
        <is>
          <t>23 Agustus 2018</t>
        </is>
      </c>
      <c r="I106" s="2" t="n">
        <v>46272</v>
      </c>
      <c r="J106" t="inlineStr">
        <is>
          <t>Disetujui</t>
        </is>
      </c>
      <c r="K106" t="n">
        <v>90</v>
      </c>
      <c r="L106" t="inlineStr">
        <is>
          <t>7 September 2026</t>
        </is>
      </c>
      <c r="M106" t="inlineStr">
        <is>
          <t>Konstruksi Bangunan Sipil Jalan</t>
        </is>
      </c>
      <c r="N106" t="inlineStr">
        <is>
          <t>K</t>
        </is>
      </c>
      <c r="O106" t="inlineStr">
        <is>
          <t>20230906</t>
        </is>
      </c>
      <c r="P106" t="inlineStr">
        <is>
          <t>Jawa Barat</t>
        </is>
      </c>
      <c r="Q106" t="inlineStr"/>
    </row>
    <row r="107">
      <c r="A107" t="inlineStr">
        <is>
          <t>MORA JAYA</t>
        </is>
      </c>
      <c r="B107" t="inlineStr">
        <is>
          <t>Kab. Natuna</t>
        </is>
      </c>
      <c r="C107" t="inlineStr">
        <is>
          <t>08126807861</t>
        </is>
      </c>
      <c r="D107" t="inlineStr">
        <is>
          <t>morajaya8@gmail.com</t>
        </is>
      </c>
      <c r="E107" t="inlineStr">
        <is>
          <t>https://lpjk.pu.go.id/search-badan-usaha-detail/dVlaWDJlQlZNZUhFb09qVmdHS0xlZz09</t>
        </is>
      </c>
      <c r="F107" t="n">
        <v>1</v>
      </c>
      <c r="G107" t="inlineStr">
        <is>
          <t>BS001</t>
        </is>
      </c>
      <c r="H107" t="inlineStr">
        <is>
          <t>16 November 2011</t>
        </is>
      </c>
      <c r="I107" s="2" t="n">
        <v>46272</v>
      </c>
      <c r="J107" t="inlineStr">
        <is>
          <t>Disetujui</t>
        </is>
      </c>
      <c r="K107" t="n">
        <v>90</v>
      </c>
      <c r="L107" t="inlineStr">
        <is>
          <t>7 September 2026</t>
        </is>
      </c>
      <c r="M107" t="inlineStr">
        <is>
          <t>Konstruksi Bangunan Sipil Jalan</t>
        </is>
      </c>
      <c r="N107" t="inlineStr">
        <is>
          <t>K</t>
        </is>
      </c>
      <c r="O107" t="inlineStr">
        <is>
          <t>20230907</t>
        </is>
      </c>
      <c r="P107" t="inlineStr">
        <is>
          <t>Kepulauan Riau</t>
        </is>
      </c>
      <c r="Q107" t="inlineStr"/>
    </row>
    <row r="108">
      <c r="A108" t="inlineStr">
        <is>
          <t>MUARA MULIA TEKNIK</t>
        </is>
      </c>
      <c r="B108" t="inlineStr">
        <is>
          <t>Kab. Tapanuli Selatan</t>
        </is>
      </c>
      <c r="C108" t="inlineStr">
        <is>
          <t>081376656164</t>
        </is>
      </c>
      <c r="D108" t="inlineStr">
        <is>
          <t>muaramuliateknik@gmail.com</t>
        </is>
      </c>
      <c r="E108" t="inlineStr">
        <is>
          <t>https://lpjk.pu.go.id/search-badan-usaha-detail/eVFERDhsdEl5U29JSGVJTVZRRUVyUT09</t>
        </is>
      </c>
      <c r="F108" t="n">
        <v>1</v>
      </c>
      <c r="G108" t="inlineStr">
        <is>
          <t>BG003</t>
        </is>
      </c>
      <c r="H108" t="inlineStr">
        <is>
          <t>19 November 2020</t>
        </is>
      </c>
      <c r="I108" s="2" t="n">
        <v>46272</v>
      </c>
      <c r="J108" t="inlineStr">
        <is>
          <t>Pencabutan</t>
        </is>
      </c>
      <c r="K108" t="n">
        <v>90</v>
      </c>
      <c r="L108" t="inlineStr">
        <is>
          <t>7 September 2026</t>
        </is>
      </c>
      <c r="M108" t="inlineStr">
        <is>
          <t>Konstruksi Gedung Industri</t>
        </is>
      </c>
      <c r="N108" t="inlineStr">
        <is>
          <t>K</t>
        </is>
      </c>
      <c r="O108" t="inlineStr">
        <is>
          <t>20230904</t>
        </is>
      </c>
      <c r="P108" t="inlineStr">
        <is>
          <t>Sumatera Utara</t>
        </is>
      </c>
      <c r="Q108" t="inlineStr"/>
    </row>
    <row r="109">
      <c r="A109" t="inlineStr">
        <is>
          <t>MULTIKARYA PRATAMA ABADI</t>
        </is>
      </c>
      <c r="B109" t="inlineStr">
        <is>
          <t>Kota Medan</t>
        </is>
      </c>
      <c r="C109" t="inlineStr">
        <is>
          <t>085296613537</t>
        </is>
      </c>
      <c r="D109" t="inlineStr">
        <is>
          <t>fery_kwan@yahoo.com</t>
        </is>
      </c>
      <c r="E109" t="inlineStr">
        <is>
          <t>https://lpjk.pu.go.id/search-badan-usaha-detail/VmN5OTBkQm83c3FwUjFveUY3N0RBZz09</t>
        </is>
      </c>
      <c r="F109" t="n">
        <v>4</v>
      </c>
      <c r="G109" t="inlineStr">
        <is>
          <t>BG002, BG003</t>
        </is>
      </c>
      <c r="H109" t="inlineStr">
        <is>
          <t>19 April 2018</t>
        </is>
      </c>
      <c r="I109" s="2" t="n">
        <v>46272</v>
      </c>
      <c r="J109" t="inlineStr">
        <is>
          <t>Disetujui</t>
        </is>
      </c>
      <c r="K109" t="n">
        <v>90</v>
      </c>
      <c r="L109" t="inlineStr">
        <is>
          <t>7 September 2026</t>
        </is>
      </c>
      <c r="M109" t="inlineStr">
        <is>
          <t>Konstruksi Gedung Industri, Konstruksi Gedung Perkantoran</t>
        </is>
      </c>
      <c r="N109" t="inlineStr">
        <is>
          <t>K</t>
        </is>
      </c>
      <c r="O109" t="inlineStr">
        <is>
          <t>20230907</t>
        </is>
      </c>
      <c r="P109" t="inlineStr">
        <is>
          <t>Sumatera Utara</t>
        </is>
      </c>
      <c r="Q109" t="inlineStr"/>
    </row>
    <row r="110">
      <c r="A110" t="inlineStr">
        <is>
          <t>MUSTIKA DARAS</t>
        </is>
      </c>
      <c r="B110" t="inlineStr">
        <is>
          <t>Kota Banjarmasin</t>
        </is>
      </c>
      <c r="C110" t="inlineStr">
        <is>
          <t>081528294169</t>
        </is>
      </c>
      <c r="D110" t="inlineStr">
        <is>
          <t>cv.mustikadaras001@gmail.com</t>
        </is>
      </c>
      <c r="E110" t="inlineStr">
        <is>
          <t>https://lpjk.pu.go.id/search-badan-usaha-detail/eEFsQmZ6RFJDd3J0VXBRK2gyQVNhdz09</t>
        </is>
      </c>
      <c r="F110" t="n">
        <v>1</v>
      </c>
      <c r="G110" t="inlineStr">
        <is>
          <t>BG006</t>
        </is>
      </c>
      <c r="H110" t="inlineStr">
        <is>
          <t>5 Februari 2018</t>
        </is>
      </c>
      <c r="I110" s="2" t="n">
        <v>46272</v>
      </c>
      <c r="J110" t="inlineStr">
        <is>
          <t>Disetujui</t>
        </is>
      </c>
      <c r="K110" t="n">
        <v>90</v>
      </c>
      <c r="L110" t="inlineStr">
        <is>
          <t>7 September 2026</t>
        </is>
      </c>
      <c r="M110" t="inlineStr">
        <is>
          <t>Konstruksi Gedung Pendidikan</t>
        </is>
      </c>
      <c r="N110" t="inlineStr">
        <is>
          <t>K</t>
        </is>
      </c>
      <c r="O110" t="inlineStr">
        <is>
          <t>20230907</t>
        </is>
      </c>
      <c r="P110" t="inlineStr">
        <is>
          <t>Kalimantan Selatan</t>
        </is>
      </c>
      <c r="Q110" t="inlineStr"/>
    </row>
    <row r="111">
      <c r="A111" t="inlineStr">
        <is>
          <t>NAGA MAS PERKASA</t>
        </is>
      </c>
      <c r="B111" t="inlineStr">
        <is>
          <t>Kota Binjai</t>
        </is>
      </c>
      <c r="C111" t="inlineStr">
        <is>
          <t>081377185027</t>
        </is>
      </c>
      <c r="D111" t="inlineStr">
        <is>
          <t>cvnagamas981@gmail.com</t>
        </is>
      </c>
      <c r="E111" t="inlineStr">
        <is>
          <t>https://lpjk.pu.go.id/search-badan-usaha-detail/YnU3ZEQyb21LbExHTVo2S3lqWSsrZz09</t>
        </is>
      </c>
      <c r="F111" t="n">
        <v>1</v>
      </c>
      <c r="G111" t="inlineStr">
        <is>
          <t>BS004</t>
        </is>
      </c>
      <c r="H111" t="inlineStr">
        <is>
          <t>29 April 2019</t>
        </is>
      </c>
      <c r="I111" s="2" t="n">
        <v>46272</v>
      </c>
      <c r="J111" t="inlineStr">
        <is>
          <t>Disetujui</t>
        </is>
      </c>
      <c r="K111" t="n">
        <v>90</v>
      </c>
      <c r="L111" t="inlineStr">
        <is>
          <t>7 September 2026</t>
        </is>
      </c>
      <c r="M111" t="inlineStr">
        <is>
          <t>Konstruksi Jaringan Irigasi dan Drainase</t>
        </is>
      </c>
      <c r="N111" t="inlineStr">
        <is>
          <t>K</t>
        </is>
      </c>
      <c r="O111" t="inlineStr">
        <is>
          <t>20230907</t>
        </is>
      </c>
      <c r="P111" t="inlineStr">
        <is>
          <t>Sumatera Utara</t>
        </is>
      </c>
      <c r="Q111" t="inlineStr"/>
    </row>
    <row r="112">
      <c r="A112" t="inlineStr">
        <is>
          <t>NAZLA LESTARI</t>
        </is>
      </c>
      <c r="B112" t="inlineStr">
        <is>
          <t>Kab. Sekadau</t>
        </is>
      </c>
      <c r="C112" t="inlineStr">
        <is>
          <t>081345140460</t>
        </is>
      </c>
      <c r="D112" t="inlineStr">
        <is>
          <t>nazlalestari002@yahoo.com</t>
        </is>
      </c>
      <c r="E112" t="inlineStr">
        <is>
          <t>https://lpjk.pu.go.id/search-badan-usaha-detail/dzZ5c2pvb1huUmw4SkpPSXJ4L3hyZz09</t>
        </is>
      </c>
      <c r="F112" t="n">
        <v>1</v>
      </c>
      <c r="G112" t="inlineStr">
        <is>
          <t>BG009</t>
        </is>
      </c>
      <c r="H112" t="inlineStr">
        <is>
          <t>24 Januari 2012</t>
        </is>
      </c>
      <c r="I112" s="2" t="n">
        <v>46272</v>
      </c>
      <c r="J112" t="inlineStr">
        <is>
          <t>Disetujui</t>
        </is>
      </c>
      <c r="K112" t="n">
        <v>90</v>
      </c>
      <c r="L112" t="inlineStr">
        <is>
          <t>7 September 2026</t>
        </is>
      </c>
      <c r="M112" t="inlineStr">
        <is>
          <t>Konstruksi Gedung Lainnya</t>
        </is>
      </c>
      <c r="N112" t="inlineStr">
        <is>
          <t>K</t>
        </is>
      </c>
      <c r="O112" t="inlineStr">
        <is>
          <t>20230908</t>
        </is>
      </c>
      <c r="P112" t="inlineStr">
        <is>
          <t>Kalimantan Barat</t>
        </is>
      </c>
      <c r="Q112" t="inlineStr"/>
    </row>
    <row r="113">
      <c r="A113" t="inlineStr">
        <is>
          <t>NUR AYU LAMENA</t>
        </is>
      </c>
      <c r="B113" t="inlineStr">
        <is>
          <t>Kab. Banggai Kepulauan</t>
        </is>
      </c>
      <c r="C113" t="inlineStr">
        <is>
          <t>082217094080</t>
        </is>
      </c>
      <c r="D113" t="inlineStr">
        <is>
          <t>cvayulamena@gmail.com</t>
        </is>
      </c>
      <c r="E113" t="inlineStr">
        <is>
          <t>https://lpjk.pu.go.id/search-badan-usaha-detail/S3p6VExOR0J6SllGQ3FUaUMreEliZz09</t>
        </is>
      </c>
      <c r="F113" t="n">
        <v>4</v>
      </c>
      <c r="G113" t="inlineStr">
        <is>
          <t>BG006</t>
        </is>
      </c>
      <c r="H113" t="inlineStr">
        <is>
          <t>6 Januari 2010</t>
        </is>
      </c>
      <c r="I113" s="2" t="n">
        <v>46272</v>
      </c>
      <c r="J113" t="inlineStr">
        <is>
          <t>Disetujui</t>
        </is>
      </c>
      <c r="K113" t="n">
        <v>90</v>
      </c>
      <c r="L113" t="inlineStr">
        <is>
          <t>7 September 2026</t>
        </is>
      </c>
      <c r="M113" t="inlineStr">
        <is>
          <t>Konstruksi Gedung Pendidikan</t>
        </is>
      </c>
      <c r="N113" t="inlineStr">
        <is>
          <t>K</t>
        </is>
      </c>
      <c r="O113" t="inlineStr">
        <is>
          <t>20230908</t>
        </is>
      </c>
      <c r="P113" t="inlineStr">
        <is>
          <t>Sulawesi Tengah</t>
        </is>
      </c>
      <c r="Q113" t="inlineStr"/>
    </row>
    <row r="114">
      <c r="A114" t="inlineStr">
        <is>
          <t>NUSARI KARYA</t>
        </is>
      </c>
      <c r="B114" t="inlineStr">
        <is>
          <t>Kab. Karangasem</t>
        </is>
      </c>
      <c r="C114" t="inlineStr">
        <is>
          <t>085339139168</t>
        </is>
      </c>
      <c r="D114" t="inlineStr">
        <is>
          <t>nusarikarya@gmail.com</t>
        </is>
      </c>
      <c r="E114" t="inlineStr">
        <is>
          <t>https://lpjk.pu.go.id/search-badan-usaha-detail/NkZvT3B1bEdsZWp2MUkvdm13UDFKZz09</t>
        </is>
      </c>
      <c r="F114" t="n">
        <v>6</v>
      </c>
      <c r="G114" t="inlineStr">
        <is>
          <t>BG003, BG005, BG006, BG008, BG009, BS005</t>
        </is>
      </c>
      <c r="H114" t="inlineStr">
        <is>
          <t>19 Februari 2008</t>
        </is>
      </c>
      <c r="I114" s="2" t="n">
        <v>46272</v>
      </c>
      <c r="J114" t="inlineStr">
        <is>
          <t>Disetujui</t>
        </is>
      </c>
      <c r="K114" t="n">
        <v>90</v>
      </c>
      <c r="L114" t="inlineStr">
        <is>
          <t>7 September 2026</t>
        </is>
      </c>
      <c r="M114" t="inlineStr">
        <is>
          <t>Konstruksi Bangunan Sipil Pengolahan Air Bersih, Konstruksi Gedung Industri, Konstruksi Gedung Kesehatan, Konstruksi Gedung Lainnya, Konstruksi Gedung Pendidikan, Konstruksi Gedung Tempat Hiburan dan Olahraga</t>
        </is>
      </c>
      <c r="N114" t="inlineStr">
        <is>
          <t>K</t>
        </is>
      </c>
      <c r="O114" t="inlineStr">
        <is>
          <t>20230906</t>
        </is>
      </c>
      <c r="P114" t="inlineStr">
        <is>
          <t>Bali</t>
        </is>
      </c>
      <c r="Q114" t="inlineStr"/>
    </row>
    <row r="115">
      <c r="A115" t="inlineStr">
        <is>
          <t>PANDAN WANGI</t>
        </is>
      </c>
      <c r="B115" t="inlineStr">
        <is>
          <t>Kab. Cianjur</t>
        </is>
      </c>
      <c r="C115" t="inlineStr">
        <is>
          <t>02632910980</t>
        </is>
      </c>
      <c r="D115" t="inlineStr">
        <is>
          <t>pandanwangi_cv@yahoo.com</t>
        </is>
      </c>
      <c r="E115" t="inlineStr">
        <is>
          <t>https://lpjk.pu.go.id/search-badan-usaha-detail/R2dZNW5RVkROZEFSWTZhRUN4bUVvQT09</t>
        </is>
      </c>
      <c r="F115" t="n">
        <v>2</v>
      </c>
      <c r="G115" t="inlineStr">
        <is>
          <t>BS005</t>
        </is>
      </c>
      <c r="H115" t="inlineStr">
        <is>
          <t>3 November 1992</t>
        </is>
      </c>
      <c r="I115" s="2" t="n">
        <v>46272</v>
      </c>
      <c r="J115" t="inlineStr">
        <is>
          <t>Disetujui</t>
        </is>
      </c>
      <c r="K115" t="n">
        <v>90</v>
      </c>
      <c r="L115" t="inlineStr">
        <is>
          <t>7 September 2026</t>
        </is>
      </c>
      <c r="M115" t="inlineStr">
        <is>
          <t>Konstruksi Bangunan Sipil Pengolahan Air Bersih</t>
        </is>
      </c>
      <c r="N115" t="inlineStr">
        <is>
          <t>K</t>
        </is>
      </c>
      <c r="O115" t="inlineStr">
        <is>
          <t>20230905</t>
        </is>
      </c>
      <c r="P115" t="inlineStr">
        <is>
          <t>Jawa Barat</t>
        </is>
      </c>
      <c r="Q115" t="inlineStr"/>
    </row>
    <row r="116">
      <c r="A116" t="inlineStr">
        <is>
          <t>PARAMA PUTRAMAS MANDIRI</t>
        </is>
      </c>
      <c r="B116" t="inlineStr">
        <is>
          <t>Kota Adm. Jakarta Utara</t>
        </is>
      </c>
      <c r="C116" t="inlineStr">
        <is>
          <t>02145878553</t>
        </is>
      </c>
      <c r="D116" t="inlineStr">
        <is>
          <t>andika.hrd@putramas.com</t>
        </is>
      </c>
      <c r="E116" t="inlineStr">
        <is>
          <t>https://lpjk.pu.go.id/search-badan-usaha-detail/bk9tbGZvcUlRd0hvQys3VHhIc0ZXZz09</t>
        </is>
      </c>
      <c r="F116" t="n">
        <v>1</v>
      </c>
      <c r="G116" t="inlineStr">
        <is>
          <t>BG001</t>
        </is>
      </c>
      <c r="H116" t="inlineStr">
        <is>
          <t>3 Agustus 2012</t>
        </is>
      </c>
      <c r="I116" s="2" t="n">
        <v>46272</v>
      </c>
      <c r="J116" t="inlineStr">
        <is>
          <t>Disetujui</t>
        </is>
      </c>
      <c r="K116" t="n">
        <v>90</v>
      </c>
      <c r="L116" t="inlineStr">
        <is>
          <t>7 September 2026</t>
        </is>
      </c>
      <c r="M116" t="inlineStr">
        <is>
          <t>Konstruksi Gedung Hunian</t>
        </is>
      </c>
      <c r="N116" t="inlineStr">
        <is>
          <t>K</t>
        </is>
      </c>
      <c r="O116" t="inlineStr">
        <is>
          <t>20230329</t>
        </is>
      </c>
      <c r="P116" t="inlineStr">
        <is>
          <t>DKI Jakarta</t>
        </is>
      </c>
      <c r="Q116" t="inlineStr"/>
    </row>
    <row r="117">
      <c r="A117" t="inlineStr">
        <is>
          <t>PARAMITA BANGUN SARANA</t>
        </is>
      </c>
      <c r="B117" t="inlineStr">
        <is>
          <t>Kota Adm. Jakarta Selatan</t>
        </is>
      </c>
      <c r="C117" t="inlineStr">
        <is>
          <t>0217205466</t>
        </is>
      </c>
      <c r="D117" t="inlineStr">
        <is>
          <t>corpsec@paramita.co.id</t>
        </is>
      </c>
      <c r="E117" t="inlineStr">
        <is>
          <t>https://lpjk.pu.go.id/search-badan-usaha-detail/eG9tNGJKb3J1cFprWGtVOTd2ZDR5dz09</t>
        </is>
      </c>
      <c r="F117" t="n">
        <v>1</v>
      </c>
      <c r="G117" t="inlineStr">
        <is>
          <t>BG002</t>
        </is>
      </c>
      <c r="H117" t="inlineStr">
        <is>
          <t>27 November 2002</t>
        </is>
      </c>
      <c r="I117" s="2" t="n">
        <v>46272</v>
      </c>
      <c r="J117" t="inlineStr">
        <is>
          <t>Pencabutan</t>
        </is>
      </c>
      <c r="K117" t="n">
        <v>90</v>
      </c>
      <c r="L117" t="inlineStr">
        <is>
          <t>7 September 2026</t>
        </is>
      </c>
      <c r="M117" t="inlineStr">
        <is>
          <t>Konstruksi Gedung Perkantoran</t>
        </is>
      </c>
      <c r="N117" t="inlineStr">
        <is>
          <t>B</t>
        </is>
      </c>
      <c r="O117" t="inlineStr">
        <is>
          <t>20230905</t>
        </is>
      </c>
      <c r="P117" t="inlineStr">
        <is>
          <t>DKI Jakarta</t>
        </is>
      </c>
      <c r="Q117" t="inlineStr"/>
    </row>
    <row r="118">
      <c r="A118" t="inlineStr">
        <is>
          <t>PEJATEN JAYA ABADI</t>
        </is>
      </c>
      <c r="B118" t="inlineStr">
        <is>
          <t>Kota Adm. Jakarta Selatan</t>
        </is>
      </c>
      <c r="C118" t="inlineStr">
        <is>
          <t>0217940124</t>
        </is>
      </c>
      <c r="D118" t="inlineStr">
        <is>
          <t>pejatenjayaabadi14@gmail.com</t>
        </is>
      </c>
      <c r="E118" t="inlineStr">
        <is>
          <t>https://lpjk.pu.go.id/search-badan-usaha-detail/czF3bHVlRi9IVXcxdmZ2c1A3RUtBUT09</t>
        </is>
      </c>
      <c r="F118" t="n">
        <v>1</v>
      </c>
      <c r="G118" t="inlineStr">
        <is>
          <t>IN001</t>
        </is>
      </c>
      <c r="H118" t="inlineStr">
        <is>
          <t>4 April 2001</t>
        </is>
      </c>
      <c r="I118" s="2" t="n">
        <v>46272</v>
      </c>
      <c r="J118" t="inlineStr">
        <is>
          <t>Disetujui</t>
        </is>
      </c>
      <c r="K118" t="n">
        <v>90</v>
      </c>
      <c r="L118" t="inlineStr">
        <is>
          <t>7 September 2026</t>
        </is>
      </c>
      <c r="M118" t="inlineStr">
        <is>
          <t>Instalasi Mekanikal</t>
        </is>
      </c>
      <c r="N118" t="inlineStr">
        <is>
          <t>Spesialis</t>
        </is>
      </c>
      <c r="O118" t="inlineStr">
        <is>
          <t>20230906</t>
        </is>
      </c>
      <c r="P118" t="inlineStr">
        <is>
          <t>DKI Jakarta</t>
        </is>
      </c>
      <c r="Q118" t="inlineStr"/>
    </row>
    <row r="119">
      <c r="A119" t="inlineStr">
        <is>
          <t>PERINTIS PERSADA</t>
        </is>
      </c>
      <c r="B119" t="inlineStr">
        <is>
          <t>Kota Kupang</t>
        </is>
      </c>
      <c r="C119" t="inlineStr">
        <is>
          <t>081339424823</t>
        </is>
      </c>
      <c r="D119" t="inlineStr">
        <is>
          <t>perintispersada72@gmail.com</t>
        </is>
      </c>
      <c r="E119" t="inlineStr">
        <is>
          <t>https://lpjk.pu.go.id/search-badan-usaha-detail/TS9kbDJFSWRWU2hubjk5VWJOaTFoUT09</t>
        </is>
      </c>
      <c r="F119" t="n">
        <v>3</v>
      </c>
      <c r="G119" t="inlineStr">
        <is>
          <t>BG002, BG006, BG009</t>
        </is>
      </c>
      <c r="H119" t="inlineStr">
        <is>
          <t>18 Januari 1997</t>
        </is>
      </c>
      <c r="I119" s="2" t="n">
        <v>46272</v>
      </c>
      <c r="J119" t="inlineStr">
        <is>
          <t>Pencabutan</t>
        </is>
      </c>
      <c r="K119" t="n">
        <v>90</v>
      </c>
      <c r="L119" t="inlineStr">
        <is>
          <t>7 September 2026</t>
        </is>
      </c>
      <c r="M119" t="inlineStr">
        <is>
          <t>Konstruksi Gedung Lainnya, Konstruksi Gedung Pendidikan, Konstruksi Gedung Perkantoran</t>
        </is>
      </c>
      <c r="N119" t="inlineStr">
        <is>
          <t>K</t>
        </is>
      </c>
      <c r="O119" t="inlineStr">
        <is>
          <t>20230905</t>
        </is>
      </c>
      <c r="P119" t="inlineStr">
        <is>
          <t>Nusa Tenggara Timur</t>
        </is>
      </c>
      <c r="Q119" t="inlineStr"/>
    </row>
    <row r="120">
      <c r="A120" t="inlineStr">
        <is>
          <t>PERMATA</t>
        </is>
      </c>
      <c r="B120" t="inlineStr">
        <is>
          <t>Kab. Bandung Barat</t>
        </is>
      </c>
      <c r="C120" t="inlineStr">
        <is>
          <t>082121206969</t>
        </is>
      </c>
      <c r="D120" t="inlineStr">
        <is>
          <t>cvpermatakbb@gmail.com</t>
        </is>
      </c>
      <c r="E120" t="inlineStr">
        <is>
          <t>https://lpjk.pu.go.id/search-badan-usaha-detail/UHdEdzQrcHJnZmpzY2tYSmk5ZWFMUT09</t>
        </is>
      </c>
      <c r="F120" t="n">
        <v>1</v>
      </c>
      <c r="G120" t="inlineStr">
        <is>
          <t>BG005</t>
        </is>
      </c>
      <c r="H120" t="inlineStr">
        <is>
          <t>31 Januari 2011</t>
        </is>
      </c>
      <c r="I120" s="2" t="n">
        <v>46272</v>
      </c>
      <c r="J120" t="inlineStr">
        <is>
          <t>Disetujui</t>
        </is>
      </c>
      <c r="K120" t="n">
        <v>90</v>
      </c>
      <c r="L120" t="inlineStr">
        <is>
          <t>7 September 2026</t>
        </is>
      </c>
      <c r="M120" t="inlineStr">
        <is>
          <t>Konstruksi Gedung Kesehatan</t>
        </is>
      </c>
      <c r="N120" t="inlineStr">
        <is>
          <t>K</t>
        </is>
      </c>
      <c r="O120" t="inlineStr">
        <is>
          <t>20230904</t>
        </is>
      </c>
      <c r="P120" t="inlineStr">
        <is>
          <t>Jawa Barat</t>
        </is>
      </c>
      <c r="Q120" t="inlineStr"/>
    </row>
    <row r="121">
      <c r="A121" t="inlineStr">
        <is>
          <t>PERMATA KARYA</t>
        </is>
      </c>
      <c r="B121" t="inlineStr">
        <is>
          <t>Kota Yogyakarta</t>
        </is>
      </c>
      <c r="C121" t="inlineStr">
        <is>
          <t>0274487061</t>
        </is>
      </c>
      <c r="D121" t="inlineStr">
        <is>
          <t>cvpermatakarya@yahoo.co.id</t>
        </is>
      </c>
      <c r="E121" t="inlineStr">
        <is>
          <t>https://lpjk.pu.go.id/search-badan-usaha-detail/SmdOdEk4dGtjSTN6Q3k2eDVPMHk3QT09</t>
        </is>
      </c>
      <c r="F121" t="n">
        <v>1</v>
      </c>
      <c r="G121" t="inlineStr">
        <is>
          <t>BS002</t>
        </is>
      </c>
      <c r="H121" t="inlineStr">
        <is>
          <t>30 Oktober 2019</t>
        </is>
      </c>
      <c r="I121" s="2" t="n">
        <v>46272</v>
      </c>
      <c r="J121" t="inlineStr">
        <is>
          <t>Disetujui</t>
        </is>
      </c>
      <c r="K121" t="n">
        <v>90</v>
      </c>
      <c r="L121" t="inlineStr">
        <is>
          <t>7 September 2026</t>
        </is>
      </c>
      <c r="M121" t="inlineStr">
        <is>
          <t>Bangunan Sipil Jembatan, Jalan Layang, Fly Over, dan Underpass</t>
        </is>
      </c>
      <c r="N121" t="inlineStr">
        <is>
          <t>K</t>
        </is>
      </c>
      <c r="O121" t="inlineStr">
        <is>
          <t>20230829</t>
        </is>
      </c>
      <c r="P121" t="inlineStr">
        <is>
          <t>DI Yogyakarta</t>
        </is>
      </c>
      <c r="Q121" t="inlineStr"/>
    </row>
    <row r="122">
      <c r="A122" t="inlineStr">
        <is>
          <t>PETROFLEXX PRIMA DAYA</t>
        </is>
      </c>
      <c r="B122" t="inlineStr">
        <is>
          <t>Kota Adm. Jakarta Selatan</t>
        </is>
      </c>
      <c r="C122" t="inlineStr">
        <is>
          <t>02127518000</t>
        </is>
      </c>
      <c r="D122" t="inlineStr">
        <is>
          <t>bagus.setyo@petroflexx.com</t>
        </is>
      </c>
      <c r="E122" t="inlineStr">
        <is>
          <t>https://lpjk.pu.go.id/search-badan-usaha-detail/L1hRcStscnB0M2tPekQxWWVhZXg1Zz09</t>
        </is>
      </c>
      <c r="F122" t="n">
        <v>1</v>
      </c>
      <c r="G122" t="inlineStr">
        <is>
          <t>BS001</t>
        </is>
      </c>
      <c r="H122" t="inlineStr">
        <is>
          <t>28 Maret 2001</t>
        </is>
      </c>
      <c r="I122" s="2" t="n">
        <v>46272</v>
      </c>
      <c r="J122" t="inlineStr">
        <is>
          <t>Disetujui</t>
        </is>
      </c>
      <c r="K122" t="n">
        <v>90</v>
      </c>
      <c r="L122" t="inlineStr">
        <is>
          <t>7 September 2026</t>
        </is>
      </c>
      <c r="M122" t="inlineStr">
        <is>
          <t>Konstruksi Bangunan Sipil Jalan</t>
        </is>
      </c>
      <c r="N122" t="inlineStr">
        <is>
          <t>K</t>
        </is>
      </c>
      <c r="O122" t="inlineStr">
        <is>
          <t>20230131</t>
        </is>
      </c>
      <c r="P122" t="inlineStr">
        <is>
          <t>DKI Jakarta</t>
        </is>
      </c>
      <c r="Q122" t="inlineStr"/>
    </row>
    <row r="123">
      <c r="A123" t="inlineStr">
        <is>
          <t>POLA LARAS</t>
        </is>
      </c>
      <c r="B123" t="inlineStr">
        <is>
          <t>Kota Bengkulu</t>
        </is>
      </c>
      <c r="C123" t="inlineStr">
        <is>
          <t>081273986542</t>
        </is>
      </c>
      <c r="D123" t="inlineStr">
        <is>
          <t>polalaraskonsultan@gmail.com</t>
        </is>
      </c>
      <c r="E123" t="inlineStr">
        <is>
          <t>https://lpjk.pu.go.id/search-badan-usaha-detail/QnZ4VnJtVmdOcW94TXFWMXMzdlNzUT09</t>
        </is>
      </c>
      <c r="F123" t="n">
        <v>1</v>
      </c>
      <c r="G123" t="inlineStr">
        <is>
          <t>RK003</t>
        </is>
      </c>
      <c r="H123" t="inlineStr">
        <is>
          <t>26 September 1991</t>
        </is>
      </c>
      <c r="I123" s="2" t="n">
        <v>46272</v>
      </c>
      <c r="J123" t="inlineStr">
        <is>
          <t>Disetujui</t>
        </is>
      </c>
      <c r="K123" t="n">
        <v>90</v>
      </c>
      <c r="L123" t="inlineStr">
        <is>
          <t>7 September 2026</t>
        </is>
      </c>
      <c r="M123" t="inlineStr">
        <is>
          <t>Jasa Rekayasa Pekerjaan Teknik Sipil Transportasi</t>
        </is>
      </c>
      <c r="N123" t="inlineStr">
        <is>
          <t>K</t>
        </is>
      </c>
      <c r="O123" t="inlineStr">
        <is>
          <t>20230822</t>
        </is>
      </c>
      <c r="P123" t="inlineStr">
        <is>
          <t>Bengkulu</t>
        </is>
      </c>
      <c r="Q123" t="inlineStr"/>
    </row>
    <row r="124">
      <c r="A124" t="inlineStr">
        <is>
          <t>PRAMESTA BAJA UTAMA</t>
        </is>
      </c>
      <c r="B124" t="inlineStr">
        <is>
          <t>Kota Tangerang</t>
        </is>
      </c>
      <c r="C124" t="inlineStr">
        <is>
          <t>0215929008</t>
        </is>
      </c>
      <c r="D124" t="inlineStr">
        <is>
          <t>marketing@ctprima.co.id</t>
        </is>
      </c>
      <c r="E124" t="inlineStr">
        <is>
          <t>https://lpjk.pu.go.id/search-badan-usaha-detail/TWhRSXJORG5nUkZkZldxQ0k0TnF0Zz09</t>
        </is>
      </c>
      <c r="F124" t="n">
        <v>2</v>
      </c>
      <c r="G124" t="inlineStr">
        <is>
          <t>BG003, BG009</t>
        </is>
      </c>
      <c r="H124" t="inlineStr">
        <is>
          <t>16 Februari 2011</t>
        </is>
      </c>
      <c r="I124" s="2" t="n">
        <v>46272</v>
      </c>
      <c r="J124" t="inlineStr">
        <is>
          <t>Disetujui, Pencabutan</t>
        </is>
      </c>
      <c r="K124" t="n">
        <v>90</v>
      </c>
      <c r="L124" t="inlineStr">
        <is>
          <t>7 September 2026</t>
        </is>
      </c>
      <c r="M124" t="inlineStr">
        <is>
          <t>Konstruksi Gedung Industri, Konstruksi Gedung Lainnya</t>
        </is>
      </c>
      <c r="N124" t="inlineStr">
        <is>
          <t>M</t>
        </is>
      </c>
      <c r="O124" t="inlineStr">
        <is>
          <t>20230904</t>
        </is>
      </c>
      <c r="P124" t="inlineStr">
        <is>
          <t>Banten</t>
        </is>
      </c>
      <c r="Q124" t="inlineStr"/>
    </row>
    <row r="125">
      <c r="A125" t="inlineStr">
        <is>
          <t>PRATAMA INTERMEDIA</t>
        </is>
      </c>
      <c r="B125" t="inlineStr">
        <is>
          <t>Kab. Sintang</t>
        </is>
      </c>
      <c r="C125" t="inlineStr">
        <is>
          <t>0812550954</t>
        </is>
      </c>
      <c r="D125" t="inlineStr">
        <is>
          <t>pratamaintermedia@gmail.com</t>
        </is>
      </c>
      <c r="E125" t="inlineStr">
        <is>
          <t>https://lpjk.pu.go.id/search-badan-usaha-detail/VERVVWhRTFczZTNHaEwxdGVxbzNlZz09</t>
        </is>
      </c>
      <c r="F125" t="n">
        <v>2</v>
      </c>
      <c r="G125" t="inlineStr">
        <is>
          <t>BS001, BS004</t>
        </is>
      </c>
      <c r="H125" t="inlineStr">
        <is>
          <t>27 November 2002</t>
        </is>
      </c>
      <c r="I125" s="2" t="n">
        <v>46272</v>
      </c>
      <c r="J125" t="inlineStr">
        <is>
          <t>Disetujui</t>
        </is>
      </c>
      <c r="K125" t="n">
        <v>90</v>
      </c>
      <c r="L125" t="inlineStr">
        <is>
          <t>7 September 2026</t>
        </is>
      </c>
      <c r="M125" t="inlineStr">
        <is>
          <t>Konstruksi Bangunan Sipil Jalan, Konstruksi Jaringan Irigasi dan Drainase</t>
        </is>
      </c>
      <c r="N125" t="inlineStr">
        <is>
          <t>K</t>
        </is>
      </c>
      <c r="O125" t="inlineStr">
        <is>
          <t>20230906</t>
        </is>
      </c>
      <c r="P125" t="inlineStr">
        <is>
          <t>Kalimantan Barat</t>
        </is>
      </c>
      <c r="Q125" t="inlineStr"/>
    </row>
    <row r="126">
      <c r="A126" t="inlineStr">
        <is>
          <t>PRIMA KARYA ABADI KONSTRUKSI</t>
        </is>
      </c>
      <c r="B126" t="inlineStr">
        <is>
          <t>Kota Cimahi</t>
        </is>
      </c>
      <c r="C126" t="inlineStr">
        <is>
          <t>08122093683</t>
        </is>
      </c>
      <c r="D126" t="inlineStr">
        <is>
          <t>ptprimakaryaabadikonstruksi@gmail.com</t>
        </is>
      </c>
      <c r="E126" t="inlineStr">
        <is>
          <t>https://lpjk.pu.go.id/search-badan-usaha-detail/TFpGS3czcXZCZ21iT0dPUWk1WUp3Zz09</t>
        </is>
      </c>
      <c r="F126" t="n">
        <v>1</v>
      </c>
      <c r="G126" t="inlineStr">
        <is>
          <t>BG009</t>
        </is>
      </c>
      <c r="H126" t="inlineStr">
        <is>
          <t>18 Juli 2023</t>
        </is>
      </c>
      <c r="I126" s="2" t="n">
        <v>46272</v>
      </c>
      <c r="J126" t="inlineStr">
        <is>
          <t>Disetujui</t>
        </is>
      </c>
      <c r="K126" t="n">
        <v>90</v>
      </c>
      <c r="L126" t="inlineStr">
        <is>
          <t>7 September 2026</t>
        </is>
      </c>
      <c r="M126" t="inlineStr">
        <is>
          <t>Konstruksi Gedung Lainnya</t>
        </is>
      </c>
      <c r="N126" t="inlineStr">
        <is>
          <t>K</t>
        </is>
      </c>
      <c r="O126" t="inlineStr">
        <is>
          <t>20230901</t>
        </is>
      </c>
      <c r="P126" t="inlineStr">
        <is>
          <t>Jawa Barat</t>
        </is>
      </c>
      <c r="Q126" t="inlineStr"/>
    </row>
    <row r="127">
      <c r="A127" t="inlineStr">
        <is>
          <t>PRISMA ESTETIKA KONSULTAN</t>
        </is>
      </c>
      <c r="B127" t="inlineStr">
        <is>
          <t>Kota Pontianak</t>
        </is>
      </c>
      <c r="C127" t="inlineStr">
        <is>
          <t>085348169318</t>
        </is>
      </c>
      <c r="D127" t="inlineStr">
        <is>
          <t>prismaestetika@gmail.com</t>
        </is>
      </c>
      <c r="E127" t="inlineStr">
        <is>
          <t>https://lpjk.pu.go.id/search-badan-usaha-detail/U2dxenZ0M1IxTVBtc1QwaXBDZXNEUT09</t>
        </is>
      </c>
      <c r="F127" t="n">
        <v>1</v>
      </c>
      <c r="G127" t="inlineStr">
        <is>
          <t>RK003</t>
        </is>
      </c>
      <c r="H127" t="inlineStr">
        <is>
          <t>28 September 2007</t>
        </is>
      </c>
      <c r="I127" s="2" t="n">
        <v>46272</v>
      </c>
      <c r="J127" t="inlineStr">
        <is>
          <t>Disetujui</t>
        </is>
      </c>
      <c r="K127" t="n">
        <v>90</v>
      </c>
      <c r="L127" t="inlineStr">
        <is>
          <t>7 September 2026</t>
        </is>
      </c>
      <c r="M127" t="inlineStr">
        <is>
          <t>Jasa Rekayasa Pekerjaan Teknik Sipil Transportasi</t>
        </is>
      </c>
      <c r="N127" t="inlineStr">
        <is>
          <t>K</t>
        </is>
      </c>
      <c r="O127" t="inlineStr">
        <is>
          <t>20230829</t>
        </is>
      </c>
      <c r="P127" t="inlineStr">
        <is>
          <t>Kalimantan Barat</t>
        </is>
      </c>
      <c r="Q127" t="inlineStr"/>
    </row>
    <row r="128">
      <c r="A128" t="inlineStr">
        <is>
          <t>PULAU BINTAN BESTARI</t>
        </is>
      </c>
      <c r="B128" t="inlineStr">
        <is>
          <t>Kota Tanjung Pinang</t>
        </is>
      </c>
      <c r="C128" t="inlineStr">
        <is>
          <t>081293285559</t>
        </is>
      </c>
      <c r="D128" t="inlineStr">
        <is>
          <t>widyapbb6@gmail.com</t>
        </is>
      </c>
      <c r="E128" t="inlineStr">
        <is>
          <t>https://lpjk.pu.go.id/search-badan-usaha-detail/blNaTXEvcVhjMXNIY3FRRnB2aHJpZz09</t>
        </is>
      </c>
      <c r="F128" t="n">
        <v>1</v>
      </c>
      <c r="G128" t="inlineStr">
        <is>
          <t>BS004</t>
        </is>
      </c>
      <c r="H128" t="inlineStr">
        <is>
          <t>1 Desember 2004</t>
        </is>
      </c>
      <c r="I128" s="2" t="n">
        <v>46272</v>
      </c>
      <c r="J128" t="inlineStr">
        <is>
          <t>Disetujui</t>
        </is>
      </c>
      <c r="K128" t="n">
        <v>90</v>
      </c>
      <c r="L128" t="inlineStr">
        <is>
          <t>7 September 2026</t>
        </is>
      </c>
      <c r="M128" t="inlineStr">
        <is>
          <t>Konstruksi Jaringan Irigasi dan Drainase</t>
        </is>
      </c>
      <c r="N128" t="inlineStr">
        <is>
          <t>M</t>
        </is>
      </c>
      <c r="O128" t="inlineStr">
        <is>
          <t>20230824</t>
        </is>
      </c>
      <c r="P128" t="inlineStr">
        <is>
          <t>Kepulauan Riau</t>
        </is>
      </c>
      <c r="Q128" t="inlineStr"/>
    </row>
    <row r="129">
      <c r="A129" t="inlineStr">
        <is>
          <t>PUTRA MAS AGRO SEJAHTERA</t>
        </is>
      </c>
      <c r="B129" t="inlineStr">
        <is>
          <t>Kota Medan</t>
        </is>
      </c>
      <c r="C129" t="inlineStr">
        <is>
          <t>085276011383</t>
        </is>
      </c>
      <c r="D129" t="inlineStr">
        <is>
          <t>putramasagro@yahoo.com</t>
        </is>
      </c>
      <c r="E129" t="inlineStr">
        <is>
          <t>https://lpjk.pu.go.id/search-badan-usaha-detail/T3ROdFYxL29EaUozMGZSYXdBOHRwQT09</t>
        </is>
      </c>
      <c r="F129" t="n">
        <v>1</v>
      </c>
      <c r="G129" t="inlineStr">
        <is>
          <t>BS001</t>
        </is>
      </c>
      <c r="H129" t="inlineStr">
        <is>
          <t>2 Mei 2007</t>
        </is>
      </c>
      <c r="I129" s="2" t="n">
        <v>46272</v>
      </c>
      <c r="J129" t="inlineStr">
        <is>
          <t>Disetujui</t>
        </is>
      </c>
      <c r="K129" t="n">
        <v>90</v>
      </c>
      <c r="L129" t="inlineStr">
        <is>
          <t>7 September 2026</t>
        </is>
      </c>
      <c r="M129" t="inlineStr">
        <is>
          <t>Konstruksi Bangunan Sipil Jalan</t>
        </is>
      </c>
      <c r="N129" t="inlineStr">
        <is>
          <t>K</t>
        </is>
      </c>
      <c r="O129" t="inlineStr">
        <is>
          <t>20230621</t>
        </is>
      </c>
      <c r="P129" t="inlineStr">
        <is>
          <t>Sumatera Utara</t>
        </is>
      </c>
      <c r="Q129" t="inlineStr"/>
    </row>
    <row r="130">
      <c r="A130" t="inlineStr">
        <is>
          <t>PUTRA MELAYU BERSAUDARA</t>
        </is>
      </c>
      <c r="B130" t="inlineStr">
        <is>
          <t>Kab. Kampar</t>
        </is>
      </c>
      <c r="C130" t="inlineStr">
        <is>
          <t>081277798951</t>
        </is>
      </c>
      <c r="D130" t="inlineStr">
        <is>
          <t>cvputramelayubersaudara@gmail.com</t>
        </is>
      </c>
      <c r="E130" t="inlineStr">
        <is>
          <t>https://lpjk.pu.go.id/search-badan-usaha-detail/b2RndE1xWkc1Y1FkUGgvaGJlbEo4dz09</t>
        </is>
      </c>
      <c r="F130" t="n">
        <v>2</v>
      </c>
      <c r="G130" t="inlineStr">
        <is>
          <t>BS004, BS005</t>
        </is>
      </c>
      <c r="H130" t="inlineStr">
        <is>
          <t>22 Mei 2020</t>
        </is>
      </c>
      <c r="I130" s="2" t="n">
        <v>46272</v>
      </c>
      <c r="J130" t="inlineStr">
        <is>
          <t>Disetujui</t>
        </is>
      </c>
      <c r="K130" t="n">
        <v>90</v>
      </c>
      <c r="L130" t="inlineStr">
        <is>
          <t>7 September 2026</t>
        </is>
      </c>
      <c r="M130" t="inlineStr">
        <is>
          <t>Konstruksi Bangunan Sipil Pengolahan Air Bersih, Konstruksi Jaringan Irigasi dan Drainase</t>
        </is>
      </c>
      <c r="N130" t="inlineStr">
        <is>
          <t>K</t>
        </is>
      </c>
      <c r="O130" t="inlineStr">
        <is>
          <t>20230907</t>
        </is>
      </c>
      <c r="P130" t="inlineStr">
        <is>
          <t>Riau</t>
        </is>
      </c>
      <c r="Q130" t="inlineStr"/>
    </row>
    <row r="131">
      <c r="A131" t="inlineStr">
        <is>
          <t>PUTRI MAHAKAM KALISAMARINDO</t>
        </is>
      </c>
      <c r="B131" t="inlineStr">
        <is>
          <t>Kota Adm. Jakarta Barat</t>
        </is>
      </c>
      <c r="C131" t="inlineStr">
        <is>
          <t>02154315970</t>
        </is>
      </c>
      <c r="D131" t="inlineStr">
        <is>
          <t>putrimahakam_kalisamarindo@yahoo.com</t>
        </is>
      </c>
      <c r="E131" t="inlineStr">
        <is>
          <t>https://lpjk.pu.go.id/search-badan-usaha-detail/cjhGa1I2MGVHQlpHcDdKODQ4bWFEQT09</t>
        </is>
      </c>
      <c r="F131" t="n">
        <v>2</v>
      </c>
      <c r="G131" t="inlineStr">
        <is>
          <t>BG008, BG009</t>
        </is>
      </c>
      <c r="H131" t="inlineStr">
        <is>
          <t>26 November 2012</t>
        </is>
      </c>
      <c r="I131" s="2" t="n">
        <v>46272</v>
      </c>
      <c r="J131" t="inlineStr">
        <is>
          <t>Pencabutan</t>
        </is>
      </c>
      <c r="K131" t="n">
        <v>90</v>
      </c>
      <c r="L131" t="inlineStr">
        <is>
          <t>7 September 2026</t>
        </is>
      </c>
      <c r="M131" t="inlineStr">
        <is>
          <t>Konstruksi Gedung Lainnya, Konstruksi Gedung Tempat Hiburan dan Olahraga</t>
        </is>
      </c>
      <c r="N131" t="inlineStr">
        <is>
          <t>K</t>
        </is>
      </c>
      <c r="O131" t="inlineStr">
        <is>
          <t>20230907</t>
        </is>
      </c>
      <c r="P131" t="inlineStr">
        <is>
          <t>DKI Jakarta</t>
        </is>
      </c>
      <c r="Q131" t="inlineStr"/>
    </row>
    <row r="132">
      <c r="A132" t="inlineStr">
        <is>
          <t>RAMA ADIJAYA PROPERTINDO</t>
        </is>
      </c>
      <c r="B132" t="inlineStr">
        <is>
          <t>Kota Pontianak</t>
        </is>
      </c>
      <c r="C132" t="inlineStr">
        <is>
          <t>082154380169</t>
        </is>
      </c>
      <c r="D132" t="inlineStr">
        <is>
          <t>-</t>
        </is>
      </c>
      <c r="E132" t="inlineStr">
        <is>
          <t>https://lpjk.pu.go.id/search-badan-usaha-detail/ZW1HSWQwS1MxVVZlN2FjaVRIdFRHZz09</t>
        </is>
      </c>
      <c r="F132" t="n">
        <v>1</v>
      </c>
      <c r="G132" t="inlineStr">
        <is>
          <t>BG001</t>
        </is>
      </c>
      <c r="H132" t="inlineStr">
        <is>
          <t>27 Juni 2019</t>
        </is>
      </c>
      <c r="I132" s="2" t="n">
        <v>46272</v>
      </c>
      <c r="J132" t="inlineStr">
        <is>
          <t>Disetujui</t>
        </is>
      </c>
      <c r="K132" t="n">
        <v>90</v>
      </c>
      <c r="L132" t="inlineStr">
        <is>
          <t>7 September 2026</t>
        </is>
      </c>
      <c r="M132" t="inlineStr">
        <is>
          <t>Konstruksi Gedung Hunian</t>
        </is>
      </c>
      <c r="N132" t="inlineStr">
        <is>
          <t>K</t>
        </is>
      </c>
      <c r="O132" t="inlineStr">
        <is>
          <t>20230828</t>
        </is>
      </c>
      <c r="P132" t="inlineStr">
        <is>
          <t>Kalimantan Barat</t>
        </is>
      </c>
      <c r="Q132" t="inlineStr"/>
    </row>
    <row r="133">
      <c r="A133" t="inlineStr">
        <is>
          <t>RAYYAN</t>
        </is>
      </c>
      <c r="B133" t="inlineStr">
        <is>
          <t>Kab. Bima</t>
        </is>
      </c>
      <c r="C133" t="inlineStr">
        <is>
          <t>082339621999</t>
        </is>
      </c>
      <c r="D133" t="inlineStr">
        <is>
          <t>mantikarino@gmail.com</t>
        </is>
      </c>
      <c r="E133" t="inlineStr">
        <is>
          <t>https://lpjk.pu.go.id/search-badan-usaha-detail/bmNnODRHbWZCdFBMRzBCb2QzYVppZz09</t>
        </is>
      </c>
      <c r="F133" t="n">
        <v>2</v>
      </c>
      <c r="G133" t="inlineStr">
        <is>
          <t>BG005</t>
        </is>
      </c>
      <c r="H133" t="inlineStr">
        <is>
          <t>29 September 2018</t>
        </is>
      </c>
      <c r="I133" s="2" t="n">
        <v>46272</v>
      </c>
      <c r="J133" t="inlineStr">
        <is>
          <t>Disetujui</t>
        </is>
      </c>
      <c r="K133" t="n">
        <v>90</v>
      </c>
      <c r="L133" t="inlineStr">
        <is>
          <t>7 September 2026</t>
        </is>
      </c>
      <c r="M133" t="inlineStr">
        <is>
          <t>Konstruksi Gedung Kesehatan</t>
        </is>
      </c>
      <c r="N133" t="inlineStr">
        <is>
          <t>K</t>
        </is>
      </c>
      <c r="O133" t="inlineStr">
        <is>
          <t>20230907</t>
        </is>
      </c>
      <c r="P133" t="inlineStr">
        <is>
          <t>Nusa Tenggara Barat</t>
        </is>
      </c>
      <c r="Q133" t="inlineStr"/>
    </row>
    <row r="134">
      <c r="A134" t="inlineStr">
        <is>
          <t>REKAPRIMA</t>
        </is>
      </c>
      <c r="B134" t="inlineStr">
        <is>
          <t>Kota Ambon</t>
        </is>
      </c>
      <c r="C134" t="inlineStr">
        <is>
          <t>085243430099</t>
        </is>
      </c>
      <c r="D134" t="inlineStr">
        <is>
          <t>rekaprima2012@gmail.com</t>
        </is>
      </c>
      <c r="E134" t="inlineStr">
        <is>
          <t>https://lpjk.pu.go.id/search-badan-usaha-detail/ZUh4QnZWS0h2WDdFVVRDY2NCR2pvUT09</t>
        </is>
      </c>
      <c r="F134" t="n">
        <v>5</v>
      </c>
      <c r="G134" t="inlineStr">
        <is>
          <t>AR001, RK001, RK002, RK003, RK005</t>
        </is>
      </c>
      <c r="H134" t="inlineStr">
        <is>
          <t>14 Maret 2012</t>
        </is>
      </c>
      <c r="I134" s="2" t="n">
        <v>46272</v>
      </c>
      <c r="J134" t="inlineStr">
        <is>
          <t>Disetujui</t>
        </is>
      </c>
      <c r="K134" t="n">
        <v>90</v>
      </c>
      <c r="L134" t="inlineStr">
        <is>
          <t>7 September 2026</t>
        </is>
      </c>
      <c r="M134" t="inlineStr">
        <is>
          <t>Jasa Arsitektural Bangunan Gedung Hunian dan Non Hunian, Jasa Rekayasa Konstruksi Bangunan Gedung Hunian dan Non Hunian, Jasa Rekayasa Lainnya, Jasa Rekayasa Pekerjaan Teknik Sipil Sumber Daya Air, Jasa Rekayasa Pekerjaan Teknik Sipil Transportasi</t>
        </is>
      </c>
      <c r="N134" t="inlineStr">
        <is>
          <t>K</t>
        </is>
      </c>
      <c r="O134" t="inlineStr">
        <is>
          <t>20230902</t>
        </is>
      </c>
      <c r="P134" t="inlineStr">
        <is>
          <t>Maluku</t>
        </is>
      </c>
      <c r="Q134" t="inlineStr"/>
    </row>
    <row r="135">
      <c r="A135" t="inlineStr">
        <is>
          <t>REZEKI DWI PUTRA</t>
        </is>
      </c>
      <c r="B135" t="inlineStr">
        <is>
          <t>Kota Medan</t>
        </is>
      </c>
      <c r="C135" t="inlineStr">
        <is>
          <t>081260076659</t>
        </is>
      </c>
      <c r="D135" t="inlineStr">
        <is>
          <t>cvrezekidwiputra@gmail.com</t>
        </is>
      </c>
      <c r="E135" t="inlineStr">
        <is>
          <t>https://lpjk.pu.go.id/search-badan-usaha-detail/RG9ZempLTENza2lKUFNMVi81VDY1Zz09</t>
        </is>
      </c>
      <c r="F135" t="n">
        <v>3</v>
      </c>
      <c r="G135" t="inlineStr">
        <is>
          <t>BG005, BG006, BG009</t>
        </is>
      </c>
      <c r="H135" t="inlineStr">
        <is>
          <t>15 Januari 2020</t>
        </is>
      </c>
      <c r="I135" s="2" t="n">
        <v>46272</v>
      </c>
      <c r="J135" t="inlineStr">
        <is>
          <t>Pencabutan</t>
        </is>
      </c>
      <c r="K135" t="n">
        <v>90</v>
      </c>
      <c r="L135" t="inlineStr">
        <is>
          <t>7 September 2026</t>
        </is>
      </c>
      <c r="M135" t="inlineStr">
        <is>
          <t>Konstruksi Gedung Kesehatan, Konstruksi Gedung Lainnya, Konstruksi Gedung Pendidikan</t>
        </is>
      </c>
      <c r="N135" t="inlineStr">
        <is>
          <t>K</t>
        </is>
      </c>
      <c r="O135" t="inlineStr">
        <is>
          <t>20230907, 20230908</t>
        </is>
      </c>
      <c r="P135" t="inlineStr">
        <is>
          <t>Sumatera Utara</t>
        </is>
      </c>
      <c r="Q135" t="inlineStr"/>
    </row>
    <row r="136">
      <c r="A136" t="inlineStr">
        <is>
          <t>RISMA SETIA</t>
        </is>
      </c>
      <c r="B136" t="inlineStr">
        <is>
          <t>Kota Semarang</t>
        </is>
      </c>
      <c r="C136" t="inlineStr">
        <is>
          <t>081325774818</t>
        </is>
      </c>
      <c r="D136" t="inlineStr">
        <is>
          <t>rismasetia00@gmail.com</t>
        </is>
      </c>
      <c r="E136" t="inlineStr">
        <is>
          <t>https://lpjk.pu.go.id/search-badan-usaha-detail/bnFKYmcxc3FxWnpCKzg4c0lRQmRLdz09</t>
        </is>
      </c>
      <c r="F136" t="n">
        <v>4</v>
      </c>
      <c r="G136" t="inlineStr">
        <is>
          <t>BG006, BG009, BS001, BS004</t>
        </is>
      </c>
      <c r="H136" t="inlineStr">
        <is>
          <t>18 Januari 2017</t>
        </is>
      </c>
      <c r="I136" s="2" t="n">
        <v>46272</v>
      </c>
      <c r="J136" t="inlineStr">
        <is>
          <t>Disetujui</t>
        </is>
      </c>
      <c r="K136" t="n">
        <v>90</v>
      </c>
      <c r="L136" t="inlineStr">
        <is>
          <t>7 September 2026</t>
        </is>
      </c>
      <c r="M136" t="inlineStr">
        <is>
          <t>Konstruksi Bangunan Sipil Jalan, Konstruksi Gedung Lainnya, Konstruksi Gedung Pendidikan, Konstruksi Jaringan Irigasi dan Drainase</t>
        </is>
      </c>
      <c r="N136" t="inlineStr">
        <is>
          <t>K</t>
        </is>
      </c>
      <c r="O136" t="inlineStr">
        <is>
          <t>20230904</t>
        </is>
      </c>
      <c r="P136" t="inlineStr">
        <is>
          <t>Jawa Tengah</t>
        </is>
      </c>
      <c r="Q136" t="inlineStr"/>
    </row>
    <row r="137">
      <c r="A137" t="inlineStr">
        <is>
          <t>RIZKY NAULI</t>
        </is>
      </c>
      <c r="B137" t="inlineStr">
        <is>
          <t>Kota Medan</t>
        </is>
      </c>
      <c r="C137" t="inlineStr">
        <is>
          <t>08126404355</t>
        </is>
      </c>
      <c r="D137" t="inlineStr">
        <is>
          <t>cv.rizky_nauli@yahoo.com</t>
        </is>
      </c>
      <c r="E137" t="inlineStr">
        <is>
          <t>https://lpjk.pu.go.id/search-badan-usaha-detail/U2FYME9YOEVGakxKaGhRYy9CanV4QT09</t>
        </is>
      </c>
      <c r="F137" t="n">
        <v>5</v>
      </c>
      <c r="G137" t="inlineStr">
        <is>
          <t>BG002, BG005, BG006, BG008, BG009</t>
        </is>
      </c>
      <c r="H137" t="inlineStr">
        <is>
          <t>26 Mei 2005</t>
        </is>
      </c>
      <c r="I137" s="2" t="n">
        <v>46272</v>
      </c>
      <c r="J137" t="inlineStr">
        <is>
          <t>Disetujui</t>
        </is>
      </c>
      <c r="K137" t="n">
        <v>90</v>
      </c>
      <c r="L137" t="inlineStr">
        <is>
          <t>7 September 2026</t>
        </is>
      </c>
      <c r="M137" t="inlineStr">
        <is>
          <t>Konstruksi Gedung Kesehatan, Konstruksi Gedung Lainnya, Konstruksi Gedung Pendidikan, Konstruksi Gedung Perkantoran, Konstruksi Gedung Tempat Hiburan dan Olahraga</t>
        </is>
      </c>
      <c r="N137" t="inlineStr">
        <is>
          <t>K</t>
        </is>
      </c>
      <c r="O137" t="inlineStr">
        <is>
          <t>20230908</t>
        </is>
      </c>
      <c r="P137" t="inlineStr">
        <is>
          <t>Sumatera Utara</t>
        </is>
      </c>
      <c r="Q137" t="inlineStr"/>
    </row>
    <row r="138">
      <c r="A138" t="inlineStr">
        <is>
          <t>SAKA BERKAH SENTOSA</t>
        </is>
      </c>
      <c r="B138" t="inlineStr">
        <is>
          <t>Kab. Ngawi</t>
        </is>
      </c>
      <c r="C138" t="inlineStr">
        <is>
          <t>081217010888</t>
        </is>
      </c>
      <c r="D138" t="inlineStr">
        <is>
          <t>cvsakaberkahsentosa@gmail.com</t>
        </is>
      </c>
      <c r="E138" t="inlineStr">
        <is>
          <t>https://lpjk.pu.go.id/search-badan-usaha-detail/djllaFJzcEFPS2xQUmdWM3laMEZGQT09</t>
        </is>
      </c>
      <c r="F138" t="n">
        <v>1</v>
      </c>
      <c r="G138" t="inlineStr">
        <is>
          <t>BG004</t>
        </is>
      </c>
      <c r="H138" t="inlineStr">
        <is>
          <t>13 April 2023</t>
        </is>
      </c>
      <c r="I138" s="2" t="n">
        <v>46272</v>
      </c>
      <c r="J138" t="inlineStr">
        <is>
          <t>Disetujui</t>
        </is>
      </c>
      <c r="K138" t="n">
        <v>90</v>
      </c>
      <c r="L138" t="inlineStr">
        <is>
          <t>7 September 2026</t>
        </is>
      </c>
      <c r="M138" t="inlineStr">
        <is>
          <t>Konstruksi Gedung Perbelanjaan</t>
        </is>
      </c>
      <c r="N138" t="inlineStr">
        <is>
          <t>K</t>
        </is>
      </c>
      <c r="O138" t="inlineStr">
        <is>
          <t>20230807</t>
        </is>
      </c>
      <c r="P138" t="inlineStr">
        <is>
          <t>Jawa Timur</t>
        </is>
      </c>
      <c r="Q138" t="inlineStr"/>
    </row>
    <row r="139">
      <c r="A139" t="inlineStr">
        <is>
          <t>SAKA TEKNIK</t>
        </is>
      </c>
      <c r="B139" t="inlineStr">
        <is>
          <t>Kota Mojokerto</t>
        </is>
      </c>
      <c r="C139" t="inlineStr">
        <is>
          <t>03215284069</t>
        </is>
      </c>
      <c r="D139" t="inlineStr">
        <is>
          <t>sakateknik19@gmail.com</t>
        </is>
      </c>
      <c r="E139" t="inlineStr">
        <is>
          <t>https://lpjk.pu.go.id/search-badan-usaha-detail/VG1Ec2YxMVE5OGcraXFkL2hyc21pdz09</t>
        </is>
      </c>
      <c r="F139" t="n">
        <v>1</v>
      </c>
      <c r="G139" t="inlineStr">
        <is>
          <t>IN004</t>
        </is>
      </c>
      <c r="H139" t="inlineStr">
        <is>
          <t>16 Desember 2019</t>
        </is>
      </c>
      <c r="I139" s="2" t="n">
        <v>46272</v>
      </c>
      <c r="J139" t="inlineStr">
        <is>
          <t>Pembekuan</t>
        </is>
      </c>
      <c r="K139" t="n">
        <v>90</v>
      </c>
      <c r="L139" t="inlineStr">
        <is>
          <t>7 September 2026</t>
        </is>
      </c>
      <c r="M139" t="inlineStr">
        <is>
          <t>Instalasi Minyak dan Gas</t>
        </is>
      </c>
      <c r="N139" t="inlineStr">
        <is>
          <t>Spesialis</t>
        </is>
      </c>
      <c r="O139" t="inlineStr">
        <is>
          <t>20230906</t>
        </is>
      </c>
      <c r="P139" t="inlineStr">
        <is>
          <t>Jawa Timur</t>
        </is>
      </c>
      <c r="Q139" t="inlineStr"/>
    </row>
    <row r="140">
      <c r="A140" t="inlineStr">
        <is>
          <t>SAKA UTAMA</t>
        </is>
      </c>
      <c r="B140" t="inlineStr">
        <is>
          <t>Kab. Sukabumi</t>
        </is>
      </c>
      <c r="C140" t="inlineStr">
        <is>
          <t>085659000355</t>
        </is>
      </c>
      <c r="D140" t="inlineStr">
        <is>
          <t>saka.utama1@gmail.com</t>
        </is>
      </c>
      <c r="E140" t="inlineStr">
        <is>
          <t>https://lpjk.pu.go.id/search-badan-usaha-detail/ZC9FRUlDV0xTZENwTU0yeEs1SXUydz09</t>
        </is>
      </c>
      <c r="F140" t="n">
        <v>1</v>
      </c>
      <c r="G140" t="inlineStr">
        <is>
          <t>PL005</t>
        </is>
      </c>
      <c r="H140" t="inlineStr">
        <is>
          <t>20 Januari 2006</t>
        </is>
      </c>
      <c r="I140" s="2" t="n">
        <v>46272</v>
      </c>
      <c r="J140" t="inlineStr">
        <is>
          <t>Pencabutan</t>
        </is>
      </c>
      <c r="K140" t="n">
        <v>90</v>
      </c>
      <c r="L140" t="inlineStr">
        <is>
          <t>7 September 2026</t>
        </is>
      </c>
      <c r="M140" t="inlineStr">
        <is>
          <t>Pembuatan/Pengeboran Sumur Air Tanah</t>
        </is>
      </c>
      <c r="N140" t="inlineStr">
        <is>
          <t>Spesialis</t>
        </is>
      </c>
      <c r="O140" t="inlineStr">
        <is>
          <t>20230904</t>
        </is>
      </c>
      <c r="P140" t="inlineStr">
        <is>
          <t>Jawa Barat</t>
        </is>
      </c>
      <c r="Q140" t="inlineStr"/>
    </row>
    <row r="141">
      <c r="A141" t="inlineStr">
        <is>
          <t>SAMUDERA VEROTAMA</t>
        </is>
      </c>
      <c r="B141" t="inlineStr">
        <is>
          <t>Kab. Cilacap</t>
        </is>
      </c>
      <c r="C141" t="inlineStr">
        <is>
          <t>0816696896</t>
        </is>
      </c>
      <c r="D141" t="inlineStr">
        <is>
          <t>cv.samuderaverotama@gmail.com</t>
        </is>
      </c>
      <c r="E141" t="inlineStr">
        <is>
          <t>https://lpjk.pu.go.id/search-badan-usaha-detail/WUQzcS9sS3hIbEFya3NDVGVIR2V6QT09</t>
        </is>
      </c>
      <c r="F141" t="n">
        <v>2</v>
      </c>
      <c r="G141" t="inlineStr">
        <is>
          <t>BG005, BG006</t>
        </is>
      </c>
      <c r="H141" t="inlineStr">
        <is>
          <t>15 Juli 2016</t>
        </is>
      </c>
      <c r="I141" s="2" t="n">
        <v>46272</v>
      </c>
      <c r="J141" t="inlineStr">
        <is>
          <t>Pencabutan</t>
        </is>
      </c>
      <c r="K141" t="n">
        <v>90</v>
      </c>
      <c r="L141" t="inlineStr">
        <is>
          <t>7 September 2026</t>
        </is>
      </c>
      <c r="M141" t="inlineStr">
        <is>
          <t>Konstruksi Gedung Kesehatan, Konstruksi Gedung Pendidikan</t>
        </is>
      </c>
      <c r="N141" t="inlineStr">
        <is>
          <t>K</t>
        </is>
      </c>
      <c r="O141" t="inlineStr">
        <is>
          <t>20230907</t>
        </is>
      </c>
      <c r="P141" t="inlineStr">
        <is>
          <t>Jawa Tengah</t>
        </is>
      </c>
      <c r="Q141" t="inlineStr"/>
    </row>
    <row r="142">
      <c r="A142" t="inlineStr">
        <is>
          <t>SAMUDRA BERELA MOUF AWAB</t>
        </is>
      </c>
      <c r="B142" t="inlineStr">
        <is>
          <t>Kab. Manokwari Selatan</t>
        </is>
      </c>
      <c r="C142" t="inlineStr">
        <is>
          <t>085241352851</t>
        </is>
      </c>
      <c r="D142" t="inlineStr">
        <is>
          <t>cvsamudraberelamoufawab@gmail.com</t>
        </is>
      </c>
      <c r="E142" t="inlineStr">
        <is>
          <t>https://lpjk.pu.go.id/search-badan-usaha-detail/QUU4NzN5MDFZcnZKbjRlQy9oSnRGdz09</t>
        </is>
      </c>
      <c r="F142" t="n">
        <v>2</v>
      </c>
      <c r="G142" t="inlineStr">
        <is>
          <t>BG001, BS001</t>
        </is>
      </c>
      <c r="H142" t="inlineStr">
        <is>
          <t>24 Agustus 2023</t>
        </is>
      </c>
      <c r="I142" s="2" t="n">
        <v>46272</v>
      </c>
      <c r="J142" t="inlineStr">
        <is>
          <t>Disetujui</t>
        </is>
      </c>
      <c r="K142" t="n">
        <v>90</v>
      </c>
      <c r="L142" t="inlineStr">
        <is>
          <t>7 September 2026</t>
        </is>
      </c>
      <c r="M142" t="inlineStr">
        <is>
          <t>Konstruksi Bangunan Sipil Jalan, Konstruksi Gedung Hunian</t>
        </is>
      </c>
      <c r="N142" t="inlineStr">
        <is>
          <t>K</t>
        </is>
      </c>
      <c r="O142" t="inlineStr">
        <is>
          <t>20230906</t>
        </is>
      </c>
      <c r="P142" t="inlineStr">
        <is>
          <t>Papua Barat</t>
        </is>
      </c>
      <c r="Q142" t="inlineStr"/>
    </row>
    <row r="143">
      <c r="A143" t="inlineStr">
        <is>
          <t>SAPUTRA RAMBANG BERJAYA</t>
        </is>
      </c>
      <c r="B143" t="inlineStr">
        <is>
          <t>Kota Prabumulih</t>
        </is>
      </c>
      <c r="C143" t="inlineStr">
        <is>
          <t>081368477882</t>
        </is>
      </c>
      <c r="D143" t="inlineStr">
        <is>
          <t>saputrarambangberjaya@gmail.com</t>
        </is>
      </c>
      <c r="E143" t="inlineStr">
        <is>
          <t>https://lpjk.pu.go.id/search-badan-usaha-detail/TmxCMlZmT2Y1bnlWdk1DY21IR1E2dz09</t>
        </is>
      </c>
      <c r="F143" t="n">
        <v>2</v>
      </c>
      <c r="G143" t="inlineStr">
        <is>
          <t>BG009</t>
        </is>
      </c>
      <c r="H143" t="inlineStr">
        <is>
          <t>1 September 2023</t>
        </is>
      </c>
      <c r="I143" s="2" t="n">
        <v>46272</v>
      </c>
      <c r="J143" t="inlineStr">
        <is>
          <t>Disetujui</t>
        </is>
      </c>
      <c r="K143" t="n">
        <v>90</v>
      </c>
      <c r="L143" t="inlineStr">
        <is>
          <t>7 September 2026</t>
        </is>
      </c>
      <c r="M143" t="inlineStr">
        <is>
          <t>Konstruksi Gedung Lainnya</t>
        </is>
      </c>
      <c r="N143" t="inlineStr">
        <is>
          <t>K</t>
        </is>
      </c>
      <c r="O143" t="inlineStr">
        <is>
          <t>20230907</t>
        </is>
      </c>
      <c r="P143" t="inlineStr">
        <is>
          <t>Sumatera Selatan</t>
        </is>
      </c>
      <c r="Q143" t="inlineStr"/>
    </row>
    <row r="144">
      <c r="A144" t="inlineStr">
        <is>
          <t>SARANA ANUGERAH BERSAMA</t>
        </is>
      </c>
      <c r="B144" t="inlineStr">
        <is>
          <t>Kab. Ogan Ilir</t>
        </is>
      </c>
      <c r="C144" t="inlineStr">
        <is>
          <t>081367615932</t>
        </is>
      </c>
      <c r="D144" t="inlineStr">
        <is>
          <t>cv.sarana.anugerah.b@gmail.com</t>
        </is>
      </c>
      <c r="E144" t="inlineStr">
        <is>
          <t>https://lpjk.pu.go.id/search-badan-usaha-detail/amxFTklvako1bnRyc1VjT2ZMT1R6QT09</t>
        </is>
      </c>
      <c r="F144" t="n">
        <v>1</v>
      </c>
      <c r="G144" t="inlineStr">
        <is>
          <t>BS001</t>
        </is>
      </c>
      <c r="H144" t="inlineStr">
        <is>
          <t>11 Februari 2020</t>
        </is>
      </c>
      <c r="I144" s="2" t="n">
        <v>46272</v>
      </c>
      <c r="J144" t="inlineStr">
        <is>
          <t>Disetujui</t>
        </is>
      </c>
      <c r="K144" t="n">
        <v>90</v>
      </c>
      <c r="L144" t="inlineStr">
        <is>
          <t>7 September 2026</t>
        </is>
      </c>
      <c r="M144" t="inlineStr">
        <is>
          <t>Konstruksi Bangunan Sipil Jalan</t>
        </is>
      </c>
      <c r="N144" t="inlineStr">
        <is>
          <t>K</t>
        </is>
      </c>
      <c r="O144" t="inlineStr">
        <is>
          <t>20230908</t>
        </is>
      </c>
      <c r="P144" t="inlineStr">
        <is>
          <t>Sumatera Selatan</t>
        </is>
      </c>
      <c r="Q144" t="inlineStr"/>
    </row>
    <row r="145">
      <c r="A145" t="inlineStr">
        <is>
          <t>SARANA MULTI UTAMA</t>
        </is>
      </c>
      <c r="B145" t="inlineStr">
        <is>
          <t>Kab. Sorong</t>
        </is>
      </c>
      <c r="C145" t="inlineStr">
        <is>
          <t>081357959699</t>
        </is>
      </c>
      <c r="D145" t="inlineStr">
        <is>
          <t>multisarana0607@gmail.com</t>
        </is>
      </c>
      <c r="E145" t="inlineStr">
        <is>
          <t>https://lpjk.pu.go.id/search-badan-usaha-detail/a2NFL2RZdFF6RjJ0T1lrZ0hzbHhodz09</t>
        </is>
      </c>
      <c r="F145" t="n">
        <v>4</v>
      </c>
      <c r="G145" t="inlineStr">
        <is>
          <t>BG001, BG002, BS001, BS004</t>
        </is>
      </c>
      <c r="H145" t="inlineStr">
        <is>
          <t>10 Agustus 2023</t>
        </is>
      </c>
      <c r="I145" s="2" t="n">
        <v>46272</v>
      </c>
      <c r="J145" t="inlineStr">
        <is>
          <t>Disetujui, Pembekuan</t>
        </is>
      </c>
      <c r="K145" t="n">
        <v>90</v>
      </c>
      <c r="L145" t="inlineStr">
        <is>
          <t>7 September 2026</t>
        </is>
      </c>
      <c r="M145" t="inlineStr">
        <is>
          <t>Konstruksi Bangunan Sipil Jalan, Konstruksi Gedung Hunian, Konstruksi Gedung Perkantoran, Konstruksi Jaringan Irigasi dan Drainase</t>
        </is>
      </c>
      <c r="N145" t="inlineStr">
        <is>
          <t>K</t>
        </is>
      </c>
      <c r="O145" t="inlineStr">
        <is>
          <t>20230906</t>
        </is>
      </c>
      <c r="P145" t="inlineStr">
        <is>
          <t>Papua Barat</t>
        </is>
      </c>
      <c r="Q145" t="inlineStr"/>
    </row>
    <row r="146">
      <c r="A146" t="inlineStr">
        <is>
          <t>SARANA RUPAT LAKSANA</t>
        </is>
      </c>
      <c r="B146" t="inlineStr">
        <is>
          <t>-</t>
        </is>
      </c>
      <c r="C146" t="inlineStr">
        <is>
          <t>085272863062</t>
        </is>
      </c>
      <c r="D146" t="inlineStr">
        <is>
          <t>saranarupatlaksanapt@yahoo.com</t>
        </is>
      </c>
      <c r="E146" t="inlineStr">
        <is>
          <t>https://lpjk.pu.go.id/search-badan-usaha-detail/bWVWNmhYeGhwMnFkNzZURUNUTGEwUT09</t>
        </is>
      </c>
      <c r="F146" t="n">
        <v>1</v>
      </c>
      <c r="G146" t="inlineStr">
        <is>
          <t>BG001</t>
        </is>
      </c>
      <c r="H146" t="inlineStr">
        <is>
          <t>11 Oktober 2011</t>
        </is>
      </c>
      <c r="I146" s="2" t="n">
        <v>46272</v>
      </c>
      <c r="J146" t="inlineStr">
        <is>
          <t>Pencabutan</t>
        </is>
      </c>
      <c r="K146" t="n">
        <v>90</v>
      </c>
      <c r="L146" t="inlineStr">
        <is>
          <t>7 September 2026</t>
        </is>
      </c>
      <c r="M146" t="inlineStr">
        <is>
          <t>Konstruksi Gedung Hunian</t>
        </is>
      </c>
      <c r="N146" t="inlineStr">
        <is>
          <t>K</t>
        </is>
      </c>
      <c r="O146" t="inlineStr">
        <is>
          <t>20230906</t>
        </is>
      </c>
      <c r="P146" t="inlineStr">
        <is>
          <t>Riau</t>
        </is>
      </c>
      <c r="Q146" t="inlineStr"/>
    </row>
    <row r="147">
      <c r="A147" t="inlineStr">
        <is>
          <t>SENTRAL ASIA JAYA</t>
        </is>
      </c>
      <c r="B147" t="inlineStr">
        <is>
          <t>Kota Adm. Jakarta Selatan</t>
        </is>
      </c>
      <c r="C147" t="inlineStr">
        <is>
          <t>0818491391</t>
        </is>
      </c>
      <c r="D147" t="inlineStr">
        <is>
          <t>pt.sentralasiajaya@gmail.com</t>
        </is>
      </c>
      <c r="E147" t="inlineStr">
        <is>
          <t>https://lpjk.pu.go.id/search-badan-usaha-detail/Y003U0FuOHpjTlF0d0lLYnE1c3dndz09</t>
        </is>
      </c>
      <c r="F147" t="n">
        <v>2</v>
      </c>
      <c r="G147" t="inlineStr">
        <is>
          <t>BG009</t>
        </is>
      </c>
      <c r="H147" t="inlineStr">
        <is>
          <t>23 Februari 2022</t>
        </is>
      </c>
      <c r="I147" s="2" t="n">
        <v>46272</v>
      </c>
      <c r="J147" t="inlineStr">
        <is>
          <t>Disetujui</t>
        </is>
      </c>
      <c r="K147" t="n">
        <v>90</v>
      </c>
      <c r="L147" t="inlineStr">
        <is>
          <t>7 September 2026</t>
        </is>
      </c>
      <c r="M147" t="inlineStr">
        <is>
          <t>Konstruksi Gedung Lainnya</t>
        </is>
      </c>
      <c r="N147" t="inlineStr">
        <is>
          <t>K</t>
        </is>
      </c>
      <c r="O147" t="inlineStr">
        <is>
          <t>20230904</t>
        </is>
      </c>
      <c r="P147" t="inlineStr">
        <is>
          <t>DKI Jakarta</t>
        </is>
      </c>
      <c r="Q147" t="inlineStr"/>
    </row>
    <row r="148">
      <c r="A148" t="inlineStr">
        <is>
          <t>SEPULUH AGUSTUS</t>
        </is>
      </c>
      <c r="B148" t="inlineStr">
        <is>
          <t>Kota Padang</t>
        </is>
      </c>
      <c r="C148" t="inlineStr">
        <is>
          <t>085376168883</t>
        </is>
      </c>
      <c r="D148" t="inlineStr">
        <is>
          <t>cv.sepuluhagustus28@gmail.com</t>
        </is>
      </c>
      <c r="E148" t="inlineStr">
        <is>
          <t>https://lpjk.pu.go.id/search-badan-usaha-detail/Um9yMWVabWd1MXBPZ2ZzTDhLbmtndz09</t>
        </is>
      </c>
      <c r="F148" t="n">
        <v>5</v>
      </c>
      <c r="G148" t="inlineStr">
        <is>
          <t>BG001, BG002, BG005, BG009, BS001</t>
        </is>
      </c>
      <c r="H148" t="inlineStr">
        <is>
          <t>10 Agustus 2021</t>
        </is>
      </c>
      <c r="I148" s="2" t="n">
        <v>46272</v>
      </c>
      <c r="J148" t="inlineStr">
        <is>
          <t>Pencabutan</t>
        </is>
      </c>
      <c r="K148" t="n">
        <v>90</v>
      </c>
      <c r="L148" t="inlineStr">
        <is>
          <t>7 September 2026</t>
        </is>
      </c>
      <c r="M148" t="inlineStr">
        <is>
          <t>Konstruksi Bangunan Sipil Jalan, Konstruksi Gedung Hunian, Konstruksi Gedung Kesehatan, Konstruksi Gedung Lainnya, Konstruksi Gedung Perkantoran</t>
        </is>
      </c>
      <c r="N148" t="inlineStr">
        <is>
          <t>K</t>
        </is>
      </c>
      <c r="O148" t="inlineStr">
        <is>
          <t>20230905, 20230907</t>
        </is>
      </c>
      <c r="P148" t="inlineStr">
        <is>
          <t>Sumatera Barat</t>
        </is>
      </c>
      <c r="Q148" t="inlineStr"/>
    </row>
    <row r="149">
      <c r="A149" t="inlineStr">
        <is>
          <t>SHANTI JAYA</t>
        </is>
      </c>
      <c r="B149" t="inlineStr">
        <is>
          <t>Kab. Sidoarjo</t>
        </is>
      </c>
      <c r="C149" t="inlineStr">
        <is>
          <t>082140287071</t>
        </is>
      </c>
      <c r="D149" t="inlineStr">
        <is>
          <t>cv.shantijaya@gmail.com</t>
        </is>
      </c>
      <c r="E149" t="inlineStr">
        <is>
          <t>https://lpjk.pu.go.id/search-badan-usaha-detail/THlQT0JxaXBYR1M2aEhRdzVBUFplQT09</t>
        </is>
      </c>
      <c r="F149" t="n">
        <v>1</v>
      </c>
      <c r="G149" t="inlineStr">
        <is>
          <t>BS001</t>
        </is>
      </c>
      <c r="H149" t="inlineStr">
        <is>
          <t>2 Agustus 2016</t>
        </is>
      </c>
      <c r="I149" s="2" t="n">
        <v>46272</v>
      </c>
      <c r="J149" t="inlineStr">
        <is>
          <t>Pencabutan</t>
        </is>
      </c>
      <c r="K149" t="n">
        <v>90</v>
      </c>
      <c r="L149" t="inlineStr">
        <is>
          <t>7 September 2026</t>
        </is>
      </c>
      <c r="M149" t="inlineStr">
        <is>
          <t>Konstruksi Bangunan Sipil Jalan</t>
        </is>
      </c>
      <c r="N149" t="inlineStr">
        <is>
          <t>K</t>
        </is>
      </c>
      <c r="O149" t="inlineStr">
        <is>
          <t>20230905</t>
        </is>
      </c>
      <c r="P149" t="inlineStr">
        <is>
          <t>Jawa Timur</t>
        </is>
      </c>
      <c r="Q149" t="inlineStr"/>
    </row>
    <row r="150">
      <c r="A150" t="inlineStr">
        <is>
          <t>SIGMA BERKAH ABADI</t>
        </is>
      </c>
      <c r="B150" t="inlineStr">
        <is>
          <t>Kota Gorontalo</t>
        </is>
      </c>
      <c r="C150" t="inlineStr">
        <is>
          <t>085399950599</t>
        </is>
      </c>
      <c r="D150" t="inlineStr">
        <is>
          <t>cvsigmaberkahabadi@gmail.com</t>
        </is>
      </c>
      <c r="E150" t="inlineStr">
        <is>
          <t>https://lpjk.pu.go.id/search-badan-usaha-detail/UjdaZHBNTEFqZnIyZXpzb3JWZEE4dz09</t>
        </is>
      </c>
      <c r="F150" t="n">
        <v>2</v>
      </c>
      <c r="G150" t="inlineStr">
        <is>
          <t>BS001</t>
        </is>
      </c>
      <c r="H150" t="inlineStr">
        <is>
          <t>4 Juli 2023</t>
        </is>
      </c>
      <c r="I150" s="2" t="n">
        <v>46272</v>
      </c>
      <c r="J150" t="inlineStr">
        <is>
          <t>Disetujui</t>
        </is>
      </c>
      <c r="K150" t="n">
        <v>90</v>
      </c>
      <c r="L150" t="inlineStr">
        <is>
          <t>7 September 2026</t>
        </is>
      </c>
      <c r="M150" t="inlineStr">
        <is>
          <t>Konstruksi Bangunan Sipil Jalan</t>
        </is>
      </c>
      <c r="N150" t="inlineStr">
        <is>
          <t>K</t>
        </is>
      </c>
      <c r="O150" t="inlineStr">
        <is>
          <t>20230906</t>
        </is>
      </c>
      <c r="P150" t="inlineStr">
        <is>
          <t>Gorontalo</t>
        </is>
      </c>
      <c r="Q150" t="inlineStr"/>
    </row>
    <row r="151">
      <c r="A151" t="inlineStr">
        <is>
          <t>SINDANG SAKTI UTAMA</t>
        </is>
      </c>
      <c r="B151" t="inlineStr">
        <is>
          <t>Kota Palembang</t>
        </is>
      </c>
      <c r="C151" t="inlineStr">
        <is>
          <t>081213458998</t>
        </is>
      </c>
      <c r="D151" t="inlineStr">
        <is>
          <t>Sindangsutama@gmail.com</t>
        </is>
      </c>
      <c r="E151" t="inlineStr">
        <is>
          <t>https://lpjk.pu.go.id/search-badan-usaha-detail/VEhCakpqV0NiWkdXQ0pSbXFYSlduUT09</t>
        </is>
      </c>
      <c r="F151" t="n">
        <v>2</v>
      </c>
      <c r="G151" t="inlineStr">
        <is>
          <t>BS001, BS004</t>
        </is>
      </c>
      <c r="H151" t="inlineStr">
        <is>
          <t>18 Maret 2013</t>
        </is>
      </c>
      <c r="I151" s="2" t="n">
        <v>46272</v>
      </c>
      <c r="J151" t="inlineStr">
        <is>
          <t>Disetujui</t>
        </is>
      </c>
      <c r="K151" t="n">
        <v>90</v>
      </c>
      <c r="L151" t="inlineStr">
        <is>
          <t>7 September 2026</t>
        </is>
      </c>
      <c r="M151" t="inlineStr">
        <is>
          <t>Konstruksi Bangunan Sipil Jalan, Konstruksi Jaringan Irigasi dan Drainase</t>
        </is>
      </c>
      <c r="N151" t="inlineStr">
        <is>
          <t>K</t>
        </is>
      </c>
      <c r="O151" t="inlineStr">
        <is>
          <t>20230905</t>
        </is>
      </c>
      <c r="P151" t="inlineStr">
        <is>
          <t>Sumatera Selatan</t>
        </is>
      </c>
      <c r="Q151" t="inlineStr"/>
    </row>
    <row r="152">
      <c r="A152" t="inlineStr">
        <is>
          <t>SRIKANDI NAWASENA PAPUA</t>
        </is>
      </c>
      <c r="B152" t="inlineStr">
        <is>
          <t>Kab. Merauke</t>
        </is>
      </c>
      <c r="C152" t="inlineStr">
        <is>
          <t>082250688488</t>
        </is>
      </c>
      <c r="D152" t="inlineStr">
        <is>
          <t>cvsrikandinawasenapapua@gmail.com</t>
        </is>
      </c>
      <c r="E152" t="inlineStr">
        <is>
          <t>https://lpjk.pu.go.id/search-badan-usaha-detail/ZEZSVGdERzdqeUJUYUMrQklEU2dGQT09</t>
        </is>
      </c>
      <c r="F152" t="n">
        <v>1</v>
      </c>
      <c r="G152" t="inlineStr">
        <is>
          <t>BS001</t>
        </is>
      </c>
      <c r="H152" t="inlineStr">
        <is>
          <t>26 Juli 2023</t>
        </is>
      </c>
      <c r="I152" s="2" t="n">
        <v>46272</v>
      </c>
      <c r="J152" t="inlineStr">
        <is>
          <t>Disetujui</t>
        </is>
      </c>
      <c r="K152" t="n">
        <v>90</v>
      </c>
      <c r="L152" t="inlineStr">
        <is>
          <t>7 September 2026</t>
        </is>
      </c>
      <c r="M152" t="inlineStr">
        <is>
          <t>Konstruksi Bangunan Sipil Jalan</t>
        </is>
      </c>
      <c r="N152" t="inlineStr">
        <is>
          <t>K</t>
        </is>
      </c>
      <c r="O152" t="inlineStr">
        <is>
          <t>20230905</t>
        </is>
      </c>
      <c r="P152" t="inlineStr">
        <is>
          <t>Papua Selatan</t>
        </is>
      </c>
      <c r="Q152" t="inlineStr"/>
    </row>
    <row r="153">
      <c r="A153" t="inlineStr">
        <is>
          <t>SUMBER KARYA</t>
        </is>
      </c>
      <c r="B153" t="inlineStr">
        <is>
          <t>Kota Semarang</t>
        </is>
      </c>
      <c r="C153" t="inlineStr">
        <is>
          <t>081325176954</t>
        </is>
      </c>
      <c r="D153" t="inlineStr">
        <is>
          <t>sumberkarya09@gmail.com</t>
        </is>
      </c>
      <c r="E153" t="inlineStr">
        <is>
          <t>https://lpjk.pu.go.id/search-badan-usaha-detail/UUMyY1l3VDNTV2hBQzRIZ1o4RmxaQT09</t>
        </is>
      </c>
      <c r="F153" t="n">
        <v>6</v>
      </c>
      <c r="G153" t="inlineStr">
        <is>
          <t>BG001, BG002, BG005, BG006, BG009</t>
        </is>
      </c>
      <c r="H153" t="inlineStr">
        <is>
          <t>10 Februari 1990</t>
        </is>
      </c>
      <c r="I153" s="2" t="n">
        <v>46272</v>
      </c>
      <c r="J153" t="inlineStr">
        <is>
          <t>Disetujui</t>
        </is>
      </c>
      <c r="K153" t="n">
        <v>90</v>
      </c>
      <c r="L153" t="inlineStr">
        <is>
          <t>7 September 2026</t>
        </is>
      </c>
      <c r="M153" t="inlineStr">
        <is>
          <t>Konstruksi Gedung Hunian, Konstruksi Gedung Kesehatan, Konstruksi Gedung Lainnya, Konstruksi Gedung Pendidikan, Konstruksi Gedung Perkantoran</t>
        </is>
      </c>
      <c r="N153" t="inlineStr">
        <is>
          <t>K</t>
        </is>
      </c>
      <c r="O153" t="inlineStr">
        <is>
          <t>20230811, 20230904</t>
        </is>
      </c>
      <c r="P153" t="inlineStr">
        <is>
          <t>Jawa Tengah</t>
        </is>
      </c>
      <c r="Q153" t="inlineStr"/>
    </row>
    <row r="154">
      <c r="A154" t="inlineStr">
        <is>
          <t>SUMBER REJEKI</t>
        </is>
      </c>
      <c r="B154" t="inlineStr">
        <is>
          <t>Kab. Banyuwangi</t>
        </is>
      </c>
      <c r="C154" t="inlineStr">
        <is>
          <t>082236049205</t>
        </is>
      </c>
      <c r="D154" t="inlineStr">
        <is>
          <t>sumberrejekicv05@gmail.com</t>
        </is>
      </c>
      <c r="E154" t="inlineStr">
        <is>
          <t>https://lpjk.pu.go.id/search-badan-usaha-detail/bTFmMDlkOXR6a3dwM0cxbnJkdFpDQT09</t>
        </is>
      </c>
      <c r="F154" t="n">
        <v>2</v>
      </c>
      <c r="G154" t="inlineStr">
        <is>
          <t>BG006, BG009</t>
        </is>
      </c>
      <c r="H154" t="inlineStr">
        <is>
          <t>5 Juli 2013</t>
        </is>
      </c>
      <c r="I154" s="2" t="n">
        <v>46272</v>
      </c>
      <c r="J154" t="inlineStr">
        <is>
          <t>Disetujui</t>
        </is>
      </c>
      <c r="K154" t="n">
        <v>90</v>
      </c>
      <c r="L154" t="inlineStr">
        <is>
          <t>7 September 2026</t>
        </is>
      </c>
      <c r="M154" t="inlineStr">
        <is>
          <t>Konstruksi Gedung Lainnya, Konstruksi Gedung Pendidikan</t>
        </is>
      </c>
      <c r="N154" t="inlineStr">
        <is>
          <t>K</t>
        </is>
      </c>
      <c r="O154" t="inlineStr">
        <is>
          <t>20230905</t>
        </is>
      </c>
      <c r="P154" t="inlineStr">
        <is>
          <t>Jawa Timur</t>
        </is>
      </c>
      <c r="Q154" t="inlineStr"/>
    </row>
    <row r="155">
      <c r="A155" t="inlineStr">
        <is>
          <t>SUTAJAYA MANGGALA</t>
        </is>
      </c>
      <c r="B155" t="inlineStr">
        <is>
          <t>Kab. Indramayu</t>
        </is>
      </c>
      <c r="C155" t="inlineStr">
        <is>
          <t>087728781904</t>
        </is>
      </c>
      <c r="D155" t="inlineStr">
        <is>
          <t>cvsutajayamanggala@gmail.com</t>
        </is>
      </c>
      <c r="E155" t="inlineStr">
        <is>
          <t>https://lpjk.pu.go.id/search-badan-usaha-detail/RVpWSmVLT1pQTmoyVnE2bVExWWFpZz09</t>
        </is>
      </c>
      <c r="F155" t="n">
        <v>7</v>
      </c>
      <c r="G155" t="inlineStr">
        <is>
          <t>BG002, BG005, BG006, BG009, BS001, BS002, BS004</t>
        </is>
      </c>
      <c r="H155" t="inlineStr">
        <is>
          <t>14 Juni 2023</t>
        </is>
      </c>
      <c r="I155" s="2" t="n">
        <v>46272</v>
      </c>
      <c r="J155" t="inlineStr">
        <is>
          <t>Disetujui</t>
        </is>
      </c>
      <c r="K155" t="n">
        <v>90</v>
      </c>
      <c r="L155" t="inlineStr">
        <is>
          <t>7 September 2026</t>
        </is>
      </c>
      <c r="M155" t="inlineStr">
        <is>
          <t>Bangunan Sipil Jembatan, Jalan Layang, Fly Over, dan Underpass, Konstruksi Bangunan Sipil Jalan, Konstruksi Gedung Kesehatan, Konstruksi Gedung Lainnya, Konstruksi Gedung Pendidikan, Konstruksi Gedung Perkantoran, Konstruksi Jaringan Irigasi dan Drainase</t>
        </is>
      </c>
      <c r="N155" t="inlineStr">
        <is>
          <t>K</t>
        </is>
      </c>
      <c r="O155" t="inlineStr">
        <is>
          <t>20230904, 20230905</t>
        </is>
      </c>
      <c r="P155" t="inlineStr">
        <is>
          <t>Jawa Barat</t>
        </is>
      </c>
      <c r="Q155" t="inlineStr"/>
    </row>
    <row r="156">
      <c r="A156" t="inlineStr">
        <is>
          <t>TIARA TEKNIK</t>
        </is>
      </c>
      <c r="B156" t="inlineStr">
        <is>
          <t>Kota Makassar</t>
        </is>
      </c>
      <c r="C156" t="inlineStr">
        <is>
          <t>085397578199</t>
        </is>
      </c>
      <c r="D156" t="inlineStr">
        <is>
          <t>zdavirmuhammad@gmail.com</t>
        </is>
      </c>
      <c r="E156" t="inlineStr">
        <is>
          <t>https://lpjk.pu.go.id/search-badan-usaha-detail/VFFYeGtDV1ZRN1hIQjZKOWw0cEE4UT09</t>
        </is>
      </c>
      <c r="F156" t="n">
        <v>2</v>
      </c>
      <c r="G156" t="inlineStr">
        <is>
          <t>BG005, BG009</t>
        </is>
      </c>
      <c r="H156" t="inlineStr">
        <is>
          <t>14 Agustus 2007</t>
        </is>
      </c>
      <c r="I156" s="2" t="n">
        <v>46272</v>
      </c>
      <c r="J156" t="inlineStr">
        <is>
          <t>Pembekuan, Pencabutan</t>
        </is>
      </c>
      <c r="K156" t="n">
        <v>90</v>
      </c>
      <c r="L156" t="inlineStr">
        <is>
          <t>7 September 2026</t>
        </is>
      </c>
      <c r="M156" t="inlineStr">
        <is>
          <t>Konstruksi Gedung Kesehatan, Konstruksi Gedung Lainnya</t>
        </is>
      </c>
      <c r="N156" t="inlineStr">
        <is>
          <t>M</t>
        </is>
      </c>
      <c r="O156" t="inlineStr">
        <is>
          <t>20230815, 20230907</t>
        </is>
      </c>
      <c r="P156" t="inlineStr">
        <is>
          <t>Sulawesi Selatan</t>
        </is>
      </c>
      <c r="Q156" t="inlineStr"/>
    </row>
    <row r="157">
      <c r="A157" t="inlineStr">
        <is>
          <t>TIGA BERLIAN</t>
        </is>
      </c>
      <c r="B157" t="inlineStr">
        <is>
          <t>Kab. Tuban</t>
        </is>
      </c>
      <c r="C157" t="inlineStr">
        <is>
          <t>085259457026</t>
        </is>
      </c>
      <c r="D157" t="inlineStr">
        <is>
          <t>cv_tigaberlianc@yahoo.com</t>
        </is>
      </c>
      <c r="E157" t="inlineStr">
        <is>
          <t>https://lpjk.pu.go.id/search-badan-usaha-detail/NDBhb1l6K1QvQ252K0tNaXUwRU1JQT09</t>
        </is>
      </c>
      <c r="F157" t="n">
        <v>5</v>
      </c>
      <c r="G157" t="inlineStr">
        <is>
          <t>BG002, BG004, BG005, BG006, BG009</t>
        </is>
      </c>
      <c r="H157" t="inlineStr">
        <is>
          <t>22 September 1988</t>
        </is>
      </c>
      <c r="I157" s="2" t="n">
        <v>46272</v>
      </c>
      <c r="J157" t="inlineStr">
        <is>
          <t>Disetujui</t>
        </is>
      </c>
      <c r="K157" t="n">
        <v>90</v>
      </c>
      <c r="L157" t="inlineStr">
        <is>
          <t>7 September 2026</t>
        </is>
      </c>
      <c r="M157" t="inlineStr">
        <is>
          <t>Konstruksi Gedung Kesehatan, Konstruksi Gedung Lainnya, Konstruksi Gedung Pendidikan, Konstruksi Gedung Perbelanjaan, Konstruksi Gedung Perkantoran</t>
        </is>
      </c>
      <c r="N157" t="inlineStr">
        <is>
          <t>K</t>
        </is>
      </c>
      <c r="O157" t="inlineStr">
        <is>
          <t>20230905, 20230906</t>
        </is>
      </c>
      <c r="P157" t="inlineStr">
        <is>
          <t>Jawa Timur</t>
        </is>
      </c>
      <c r="Q157" t="inlineStr"/>
    </row>
    <row r="158">
      <c r="A158" t="inlineStr">
        <is>
          <t>TRANS INDO NUSA</t>
        </is>
      </c>
      <c r="B158" t="inlineStr">
        <is>
          <t>Kab. Sumenep</t>
        </is>
      </c>
      <c r="C158" t="inlineStr">
        <is>
          <t>082148383883</t>
        </is>
      </c>
      <c r="D158" t="inlineStr">
        <is>
          <t>putraandikaprasetya@gmail.com</t>
        </is>
      </c>
      <c r="E158" t="inlineStr">
        <is>
          <t>https://lpjk.pu.go.id/search-badan-usaha-detail/N1FqcXJ1WkswbVh4Y2NSNXVMY0JrQT09</t>
        </is>
      </c>
      <c r="F158" t="n">
        <v>2</v>
      </c>
      <c r="G158" t="inlineStr">
        <is>
          <t>BS001</t>
        </is>
      </c>
      <c r="H158" t="inlineStr">
        <is>
          <t>28 Juli 2023</t>
        </is>
      </c>
      <c r="I158" s="2" t="n">
        <v>46272</v>
      </c>
      <c r="J158" t="inlineStr">
        <is>
          <t>Disetujui</t>
        </is>
      </c>
      <c r="K158" t="n">
        <v>90</v>
      </c>
      <c r="L158" t="inlineStr">
        <is>
          <t>7 September 2026</t>
        </is>
      </c>
      <c r="M158" t="inlineStr">
        <is>
          <t>Konstruksi Bangunan Sipil Jalan</t>
        </is>
      </c>
      <c r="N158" t="inlineStr">
        <is>
          <t>K</t>
        </is>
      </c>
      <c r="O158" t="inlineStr">
        <is>
          <t>20230906</t>
        </is>
      </c>
      <c r="P158" t="inlineStr">
        <is>
          <t>Jawa Timur</t>
        </is>
      </c>
      <c r="Q158" t="inlineStr"/>
    </row>
    <row r="159">
      <c r="A159" t="inlineStr">
        <is>
          <t>TRI DARMA PERDANA</t>
        </is>
      </c>
      <c r="B159" t="inlineStr">
        <is>
          <t>Kota Mataram</t>
        </is>
      </c>
      <c r="C159" t="inlineStr">
        <is>
          <t>087865837999</t>
        </is>
      </c>
      <c r="D159" t="inlineStr">
        <is>
          <t>tridarmaperdana@yahoo.co.id</t>
        </is>
      </c>
      <c r="E159" t="inlineStr">
        <is>
          <t>https://lpjk.pu.go.id/search-badan-usaha-detail/UndWZHREdlQ1aVozOEtSOFNvMXgwUT09</t>
        </is>
      </c>
      <c r="F159" t="n">
        <v>2</v>
      </c>
      <c r="G159" t="inlineStr">
        <is>
          <t>BG004, BG005</t>
        </is>
      </c>
      <c r="H159" t="inlineStr">
        <is>
          <t>22 Desember 2000</t>
        </is>
      </c>
      <c r="I159" s="2" t="n">
        <v>46272</v>
      </c>
      <c r="J159" t="inlineStr">
        <is>
          <t>Disetujui</t>
        </is>
      </c>
      <c r="K159" t="n">
        <v>90</v>
      </c>
      <c r="L159" t="inlineStr">
        <is>
          <t>7 September 2026</t>
        </is>
      </c>
      <c r="M159" t="inlineStr">
        <is>
          <t>Konstruksi Gedung Kesehatan, Konstruksi Gedung Perbelanjaan</t>
        </is>
      </c>
      <c r="N159" t="inlineStr">
        <is>
          <t>K</t>
        </is>
      </c>
      <c r="O159" t="inlineStr">
        <is>
          <t>20230728, 20230804</t>
        </is>
      </c>
      <c r="P159" t="inlineStr">
        <is>
          <t>Nusa Tenggara Barat</t>
        </is>
      </c>
      <c r="Q159" t="inlineStr"/>
    </row>
    <row r="160">
      <c r="A160" t="inlineStr">
        <is>
          <t>TRI KARSA</t>
        </is>
      </c>
      <c r="B160" t="inlineStr">
        <is>
          <t>Kota Pekanbaru</t>
        </is>
      </c>
      <c r="C160" t="inlineStr">
        <is>
          <t>085105611963</t>
        </is>
      </c>
      <c r="D160" t="inlineStr">
        <is>
          <t>trikarsa96@gmail.com</t>
        </is>
      </c>
      <c r="E160" t="inlineStr">
        <is>
          <t>https://lpjk.pu.go.id/search-badan-usaha-detail/WjZGRFMzeHpUcm5nUVVBQ21nSWdpUT09</t>
        </is>
      </c>
      <c r="F160" t="n">
        <v>4</v>
      </c>
      <c r="G160" t="inlineStr">
        <is>
          <t>AR001, AR002, AR003, RK001</t>
        </is>
      </c>
      <c r="H160" t="inlineStr">
        <is>
          <t>2 Maret 1996</t>
        </is>
      </c>
      <c r="I160" s="2" t="n">
        <v>46272</v>
      </c>
      <c r="J160" t="inlineStr">
        <is>
          <t>Disetujui</t>
        </is>
      </c>
      <c r="K160" t="n">
        <v>90</v>
      </c>
      <c r="L160" t="inlineStr">
        <is>
          <t>7 September 2026</t>
        </is>
      </c>
      <c r="M160" t="inlineStr">
        <is>
          <t>Jasa Arsitektural Bangunan Gedung Hunian dan Non Hunian, Jasa Arsitektural Lainnya, Jasa Desain Interior pada Bangunan Gedung dan Bangunan Sipil, Jasa Rekayasa Konstruksi Bangunan Gedung Hunian dan Non Hunian</t>
        </is>
      </c>
      <c r="N160" t="inlineStr">
        <is>
          <t>K</t>
        </is>
      </c>
      <c r="O160" t="inlineStr">
        <is>
          <t>20230829</t>
        </is>
      </c>
      <c r="P160" t="inlineStr">
        <is>
          <t>Riau</t>
        </is>
      </c>
      <c r="Q160" t="inlineStr"/>
    </row>
    <row r="161">
      <c r="A161" t="inlineStr">
        <is>
          <t>TRIBUANA ASKARA ARSINDO</t>
        </is>
      </c>
      <c r="B161" t="inlineStr">
        <is>
          <t>Kota Surabaya</t>
        </is>
      </c>
      <c r="C161" t="inlineStr">
        <is>
          <t>081335540384</t>
        </is>
      </c>
      <c r="D161" t="inlineStr">
        <is>
          <t>tribuanaaskaraarsindo@gmail.com</t>
        </is>
      </c>
      <c r="E161" t="inlineStr">
        <is>
          <t>https://lpjk.pu.go.id/search-badan-usaha-detail/ZVhFRU5lbk5xeXpRTDVGOVBxaG4zVmlidEYrRmhVNkFySU8yQmp2amQxUT0</t>
        </is>
      </c>
      <c r="F161" t="n">
        <v>2</v>
      </c>
      <c r="G161" t="inlineStr">
        <is>
          <t>RK003, RK004</t>
        </is>
      </c>
      <c r="H161" t="inlineStr">
        <is>
          <t>21 Januari 2023</t>
        </is>
      </c>
      <c r="I161" s="2" t="n">
        <v>46272</v>
      </c>
      <c r="J161" t="inlineStr">
        <is>
          <t>Disetujui</t>
        </is>
      </c>
      <c r="K161" t="n">
        <v>90</v>
      </c>
      <c r="L161" t="inlineStr">
        <is>
          <t>7 September 2026</t>
        </is>
      </c>
      <c r="M161" t="inlineStr">
        <is>
          <t>Jasa Rekayasa Pekerjaan Mekanikal Dalam Bangunan, Jasa Rekayasa Pekerjaan Teknik Sipil Transportasi</t>
        </is>
      </c>
      <c r="N161" t="inlineStr">
        <is>
          <t>K</t>
        </is>
      </c>
      <c r="O161" t="inlineStr">
        <is>
          <t>20230829</t>
        </is>
      </c>
      <c r="P161" t="inlineStr">
        <is>
          <t>Jawa Timur</t>
        </is>
      </c>
      <c r="Q161" t="inlineStr"/>
    </row>
    <row r="162">
      <c r="A162" t="inlineStr">
        <is>
          <t>TRIMITRA MAJU UTAMA</t>
        </is>
      </c>
      <c r="B162" t="inlineStr">
        <is>
          <t>Kab. Banjar</t>
        </is>
      </c>
      <c r="C162" t="inlineStr">
        <is>
          <t>087753728755</t>
        </is>
      </c>
      <c r="D162" t="inlineStr">
        <is>
          <t>trimitramajuutama@gmail.com</t>
        </is>
      </c>
      <c r="E162" t="inlineStr">
        <is>
          <t>https://lpjk.pu.go.id/search-badan-usaha-detail/Rm9vemFSZmpWVkxLT2pRWnYvM0Jodz09</t>
        </is>
      </c>
      <c r="F162" t="n">
        <v>2</v>
      </c>
      <c r="G162" t="inlineStr">
        <is>
          <t>BG009</t>
        </is>
      </c>
      <c r="H162" t="inlineStr">
        <is>
          <t>10 Mei 2023</t>
        </is>
      </c>
      <c r="I162" s="2" t="n">
        <v>46272</v>
      </c>
      <c r="J162" t="inlineStr">
        <is>
          <t>Disetujui</t>
        </is>
      </c>
      <c r="K162" t="n">
        <v>90</v>
      </c>
      <c r="L162" t="inlineStr">
        <is>
          <t>7 September 2026</t>
        </is>
      </c>
      <c r="M162" t="inlineStr">
        <is>
          <t>Konstruksi Gedung Lainnya</t>
        </is>
      </c>
      <c r="N162" t="inlineStr">
        <is>
          <t>K</t>
        </is>
      </c>
      <c r="O162" t="inlineStr">
        <is>
          <t>20230905</t>
        </is>
      </c>
      <c r="P162" t="inlineStr">
        <is>
          <t>Kalimantan Selatan</t>
        </is>
      </c>
      <c r="Q162" t="inlineStr"/>
    </row>
    <row r="163">
      <c r="A163" t="inlineStr">
        <is>
          <t>TUGU MERAH PERKASA</t>
        </is>
      </c>
      <c r="B163" t="inlineStr">
        <is>
          <t>Kab. Sorong</t>
        </is>
      </c>
      <c r="C163" t="inlineStr">
        <is>
          <t>081276170114</t>
        </is>
      </c>
      <c r="D163" t="inlineStr">
        <is>
          <t>pt.tugumerahperkasa95@gmail.com</t>
        </is>
      </c>
      <c r="E163" t="inlineStr">
        <is>
          <t>https://lpjk.pu.go.id/search-badan-usaha-detail/SlRvOTQ1YUdvN09MUjg4MmUybTYyQT09</t>
        </is>
      </c>
      <c r="F163" t="n">
        <v>1</v>
      </c>
      <c r="G163" t="inlineStr">
        <is>
          <t>BS001</t>
        </is>
      </c>
      <c r="H163" t="inlineStr">
        <is>
          <t>14 Mei 2014</t>
        </is>
      </c>
      <c r="I163" s="2" t="n">
        <v>46272</v>
      </c>
      <c r="J163" t="inlineStr">
        <is>
          <t>Pencabutan</t>
        </is>
      </c>
      <c r="K163" t="n">
        <v>90</v>
      </c>
      <c r="L163" t="inlineStr">
        <is>
          <t>7 September 2026</t>
        </is>
      </c>
      <c r="M163" t="inlineStr">
        <is>
          <t>Konstruksi Bangunan Sipil Jalan</t>
        </is>
      </c>
      <c r="N163" t="inlineStr">
        <is>
          <t>M</t>
        </is>
      </c>
      <c r="O163" t="inlineStr">
        <is>
          <t>20230907</t>
        </is>
      </c>
      <c r="P163" t="inlineStr">
        <is>
          <t>Papua Barat</t>
        </is>
      </c>
      <c r="Q163" t="inlineStr"/>
    </row>
    <row r="164">
      <c r="A164" t="inlineStr">
        <is>
          <t>TUJUH SEMBILAN PROJECT</t>
        </is>
      </c>
      <c r="B164" t="inlineStr">
        <is>
          <t>Kab. Tanah Bumbu</t>
        </is>
      </c>
      <c r="C164" t="inlineStr">
        <is>
          <t>081545398801</t>
        </is>
      </c>
      <c r="D164" t="inlineStr">
        <is>
          <t>tujuhsembilanproject.cv79@gmail.com</t>
        </is>
      </c>
      <c r="E164" t="inlineStr">
        <is>
          <t>https://lpjk.pu.go.id/search-badan-usaha-detail/bktBcjdxRENycUpjYTNVTmlYbWp1eDBGOW5TcTgrZU1Jak9NQzdkYysvbz0</t>
        </is>
      </c>
      <c r="F164" t="n">
        <v>3</v>
      </c>
      <c r="G164" t="inlineStr">
        <is>
          <t>RK001, RK002, RK003</t>
        </is>
      </c>
      <c r="H164" t="inlineStr">
        <is>
          <t>18 Juli 2023</t>
        </is>
      </c>
      <c r="I164" s="2" t="n">
        <v>46272</v>
      </c>
      <c r="J164" t="inlineStr">
        <is>
          <t>Disetujui</t>
        </is>
      </c>
      <c r="K164" t="n">
        <v>90</v>
      </c>
      <c r="L164" t="inlineStr">
        <is>
          <t>7 September 2026</t>
        </is>
      </c>
      <c r="M164" t="inlineStr">
        <is>
          <t>Jasa Rekayasa Konstruksi Bangunan Gedung Hunian dan Non Hunian, Jasa Rekayasa Pekerjaan Teknik Sipil Sumber Daya Air, Jasa Rekayasa Pekerjaan Teknik Sipil Transportasi</t>
        </is>
      </c>
      <c r="N164" t="inlineStr">
        <is>
          <t>K</t>
        </is>
      </c>
      <c r="O164" t="inlineStr">
        <is>
          <t>20230904</t>
        </is>
      </c>
      <c r="P164" t="inlineStr">
        <is>
          <t>Kalimantan Selatan</t>
        </is>
      </c>
      <c r="Q164" t="inlineStr"/>
    </row>
    <row r="165">
      <c r="A165" t="inlineStr">
        <is>
          <t>VALDIE KARYA</t>
        </is>
      </c>
      <c r="B165" t="inlineStr">
        <is>
          <t>Kab. Cianjur</t>
        </is>
      </c>
      <c r="C165" t="inlineStr">
        <is>
          <t>087824587808</t>
        </is>
      </c>
      <c r="D165" t="inlineStr">
        <is>
          <t>valdiekarya@gmail.com</t>
        </is>
      </c>
      <c r="E165" t="inlineStr">
        <is>
          <t>https://lpjk.pu.go.id/search-badan-usaha-detail/c04zdHVoZldoaVNTWUZjWDV5RTE1dz09</t>
        </is>
      </c>
      <c r="F165" t="n">
        <v>2</v>
      </c>
      <c r="G165" t="inlineStr">
        <is>
          <t>BG006, BG009</t>
        </is>
      </c>
      <c r="H165" t="inlineStr">
        <is>
          <t>29 Maret 2021</t>
        </is>
      </c>
      <c r="I165" s="2" t="n">
        <v>46272</v>
      </c>
      <c r="J165" t="inlineStr">
        <is>
          <t>Disetujui</t>
        </is>
      </c>
      <c r="K165" t="n">
        <v>90</v>
      </c>
      <c r="L165" t="inlineStr">
        <is>
          <t>7 September 2026</t>
        </is>
      </c>
      <c r="M165" t="inlineStr">
        <is>
          <t>Konstruksi Gedung Lainnya, Konstruksi Gedung Pendidikan</t>
        </is>
      </c>
      <c r="N165" t="inlineStr">
        <is>
          <t>K</t>
        </is>
      </c>
      <c r="O165" t="inlineStr">
        <is>
          <t>20230906</t>
        </is>
      </c>
      <c r="P165" t="inlineStr">
        <is>
          <t>Jawa Barat</t>
        </is>
      </c>
      <c r="Q165" t="inlineStr"/>
    </row>
    <row r="166">
      <c r="A166" t="inlineStr">
        <is>
          <t>WATU WUNDEK</t>
        </is>
      </c>
      <c r="B166" t="inlineStr">
        <is>
          <t>Kab. Manggarai Barat</t>
        </is>
      </c>
      <c r="C166" t="inlineStr">
        <is>
          <t>082342793646</t>
        </is>
      </c>
      <c r="D166" t="inlineStr">
        <is>
          <t>wundek86@gmail.com</t>
        </is>
      </c>
      <c r="E166" t="inlineStr">
        <is>
          <t>https://lpjk.pu.go.id/search-badan-usaha-detail/SzRMMm81bjJ3MWgvY1pQS2h1ZHNRQT09</t>
        </is>
      </c>
      <c r="F166" t="n">
        <v>2</v>
      </c>
      <c r="G166" t="inlineStr">
        <is>
          <t>BG005, BG006</t>
        </is>
      </c>
      <c r="H166" t="inlineStr">
        <is>
          <t>11 Februari 2022</t>
        </is>
      </c>
      <c r="I166" s="2" t="n">
        <v>46272</v>
      </c>
      <c r="J166" t="inlineStr">
        <is>
          <t>Disetujui</t>
        </is>
      </c>
      <c r="K166" t="n">
        <v>90</v>
      </c>
      <c r="L166" t="inlineStr">
        <is>
          <t>7 September 2026</t>
        </is>
      </c>
      <c r="M166" t="inlineStr">
        <is>
          <t>Konstruksi Gedung Kesehatan, Konstruksi Gedung Pendidikan</t>
        </is>
      </c>
      <c r="N166" t="inlineStr">
        <is>
          <t>K</t>
        </is>
      </c>
      <c r="O166" t="inlineStr">
        <is>
          <t>20230830, 20230901</t>
        </is>
      </c>
      <c r="P166" t="inlineStr">
        <is>
          <t>Nusa Tenggara Timur</t>
        </is>
      </c>
      <c r="Q166" t="inlineStr"/>
    </row>
    <row r="167">
      <c r="A167" t="inlineStr">
        <is>
          <t>ZAKY ZIKRI</t>
        </is>
      </c>
      <c r="B167" t="inlineStr">
        <is>
          <t>Kab. Aceh Utara</t>
        </is>
      </c>
      <c r="C167" t="inlineStr">
        <is>
          <t>082288216008</t>
        </is>
      </c>
      <c r="D167" t="inlineStr">
        <is>
          <t>zakyzikri@yahoo.co.id</t>
        </is>
      </c>
      <c r="E167" t="inlineStr">
        <is>
          <t>https://lpjk.pu.go.id/search-badan-usaha-detail/YmcxaGJyUFVZUFV6aVZhL3ZXdzVpZz09</t>
        </is>
      </c>
      <c r="F167" t="n">
        <v>1</v>
      </c>
      <c r="G167" t="inlineStr">
        <is>
          <t>BG001</t>
        </is>
      </c>
      <c r="H167" t="inlineStr">
        <is>
          <t>5 Januari 2016</t>
        </is>
      </c>
      <c r="I167" s="2" t="n">
        <v>46272</v>
      </c>
      <c r="J167" t="inlineStr">
        <is>
          <t>Disetujui</t>
        </is>
      </c>
      <c r="K167" t="n">
        <v>90</v>
      </c>
      <c r="L167" t="inlineStr">
        <is>
          <t>7 September 2026</t>
        </is>
      </c>
      <c r="M167" t="inlineStr">
        <is>
          <t>Konstruksi Gedung Hunian</t>
        </is>
      </c>
      <c r="N167" t="inlineStr">
        <is>
          <t>K</t>
        </is>
      </c>
      <c r="O167" t="inlineStr">
        <is>
          <t>20230907</t>
        </is>
      </c>
      <c r="P167" t="inlineStr">
        <is>
          <t>Aceh</t>
        </is>
      </c>
      <c r="Q167" t="inlineStr"/>
    </row>
    <row r="168">
      <c r="A168" t="inlineStr">
        <is>
          <t>ZHAFIRA WIJAYA</t>
        </is>
      </c>
      <c r="B168" t="inlineStr">
        <is>
          <t>Kab. Majalengka</t>
        </is>
      </c>
      <c r="C168" t="inlineStr">
        <is>
          <t>085227771177</t>
        </is>
      </c>
      <c r="D168" t="inlineStr">
        <is>
          <t>cv.zhafira.majalengka@gmail.com</t>
        </is>
      </c>
      <c r="E168" t="inlineStr">
        <is>
          <t>https://lpjk.pu.go.id/search-badan-usaha-detail/K2NoUjBmQ1Q3OUJWb3cwRVhxUi84Zz09</t>
        </is>
      </c>
      <c r="F168" t="n">
        <v>1</v>
      </c>
      <c r="G168" t="inlineStr">
        <is>
          <t>BG005</t>
        </is>
      </c>
      <c r="H168" t="inlineStr">
        <is>
          <t>22 Januari 2018</t>
        </is>
      </c>
      <c r="I168" s="2" t="n">
        <v>46272</v>
      </c>
      <c r="J168" t="inlineStr">
        <is>
          <t>Disetujui</t>
        </is>
      </c>
      <c r="K168" t="n">
        <v>90</v>
      </c>
      <c r="L168" t="inlineStr">
        <is>
          <t>7 September 2026</t>
        </is>
      </c>
      <c r="M168" t="inlineStr">
        <is>
          <t>Konstruksi Gedung Kesehatan</t>
        </is>
      </c>
      <c r="N168" t="inlineStr">
        <is>
          <t>K</t>
        </is>
      </c>
      <c r="O168" t="inlineStr">
        <is>
          <t>20230907</t>
        </is>
      </c>
      <c r="P168" t="inlineStr">
        <is>
          <t>Jawa Barat</t>
        </is>
      </c>
      <c r="Q1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6"/>
  <sheetViews>
    <sheetView workbookViewId="0">
      <selection activeCell="A1" sqref="A1"/>
    </sheetView>
  </sheetViews>
  <sheetFormatPr baseColWidth="8" defaultRowHeight="15"/>
  <cols>
    <col width="35" customWidth="1" min="1" max="1"/>
    <col width="27" customWidth="1" min="2" max="2"/>
    <col width="16" customWidth="1" min="3" max="3"/>
    <col width="41" customWidth="1" min="4" max="4"/>
    <col width="50" customWidth="1" min="5" max="5"/>
    <col width="18" customWidth="1" min="6" max="6"/>
    <col width="42" customWidth="1" min="7" max="7"/>
    <col width="20" customWidth="1" min="8" max="8"/>
    <col width="28" customWidth="1" min="9" max="9"/>
    <col width="34"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BERKAH MADANI</t>
        </is>
      </c>
      <c r="B2" t="inlineStr">
        <is>
          <t>Kota Depok</t>
        </is>
      </c>
      <c r="C2" t="inlineStr">
        <is>
          <t>081213766825</t>
        </is>
      </c>
      <c r="D2" t="inlineStr">
        <is>
          <t>cvberkahmadani17@gmail.com</t>
        </is>
      </c>
      <c r="E2" t="inlineStr">
        <is>
          <t>https://lpjk.pu.go.id/search-badan-usaha-detail/QnIxa3FWejM2QVVEVWhCcWxIaGNXdz09</t>
        </is>
      </c>
      <c r="F2" t="n">
        <v>2</v>
      </c>
      <c r="G2" t="inlineStr">
        <is>
          <t>BS004</t>
        </is>
      </c>
      <c r="H2" t="inlineStr">
        <is>
          <t>9 Januari 2017</t>
        </is>
      </c>
      <c r="I2" s="2" t="n">
        <v>46242</v>
      </c>
      <c r="J2" t="inlineStr">
        <is>
          <t>Disetujui</t>
        </is>
      </c>
      <c r="K2" t="n">
        <v>60</v>
      </c>
      <c r="L2" t="inlineStr">
        <is>
          <t>8 Agustus 2026</t>
        </is>
      </c>
      <c r="M2" t="inlineStr">
        <is>
          <t>Konstruksi Jaringan Irigasi dan Drainase</t>
        </is>
      </c>
      <c r="N2" t="inlineStr">
        <is>
          <t>K</t>
        </is>
      </c>
      <c r="O2" t="inlineStr">
        <is>
          <t>20230808</t>
        </is>
      </c>
      <c r="P2" t="inlineStr">
        <is>
          <t>Jawa Barat</t>
        </is>
      </c>
      <c r="Q2" s="3">
        <f>HYPERLINK("https://wa.me/6281213766825?text=*[PENGINGAT MASA BERLAKU SBU BERKAH MADANI]*%0A%0AYth. Pimpinan BERKAH MADANI,%0AMohon izin menginformasikan status SBU Anda di sistem LPJK:%0A%0A📄 SBU: BS004%0A📅 Expired: 8 Agustus 2026 (60 Hari Lagi)%0A%0AKami tim PT. ESDEA Assistance Management siap men-support proses perpanjangan segera agar administrasi proyek tidak terhambat%0A%0AApakah boleh saya bantu siapkan estimasi biaya dan waktu pengerjaannya?.", "Hubungi")</f>
        <v/>
      </c>
    </row>
    <row r="3">
      <c r="A3" t="inlineStr">
        <is>
          <t>HUKAWA VICTORY UTAMA</t>
        </is>
      </c>
      <c r="B3" t="inlineStr">
        <is>
          <t>Kab. Bekasi</t>
        </is>
      </c>
      <c r="C3" t="inlineStr">
        <is>
          <t>08129009919</t>
        </is>
      </c>
      <c r="D3" t="inlineStr">
        <is>
          <t>hukawavictory@gmail.com</t>
        </is>
      </c>
      <c r="E3" t="inlineStr">
        <is>
          <t>https://lpjk.pu.go.id/search-badan-usaha-detail/NFQrMnZ1NHVZbk9OQ3d4ZTVCODF4UT09</t>
        </is>
      </c>
      <c r="F3" t="n">
        <v>1</v>
      </c>
      <c r="G3" t="inlineStr">
        <is>
          <t>BG009</t>
        </is>
      </c>
      <c r="H3" t="inlineStr">
        <is>
          <t>23 Januari 2014</t>
        </is>
      </c>
      <c r="I3" s="2" t="n">
        <v>46242</v>
      </c>
      <c r="J3" t="inlineStr">
        <is>
          <t>Pencabutan</t>
        </is>
      </c>
      <c r="K3" t="n">
        <v>60</v>
      </c>
      <c r="L3" t="inlineStr">
        <is>
          <t>8 Agustus 2026</t>
        </is>
      </c>
      <c r="M3" t="inlineStr">
        <is>
          <t>Konstruksi Gedung Lainnya</t>
        </is>
      </c>
      <c r="N3" t="inlineStr">
        <is>
          <t>K</t>
        </is>
      </c>
      <c r="O3" t="inlineStr">
        <is>
          <t>20230807</t>
        </is>
      </c>
      <c r="P3" t="inlineStr">
        <is>
          <t>Jawa Barat</t>
        </is>
      </c>
      <c r="Q3" s="3">
        <f>HYPERLINK("https://wa.me/628129009919?text=*[PENGINGAT MASA BERLAKU SBU HUKAWA VICTORY UTAMA]*%0A%0AYth. Pimpinan HUKAWA VICTORY UTAMA,%0AMohon izin menginformasikan status SBU Anda di sistem LPJK:%0A%0A📄 SBU: BG009%0A📅 Expired: 8 Agustus 2026 (60 Hari Lagi)%0A%0AKami tim PT. ESDEA Assistance Management siap men-support proses perpanjangan segera agar administrasi proyek tidak terhambat%0A%0AApakah boleh saya bantu siapkan estimasi biaya dan waktu pengerjaannya?.", "Hubungi")</f>
        <v/>
      </c>
    </row>
    <row r="4">
      <c r="A4" t="inlineStr">
        <is>
          <t>MARSHEL GABE SEJAHTERA</t>
        </is>
      </c>
      <c r="B4" t="inlineStr">
        <is>
          <t>Kota Depok</t>
        </is>
      </c>
      <c r="C4" t="inlineStr">
        <is>
          <t>0218701005</t>
        </is>
      </c>
      <c r="D4" t="inlineStr">
        <is>
          <t>marshel_gs@yahoo.co.id</t>
        </is>
      </c>
      <c r="E4" t="inlineStr">
        <is>
          <t>https://lpjk.pu.go.id/search-badan-usaha-detail/ak1rQTNtL1lsMWNoblR5b09nZlFZUT09</t>
        </is>
      </c>
      <c r="F4" t="n">
        <v>2</v>
      </c>
      <c r="G4" t="inlineStr">
        <is>
          <t>BS001</t>
        </is>
      </c>
      <c r="H4" t="inlineStr">
        <is>
          <t>6 Januari 2016</t>
        </is>
      </c>
      <c r="I4" s="2" t="n">
        <v>46242</v>
      </c>
      <c r="J4" t="inlineStr">
        <is>
          <t>Disetujui</t>
        </is>
      </c>
      <c r="K4" t="n">
        <v>60</v>
      </c>
      <c r="L4" t="inlineStr">
        <is>
          <t>8 Agustus 2026</t>
        </is>
      </c>
      <c r="M4" t="inlineStr">
        <is>
          <t>Konstruksi Bangunan Sipil Jalan</t>
        </is>
      </c>
      <c r="N4" t="inlineStr">
        <is>
          <t>K</t>
        </is>
      </c>
      <c r="O4" t="inlineStr">
        <is>
          <t>20230804</t>
        </is>
      </c>
      <c r="P4" t="inlineStr">
        <is>
          <t>Jawa Barat</t>
        </is>
      </c>
      <c r="Q4" t="inlineStr"/>
    </row>
    <row r="5">
      <c r="A5" t="inlineStr">
        <is>
          <t>NUSANTARA DEPOK MULIA</t>
        </is>
      </c>
      <c r="B5" t="inlineStr">
        <is>
          <t>Kota Depok</t>
        </is>
      </c>
      <c r="C5" t="inlineStr">
        <is>
          <t>082190006485</t>
        </is>
      </c>
      <c r="D5" t="inlineStr">
        <is>
          <t>pt.nusantaradepokmulia@gmail.com</t>
        </is>
      </c>
      <c r="E5" t="inlineStr">
        <is>
          <t>https://lpjk.pu.go.id/search-badan-usaha-detail/WHhPUXRXRkg5KzJWSWJydmlIN2dDQT09</t>
        </is>
      </c>
      <c r="F5" t="n">
        <v>3</v>
      </c>
      <c r="G5" t="inlineStr">
        <is>
          <t>AR001, AR002, AR003</t>
        </is>
      </c>
      <c r="H5" t="inlineStr">
        <is>
          <t>29 Mei 2023</t>
        </is>
      </c>
      <c r="I5" s="2" t="n">
        <v>46242</v>
      </c>
      <c r="J5" t="inlineStr">
        <is>
          <t>Disetujui</t>
        </is>
      </c>
      <c r="K5" t="n">
        <v>60</v>
      </c>
      <c r="L5" t="inlineStr">
        <is>
          <t>8 Agustus 2026</t>
        </is>
      </c>
      <c r="M5" t="inlineStr">
        <is>
          <t>Jasa Arsitektural Bangunan Gedung Hunian dan Non Hunian, Jasa Arsitektural Lainnya, Jasa Desain Interior pada Bangunan Gedung dan Bangunan Sipil</t>
        </is>
      </c>
      <c r="N5" t="inlineStr">
        <is>
          <t>K</t>
        </is>
      </c>
      <c r="O5" t="inlineStr">
        <is>
          <t>20230717, 20230728</t>
        </is>
      </c>
      <c r="P5" t="inlineStr">
        <is>
          <t>Jawa Barat</t>
        </is>
      </c>
      <c r="Q5" s="3">
        <f>HYPERLINK("https://wa.me/6282190006485?text=*[PENGINGAT MASA BERLAKU SBU NUSANTARA DEPOK MULIA]*%0A%0AYth. Pimpinan NUSANTARA DEPOK MULIA,%0AMohon izin menginformasikan status SBU Anda di sistem LPJK:%0A%0A📄 SBU: AR001, AR002, AR003%0A📅 Expired: 8 Agustus 2026 (60 Hari Lagi)%0A%0AKami tim PT. ESDEA Assistance Management siap men-support proses perpanjangan segera agar administrasi proyek tidak terhambat%0A%0AApakah boleh saya bantu siapkan estimasi biaya dan waktu pengerjaannya?.", "Hubungi")</f>
        <v/>
      </c>
    </row>
    <row r="6">
      <c r="A6" t="inlineStr">
        <is>
          <t>TAMAN AGUNG PERDANA</t>
        </is>
      </c>
      <c r="B6" t="inlineStr">
        <is>
          <t>Kota Bekasi</t>
        </is>
      </c>
      <c r="C6" t="inlineStr">
        <is>
          <t>0218607710</t>
        </is>
      </c>
      <c r="D6" t="inlineStr">
        <is>
          <t>ptamanagung@yahoo.com</t>
        </is>
      </c>
      <c r="E6" t="inlineStr">
        <is>
          <t>https://lpjk.pu.go.id/search-badan-usaha-detail/cGhxckNoSEN1VFVGWUdLN05LMWIvZz09</t>
        </is>
      </c>
      <c r="F6" t="n">
        <v>2</v>
      </c>
      <c r="G6" t="inlineStr">
        <is>
          <t>BG002</t>
        </is>
      </c>
      <c r="H6" t="inlineStr">
        <is>
          <t>2 Februari 1996</t>
        </is>
      </c>
      <c r="I6" s="2" t="n">
        <v>46242</v>
      </c>
      <c r="J6" t="inlineStr">
        <is>
          <t>Disetujui</t>
        </is>
      </c>
      <c r="K6" t="n">
        <v>60</v>
      </c>
      <c r="L6" t="inlineStr">
        <is>
          <t>8 Agustus 2026</t>
        </is>
      </c>
      <c r="M6" t="inlineStr">
        <is>
          <t>Konstruksi Gedung Perkantoran</t>
        </is>
      </c>
      <c r="N6" t="inlineStr">
        <is>
          <t>K</t>
        </is>
      </c>
      <c r="O6" t="inlineStr">
        <is>
          <t>20230804</t>
        </is>
      </c>
      <c r="P6" t="inlineStr">
        <is>
          <t>Jawa Barat</t>
        </is>
      </c>
      <c r="Q6" t="inlineStr"/>
    </row>
    <row r="7">
      <c r="A7" t="inlineStr">
        <is>
          <t>TORANG MULTI INDO</t>
        </is>
      </c>
      <c r="B7" t="inlineStr">
        <is>
          <t>Kota Adm. Jakarta Timur</t>
        </is>
      </c>
      <c r="C7" t="inlineStr">
        <is>
          <t>0218609842</t>
        </is>
      </c>
      <c r="D7" t="inlineStr">
        <is>
          <t>torangmultiindo@gmail.com</t>
        </is>
      </c>
      <c r="E7" t="inlineStr">
        <is>
          <t>https://lpjk.pu.go.id/search-badan-usaha-detail/L1Vtdk9zSytBQTUwVHZGWUVLdmx3Zz09</t>
        </is>
      </c>
      <c r="F7" t="n">
        <v>2</v>
      </c>
      <c r="G7" t="inlineStr">
        <is>
          <t>BG006, BG009</t>
        </is>
      </c>
      <c r="H7" t="inlineStr">
        <is>
          <t>13 November 2018</t>
        </is>
      </c>
      <c r="I7" s="2" t="n">
        <v>46242</v>
      </c>
      <c r="J7" t="inlineStr">
        <is>
          <t>Disetujui</t>
        </is>
      </c>
      <c r="K7" t="n">
        <v>60</v>
      </c>
      <c r="L7" t="inlineStr">
        <is>
          <t>8 Agustus 2026</t>
        </is>
      </c>
      <c r="M7" t="inlineStr">
        <is>
          <t>Konstruksi Gedung Lainnya, Konstruksi Gedung Pendidikan</t>
        </is>
      </c>
      <c r="N7" t="inlineStr">
        <is>
          <t>K</t>
        </is>
      </c>
      <c r="O7" t="inlineStr">
        <is>
          <t>20230726</t>
        </is>
      </c>
      <c r="P7" t="inlineStr">
        <is>
          <t>DKI Jakarta</t>
        </is>
      </c>
      <c r="Q7" t="inlineStr"/>
    </row>
    <row r="8">
      <c r="A8" t="inlineStr">
        <is>
          <t>TRIMITRA ABADI ARTHA MANDIRI</t>
        </is>
      </c>
      <c r="B8" t="inlineStr">
        <is>
          <t>Kota Bekasi</t>
        </is>
      </c>
      <c r="C8" t="inlineStr">
        <is>
          <t>081219194588</t>
        </is>
      </c>
      <c r="D8" t="inlineStr">
        <is>
          <t>trimitraabadiarthamandiri2020@gmail.com</t>
        </is>
      </c>
      <c r="E8" t="inlineStr">
        <is>
          <t>https://lpjk.pu.go.id/search-badan-usaha-detail/Rm5zQVh4QWhwRnBFZFdvNkc1ejJaMUp1ZStOOXBDNlRkSE9jSms4YXliOD0</t>
        </is>
      </c>
      <c r="F8" t="n">
        <v>2</v>
      </c>
      <c r="G8" t="inlineStr">
        <is>
          <t>BG009</t>
        </is>
      </c>
      <c r="H8" t="inlineStr">
        <is>
          <t>30 April 2020</t>
        </is>
      </c>
      <c r="I8" s="2" t="n">
        <v>46242</v>
      </c>
      <c r="J8" t="inlineStr">
        <is>
          <t>Disetujui</t>
        </is>
      </c>
      <c r="K8" t="n">
        <v>60</v>
      </c>
      <c r="L8" t="inlineStr">
        <is>
          <t>8 Agustus 2026</t>
        </is>
      </c>
      <c r="M8" t="inlineStr">
        <is>
          <t>Konstruksi Gedung Lainnya</t>
        </is>
      </c>
      <c r="N8" t="inlineStr">
        <is>
          <t>B</t>
        </is>
      </c>
      <c r="O8" t="inlineStr">
        <is>
          <t>20230802</t>
        </is>
      </c>
      <c r="P8" t="inlineStr">
        <is>
          <t>Jawa Barat</t>
        </is>
      </c>
      <c r="Q8" s="3">
        <f>HYPERLINK("https://wa.me/6281219194588?text=*[PENGINGAT MASA BERLAKU SBU TRIMITRA ABADI ARTHA MANDIRI]*%0A%0AYth. Pimpinan TRIMITRA ABADI ARTHA MANDIRI,%0AMohon izin menginformasikan status SBU Anda di sistem LPJK:%0A%0A📄 SBU: BG009%0A📅 Expired: 8 Agustus 2026 (60 Hari Lagi)%0A%0AKami tim PT. ESDEA Assistance Management siap men-support proses perpanjangan segera agar administrasi proyek tidak terhambat%0A%0AApakah boleh saya bantu siapkan estimasi biaya dan waktu pengerjaannya?.", "Hubungi")</f>
        <v/>
      </c>
    </row>
    <row r="9">
      <c r="A9" t="inlineStr">
        <is>
          <t>TRITI ADITIA</t>
        </is>
      </c>
      <c r="B9" t="inlineStr">
        <is>
          <t>Kab. Bogor</t>
        </is>
      </c>
      <c r="C9" t="inlineStr">
        <is>
          <t>0218781164</t>
        </is>
      </c>
      <c r="D9" t="inlineStr">
        <is>
          <t>tritiaditia@yahoo.com</t>
        </is>
      </c>
      <c r="E9" t="inlineStr">
        <is>
          <t>https://lpjk.pu.go.id/search-badan-usaha-detail/ejJZQXc1c3drRGJGUGFlaDk5ak9FQT09</t>
        </is>
      </c>
      <c r="F9" t="n">
        <v>1</v>
      </c>
      <c r="G9" t="inlineStr">
        <is>
          <t>BS005</t>
        </is>
      </c>
      <c r="H9" t="inlineStr">
        <is>
          <t>19 September 2015</t>
        </is>
      </c>
      <c r="I9" s="2" t="n">
        <v>46242</v>
      </c>
      <c r="J9" t="inlineStr">
        <is>
          <t>Disetujui</t>
        </is>
      </c>
      <c r="K9" t="n">
        <v>60</v>
      </c>
      <c r="L9" t="inlineStr">
        <is>
          <t>8 Agustus 2026</t>
        </is>
      </c>
      <c r="M9" t="inlineStr">
        <is>
          <t>Konstruksi Bangunan Sipil Pengolahan Air Bersih</t>
        </is>
      </c>
      <c r="N9" t="inlineStr">
        <is>
          <t>K</t>
        </is>
      </c>
      <c r="O9" t="inlineStr">
        <is>
          <t>20230731</t>
        </is>
      </c>
      <c r="P9" t="inlineStr">
        <is>
          <t>Jawa Barat</t>
        </is>
      </c>
      <c r="Q9" t="inlineStr"/>
    </row>
    <row r="10">
      <c r="A10" t="inlineStr">
        <is>
          <t>XYCON</t>
        </is>
      </c>
      <c r="B10" t="inlineStr">
        <is>
          <t>Kota Bekasi</t>
        </is>
      </c>
      <c r="C10" t="inlineStr">
        <is>
          <t>0218211455</t>
        </is>
      </c>
      <c r="D10" t="inlineStr">
        <is>
          <t>xyconmail@yahoo.com</t>
        </is>
      </c>
      <c r="E10" t="inlineStr">
        <is>
          <t>https://lpjk.pu.go.id/search-badan-usaha-detail/Mm9naTR1eXo2dFN1U05wamJwOUJPZz09</t>
        </is>
      </c>
      <c r="F10" t="n">
        <v>2</v>
      </c>
      <c r="G10" t="inlineStr">
        <is>
          <t>BG001, BG003</t>
        </is>
      </c>
      <c r="H10" t="inlineStr">
        <is>
          <t>24 April 2007</t>
        </is>
      </c>
      <c r="I10" s="2" t="n">
        <v>46242</v>
      </c>
      <c r="J10" t="inlineStr">
        <is>
          <t>Disetujui</t>
        </is>
      </c>
      <c r="K10" t="n">
        <v>60</v>
      </c>
      <c r="L10" t="inlineStr">
        <is>
          <t>8 Agustus 2026</t>
        </is>
      </c>
      <c r="M10" t="inlineStr">
        <is>
          <t>Konstruksi Gedung Hunian, Konstruksi Gedung Industri</t>
        </is>
      </c>
      <c r="N10" t="inlineStr">
        <is>
          <t>K</t>
        </is>
      </c>
      <c r="O10" t="inlineStr">
        <is>
          <t>20230808</t>
        </is>
      </c>
      <c r="P10" t="inlineStr">
        <is>
          <t>Jawa Barat</t>
        </is>
      </c>
      <c r="Q10" t="inlineStr"/>
    </row>
    <row r="11">
      <c r="A11" t="inlineStr">
        <is>
          <t>ABIZAR PRATAMA</t>
        </is>
      </c>
      <c r="B11" t="inlineStr">
        <is>
          <t>Kota Makassar</t>
        </is>
      </c>
      <c r="C11" t="inlineStr">
        <is>
          <t>081355315055</t>
        </is>
      </c>
      <c r="D11" t="inlineStr">
        <is>
          <t>abizarpratama130@gmail.com</t>
        </is>
      </c>
      <c r="E11" t="inlineStr">
        <is>
          <t>https://lpjk.pu.go.id/search-badan-usaha-detail/cFZKV1UwRHIvbHJodmZ1TERxTHVwdz09</t>
        </is>
      </c>
      <c r="F11" t="n">
        <v>1</v>
      </c>
      <c r="G11" t="inlineStr">
        <is>
          <t>BS017</t>
        </is>
      </c>
      <c r="H11" t="inlineStr">
        <is>
          <t>14 Oktober 2014</t>
        </is>
      </c>
      <c r="I11" s="2" t="n">
        <v>46242</v>
      </c>
      <c r="J11" t="inlineStr">
        <is>
          <t>Disetujui</t>
        </is>
      </c>
      <c r="K11" t="n">
        <v>60</v>
      </c>
      <c r="L11" t="inlineStr">
        <is>
          <t>8 Agustus 2026</t>
        </is>
      </c>
      <c r="M11" t="inlineStr">
        <is>
          <t>Konstruksi Bangunan Sipil Lainnya Ytdl</t>
        </is>
      </c>
      <c r="N11" t="inlineStr">
        <is>
          <t>K</t>
        </is>
      </c>
      <c r="O11" t="inlineStr">
        <is>
          <t>20230808</t>
        </is>
      </c>
      <c r="P11" t="inlineStr">
        <is>
          <t>Sulawesi Selatan</t>
        </is>
      </c>
      <c r="Q11" t="inlineStr"/>
    </row>
    <row r="12">
      <c r="A12" t="inlineStr">
        <is>
          <t>ALAM MANILA PERSADA</t>
        </is>
      </c>
      <c r="B12" t="inlineStr">
        <is>
          <t>Kab. Halmahera Barat</t>
        </is>
      </c>
      <c r="C12" t="inlineStr">
        <is>
          <t>-</t>
        </is>
      </c>
      <c r="D12" t="inlineStr">
        <is>
          <t>alammanilapersadacv@gmail.com</t>
        </is>
      </c>
      <c r="E12" t="inlineStr">
        <is>
          <t>https://lpjk.pu.go.id/search-badan-usaha-detail/dFNudnZoSGxiUy9nQWhvWkJCKytRQT09</t>
        </is>
      </c>
      <c r="F12" t="n">
        <v>3</v>
      </c>
      <c r="G12" t="inlineStr">
        <is>
          <t>BG006, BG008, BG009</t>
        </is>
      </c>
      <c r="H12" t="inlineStr">
        <is>
          <t>20 Juli 2023</t>
        </is>
      </c>
      <c r="I12" s="2" t="n">
        <v>46242</v>
      </c>
      <c r="J12" t="inlineStr">
        <is>
          <t>Pencabutan</t>
        </is>
      </c>
      <c r="K12" t="n">
        <v>60</v>
      </c>
      <c r="L12" t="inlineStr">
        <is>
          <t>8 Agustus 2026</t>
        </is>
      </c>
      <c r="M12" t="inlineStr">
        <is>
          <t>Konstruksi Gedung Lainnya, Konstruksi Gedung Pendidikan, Konstruksi Gedung Tempat Hiburan dan Olahraga</t>
        </is>
      </c>
      <c r="N12" t="inlineStr">
        <is>
          <t>K</t>
        </is>
      </c>
      <c r="O12" t="inlineStr">
        <is>
          <t>20230807</t>
        </is>
      </c>
      <c r="P12" t="inlineStr">
        <is>
          <t>Maluku Utara</t>
        </is>
      </c>
      <c r="Q12" t="inlineStr"/>
    </row>
    <row r="13">
      <c r="A13" t="inlineStr">
        <is>
          <t>ALFA TATA GRIYA</t>
        </is>
      </c>
      <c r="B13" t="inlineStr">
        <is>
          <t>Kab. Kediri</t>
        </is>
      </c>
      <c r="C13" t="inlineStr">
        <is>
          <t>081233051832</t>
        </is>
      </c>
      <c r="D13" t="inlineStr">
        <is>
          <t>pt.alfatatagriya@gmail.com</t>
        </is>
      </c>
      <c r="E13" t="inlineStr">
        <is>
          <t>https://lpjk.pu.go.id/search-badan-usaha-detail/ZElVckNmWU5pbWJIV1pUM1lnMUZoQT09</t>
        </is>
      </c>
      <c r="F13" t="n">
        <v>1</v>
      </c>
      <c r="G13" t="inlineStr">
        <is>
          <t>BG002</t>
        </is>
      </c>
      <c r="H13" t="inlineStr">
        <is>
          <t>29 Mei 2023</t>
        </is>
      </c>
      <c r="I13" s="2" t="n">
        <v>46242</v>
      </c>
      <c r="J13" t="inlineStr">
        <is>
          <t>Pencabutan</t>
        </is>
      </c>
      <c r="K13" t="n">
        <v>60</v>
      </c>
      <c r="L13" t="inlineStr">
        <is>
          <t>8 Agustus 2026</t>
        </is>
      </c>
      <c r="M13" t="inlineStr">
        <is>
          <t>Konstruksi Gedung Perkantoran</t>
        </is>
      </c>
      <c r="N13" t="inlineStr">
        <is>
          <t>K</t>
        </is>
      </c>
      <c r="O13" t="inlineStr">
        <is>
          <t>20230725</t>
        </is>
      </c>
      <c r="P13" t="inlineStr">
        <is>
          <t>Jawa Timur</t>
        </is>
      </c>
      <c r="Q13" t="inlineStr"/>
    </row>
    <row r="14">
      <c r="A14" t="inlineStr">
        <is>
          <t>ALFARIZZI</t>
        </is>
      </c>
      <c r="B14" t="inlineStr">
        <is>
          <t>Kota Banda Aceh</t>
        </is>
      </c>
      <c r="C14" t="inlineStr">
        <is>
          <t>081269188223</t>
        </is>
      </c>
      <c r="D14" t="inlineStr">
        <is>
          <t>cv.alfarizzi@gmail.com</t>
        </is>
      </c>
      <c r="E14" t="inlineStr">
        <is>
          <t>https://lpjk.pu.go.id/search-badan-usaha-detail/bWpFVzRYbXBxUTBhd3U1TS9XclVPQT09</t>
        </is>
      </c>
      <c r="F14" t="n">
        <v>2</v>
      </c>
      <c r="G14" t="inlineStr">
        <is>
          <t>BS004</t>
        </is>
      </c>
      <c r="H14" t="inlineStr">
        <is>
          <t>22 Juni 2012</t>
        </is>
      </c>
      <c r="I14" s="2" t="n">
        <v>46242</v>
      </c>
      <c r="J14" t="inlineStr">
        <is>
          <t>Disetujui</t>
        </is>
      </c>
      <c r="K14" t="n">
        <v>60</v>
      </c>
      <c r="L14" t="inlineStr">
        <is>
          <t>8 Agustus 2026</t>
        </is>
      </c>
      <c r="M14" t="inlineStr">
        <is>
          <t>Konstruksi Jaringan Irigasi dan Drainase</t>
        </is>
      </c>
      <c r="N14" t="inlineStr">
        <is>
          <t>K</t>
        </is>
      </c>
      <c r="O14" t="inlineStr">
        <is>
          <t>20230804</t>
        </is>
      </c>
      <c r="P14" t="inlineStr">
        <is>
          <t>Aceh</t>
        </is>
      </c>
      <c r="Q14" t="inlineStr"/>
    </row>
    <row r="15">
      <c r="A15" t="inlineStr">
        <is>
          <t>AMALIA PRATAMA</t>
        </is>
      </c>
      <c r="B15" t="inlineStr">
        <is>
          <t>Kota Ambon</t>
        </is>
      </c>
      <c r="C15" t="inlineStr">
        <is>
          <t>081343351451</t>
        </is>
      </c>
      <c r="D15" t="inlineStr">
        <is>
          <t>amaliapratama19@yahoo.com</t>
        </is>
      </c>
      <c r="E15" t="inlineStr">
        <is>
          <t>https://lpjk.pu.go.id/search-badan-usaha-detail/MUR1azVENEFlWlFtVE53aXYyWElsQT09</t>
        </is>
      </c>
      <c r="F15" t="n">
        <v>1</v>
      </c>
      <c r="G15" t="inlineStr">
        <is>
          <t>BS011</t>
        </is>
      </c>
      <c r="H15" t="inlineStr">
        <is>
          <t>25 November 1993</t>
        </is>
      </c>
      <c r="I15" s="2" t="n">
        <v>46242</v>
      </c>
      <c r="J15" t="inlineStr">
        <is>
          <t>Pencabutan</t>
        </is>
      </c>
      <c r="K15" t="n">
        <v>60</v>
      </c>
      <c r="L15" t="inlineStr">
        <is>
          <t>8 Agustus 2026</t>
        </is>
      </c>
      <c r="M15" t="inlineStr">
        <is>
          <t>Konstruksi Bangunan Pelabuhan Bukan Perikanan</t>
        </is>
      </c>
      <c r="N15" t="inlineStr">
        <is>
          <t>K</t>
        </is>
      </c>
      <c r="O15" t="inlineStr">
        <is>
          <t>20230807</t>
        </is>
      </c>
      <c r="P15" t="inlineStr">
        <is>
          <t>Maluku</t>
        </is>
      </c>
      <c r="Q15" t="inlineStr"/>
    </row>
    <row r="16">
      <c r="A16" t="inlineStr">
        <is>
          <t>AMELIA</t>
        </is>
      </c>
      <c r="B16" t="inlineStr">
        <is>
          <t>Kota Pasuruan</t>
        </is>
      </c>
      <c r="C16" t="inlineStr">
        <is>
          <t>082232131247</t>
        </is>
      </c>
      <c r="D16" t="inlineStr">
        <is>
          <t>noviekeanu_20@yahoo.co.id</t>
        </is>
      </c>
      <c r="E16" t="inlineStr">
        <is>
          <t>https://lpjk.pu.go.id/search-badan-usaha-detail/QnArRmdpbGN6MmFPTjVESHRxZjB3Zz09</t>
        </is>
      </c>
      <c r="F16" t="n">
        <v>4</v>
      </c>
      <c r="G16" t="inlineStr">
        <is>
          <t>BS001, BS004</t>
        </is>
      </c>
      <c r="H16" t="inlineStr">
        <is>
          <t>12 Januari 2006</t>
        </is>
      </c>
      <c r="I16" s="2" t="n">
        <v>46242</v>
      </c>
      <c r="J16" t="inlineStr">
        <is>
          <t>Disetujui</t>
        </is>
      </c>
      <c r="K16" t="n">
        <v>60</v>
      </c>
      <c r="L16" t="inlineStr">
        <is>
          <t>8 Agustus 2026</t>
        </is>
      </c>
      <c r="M16" t="inlineStr">
        <is>
          <t>Konstruksi Bangunan Sipil Jalan, Konstruksi Jaringan Irigasi dan Drainase</t>
        </is>
      </c>
      <c r="N16" t="inlineStr">
        <is>
          <t>K</t>
        </is>
      </c>
      <c r="O16" t="inlineStr">
        <is>
          <t>20230808</t>
        </is>
      </c>
      <c r="P16" t="inlineStr">
        <is>
          <t>Jawa Timur</t>
        </is>
      </c>
      <c r="Q16" t="inlineStr"/>
    </row>
    <row r="17">
      <c r="A17" t="inlineStr">
        <is>
          <t>ARA PEUSAJA</t>
        </is>
      </c>
      <c r="B17" t="inlineStr">
        <is>
          <t>Kab. Nagan Raya</t>
        </is>
      </c>
      <c r="C17" t="inlineStr">
        <is>
          <t>081360774394</t>
        </is>
      </c>
      <c r="D17" t="inlineStr">
        <is>
          <t>marzukiarapeusaja@gmail.com</t>
        </is>
      </c>
      <c r="E17" t="inlineStr">
        <is>
          <t>https://lpjk.pu.go.id/search-badan-usaha-detail/eEkvSkYzMW5uU3RtM3hQdExvYS9ZZz09</t>
        </is>
      </c>
      <c r="F17" t="n">
        <v>1</v>
      </c>
      <c r="G17" t="inlineStr">
        <is>
          <t>BS004</t>
        </is>
      </c>
      <c r="H17" t="inlineStr">
        <is>
          <t>30 November 2006</t>
        </is>
      </c>
      <c r="I17" s="2" t="n">
        <v>46242</v>
      </c>
      <c r="J17" t="inlineStr">
        <is>
          <t>Pencabutan</t>
        </is>
      </c>
      <c r="K17" t="n">
        <v>60</v>
      </c>
      <c r="L17" t="inlineStr">
        <is>
          <t>8 Agustus 2026</t>
        </is>
      </c>
      <c r="M17" t="inlineStr">
        <is>
          <t>Konstruksi Jaringan Irigasi dan Drainase</t>
        </is>
      </c>
      <c r="N17" t="inlineStr">
        <is>
          <t>K</t>
        </is>
      </c>
      <c r="O17" t="inlineStr">
        <is>
          <t>20230807</t>
        </is>
      </c>
      <c r="P17" t="inlineStr">
        <is>
          <t>Aceh</t>
        </is>
      </c>
      <c r="Q17" t="inlineStr"/>
    </row>
    <row r="18">
      <c r="A18" t="inlineStr">
        <is>
          <t>AZFAR KARYA LESTARI</t>
        </is>
      </c>
      <c r="B18" t="inlineStr">
        <is>
          <t>Kota Makassar</t>
        </is>
      </c>
      <c r="C18" t="inlineStr">
        <is>
          <t>081342424679</t>
        </is>
      </c>
      <c r="D18" t="inlineStr">
        <is>
          <t>azfarkaryalestari@gmail.com</t>
        </is>
      </c>
      <c r="E18" t="inlineStr">
        <is>
          <t>https://lpjk.pu.go.id/search-badan-usaha-detail/NXI4b0hxQjY4eTIwd2tCNE9YWFVVUT09</t>
        </is>
      </c>
      <c r="F18" t="n">
        <v>1</v>
      </c>
      <c r="G18" t="inlineStr">
        <is>
          <t>BS004</t>
        </is>
      </c>
      <c r="H18" t="inlineStr">
        <is>
          <t>20 Desember 2018</t>
        </is>
      </c>
      <c r="I18" s="2" t="n">
        <v>46242</v>
      </c>
      <c r="J18" t="inlineStr">
        <is>
          <t>Pencabutan</t>
        </is>
      </c>
      <c r="K18" t="n">
        <v>60</v>
      </c>
      <c r="L18" t="inlineStr">
        <is>
          <t>8 Agustus 2026</t>
        </is>
      </c>
      <c r="M18" t="inlineStr">
        <is>
          <t>Konstruksi Jaringan Irigasi dan Drainase</t>
        </is>
      </c>
      <c r="N18" t="inlineStr">
        <is>
          <t>K</t>
        </is>
      </c>
      <c r="O18" t="inlineStr">
        <is>
          <t>20230730</t>
        </is>
      </c>
      <c r="P18" t="inlineStr">
        <is>
          <t>Sulawesi Selatan</t>
        </is>
      </c>
      <c r="Q18" t="inlineStr"/>
    </row>
    <row r="19">
      <c r="A19" t="inlineStr">
        <is>
          <t>BAKTI KARYA</t>
        </is>
      </c>
      <c r="B19" t="inlineStr">
        <is>
          <t>Kab. Lampung Utara</t>
        </is>
      </c>
      <c r="C19" t="inlineStr">
        <is>
          <t>081369761550</t>
        </is>
      </c>
      <c r="D19" t="inlineStr">
        <is>
          <t>cv.baktikary4@gmail.com</t>
        </is>
      </c>
      <c r="E19" t="inlineStr">
        <is>
          <t>https://lpjk.pu.go.id/search-badan-usaha-detail/bDFpWVo3alR4eStxQy9kU2hHT1ZLUT09</t>
        </is>
      </c>
      <c r="F19" t="n">
        <v>1</v>
      </c>
      <c r="G19" t="inlineStr">
        <is>
          <t>BS001</t>
        </is>
      </c>
      <c r="H19" t="inlineStr">
        <is>
          <t>24 Oktober 1985</t>
        </is>
      </c>
      <c r="I19" s="2" t="n">
        <v>46242</v>
      </c>
      <c r="J19" t="inlineStr">
        <is>
          <t>Disetujui</t>
        </is>
      </c>
      <c r="K19" t="n">
        <v>60</v>
      </c>
      <c r="L19" t="inlineStr">
        <is>
          <t>8 Agustus 2026</t>
        </is>
      </c>
      <c r="M19" t="inlineStr">
        <is>
          <t>Konstruksi Bangunan Sipil Jalan</t>
        </is>
      </c>
      <c r="N19" t="inlineStr">
        <is>
          <t>K</t>
        </is>
      </c>
      <c r="O19" t="inlineStr">
        <is>
          <t>20230804</t>
        </is>
      </c>
      <c r="P19" t="inlineStr">
        <is>
          <t>Lampung</t>
        </is>
      </c>
      <c r="Q19" t="inlineStr"/>
    </row>
    <row r="20">
      <c r="A20" t="inlineStr">
        <is>
          <t>BANGUN INERSIA MANDIRI CONSULTANT</t>
        </is>
      </c>
      <c r="B20" t="inlineStr">
        <is>
          <t>Kota Surabaya</t>
        </is>
      </c>
      <c r="C20" t="inlineStr">
        <is>
          <t>081217638867</t>
        </is>
      </c>
      <c r="D20" t="inlineStr">
        <is>
          <t>andibimconsultan@gmail.com</t>
        </is>
      </c>
      <c r="E20" t="inlineStr">
        <is>
          <t>https://lpjk.pu.go.id/search-badan-usaha-detail/cVNNd3VYZ1lXaFZsV2VvQnRpRHZadz09</t>
        </is>
      </c>
      <c r="F20" t="n">
        <v>3</v>
      </c>
      <c r="G20" t="inlineStr">
        <is>
          <t>RK001, RK002, RK003</t>
        </is>
      </c>
      <c r="H20" t="inlineStr">
        <is>
          <t>30 Mei 2023</t>
        </is>
      </c>
      <c r="I20" s="2" t="n">
        <v>46242</v>
      </c>
      <c r="J20" t="inlineStr">
        <is>
          <t>Disetujui</t>
        </is>
      </c>
      <c r="K20" t="n">
        <v>60</v>
      </c>
      <c r="L20" t="inlineStr">
        <is>
          <t>8 Agustus 2026</t>
        </is>
      </c>
      <c r="M20" t="inlineStr">
        <is>
          <t>Jasa Rekayasa Konstruksi Bangunan Gedung Hunian dan Non Hunian, Jasa Rekayasa Pekerjaan Teknik Sipil Sumber Daya Air, Jasa Rekayasa Pekerjaan Teknik Sipil Transportasi</t>
        </is>
      </c>
      <c r="N20" t="inlineStr">
        <is>
          <t>K</t>
        </is>
      </c>
      <c r="O20" t="inlineStr">
        <is>
          <t>20230731</t>
        </is>
      </c>
      <c r="P20" t="inlineStr">
        <is>
          <t>Jawa Timur</t>
        </is>
      </c>
      <c r="Q20" t="inlineStr"/>
    </row>
    <row r="21">
      <c r="A21" t="inlineStr">
        <is>
          <t>BANGUN MITRA ANUGERAH LESTARI</t>
        </is>
      </c>
      <c r="B21" t="inlineStr">
        <is>
          <t>Kab. Sumbawa</t>
        </is>
      </c>
      <c r="C21" t="inlineStr">
        <is>
          <t>081907142990</t>
        </is>
      </c>
      <c r="D21" t="inlineStr">
        <is>
          <t>bahagiagroup11@gmail.com</t>
        </is>
      </c>
      <c r="E21" t="inlineStr">
        <is>
          <t>https://lpjk.pu.go.id/search-badan-usaha-detail/WG1mckI1dGN4MC9DZ1ZRT2dVN2tNQT09</t>
        </is>
      </c>
      <c r="F21" t="n">
        <v>1</v>
      </c>
      <c r="G21" t="inlineStr">
        <is>
          <t>BG005</t>
        </is>
      </c>
      <c r="H21" t="inlineStr">
        <is>
          <t>7 November 2007</t>
        </is>
      </c>
      <c r="I21" s="2" t="n">
        <v>46242</v>
      </c>
      <c r="J21" t="inlineStr">
        <is>
          <t>Disetujui</t>
        </is>
      </c>
      <c r="K21" t="n">
        <v>60</v>
      </c>
      <c r="L21" t="inlineStr">
        <is>
          <t>8 Agustus 2026</t>
        </is>
      </c>
      <c r="M21" t="inlineStr">
        <is>
          <t>Konstruksi Gedung Kesehatan</t>
        </is>
      </c>
      <c r="N21" t="inlineStr">
        <is>
          <t>K</t>
        </is>
      </c>
      <c r="O21" t="inlineStr">
        <is>
          <t>20230713</t>
        </is>
      </c>
      <c r="P21" t="inlineStr">
        <is>
          <t>Nusa Tenggara Barat</t>
        </is>
      </c>
      <c r="Q21" t="inlineStr"/>
    </row>
    <row r="22">
      <c r="A22" t="inlineStr">
        <is>
          <t>BARALEWA JAYA</t>
        </is>
      </c>
      <c r="B22" t="inlineStr">
        <is>
          <t>Kab. Bone</t>
        </is>
      </c>
      <c r="C22" t="inlineStr">
        <is>
          <t>082257670992</t>
        </is>
      </c>
      <c r="D22" t="inlineStr">
        <is>
          <t>baralewajaya@gmail.com</t>
        </is>
      </c>
      <c r="E22" t="inlineStr">
        <is>
          <t>https://lpjk.pu.go.id/search-badan-usaha-detail/R0J3bEZpbjVFYm5yWk12UEFPQTN1Zz09</t>
        </is>
      </c>
      <c r="F22" t="n">
        <v>4</v>
      </c>
      <c r="G22" t="inlineStr">
        <is>
          <t>BG006, BS005</t>
        </is>
      </c>
      <c r="H22" t="inlineStr">
        <is>
          <t>3 Januari 2023</t>
        </is>
      </c>
      <c r="I22" s="2" t="n">
        <v>46242</v>
      </c>
      <c r="J22" t="inlineStr">
        <is>
          <t>Disetujui</t>
        </is>
      </c>
      <c r="K22" t="n">
        <v>60</v>
      </c>
      <c r="L22" t="inlineStr">
        <is>
          <t>8 Agustus 2026</t>
        </is>
      </c>
      <c r="M22" t="inlineStr">
        <is>
          <t>Konstruksi Bangunan Sipil Pengolahan Air Bersih, Konstruksi Gedung Pendidikan</t>
        </is>
      </c>
      <c r="N22" t="inlineStr">
        <is>
          <t>K</t>
        </is>
      </c>
      <c r="O22" t="inlineStr">
        <is>
          <t>20230715, 20230727</t>
        </is>
      </c>
      <c r="P22" t="inlineStr">
        <is>
          <t>Sulawesi Selatan</t>
        </is>
      </c>
      <c r="Q22" t="inlineStr"/>
    </row>
    <row r="23">
      <c r="A23" t="inlineStr">
        <is>
          <t>BATARA NUSANTARA</t>
        </is>
      </c>
      <c r="B23" t="inlineStr">
        <is>
          <t>Kota Palu</t>
        </is>
      </c>
      <c r="C23" t="inlineStr">
        <is>
          <t>082193235401</t>
        </is>
      </c>
      <c r="D23" t="inlineStr">
        <is>
          <t>batara.nusantara.cv@gmail.com</t>
        </is>
      </c>
      <c r="E23" t="inlineStr">
        <is>
          <t>https://lpjk.pu.go.id/search-badan-usaha-detail/TVNPOGUyZkhCMkdEb3hKUkhmcTBYdz09</t>
        </is>
      </c>
      <c r="F23" t="n">
        <v>1</v>
      </c>
      <c r="G23" t="inlineStr">
        <is>
          <t>RK001</t>
        </is>
      </c>
      <c r="H23" t="inlineStr">
        <is>
          <t>24 Januari 2019</t>
        </is>
      </c>
      <c r="I23" s="2" t="n">
        <v>46242</v>
      </c>
      <c r="J23" t="inlineStr">
        <is>
          <t>Disetujui</t>
        </is>
      </c>
      <c r="K23" t="n">
        <v>60</v>
      </c>
      <c r="L23" t="inlineStr">
        <is>
          <t>8 Agustus 2026</t>
        </is>
      </c>
      <c r="M23" t="inlineStr">
        <is>
          <t>Jasa Rekayasa Konstruksi Bangunan Gedung Hunian dan Non Hunian</t>
        </is>
      </c>
      <c r="N23" t="inlineStr">
        <is>
          <t>K</t>
        </is>
      </c>
      <c r="O23" t="inlineStr">
        <is>
          <t>20230720</t>
        </is>
      </c>
      <c r="P23" t="inlineStr">
        <is>
          <t>Sulawesi Tengah</t>
        </is>
      </c>
      <c r="Q23" t="inlineStr"/>
    </row>
    <row r="24">
      <c r="A24" t="inlineStr">
        <is>
          <t>BATARA PERSADA</t>
        </is>
      </c>
      <c r="B24" t="inlineStr">
        <is>
          <t>Kota Makassar</t>
        </is>
      </c>
      <c r="C24" t="inlineStr">
        <is>
          <t>082310637975</t>
        </is>
      </c>
      <c r="D24" t="inlineStr">
        <is>
          <t>batarapersada@yahoo.com</t>
        </is>
      </c>
      <c r="E24" t="inlineStr">
        <is>
          <t>https://lpjk.pu.go.id/search-badan-usaha-detail/VlZEMGs0Y0I4V0l1ZCt5S1VNUHloQT09</t>
        </is>
      </c>
      <c r="F24" t="n">
        <v>1</v>
      </c>
      <c r="G24" t="inlineStr">
        <is>
          <t>BS001</t>
        </is>
      </c>
      <c r="H24" t="inlineStr">
        <is>
          <t>15 Agustus 2008</t>
        </is>
      </c>
      <c r="I24" s="2" t="n">
        <v>46242</v>
      </c>
      <c r="J24" t="inlineStr">
        <is>
          <t>Disetujui</t>
        </is>
      </c>
      <c r="K24" t="n">
        <v>60</v>
      </c>
      <c r="L24" t="inlineStr">
        <is>
          <t>8 Agustus 2026</t>
        </is>
      </c>
      <c r="M24" t="inlineStr">
        <is>
          <t>Konstruksi Bangunan Sipil Jalan</t>
        </is>
      </c>
      <c r="N24" t="inlineStr">
        <is>
          <t>K</t>
        </is>
      </c>
      <c r="O24" t="inlineStr">
        <is>
          <t>20230803</t>
        </is>
      </c>
      <c r="P24" t="inlineStr">
        <is>
          <t>Sulawesi Selatan</t>
        </is>
      </c>
      <c r="Q24" t="inlineStr"/>
    </row>
    <row r="25">
      <c r="A25" t="inlineStr">
        <is>
          <t>BAYU UTAMA</t>
        </is>
      </c>
      <c r="B25" t="inlineStr">
        <is>
          <t>Kab. Bantul</t>
        </is>
      </c>
      <c r="C25" t="inlineStr">
        <is>
          <t>0274368452</t>
        </is>
      </c>
      <c r="D25" t="inlineStr">
        <is>
          <t>ptbayuutama@yahoo.com</t>
        </is>
      </c>
      <c r="E25" t="inlineStr">
        <is>
          <t>https://lpjk.pu.go.id/search-badan-usaha-detail/bTVmbXE5SzV6ZzM4WmZGbElXeHhUdz09</t>
        </is>
      </c>
      <c r="F25" t="n">
        <v>2</v>
      </c>
      <c r="G25" t="inlineStr">
        <is>
          <t>BG006, BG009</t>
        </is>
      </c>
      <c r="H25" t="inlineStr">
        <is>
          <t>30 Maret 1978</t>
        </is>
      </c>
      <c r="I25" s="2" t="n">
        <v>46242</v>
      </c>
      <c r="J25" t="inlineStr">
        <is>
          <t>Disetujui</t>
        </is>
      </c>
      <c r="K25" t="n">
        <v>60</v>
      </c>
      <c r="L25" t="inlineStr">
        <is>
          <t>8 Agustus 2026</t>
        </is>
      </c>
      <c r="M25" t="inlineStr">
        <is>
          <t>Konstruksi Gedung Lainnya, Konstruksi Gedung Pendidikan</t>
        </is>
      </c>
      <c r="N25" t="inlineStr">
        <is>
          <t>M</t>
        </is>
      </c>
      <c r="O25" t="inlineStr">
        <is>
          <t>20230804</t>
        </is>
      </c>
      <c r="P25" t="inlineStr">
        <is>
          <t>DI Yogyakarta</t>
        </is>
      </c>
      <c r="Q25" t="inlineStr"/>
    </row>
    <row r="26">
      <c r="A26" t="inlineStr">
        <is>
          <t>BERKAH KARYA JAYA MAKMUR</t>
        </is>
      </c>
      <c r="B26" t="inlineStr">
        <is>
          <t>Kab. Jember</t>
        </is>
      </c>
      <c r="C26" t="inlineStr">
        <is>
          <t>085334831231</t>
        </is>
      </c>
      <c r="D26" t="inlineStr">
        <is>
          <t>berkahkaryajayamakmur46@gmail.com</t>
        </is>
      </c>
      <c r="E26" t="inlineStr">
        <is>
          <t>https://lpjk.pu.go.id/search-badan-usaha-detail/NWNNamphQVhkSlBLSWNrTDRrY09Odz09</t>
        </is>
      </c>
      <c r="F26" t="n">
        <v>8</v>
      </c>
      <c r="G26" t="inlineStr">
        <is>
          <t>BG001, BG002, BG005, BG006</t>
        </is>
      </c>
      <c r="H26" t="inlineStr">
        <is>
          <t>13 Maret 2023</t>
        </is>
      </c>
      <c r="I26" s="2" t="n">
        <v>46242</v>
      </c>
      <c r="J26" t="inlineStr">
        <is>
          <t>Disetujui</t>
        </is>
      </c>
      <c r="K26" t="n">
        <v>60</v>
      </c>
      <c r="L26" t="inlineStr">
        <is>
          <t>8 Agustus 2026</t>
        </is>
      </c>
      <c r="M26" t="inlineStr">
        <is>
          <t>Konstruksi Gedung Hunian, Konstruksi Gedung Kesehatan, Konstruksi Gedung Pendidikan, Konstruksi Gedung Perkantoran</t>
        </is>
      </c>
      <c r="N26" t="inlineStr">
        <is>
          <t>K</t>
        </is>
      </c>
      <c r="O26" t="inlineStr">
        <is>
          <t>20230804</t>
        </is>
      </c>
      <c r="P26" t="inlineStr">
        <is>
          <t>Jawa Timur</t>
        </is>
      </c>
      <c r="Q26" t="inlineStr"/>
    </row>
    <row r="27">
      <c r="A27" t="inlineStr">
        <is>
          <t>BERKAH MADINAH</t>
        </is>
      </c>
      <c r="B27" t="inlineStr">
        <is>
          <t>Kab. Hulu Sungai Utara</t>
        </is>
      </c>
      <c r="C27" t="inlineStr">
        <is>
          <t>082246578921</t>
        </is>
      </c>
      <c r="D27" t="inlineStr">
        <is>
          <t>cvberkahmadinah0607@gmail.com</t>
        </is>
      </c>
      <c r="E27" t="inlineStr">
        <is>
          <t>https://lpjk.pu.go.id/search-badan-usaha-detail/S0llN1gvK2VoRlZ5elZKaTZvSHdydz09</t>
        </is>
      </c>
      <c r="F27" t="n">
        <v>2</v>
      </c>
      <c r="G27" t="inlineStr">
        <is>
          <t>BG006</t>
        </is>
      </c>
      <c r="H27" t="inlineStr">
        <is>
          <t>6 Juli 2023</t>
        </is>
      </c>
      <c r="I27" s="2" t="n">
        <v>46242</v>
      </c>
      <c r="J27" t="inlineStr">
        <is>
          <t>Disetujui</t>
        </is>
      </c>
      <c r="K27" t="n">
        <v>60</v>
      </c>
      <c r="L27" t="inlineStr">
        <is>
          <t>8 Agustus 2026</t>
        </is>
      </c>
      <c r="M27" t="inlineStr">
        <is>
          <t>Konstruksi Gedung Pendidikan</t>
        </is>
      </c>
      <c r="N27" t="inlineStr">
        <is>
          <t>K</t>
        </is>
      </c>
      <c r="O27" t="inlineStr">
        <is>
          <t>20230801</t>
        </is>
      </c>
      <c r="P27" t="inlineStr">
        <is>
          <t>Kalimantan Selatan</t>
        </is>
      </c>
      <c r="Q27" t="inlineStr"/>
    </row>
    <row r="28">
      <c r="A28" t="inlineStr">
        <is>
          <t>BERLIAN CEMERLANG</t>
        </is>
      </c>
      <c r="B28" t="inlineStr">
        <is>
          <t>Kota Surabaya</t>
        </is>
      </c>
      <c r="C28" t="inlineStr">
        <is>
          <t>-</t>
        </is>
      </c>
      <c r="D28" t="inlineStr">
        <is>
          <t>cvberliancemerlang01@gmail.com</t>
        </is>
      </c>
      <c r="E28" t="inlineStr">
        <is>
          <t>https://lpjk.pu.go.id/search-badan-usaha-detail/ZXcrQzZ6aHlaQ2JlSzAzZ0ROMmlGUT09</t>
        </is>
      </c>
      <c r="F28" t="n">
        <v>1</v>
      </c>
      <c r="G28" t="inlineStr">
        <is>
          <t>RK001</t>
        </is>
      </c>
      <c r="H28" t="inlineStr">
        <is>
          <t>25 April 2012</t>
        </is>
      </c>
      <c r="I28" s="2" t="n">
        <v>46242</v>
      </c>
      <c r="J28" t="inlineStr">
        <is>
          <t>Disetujui</t>
        </is>
      </c>
      <c r="K28" t="n">
        <v>60</v>
      </c>
      <c r="L28" t="inlineStr">
        <is>
          <t>8 Agustus 2026</t>
        </is>
      </c>
      <c r="M28" t="inlineStr">
        <is>
          <t>Jasa Rekayasa Konstruksi Bangunan Gedung Hunian dan Non Hunian</t>
        </is>
      </c>
      <c r="N28" t="inlineStr">
        <is>
          <t>K</t>
        </is>
      </c>
      <c r="O28" t="inlineStr">
        <is>
          <t>20230802</t>
        </is>
      </c>
      <c r="P28" t="inlineStr">
        <is>
          <t>Jawa Timur</t>
        </is>
      </c>
      <c r="Q28" t="inlineStr"/>
    </row>
    <row r="29">
      <c r="A29" t="inlineStr">
        <is>
          <t>BHAKTI SURYA MANDALA</t>
        </is>
      </c>
      <c r="B29" t="inlineStr">
        <is>
          <t>Kota Surabaya</t>
        </is>
      </c>
      <c r="C29" t="inlineStr">
        <is>
          <t>081913300066</t>
        </is>
      </c>
      <c r="D29" t="inlineStr">
        <is>
          <t>office.bhaktisuryamandala@gmail.com</t>
        </is>
      </c>
      <c r="E29" t="inlineStr">
        <is>
          <t>https://lpjk.pu.go.id/search-badan-usaha-detail/djhEOHgvZFhrMlZUWW5HQWFXMEFVUT09</t>
        </is>
      </c>
      <c r="F29" t="n">
        <v>1</v>
      </c>
      <c r="G29" t="inlineStr">
        <is>
          <t>BG009</t>
        </is>
      </c>
      <c r="H29" t="inlineStr">
        <is>
          <t>14 Januari 2022</t>
        </is>
      </c>
      <c r="I29" s="2" t="n">
        <v>46242</v>
      </c>
      <c r="J29" t="inlineStr">
        <is>
          <t>Disetujui</t>
        </is>
      </c>
      <c r="K29" t="n">
        <v>60</v>
      </c>
      <c r="L29" t="inlineStr">
        <is>
          <t>8 Agustus 2026</t>
        </is>
      </c>
      <c r="M29" t="inlineStr">
        <is>
          <t>Konstruksi Gedung Lainnya</t>
        </is>
      </c>
      <c r="N29" t="inlineStr">
        <is>
          <t>K</t>
        </is>
      </c>
      <c r="O29" t="inlineStr">
        <is>
          <t>20230805</t>
        </is>
      </c>
      <c r="P29" t="inlineStr">
        <is>
          <t>Jawa Timur</t>
        </is>
      </c>
      <c r="Q29" t="inlineStr"/>
    </row>
    <row r="30">
      <c r="A30" t="inlineStr">
        <is>
          <t>BIMA PUTRA NUSANTARA</t>
        </is>
      </c>
      <c r="B30" t="inlineStr">
        <is>
          <t>Kab. Jember</t>
        </is>
      </c>
      <c r="C30" t="inlineStr">
        <is>
          <t>081249066415</t>
        </is>
      </c>
      <c r="D30" t="inlineStr">
        <is>
          <t>bimaputranusantara2019@gmail.com</t>
        </is>
      </c>
      <c r="E30" t="inlineStr">
        <is>
          <t>https://lpjk.pu.go.id/search-badan-usaha-detail/ejQwMzNWVXdJV0UxazJhKzhQVkI2UT09</t>
        </is>
      </c>
      <c r="F30" t="n">
        <v>2</v>
      </c>
      <c r="G30" t="inlineStr">
        <is>
          <t>BG005, BG008</t>
        </is>
      </c>
      <c r="H30" t="inlineStr">
        <is>
          <t>15 Januari 2019</t>
        </is>
      </c>
      <c r="I30" s="2" t="n">
        <v>46242</v>
      </c>
      <c r="J30" t="inlineStr">
        <is>
          <t>Disetujui</t>
        </is>
      </c>
      <c r="K30" t="n">
        <v>60</v>
      </c>
      <c r="L30" t="inlineStr">
        <is>
          <t>8 Agustus 2026</t>
        </is>
      </c>
      <c r="M30" t="inlineStr">
        <is>
          <t>Konstruksi Gedung Kesehatan, Konstruksi Gedung Tempat Hiburan dan Olahraga</t>
        </is>
      </c>
      <c r="N30" t="inlineStr">
        <is>
          <t>K</t>
        </is>
      </c>
      <c r="O30" t="inlineStr">
        <is>
          <t>20230803</t>
        </is>
      </c>
      <c r="P30" t="inlineStr">
        <is>
          <t>Jawa Timur</t>
        </is>
      </c>
      <c r="Q30" t="inlineStr"/>
    </row>
    <row r="31">
      <c r="A31" t="inlineStr">
        <is>
          <t>BIMMEL JAYA MANDIRI</t>
        </is>
      </c>
      <c r="B31" t="inlineStr">
        <is>
          <t>Kab. Cirebon</t>
        </is>
      </c>
      <c r="C31" t="inlineStr">
        <is>
          <t>087705048382</t>
        </is>
      </c>
      <c r="D31" t="inlineStr">
        <is>
          <t>CVBIMMELJAYAMANDIRI@GMAIL.COM</t>
        </is>
      </c>
      <c r="E31" t="inlineStr">
        <is>
          <t>https://lpjk.pu.go.id/search-badan-usaha-detail/aW9hOHhxNDlzc0g4MmFYUkFnT3NBQT09</t>
        </is>
      </c>
      <c r="F31" t="n">
        <v>1</v>
      </c>
      <c r="G31" t="inlineStr">
        <is>
          <t>BS010</t>
        </is>
      </c>
      <c r="H31" t="inlineStr">
        <is>
          <t>8 Juni 2023</t>
        </is>
      </c>
      <c r="I31" s="2" t="n">
        <v>46242</v>
      </c>
      <c r="J31" t="inlineStr">
        <is>
          <t>Disetujui</t>
        </is>
      </c>
      <c r="K31" t="n">
        <v>60</v>
      </c>
      <c r="L31" t="inlineStr">
        <is>
          <t>8 Agustus 2026</t>
        </is>
      </c>
      <c r="M31" t="inlineStr">
        <is>
          <t>Konstruksi Bangunan Prasarana Sumber Daya Air</t>
        </is>
      </c>
      <c r="N31" t="inlineStr">
        <is>
          <t>K</t>
        </is>
      </c>
      <c r="O31" t="inlineStr">
        <is>
          <t>20230807</t>
        </is>
      </c>
      <c r="P31" t="inlineStr">
        <is>
          <t>Jawa Barat</t>
        </is>
      </c>
      <c r="Q31" t="inlineStr"/>
    </row>
    <row r="32">
      <c r="A32" t="inlineStr">
        <is>
          <t>BINA USAHA MANDIRI</t>
        </is>
      </c>
      <c r="B32" t="inlineStr">
        <is>
          <t>Kab. Tangerang</t>
        </is>
      </c>
      <c r="C32" t="inlineStr">
        <is>
          <t>087788874884</t>
        </is>
      </c>
      <c r="D32" t="inlineStr">
        <is>
          <t>herrychristian123@gmail.com</t>
        </is>
      </c>
      <c r="E32" t="inlineStr">
        <is>
          <t>https://lpjk.pu.go.id/search-badan-usaha-detail/S21na1FxOCtlRWpLdjRNTEsrMmVxdz09</t>
        </is>
      </c>
      <c r="F32" t="n">
        <v>1</v>
      </c>
      <c r="G32" t="inlineStr">
        <is>
          <t>BG001</t>
        </is>
      </c>
      <c r="H32" t="inlineStr">
        <is>
          <t>21 Desember 2021</t>
        </is>
      </c>
      <c r="I32" s="2" t="n">
        <v>46242</v>
      </c>
      <c r="J32" t="inlineStr">
        <is>
          <t>Disetujui</t>
        </is>
      </c>
      <c r="K32" t="n">
        <v>60</v>
      </c>
      <c r="L32" t="inlineStr">
        <is>
          <t>8 Agustus 2026</t>
        </is>
      </c>
      <c r="M32" t="inlineStr">
        <is>
          <t>Konstruksi Gedung Hunian</t>
        </is>
      </c>
      <c r="N32" t="inlineStr">
        <is>
          <t>K</t>
        </is>
      </c>
      <c r="O32" t="inlineStr">
        <is>
          <t>20230803</t>
        </is>
      </c>
      <c r="P32" t="inlineStr">
        <is>
          <t>Banten</t>
        </is>
      </c>
      <c r="Q32" t="inlineStr"/>
    </row>
    <row r="33">
      <c r="A33" t="inlineStr">
        <is>
          <t>BINTANG SAMUDERA ABADI</t>
        </is>
      </c>
      <c r="B33" t="inlineStr">
        <is>
          <t>Kab. Belitung Timur</t>
        </is>
      </c>
      <c r="C33" t="inlineStr">
        <is>
          <t>081929744442</t>
        </is>
      </c>
      <c r="D33" t="inlineStr">
        <is>
          <t>cv.bintangsamuderaabadi@yahoo.co.id</t>
        </is>
      </c>
      <c r="E33" t="inlineStr">
        <is>
          <t>https://lpjk.pu.go.id/search-badan-usaha-detail/VzhuRFhYM1E0dktGOE5HYlhaZkhwdz09</t>
        </is>
      </c>
      <c r="F33" t="n">
        <v>2</v>
      </c>
      <c r="G33" t="inlineStr">
        <is>
          <t>BG009</t>
        </is>
      </c>
      <c r="H33" t="inlineStr">
        <is>
          <t>4 Desember 2014</t>
        </is>
      </c>
      <c r="I33" s="2" t="n">
        <v>46242</v>
      </c>
      <c r="J33" t="inlineStr">
        <is>
          <t>Disetujui</t>
        </is>
      </c>
      <c r="K33" t="n">
        <v>60</v>
      </c>
      <c r="L33" t="inlineStr">
        <is>
          <t>8 Agustus 2026</t>
        </is>
      </c>
      <c r="M33" t="inlineStr">
        <is>
          <t>Konstruksi Gedung Lainnya</t>
        </is>
      </c>
      <c r="N33" t="inlineStr">
        <is>
          <t>K</t>
        </is>
      </c>
      <c r="O33" t="inlineStr">
        <is>
          <t>20230802</t>
        </is>
      </c>
      <c r="P33" t="inlineStr">
        <is>
          <t>Kepulauan Bangka Belitung</t>
        </is>
      </c>
      <c r="Q33" t="inlineStr"/>
    </row>
    <row r="34">
      <c r="A34" t="inlineStr">
        <is>
          <t>BUMI JAYA</t>
        </is>
      </c>
      <c r="B34" t="inlineStr">
        <is>
          <t>Kab. Trenggalek</t>
        </is>
      </c>
      <c r="C34" t="inlineStr">
        <is>
          <t>081359219559</t>
        </is>
      </c>
      <c r="D34" t="inlineStr">
        <is>
          <t>bumijayacv77@gmail.com</t>
        </is>
      </c>
      <c r="E34" t="inlineStr">
        <is>
          <t>https://lpjk.pu.go.id/search-badan-usaha-detail/QUNrZGc2aUpsZkpKMUlTRjVteVBFdz09</t>
        </is>
      </c>
      <c r="F34" t="n">
        <v>1</v>
      </c>
      <c r="G34" t="inlineStr">
        <is>
          <t>BG006</t>
        </is>
      </c>
      <c r="H34" t="inlineStr">
        <is>
          <t>12 Desember 2013</t>
        </is>
      </c>
      <c r="I34" s="2" t="n">
        <v>46242</v>
      </c>
      <c r="J34" t="inlineStr">
        <is>
          <t>Disetujui</t>
        </is>
      </c>
      <c r="K34" t="n">
        <v>60</v>
      </c>
      <c r="L34" t="inlineStr">
        <is>
          <t>8 Agustus 2026</t>
        </is>
      </c>
      <c r="M34" t="inlineStr">
        <is>
          <t>Konstruksi Gedung Pendidikan</t>
        </is>
      </c>
      <c r="N34" t="inlineStr">
        <is>
          <t>K</t>
        </is>
      </c>
      <c r="O34" t="inlineStr">
        <is>
          <t>20230727</t>
        </is>
      </c>
      <c r="P34" t="inlineStr">
        <is>
          <t>Jawa Timur</t>
        </is>
      </c>
      <c r="Q34" t="inlineStr"/>
    </row>
    <row r="35">
      <c r="A35" t="inlineStr">
        <is>
          <t>CAHAYA BETON ABADI</t>
        </is>
      </c>
      <c r="B35" t="inlineStr">
        <is>
          <t>Kab. Sumenep</t>
        </is>
      </c>
      <c r="C35" t="inlineStr">
        <is>
          <t>085955273111</t>
        </is>
      </c>
      <c r="D35" t="inlineStr">
        <is>
          <t>abadicvcahayabeton@gmail.com</t>
        </is>
      </c>
      <c r="E35" t="inlineStr">
        <is>
          <t>https://lpjk.pu.go.id/search-badan-usaha-detail/SjlEellpTVlkWWlXbWRYdTB2SEpYUT09</t>
        </is>
      </c>
      <c r="F35" t="n">
        <v>1</v>
      </c>
      <c r="G35" t="inlineStr">
        <is>
          <t>BS001</t>
        </is>
      </c>
      <c r="H35" t="inlineStr">
        <is>
          <t>30 Januari 2023</t>
        </is>
      </c>
      <c r="I35" s="2" t="n">
        <v>46242</v>
      </c>
      <c r="J35" t="inlineStr">
        <is>
          <t>Disetujui</t>
        </is>
      </c>
      <c r="K35" t="n">
        <v>60</v>
      </c>
      <c r="L35" t="inlineStr">
        <is>
          <t>8 Agustus 2026</t>
        </is>
      </c>
      <c r="M35" t="inlineStr">
        <is>
          <t>Konstruksi Bangunan Sipil Jalan</t>
        </is>
      </c>
      <c r="N35" t="inlineStr">
        <is>
          <t>K</t>
        </is>
      </c>
      <c r="O35" t="inlineStr">
        <is>
          <t>20230808</t>
        </is>
      </c>
      <c r="P35" t="inlineStr">
        <is>
          <t>Jawa Timur</t>
        </is>
      </c>
      <c r="Q35" t="inlineStr"/>
    </row>
    <row r="36">
      <c r="A36" t="inlineStr">
        <is>
          <t>CAHAYA PURNAMA KONSTRUKSI</t>
        </is>
      </c>
      <c r="B36" t="inlineStr">
        <is>
          <t>Kota Adm. Jakarta Barat</t>
        </is>
      </c>
      <c r="C36" t="inlineStr">
        <is>
          <t>08159093507</t>
        </is>
      </c>
      <c r="D36" t="inlineStr">
        <is>
          <t>cahayapurnamakonstruksi@yahoo.com</t>
        </is>
      </c>
      <c r="E36" t="inlineStr">
        <is>
          <t>https://lpjk.pu.go.id/search-badan-usaha-detail/dm5VeTgrWGt4ZW5GeUVUZ1pLRWt0Zz09</t>
        </is>
      </c>
      <c r="F36" t="n">
        <v>2</v>
      </c>
      <c r="G36" t="inlineStr">
        <is>
          <t>BG001, BG003</t>
        </is>
      </c>
      <c r="H36" t="inlineStr">
        <is>
          <t>18 November 2016</t>
        </is>
      </c>
      <c r="I36" s="2" t="n">
        <v>46242</v>
      </c>
      <c r="J36" t="inlineStr">
        <is>
          <t>Disetujui</t>
        </is>
      </c>
      <c r="K36" t="n">
        <v>60</v>
      </c>
      <c r="L36" t="inlineStr">
        <is>
          <t>8 Agustus 2026</t>
        </is>
      </c>
      <c r="M36" t="inlineStr">
        <is>
          <t>Konstruksi Gedung Hunian, Konstruksi Gedung Industri</t>
        </is>
      </c>
      <c r="N36" t="inlineStr">
        <is>
          <t>K</t>
        </is>
      </c>
      <c r="O36" t="inlineStr">
        <is>
          <t>20230704, 20230718</t>
        </is>
      </c>
      <c r="P36" t="inlineStr">
        <is>
          <t>DKI Jakarta</t>
        </is>
      </c>
      <c r="Q36" t="inlineStr"/>
    </row>
    <row r="37">
      <c r="A37" t="inlineStr">
        <is>
          <t>CEMERLANG GEMILANG GROUP</t>
        </is>
      </c>
      <c r="B37" t="inlineStr">
        <is>
          <t>Kab. Mandailing Natal</t>
        </is>
      </c>
      <c r="C37" t="inlineStr">
        <is>
          <t>081396794599</t>
        </is>
      </c>
      <c r="D37" t="inlineStr">
        <is>
          <t>cemerlanggemilanggrouo.cv@gmail.com</t>
        </is>
      </c>
      <c r="E37" t="inlineStr">
        <is>
          <t>https://lpjk.pu.go.id/search-badan-usaha-detail/Q3ZxWjhPQzA1S3F3dVdCOHVtQmZkQT09</t>
        </is>
      </c>
      <c r="F37" t="n">
        <v>1</v>
      </c>
      <c r="G37" t="inlineStr">
        <is>
          <t>BS002</t>
        </is>
      </c>
      <c r="H37" t="inlineStr">
        <is>
          <t>15 Januari 2019</t>
        </is>
      </c>
      <c r="I37" s="2" t="n">
        <v>46242</v>
      </c>
      <c r="J37" t="inlineStr">
        <is>
          <t>Disetujui</t>
        </is>
      </c>
      <c r="K37" t="n">
        <v>60</v>
      </c>
      <c r="L37" t="inlineStr">
        <is>
          <t>8 Agustus 2026</t>
        </is>
      </c>
      <c r="M37" t="inlineStr">
        <is>
          <t>Bangunan Sipil Jembatan, Jalan Layang, Fly Over, dan Underpass</t>
        </is>
      </c>
      <c r="N37" t="inlineStr">
        <is>
          <t>K</t>
        </is>
      </c>
      <c r="O37" t="inlineStr">
        <is>
          <t>20230807</t>
        </is>
      </c>
      <c r="P37" t="inlineStr">
        <is>
          <t>Sumatera Utara</t>
        </is>
      </c>
      <c r="Q37" t="inlineStr"/>
    </row>
    <row r="38">
      <c r="A38" t="inlineStr">
        <is>
          <t>DEVA</t>
        </is>
      </c>
      <c r="B38" t="inlineStr">
        <is>
          <t>Kab. Sanggau</t>
        </is>
      </c>
      <c r="C38" t="inlineStr">
        <is>
          <t>082149821004</t>
        </is>
      </c>
      <c r="D38" t="inlineStr">
        <is>
          <t>cv.deva1981@gmail.com</t>
        </is>
      </c>
      <c r="E38" t="inlineStr">
        <is>
          <t>https://lpjk.pu.go.id/search-badan-usaha-detail/K1MvYVpOa2tUakNUclJtbEhhSmlVQT09</t>
        </is>
      </c>
      <c r="F38" t="n">
        <v>1</v>
      </c>
      <c r="G38" t="inlineStr">
        <is>
          <t>BS004</t>
        </is>
      </c>
      <c r="H38" t="inlineStr">
        <is>
          <t>6 November 2003</t>
        </is>
      </c>
      <c r="I38" s="2" t="n">
        <v>46242</v>
      </c>
      <c r="J38" t="inlineStr">
        <is>
          <t>Pencabutan</t>
        </is>
      </c>
      <c r="K38" t="n">
        <v>60</v>
      </c>
      <c r="L38" t="inlineStr">
        <is>
          <t>8 Agustus 2026</t>
        </is>
      </c>
      <c r="M38" t="inlineStr">
        <is>
          <t>Konstruksi Jaringan Irigasi dan Drainase</t>
        </is>
      </c>
      <c r="N38" t="inlineStr">
        <is>
          <t>K</t>
        </is>
      </c>
      <c r="O38" t="inlineStr">
        <is>
          <t>20230806</t>
        </is>
      </c>
      <c r="P38" t="inlineStr">
        <is>
          <t>Kalimantan Barat</t>
        </is>
      </c>
      <c r="Q38" t="inlineStr"/>
    </row>
    <row r="39">
      <c r="A39" t="inlineStr">
        <is>
          <t>DUTA ARCHICON</t>
        </is>
      </c>
      <c r="B39" t="inlineStr">
        <is>
          <t>Kota Adm. Jakarta Selatan</t>
        </is>
      </c>
      <c r="C39" t="inlineStr">
        <is>
          <t>081212548929</t>
        </is>
      </c>
      <c r="D39" t="inlineStr">
        <is>
          <t>skklsbubaru@gmail.com</t>
        </is>
      </c>
      <c r="E39" t="inlineStr">
        <is>
          <t>https://lpjk.pu.go.id/search-badan-usaha-detail/TVFySTlFMURjSExnVlRvK0pUSjV1Zz09</t>
        </is>
      </c>
      <c r="F39" t="n">
        <v>1</v>
      </c>
      <c r="G39" t="inlineStr">
        <is>
          <t>BS001</t>
        </is>
      </c>
      <c r="H39" t="inlineStr">
        <is>
          <t>18 Januari 2010</t>
        </is>
      </c>
      <c r="I39" s="2" t="n">
        <v>46242</v>
      </c>
      <c r="J39" t="inlineStr">
        <is>
          <t>Disetujui</t>
        </is>
      </c>
      <c r="K39" t="n">
        <v>60</v>
      </c>
      <c r="L39" t="inlineStr">
        <is>
          <t>8 Agustus 2026</t>
        </is>
      </c>
      <c r="M39" t="inlineStr">
        <is>
          <t>Konstruksi Bangunan Sipil Jalan</t>
        </is>
      </c>
      <c r="N39" t="inlineStr">
        <is>
          <t>K</t>
        </is>
      </c>
      <c r="O39" t="inlineStr">
        <is>
          <t>20230805</t>
        </is>
      </c>
      <c r="P39" t="inlineStr">
        <is>
          <t>DKI Jakarta</t>
        </is>
      </c>
      <c r="Q39" t="inlineStr"/>
    </row>
    <row r="40">
      <c r="A40" t="inlineStr">
        <is>
          <t>DUTA MANDIRI</t>
        </is>
      </c>
      <c r="B40" t="inlineStr">
        <is>
          <t>Kab. Pamekasan</t>
        </is>
      </c>
      <c r="C40" t="inlineStr">
        <is>
          <t>-</t>
        </is>
      </c>
      <c r="D40" t="inlineStr">
        <is>
          <t>cvdutamandiri98@gmail.com</t>
        </is>
      </c>
      <c r="E40" t="inlineStr">
        <is>
          <t>https://lpjk.pu.go.id/search-badan-usaha-detail/NmtuTEJHRzhRaUhZTXF5WHUyMTQxQT09</t>
        </is>
      </c>
      <c r="F40" t="n">
        <v>1</v>
      </c>
      <c r="G40" t="inlineStr">
        <is>
          <t>BS001</t>
        </is>
      </c>
      <c r="H40" t="inlineStr">
        <is>
          <t>15 Januari 2005</t>
        </is>
      </c>
      <c r="I40" s="2" t="n">
        <v>46242</v>
      </c>
      <c r="J40" t="inlineStr">
        <is>
          <t>Disetujui</t>
        </is>
      </c>
      <c r="K40" t="n">
        <v>60</v>
      </c>
      <c r="L40" t="inlineStr">
        <is>
          <t>8 Agustus 2026</t>
        </is>
      </c>
      <c r="M40" t="inlineStr">
        <is>
          <t>Konstruksi Bangunan Sipil Jalan</t>
        </is>
      </c>
      <c r="N40" t="inlineStr">
        <is>
          <t>K</t>
        </is>
      </c>
      <c r="O40" t="inlineStr">
        <is>
          <t>20230720</t>
        </is>
      </c>
      <c r="P40" t="inlineStr">
        <is>
          <t>Jawa Timur</t>
        </is>
      </c>
      <c r="Q40" t="inlineStr"/>
    </row>
    <row r="41">
      <c r="A41" t="inlineStr">
        <is>
          <t>EKA PRATAMA JAYA</t>
        </is>
      </c>
      <c r="B41" t="inlineStr">
        <is>
          <t>Kab. Indramayu</t>
        </is>
      </c>
      <c r="C41" t="inlineStr">
        <is>
          <t>081221613724</t>
        </is>
      </c>
      <c r="D41" t="inlineStr">
        <is>
          <t>ekapratamajaya848@gmail.com</t>
        </is>
      </c>
      <c r="E41" t="inlineStr">
        <is>
          <t>https://lpjk.pu.go.id/search-badan-usaha-detail/QXJvdkFRWklyVFNPVUxWcnFPL2s5UT09</t>
        </is>
      </c>
      <c r="F41" t="n">
        <v>4</v>
      </c>
      <c r="G41" t="inlineStr">
        <is>
          <t>BG002, BG005, BG006, BG009</t>
        </is>
      </c>
      <c r="H41" t="inlineStr">
        <is>
          <t>31 Agustus 2021</t>
        </is>
      </c>
      <c r="I41" s="2" t="n">
        <v>46242</v>
      </c>
      <c r="J41" t="inlineStr">
        <is>
          <t>Disetujui</t>
        </is>
      </c>
      <c r="K41" t="n">
        <v>60</v>
      </c>
      <c r="L41" t="inlineStr">
        <is>
          <t>8 Agustus 2026</t>
        </is>
      </c>
      <c r="M41" t="inlineStr">
        <is>
          <t>Konstruksi Gedung Kesehatan, Konstruksi Gedung Lainnya, Konstruksi Gedung Pendidikan, Konstruksi Gedung Perkantoran</t>
        </is>
      </c>
      <c r="N41" t="inlineStr">
        <is>
          <t>K</t>
        </is>
      </c>
      <c r="O41" t="inlineStr">
        <is>
          <t>20230801</t>
        </is>
      </c>
      <c r="P41" t="inlineStr">
        <is>
          <t>Jawa Barat</t>
        </is>
      </c>
      <c r="Q41" t="inlineStr"/>
    </row>
    <row r="42">
      <c r="A42" t="inlineStr">
        <is>
          <t>ELANG MITRA REGANTAMA</t>
        </is>
      </c>
      <c r="B42" t="inlineStr">
        <is>
          <t>Kota Surabaya</t>
        </is>
      </c>
      <c r="C42" t="inlineStr">
        <is>
          <t>03182517767</t>
        </is>
      </c>
      <c r="D42" t="inlineStr">
        <is>
          <t>elangmitraregantama@gmail.com</t>
        </is>
      </c>
      <c r="E42" t="inlineStr">
        <is>
          <t>https://lpjk.pu.go.id/search-badan-usaha-detail/bmpuK3M5MWs3aEFLTGNpSmo4MGxrZz09</t>
        </is>
      </c>
      <c r="F42" t="n">
        <v>2</v>
      </c>
      <c r="G42" t="inlineStr">
        <is>
          <t>BG004</t>
        </is>
      </c>
      <c r="H42" t="inlineStr">
        <is>
          <t>26 November 2005</t>
        </is>
      </c>
      <c r="I42" s="2" t="n">
        <v>46242</v>
      </c>
      <c r="J42" t="inlineStr">
        <is>
          <t>Pencabutan</t>
        </is>
      </c>
      <c r="K42" t="n">
        <v>60</v>
      </c>
      <c r="L42" t="inlineStr">
        <is>
          <t>8 Agustus 2026</t>
        </is>
      </c>
      <c r="M42" t="inlineStr">
        <is>
          <t>Konstruksi Gedung Perbelanjaan</t>
        </is>
      </c>
      <c r="N42" t="inlineStr">
        <is>
          <t>K</t>
        </is>
      </c>
      <c r="O42" t="inlineStr">
        <is>
          <t>20230808</t>
        </is>
      </c>
      <c r="P42" t="inlineStr">
        <is>
          <t>Jawa Timur</t>
        </is>
      </c>
      <c r="Q42" t="inlineStr"/>
    </row>
    <row r="43">
      <c r="A43" t="inlineStr">
        <is>
          <t>FAJAR PASIR LESTARI</t>
        </is>
      </c>
      <c r="B43" t="inlineStr">
        <is>
          <t>Kab. Paser</t>
        </is>
      </c>
      <c r="C43" t="inlineStr">
        <is>
          <t>0811536040</t>
        </is>
      </c>
      <c r="D43" t="inlineStr">
        <is>
          <t>pt.fajarpasirlestari@gmail.com</t>
        </is>
      </c>
      <c r="E43" t="inlineStr">
        <is>
          <t>https://lpjk.pu.go.id/search-badan-usaha-detail/QUdRdStYNytjNmxkRTV6T2JmNVNqdz09</t>
        </is>
      </c>
      <c r="F43" t="n">
        <v>1</v>
      </c>
      <c r="G43" t="inlineStr">
        <is>
          <t>BS001</t>
        </is>
      </c>
      <c r="H43" t="inlineStr">
        <is>
          <t>21 Januari 2008</t>
        </is>
      </c>
      <c r="I43" s="2" t="n">
        <v>46242</v>
      </c>
      <c r="J43" t="inlineStr">
        <is>
          <t>Disetujui</t>
        </is>
      </c>
      <c r="K43" t="n">
        <v>60</v>
      </c>
      <c r="L43" t="inlineStr">
        <is>
          <t>8 Agustus 2026</t>
        </is>
      </c>
      <c r="M43" t="inlineStr">
        <is>
          <t>Konstruksi Bangunan Sipil Jalan</t>
        </is>
      </c>
      <c r="N43" t="inlineStr">
        <is>
          <t>M</t>
        </is>
      </c>
      <c r="O43" t="inlineStr">
        <is>
          <t>20230729</t>
        </is>
      </c>
      <c r="P43" t="inlineStr">
        <is>
          <t>Kalimantan Timur</t>
        </is>
      </c>
      <c r="Q43" t="inlineStr"/>
    </row>
    <row r="44">
      <c r="A44" t="inlineStr">
        <is>
          <t>FIKRI PUTRA SEJAHTERA</t>
        </is>
      </c>
      <c r="B44" t="inlineStr">
        <is>
          <t>Kota Pontianak</t>
        </is>
      </c>
      <c r="C44" t="inlineStr">
        <is>
          <t>085828620599</t>
        </is>
      </c>
      <c r="D44" t="inlineStr">
        <is>
          <t>fikriputrasejahter@gmail.com</t>
        </is>
      </c>
      <c r="E44" t="inlineStr">
        <is>
          <t>https://lpjk.pu.go.id/search-badan-usaha-detail/SW5VWHFPZ24raHFFVW51ZlUzRkJEdz09</t>
        </is>
      </c>
      <c r="F44" t="n">
        <v>1</v>
      </c>
      <c r="G44" t="inlineStr">
        <is>
          <t>BS001</t>
        </is>
      </c>
      <c r="H44" t="inlineStr">
        <is>
          <t>15 Agustus 2017</t>
        </is>
      </c>
      <c r="I44" s="2" t="n">
        <v>46242</v>
      </c>
      <c r="J44" t="inlineStr">
        <is>
          <t>Disetujui</t>
        </is>
      </c>
      <c r="K44" t="n">
        <v>60</v>
      </c>
      <c r="L44" t="inlineStr">
        <is>
          <t>8 Agustus 2026</t>
        </is>
      </c>
      <c r="M44" t="inlineStr">
        <is>
          <t>Konstruksi Bangunan Sipil Jalan</t>
        </is>
      </c>
      <c r="N44" t="inlineStr">
        <is>
          <t>K</t>
        </is>
      </c>
      <c r="O44" t="inlineStr">
        <is>
          <t>20230808</t>
        </is>
      </c>
      <c r="P44" t="inlineStr">
        <is>
          <t>Kalimantan Barat</t>
        </is>
      </c>
      <c r="Q44" t="inlineStr"/>
    </row>
    <row r="45">
      <c r="A45" t="inlineStr">
        <is>
          <t>GABE PUTRA</t>
        </is>
      </c>
      <c r="B45" t="inlineStr">
        <is>
          <t>Kota Medan</t>
        </is>
      </c>
      <c r="C45" t="inlineStr">
        <is>
          <t>0618456980</t>
        </is>
      </c>
      <c r="D45" t="inlineStr">
        <is>
          <t>gabeputra150@gmail.com</t>
        </is>
      </c>
      <c r="E45" t="inlineStr">
        <is>
          <t>https://lpjk.pu.go.id/search-badan-usaha-detail/MDlvWlVnQ0lXM1BlRGc4N09lMU40UT09</t>
        </is>
      </c>
      <c r="F45" t="n">
        <v>2</v>
      </c>
      <c r="G45" t="inlineStr">
        <is>
          <t>BG006, BG009</t>
        </is>
      </c>
      <c r="H45" t="inlineStr">
        <is>
          <t>22 Januari 2005</t>
        </is>
      </c>
      <c r="I45" s="2" t="n">
        <v>46242</v>
      </c>
      <c r="J45" t="inlineStr">
        <is>
          <t>Disetujui</t>
        </is>
      </c>
      <c r="K45" t="n">
        <v>60</v>
      </c>
      <c r="L45" t="inlineStr">
        <is>
          <t>8 Agustus 2026</t>
        </is>
      </c>
      <c r="M45" t="inlineStr">
        <is>
          <t>Konstruksi Gedung Lainnya, Konstruksi Gedung Pendidikan</t>
        </is>
      </c>
      <c r="N45" t="inlineStr">
        <is>
          <t>K</t>
        </is>
      </c>
      <c r="O45" t="inlineStr">
        <is>
          <t>20230725, 20230808</t>
        </is>
      </c>
      <c r="P45" t="inlineStr">
        <is>
          <t>Sumatera Utara</t>
        </is>
      </c>
      <c r="Q45" t="inlineStr"/>
    </row>
    <row r="46">
      <c r="A46" t="inlineStr">
        <is>
          <t>GATRA PERKASA</t>
        </is>
      </c>
      <c r="B46" t="inlineStr">
        <is>
          <t>Kota Magelang</t>
        </is>
      </c>
      <c r="C46" t="inlineStr">
        <is>
          <t>08156865690</t>
        </is>
      </c>
      <c r="D46" t="inlineStr">
        <is>
          <t>gatraperkasa32@gmail.com</t>
        </is>
      </c>
      <c r="E46" t="inlineStr">
        <is>
          <t>https://lpjk.pu.go.id/search-badan-usaha-detail/cUxFaE9ZcFBjVlA2b1k5bWtRRDNWZz09</t>
        </is>
      </c>
      <c r="F46" t="n">
        <v>6</v>
      </c>
      <c r="G46" t="inlineStr">
        <is>
          <t>BG001, BG002, BG005, BG006, BG009, BS001</t>
        </is>
      </c>
      <c r="H46" t="inlineStr">
        <is>
          <t>26 Februari 2008</t>
        </is>
      </c>
      <c r="I46" s="2" t="n">
        <v>46242</v>
      </c>
      <c r="J46" t="inlineStr">
        <is>
          <t>Disetujui</t>
        </is>
      </c>
      <c r="K46" t="n">
        <v>60</v>
      </c>
      <c r="L46" t="inlineStr">
        <is>
          <t>8 Agustus 2026</t>
        </is>
      </c>
      <c r="M46" t="inlineStr">
        <is>
          <t>Konstruksi Bangunan Sipil Jalan, Konstruksi Gedung Hunian, Konstruksi Gedung Kesehatan, Konstruksi Gedung Lainnya, Konstruksi Gedung Pendidikan, Konstruksi Gedung Perkantoran</t>
        </is>
      </c>
      <c r="N46" t="inlineStr">
        <is>
          <t>K</t>
        </is>
      </c>
      <c r="O46" t="inlineStr">
        <is>
          <t>20230803, 20230804, 20230806</t>
        </is>
      </c>
      <c r="P46" t="inlineStr">
        <is>
          <t>Jawa Tengah</t>
        </is>
      </c>
      <c r="Q46" t="inlineStr"/>
    </row>
    <row r="47">
      <c r="A47" t="inlineStr">
        <is>
          <t>GEMAH RIPAH</t>
        </is>
      </c>
      <c r="B47" t="inlineStr">
        <is>
          <t>Kab. Ponorogo</t>
        </is>
      </c>
      <c r="C47" t="inlineStr">
        <is>
          <t>0352 4884 80__</t>
        </is>
      </c>
      <c r="D47" t="inlineStr">
        <is>
          <t>gemahripah_pon@yahoo.com</t>
        </is>
      </c>
      <c r="E47" t="inlineStr">
        <is>
          <t>https://lpjk.pu.go.id/search-badan-usaha-detail/ZFpsYkFWR1ZLYUZ0U1NNZ1JqV09LQT09</t>
        </is>
      </c>
      <c r="F47" t="n">
        <v>1</v>
      </c>
      <c r="G47" t="inlineStr">
        <is>
          <t>BG006</t>
        </is>
      </c>
      <c r="H47" t="inlineStr">
        <is>
          <t>21 April 2011</t>
        </is>
      </c>
      <c r="I47" s="2" t="n">
        <v>46242</v>
      </c>
      <c r="J47" t="inlineStr">
        <is>
          <t>Disetujui</t>
        </is>
      </c>
      <c r="K47" t="n">
        <v>60</v>
      </c>
      <c r="L47" t="inlineStr">
        <is>
          <t>8 Agustus 2026</t>
        </is>
      </c>
      <c r="M47" t="inlineStr">
        <is>
          <t>Konstruksi Gedung Pendidikan</t>
        </is>
      </c>
      <c r="N47" t="inlineStr">
        <is>
          <t>K</t>
        </is>
      </c>
      <c r="O47" t="inlineStr">
        <is>
          <t>20230804</t>
        </is>
      </c>
      <c r="P47" t="inlineStr">
        <is>
          <t>Jawa Timur</t>
        </is>
      </c>
      <c r="Q47" t="inlineStr"/>
    </row>
    <row r="48">
      <c r="A48" t="inlineStr">
        <is>
          <t>GERBANG DUABELAS</t>
        </is>
      </c>
      <c r="B48" t="inlineStr">
        <is>
          <t>Kab. Kubu Raya</t>
        </is>
      </c>
      <c r="C48" t="inlineStr">
        <is>
          <t>089654068220</t>
        </is>
      </c>
      <c r="D48" t="inlineStr">
        <is>
          <t>gerbang.duabelas@gmail.com</t>
        </is>
      </c>
      <c r="E48" t="inlineStr">
        <is>
          <t>https://lpjk.pu.go.id/search-badan-usaha-detail/MUhXSGw4U2xrMEcrWjZEUGl1U1VqUT09</t>
        </is>
      </c>
      <c r="F48" t="n">
        <v>1</v>
      </c>
      <c r="G48" t="inlineStr">
        <is>
          <t>BG001</t>
        </is>
      </c>
      <c r="H48" t="inlineStr">
        <is>
          <t>18 November 2013</t>
        </is>
      </c>
      <c r="I48" s="2" t="n">
        <v>46242</v>
      </c>
      <c r="J48" t="inlineStr">
        <is>
          <t>Disetujui</t>
        </is>
      </c>
      <c r="K48" t="n">
        <v>60</v>
      </c>
      <c r="L48" t="inlineStr">
        <is>
          <t>8 Agustus 2026</t>
        </is>
      </c>
      <c r="M48" t="inlineStr">
        <is>
          <t>Konstruksi Gedung Hunian</t>
        </is>
      </c>
      <c r="N48" t="inlineStr">
        <is>
          <t>K</t>
        </is>
      </c>
      <c r="O48" t="inlineStr">
        <is>
          <t>20230804</t>
        </is>
      </c>
      <c r="P48" t="inlineStr">
        <is>
          <t>Kalimantan Barat</t>
        </is>
      </c>
      <c r="Q48" t="inlineStr"/>
    </row>
    <row r="49">
      <c r="A49" t="inlineStr">
        <is>
          <t>GERBANG ISTANA NUSANTARA</t>
        </is>
      </c>
      <c r="B49" t="inlineStr">
        <is>
          <t>Kota Medan</t>
        </is>
      </c>
      <c r="C49" t="inlineStr">
        <is>
          <t>085765005180</t>
        </is>
      </c>
      <c r="D49" t="inlineStr">
        <is>
          <t>cv.gerbangistananusantara@yahoo.com</t>
        </is>
      </c>
      <c r="E49" t="inlineStr">
        <is>
          <t>https://lpjk.pu.go.id/search-badan-usaha-detail/dldiZDN4V2JqcWY3dE5ZKzZ4bE42Zz09</t>
        </is>
      </c>
      <c r="F49" t="n">
        <v>4</v>
      </c>
      <c r="G49" t="inlineStr">
        <is>
          <t>BG001, BG002, BG006, BG009</t>
        </is>
      </c>
      <c r="H49" t="inlineStr">
        <is>
          <t>19 Juli 2022</t>
        </is>
      </c>
      <c r="I49" s="2" t="n">
        <v>46242</v>
      </c>
      <c r="J49" t="inlineStr">
        <is>
          <t>Disetujui</t>
        </is>
      </c>
      <c r="K49" t="n">
        <v>60</v>
      </c>
      <c r="L49" t="inlineStr">
        <is>
          <t>8 Agustus 2026</t>
        </is>
      </c>
      <c r="M49" t="inlineStr">
        <is>
          <t>Konstruksi Gedung Hunian, Konstruksi Gedung Lainnya, Konstruksi Gedung Pendidikan, Konstruksi Gedung Perkantoran</t>
        </is>
      </c>
      <c r="N49" t="inlineStr">
        <is>
          <t>K</t>
        </is>
      </c>
      <c r="O49" t="inlineStr">
        <is>
          <t>20230803, 20230804</t>
        </is>
      </c>
      <c r="P49" t="inlineStr">
        <is>
          <t>Sumatera Utara</t>
        </is>
      </c>
      <c r="Q49" t="inlineStr"/>
    </row>
    <row r="50">
      <c r="A50" t="inlineStr">
        <is>
          <t>GINA JAYA MANDIRI</t>
        </is>
      </c>
      <c r="B50" t="inlineStr">
        <is>
          <t>Kab. Cianjur</t>
        </is>
      </c>
      <c r="C50" t="inlineStr">
        <is>
          <t>085694222265</t>
        </is>
      </c>
      <c r="D50" t="inlineStr">
        <is>
          <t>oss.akun002@gmail.com</t>
        </is>
      </c>
      <c r="E50" t="inlineStr">
        <is>
          <t>https://lpjk.pu.go.id/search-badan-usaha-detail/V2FHRUI5aE1oUEZQMDF0OXoyWmpQZz09</t>
        </is>
      </c>
      <c r="F50" t="n">
        <v>2</v>
      </c>
      <c r="G50" t="inlineStr">
        <is>
          <t>BS001, BS004</t>
        </is>
      </c>
      <c r="H50" t="inlineStr">
        <is>
          <t>15 Mei 2001</t>
        </is>
      </c>
      <c r="I50" s="2" t="n">
        <v>46242</v>
      </c>
      <c r="J50" t="inlineStr">
        <is>
          <t>Disetujui</t>
        </is>
      </c>
      <c r="K50" t="n">
        <v>60</v>
      </c>
      <c r="L50" t="inlineStr">
        <is>
          <t>8 Agustus 2026</t>
        </is>
      </c>
      <c r="M50" t="inlineStr">
        <is>
          <t>Konstruksi Bangunan Sipil Jalan, Konstruksi Jaringan Irigasi dan Drainase</t>
        </is>
      </c>
      <c r="N50" t="inlineStr">
        <is>
          <t>K</t>
        </is>
      </c>
      <c r="O50" t="inlineStr">
        <is>
          <t>20230411, 20230804</t>
        </is>
      </c>
      <c r="P50" t="inlineStr">
        <is>
          <t>Jawa Barat</t>
        </is>
      </c>
      <c r="Q50" t="inlineStr"/>
    </row>
    <row r="51">
      <c r="A51" t="inlineStr">
        <is>
          <t>HAMASAT PRIMA</t>
        </is>
      </c>
      <c r="B51" t="inlineStr">
        <is>
          <t>Kab. Karawang</t>
        </is>
      </c>
      <c r="C51" t="inlineStr">
        <is>
          <t>-</t>
        </is>
      </c>
      <c r="D51" t="inlineStr">
        <is>
          <t>hamasatprima@gmail.com</t>
        </is>
      </c>
      <c r="E51" t="inlineStr">
        <is>
          <t>https://lpjk.pu.go.id/search-badan-usaha-detail/Z09PTDV5dWxYL1FlamhPSjRiVEsxZz09</t>
        </is>
      </c>
      <c r="F51" t="n">
        <v>1</v>
      </c>
      <c r="G51" t="inlineStr">
        <is>
          <t>BS001</t>
        </is>
      </c>
      <c r="H51" t="inlineStr">
        <is>
          <t>23 Desember 2009</t>
        </is>
      </c>
      <c r="I51" s="2" t="n">
        <v>46242</v>
      </c>
      <c r="J51" t="inlineStr">
        <is>
          <t>Disetujui</t>
        </is>
      </c>
      <c r="K51" t="n">
        <v>60</v>
      </c>
      <c r="L51" t="inlineStr">
        <is>
          <t>8 Agustus 2026</t>
        </is>
      </c>
      <c r="M51" t="inlineStr">
        <is>
          <t>Konstruksi Bangunan Sipil Jalan</t>
        </is>
      </c>
      <c r="N51" t="inlineStr">
        <is>
          <t>K</t>
        </is>
      </c>
      <c r="O51" t="inlineStr">
        <is>
          <t>20230804</t>
        </is>
      </c>
      <c r="P51" t="inlineStr">
        <is>
          <t>Jawa Barat</t>
        </is>
      </c>
      <c r="Q51" t="inlineStr"/>
    </row>
    <row r="52">
      <c r="A52" t="inlineStr">
        <is>
          <t>HARIS TONAPA GROUP</t>
        </is>
      </c>
      <c r="B52" t="inlineStr">
        <is>
          <t>Kab. Kutai Timur</t>
        </is>
      </c>
      <c r="C52" t="inlineStr">
        <is>
          <t>082243639739</t>
        </is>
      </c>
      <c r="D52" t="inlineStr">
        <is>
          <t>cv.haristonapagroup@gmail.com</t>
        </is>
      </c>
      <c r="E52" t="inlineStr">
        <is>
          <t>https://lpjk.pu.go.id/search-badan-usaha-detail/OHpLWWtZL1dDakxHcFBUQjUrNHVuZz09</t>
        </is>
      </c>
      <c r="F52" t="n">
        <v>2</v>
      </c>
      <c r="G52" t="inlineStr">
        <is>
          <t>BS001</t>
        </is>
      </c>
      <c r="H52" t="inlineStr">
        <is>
          <t>3 Februari 2025</t>
        </is>
      </c>
      <c r="I52" s="2" t="n">
        <v>46242</v>
      </c>
      <c r="J52" t="inlineStr">
        <is>
          <t>Disetujui</t>
        </is>
      </c>
      <c r="K52" t="n">
        <v>60</v>
      </c>
      <c r="L52" t="inlineStr">
        <is>
          <t>8 Agustus 2026</t>
        </is>
      </c>
      <c r="M52" t="inlineStr">
        <is>
          <t>Konstruksi Bangunan Sipil Jalan</t>
        </is>
      </c>
      <c r="N52" t="inlineStr">
        <is>
          <t>K</t>
        </is>
      </c>
      <c r="O52" t="inlineStr">
        <is>
          <t>20230801</t>
        </is>
      </c>
      <c r="P52" t="inlineStr">
        <is>
          <t>Kalimantan Timur</t>
        </is>
      </c>
      <c r="Q52" t="inlineStr"/>
    </row>
    <row r="53">
      <c r="A53" t="inlineStr">
        <is>
          <t>HARMONI PERMAI</t>
        </is>
      </c>
      <c r="B53" t="inlineStr">
        <is>
          <t>Kab. Tapin</t>
        </is>
      </c>
      <c r="C53" t="inlineStr">
        <is>
          <t>082152480999</t>
        </is>
      </c>
      <c r="D53" t="inlineStr">
        <is>
          <t>cv.hp77@gmail.com</t>
        </is>
      </c>
      <c r="E53" t="inlineStr">
        <is>
          <t>https://lpjk.pu.go.id/search-badan-usaha-detail/WXhqamd3Szk0RDNLSUpQT2QwZ2J3UT09</t>
        </is>
      </c>
      <c r="F53" t="n">
        <v>4</v>
      </c>
      <c r="G53" t="inlineStr">
        <is>
          <t>BG006, BG009, BS001, BS010</t>
        </is>
      </c>
      <c r="H53" t="inlineStr">
        <is>
          <t>12 Januari 2010</t>
        </is>
      </c>
      <c r="I53" s="2" t="n">
        <v>46242</v>
      </c>
      <c r="J53" t="inlineStr">
        <is>
          <t>Disetujui</t>
        </is>
      </c>
      <c r="K53" t="n">
        <v>60</v>
      </c>
      <c r="L53" t="inlineStr">
        <is>
          <t>8 Agustus 2026</t>
        </is>
      </c>
      <c r="M53" t="inlineStr">
        <is>
          <t>Konstruksi Bangunan Prasarana Sumber Daya Air, Konstruksi Bangunan Sipil Jalan, Konstruksi Gedung Lainnya, Konstruksi Gedung Pendidikan</t>
        </is>
      </c>
      <c r="N53" t="inlineStr">
        <is>
          <t>K</t>
        </is>
      </c>
      <c r="O53" t="inlineStr">
        <is>
          <t>20230806</t>
        </is>
      </c>
      <c r="P53" t="inlineStr">
        <is>
          <t>Kalimantan Selatan</t>
        </is>
      </c>
      <c r="Q53" t="inlineStr"/>
    </row>
    <row r="54">
      <c r="A54" t="inlineStr">
        <is>
          <t>HASEA KARYA</t>
        </is>
      </c>
      <c r="B54" t="inlineStr">
        <is>
          <t>Kota Pontianak</t>
        </is>
      </c>
      <c r="C54" t="inlineStr">
        <is>
          <t>085247139253</t>
        </is>
      </c>
      <c r="D54" t="inlineStr">
        <is>
          <t>haseakarya@gmail.com</t>
        </is>
      </c>
      <c r="E54" t="inlineStr">
        <is>
          <t>https://lpjk.pu.go.id/search-badan-usaha-detail/bDRHZTFuYTk1MGc5clgrQUIrNDE5dz09</t>
        </is>
      </c>
      <c r="F54" t="n">
        <v>1</v>
      </c>
      <c r="G54" t="inlineStr">
        <is>
          <t>BS004</t>
        </is>
      </c>
      <c r="H54" t="inlineStr">
        <is>
          <t>16 Mei 2019</t>
        </is>
      </c>
      <c r="I54" s="2" t="n">
        <v>46242</v>
      </c>
      <c r="J54" t="inlineStr">
        <is>
          <t>Disetujui</t>
        </is>
      </c>
      <c r="K54" t="n">
        <v>60</v>
      </c>
      <c r="L54" t="inlineStr">
        <is>
          <t>8 Agustus 2026</t>
        </is>
      </c>
      <c r="M54" t="inlineStr">
        <is>
          <t>Konstruksi Jaringan Irigasi dan Drainase</t>
        </is>
      </c>
      <c r="N54" t="inlineStr">
        <is>
          <t>K</t>
        </is>
      </c>
      <c r="O54" t="inlineStr">
        <is>
          <t>20230808</t>
        </is>
      </c>
      <c r="P54" t="inlineStr">
        <is>
          <t>Kalimantan Barat</t>
        </is>
      </c>
      <c r="Q54" t="inlineStr"/>
    </row>
    <row r="55">
      <c r="A55" t="inlineStr">
        <is>
          <t>HASTA KENCANA</t>
        </is>
      </c>
      <c r="B55" t="inlineStr">
        <is>
          <t>Kab. Jepara</t>
        </is>
      </c>
      <c r="C55" t="inlineStr">
        <is>
          <t>085325856188</t>
        </is>
      </c>
      <c r="D55" t="inlineStr">
        <is>
          <t>hasta.kencana4@gmail.com</t>
        </is>
      </c>
      <c r="E55" t="inlineStr">
        <is>
          <t>https://lpjk.pu.go.id/search-badan-usaha-detail/d1RiTGhiUnhkSHZjVHg4ZWdPNFZGdz09</t>
        </is>
      </c>
      <c r="F55" t="n">
        <v>1</v>
      </c>
      <c r="G55" t="inlineStr">
        <is>
          <t>BG009</t>
        </is>
      </c>
      <c r="H55" t="inlineStr">
        <is>
          <t>9 Januari 2017</t>
        </is>
      </c>
      <c r="I55" s="2" t="n">
        <v>46242</v>
      </c>
      <c r="J55" t="inlineStr">
        <is>
          <t>Disetujui</t>
        </is>
      </c>
      <c r="K55" t="n">
        <v>60</v>
      </c>
      <c r="L55" t="inlineStr">
        <is>
          <t>8 Agustus 2026</t>
        </is>
      </c>
      <c r="M55" t="inlineStr">
        <is>
          <t>Konstruksi Gedung Lainnya</t>
        </is>
      </c>
      <c r="N55" t="inlineStr">
        <is>
          <t>K</t>
        </is>
      </c>
      <c r="O55" t="inlineStr">
        <is>
          <t>20230802</t>
        </is>
      </c>
      <c r="P55" t="inlineStr">
        <is>
          <t>Jawa Tengah</t>
        </is>
      </c>
      <c r="Q55" t="inlineStr"/>
    </row>
    <row r="56">
      <c r="A56" t="inlineStr">
        <is>
          <t>INDAH MUSTIKA</t>
        </is>
      </c>
      <c r="B56" t="inlineStr">
        <is>
          <t>Kota Malang</t>
        </is>
      </c>
      <c r="C56" t="inlineStr">
        <is>
          <t>085785889858</t>
        </is>
      </c>
      <c r="D56" t="inlineStr">
        <is>
          <t>indahpal7@gmail.com</t>
        </is>
      </c>
      <c r="E56" t="inlineStr">
        <is>
          <t>https://lpjk.pu.go.id/search-badan-usaha-detail/dGw1ZnJvS1ErZ1JxUkpuTmRhZWJYQT09</t>
        </is>
      </c>
      <c r="F56" t="n">
        <v>1</v>
      </c>
      <c r="G56" t="inlineStr">
        <is>
          <t>BG009</t>
        </is>
      </c>
      <c r="H56" t="inlineStr">
        <is>
          <t>6 Desember 1994</t>
        </is>
      </c>
      <c r="I56" s="2" t="n">
        <v>46242</v>
      </c>
      <c r="J56" t="inlineStr">
        <is>
          <t>Disetujui</t>
        </is>
      </c>
      <c r="K56" t="n">
        <v>60</v>
      </c>
      <c r="L56" t="inlineStr">
        <is>
          <t>8 Agustus 2026</t>
        </is>
      </c>
      <c r="M56" t="inlineStr">
        <is>
          <t>Konstruksi Gedung Lainnya</t>
        </is>
      </c>
      <c r="N56" t="inlineStr">
        <is>
          <t>K</t>
        </is>
      </c>
      <c r="O56" t="inlineStr">
        <is>
          <t>20230706</t>
        </is>
      </c>
      <c r="P56" t="inlineStr">
        <is>
          <t>Jawa Timur</t>
        </is>
      </c>
      <c r="Q56" t="inlineStr"/>
    </row>
    <row r="57">
      <c r="A57" t="inlineStr">
        <is>
          <t>INDAH SUMBER REJEKI</t>
        </is>
      </c>
      <c r="B57" t="inlineStr">
        <is>
          <t>Kab. Konawe Utara</t>
        </is>
      </c>
      <c r="C57" t="inlineStr">
        <is>
          <t>082219999124</t>
        </is>
      </c>
      <c r="D57" t="inlineStr">
        <is>
          <t>cvindahsumberrejeki@gmail.com</t>
        </is>
      </c>
      <c r="E57" t="inlineStr">
        <is>
          <t>https://lpjk.pu.go.id/search-badan-usaha-detail/N01NUkJrRGFDSzJoUmQzUjlUM0ZtUT09</t>
        </is>
      </c>
      <c r="F57" t="n">
        <v>1</v>
      </c>
      <c r="G57" t="inlineStr">
        <is>
          <t>BG002</t>
        </is>
      </c>
      <c r="H57" t="inlineStr">
        <is>
          <t>11 Agustus 2022</t>
        </is>
      </c>
      <c r="I57" s="2" t="n">
        <v>46242</v>
      </c>
      <c r="J57" t="inlineStr">
        <is>
          <t>Disetujui</t>
        </is>
      </c>
      <c r="K57" t="n">
        <v>60</v>
      </c>
      <c r="L57" t="inlineStr">
        <is>
          <t>8 Agustus 2026</t>
        </is>
      </c>
      <c r="M57" t="inlineStr">
        <is>
          <t>Konstruksi Gedung Perkantoran</t>
        </is>
      </c>
      <c r="N57" t="inlineStr">
        <is>
          <t>K</t>
        </is>
      </c>
      <c r="O57" t="inlineStr">
        <is>
          <t>20230804</t>
        </is>
      </c>
      <c r="P57" t="inlineStr">
        <is>
          <t>Sulawesi Tenggara</t>
        </is>
      </c>
      <c r="Q57" t="inlineStr"/>
    </row>
    <row r="58">
      <c r="A58" t="inlineStr">
        <is>
          <t>INDRA MARIN SENTOSA</t>
        </is>
      </c>
      <c r="B58" t="inlineStr">
        <is>
          <t>Kab. Cilacap</t>
        </is>
      </c>
      <c r="C58" t="inlineStr">
        <is>
          <t>081326880689</t>
        </is>
      </c>
      <c r="D58" t="inlineStr">
        <is>
          <t>ims.marinsentosa19@gmail.com</t>
        </is>
      </c>
      <c r="E58" t="inlineStr">
        <is>
          <t>https://lpjk.pu.go.id/search-badan-usaha-detail/YVZUQ2cxU29qUDgrV0xzOG9vMnpkdz09</t>
        </is>
      </c>
      <c r="F58" t="n">
        <v>1</v>
      </c>
      <c r="G58" t="inlineStr">
        <is>
          <t>BG003</t>
        </is>
      </c>
      <c r="H58" t="inlineStr">
        <is>
          <t>9 April 2019</t>
        </is>
      </c>
      <c r="I58" s="2" t="n">
        <v>46242</v>
      </c>
      <c r="J58" t="inlineStr">
        <is>
          <t>Disetujui</t>
        </is>
      </c>
      <c r="K58" t="n">
        <v>60</v>
      </c>
      <c r="L58" t="inlineStr">
        <is>
          <t>8 Agustus 2026</t>
        </is>
      </c>
      <c r="M58" t="inlineStr">
        <is>
          <t>Konstruksi Gedung Industri</t>
        </is>
      </c>
      <c r="N58" t="inlineStr">
        <is>
          <t>K</t>
        </is>
      </c>
      <c r="O58" t="inlineStr">
        <is>
          <t>20230803</t>
        </is>
      </c>
      <c r="P58" t="inlineStr">
        <is>
          <t>Jawa Tengah</t>
        </is>
      </c>
      <c r="Q58" t="inlineStr"/>
    </row>
    <row r="59">
      <c r="A59" t="inlineStr">
        <is>
          <t>INTAN BANGUN PERSADA</t>
        </is>
      </c>
      <c r="B59" t="inlineStr">
        <is>
          <t>Kota Jambi</t>
        </is>
      </c>
      <c r="C59" t="inlineStr">
        <is>
          <t>082180404484</t>
        </is>
      </c>
      <c r="D59" t="inlineStr">
        <is>
          <t>sabarsiagian2@gmail.com</t>
        </is>
      </c>
      <c r="E59" t="inlineStr">
        <is>
          <t>https://lpjk.pu.go.id/search-badan-usaha-detail/c29KNkx3VXBJQjQ5OGdacXlKb0g2dz09</t>
        </is>
      </c>
      <c r="F59" t="n">
        <v>2</v>
      </c>
      <c r="G59" t="inlineStr">
        <is>
          <t>BS001, BS002</t>
        </is>
      </c>
      <c r="H59" t="inlineStr">
        <is>
          <t>28 September 2015</t>
        </is>
      </c>
      <c r="I59" s="2" t="n">
        <v>46242</v>
      </c>
      <c r="J59" t="inlineStr">
        <is>
          <t>Disetujui</t>
        </is>
      </c>
      <c r="K59" t="n">
        <v>60</v>
      </c>
      <c r="L59" t="inlineStr">
        <is>
          <t>8 Agustus 2026</t>
        </is>
      </c>
      <c r="M59" t="inlineStr">
        <is>
          <t>Bangunan Sipil Jembatan, Jalan Layang, Fly Over, dan Underpass, Konstruksi Bangunan Sipil Jalan</t>
        </is>
      </c>
      <c r="N59" t="inlineStr">
        <is>
          <t>K</t>
        </is>
      </c>
      <c r="O59" t="inlineStr">
        <is>
          <t>20230808</t>
        </is>
      </c>
      <c r="P59" t="inlineStr">
        <is>
          <t>Jambi</t>
        </is>
      </c>
      <c r="Q59" t="inlineStr"/>
    </row>
    <row r="60">
      <c r="A60" t="inlineStr">
        <is>
          <t>INTAN PRISMA</t>
        </is>
      </c>
      <c r="B60" t="inlineStr">
        <is>
          <t>Kab. Merauke</t>
        </is>
      </c>
      <c r="C60" t="inlineStr">
        <is>
          <t>082239028075</t>
        </is>
      </c>
      <c r="D60" t="inlineStr">
        <is>
          <t>intanprisma90@gmail.com</t>
        </is>
      </c>
      <c r="E60" t="inlineStr">
        <is>
          <t>https://lpjk.pu.go.id/search-badan-usaha-detail/dVVlN2srM241MC9ad1RVWGlCOE1IQT09</t>
        </is>
      </c>
      <c r="F60" t="n">
        <v>1</v>
      </c>
      <c r="G60" t="inlineStr">
        <is>
          <t>BG005</t>
        </is>
      </c>
      <c r="H60" t="inlineStr">
        <is>
          <t>27 Februari 1992</t>
        </is>
      </c>
      <c r="I60" s="2" t="n">
        <v>46242</v>
      </c>
      <c r="J60" t="inlineStr">
        <is>
          <t>Disetujui</t>
        </is>
      </c>
      <c r="K60" t="n">
        <v>60</v>
      </c>
      <c r="L60" t="inlineStr">
        <is>
          <t>8 Agustus 2026</t>
        </is>
      </c>
      <c r="M60" t="inlineStr">
        <is>
          <t>Konstruksi Gedung Kesehatan</t>
        </is>
      </c>
      <c r="N60" t="inlineStr">
        <is>
          <t>K</t>
        </is>
      </c>
      <c r="O60" t="inlineStr">
        <is>
          <t>20230802</t>
        </is>
      </c>
      <c r="P60" t="inlineStr">
        <is>
          <t>Papua Selatan</t>
        </is>
      </c>
      <c r="Q60" t="inlineStr"/>
    </row>
    <row r="61">
      <c r="A61" t="inlineStr">
        <is>
          <t>KAIROS SEVEN SUMMIT</t>
        </is>
      </c>
      <c r="B61" t="inlineStr">
        <is>
          <t>Kab. Karawang</t>
        </is>
      </c>
      <c r="C61" t="inlineStr">
        <is>
          <t>081219775925</t>
        </is>
      </c>
      <c r="D61" t="inlineStr">
        <is>
          <t>kairos7summit@gmail.com</t>
        </is>
      </c>
      <c r="E61" t="inlineStr">
        <is>
          <t>https://lpjk.pu.go.id/search-badan-usaha-detail/b0lTazZUZzlGN3Y5SnlkNHZ3Y1ZNZz09</t>
        </is>
      </c>
      <c r="F61" t="n">
        <v>1</v>
      </c>
      <c r="G61" t="inlineStr">
        <is>
          <t>BS001</t>
        </is>
      </c>
      <c r="H61" t="inlineStr">
        <is>
          <t>29 Mei 2023</t>
        </is>
      </c>
      <c r="I61" s="2" t="n">
        <v>46242</v>
      </c>
      <c r="J61" t="inlineStr">
        <is>
          <t>Disetujui</t>
        </is>
      </c>
      <c r="K61" t="n">
        <v>60</v>
      </c>
      <c r="L61" t="inlineStr">
        <is>
          <t>8 Agustus 2026</t>
        </is>
      </c>
      <c r="M61" t="inlineStr">
        <is>
          <t>Konstruksi Bangunan Sipil Jalan</t>
        </is>
      </c>
      <c r="N61" t="inlineStr">
        <is>
          <t>K</t>
        </is>
      </c>
      <c r="O61" t="inlineStr">
        <is>
          <t>20230727</t>
        </is>
      </c>
      <c r="P61" t="inlineStr">
        <is>
          <t>Jawa Barat</t>
        </is>
      </c>
      <c r="Q61" t="inlineStr"/>
    </row>
    <row r="62">
      <c r="A62" t="inlineStr">
        <is>
          <t>KARYA AGUNG</t>
        </is>
      </c>
      <c r="B62" t="inlineStr">
        <is>
          <t>Kab. Tuban</t>
        </is>
      </c>
      <c r="C62" t="inlineStr">
        <is>
          <t>082336684385</t>
        </is>
      </c>
      <c r="D62" t="inlineStr">
        <is>
          <t>cv.karyaagung_66@yahoo.com</t>
        </is>
      </c>
      <c r="E62" t="inlineStr">
        <is>
          <t>https://lpjk.pu.go.id/search-badan-usaha-detail/amlVTG1wWUk5S3dUejh2QnBmR3Z6dz09</t>
        </is>
      </c>
      <c r="F62" t="n">
        <v>1</v>
      </c>
      <c r="G62" t="inlineStr">
        <is>
          <t>BS001</t>
        </is>
      </c>
      <c r="H62" t="inlineStr">
        <is>
          <t>17 Desember 1985</t>
        </is>
      </c>
      <c r="I62" s="2" t="n">
        <v>46242</v>
      </c>
      <c r="J62" t="inlineStr">
        <is>
          <t>Disetujui</t>
        </is>
      </c>
      <c r="K62" t="n">
        <v>60</v>
      </c>
      <c r="L62" t="inlineStr">
        <is>
          <t>8 Agustus 2026</t>
        </is>
      </c>
      <c r="M62" t="inlineStr">
        <is>
          <t>Konstruksi Bangunan Sipil Jalan</t>
        </is>
      </c>
      <c r="N62" t="inlineStr">
        <is>
          <t>K</t>
        </is>
      </c>
      <c r="O62" t="inlineStr">
        <is>
          <t>20230802</t>
        </is>
      </c>
      <c r="P62" t="inlineStr">
        <is>
          <t>Jawa Timur</t>
        </is>
      </c>
      <c r="Q62" t="inlineStr"/>
    </row>
    <row r="63">
      <c r="A63" t="inlineStr">
        <is>
          <t>KARYA AGUNG BANYUWANGI</t>
        </is>
      </c>
      <c r="B63" t="inlineStr">
        <is>
          <t>Kab. Banyuwangi</t>
        </is>
      </c>
      <c r="C63" t="inlineStr">
        <is>
          <t>081285649200</t>
        </is>
      </c>
      <c r="D63" t="inlineStr">
        <is>
          <t>cvkaryaagungbanyuwangicv@gmail.com</t>
        </is>
      </c>
      <c r="E63" t="inlineStr">
        <is>
          <t>https://lpjk.pu.go.id/search-badan-usaha-detail/d3QzOE5KRGpia0hidXhNbFRqYjdQZz09</t>
        </is>
      </c>
      <c r="F63" t="n">
        <v>1</v>
      </c>
      <c r="G63" t="inlineStr">
        <is>
          <t>BS004</t>
        </is>
      </c>
      <c r="H63" t="inlineStr">
        <is>
          <t>24 Oktober 2022</t>
        </is>
      </c>
      <c r="I63" s="2" t="n">
        <v>46242</v>
      </c>
      <c r="J63" t="inlineStr">
        <is>
          <t>Disetujui</t>
        </is>
      </c>
      <c r="K63" t="n">
        <v>60</v>
      </c>
      <c r="L63" t="inlineStr">
        <is>
          <t>8 Agustus 2026</t>
        </is>
      </c>
      <c r="M63" t="inlineStr">
        <is>
          <t>Konstruksi Jaringan Irigasi dan Drainase</t>
        </is>
      </c>
      <c r="N63" t="inlineStr">
        <is>
          <t>K</t>
        </is>
      </c>
      <c r="O63" t="inlineStr">
        <is>
          <t>20230803</t>
        </is>
      </c>
      <c r="P63" t="inlineStr">
        <is>
          <t>Jawa Timur</t>
        </is>
      </c>
      <c r="Q63" t="inlineStr"/>
    </row>
    <row r="64">
      <c r="A64" t="inlineStr">
        <is>
          <t>KARYA AKBAR</t>
        </is>
      </c>
      <c r="B64" t="inlineStr">
        <is>
          <t>Kab. Bangka Tengah</t>
        </is>
      </c>
      <c r="C64" t="inlineStr">
        <is>
          <t>085279427356</t>
        </is>
      </c>
      <c r="D64" t="inlineStr">
        <is>
          <t>karyaakbar941@gmail.com</t>
        </is>
      </c>
      <c r="E64" t="inlineStr">
        <is>
          <t>https://lpjk.pu.go.id/search-badan-usaha-detail/SlhEK2VMU0JFMDk2Q3JiNkFyVFBvQT09</t>
        </is>
      </c>
      <c r="F64" t="n">
        <v>1</v>
      </c>
      <c r="G64" t="inlineStr">
        <is>
          <t>BG006</t>
        </is>
      </c>
      <c r="H64" t="inlineStr">
        <is>
          <t>29 Agustus 2005</t>
        </is>
      </c>
      <c r="I64" s="2" t="n">
        <v>46242</v>
      </c>
      <c r="J64" t="inlineStr">
        <is>
          <t>Pencabutan</t>
        </is>
      </c>
      <c r="K64" t="n">
        <v>60</v>
      </c>
      <c r="L64" t="inlineStr">
        <is>
          <t>8 Agustus 2026</t>
        </is>
      </c>
      <c r="M64" t="inlineStr">
        <is>
          <t>Konstruksi Gedung Pendidikan</t>
        </is>
      </c>
      <c r="N64" t="inlineStr">
        <is>
          <t>K</t>
        </is>
      </c>
      <c r="O64" t="inlineStr">
        <is>
          <t>20230807</t>
        </is>
      </c>
      <c r="P64" t="inlineStr">
        <is>
          <t>Kepulauan Bangka Belitung</t>
        </is>
      </c>
      <c r="Q64" t="inlineStr"/>
    </row>
    <row r="65">
      <c r="A65" t="inlineStr">
        <is>
          <t>KARYA GRIYA PERDANA</t>
        </is>
      </c>
      <c r="B65" t="inlineStr">
        <is>
          <t>Kota Serang</t>
        </is>
      </c>
      <c r="C65" t="inlineStr">
        <is>
          <t>081807005432</t>
        </is>
      </c>
      <c r="D65" t="inlineStr">
        <is>
          <t>karyagriyaperdana@gmail.com</t>
        </is>
      </c>
      <c r="E65" t="inlineStr">
        <is>
          <t>https://lpjk.pu.go.id/search-badan-usaha-detail/WCtZUDZtTGZueWlGUThpNk52VUxRQT09</t>
        </is>
      </c>
      <c r="F65" t="n">
        <v>1</v>
      </c>
      <c r="G65" t="inlineStr">
        <is>
          <t>BS001</t>
        </is>
      </c>
      <c r="H65" t="inlineStr">
        <is>
          <t>16 Juni 2023</t>
        </is>
      </c>
      <c r="I65" s="2" t="n">
        <v>46242</v>
      </c>
      <c r="J65" t="inlineStr">
        <is>
          <t>Disetujui</t>
        </is>
      </c>
      <c r="K65" t="n">
        <v>60</v>
      </c>
      <c r="L65" t="inlineStr">
        <is>
          <t>8 Agustus 2026</t>
        </is>
      </c>
      <c r="M65" t="inlineStr">
        <is>
          <t>Konstruksi Bangunan Sipil Jalan</t>
        </is>
      </c>
      <c r="N65" t="inlineStr">
        <is>
          <t>K</t>
        </is>
      </c>
      <c r="O65" t="inlineStr">
        <is>
          <t>20230802</t>
        </is>
      </c>
      <c r="P65" t="inlineStr">
        <is>
          <t>Banten</t>
        </is>
      </c>
      <c r="Q65" t="inlineStr"/>
    </row>
    <row r="66">
      <c r="A66" t="inlineStr">
        <is>
          <t>KARYA MAESTRO KONSULTAN</t>
        </is>
      </c>
      <c r="B66" t="inlineStr">
        <is>
          <t>Kab. Bengkalis</t>
        </is>
      </c>
      <c r="C66" t="inlineStr">
        <is>
          <t>085165286829</t>
        </is>
      </c>
      <c r="D66" t="inlineStr">
        <is>
          <t>karya_maestro@ymail.com</t>
        </is>
      </c>
      <c r="E66" t="inlineStr">
        <is>
          <t>https://lpjk.pu.go.id/search-badan-usaha-detail/djFCMFlRR2FQY2s4VmJtbTZacXBZUT09</t>
        </is>
      </c>
      <c r="F66" t="n">
        <v>1</v>
      </c>
      <c r="G66" t="inlineStr">
        <is>
          <t>RK001</t>
        </is>
      </c>
      <c r="H66" t="inlineStr">
        <is>
          <t>28 September 2001</t>
        </is>
      </c>
      <c r="I66" s="2" t="n">
        <v>46242</v>
      </c>
      <c r="J66" t="inlineStr">
        <is>
          <t>Disetujui</t>
        </is>
      </c>
      <c r="K66" t="n">
        <v>60</v>
      </c>
      <c r="L66" t="inlineStr">
        <is>
          <t>8 Agustus 2026</t>
        </is>
      </c>
      <c r="M66" t="inlineStr">
        <is>
          <t>Jasa Rekayasa Konstruksi Bangunan Gedung Hunian dan Non Hunian</t>
        </is>
      </c>
      <c r="N66" t="inlineStr">
        <is>
          <t>K</t>
        </is>
      </c>
      <c r="O66" t="inlineStr">
        <is>
          <t>20230726</t>
        </is>
      </c>
      <c r="P66" t="inlineStr">
        <is>
          <t>Riau</t>
        </is>
      </c>
      <c r="Q66" t="inlineStr"/>
    </row>
    <row r="67">
      <c r="A67" t="inlineStr">
        <is>
          <t>KARYA PUTRA BAHARI</t>
        </is>
      </c>
      <c r="B67" t="inlineStr">
        <is>
          <t>Kab. Belitung</t>
        </is>
      </c>
      <c r="C67" t="inlineStr">
        <is>
          <t>083157926630</t>
        </is>
      </c>
      <c r="D67" t="inlineStr">
        <is>
          <t>kputrabah@gmail.com</t>
        </is>
      </c>
      <c r="E67" t="inlineStr">
        <is>
          <t>https://lpjk.pu.go.id/search-badan-usaha-detail/OS9uNDdiZkQ3cGM5SFBSWWJORlVYdz09</t>
        </is>
      </c>
      <c r="F67" t="n">
        <v>1</v>
      </c>
      <c r="G67" t="inlineStr">
        <is>
          <t>BS004</t>
        </is>
      </c>
      <c r="H67" t="inlineStr">
        <is>
          <t>29 Desember 2020</t>
        </is>
      </c>
      <c r="I67" s="2" t="n">
        <v>46242</v>
      </c>
      <c r="J67" t="inlineStr">
        <is>
          <t>Disetujui</t>
        </is>
      </c>
      <c r="K67" t="n">
        <v>60</v>
      </c>
      <c r="L67" t="inlineStr">
        <is>
          <t>8 Agustus 2026</t>
        </is>
      </c>
      <c r="M67" t="inlineStr">
        <is>
          <t>Konstruksi Jaringan Irigasi dan Drainase</t>
        </is>
      </c>
      <c r="N67" t="inlineStr">
        <is>
          <t>K</t>
        </is>
      </c>
      <c r="O67" t="inlineStr">
        <is>
          <t>20230731</t>
        </is>
      </c>
      <c r="P67" t="inlineStr">
        <is>
          <t>Kepulauan Bangka Belitung</t>
        </is>
      </c>
      <c r="Q67" t="inlineStr"/>
    </row>
    <row r="68">
      <c r="A68" t="inlineStr">
        <is>
          <t>KARYA PUTRA BUNGSU</t>
        </is>
      </c>
      <c r="B68" t="inlineStr">
        <is>
          <t>Kota Jambi</t>
        </is>
      </c>
      <c r="C68" t="inlineStr">
        <is>
          <t>082183101400</t>
        </is>
      </c>
      <c r="D68" t="inlineStr">
        <is>
          <t>karyaputrabungsu007@gmail.com</t>
        </is>
      </c>
      <c r="E68" t="inlineStr">
        <is>
          <t>https://lpjk.pu.go.id/search-badan-usaha-detail/YS9qT1FSSWJqdkJnRjU3T3NOTTRhdz09</t>
        </is>
      </c>
      <c r="F68" t="n">
        <v>1</v>
      </c>
      <c r="G68" t="inlineStr">
        <is>
          <t>BG008</t>
        </is>
      </c>
      <c r="H68" t="inlineStr">
        <is>
          <t>9 September 2021</t>
        </is>
      </c>
      <c r="I68" s="2" t="n">
        <v>46242</v>
      </c>
      <c r="J68" t="inlineStr">
        <is>
          <t>Disetujui</t>
        </is>
      </c>
      <c r="K68" t="n">
        <v>60</v>
      </c>
      <c r="L68" t="inlineStr">
        <is>
          <t>8 Agustus 2026</t>
        </is>
      </c>
      <c r="M68" t="inlineStr">
        <is>
          <t>Konstruksi Gedung Tempat Hiburan dan Olahraga</t>
        </is>
      </c>
      <c r="N68" t="inlineStr">
        <is>
          <t>K</t>
        </is>
      </c>
      <c r="O68" t="inlineStr">
        <is>
          <t>20230807</t>
        </is>
      </c>
      <c r="P68" t="inlineStr">
        <is>
          <t>Jambi</t>
        </is>
      </c>
      <c r="Q68" t="inlineStr"/>
    </row>
    <row r="69">
      <c r="A69" t="inlineStr">
        <is>
          <t>KARYA PUTRA SADU</t>
        </is>
      </c>
      <c r="B69" t="inlineStr">
        <is>
          <t>Kota Jambi</t>
        </is>
      </c>
      <c r="C69" t="inlineStr">
        <is>
          <t>87746584223</t>
        </is>
      </c>
      <c r="D69" t="inlineStr">
        <is>
          <t>karyaputrasadu@gmail.com</t>
        </is>
      </c>
      <c r="E69" t="inlineStr">
        <is>
          <t>https://lpjk.pu.go.id/search-badan-usaha-detail/L2pxZnVoZVVZYnUrVTRweE0xT2JVZz09</t>
        </is>
      </c>
      <c r="F69" t="n">
        <v>1</v>
      </c>
      <c r="G69" t="inlineStr">
        <is>
          <t>BS001</t>
        </is>
      </c>
      <c r="H69" t="inlineStr">
        <is>
          <t>9 Juni 2023</t>
        </is>
      </c>
      <c r="I69" s="2" t="n">
        <v>46242</v>
      </c>
      <c r="J69" t="inlineStr">
        <is>
          <t>Disetujui</t>
        </is>
      </c>
      <c r="K69" t="n">
        <v>60</v>
      </c>
      <c r="L69" t="inlineStr">
        <is>
          <t>8 Agustus 2026</t>
        </is>
      </c>
      <c r="M69" t="inlineStr">
        <is>
          <t>Konstruksi Bangunan Sipil Jalan</t>
        </is>
      </c>
      <c r="N69" t="inlineStr">
        <is>
          <t>K</t>
        </is>
      </c>
      <c r="O69" t="inlineStr">
        <is>
          <t>20230807</t>
        </is>
      </c>
      <c r="P69" t="inlineStr">
        <is>
          <t>Jambi</t>
        </is>
      </c>
      <c r="Q69" t="inlineStr"/>
    </row>
    <row r="70">
      <c r="A70" t="inlineStr">
        <is>
          <t>KING ARLIE KONTRAKTOR</t>
        </is>
      </c>
      <c r="B70" t="inlineStr">
        <is>
          <t>Kab. Bandung Barat</t>
        </is>
      </c>
      <c r="C70" t="inlineStr">
        <is>
          <t>082123302869</t>
        </is>
      </c>
      <c r="D70" t="inlineStr">
        <is>
          <t>kingarliekontraktor@gmail.com</t>
        </is>
      </c>
      <c r="E70" t="inlineStr">
        <is>
          <t>https://lpjk.pu.go.id/search-badan-usaha-detail/c09XS0p0Wlg2clcrcS9wODBXb29pdz09</t>
        </is>
      </c>
      <c r="F70" t="n">
        <v>1</v>
      </c>
      <c r="G70" t="inlineStr">
        <is>
          <t>BG005</t>
        </is>
      </c>
      <c r="H70" t="inlineStr">
        <is>
          <t>7 September 2021</t>
        </is>
      </c>
      <c r="I70" s="2" t="n">
        <v>46242</v>
      </c>
      <c r="J70" t="inlineStr">
        <is>
          <t>Disetujui</t>
        </is>
      </c>
      <c r="K70" t="n">
        <v>60</v>
      </c>
      <c r="L70" t="inlineStr">
        <is>
          <t>8 Agustus 2026</t>
        </is>
      </c>
      <c r="M70" t="inlineStr">
        <is>
          <t>Konstruksi Gedung Kesehatan</t>
        </is>
      </c>
      <c r="N70" t="inlineStr">
        <is>
          <t>K</t>
        </is>
      </c>
      <c r="O70" t="inlineStr">
        <is>
          <t>20230807</t>
        </is>
      </c>
      <c r="P70" t="inlineStr">
        <is>
          <t>Jawa Barat</t>
        </is>
      </c>
      <c r="Q70" t="inlineStr"/>
    </row>
    <row r="71">
      <c r="A71" t="inlineStr">
        <is>
          <t>LINTANG MAKMUR</t>
        </is>
      </c>
      <c r="B71" t="inlineStr">
        <is>
          <t>Kab. Sidoarjo</t>
        </is>
      </c>
      <c r="C71" t="inlineStr">
        <is>
          <t>087852347575</t>
        </is>
      </c>
      <c r="D71" t="inlineStr">
        <is>
          <t>lintangmakmur@gmail.com</t>
        </is>
      </c>
      <c r="E71" t="inlineStr">
        <is>
          <t>https://lpjk.pu.go.id/search-badan-usaha-detail/OEZqWGxydS94YmVocWlaZmVpakUyQT09</t>
        </is>
      </c>
      <c r="F71" t="n">
        <v>12</v>
      </c>
      <c r="G71" t="inlineStr">
        <is>
          <t>BG001, BG002, BG004, BG005, BG006, BS004</t>
        </is>
      </c>
      <c r="H71" t="inlineStr">
        <is>
          <t>14 Juli 2014</t>
        </is>
      </c>
      <c r="I71" s="2" t="n">
        <v>46242</v>
      </c>
      <c r="J71" t="inlineStr">
        <is>
          <t>Disetujui, Pencabutan</t>
        </is>
      </c>
      <c r="K71" t="n">
        <v>60</v>
      </c>
      <c r="L71" t="inlineStr">
        <is>
          <t>8 Agustus 2026</t>
        </is>
      </c>
      <c r="M71" t="inlineStr">
        <is>
          <t>Konstruksi Gedung Hunian, Konstruksi Gedung Kesehatan, Konstruksi Gedung Pendidikan, Konstruksi Gedung Perbelanjaan, Konstruksi Gedung Perkantoran, Konstruksi Jaringan Irigasi dan Drainase</t>
        </is>
      </c>
      <c r="N71" t="inlineStr">
        <is>
          <t>K</t>
        </is>
      </c>
      <c r="O71" t="inlineStr">
        <is>
          <t>20230807</t>
        </is>
      </c>
      <c r="P71" t="inlineStr">
        <is>
          <t>Jawa Timur</t>
        </is>
      </c>
      <c r="Q71" t="inlineStr"/>
    </row>
    <row r="72">
      <c r="A72" t="inlineStr">
        <is>
          <t>MANDALA KARYA KENCANA</t>
        </is>
      </c>
      <c r="B72" t="inlineStr">
        <is>
          <t>Kab. Pidie</t>
        </is>
      </c>
      <c r="C72" t="inlineStr">
        <is>
          <t>081222110770</t>
        </is>
      </c>
      <c r="D72" t="inlineStr">
        <is>
          <t>pt.mandalakaryakencana@gmail.com</t>
        </is>
      </c>
      <c r="E72" t="inlineStr">
        <is>
          <t>https://lpjk.pu.go.id/search-badan-usaha-detail/MWZCbndBcEVJSCtMcmVLT3J2azZJUT09</t>
        </is>
      </c>
      <c r="F72" t="n">
        <v>2</v>
      </c>
      <c r="G72" t="inlineStr">
        <is>
          <t>BS001</t>
        </is>
      </c>
      <c r="H72" t="inlineStr">
        <is>
          <t>1 Mei 2009</t>
        </is>
      </c>
      <c r="I72" s="2" t="n">
        <v>46242</v>
      </c>
      <c r="J72" t="inlineStr">
        <is>
          <t>Pencabutan</t>
        </is>
      </c>
      <c r="K72" t="n">
        <v>60</v>
      </c>
      <c r="L72" t="inlineStr">
        <is>
          <t>8 Agustus 2026</t>
        </is>
      </c>
      <c r="M72" t="inlineStr">
        <is>
          <t>Konstruksi Bangunan Sipil Jalan</t>
        </is>
      </c>
      <c r="N72" t="inlineStr">
        <is>
          <t>M</t>
        </is>
      </c>
      <c r="O72" t="inlineStr">
        <is>
          <t>20230725</t>
        </is>
      </c>
      <c r="P72" t="inlineStr">
        <is>
          <t>Aceh</t>
        </is>
      </c>
      <c r="Q72" t="inlineStr"/>
    </row>
    <row r="73">
      <c r="A73" t="inlineStr">
        <is>
          <t>MANDIRI BERKAT UTAMA</t>
        </is>
      </c>
      <c r="B73" t="inlineStr">
        <is>
          <t>Kab. Hulu Sungai Utara</t>
        </is>
      </c>
      <c r="C73" t="inlineStr">
        <is>
          <t>0859196435000</t>
        </is>
      </c>
      <c r="D73" t="inlineStr">
        <is>
          <t>mandiriberkatutama@yahoo.com</t>
        </is>
      </c>
      <c r="E73" t="inlineStr">
        <is>
          <t>https://lpjk.pu.go.id/search-badan-usaha-detail/VUI2cW8yREU1YmJJZ3NjbHpTSW5rQT09</t>
        </is>
      </c>
      <c r="F73" t="n">
        <v>2</v>
      </c>
      <c r="G73" t="inlineStr">
        <is>
          <t>BG008, BG009</t>
        </is>
      </c>
      <c r="H73" t="inlineStr">
        <is>
          <t>1 Agustus 2023</t>
        </is>
      </c>
      <c r="I73" s="2" t="n">
        <v>46242</v>
      </c>
      <c r="J73" t="inlineStr">
        <is>
          <t>Disetujui</t>
        </is>
      </c>
      <c r="K73" t="n">
        <v>60</v>
      </c>
      <c r="L73" t="inlineStr">
        <is>
          <t>8 Agustus 2026</t>
        </is>
      </c>
      <c r="M73" t="inlineStr">
        <is>
          <t>Konstruksi Gedung Lainnya, Konstruksi Gedung Tempat Hiburan dan Olahraga</t>
        </is>
      </c>
      <c r="N73" t="inlineStr">
        <is>
          <t>K</t>
        </is>
      </c>
      <c r="O73" t="inlineStr">
        <is>
          <t>20230808, 20230809</t>
        </is>
      </c>
      <c r="P73" t="inlineStr">
        <is>
          <t>Kalimantan Selatan</t>
        </is>
      </c>
      <c r="Q73" t="inlineStr"/>
    </row>
    <row r="74">
      <c r="A74" t="inlineStr">
        <is>
          <t>MENARA INDOJAYA</t>
        </is>
      </c>
      <c r="B74" t="inlineStr">
        <is>
          <t>Kab. Trenggalek</t>
        </is>
      </c>
      <c r="C74" t="inlineStr">
        <is>
          <t>081234466444</t>
        </is>
      </c>
      <c r="D74" t="inlineStr">
        <is>
          <t>cvmenaraindojaya@gmail.com</t>
        </is>
      </c>
      <c r="E74" t="inlineStr">
        <is>
          <t>https://lpjk.pu.go.id/search-badan-usaha-detail/NlU1eE1YUmZYeGpYZ3JvZEVhZVhPUT09</t>
        </is>
      </c>
      <c r="F74" t="n">
        <v>1</v>
      </c>
      <c r="G74" t="inlineStr">
        <is>
          <t>BG008</t>
        </is>
      </c>
      <c r="H74" t="inlineStr">
        <is>
          <t>20 Mei 2014</t>
        </is>
      </c>
      <c r="I74" s="2" t="n">
        <v>46242</v>
      </c>
      <c r="J74" t="inlineStr">
        <is>
          <t>Disetujui</t>
        </is>
      </c>
      <c r="K74" t="n">
        <v>60</v>
      </c>
      <c r="L74" t="inlineStr">
        <is>
          <t>8 Agustus 2026</t>
        </is>
      </c>
      <c r="M74" t="inlineStr">
        <is>
          <t>Konstruksi Gedung Tempat Hiburan dan Olahraga</t>
        </is>
      </c>
      <c r="N74" t="inlineStr">
        <is>
          <t>K</t>
        </is>
      </c>
      <c r="O74" t="inlineStr">
        <is>
          <t>20230805</t>
        </is>
      </c>
      <c r="P74" t="inlineStr">
        <is>
          <t>Jawa Timur</t>
        </is>
      </c>
      <c r="Q74" t="inlineStr"/>
    </row>
    <row r="75">
      <c r="A75" t="inlineStr">
        <is>
          <t>MILA MULTI KARYA</t>
        </is>
      </c>
      <c r="B75" t="inlineStr">
        <is>
          <t>Kab. Mojokerto</t>
        </is>
      </c>
      <c r="C75" t="inlineStr">
        <is>
          <t>085733455557</t>
        </is>
      </c>
      <c r="D75" t="inlineStr">
        <is>
          <t>cvmilamultikarya@gmail.com</t>
        </is>
      </c>
      <c r="E75" t="inlineStr">
        <is>
          <t>https://lpjk.pu.go.id/search-badan-usaha-detail/ODVvbGNEdFM5MWxuaXQzSEtsZG9NUT09</t>
        </is>
      </c>
      <c r="F75" t="n">
        <v>1</v>
      </c>
      <c r="G75" t="inlineStr">
        <is>
          <t>BG002</t>
        </is>
      </c>
      <c r="H75" t="inlineStr">
        <is>
          <t>9 Februari 2022</t>
        </is>
      </c>
      <c r="I75" s="2" t="n">
        <v>46242</v>
      </c>
      <c r="J75" t="inlineStr">
        <is>
          <t>Disetujui</t>
        </is>
      </c>
      <c r="K75" t="n">
        <v>60</v>
      </c>
      <c r="L75" t="inlineStr">
        <is>
          <t>8 Agustus 2026</t>
        </is>
      </c>
      <c r="M75" t="inlineStr">
        <is>
          <t>Konstruksi Gedung Perkantoran</t>
        </is>
      </c>
      <c r="N75" t="inlineStr">
        <is>
          <t>K</t>
        </is>
      </c>
      <c r="O75" t="inlineStr">
        <is>
          <t>20230802</t>
        </is>
      </c>
      <c r="P75" t="inlineStr">
        <is>
          <t>Jawa Timur</t>
        </is>
      </c>
      <c r="Q75" t="inlineStr"/>
    </row>
    <row r="76">
      <c r="A76" t="inlineStr">
        <is>
          <t>MITRA ALAM SARANA SEJAHTERA</t>
        </is>
      </c>
      <c r="B76" t="inlineStr">
        <is>
          <t>Kota Pontianak</t>
        </is>
      </c>
      <c r="C76" t="inlineStr">
        <is>
          <t>0561577788</t>
        </is>
      </c>
      <c r="D76" t="inlineStr">
        <is>
          <t>masslandpontianak@gmail.com</t>
        </is>
      </c>
      <c r="E76" t="inlineStr">
        <is>
          <t>https://lpjk.pu.go.id/search-badan-usaha-detail/L3ZUeEYrdDZpWjhJTCttTmhQb3JDZz09</t>
        </is>
      </c>
      <c r="F76" t="n">
        <v>1</v>
      </c>
      <c r="G76" t="inlineStr">
        <is>
          <t>BS001</t>
        </is>
      </c>
      <c r="H76" t="inlineStr">
        <is>
          <t>28 April 2012</t>
        </is>
      </c>
      <c r="I76" s="2" t="n">
        <v>46242</v>
      </c>
      <c r="J76" t="inlineStr">
        <is>
          <t>Disetujui</t>
        </is>
      </c>
      <c r="K76" t="n">
        <v>60</v>
      </c>
      <c r="L76" t="inlineStr">
        <is>
          <t>8 Agustus 2026</t>
        </is>
      </c>
      <c r="M76" t="inlineStr">
        <is>
          <t>Konstruksi Bangunan Sipil Jalan</t>
        </is>
      </c>
      <c r="N76" t="inlineStr">
        <is>
          <t>K</t>
        </is>
      </c>
      <c r="O76" t="inlineStr">
        <is>
          <t>20230728</t>
        </is>
      </c>
      <c r="P76" t="inlineStr">
        <is>
          <t>Kalimantan Barat</t>
        </is>
      </c>
      <c r="Q76" t="inlineStr"/>
    </row>
    <row r="77">
      <c r="A77" t="inlineStr">
        <is>
          <t>MITRA ANASYA EXPRESINDO</t>
        </is>
      </c>
      <c r="B77" t="inlineStr">
        <is>
          <t>Kota Ambon</t>
        </is>
      </c>
      <c r="C77" t="inlineStr">
        <is>
          <t>0811470522</t>
        </is>
      </c>
      <c r="D77" t="inlineStr">
        <is>
          <t>cv.mitraanasya@gmail.com</t>
        </is>
      </c>
      <c r="E77" t="inlineStr">
        <is>
          <t>https://lpjk.pu.go.id/search-badan-usaha-detail/cEl6aGhHYTZJYVlQUGRCNHhzOGVzdz09</t>
        </is>
      </c>
      <c r="F77" t="n">
        <v>1</v>
      </c>
      <c r="G77" t="inlineStr">
        <is>
          <t>BG006</t>
        </is>
      </c>
      <c r="H77" t="inlineStr">
        <is>
          <t>12 November 2001</t>
        </is>
      </c>
      <c r="I77" s="2" t="n">
        <v>46242</v>
      </c>
      <c r="J77" t="inlineStr">
        <is>
          <t>Disetujui</t>
        </is>
      </c>
      <c r="K77" t="n">
        <v>60</v>
      </c>
      <c r="L77" t="inlineStr">
        <is>
          <t>8 Agustus 2026</t>
        </is>
      </c>
      <c r="M77" t="inlineStr">
        <is>
          <t>Konstruksi Gedung Pendidikan</t>
        </is>
      </c>
      <c r="N77" t="inlineStr">
        <is>
          <t>K</t>
        </is>
      </c>
      <c r="O77" t="inlineStr">
        <is>
          <t>20230729</t>
        </is>
      </c>
      <c r="P77" t="inlineStr">
        <is>
          <t>Maluku</t>
        </is>
      </c>
      <c r="Q77" t="inlineStr"/>
    </row>
    <row r="78">
      <c r="A78" t="inlineStr">
        <is>
          <t>MITRA SEJATI</t>
        </is>
      </c>
      <c r="B78" t="inlineStr">
        <is>
          <t>Kab. Kudus</t>
        </is>
      </c>
      <c r="C78" t="inlineStr">
        <is>
          <t>081228686218</t>
        </is>
      </c>
      <c r="D78" t="inlineStr">
        <is>
          <t>cvmitrasejati50@gmail.com</t>
        </is>
      </c>
      <c r="E78" t="inlineStr">
        <is>
          <t>https://lpjk.pu.go.id/search-badan-usaha-detail/UEhvZnVTVmZVaC96T0lyVnRMcWNwQT09</t>
        </is>
      </c>
      <c r="F78" t="n">
        <v>2</v>
      </c>
      <c r="G78" t="inlineStr">
        <is>
          <t>BG002, BG003</t>
        </is>
      </c>
      <c r="H78" t="inlineStr">
        <is>
          <t>10 Februari 2010</t>
        </is>
      </c>
      <c r="I78" s="2" t="n">
        <v>46242</v>
      </c>
      <c r="J78" t="inlineStr">
        <is>
          <t>Disetujui</t>
        </is>
      </c>
      <c r="K78" t="n">
        <v>60</v>
      </c>
      <c r="L78" t="inlineStr">
        <is>
          <t>8 Agustus 2026</t>
        </is>
      </c>
      <c r="M78" t="inlineStr">
        <is>
          <t>Konstruksi Gedung Industri, Konstruksi Gedung Perkantoran</t>
        </is>
      </c>
      <c r="N78" t="inlineStr">
        <is>
          <t>K</t>
        </is>
      </c>
      <c r="O78" t="inlineStr">
        <is>
          <t>20230808</t>
        </is>
      </c>
      <c r="P78" t="inlineStr">
        <is>
          <t>Jawa Tengah</t>
        </is>
      </c>
      <c r="Q78" t="inlineStr"/>
    </row>
    <row r="79">
      <c r="A79" t="inlineStr">
        <is>
          <t>MITRA USAHA JAYA</t>
        </is>
      </c>
      <c r="B79" t="inlineStr">
        <is>
          <t>Kab. Kapuas Hulu</t>
        </is>
      </c>
      <c r="C79" t="inlineStr">
        <is>
          <t>081352188236</t>
        </is>
      </c>
      <c r="D79" t="inlineStr">
        <is>
          <t>mitrausahajaya.cv73@gmail.com</t>
        </is>
      </c>
      <c r="E79" t="inlineStr">
        <is>
          <t>https://lpjk.pu.go.id/search-badan-usaha-detail/N1Jib3VBRXlvdG8vSnNIWlp4NEcvUT09</t>
        </is>
      </c>
      <c r="F79" t="n">
        <v>1</v>
      </c>
      <c r="G79" t="inlineStr">
        <is>
          <t>BG006</t>
        </is>
      </c>
      <c r="H79" t="inlineStr">
        <is>
          <t>14 Mei 2004</t>
        </is>
      </c>
      <c r="I79" s="2" t="n">
        <v>46242</v>
      </c>
      <c r="J79" t="inlineStr">
        <is>
          <t>Disetujui</t>
        </is>
      </c>
      <c r="K79" t="n">
        <v>60</v>
      </c>
      <c r="L79" t="inlineStr">
        <is>
          <t>8 Agustus 2026</t>
        </is>
      </c>
      <c r="M79" t="inlineStr">
        <is>
          <t>Konstruksi Gedung Pendidikan</t>
        </is>
      </c>
      <c r="N79" t="inlineStr">
        <is>
          <t>K</t>
        </is>
      </c>
      <c r="O79" t="inlineStr">
        <is>
          <t>20230802</t>
        </is>
      </c>
      <c r="P79" t="inlineStr">
        <is>
          <t>Kalimantan Barat</t>
        </is>
      </c>
      <c r="Q79" t="inlineStr"/>
    </row>
    <row r="80">
      <c r="A80" t="inlineStr">
        <is>
          <t>MORI SATRA</t>
        </is>
      </c>
      <c r="B80" t="inlineStr">
        <is>
          <t>Kab. Lombok Timur</t>
        </is>
      </c>
      <c r="C80" t="inlineStr">
        <is>
          <t>081916313044</t>
        </is>
      </c>
      <c r="D80" t="inlineStr">
        <is>
          <t>cv.morisatra79@gmail.com</t>
        </is>
      </c>
      <c r="E80" t="inlineStr">
        <is>
          <t>https://lpjk.pu.go.id/search-badan-usaha-detail/eXNqNEE4d3N0REhqblhiVXloMlFIdz09</t>
        </is>
      </c>
      <c r="F80" t="n">
        <v>1</v>
      </c>
      <c r="G80" t="inlineStr">
        <is>
          <t>BS004</t>
        </is>
      </c>
      <c r="H80" t="inlineStr">
        <is>
          <t>30 Maret 1992</t>
        </is>
      </c>
      <c r="I80" s="2" t="n">
        <v>46242</v>
      </c>
      <c r="J80" t="inlineStr">
        <is>
          <t>Disetujui</t>
        </is>
      </c>
      <c r="K80" t="n">
        <v>60</v>
      </c>
      <c r="L80" t="inlineStr">
        <is>
          <t>8 Agustus 2026</t>
        </is>
      </c>
      <c r="M80" t="inlineStr">
        <is>
          <t>Konstruksi Jaringan Irigasi dan Drainase</t>
        </is>
      </c>
      <c r="N80" t="inlineStr">
        <is>
          <t>K</t>
        </is>
      </c>
      <c r="O80" t="inlineStr">
        <is>
          <t>20230802</t>
        </is>
      </c>
      <c r="P80" t="inlineStr">
        <is>
          <t>Nusa Tenggara Barat</t>
        </is>
      </c>
      <c r="Q80" t="inlineStr"/>
    </row>
    <row r="81">
      <c r="A81" t="inlineStr">
        <is>
          <t>MUHAMMAD SYAIFUL BAHRI</t>
        </is>
      </c>
      <c r="B81" t="inlineStr">
        <is>
          <t>Kab. Bulungan</t>
        </is>
      </c>
      <c r="C81" t="inlineStr">
        <is>
          <t>085247833233</t>
        </is>
      </c>
      <c r="D81" t="inlineStr">
        <is>
          <t>cv.msb2000@gmail.com</t>
        </is>
      </c>
      <c r="E81" t="inlineStr">
        <is>
          <t>https://lpjk.pu.go.id/search-badan-usaha-detail/Qk10Nk95UzlKZTFZcHVJZFN2cERkQT09</t>
        </is>
      </c>
      <c r="F81" t="n">
        <v>1</v>
      </c>
      <c r="G81" t="inlineStr">
        <is>
          <t>BG009</t>
        </is>
      </c>
      <c r="H81" t="inlineStr">
        <is>
          <t>4 April 2023</t>
        </is>
      </c>
      <c r="I81" s="2" t="n">
        <v>46242</v>
      </c>
      <c r="J81" t="inlineStr">
        <is>
          <t>Disetujui</t>
        </is>
      </c>
      <c r="K81" t="n">
        <v>60</v>
      </c>
      <c r="L81" t="inlineStr">
        <is>
          <t>8 Agustus 2026</t>
        </is>
      </c>
      <c r="M81" t="inlineStr">
        <is>
          <t>Konstruksi Gedung Lainnya</t>
        </is>
      </c>
      <c r="N81" t="inlineStr">
        <is>
          <t>K</t>
        </is>
      </c>
      <c r="O81" t="inlineStr">
        <is>
          <t>20230803</t>
        </is>
      </c>
      <c r="P81" t="inlineStr">
        <is>
          <t>Kalimantan Utara</t>
        </is>
      </c>
      <c r="Q81" t="inlineStr"/>
    </row>
    <row r="82">
      <c r="A82" t="inlineStr">
        <is>
          <t>MULTI CIPTA ANUGRAH</t>
        </is>
      </c>
      <c r="B82" t="inlineStr">
        <is>
          <t>Kota Malang</t>
        </is>
      </c>
      <c r="C82" t="inlineStr">
        <is>
          <t>0341717305</t>
        </is>
      </c>
      <c r="D82" t="inlineStr">
        <is>
          <t>denimulyono@rocketmail.com</t>
        </is>
      </c>
      <c r="E82" t="inlineStr">
        <is>
          <t>https://lpjk.pu.go.id/search-badan-usaha-detail/L3hTa2FTS05OS2IwSktkSlhOVSt3QT09</t>
        </is>
      </c>
      <c r="F82" t="n">
        <v>1</v>
      </c>
      <c r="G82" t="inlineStr">
        <is>
          <t>BS004</t>
        </is>
      </c>
      <c r="H82" t="inlineStr">
        <is>
          <t>4 September 2000</t>
        </is>
      </c>
      <c r="I82" s="2" t="n">
        <v>46242</v>
      </c>
      <c r="J82" t="inlineStr">
        <is>
          <t>Disetujui</t>
        </is>
      </c>
      <c r="K82" t="n">
        <v>60</v>
      </c>
      <c r="L82" t="inlineStr">
        <is>
          <t>8 Agustus 2026</t>
        </is>
      </c>
      <c r="M82" t="inlineStr">
        <is>
          <t>Konstruksi Jaringan Irigasi dan Drainase</t>
        </is>
      </c>
      <c r="N82" t="inlineStr">
        <is>
          <t>K</t>
        </is>
      </c>
      <c r="O82" t="inlineStr">
        <is>
          <t>20230808</t>
        </is>
      </c>
      <c r="P82" t="inlineStr">
        <is>
          <t>Jawa Timur</t>
        </is>
      </c>
      <c r="Q82" t="inlineStr"/>
    </row>
    <row r="83">
      <c r="A83" t="inlineStr">
        <is>
          <t>MULTI SARANA SOLUTION</t>
        </is>
      </c>
      <c r="B83" t="inlineStr">
        <is>
          <t>Kab. Wajo</t>
        </is>
      </c>
      <c r="C83" t="inlineStr">
        <is>
          <t>085255663772</t>
        </is>
      </c>
      <c r="D83" t="inlineStr">
        <is>
          <t>cvmultisaranasolution@gmail.com</t>
        </is>
      </c>
      <c r="E83" t="inlineStr">
        <is>
          <t>https://lpjk.pu.go.id/search-badan-usaha-detail/T00xMEZWZXBITmhBZnFBakRiLzA3QT09</t>
        </is>
      </c>
      <c r="F83" t="n">
        <v>1</v>
      </c>
      <c r="G83" t="inlineStr">
        <is>
          <t>BG005</t>
        </is>
      </c>
      <c r="H83" t="inlineStr">
        <is>
          <t>20 Juli 2023</t>
        </is>
      </c>
      <c r="I83" s="2" t="n">
        <v>46242</v>
      </c>
      <c r="J83" t="inlineStr">
        <is>
          <t>Disetujui</t>
        </is>
      </c>
      <c r="K83" t="n">
        <v>60</v>
      </c>
      <c r="L83" t="inlineStr">
        <is>
          <t>8 Agustus 2026</t>
        </is>
      </c>
      <c r="M83" t="inlineStr">
        <is>
          <t>Konstruksi Gedung Kesehatan</t>
        </is>
      </c>
      <c r="N83" t="inlineStr">
        <is>
          <t>K</t>
        </is>
      </c>
      <c r="O83" t="inlineStr">
        <is>
          <t>20230804</t>
        </is>
      </c>
      <c r="P83" t="inlineStr">
        <is>
          <t>Sulawesi Selatan</t>
        </is>
      </c>
      <c r="Q83" t="inlineStr"/>
    </row>
    <row r="84">
      <c r="A84" t="inlineStr">
        <is>
          <t>MULTIPOLAR TECHNOLOGY</t>
        </is>
      </c>
      <c r="B84" t="inlineStr">
        <is>
          <t>Kota Adm. Jakarta Selatan</t>
        </is>
      </c>
      <c r="C84" t="inlineStr">
        <is>
          <t>0215460011</t>
        </is>
      </c>
      <c r="D84" t="inlineStr">
        <is>
          <t>legal_corsec@multipolar.com</t>
        </is>
      </c>
      <c r="E84" t="inlineStr">
        <is>
          <t>https://lpjk.pu.go.id/search-badan-usaha-detail/MklBa2toWDJwZk9USm1pYWNDQktTUT09</t>
        </is>
      </c>
      <c r="F84" t="n">
        <v>1</v>
      </c>
      <c r="G84" t="inlineStr">
        <is>
          <t>IN002</t>
        </is>
      </c>
      <c r="H84" t="inlineStr">
        <is>
          <t>28 Desember 2001</t>
        </is>
      </c>
      <c r="I84" s="2" t="n">
        <v>46242</v>
      </c>
      <c r="J84" t="inlineStr">
        <is>
          <t>Pencabutan</t>
        </is>
      </c>
      <c r="K84" t="n">
        <v>60</v>
      </c>
      <c r="L84" t="inlineStr">
        <is>
          <t>8 Agustus 2026</t>
        </is>
      </c>
      <c r="M84" t="inlineStr">
        <is>
          <t>Instalasi Telekomunikasi</t>
        </is>
      </c>
      <c r="N84" t="inlineStr">
        <is>
          <t>Spesialis</t>
        </is>
      </c>
      <c r="O84" t="inlineStr">
        <is>
          <t>20230807</t>
        </is>
      </c>
      <c r="P84" t="inlineStr">
        <is>
          <t>DKI Jakarta</t>
        </is>
      </c>
      <c r="Q84" t="inlineStr"/>
    </row>
    <row r="85">
      <c r="A85" t="inlineStr">
        <is>
          <t>MUTIARA EKA PERKASA</t>
        </is>
      </c>
      <c r="B85" t="inlineStr">
        <is>
          <t>Kab. Sidoarjo</t>
        </is>
      </c>
      <c r="C85" t="inlineStr">
        <is>
          <t>081230711428</t>
        </is>
      </c>
      <c r="D85" t="inlineStr">
        <is>
          <t>cv.mutiara.eka.perkasa@gmail.com</t>
        </is>
      </c>
      <c r="E85" t="inlineStr">
        <is>
          <t>https://lpjk.pu.go.id/search-badan-usaha-detail/SjUweUZVd0ZiZys0ZHlPeTFhUmZ4UT09</t>
        </is>
      </c>
      <c r="F85" t="n">
        <v>4</v>
      </c>
      <c r="G85" t="inlineStr">
        <is>
          <t>BG005, BS004</t>
        </is>
      </c>
      <c r="H85" t="inlineStr">
        <is>
          <t>14 Desember 2007</t>
        </is>
      </c>
      <c r="I85" s="2" t="n">
        <v>46242</v>
      </c>
      <c r="J85" t="inlineStr">
        <is>
          <t>Disetujui</t>
        </is>
      </c>
      <c r="K85" t="n">
        <v>60</v>
      </c>
      <c r="L85" t="inlineStr">
        <is>
          <t>8 Agustus 2026</t>
        </is>
      </c>
      <c r="M85" t="inlineStr">
        <is>
          <t>Konstruksi Gedung Kesehatan, Konstruksi Jaringan Irigasi dan Drainase</t>
        </is>
      </c>
      <c r="N85" t="inlineStr">
        <is>
          <t>K</t>
        </is>
      </c>
      <c r="O85" t="inlineStr">
        <is>
          <t>20230731, 20230803</t>
        </is>
      </c>
      <c r="P85" t="inlineStr">
        <is>
          <t>Jawa Timur</t>
        </is>
      </c>
      <c r="Q85" t="inlineStr"/>
    </row>
    <row r="86">
      <c r="A86" t="inlineStr">
        <is>
          <t>PANCORA JAYA</t>
        </is>
      </c>
      <c r="B86" t="inlineStr">
        <is>
          <t>Kab. Indramayu</t>
        </is>
      </c>
      <c r="C86" t="inlineStr">
        <is>
          <t>081246800234</t>
        </is>
      </c>
      <c r="D86" t="inlineStr">
        <is>
          <t>pancorajaya.cv@gmail.com</t>
        </is>
      </c>
      <c r="E86" t="inlineStr">
        <is>
          <t>https://lpjk.pu.go.id/search-badan-usaha-detail/Y3dhcXFSRjltcjl0MHFQWDg3Vmc2UT09</t>
        </is>
      </c>
      <c r="F86" t="n">
        <v>1</v>
      </c>
      <c r="G86" t="inlineStr">
        <is>
          <t>BS001</t>
        </is>
      </c>
      <c r="H86" t="inlineStr">
        <is>
          <t>7 Desember 2016</t>
        </is>
      </c>
      <c r="I86" s="2" t="n">
        <v>46242</v>
      </c>
      <c r="J86" t="inlineStr">
        <is>
          <t>Disetujui</t>
        </is>
      </c>
      <c r="K86" t="n">
        <v>60</v>
      </c>
      <c r="L86" t="inlineStr">
        <is>
          <t>8 Agustus 2026</t>
        </is>
      </c>
      <c r="M86" t="inlineStr">
        <is>
          <t>Konstruksi Bangunan Sipil Jalan</t>
        </is>
      </c>
      <c r="N86" t="inlineStr">
        <is>
          <t>K</t>
        </is>
      </c>
      <c r="O86" t="inlineStr">
        <is>
          <t>20230801</t>
        </is>
      </c>
      <c r="P86" t="inlineStr">
        <is>
          <t>Jawa Barat</t>
        </is>
      </c>
      <c r="Q86" t="inlineStr"/>
    </row>
    <row r="87">
      <c r="A87" t="inlineStr">
        <is>
          <t>PANGLIMA UTAMA</t>
        </is>
      </c>
      <c r="B87" t="inlineStr">
        <is>
          <t>Kab. Situbondo</t>
        </is>
      </c>
      <c r="C87" t="inlineStr">
        <is>
          <t>081332998717</t>
        </is>
      </c>
      <c r="D87" t="inlineStr">
        <is>
          <t>lsbugkb3512@gmail.com</t>
        </is>
      </c>
      <c r="E87" t="inlineStr">
        <is>
          <t>https://lpjk.pu.go.id/search-badan-usaha-detail/OE5DZGkzbjg1Zy9qMFp1RlBYZUdLQT09</t>
        </is>
      </c>
      <c r="F87" t="n">
        <v>1</v>
      </c>
      <c r="G87" t="inlineStr">
        <is>
          <t>BS004</t>
        </is>
      </c>
      <c r="H87" t="inlineStr">
        <is>
          <t>7 Maret 2016</t>
        </is>
      </c>
      <c r="I87" s="2" t="n">
        <v>46242</v>
      </c>
      <c r="J87" t="inlineStr">
        <is>
          <t>Disetujui</t>
        </is>
      </c>
      <c r="K87" t="n">
        <v>60</v>
      </c>
      <c r="L87" t="inlineStr">
        <is>
          <t>8 Agustus 2026</t>
        </is>
      </c>
      <c r="M87" t="inlineStr">
        <is>
          <t>Konstruksi Jaringan Irigasi dan Drainase</t>
        </is>
      </c>
      <c r="N87" t="inlineStr">
        <is>
          <t>K</t>
        </is>
      </c>
      <c r="O87" t="inlineStr">
        <is>
          <t>20230805</t>
        </is>
      </c>
      <c r="P87" t="inlineStr">
        <is>
          <t>Jawa Timur</t>
        </is>
      </c>
      <c r="Q87" t="inlineStr"/>
    </row>
    <row r="88">
      <c r="A88" t="inlineStr">
        <is>
          <t>PIONIR MANDIRI SEJATI</t>
        </is>
      </c>
      <c r="B88" t="inlineStr">
        <is>
          <t>Kab. Raja Ampat</t>
        </is>
      </c>
      <c r="C88" t="inlineStr">
        <is>
          <t>-</t>
        </is>
      </c>
      <c r="D88" t="inlineStr">
        <is>
          <t>pionirmandirisejati@yahoo.co.id</t>
        </is>
      </c>
      <c r="E88" t="inlineStr">
        <is>
          <t>https://lpjk.pu.go.id/search-badan-usaha-detail/WWpyNlUweWdDSzlaRC9UODV1a3Bldz09</t>
        </is>
      </c>
      <c r="F88" t="n">
        <v>1</v>
      </c>
      <c r="G88" t="inlineStr">
        <is>
          <t>BS001</t>
        </is>
      </c>
      <c r="H88" t="inlineStr">
        <is>
          <t>5 Januari 2015</t>
        </is>
      </c>
      <c r="I88" s="2" t="n">
        <v>46242</v>
      </c>
      <c r="J88" t="inlineStr">
        <is>
          <t>Pembekuan</t>
        </is>
      </c>
      <c r="K88" t="n">
        <v>60</v>
      </c>
      <c r="L88" t="inlineStr">
        <is>
          <t>8 Agustus 2026</t>
        </is>
      </c>
      <c r="M88" t="inlineStr">
        <is>
          <t>Konstruksi Bangunan Sipil Jalan</t>
        </is>
      </c>
      <c r="N88" t="inlineStr">
        <is>
          <t>M</t>
        </is>
      </c>
      <c r="O88" t="inlineStr">
        <is>
          <t>20230526</t>
        </is>
      </c>
      <c r="P88" t="inlineStr">
        <is>
          <t>Papua Barat</t>
        </is>
      </c>
      <c r="Q88" t="inlineStr"/>
    </row>
    <row r="89">
      <c r="A89" t="inlineStr">
        <is>
          <t>POLA RUANG SIMETRIS</t>
        </is>
      </c>
      <c r="B89" t="inlineStr">
        <is>
          <t>Kota Makassar</t>
        </is>
      </c>
      <c r="C89" t="inlineStr">
        <is>
          <t>082142842022</t>
        </is>
      </c>
      <c r="D89" t="inlineStr">
        <is>
          <t>psimetris22@gmail.com</t>
        </is>
      </c>
      <c r="E89" t="inlineStr">
        <is>
          <t>https://lpjk.pu.go.id/search-badan-usaha-detail/RGFjZ2gzcXdlcmxoTTJHY2w0WkI3dz09</t>
        </is>
      </c>
      <c r="F89" t="n">
        <v>1</v>
      </c>
      <c r="G89" t="inlineStr">
        <is>
          <t>BG001</t>
        </is>
      </c>
      <c r="H89" t="inlineStr">
        <is>
          <t>22 Februari 2022</t>
        </is>
      </c>
      <c r="I89" s="2" t="n">
        <v>46242</v>
      </c>
      <c r="J89" t="inlineStr">
        <is>
          <t>Disetujui</t>
        </is>
      </c>
      <c r="K89" t="n">
        <v>60</v>
      </c>
      <c r="L89" t="inlineStr">
        <is>
          <t>8 Agustus 2026</t>
        </is>
      </c>
      <c r="M89" t="inlineStr">
        <is>
          <t>Konstruksi Gedung Hunian</t>
        </is>
      </c>
      <c r="N89" t="inlineStr">
        <is>
          <t>K</t>
        </is>
      </c>
      <c r="O89" t="inlineStr">
        <is>
          <t>20230808</t>
        </is>
      </c>
      <c r="P89" t="inlineStr">
        <is>
          <t>Sulawesi Selatan</t>
        </is>
      </c>
      <c r="Q89" t="inlineStr"/>
    </row>
    <row r="90">
      <c r="A90" t="inlineStr">
        <is>
          <t>PRATAMA KARYA MANDIRI</t>
        </is>
      </c>
      <c r="B90" t="inlineStr">
        <is>
          <t>Kota Mataram</t>
        </is>
      </c>
      <c r="C90" t="inlineStr">
        <is>
          <t>087865008933</t>
        </is>
      </c>
      <c r="D90" t="inlineStr">
        <is>
          <t>pratamakaryamandiri82@gmail.com</t>
        </is>
      </c>
      <c r="E90" t="inlineStr">
        <is>
          <t>https://lpjk.pu.go.id/search-badan-usaha-detail/L256c2NKdVhxMDhqUE5PdkV3dWhOUT09</t>
        </is>
      </c>
      <c r="F90" t="n">
        <v>2</v>
      </c>
      <c r="G90" t="inlineStr">
        <is>
          <t>BS001, BS004</t>
        </is>
      </c>
      <c r="H90" t="inlineStr">
        <is>
          <t>29 Januari 2016</t>
        </is>
      </c>
      <c r="I90" s="2" t="n">
        <v>46242</v>
      </c>
      <c r="J90" t="inlineStr">
        <is>
          <t>Disetujui</t>
        </is>
      </c>
      <c r="K90" t="n">
        <v>60</v>
      </c>
      <c r="L90" t="inlineStr">
        <is>
          <t>8 Agustus 2026</t>
        </is>
      </c>
      <c r="M90" t="inlineStr">
        <is>
          <t>Konstruksi Bangunan Sipil Jalan, Konstruksi Jaringan Irigasi dan Drainase</t>
        </is>
      </c>
      <c r="N90" t="inlineStr">
        <is>
          <t>K</t>
        </is>
      </c>
      <c r="O90" t="inlineStr">
        <is>
          <t>20230804</t>
        </is>
      </c>
      <c r="P90" t="inlineStr">
        <is>
          <t>Nusa Tenggara Barat</t>
        </is>
      </c>
      <c r="Q90" t="inlineStr"/>
    </row>
    <row r="91">
      <c r="A91" t="inlineStr">
        <is>
          <t>PRIMA TEKNIK INOVASI</t>
        </is>
      </c>
      <c r="B91" t="inlineStr">
        <is>
          <t>Kota Pontianak</t>
        </is>
      </c>
      <c r="C91" t="inlineStr">
        <is>
          <t>08125616329</t>
        </is>
      </c>
      <c r="D91" t="inlineStr">
        <is>
          <t>primateknikinovasi@gmail.com</t>
        </is>
      </c>
      <c r="E91" t="inlineStr">
        <is>
          <t>https://lpjk.pu.go.id/search-badan-usaha-detail/K1Y0dTRtelhFbGpvLzNuOWdvbENRdz09</t>
        </is>
      </c>
      <c r="F91" t="n">
        <v>1</v>
      </c>
      <c r="G91" t="inlineStr">
        <is>
          <t>BS004</t>
        </is>
      </c>
      <c r="H91" t="inlineStr">
        <is>
          <t>9 September 2005</t>
        </is>
      </c>
      <c r="I91" s="2" t="n">
        <v>46242</v>
      </c>
      <c r="J91" t="inlineStr">
        <is>
          <t>Disetujui</t>
        </is>
      </c>
      <c r="K91" t="n">
        <v>60</v>
      </c>
      <c r="L91" t="inlineStr">
        <is>
          <t>8 Agustus 2026</t>
        </is>
      </c>
      <c r="M91" t="inlineStr">
        <is>
          <t>Konstruksi Jaringan Irigasi dan Drainase</t>
        </is>
      </c>
      <c r="N91" t="inlineStr">
        <is>
          <t>K</t>
        </is>
      </c>
      <c r="O91" t="inlineStr">
        <is>
          <t>20230731</t>
        </is>
      </c>
      <c r="P91" t="inlineStr">
        <is>
          <t>Kalimantan Barat</t>
        </is>
      </c>
      <c r="Q91" t="inlineStr"/>
    </row>
    <row r="92">
      <c r="A92" t="inlineStr">
        <is>
          <t>PRISMA PUSAKA ARTHA RAYA</t>
        </is>
      </c>
      <c r="B92" t="inlineStr">
        <is>
          <t>Kota Adm. Jakarta Pusat</t>
        </is>
      </c>
      <c r="C92" t="inlineStr">
        <is>
          <t>02139836469</t>
        </is>
      </c>
      <c r="D92" t="inlineStr">
        <is>
          <t>prismapusaka@prisma-group.co.id</t>
        </is>
      </c>
      <c r="E92" t="inlineStr">
        <is>
          <t>https://lpjk.pu.go.id/search-badan-usaha-detail/M2NFUnNQWlVBNHhjUXNYWkpCaVUvQT09</t>
        </is>
      </c>
      <c r="F92" t="n">
        <v>1</v>
      </c>
      <c r="G92" t="inlineStr">
        <is>
          <t>BS005</t>
        </is>
      </c>
      <c r="H92" t="inlineStr">
        <is>
          <t>17 April 2002</t>
        </is>
      </c>
      <c r="I92" s="2" t="n">
        <v>46242</v>
      </c>
      <c r="J92" t="inlineStr">
        <is>
          <t>Pencabutan</t>
        </is>
      </c>
      <c r="K92" t="n">
        <v>60</v>
      </c>
      <c r="L92" t="inlineStr">
        <is>
          <t>8 Agustus 2026</t>
        </is>
      </c>
      <c r="M92" t="inlineStr">
        <is>
          <t>Konstruksi Bangunan Sipil Pengolahan Air Bersih</t>
        </is>
      </c>
      <c r="N92" t="inlineStr">
        <is>
          <t>M</t>
        </is>
      </c>
      <c r="O92" t="inlineStr">
        <is>
          <t>20230801</t>
        </is>
      </c>
      <c r="P92" t="inlineStr">
        <is>
          <t>DKI Jakarta</t>
        </is>
      </c>
      <c r="Q92" t="inlineStr"/>
    </row>
    <row r="93">
      <c r="A93" t="inlineStr">
        <is>
          <t>PUTRA DEWATA</t>
        </is>
      </c>
      <c r="B93" t="inlineStr">
        <is>
          <t>Kota Blitar</t>
        </is>
      </c>
      <c r="C93" t="inlineStr">
        <is>
          <t>0</t>
        </is>
      </c>
      <c r="D93" t="inlineStr">
        <is>
          <t>putradewata_cv@yahoo.co.id</t>
        </is>
      </c>
      <c r="E93" t="inlineStr">
        <is>
          <t>https://lpjk.pu.go.id/search-badan-usaha-detail/SDkzTHJ6YVFjcm9DamJuWDVaVkNldz09</t>
        </is>
      </c>
      <c r="F93" t="n">
        <v>1</v>
      </c>
      <c r="G93" t="inlineStr">
        <is>
          <t>BS004</t>
        </is>
      </c>
      <c r="H93" t="inlineStr">
        <is>
          <t>10 April 2001</t>
        </is>
      </c>
      <c r="I93" s="2" t="n">
        <v>46242</v>
      </c>
      <c r="J93" t="inlineStr">
        <is>
          <t>Disetujui</t>
        </is>
      </c>
      <c r="K93" t="n">
        <v>60</v>
      </c>
      <c r="L93" t="inlineStr">
        <is>
          <t>8 Agustus 2026</t>
        </is>
      </c>
      <c r="M93" t="inlineStr">
        <is>
          <t>Konstruksi Jaringan Irigasi dan Drainase</t>
        </is>
      </c>
      <c r="N93" t="inlineStr">
        <is>
          <t>K</t>
        </is>
      </c>
      <c r="O93" t="inlineStr">
        <is>
          <t>20230804</t>
        </is>
      </c>
      <c r="P93" t="inlineStr">
        <is>
          <t>Jawa Timur</t>
        </is>
      </c>
      <c r="Q93" t="inlineStr"/>
    </row>
    <row r="94">
      <c r="A94" t="inlineStr">
        <is>
          <t>PUTRI FAMILY</t>
        </is>
      </c>
      <c r="B94" t="inlineStr">
        <is>
          <t>Kab. Lombok Timur</t>
        </is>
      </c>
      <c r="C94" t="inlineStr">
        <is>
          <t>087755271047</t>
        </is>
      </c>
      <c r="D94" t="inlineStr">
        <is>
          <t>puspitabaiqida@gmail.com</t>
        </is>
      </c>
      <c r="E94" t="inlineStr">
        <is>
          <t>https://lpjk.pu.go.id/search-badan-usaha-detail/M01SV3FhQlVmeUpjbTk3ZkJmc0IrQT09</t>
        </is>
      </c>
      <c r="F94" t="n">
        <v>1</v>
      </c>
      <c r="G94" t="inlineStr">
        <is>
          <t>PL005</t>
        </is>
      </c>
      <c r="H94" t="inlineStr">
        <is>
          <t>10 Januari 2020</t>
        </is>
      </c>
      <c r="I94" s="2" t="n">
        <v>46242</v>
      </c>
      <c r="J94" t="inlineStr">
        <is>
          <t>Pencabutan</t>
        </is>
      </c>
      <c r="K94" t="n">
        <v>60</v>
      </c>
      <c r="L94" t="inlineStr">
        <is>
          <t>8 Agustus 2026</t>
        </is>
      </c>
      <c r="M94" t="inlineStr">
        <is>
          <t>Pembuatan/Pengeboran Sumur Air Tanah</t>
        </is>
      </c>
      <c r="N94" t="inlineStr">
        <is>
          <t>Spesialis</t>
        </is>
      </c>
      <c r="O94" t="inlineStr">
        <is>
          <t>20230808</t>
        </is>
      </c>
      <c r="P94" t="inlineStr">
        <is>
          <t>Nusa Tenggara Barat</t>
        </is>
      </c>
      <c r="Q94" t="inlineStr"/>
    </row>
    <row r="95">
      <c r="A95" t="inlineStr">
        <is>
          <t>PUTRI KENCANA</t>
        </is>
      </c>
      <c r="B95" t="inlineStr">
        <is>
          <t>Kab. Sumenep</t>
        </is>
      </c>
      <c r="C95" t="inlineStr">
        <is>
          <t>082330700075</t>
        </is>
      </c>
      <c r="D95" t="inlineStr">
        <is>
          <t>cvputrikencana11@gmail.com</t>
        </is>
      </c>
      <c r="E95" t="inlineStr">
        <is>
          <t>https://lpjk.pu.go.id/search-badan-usaha-detail/YVQrakh0VXA4MUNvRVNQcUdCMm1ZUT09</t>
        </is>
      </c>
      <c r="F95" t="n">
        <v>5</v>
      </c>
      <c r="G95" t="inlineStr">
        <is>
          <t>BG005, BG006, BG009, BS001, BS005</t>
        </is>
      </c>
      <c r="H95" t="inlineStr">
        <is>
          <t>6 Januari 2011</t>
        </is>
      </c>
      <c r="I95" s="2" t="n">
        <v>46242</v>
      </c>
      <c r="J95" t="inlineStr">
        <is>
          <t>Disetujui</t>
        </is>
      </c>
      <c r="K95" t="n">
        <v>60</v>
      </c>
      <c r="L95" t="inlineStr">
        <is>
          <t>8 Agustus 2026</t>
        </is>
      </c>
      <c r="M95" t="inlineStr">
        <is>
          <t>Konstruksi Bangunan Sipil Jalan, Konstruksi Bangunan Sipil Pengolahan Air Bersih, Konstruksi Gedung Kesehatan, Konstruksi Gedung Lainnya, Konstruksi Gedung Pendidikan</t>
        </is>
      </c>
      <c r="N95" t="inlineStr">
        <is>
          <t>K</t>
        </is>
      </c>
      <c r="O95" t="inlineStr">
        <is>
          <t>20230731, 20230807</t>
        </is>
      </c>
      <c r="P95" t="inlineStr">
        <is>
          <t>Jawa Timur</t>
        </is>
      </c>
      <c r="Q95" t="inlineStr"/>
    </row>
    <row r="96">
      <c r="A96" t="inlineStr">
        <is>
          <t>RAZAKTHA</t>
        </is>
      </c>
      <c r="B96" t="inlineStr">
        <is>
          <t>Kota Bandar Lampung</t>
        </is>
      </c>
      <c r="C96" t="inlineStr">
        <is>
          <t>081285053642</t>
        </is>
      </c>
      <c r="D96" t="inlineStr">
        <is>
          <t>cv.razaktha@gmail.com</t>
        </is>
      </c>
      <c r="E96" t="inlineStr">
        <is>
          <t>https://lpjk.pu.go.id/search-badan-usaha-detail/Q2V3Yk81cG1HRUVyb1U4Y0NjMzV5Zz09</t>
        </is>
      </c>
      <c r="F96" t="n">
        <v>1</v>
      </c>
      <c r="G96" t="inlineStr">
        <is>
          <t>RK001</t>
        </is>
      </c>
      <c r="H96" t="inlineStr">
        <is>
          <t>28 Agustus 2013</t>
        </is>
      </c>
      <c r="I96" s="2" t="n">
        <v>46242</v>
      </c>
      <c r="J96" t="inlineStr">
        <is>
          <t>Permohonan Perubahan Non Asesmen</t>
        </is>
      </c>
      <c r="K96" t="n">
        <v>60</v>
      </c>
      <c r="L96" t="inlineStr">
        <is>
          <t>8 Agustus 2026</t>
        </is>
      </c>
      <c r="M96" t="inlineStr">
        <is>
          <t>Jasa Rekayasa Konstruksi Bangunan Gedung Hunian dan Non Hunian</t>
        </is>
      </c>
      <c r="N96" t="inlineStr">
        <is>
          <t>K</t>
        </is>
      </c>
      <c r="O96" t="inlineStr">
        <is>
          <t>20230731</t>
        </is>
      </c>
      <c r="P96" t="inlineStr">
        <is>
          <t>Lampung</t>
        </is>
      </c>
      <c r="Q96" t="inlineStr"/>
    </row>
    <row r="97">
      <c r="A97" t="inlineStr">
        <is>
          <t>SEKAWAN ABDI KARYA</t>
        </is>
      </c>
      <c r="B97" t="inlineStr">
        <is>
          <t>Kab. Gresik</t>
        </is>
      </c>
      <c r="C97" t="inlineStr">
        <is>
          <t>081334555422</t>
        </is>
      </c>
      <c r="D97" t="inlineStr">
        <is>
          <t>sekawanabdikarya@gmail.com</t>
        </is>
      </c>
      <c r="E97" t="inlineStr">
        <is>
          <t>https://lpjk.pu.go.id/search-badan-usaha-detail/bys0M0JLSDY4d2IrUVlnanZybFlKUT09</t>
        </is>
      </c>
      <c r="F97" t="n">
        <v>2</v>
      </c>
      <c r="G97" t="inlineStr">
        <is>
          <t>BS001</t>
        </is>
      </c>
      <c r="H97" t="inlineStr">
        <is>
          <t>27 Juni 2023</t>
        </is>
      </c>
      <c r="I97" s="2" t="n">
        <v>46242</v>
      </c>
      <c r="J97" t="inlineStr">
        <is>
          <t>Disetujui</t>
        </is>
      </c>
      <c r="K97" t="n">
        <v>60</v>
      </c>
      <c r="L97" t="inlineStr">
        <is>
          <t>8 Agustus 2026</t>
        </is>
      </c>
      <c r="M97" t="inlineStr">
        <is>
          <t>Konstruksi Bangunan Sipil Jalan</t>
        </is>
      </c>
      <c r="N97" t="inlineStr">
        <is>
          <t>K</t>
        </is>
      </c>
      <c r="O97" t="inlineStr">
        <is>
          <t>20230803</t>
        </is>
      </c>
      <c r="P97" t="inlineStr">
        <is>
          <t>Jawa Timur</t>
        </is>
      </c>
      <c r="Q97" t="inlineStr"/>
    </row>
    <row r="98">
      <c r="A98" t="inlineStr">
        <is>
          <t>SINAR ANUGERAH DEO</t>
        </is>
      </c>
      <c r="B98" t="inlineStr">
        <is>
          <t>Kab. Flores Timur</t>
        </is>
      </c>
      <c r="C98" t="inlineStr">
        <is>
          <t>-</t>
        </is>
      </c>
      <c r="D98" t="inlineStr">
        <is>
          <t>cvsinaranugerahdeo@gmail.com</t>
        </is>
      </c>
      <c r="E98" t="inlineStr">
        <is>
          <t>https://lpjk.pu.go.id/search-badan-usaha-detail/MkZQSG9oWmd5cDdwV0ptbWdrQ3ErUT09</t>
        </is>
      </c>
      <c r="F98" t="n">
        <v>1</v>
      </c>
      <c r="G98" t="inlineStr">
        <is>
          <t>BS001</t>
        </is>
      </c>
      <c r="H98" t="inlineStr">
        <is>
          <t>16 Juni 2021</t>
        </is>
      </c>
      <c r="I98" s="2" t="n">
        <v>46242</v>
      </c>
      <c r="J98" t="inlineStr">
        <is>
          <t>Disetujui</t>
        </is>
      </c>
      <c r="K98" t="n">
        <v>60</v>
      </c>
      <c r="L98" t="inlineStr">
        <is>
          <t>8 Agustus 2026</t>
        </is>
      </c>
      <c r="M98" t="inlineStr">
        <is>
          <t>Konstruksi Bangunan Sipil Jalan</t>
        </is>
      </c>
      <c r="N98" t="inlineStr">
        <is>
          <t>K</t>
        </is>
      </c>
      <c r="O98" t="inlineStr">
        <is>
          <t>20230503</t>
        </is>
      </c>
      <c r="P98" t="inlineStr">
        <is>
          <t>Nusa Tenggara Timur</t>
        </is>
      </c>
      <c r="Q98" t="inlineStr"/>
    </row>
    <row r="99">
      <c r="A99" t="inlineStr">
        <is>
          <t>SINAR SAKTI</t>
        </is>
      </c>
      <c r="B99" t="inlineStr">
        <is>
          <t>Kab. Rejang Lebong</t>
        </is>
      </c>
      <c r="C99" t="inlineStr">
        <is>
          <t>082181264452</t>
        </is>
      </c>
      <c r="D99" t="inlineStr">
        <is>
          <t>ss_sinarsakti@yahoo.com</t>
        </is>
      </c>
      <c r="E99" t="inlineStr">
        <is>
          <t>https://lpjk.pu.go.id/search-badan-usaha-detail/WFBncnhqYXpmN21lclpkd0x3TGZzQT09</t>
        </is>
      </c>
      <c r="F99" t="n">
        <v>2</v>
      </c>
      <c r="G99" t="inlineStr">
        <is>
          <t>BS001, BS002</t>
        </is>
      </c>
      <c r="H99" t="inlineStr">
        <is>
          <t>27 April 2009</t>
        </is>
      </c>
      <c r="I99" s="2" t="n">
        <v>46242</v>
      </c>
      <c r="J99" t="inlineStr">
        <is>
          <t>Disetujui, Pencabutan</t>
        </is>
      </c>
      <c r="K99" t="n">
        <v>60</v>
      </c>
      <c r="L99" t="inlineStr">
        <is>
          <t>8 Agustus 2026</t>
        </is>
      </c>
      <c r="M99" t="inlineStr">
        <is>
          <t>Bangunan Sipil Jembatan, Jalan Layang, Fly Over, dan Underpass, Konstruksi Bangunan Sipil Jalan</t>
        </is>
      </c>
      <c r="N99" t="inlineStr">
        <is>
          <t>K</t>
        </is>
      </c>
      <c r="O99" t="inlineStr">
        <is>
          <t>20230802</t>
        </is>
      </c>
      <c r="P99" t="inlineStr">
        <is>
          <t>Bengkulu</t>
        </is>
      </c>
      <c r="Q99" t="inlineStr"/>
    </row>
    <row r="100">
      <c r="A100" t="inlineStr">
        <is>
          <t>SINAR TEKNIK</t>
        </is>
      </c>
      <c r="B100" t="inlineStr">
        <is>
          <t>Kab. Kapuas Hulu</t>
        </is>
      </c>
      <c r="C100" t="inlineStr">
        <is>
          <t>082255811518</t>
        </is>
      </c>
      <c r="D100" t="inlineStr">
        <is>
          <t>sinarteknik.pts@gmail.com</t>
        </is>
      </c>
      <c r="E100" t="inlineStr">
        <is>
          <t>https://lpjk.pu.go.id/search-badan-usaha-detail/Q295enNyNzdFNVY1blMvd2FJc29WZz09</t>
        </is>
      </c>
      <c r="F100" t="n">
        <v>1</v>
      </c>
      <c r="G100" t="inlineStr">
        <is>
          <t>BG006</t>
        </is>
      </c>
      <c r="H100" t="inlineStr">
        <is>
          <t>23 April 2008</t>
        </is>
      </c>
      <c r="I100" s="2" t="n">
        <v>46242</v>
      </c>
      <c r="J100" t="inlineStr">
        <is>
          <t>Disetujui</t>
        </is>
      </c>
      <c r="K100" t="n">
        <v>60</v>
      </c>
      <c r="L100" t="inlineStr">
        <is>
          <t>8 Agustus 2026</t>
        </is>
      </c>
      <c r="M100" t="inlineStr">
        <is>
          <t>Konstruksi Gedung Pendidikan</t>
        </is>
      </c>
      <c r="N100" t="inlineStr">
        <is>
          <t>K</t>
        </is>
      </c>
      <c r="O100" t="inlineStr">
        <is>
          <t>20230731</t>
        </is>
      </c>
      <c r="P100" t="inlineStr">
        <is>
          <t>Kalimantan Barat</t>
        </is>
      </c>
      <c r="Q100" t="inlineStr"/>
    </row>
    <row r="101">
      <c r="A101" t="inlineStr">
        <is>
          <t>SINARBIRU ALAM TIMUR</t>
        </is>
      </c>
      <c r="B101" t="inlineStr">
        <is>
          <t>Kota Adm. Jakarta Selatan</t>
        </is>
      </c>
      <c r="C101" t="inlineStr">
        <is>
          <t>02121279075</t>
        </is>
      </c>
      <c r="D101" t="inlineStr">
        <is>
          <t>sinabirualamtimur05@gmail.com</t>
        </is>
      </c>
      <c r="E101" t="inlineStr">
        <is>
          <t>https://lpjk.pu.go.id/search-badan-usaha-detail/cEVGRTF4MExmSmE3aUowSHk1K1hXUT09</t>
        </is>
      </c>
      <c r="F101" t="n">
        <v>4</v>
      </c>
      <c r="G101" t="inlineStr">
        <is>
          <t>AR001, AR002, AR003, RK001</t>
        </is>
      </c>
      <c r="H101" t="inlineStr">
        <is>
          <t>6 Mei 2019</t>
        </is>
      </c>
      <c r="I101" s="2" t="n">
        <v>46242</v>
      </c>
      <c r="J101" t="inlineStr">
        <is>
          <t>Disetujui</t>
        </is>
      </c>
      <c r="K101" t="n">
        <v>60</v>
      </c>
      <c r="L101" t="inlineStr">
        <is>
          <t>8 Agustus 2026</t>
        </is>
      </c>
      <c r="M101" t="inlineStr">
        <is>
          <t>Jasa Arsitektural Bangunan Gedung Hunian dan Non Hunian, Jasa Arsitektural Lainnya, Jasa Desain Interior pada Bangunan Gedung dan Bangunan Sipil, Jasa Rekayasa Konstruksi Bangunan Gedung Hunian dan Non Hunian</t>
        </is>
      </c>
      <c r="N101" t="inlineStr">
        <is>
          <t>K</t>
        </is>
      </c>
      <c r="O101" t="inlineStr">
        <is>
          <t>20230728, 20230731</t>
        </is>
      </c>
      <c r="P101" t="inlineStr">
        <is>
          <t>DKI Jakarta</t>
        </is>
      </c>
      <c r="Q101" t="inlineStr"/>
    </row>
    <row r="102">
      <c r="A102" t="inlineStr">
        <is>
          <t>SINDO PUTRA MANDIRI</t>
        </is>
      </c>
      <c r="B102" t="inlineStr">
        <is>
          <t>Kota Pontianak</t>
        </is>
      </c>
      <c r="C102" t="inlineStr">
        <is>
          <t>081257832617</t>
        </is>
      </c>
      <c r="D102" t="inlineStr">
        <is>
          <t>sutisnasindo@gmail.com</t>
        </is>
      </c>
      <c r="E102" t="inlineStr">
        <is>
          <t>https://lpjk.pu.go.id/search-badan-usaha-detail/dWwwR01NT3U2bHpxb0RRTkhzSzNkQT09</t>
        </is>
      </c>
      <c r="F102" t="n">
        <v>1</v>
      </c>
      <c r="G102" t="inlineStr">
        <is>
          <t>BG001</t>
        </is>
      </c>
      <c r="H102" t="inlineStr">
        <is>
          <t>11 April 2023</t>
        </is>
      </c>
      <c r="I102" s="2" t="n">
        <v>46242</v>
      </c>
      <c r="J102" t="inlineStr">
        <is>
          <t>Disetujui</t>
        </is>
      </c>
      <c r="K102" t="n">
        <v>60</v>
      </c>
      <c r="L102" t="inlineStr">
        <is>
          <t>8 Agustus 2026</t>
        </is>
      </c>
      <c r="M102" t="inlineStr">
        <is>
          <t>Konstruksi Gedung Hunian</t>
        </is>
      </c>
      <c r="N102" t="inlineStr">
        <is>
          <t>K</t>
        </is>
      </c>
      <c r="O102" t="inlineStr">
        <is>
          <t>20230607</t>
        </is>
      </c>
      <c r="P102" t="inlineStr">
        <is>
          <t>Kalimantan Barat</t>
        </is>
      </c>
      <c r="Q102" t="inlineStr"/>
    </row>
    <row r="103">
      <c r="A103" t="inlineStr">
        <is>
          <t>SUGIHARTO</t>
        </is>
      </c>
      <c r="B103" t="inlineStr">
        <is>
          <t>Kab. Gresik</t>
        </is>
      </c>
      <c r="C103" t="inlineStr">
        <is>
          <t>081945385444</t>
        </is>
      </c>
      <c r="D103" t="inlineStr">
        <is>
          <t>sugihartocvgresik@gmail.com</t>
        </is>
      </c>
      <c r="E103" t="inlineStr">
        <is>
          <t>https://lpjk.pu.go.id/search-badan-usaha-detail/NjhUbkdUNFZCUGtCWDQ3Rmw0L05mdz09</t>
        </is>
      </c>
      <c r="F103" t="n">
        <v>2</v>
      </c>
      <c r="G103" t="inlineStr">
        <is>
          <t>BS001, BS010</t>
        </is>
      </c>
      <c r="H103" t="inlineStr">
        <is>
          <t>7 Maret 2022</t>
        </is>
      </c>
      <c r="I103" s="2" t="n">
        <v>46242</v>
      </c>
      <c r="J103" t="inlineStr">
        <is>
          <t>Disetujui</t>
        </is>
      </c>
      <c r="K103" t="n">
        <v>60</v>
      </c>
      <c r="L103" t="inlineStr">
        <is>
          <t>8 Agustus 2026</t>
        </is>
      </c>
      <c r="M103" t="inlineStr">
        <is>
          <t>Konstruksi Bangunan Prasarana Sumber Daya Air, Konstruksi Bangunan Sipil Jalan</t>
        </is>
      </c>
      <c r="N103" t="inlineStr">
        <is>
          <t>K</t>
        </is>
      </c>
      <c r="O103" t="inlineStr">
        <is>
          <t>20230801</t>
        </is>
      </c>
      <c r="P103" t="inlineStr">
        <is>
          <t>Jawa Timur</t>
        </is>
      </c>
      <c r="Q103" t="inlineStr"/>
    </row>
    <row r="104">
      <c r="A104" t="inlineStr">
        <is>
          <t>SUMATERA PIONEER BUILDINGMATERIAL</t>
        </is>
      </c>
      <c r="B104" t="inlineStr">
        <is>
          <t>Kab. Deli Serdang</t>
        </is>
      </c>
      <c r="C104" t="inlineStr">
        <is>
          <t>06180520571</t>
        </is>
      </c>
      <c r="D104" t="inlineStr">
        <is>
          <t>kraton@kreasibeton.com</t>
        </is>
      </c>
      <c r="E104" t="inlineStr">
        <is>
          <t>https://lpjk.pu.go.id/search-badan-usaha-detail/ajl3Rzl3QVcrQ0FobFZickNXNWoydz09</t>
        </is>
      </c>
      <c r="F104" t="n">
        <v>1</v>
      </c>
      <c r="G104" t="inlineStr">
        <is>
          <t>BS001</t>
        </is>
      </c>
      <c r="H104" t="inlineStr">
        <is>
          <t>2 Agustus 2002</t>
        </is>
      </c>
      <c r="I104" s="2" t="n">
        <v>46242</v>
      </c>
      <c r="J104" t="inlineStr">
        <is>
          <t>Pencabutan</t>
        </is>
      </c>
      <c r="K104" t="n">
        <v>60</v>
      </c>
      <c r="L104" t="inlineStr">
        <is>
          <t>8 Agustus 2026</t>
        </is>
      </c>
      <c r="M104" t="inlineStr">
        <is>
          <t>Konstruksi Bangunan Sipil Jalan</t>
        </is>
      </c>
      <c r="N104" t="inlineStr">
        <is>
          <t>K</t>
        </is>
      </c>
      <c r="O104" t="inlineStr">
        <is>
          <t>20230804</t>
        </is>
      </c>
      <c r="P104" t="inlineStr">
        <is>
          <t>Sumatera Utara</t>
        </is>
      </c>
      <c r="Q104" t="inlineStr"/>
    </row>
    <row r="105">
      <c r="A105" t="inlineStr">
        <is>
          <t>SUMBER BAROKAH KONTRUKSI</t>
        </is>
      </c>
      <c r="B105" t="inlineStr">
        <is>
          <t>Kab. Jember</t>
        </is>
      </c>
      <c r="C105" t="inlineStr">
        <is>
          <t>085102736999</t>
        </is>
      </c>
      <c r="D105" t="inlineStr">
        <is>
          <t>sumberbarokahkontruksi@gmail.com</t>
        </is>
      </c>
      <c r="E105" t="inlineStr">
        <is>
          <t>https://lpjk.pu.go.id/search-badan-usaha-detail/RHA3RGszcVJqR1IxVW96S0pLemU1UT09</t>
        </is>
      </c>
      <c r="F105" t="n">
        <v>2</v>
      </c>
      <c r="G105" t="inlineStr">
        <is>
          <t>BS001, BS004</t>
        </is>
      </c>
      <c r="H105" t="inlineStr">
        <is>
          <t>13 Januari 2023</t>
        </is>
      </c>
      <c r="I105" s="2" t="n">
        <v>46242</v>
      </c>
      <c r="J105" t="inlineStr">
        <is>
          <t>Disetujui</t>
        </is>
      </c>
      <c r="K105" t="n">
        <v>60</v>
      </c>
      <c r="L105" t="inlineStr">
        <is>
          <t>8 Agustus 2026</t>
        </is>
      </c>
      <c r="M105" t="inlineStr">
        <is>
          <t>Konstruksi Bangunan Sipil Jalan, Konstruksi Jaringan Irigasi dan Drainase</t>
        </is>
      </c>
      <c r="N105" t="inlineStr">
        <is>
          <t>K</t>
        </is>
      </c>
      <c r="O105" t="inlineStr">
        <is>
          <t>20230803</t>
        </is>
      </c>
      <c r="P105" t="inlineStr">
        <is>
          <t>Jawa Timur</t>
        </is>
      </c>
      <c r="Q105" t="inlineStr"/>
    </row>
    <row r="106">
      <c r="A106" t="inlineStr">
        <is>
          <t>TATA CIPTA KANOPI</t>
        </is>
      </c>
      <c r="B106" t="inlineStr">
        <is>
          <t>Kota Malang</t>
        </is>
      </c>
      <c r="C106" t="inlineStr">
        <is>
          <t>08123450526</t>
        </is>
      </c>
      <c r="D106" t="inlineStr">
        <is>
          <t>tata.ciptakanopi@gmail.com</t>
        </is>
      </c>
      <c r="E106" t="inlineStr">
        <is>
          <t>https://lpjk.pu.go.id/search-badan-usaha-detail/c1oxbUJWdWU0d0pxRlQ5aDE5bStlUT09</t>
        </is>
      </c>
      <c r="F106" t="n">
        <v>4</v>
      </c>
      <c r="G106" t="inlineStr">
        <is>
          <t>AL001, AL002, AL003, AL004</t>
        </is>
      </c>
      <c r="H106" t="inlineStr">
        <is>
          <t>6 Oktober 2021</t>
        </is>
      </c>
      <c r="I106" s="2" t="n">
        <v>46242</v>
      </c>
      <c r="J106" t="inlineStr">
        <is>
          <t>Disetujui</t>
        </is>
      </c>
      <c r="K106" t="n">
        <v>60</v>
      </c>
      <c r="L106" t="inlineStr">
        <is>
          <t>8 Agustus 2026</t>
        </is>
      </c>
      <c r="M106" t="inlineStr">
        <is>
          <t>Jasa Pengembangan Lingkungan Bangunan dan Lanskap, Jasa Pengembangan Pemanfaatan Ruang, Jasa Pengembangan Perkotaan, Jasa Pengembangan Wilayah</t>
        </is>
      </c>
      <c r="N106" t="inlineStr">
        <is>
          <t>K</t>
        </is>
      </c>
      <c r="O106" t="inlineStr">
        <is>
          <t>20230731</t>
        </is>
      </c>
      <c r="P106" t="inlineStr">
        <is>
          <t>Jawa Timur</t>
        </is>
      </c>
      <c r="Q106" t="inlineStr"/>
    </row>
    <row r="107">
      <c r="A107" t="inlineStr">
        <is>
          <t>TITIK BIDANG</t>
        </is>
      </c>
      <c r="B107" t="inlineStr">
        <is>
          <t>Kab. Jember</t>
        </is>
      </c>
      <c r="C107" t="inlineStr">
        <is>
          <t>082334955398</t>
        </is>
      </c>
      <c r="D107" t="inlineStr">
        <is>
          <t>titikbidang@gmail.com</t>
        </is>
      </c>
      <c r="E107" t="inlineStr">
        <is>
          <t>https://lpjk.pu.go.id/search-badan-usaha-detail/OWl1L0VaZzNYUU1XZTdpQ2RCWFpEQT09</t>
        </is>
      </c>
      <c r="F107" t="n">
        <v>1</v>
      </c>
      <c r="G107" t="inlineStr">
        <is>
          <t>BG005</t>
        </is>
      </c>
      <c r="H107" t="inlineStr">
        <is>
          <t>6 Juni 2023</t>
        </is>
      </c>
      <c r="I107" s="2" t="n">
        <v>46242</v>
      </c>
      <c r="J107" t="inlineStr">
        <is>
          <t>Disetujui</t>
        </is>
      </c>
      <c r="K107" t="n">
        <v>60</v>
      </c>
      <c r="L107" t="inlineStr">
        <is>
          <t>8 Agustus 2026</t>
        </is>
      </c>
      <c r="M107" t="inlineStr">
        <is>
          <t>Konstruksi Gedung Kesehatan</t>
        </is>
      </c>
      <c r="N107" t="inlineStr">
        <is>
          <t>K</t>
        </is>
      </c>
      <c r="O107" t="inlineStr">
        <is>
          <t>20230803</t>
        </is>
      </c>
      <c r="P107" t="inlineStr">
        <is>
          <t>Jawa Timur</t>
        </is>
      </c>
      <c r="Q107" t="inlineStr"/>
    </row>
    <row r="108">
      <c r="A108" t="inlineStr">
        <is>
          <t>TRI TANERTO SIMBER</t>
        </is>
      </c>
      <c r="B108" t="inlineStr">
        <is>
          <t>Kota Adm. Jakarta Selatan</t>
        </is>
      </c>
      <c r="C108" t="inlineStr">
        <is>
          <t>082113420667</t>
        </is>
      </c>
      <c r="D108" t="inlineStr">
        <is>
          <t>tritanertosimber@rocketmail.com</t>
        </is>
      </c>
      <c r="E108" t="inlineStr">
        <is>
          <t>https://lpjk.pu.go.id/search-badan-usaha-detail/bzNveHhlK0Exa2FqTVZNZzdCMzIvUT09</t>
        </is>
      </c>
      <c r="F108" t="n">
        <v>2</v>
      </c>
      <c r="G108" t="inlineStr">
        <is>
          <t>BG002, BS001</t>
        </is>
      </c>
      <c r="H108" t="inlineStr">
        <is>
          <t>20 Agustus 1986</t>
        </is>
      </c>
      <c r="I108" s="2" t="n">
        <v>46242</v>
      </c>
      <c r="J108" t="inlineStr">
        <is>
          <t>Disetujui, Pencabutan</t>
        </is>
      </c>
      <c r="K108" t="n">
        <v>60</v>
      </c>
      <c r="L108" t="inlineStr">
        <is>
          <t>8 Agustus 2026</t>
        </is>
      </c>
      <c r="M108" t="inlineStr">
        <is>
          <t>Konstruksi Bangunan Sipil Jalan, Konstruksi Gedung Perkantoran</t>
        </is>
      </c>
      <c r="N108" t="inlineStr">
        <is>
          <t>K</t>
        </is>
      </c>
      <c r="O108" t="inlineStr">
        <is>
          <t>20230804, 20230806</t>
        </is>
      </c>
      <c r="P108" t="inlineStr">
        <is>
          <t>DKI Jakarta</t>
        </is>
      </c>
      <c r="Q108" t="inlineStr"/>
    </row>
    <row r="109">
      <c r="A109" t="inlineStr">
        <is>
          <t>TRIPLE ASEJAHTERA</t>
        </is>
      </c>
      <c r="B109" t="inlineStr">
        <is>
          <t>Kab. Lamongan</t>
        </is>
      </c>
      <c r="C109" t="inlineStr">
        <is>
          <t>0895378792255</t>
        </is>
      </c>
      <c r="D109" t="inlineStr">
        <is>
          <t>hj.musjrifah@gmail.com</t>
        </is>
      </c>
      <c r="E109" t="inlineStr">
        <is>
          <t>https://lpjk.pu.go.id/search-badan-usaha-detail/TWNqS0VUYUZMaW02TWRhdFJOR3ZwQT09</t>
        </is>
      </c>
      <c r="F109" t="n">
        <v>1</v>
      </c>
      <c r="G109" t="inlineStr">
        <is>
          <t>BS004</t>
        </is>
      </c>
      <c r="H109" t="inlineStr">
        <is>
          <t>23 Juli 2018</t>
        </is>
      </c>
      <c r="I109" s="2" t="n">
        <v>46242</v>
      </c>
      <c r="J109" t="inlineStr">
        <is>
          <t>Disetujui</t>
        </is>
      </c>
      <c r="K109" t="n">
        <v>60</v>
      </c>
      <c r="L109" t="inlineStr">
        <is>
          <t>8 Agustus 2026</t>
        </is>
      </c>
      <c r="M109" t="inlineStr">
        <is>
          <t>Konstruksi Jaringan Irigasi dan Drainase</t>
        </is>
      </c>
      <c r="N109" t="inlineStr">
        <is>
          <t>K</t>
        </is>
      </c>
      <c r="O109" t="inlineStr">
        <is>
          <t>20230731</t>
        </is>
      </c>
      <c r="P109" t="inlineStr">
        <is>
          <t>Jawa Timur</t>
        </is>
      </c>
      <c r="Q109" t="inlineStr"/>
    </row>
    <row r="110">
      <c r="A110" t="inlineStr">
        <is>
          <t>TUNAS SOWEK</t>
        </is>
      </c>
      <c r="B110" t="inlineStr">
        <is>
          <t>Kab. Biak Numfor</t>
        </is>
      </c>
      <c r="C110" t="inlineStr">
        <is>
          <t>0811487236</t>
        </is>
      </c>
      <c r="D110" t="inlineStr">
        <is>
          <t>abdullah.pribadi06@gmail.com</t>
        </is>
      </c>
      <c r="E110" t="inlineStr">
        <is>
          <t>https://lpjk.pu.go.id/search-badan-usaha-detail/dkJzaERQb1lheFUvVEsyWWR0bkF2QT09</t>
        </is>
      </c>
      <c r="F110" t="n">
        <v>1</v>
      </c>
      <c r="G110" t="inlineStr">
        <is>
          <t>BG001</t>
        </is>
      </c>
      <c r="H110" t="inlineStr">
        <is>
          <t>18 November 2013</t>
        </is>
      </c>
      <c r="I110" s="2" t="n">
        <v>46242</v>
      </c>
      <c r="J110" t="inlineStr">
        <is>
          <t>Disetujui</t>
        </is>
      </c>
      <c r="K110" t="n">
        <v>60</v>
      </c>
      <c r="L110" t="inlineStr">
        <is>
          <t>8 Agustus 2026</t>
        </is>
      </c>
      <c r="M110" t="inlineStr">
        <is>
          <t>Konstruksi Gedung Hunian</t>
        </is>
      </c>
      <c r="N110" t="inlineStr">
        <is>
          <t>K</t>
        </is>
      </c>
      <c r="O110" t="inlineStr">
        <is>
          <t>20230808</t>
        </is>
      </c>
      <c r="P110" t="inlineStr">
        <is>
          <t>Papua</t>
        </is>
      </c>
      <c r="Q110" t="inlineStr"/>
    </row>
    <row r="111">
      <c r="A111" t="inlineStr">
        <is>
          <t>WALUYA</t>
        </is>
      </c>
      <c r="B111" t="inlineStr">
        <is>
          <t>Kab. Banjarnegara</t>
        </is>
      </c>
      <c r="C111" t="inlineStr">
        <is>
          <t>085215597770</t>
        </is>
      </c>
      <c r="D111" t="inlineStr">
        <is>
          <t>cvwaluya43@gmail.com</t>
        </is>
      </c>
      <c r="E111" t="inlineStr">
        <is>
          <t>https://lpjk.pu.go.id/search-badan-usaha-detail/U25YZmtpb3JSNTRUMHNXMEhKWmRtQT09</t>
        </is>
      </c>
      <c r="F111" t="n">
        <v>1</v>
      </c>
      <c r="G111" t="inlineStr">
        <is>
          <t>BS001</t>
        </is>
      </c>
      <c r="H111" t="inlineStr">
        <is>
          <t>14 Juli 2009</t>
        </is>
      </c>
      <c r="I111" s="2" t="n">
        <v>46242</v>
      </c>
      <c r="J111" t="inlineStr">
        <is>
          <t>Disetujui</t>
        </is>
      </c>
      <c r="K111" t="n">
        <v>60</v>
      </c>
      <c r="L111" t="inlineStr">
        <is>
          <t>8 Agustus 2026</t>
        </is>
      </c>
      <c r="M111" t="inlineStr">
        <is>
          <t>Konstruksi Bangunan Sipil Jalan</t>
        </is>
      </c>
      <c r="N111" t="inlineStr">
        <is>
          <t>K</t>
        </is>
      </c>
      <c r="O111" t="inlineStr">
        <is>
          <t>20230801</t>
        </is>
      </c>
      <c r="P111" t="inlineStr">
        <is>
          <t>Jawa Tengah</t>
        </is>
      </c>
      <c r="Q111" t="inlineStr"/>
    </row>
    <row r="112">
      <c r="A112" t="inlineStr">
        <is>
          <t>WIRYA KRENINDO PERKASA</t>
        </is>
      </c>
      <c r="B112" t="inlineStr">
        <is>
          <t>Kota Adm. Jakarta Utara</t>
        </is>
      </c>
      <c r="C112" t="inlineStr">
        <is>
          <t>081337705417</t>
        </is>
      </c>
      <c r="D112" t="inlineStr">
        <is>
          <t>hrga2@ekatamagroup.com</t>
        </is>
      </c>
      <c r="E112" t="inlineStr">
        <is>
          <t>https://lpjk.pu.go.id/search-badan-usaha-detail/K0hYMm9UZUNGQkNtSUJ6ZFI4Y1ZoQT09</t>
        </is>
      </c>
      <c r="F112" t="n">
        <v>1</v>
      </c>
      <c r="G112" t="inlineStr">
        <is>
          <t>BG009</t>
        </is>
      </c>
      <c r="H112" t="inlineStr">
        <is>
          <t>5 Februari 1997</t>
        </is>
      </c>
      <c r="I112" s="2" t="n">
        <v>46242</v>
      </c>
      <c r="J112" t="inlineStr">
        <is>
          <t>Disetujui</t>
        </is>
      </c>
      <c r="K112" t="n">
        <v>60</v>
      </c>
      <c r="L112" t="inlineStr">
        <is>
          <t>8 Agustus 2026</t>
        </is>
      </c>
      <c r="M112" t="inlineStr">
        <is>
          <t>Konstruksi Gedung Lainnya</t>
        </is>
      </c>
      <c r="N112" t="inlineStr">
        <is>
          <t>M</t>
        </is>
      </c>
      <c r="O112" t="inlineStr">
        <is>
          <t>20230803</t>
        </is>
      </c>
      <c r="P112" t="inlineStr">
        <is>
          <t>DKI Jakarta</t>
        </is>
      </c>
      <c r="Q112" t="inlineStr"/>
    </row>
    <row r="113">
      <c r="A113" t="inlineStr">
        <is>
          <t>WIYASA KONSTRUKSINDO UTAMA</t>
        </is>
      </c>
      <c r="B113" t="inlineStr">
        <is>
          <t>Kota Makassar</t>
        </is>
      </c>
      <c r="C113" t="inlineStr">
        <is>
          <t>085239990921</t>
        </is>
      </c>
      <c r="D113" t="inlineStr">
        <is>
          <t>wiyasakonstruksindo@gmail.com</t>
        </is>
      </c>
      <c r="E113" t="inlineStr">
        <is>
          <t>https://lpjk.pu.go.id/search-badan-usaha-detail/ZFRmWEJCM3FnWUR2UXpqbUFObm1ldz09</t>
        </is>
      </c>
      <c r="F113" t="n">
        <v>1</v>
      </c>
      <c r="G113" t="inlineStr">
        <is>
          <t>BG005</t>
        </is>
      </c>
      <c r="H113" t="inlineStr">
        <is>
          <t>26 Januari 2023</t>
        </is>
      </c>
      <c r="I113" s="2" t="n">
        <v>46242</v>
      </c>
      <c r="J113" t="inlineStr">
        <is>
          <t>Disetujui</t>
        </is>
      </c>
      <c r="K113" t="n">
        <v>60</v>
      </c>
      <c r="L113" t="inlineStr">
        <is>
          <t>8 Agustus 2026</t>
        </is>
      </c>
      <c r="M113" t="inlineStr">
        <is>
          <t>Konstruksi Gedung Kesehatan</t>
        </is>
      </c>
      <c r="N113" t="inlineStr">
        <is>
          <t>K</t>
        </is>
      </c>
      <c r="O113" t="inlineStr">
        <is>
          <t>20230721</t>
        </is>
      </c>
      <c r="P113" t="inlineStr">
        <is>
          <t>Sulawesi Selatan</t>
        </is>
      </c>
      <c r="Q113" t="inlineStr"/>
    </row>
    <row r="114">
      <c r="A114" t="inlineStr">
        <is>
          <t>YDP USAHA PERDANA</t>
        </is>
      </c>
      <c r="B114" t="inlineStr">
        <is>
          <t>Kab. Bandung Barat</t>
        </is>
      </c>
      <c r="C114" t="inlineStr">
        <is>
          <t>0222789314</t>
        </is>
      </c>
      <c r="D114" t="inlineStr">
        <is>
          <t>ydp_usahaperdana@yahoo.com</t>
        </is>
      </c>
      <c r="E114" t="inlineStr">
        <is>
          <t>https://lpjk.pu.go.id/search-badan-usaha-detail/dUc1ZFRYZUMwOXk5cmxhenFrekJjQT09</t>
        </is>
      </c>
      <c r="F114" t="n">
        <v>4</v>
      </c>
      <c r="G114" t="inlineStr">
        <is>
          <t>BG001, BG005</t>
        </is>
      </c>
      <c r="H114" t="inlineStr">
        <is>
          <t>4 Juni 2002</t>
        </is>
      </c>
      <c r="I114" s="2" t="n">
        <v>46242</v>
      </c>
      <c r="J114" t="inlineStr">
        <is>
          <t>Disetujui</t>
        </is>
      </c>
      <c r="K114" t="n">
        <v>60</v>
      </c>
      <c r="L114" t="inlineStr">
        <is>
          <t>8 Agustus 2026</t>
        </is>
      </c>
      <c r="M114" t="inlineStr">
        <is>
          <t>Konstruksi Gedung Hunian, Konstruksi Gedung Kesehatan</t>
        </is>
      </c>
      <c r="N114" t="inlineStr">
        <is>
          <t>K</t>
        </is>
      </c>
      <c r="O114" t="inlineStr">
        <is>
          <t>20230802, 20230803</t>
        </is>
      </c>
      <c r="P114" t="inlineStr">
        <is>
          <t>Jawa Barat</t>
        </is>
      </c>
      <c r="Q114" t="inlineStr"/>
    </row>
    <row r="115">
      <c r="A115" t="inlineStr">
        <is>
          <t>YUKI KARYA PERSADA</t>
        </is>
      </c>
      <c r="B115" t="inlineStr">
        <is>
          <t>Kab. Cirebon</t>
        </is>
      </c>
      <c r="C115" t="inlineStr">
        <is>
          <t>082217667522</t>
        </is>
      </c>
      <c r="D115" t="inlineStr">
        <is>
          <t>cvyukikaryapersada@gmail.com</t>
        </is>
      </c>
      <c r="E115" t="inlineStr">
        <is>
          <t>https://lpjk.pu.go.id/search-badan-usaha-detail/bkVxelB5S3pVaVREM2RTOU9yRmo2dz09</t>
        </is>
      </c>
      <c r="F115" t="n">
        <v>1</v>
      </c>
      <c r="G115" t="inlineStr">
        <is>
          <t>BG009</t>
        </is>
      </c>
      <c r="H115" t="inlineStr">
        <is>
          <t>13 Juni 2023</t>
        </is>
      </c>
      <c r="I115" s="2" t="n">
        <v>46242</v>
      </c>
      <c r="J115" t="inlineStr">
        <is>
          <t>Disetujui</t>
        </is>
      </c>
      <c r="K115" t="n">
        <v>60</v>
      </c>
      <c r="L115" t="inlineStr">
        <is>
          <t>8 Agustus 2026</t>
        </is>
      </c>
      <c r="M115" t="inlineStr">
        <is>
          <t>Konstruksi Gedung Lainnya</t>
        </is>
      </c>
      <c r="N115" t="inlineStr">
        <is>
          <t>K</t>
        </is>
      </c>
      <c r="O115" t="inlineStr">
        <is>
          <t>20230804</t>
        </is>
      </c>
      <c r="P115" t="inlineStr">
        <is>
          <t>Jawa Barat</t>
        </is>
      </c>
      <c r="Q115" t="inlineStr"/>
    </row>
    <row r="116">
      <c r="A116" t="inlineStr">
        <is>
          <t>ZAFRAN SUDRAJAT KONSULTAN</t>
        </is>
      </c>
      <c r="B116" t="inlineStr">
        <is>
          <t>Kab. Klaten</t>
        </is>
      </c>
      <c r="C116" t="inlineStr">
        <is>
          <t>082310648800</t>
        </is>
      </c>
      <c r="D116" t="inlineStr">
        <is>
          <t>zafransudrajatkonsultan@yahoo.com</t>
        </is>
      </c>
      <c r="E116" t="inlineStr">
        <is>
          <t>https://lpjk.pu.go.id/search-badan-usaha-detail/QnZnQWZ1WUhkMWlUNTFnTTQ2V3J6QT09</t>
        </is>
      </c>
      <c r="F116" t="n">
        <v>1</v>
      </c>
      <c r="G116" t="inlineStr">
        <is>
          <t>RK003</t>
        </is>
      </c>
      <c r="H116" t="inlineStr">
        <is>
          <t>12 Mei 2017</t>
        </is>
      </c>
      <c r="I116" s="2" t="n">
        <v>46242</v>
      </c>
      <c r="J116" t="inlineStr">
        <is>
          <t>Konfirmasi Pembayaran</t>
        </is>
      </c>
      <c r="K116" t="n">
        <v>60</v>
      </c>
      <c r="L116" t="inlineStr">
        <is>
          <t>8 Agustus 2026</t>
        </is>
      </c>
      <c r="M116" t="inlineStr">
        <is>
          <t>Jasa Rekayasa Pekerjaan Teknik Sipil Transportasi</t>
        </is>
      </c>
      <c r="N116" t="inlineStr">
        <is>
          <t>B</t>
        </is>
      </c>
      <c r="O116" t="inlineStr">
        <is>
          <t>20230629</t>
        </is>
      </c>
      <c r="P116" t="inlineStr">
        <is>
          <t>Jawa Tengah</t>
        </is>
      </c>
      <c r="Q1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85"/>
  <sheetViews>
    <sheetView workbookViewId="0">
      <selection activeCell="A1" sqref="A1"/>
    </sheetView>
  </sheetViews>
  <sheetFormatPr baseColWidth="8" defaultRowHeight="15"/>
  <cols>
    <col width="49" customWidth="1" min="1" max="1"/>
    <col width="27" customWidth="1" min="2" max="2"/>
    <col width="16" customWidth="1" min="3" max="3"/>
    <col width="40" customWidth="1" min="4" max="4"/>
    <col width="50" customWidth="1" min="5" max="5"/>
    <col width="18" customWidth="1" min="6" max="6"/>
    <col width="35" customWidth="1" min="7" max="7"/>
    <col width="20" customWidth="1" min="8" max="8"/>
    <col width="28" customWidth="1" min="9" max="9"/>
    <col width="34"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GRAHA JAYA BERSAMA</t>
        </is>
      </c>
      <c r="B2" t="inlineStr">
        <is>
          <t>Kab. Bekasi</t>
        </is>
      </c>
      <c r="C2" t="inlineStr">
        <is>
          <t>081385662005</t>
        </is>
      </c>
      <c r="D2" t="inlineStr">
        <is>
          <t>grahajayabersama@gmail.com</t>
        </is>
      </c>
      <c r="E2" t="inlineStr">
        <is>
          <t>https://lpjk.pu.go.id/search-badan-usaha-detail/eFFCRGRUM2V2QnJ4bFJTc3V3UHdJQT09</t>
        </is>
      </c>
      <c r="F2" t="n">
        <v>3</v>
      </c>
      <c r="G2" t="inlineStr">
        <is>
          <t>BG002, BG003, BG009</t>
        </is>
      </c>
      <c r="H2" t="inlineStr">
        <is>
          <t>19 September 2019</t>
        </is>
      </c>
      <c r="I2" s="2" t="n">
        <v>46212</v>
      </c>
      <c r="J2" t="inlineStr">
        <is>
          <t>Disetujui</t>
        </is>
      </c>
      <c r="K2" t="n">
        <v>30</v>
      </c>
      <c r="L2" t="inlineStr">
        <is>
          <t>9 Juli 2026</t>
        </is>
      </c>
      <c r="M2" t="inlineStr">
        <is>
          <t>Konstruksi Gedung Industri, Konstruksi Gedung Lainnya, Konstruksi Gedung Perkantoran</t>
        </is>
      </c>
      <c r="N2" t="inlineStr">
        <is>
          <t>K</t>
        </is>
      </c>
      <c r="O2" t="inlineStr">
        <is>
          <t>20230626</t>
        </is>
      </c>
      <c r="P2" t="inlineStr">
        <is>
          <t>Jawa Barat</t>
        </is>
      </c>
      <c r="Q2" s="3">
        <f>HYPERLINK("https://wa.me/6281385662005?text=*[Pengingat Masa Berlaku SBU GRAHA JAYA BERSAMA]*%0A%0AYth. Pimpinan GRAHA JAYA BERSAMA,%0AMohon izin menginformasikan status SBU Anda:%0A%0A📄 SBU: BG002, BG003, BG009%0A📅 Expired: 9 Juli 2026 (30 Hari Lagi)%0A%0AKami tim PT. ESDEA Assistance Management siap men-support proses perpanjangan segera agar administrasi proyek tidak terhambat%0A%0AApakah boleh saya bantu siapkan estimasi biaya dan waktu pengerjaannya?.", "Hubungi")</f>
        <v/>
      </c>
    </row>
    <row r="3">
      <c r="A3" t="inlineStr">
        <is>
          <t>HARIZKA SARANA MEDIKA</t>
        </is>
      </c>
      <c r="B3" t="inlineStr">
        <is>
          <t>Kab. Bogor</t>
        </is>
      </c>
      <c r="C3" t="inlineStr">
        <is>
          <t>02175676950</t>
        </is>
      </c>
      <c r="D3" t="inlineStr">
        <is>
          <t>pthsm.idealcare@gmail.com</t>
        </is>
      </c>
      <c r="E3" t="inlineStr">
        <is>
          <t>https://lpjk.pu.go.id/search-badan-usaha-detail/eUs5NFhDRE9SNnhCQ3B3aVRPbVhLdz09</t>
        </is>
      </c>
      <c r="F3" t="n">
        <v>2</v>
      </c>
      <c r="G3" t="inlineStr">
        <is>
          <t>BG007</t>
        </is>
      </c>
      <c r="H3" t="inlineStr">
        <is>
          <t>22 Juni 2012</t>
        </is>
      </c>
      <c r="I3" s="2" t="n">
        <v>46212</v>
      </c>
      <c r="J3" t="inlineStr">
        <is>
          <t>Disetujui</t>
        </is>
      </c>
      <c r="K3" t="n">
        <v>30</v>
      </c>
      <c r="L3" t="inlineStr">
        <is>
          <t>9 Juli 2026</t>
        </is>
      </c>
      <c r="M3" t="inlineStr">
        <is>
          <t>Konstruksi Gedung Penginapan</t>
        </is>
      </c>
      <c r="N3" t="inlineStr">
        <is>
          <t>K</t>
        </is>
      </c>
      <c r="O3" t="inlineStr">
        <is>
          <t>20230706</t>
        </is>
      </c>
      <c r="P3" t="inlineStr">
        <is>
          <t>Jawa Barat</t>
        </is>
      </c>
      <c r="Q3" t="inlineStr"/>
    </row>
    <row r="4">
      <c r="A4" t="inlineStr">
        <is>
          <t>INTI NUSA KONSTRUKSI</t>
        </is>
      </c>
      <c r="B4" t="inlineStr">
        <is>
          <t>Kota Depok</t>
        </is>
      </c>
      <c r="C4" t="inlineStr">
        <is>
          <t>087886118171</t>
        </is>
      </c>
      <c r="D4" t="inlineStr">
        <is>
          <t>intinusakonstruksi@gmail.com</t>
        </is>
      </c>
      <c r="E4" t="inlineStr">
        <is>
          <t>https://lpjk.pu.go.id/search-badan-usaha-detail/RVNaeDhrM2ErSnNMUjkzZmhMTHhwQT09</t>
        </is>
      </c>
      <c r="F4" t="n">
        <v>2</v>
      </c>
      <c r="G4" t="inlineStr">
        <is>
          <t>BS001, BS004</t>
        </is>
      </c>
      <c r="H4" t="inlineStr">
        <is>
          <t>27 Juni 2023</t>
        </is>
      </c>
      <c r="I4" s="2" t="n">
        <v>46212</v>
      </c>
      <c r="J4" t="inlineStr">
        <is>
          <t>Disetujui</t>
        </is>
      </c>
      <c r="K4" t="n">
        <v>30</v>
      </c>
      <c r="L4" t="inlineStr">
        <is>
          <t>9 Juli 2026</t>
        </is>
      </c>
      <c r="M4" t="inlineStr">
        <is>
          <t>Konstruksi Bangunan Sipil Jalan, Konstruksi Jaringan Irigasi dan Drainase</t>
        </is>
      </c>
      <c r="N4" t="inlineStr">
        <is>
          <t>K</t>
        </is>
      </c>
      <c r="O4" t="inlineStr">
        <is>
          <t>20230710</t>
        </is>
      </c>
      <c r="P4" t="inlineStr">
        <is>
          <t>Jawa Barat</t>
        </is>
      </c>
      <c r="Q4" s="3">
        <f>HYPERLINK("https://wa.me/6287886118171?text=*[Pengingat Masa Berlaku SBU INTI NUSA KONSTRUKSI]*%0A%0AYth. Pimpinan INTI NUSA KONSTRUKSI,%0AMohon izin menginformasikan status SBU Anda:%0A%0A📄 SBU: BS001, BS004%0A📅 Expired: 9 Juli 2026 (30 Hari Lagi)%0A%0AKami tim PT. ESDEA Assistance Management siap men-support proses perpanjangan segera agar administrasi proyek tidak terhambat%0A%0AApakah boleh saya bantu siapkan estimasi biaya dan waktu pengerjaannya?.", "Hubungi")</f>
        <v/>
      </c>
    </row>
    <row r="5">
      <c r="A5" t="inlineStr">
        <is>
          <t>KHARISMA MITRA GEMILANG</t>
        </is>
      </c>
      <c r="B5" t="inlineStr">
        <is>
          <t>Kota Adm. Jakarta Timur</t>
        </is>
      </c>
      <c r="C5" t="inlineStr">
        <is>
          <t>02121012100</t>
        </is>
      </c>
      <c r="D5" t="inlineStr">
        <is>
          <t>kharismamg@kharismamg.com</t>
        </is>
      </c>
      <c r="E5" t="inlineStr">
        <is>
          <t>https://lpjk.pu.go.id/search-badan-usaha-detail/SGJtNFQxNC9HdHpLS1V3TVUxMW91dz09</t>
        </is>
      </c>
      <c r="F5" t="n">
        <v>2</v>
      </c>
      <c r="G5" t="inlineStr">
        <is>
          <t>IN004</t>
        </is>
      </c>
      <c r="H5" t="inlineStr">
        <is>
          <t>2 Mei 2012</t>
        </is>
      </c>
      <c r="I5" s="2" t="n">
        <v>46212</v>
      </c>
      <c r="J5" t="inlineStr">
        <is>
          <t>Pembekuan</t>
        </is>
      </c>
      <c r="K5" t="n">
        <v>30</v>
      </c>
      <c r="L5" t="inlineStr">
        <is>
          <t>9 Juli 2026</t>
        </is>
      </c>
      <c r="M5" t="inlineStr">
        <is>
          <t>Instalasi Minyak dan Gas</t>
        </is>
      </c>
      <c r="N5" t="inlineStr">
        <is>
          <t>Spesialis</t>
        </is>
      </c>
      <c r="O5" t="inlineStr">
        <is>
          <t>20230525</t>
        </is>
      </c>
      <c r="P5" t="inlineStr">
        <is>
          <t>DKI Jakarta</t>
        </is>
      </c>
      <c r="Q5" t="inlineStr"/>
    </row>
    <row r="6">
      <c r="A6" t="inlineStr">
        <is>
          <t>MITRA MULYA UTAMA</t>
        </is>
      </c>
      <c r="B6" t="inlineStr">
        <is>
          <t>Kota Bogor</t>
        </is>
      </c>
      <c r="C6" t="inlineStr">
        <is>
          <t>0251 7571 359_</t>
        </is>
      </c>
      <c r="D6" t="inlineStr">
        <is>
          <t>mitramulyautama@yahoo.co.id</t>
        </is>
      </c>
      <c r="E6" t="inlineStr">
        <is>
          <t>https://lpjk.pu.go.id/search-badan-usaha-detail/ck1HS2JkZ0JvVzBML0hxbE1aMFdvUT09</t>
        </is>
      </c>
      <c r="F6" t="n">
        <v>4</v>
      </c>
      <c r="G6" t="inlineStr">
        <is>
          <t>BG005, BG006, BG009, BS002</t>
        </is>
      </c>
      <c r="H6" t="inlineStr">
        <is>
          <t>18 Januari 2016</t>
        </is>
      </c>
      <c r="I6" s="2" t="n">
        <v>46212</v>
      </c>
      <c r="J6" t="inlineStr">
        <is>
          <t>Disetujui</t>
        </is>
      </c>
      <c r="K6" t="n">
        <v>30</v>
      </c>
      <c r="L6" t="inlineStr">
        <is>
          <t>9 Juli 2026</t>
        </is>
      </c>
      <c r="M6" t="inlineStr">
        <is>
          <t>Bangunan Sipil Jembatan, Jalan Layang, Fly Over, dan Underpass, Konstruksi Gedung Kesehatan, Konstruksi Gedung Lainnya, Konstruksi Gedung Pendidikan</t>
        </is>
      </c>
      <c r="N6" t="inlineStr">
        <is>
          <t>K</t>
        </is>
      </c>
      <c r="O6" t="inlineStr">
        <is>
          <t>20230703</t>
        </is>
      </c>
      <c r="P6" t="inlineStr">
        <is>
          <t>Jawa Barat</t>
        </is>
      </c>
      <c r="Q6" s="3">
        <f>HYPERLINK("https://wa.me/622517571359?text=*[Pengingat Masa Berlaku SBU MITRA MULYA UTAMA]*%0A%0AYth. Pimpinan MITRA MULYA UTAMA,%0AMohon izin menginformasikan status SBU Anda:%0A%0A📄 SBU: BG005, BG006, BG009, BS002%0A📅 Expired: 9 Juli 2026 (30 Hari Lagi)%0A%0AKami tim PT. ESDEA Assistance Management siap men-support proses perpanjangan segera agar administrasi proyek tidak terhambat%0A%0AApakah boleh saya bantu siapkan estimasi biaya dan waktu pengerjaannya?.", "Hubungi")</f>
        <v/>
      </c>
    </row>
    <row r="7">
      <c r="A7" t="inlineStr">
        <is>
          <t>NURICA MAHA SEJATI</t>
        </is>
      </c>
      <c r="B7" t="inlineStr">
        <is>
          <t>Kota Depok</t>
        </is>
      </c>
      <c r="C7" t="inlineStr">
        <is>
          <t>0217702885</t>
        </is>
      </c>
      <c r="D7" t="inlineStr">
        <is>
          <t>pt.nuricamahasejati@gmail.com</t>
        </is>
      </c>
      <c r="E7" t="inlineStr">
        <is>
          <t>https://lpjk.pu.go.id/search-badan-usaha-detail/M2RzdmE5REVCVXRTbFdHb1BZamV3Zz09</t>
        </is>
      </c>
      <c r="F7" t="n">
        <v>2</v>
      </c>
      <c r="G7" t="inlineStr">
        <is>
          <t>BG003</t>
        </is>
      </c>
      <c r="H7" t="inlineStr">
        <is>
          <t>8 Januari 2014</t>
        </is>
      </c>
      <c r="I7" s="2" t="n">
        <v>46212</v>
      </c>
      <c r="J7" t="inlineStr">
        <is>
          <t>Disetujui</t>
        </is>
      </c>
      <c r="K7" t="n">
        <v>30</v>
      </c>
      <c r="L7" t="inlineStr">
        <is>
          <t>9 Juli 2026</t>
        </is>
      </c>
      <c r="M7" t="inlineStr">
        <is>
          <t>Konstruksi Gedung Industri</t>
        </is>
      </c>
      <c r="N7" t="inlineStr">
        <is>
          <t>K</t>
        </is>
      </c>
      <c r="O7" t="inlineStr">
        <is>
          <t>20230706</t>
        </is>
      </c>
      <c r="P7" t="inlineStr">
        <is>
          <t>Jawa Barat</t>
        </is>
      </c>
      <c r="Q7" t="inlineStr"/>
    </row>
    <row r="8">
      <c r="A8" t="inlineStr">
        <is>
          <t>PERUSAHAAN PERSEROAN (PERSERO) PT. HUTAMA KARYA</t>
        </is>
      </c>
      <c r="B8" t="inlineStr">
        <is>
          <t>Kota Adm. Jakarta Timur</t>
        </is>
      </c>
      <c r="C8" t="inlineStr">
        <is>
          <t>0218193708</t>
        </is>
      </c>
      <c r="D8" t="inlineStr">
        <is>
          <t>pthk@hutamakarya.com</t>
        </is>
      </c>
      <c r="E8" t="inlineStr">
        <is>
          <t>https://lpjk.pu.go.id/search-badan-usaha-detail/TE1nYjBDd0dtOWR1MTRtTjcwVFgrdz09</t>
        </is>
      </c>
      <c r="F8" t="n">
        <v>1</v>
      </c>
      <c r="G8" t="inlineStr">
        <is>
          <t>BG006</t>
        </is>
      </c>
      <c r="H8" t="inlineStr">
        <is>
          <t>5 Maret 1973</t>
        </is>
      </c>
      <c r="I8" s="2" t="n">
        <v>46212</v>
      </c>
      <c r="J8" t="inlineStr">
        <is>
          <t>Disetujui</t>
        </is>
      </c>
      <c r="K8" t="n">
        <v>30</v>
      </c>
      <c r="L8" t="inlineStr">
        <is>
          <t>9 Juli 2026</t>
        </is>
      </c>
      <c r="M8" t="inlineStr">
        <is>
          <t>Konstruksi Gedung Pendidikan</t>
        </is>
      </c>
      <c r="N8" t="inlineStr">
        <is>
          <t>B</t>
        </is>
      </c>
      <c r="O8" t="inlineStr">
        <is>
          <t>20230530</t>
        </is>
      </c>
      <c r="P8" t="inlineStr">
        <is>
          <t>DKI Jakarta</t>
        </is>
      </c>
      <c r="Q8" t="inlineStr"/>
    </row>
    <row r="9">
      <c r="A9" t="inlineStr">
        <is>
          <t>PUTRA JAYA ABADI</t>
        </is>
      </c>
      <c r="B9" t="inlineStr">
        <is>
          <t>Kota Depok</t>
        </is>
      </c>
      <c r="C9" t="inlineStr">
        <is>
          <t>02177885631</t>
        </is>
      </c>
      <c r="D9" t="inlineStr">
        <is>
          <t>p.jayaabadi2@gmail.com</t>
        </is>
      </c>
      <c r="E9" t="inlineStr">
        <is>
          <t>https://lpjk.pu.go.id/search-badan-usaha-detail/M3pBOU8vYnZ5dkMyMlpDb0t3c2xjdz09</t>
        </is>
      </c>
      <c r="F9" t="n">
        <v>1</v>
      </c>
      <c r="G9" t="inlineStr">
        <is>
          <t>BG001</t>
        </is>
      </c>
      <c r="H9" t="inlineStr">
        <is>
          <t>28 September 2016</t>
        </is>
      </c>
      <c r="I9" s="2" t="n">
        <v>46212</v>
      </c>
      <c r="J9" t="inlineStr">
        <is>
          <t>Disetujui</t>
        </is>
      </c>
      <c r="K9" t="n">
        <v>30</v>
      </c>
      <c r="L9" t="inlineStr">
        <is>
          <t>9 Juli 2026</t>
        </is>
      </c>
      <c r="M9" t="inlineStr">
        <is>
          <t>Konstruksi Gedung Hunian</t>
        </is>
      </c>
      <c r="N9" t="inlineStr">
        <is>
          <t>K</t>
        </is>
      </c>
      <c r="O9" t="inlineStr">
        <is>
          <t>20230710</t>
        </is>
      </c>
      <c r="P9" t="inlineStr">
        <is>
          <t>Jawa Barat</t>
        </is>
      </c>
      <c r="Q9" t="inlineStr"/>
    </row>
    <row r="10">
      <c r="A10" t="inlineStr">
        <is>
          <t>PUTRA PAGAR BATU</t>
        </is>
      </c>
      <c r="B10" t="inlineStr">
        <is>
          <t>Kota Adm. Jakarta Timur</t>
        </is>
      </c>
      <c r="C10" t="inlineStr">
        <is>
          <t>08138144488</t>
        </is>
      </c>
      <c r="D10" t="inlineStr">
        <is>
          <t>putrapagarbatu@gmail.com</t>
        </is>
      </c>
      <c r="E10" t="inlineStr">
        <is>
          <t>https://lpjk.pu.go.id/search-badan-usaha-detail/TTEyazlzVlc3dFZnSmZib0ZlTmNyUT09</t>
        </is>
      </c>
      <c r="F10" t="n">
        <v>2</v>
      </c>
      <c r="G10" t="inlineStr">
        <is>
          <t>BG005, BG006</t>
        </is>
      </c>
      <c r="H10" t="inlineStr">
        <is>
          <t>21 April 2017</t>
        </is>
      </c>
      <c r="I10" s="2" t="n">
        <v>46212</v>
      </c>
      <c r="J10" t="inlineStr">
        <is>
          <t>Pencabutan</t>
        </is>
      </c>
      <c r="K10" t="n">
        <v>30</v>
      </c>
      <c r="L10" t="inlineStr">
        <is>
          <t>9 Juli 2026</t>
        </is>
      </c>
      <c r="M10" t="inlineStr">
        <is>
          <t>Konstruksi Gedung Kesehatan, Konstruksi Gedung Pendidikan</t>
        </is>
      </c>
      <c r="N10" t="inlineStr">
        <is>
          <t>K</t>
        </is>
      </c>
      <c r="O10" t="inlineStr">
        <is>
          <t>20230605</t>
        </is>
      </c>
      <c r="P10" t="inlineStr">
        <is>
          <t>DKI Jakarta</t>
        </is>
      </c>
      <c r="Q10" s="3">
        <f>HYPERLINK("https://wa.me/628138144488?text=*[Pengingat Masa Berlaku SBU PUTRA PAGAR BATU]*%0A%0AYth. Pimpinan PUTRA PAGAR BATU,%0AMohon izin menginformasikan status SBU Anda:%0A%0A📄 SBU: BG005, BG006%0A📅 Expired: 9 Juli 2026 (30 Hari Lagi)%0A%0AKami tim PT. ESDEA Assistance Management siap men-support proses perpanjangan segera agar administrasi proyek tidak terhambat%0A%0AApakah boleh saya bantu siapkan estimasi biaya dan waktu pengerjaannya?.", "Hubungi")</f>
        <v/>
      </c>
    </row>
    <row r="11">
      <c r="A11" t="inlineStr">
        <is>
          <t>RAJA JAYA TEKNIK</t>
        </is>
      </c>
      <c r="B11" t="inlineStr">
        <is>
          <t>Kab. Bekasi</t>
        </is>
      </c>
      <c r="C11" t="inlineStr">
        <is>
          <t>02189383637</t>
        </is>
      </c>
      <c r="D11" t="inlineStr">
        <is>
          <t>rajajayatekhnik@ymail.com</t>
        </is>
      </c>
      <c r="E11" t="inlineStr">
        <is>
          <t>https://lpjk.pu.go.id/search-badan-usaha-detail/TmNsdVF0bkhpUE9WaDlrYTlTa1Fldz09</t>
        </is>
      </c>
      <c r="F11" t="n">
        <v>1</v>
      </c>
      <c r="G11" t="inlineStr">
        <is>
          <t>BG003</t>
        </is>
      </c>
      <c r="H11" t="inlineStr">
        <is>
          <t>6 Maret 2013</t>
        </is>
      </c>
      <c r="I11" s="2" t="n">
        <v>46212</v>
      </c>
      <c r="J11" t="inlineStr">
        <is>
          <t>Disetujui</t>
        </is>
      </c>
      <c r="K11" t="n">
        <v>30</v>
      </c>
      <c r="L11" t="inlineStr">
        <is>
          <t>9 Juli 2026</t>
        </is>
      </c>
      <c r="M11" t="inlineStr">
        <is>
          <t>Konstruksi Gedung Industri</t>
        </is>
      </c>
      <c r="N11" t="inlineStr">
        <is>
          <t>M</t>
        </is>
      </c>
      <c r="O11" t="inlineStr">
        <is>
          <t>20230613</t>
        </is>
      </c>
      <c r="P11" t="inlineStr">
        <is>
          <t>Jawa Barat</t>
        </is>
      </c>
      <c r="Q11" t="inlineStr"/>
    </row>
    <row r="12">
      <c r="A12" t="inlineStr">
        <is>
          <t>RANCANG ALAM ENGINEERING</t>
        </is>
      </c>
      <c r="B12" t="inlineStr">
        <is>
          <t>Kota Bogor</t>
        </is>
      </c>
      <c r="C12" t="inlineStr">
        <is>
          <t>081295023885</t>
        </is>
      </c>
      <c r="D12" t="inlineStr">
        <is>
          <t>rancang.alam17@gmail.com</t>
        </is>
      </c>
      <c r="E12" t="inlineStr">
        <is>
          <t>https://lpjk.pu.go.id/search-badan-usaha-detail/cWlDUDNxdytyOHkzb0FtbG5RZnExUT09</t>
        </is>
      </c>
      <c r="F12" t="n">
        <v>2</v>
      </c>
      <c r="G12" t="inlineStr">
        <is>
          <t>RK001</t>
        </is>
      </c>
      <c r="H12" t="inlineStr">
        <is>
          <t>3 Oktober 2005</t>
        </is>
      </c>
      <c r="I12" s="2" t="n">
        <v>46212</v>
      </c>
      <c r="J12" t="inlineStr">
        <is>
          <t>Disetujui</t>
        </is>
      </c>
      <c r="K12" t="n">
        <v>30</v>
      </c>
      <c r="L12" t="inlineStr">
        <is>
          <t>9 Juli 2026</t>
        </is>
      </c>
      <c r="M12" t="inlineStr">
        <is>
          <t>Jasa Rekayasa Konstruksi Bangunan Gedung Hunian dan Non Hunian</t>
        </is>
      </c>
      <c r="N12" t="inlineStr">
        <is>
          <t>K</t>
        </is>
      </c>
      <c r="O12" t="inlineStr">
        <is>
          <t>20230622</t>
        </is>
      </c>
      <c r="P12" t="inlineStr">
        <is>
          <t>Jawa Barat</t>
        </is>
      </c>
      <c r="Q12" s="3">
        <f>HYPERLINK("https://wa.me/6281295023885?text=*[Pengingat Masa Berlaku SBU RANCANG ALAM ENGINEERING]*%0A%0AYth. Pimpinan RANCANG ALAM ENGINEERING,%0AMohon izin menginformasikan status SBU Anda:%0A%0A📄 SBU: RK001%0A📅 Expired: 9 Juli 2026 (30 Hari Lagi)%0A%0AKami tim PT. ESDEA Assistance Management siap men-support proses perpanjangan segera agar administrasi proyek tidak terhambat%0A%0AApakah boleh saya bantu siapkan estimasi biaya dan waktu pengerjaannya?.", "Hubungi")</f>
        <v/>
      </c>
    </row>
    <row r="13">
      <c r="A13" t="inlineStr">
        <is>
          <t>SEMAR SAKTI ABADI</t>
        </is>
      </c>
      <c r="B13" t="inlineStr">
        <is>
          <t>Kota Adm. Jakarta Timur</t>
        </is>
      </c>
      <c r="C13" t="inlineStr">
        <is>
          <t>081213181404</t>
        </is>
      </c>
      <c r="D13" t="inlineStr">
        <is>
          <t>semar_saktiabadi888@outlook.com</t>
        </is>
      </c>
      <c r="E13" t="inlineStr">
        <is>
          <t>https://lpjk.pu.go.id/search-badan-usaha-detail/ZEthNFIzOTFLdG5vV1ZQK0dHUmZqUT09</t>
        </is>
      </c>
      <c r="F13" t="n">
        <v>1</v>
      </c>
      <c r="G13" t="inlineStr">
        <is>
          <t>BS001</t>
        </is>
      </c>
      <c r="H13" t="inlineStr">
        <is>
          <t>28 Juni 2022</t>
        </is>
      </c>
      <c r="I13" s="2" t="n">
        <v>46212</v>
      </c>
      <c r="J13" t="inlineStr">
        <is>
          <t>Disetujui</t>
        </is>
      </c>
      <c r="K13" t="n">
        <v>30</v>
      </c>
      <c r="L13" t="inlineStr">
        <is>
          <t>9 Juli 2026</t>
        </is>
      </c>
      <c r="M13" t="inlineStr">
        <is>
          <t>Konstruksi Bangunan Sipil Jalan</t>
        </is>
      </c>
      <c r="N13" t="inlineStr">
        <is>
          <t>K</t>
        </is>
      </c>
      <c r="O13" t="inlineStr">
        <is>
          <t>20230616</t>
        </is>
      </c>
      <c r="P13" t="inlineStr">
        <is>
          <t>DKI Jakarta</t>
        </is>
      </c>
      <c r="Q13" s="3">
        <f>HYPERLINK("https://wa.me/6281213181404?text=*[Pengingat Masa Berlaku SBU SEMAR SAKTI ABADI]*%0A%0AYth. Pimpinan SEMAR SAKTI ABADI,%0AMohon izin menginformasikan status SBU Anda:%0A%0A📄 SBU: BS001%0A📅 Expired: 9 Juli 2026 (30 Hari Lagi)%0A%0AKami tim PT. ESDEA Assistance Management siap men-support proses perpanjangan segera agar administrasi proyek tidak terhambat%0A%0AApakah boleh saya bantu siapkan estimasi biaya dan waktu pengerjaannya?.", "Hubungi")</f>
        <v/>
      </c>
    </row>
    <row r="14">
      <c r="A14" t="inlineStr">
        <is>
          <t>SIMAN KARYA</t>
        </is>
      </c>
      <c r="B14" t="inlineStr">
        <is>
          <t>Kota Depok</t>
        </is>
      </c>
      <c r="C14" t="inlineStr">
        <is>
          <t>081316780320</t>
        </is>
      </c>
      <c r="D14" t="inlineStr">
        <is>
          <t>cv.simankarya@gmail.com</t>
        </is>
      </c>
      <c r="E14" t="inlineStr">
        <is>
          <t>https://lpjk.pu.go.id/search-badan-usaha-detail/MmlUdTFXL1dxREVwdXZQUEs1YnUwdz09</t>
        </is>
      </c>
      <c r="F14" t="n">
        <v>2</v>
      </c>
      <c r="G14" t="inlineStr">
        <is>
          <t>BS006</t>
        </is>
      </c>
      <c r="H14" t="inlineStr">
        <is>
          <t>26 Maret 2018</t>
        </is>
      </c>
      <c r="I14" s="2" t="n">
        <v>46212</v>
      </c>
      <c r="J14" t="inlineStr">
        <is>
          <t>Disetujui</t>
        </is>
      </c>
      <c r="K14" t="n">
        <v>30</v>
      </c>
      <c r="L14" t="inlineStr">
        <is>
          <t>9 Juli 2026</t>
        </is>
      </c>
      <c r="M14" t="inlineStr">
        <is>
          <t>Konstruksi Bangunan Sipil Prasarana dan Sarana Sistem Pengolahan Limbah Padat, Cair, dan Gas</t>
        </is>
      </c>
      <c r="N14" t="inlineStr">
        <is>
          <t>K</t>
        </is>
      </c>
      <c r="O14" t="inlineStr">
        <is>
          <t>20230703</t>
        </is>
      </c>
      <c r="P14" t="inlineStr">
        <is>
          <t>Jawa Barat</t>
        </is>
      </c>
      <c r="Q14" s="3">
        <f>HYPERLINK("https://wa.me/6281316780320?text=*[Pengingat Masa Berlaku SBU SIMAN KARYA]*%0A%0AYth. Pimpinan SIMAN KARYA,%0AMohon izin menginformasikan status SBU Anda:%0A%0A📄 SBU: BS006%0A📅 Expired: 9 Juli 2026 (30 Hari Lagi)%0A%0AKami tim PT. ESDEA Assistance Management siap men-support proses perpanjangan segera agar administrasi proyek tidak terhambat%0A%0AApakah boleh saya bantu siapkan estimasi biaya dan waktu pengerjaannya?.", "Hubungi")</f>
        <v/>
      </c>
    </row>
    <row r="15">
      <c r="A15" t="inlineStr">
        <is>
          <t>TRIRARA PURNAMA JAYA</t>
        </is>
      </c>
      <c r="B15" t="inlineStr">
        <is>
          <t>Kab. Bogor</t>
        </is>
      </c>
      <c r="C15" t="inlineStr">
        <is>
          <t>085697596117</t>
        </is>
      </c>
      <c r="D15" t="inlineStr">
        <is>
          <t>trirarapurnamajaya@gmail.com</t>
        </is>
      </c>
      <c r="E15" t="inlineStr">
        <is>
          <t>https://lpjk.pu.go.id/search-badan-usaha-detail/UVhEVXNjSXpHVUhTdzFqZGRwN3BJdz09</t>
        </is>
      </c>
      <c r="F15" t="n">
        <v>1</v>
      </c>
      <c r="G15" t="inlineStr">
        <is>
          <t>BS001</t>
        </is>
      </c>
      <c r="H15" t="inlineStr">
        <is>
          <t>28 September 2022</t>
        </is>
      </c>
      <c r="I15" s="2" t="n">
        <v>46212</v>
      </c>
      <c r="J15" t="inlineStr">
        <is>
          <t>Pencabutan</t>
        </is>
      </c>
      <c r="K15" t="n">
        <v>30</v>
      </c>
      <c r="L15" t="inlineStr">
        <is>
          <t>9 Juli 2026</t>
        </is>
      </c>
      <c r="M15" t="inlineStr">
        <is>
          <t>Konstruksi Bangunan Sipil Jalan</t>
        </is>
      </c>
      <c r="N15" t="inlineStr">
        <is>
          <t>K</t>
        </is>
      </c>
      <c r="O15" t="inlineStr">
        <is>
          <t>20230710</t>
        </is>
      </c>
      <c r="P15" t="inlineStr">
        <is>
          <t>Jawa Barat</t>
        </is>
      </c>
      <c r="Q15" s="3">
        <f>HYPERLINK("https://wa.me/6285697596117?text=*[Pengingat Masa Berlaku SBU TRIRARA PURNAMA JAYA]*%0A%0AYth. Pimpinan TRIRARA PURNAMA JAYA,%0AMohon izin menginformasikan status SBU Anda:%0A%0A📄 SBU: BS001%0A📅 Expired: 9 Juli 2026 (30 Hari Lagi)%0A%0AKami tim PT. ESDEA Assistance Management siap men-support proses perpanjangan segera agar administrasi proyek tidak terhambat%0A%0AApakah boleh saya bantu siapkan estimasi biaya dan waktu pengerjaannya?.", "Hubungi")</f>
        <v/>
      </c>
    </row>
    <row r="16">
      <c r="A16" t="inlineStr">
        <is>
          <t>ABINA</t>
        </is>
      </c>
      <c r="B16" t="inlineStr">
        <is>
          <t>Kab. Blitar</t>
        </is>
      </c>
      <c r="C16" t="inlineStr">
        <is>
          <t>085735660503</t>
        </is>
      </c>
      <c r="D16" t="inlineStr">
        <is>
          <t>abina.cv@yahoo.com</t>
        </is>
      </c>
      <c r="E16" t="inlineStr">
        <is>
          <t>https://lpjk.pu.go.id/search-badan-usaha-detail/ckNOTmdjYVo5dEY4UG5RenZsNGFRZz09</t>
        </is>
      </c>
      <c r="F16" t="n">
        <v>2</v>
      </c>
      <c r="G16" t="inlineStr">
        <is>
          <t>BG009, BS001</t>
        </is>
      </c>
      <c r="H16" t="inlineStr">
        <is>
          <t>22 Juni 2012</t>
        </is>
      </c>
      <c r="I16" s="2" t="n">
        <v>46212</v>
      </c>
      <c r="J16" t="inlineStr">
        <is>
          <t>Disetujui</t>
        </is>
      </c>
      <c r="K16" t="n">
        <v>30</v>
      </c>
      <c r="L16" t="inlineStr">
        <is>
          <t>9 Juli 2026</t>
        </is>
      </c>
      <c r="M16" t="inlineStr">
        <is>
          <t>Konstruksi Bangunan Sipil Jalan, Konstruksi Gedung Lainnya</t>
        </is>
      </c>
      <c r="N16" t="inlineStr">
        <is>
          <t>K</t>
        </is>
      </c>
      <c r="O16" t="inlineStr">
        <is>
          <t>20230623, 20230630</t>
        </is>
      </c>
      <c r="P16" t="inlineStr">
        <is>
          <t>Jawa Timur</t>
        </is>
      </c>
      <c r="Q16" t="inlineStr"/>
    </row>
    <row r="17">
      <c r="A17" t="inlineStr">
        <is>
          <t>ABYAKTA GALA NUSANTARA</t>
        </is>
      </c>
      <c r="B17" t="inlineStr">
        <is>
          <t>Kota Balikpapan</t>
        </is>
      </c>
      <c r="C17" t="inlineStr">
        <is>
          <t>082153704007</t>
        </is>
      </c>
      <c r="D17" t="inlineStr">
        <is>
          <t>Abyaktanusantara@gmail.com</t>
        </is>
      </c>
      <c r="E17" t="inlineStr">
        <is>
          <t>https://lpjk.pu.go.id/search-badan-usaha-detail/ZnVsWmpzQmJqU1hpcXhiYWRySkhWZz09</t>
        </is>
      </c>
      <c r="F17" t="n">
        <v>1</v>
      </c>
      <c r="G17" t="inlineStr">
        <is>
          <t>BS005</t>
        </is>
      </c>
      <c r="H17" t="inlineStr">
        <is>
          <t>12 Juni 2023</t>
        </is>
      </c>
      <c r="I17" s="2" t="n">
        <v>46212</v>
      </c>
      <c r="J17" t="inlineStr">
        <is>
          <t>Disetujui</t>
        </is>
      </c>
      <c r="K17" t="n">
        <v>30</v>
      </c>
      <c r="L17" t="inlineStr">
        <is>
          <t>9 Juli 2026</t>
        </is>
      </c>
      <c r="M17" t="inlineStr">
        <is>
          <t>Konstruksi Bangunan Sipil Pengolahan Air Bersih</t>
        </is>
      </c>
      <c r="N17" t="inlineStr">
        <is>
          <t>K</t>
        </is>
      </c>
      <c r="O17" t="inlineStr">
        <is>
          <t>20230703</t>
        </is>
      </c>
      <c r="P17" t="inlineStr">
        <is>
          <t>Kalimantan Timur</t>
        </is>
      </c>
      <c r="Q17" t="inlineStr"/>
    </row>
    <row r="18">
      <c r="A18" t="inlineStr">
        <is>
          <t>ADHIRA JASA AGRAPANA</t>
        </is>
      </c>
      <c r="B18" t="inlineStr">
        <is>
          <t>Kab. Bantul</t>
        </is>
      </c>
      <c r="C18" t="inlineStr">
        <is>
          <t>082137628376</t>
        </is>
      </c>
      <c r="D18" t="inlineStr">
        <is>
          <t>agrapanaadhirajasa@gmail.com</t>
        </is>
      </c>
      <c r="E18" t="inlineStr">
        <is>
          <t>https://lpjk.pu.go.id/search-badan-usaha-detail/cFpya0dzdTFPNUVUaDQxbDE2eEZVZz09</t>
        </is>
      </c>
      <c r="F18" t="n">
        <v>1</v>
      </c>
      <c r="G18" t="inlineStr">
        <is>
          <t>BG002</t>
        </is>
      </c>
      <c r="H18" t="inlineStr">
        <is>
          <t>18 Februari 2022</t>
        </is>
      </c>
      <c r="I18" s="2" t="n">
        <v>46212</v>
      </c>
      <c r="J18" t="inlineStr">
        <is>
          <t>Disetujui</t>
        </is>
      </c>
      <c r="K18" t="n">
        <v>30</v>
      </c>
      <c r="L18" t="inlineStr">
        <is>
          <t>9 Juli 2026</t>
        </is>
      </c>
      <c r="M18" t="inlineStr">
        <is>
          <t>Konstruksi Gedung Perkantoran</t>
        </is>
      </c>
      <c r="N18" t="inlineStr">
        <is>
          <t>K</t>
        </is>
      </c>
      <c r="O18" t="inlineStr">
        <is>
          <t>20230620</t>
        </is>
      </c>
      <c r="P18" t="inlineStr">
        <is>
          <t>DI Yogyakarta</t>
        </is>
      </c>
      <c r="Q18" t="inlineStr"/>
    </row>
    <row r="19">
      <c r="A19" t="inlineStr">
        <is>
          <t>ADI KURNIA</t>
        </is>
      </c>
      <c r="B19" t="inlineStr">
        <is>
          <t>Kab. Ngawi</t>
        </is>
      </c>
      <c r="C19" t="inlineStr">
        <is>
          <t>081335597241</t>
        </is>
      </c>
      <c r="D19" t="inlineStr">
        <is>
          <t>cv.adikurnia@yahoo.com</t>
        </is>
      </c>
      <c r="E19" t="inlineStr">
        <is>
          <t>https://lpjk.pu.go.id/search-badan-usaha-detail/WlJkY0N3RG5tYVoyMlZKb0FCdXJYZz09</t>
        </is>
      </c>
      <c r="F19" t="n">
        <v>1</v>
      </c>
      <c r="G19" t="inlineStr">
        <is>
          <t>BS001</t>
        </is>
      </c>
      <c r="H19" t="inlineStr">
        <is>
          <t>10 Maret 1980</t>
        </is>
      </c>
      <c r="I19" s="2" t="n">
        <v>46212</v>
      </c>
      <c r="J19" t="inlineStr">
        <is>
          <t>Disetujui</t>
        </is>
      </c>
      <c r="K19" t="n">
        <v>30</v>
      </c>
      <c r="L19" t="inlineStr">
        <is>
          <t>9 Juli 2026</t>
        </is>
      </c>
      <c r="M19" t="inlineStr">
        <is>
          <t>Konstruksi Bangunan Sipil Jalan</t>
        </is>
      </c>
      <c r="N19" t="inlineStr">
        <is>
          <t>K</t>
        </is>
      </c>
      <c r="O19" t="inlineStr">
        <is>
          <t>20230706</t>
        </is>
      </c>
      <c r="P19" t="inlineStr">
        <is>
          <t>Jawa Timur</t>
        </is>
      </c>
      <c r="Q19" t="inlineStr"/>
    </row>
    <row r="20">
      <c r="A20" t="inlineStr">
        <is>
          <t>ADYATMA KARYA PERKASA</t>
        </is>
      </c>
      <c r="B20" t="inlineStr">
        <is>
          <t>Kab. Kolaka</t>
        </is>
      </c>
      <c r="C20" t="inlineStr">
        <is>
          <t>081346773569</t>
        </is>
      </c>
      <c r="D20" t="inlineStr">
        <is>
          <t>baharkamba9@gmail.com</t>
        </is>
      </c>
      <c r="E20" t="inlineStr">
        <is>
          <t>https://lpjk.pu.go.id/search-badan-usaha-detail/S2ZnTDAySHcxNzNTQVRUeDNaUUgyUT09</t>
        </is>
      </c>
      <c r="F20" t="n">
        <v>2</v>
      </c>
      <c r="G20" t="inlineStr">
        <is>
          <t>BS004</t>
        </is>
      </c>
      <c r="H20" t="inlineStr">
        <is>
          <t>10 September 2005</t>
        </is>
      </c>
      <c r="I20" s="2" t="n">
        <v>46212</v>
      </c>
      <c r="J20" t="inlineStr">
        <is>
          <t>Disetujui</t>
        </is>
      </c>
      <c r="K20" t="n">
        <v>30</v>
      </c>
      <c r="L20" t="inlineStr">
        <is>
          <t>9 Juli 2026</t>
        </is>
      </c>
      <c r="M20" t="inlineStr">
        <is>
          <t>Konstruksi Jaringan Irigasi dan Drainase</t>
        </is>
      </c>
      <c r="N20" t="inlineStr">
        <is>
          <t>K</t>
        </is>
      </c>
      <c r="O20" t="inlineStr">
        <is>
          <t>20230705</t>
        </is>
      </c>
      <c r="P20" t="inlineStr">
        <is>
          <t>Sulawesi Tenggara</t>
        </is>
      </c>
      <c r="Q20" t="inlineStr"/>
    </row>
    <row r="21">
      <c r="A21" t="inlineStr">
        <is>
          <t>AJI PRATAMA</t>
        </is>
      </c>
      <c r="B21" t="inlineStr">
        <is>
          <t>Kab. Kotawaringin Timur</t>
        </is>
      </c>
      <c r="C21" t="inlineStr">
        <is>
          <t>085393660914</t>
        </is>
      </c>
      <c r="D21" t="inlineStr">
        <is>
          <t>cv.ajipratama@yahoo.co.id</t>
        </is>
      </c>
      <c r="E21" t="inlineStr">
        <is>
          <t>https://lpjk.pu.go.id/search-badan-usaha-detail/YkswZFBaZXlrbXZNZTZJMVBLa0xQQT09</t>
        </is>
      </c>
      <c r="F21" t="n">
        <v>1</v>
      </c>
      <c r="G21" t="inlineStr">
        <is>
          <t>BS004</t>
        </is>
      </c>
      <c r="H21" t="inlineStr">
        <is>
          <t>3 Januari 2014</t>
        </is>
      </c>
      <c r="I21" s="2" t="n">
        <v>46212</v>
      </c>
      <c r="J21" t="inlineStr">
        <is>
          <t>Disetujui</t>
        </is>
      </c>
      <c r="K21" t="n">
        <v>30</v>
      </c>
      <c r="L21" t="inlineStr">
        <is>
          <t>9 Juli 2026</t>
        </is>
      </c>
      <c r="M21" t="inlineStr">
        <is>
          <t>Konstruksi Jaringan Irigasi dan Drainase</t>
        </is>
      </c>
      <c r="N21" t="inlineStr">
        <is>
          <t>K</t>
        </is>
      </c>
      <c r="O21" t="inlineStr">
        <is>
          <t>20230706</t>
        </is>
      </c>
      <c r="P21" t="inlineStr">
        <is>
          <t>Kalimantan Tengah</t>
        </is>
      </c>
      <c r="Q21" t="inlineStr"/>
    </row>
    <row r="22">
      <c r="A22" t="inlineStr">
        <is>
          <t>ALLAM DAYA WICAKSANA</t>
        </is>
      </c>
      <c r="B22" t="inlineStr">
        <is>
          <t>Kota Gunungsitoli</t>
        </is>
      </c>
      <c r="C22" t="inlineStr">
        <is>
          <t>082168481995</t>
        </is>
      </c>
      <c r="D22" t="inlineStr">
        <is>
          <t>pt.allamdayawicaksana@gmail.com</t>
        </is>
      </c>
      <c r="E22" t="inlineStr">
        <is>
          <t>https://lpjk.pu.go.id/search-badan-usaha-detail/dmVaVWVHU2FuY295a3hKbm5qMTFZUT09</t>
        </is>
      </c>
      <c r="F22" t="n">
        <v>2</v>
      </c>
      <c r="G22" t="inlineStr">
        <is>
          <t>PB009</t>
        </is>
      </c>
      <c r="H22" t="inlineStr">
        <is>
          <t>14 September 2017</t>
        </is>
      </c>
      <c r="I22" s="2" t="n">
        <v>46212</v>
      </c>
      <c r="J22" t="inlineStr">
        <is>
          <t>Pencabutan</t>
        </is>
      </c>
      <c r="K22" t="n">
        <v>30</v>
      </c>
      <c r="L22" t="inlineStr">
        <is>
          <t>9 Juli 2026</t>
        </is>
      </c>
      <c r="M22" t="inlineStr">
        <is>
          <t>Pembersihan dan Perapihan Bangunan Gedung dan/atau Bangunan Sipil</t>
        </is>
      </c>
      <c r="N22" t="inlineStr">
        <is>
          <t>Spesialis</t>
        </is>
      </c>
      <c r="O22" t="inlineStr">
        <is>
          <t>20230707</t>
        </is>
      </c>
      <c r="P22" t="inlineStr">
        <is>
          <t>Sumatera Utara</t>
        </is>
      </c>
      <c r="Q22" t="inlineStr"/>
    </row>
    <row r="23">
      <c r="A23" t="inlineStr">
        <is>
          <t>AMANAH PERDANA IBU</t>
        </is>
      </c>
      <c r="B23" t="inlineStr">
        <is>
          <t>Kab. Solok</t>
        </is>
      </c>
      <c r="C23" t="inlineStr">
        <is>
          <t>081270535520</t>
        </is>
      </c>
      <c r="D23" t="inlineStr">
        <is>
          <t>amanahperdanaibu12@gmail.com</t>
        </is>
      </c>
      <c r="E23" t="inlineStr">
        <is>
          <t>https://lpjk.pu.go.id/search-badan-usaha-detail/M3pXVzNaelBHU0g2VHZOZzlZNExkQT09</t>
        </is>
      </c>
      <c r="F23" t="n">
        <v>3</v>
      </c>
      <c r="G23" t="inlineStr">
        <is>
          <t>BS001</t>
        </is>
      </c>
      <c r="H23" t="inlineStr">
        <is>
          <t>9 Juli 2019</t>
        </is>
      </c>
      <c r="I23" s="2" t="n">
        <v>46212</v>
      </c>
      <c r="J23" t="inlineStr">
        <is>
          <t>Disetujui</t>
        </is>
      </c>
      <c r="K23" t="n">
        <v>30</v>
      </c>
      <c r="L23" t="inlineStr">
        <is>
          <t>9 Juli 2026</t>
        </is>
      </c>
      <c r="M23" t="inlineStr">
        <is>
          <t>Konstruksi Bangunan Sipil Jalan</t>
        </is>
      </c>
      <c r="N23" t="inlineStr">
        <is>
          <t>K</t>
        </is>
      </c>
      <c r="O23" t="inlineStr">
        <is>
          <t>20230623</t>
        </is>
      </c>
      <c r="P23" t="inlineStr">
        <is>
          <t>Sumatera Barat</t>
        </is>
      </c>
      <c r="Q23" t="inlineStr"/>
    </row>
    <row r="24">
      <c r="A24" t="inlineStr">
        <is>
          <t>ANAK MONTES PERKASA</t>
        </is>
      </c>
      <c r="B24" t="inlineStr">
        <is>
          <t>Kab. Aceh Besar</t>
        </is>
      </c>
      <c r="C24" t="inlineStr">
        <is>
          <t>082364186845</t>
        </is>
      </c>
      <c r="D24" t="inlineStr">
        <is>
          <t>anakmontes_cv@ymail.com</t>
        </is>
      </c>
      <c r="E24" t="inlineStr">
        <is>
          <t>https://lpjk.pu.go.id/search-badan-usaha-detail/RGdUODZLSVFvNFlCcDV0Z0JXZmpPUT09</t>
        </is>
      </c>
      <c r="F24" t="n">
        <v>1</v>
      </c>
      <c r="G24" t="inlineStr">
        <is>
          <t>BS004</t>
        </is>
      </c>
      <c r="H24" t="inlineStr">
        <is>
          <t>25 Mei 2009</t>
        </is>
      </c>
      <c r="I24" s="2" t="n">
        <v>46212</v>
      </c>
      <c r="J24" t="inlineStr">
        <is>
          <t>Disetujui</t>
        </is>
      </c>
      <c r="K24" t="n">
        <v>30</v>
      </c>
      <c r="L24" t="inlineStr">
        <is>
          <t>9 Juli 2026</t>
        </is>
      </c>
      <c r="M24" t="inlineStr">
        <is>
          <t>Konstruksi Jaringan Irigasi dan Drainase</t>
        </is>
      </c>
      <c r="N24" t="inlineStr">
        <is>
          <t>K</t>
        </is>
      </c>
      <c r="O24" t="inlineStr">
        <is>
          <t>20230705</t>
        </is>
      </c>
      <c r="P24" t="inlineStr">
        <is>
          <t>Aceh</t>
        </is>
      </c>
      <c r="Q24" t="inlineStr"/>
    </row>
    <row r="25">
      <c r="A25" t="inlineStr">
        <is>
          <t>ANANTA</t>
        </is>
      </c>
      <c r="B25" t="inlineStr">
        <is>
          <t>Kota Palembang</t>
        </is>
      </c>
      <c r="C25" t="inlineStr">
        <is>
          <t>081367484925</t>
        </is>
      </c>
      <c r="D25" t="inlineStr">
        <is>
          <t>raturoni@gmail.com</t>
        </is>
      </c>
      <c r="E25" t="inlineStr">
        <is>
          <t>https://lpjk.pu.go.id/search-badan-usaha-detail/MXYxQjBhSkszTG5ZMHFOSzhFaUZMUT09</t>
        </is>
      </c>
      <c r="F25" t="n">
        <v>1</v>
      </c>
      <c r="G25" t="inlineStr">
        <is>
          <t>BS016</t>
        </is>
      </c>
      <c r="H25" t="inlineStr">
        <is>
          <t>18 Januari 2007</t>
        </is>
      </c>
      <c r="I25" s="2" t="n">
        <v>46212</v>
      </c>
      <c r="J25" t="inlineStr">
        <is>
          <t>Pencabutan</t>
        </is>
      </c>
      <c r="K25" t="n">
        <v>30</v>
      </c>
      <c r="L25" t="inlineStr">
        <is>
          <t>9 Juli 2026</t>
        </is>
      </c>
      <c r="M25" t="inlineStr">
        <is>
          <t>Konstruksi Bangunan Sipil Fasilitas Olah Raga</t>
        </is>
      </c>
      <c r="N25" t="inlineStr">
        <is>
          <t>K</t>
        </is>
      </c>
      <c r="O25" t="inlineStr">
        <is>
          <t>20230710</t>
        </is>
      </c>
      <c r="P25" t="inlineStr">
        <is>
          <t>Sumatera Selatan</t>
        </is>
      </c>
      <c r="Q25" t="inlineStr"/>
    </row>
    <row r="26">
      <c r="A26" t="inlineStr">
        <is>
          <t>ANDIRA</t>
        </is>
      </c>
      <c r="B26" t="inlineStr">
        <is>
          <t>Kab. Kepulauan Yapen</t>
        </is>
      </c>
      <c r="C26" t="inlineStr">
        <is>
          <t>081344966676</t>
        </is>
      </c>
      <c r="D26" t="inlineStr">
        <is>
          <t>cv.andirapapua@gmail.com</t>
        </is>
      </c>
      <c r="E26" t="inlineStr">
        <is>
          <t>https://lpjk.pu.go.id/search-badan-usaha-detail/MXppd3lwKy9CMzRRMUpqRUl3dncwZz09</t>
        </is>
      </c>
      <c r="F26" t="n">
        <v>8</v>
      </c>
      <c r="G26" t="inlineStr">
        <is>
          <t>BG005, BG006, BG009, BS002</t>
        </is>
      </c>
      <c r="H26" t="inlineStr">
        <is>
          <t>18 Juli 2006</t>
        </is>
      </c>
      <c r="I26" s="2" t="n">
        <v>46212</v>
      </c>
      <c r="J26" t="inlineStr">
        <is>
          <t>Disetujui</t>
        </is>
      </c>
      <c r="K26" t="n">
        <v>30</v>
      </c>
      <c r="L26" t="inlineStr">
        <is>
          <t>9 Juli 2026</t>
        </is>
      </c>
      <c r="M26" t="inlineStr">
        <is>
          <t>Bangunan Sipil Jembatan, Jalan Layang, Fly Over, dan Underpass, Konstruksi Gedung Kesehatan, Konstruksi Gedung Lainnya, Konstruksi Gedung Pendidikan</t>
        </is>
      </c>
      <c r="N26" t="inlineStr">
        <is>
          <t>K</t>
        </is>
      </c>
      <c r="O26" t="inlineStr">
        <is>
          <t>20230703, 20230707</t>
        </is>
      </c>
      <c r="P26" t="inlineStr">
        <is>
          <t>Papua</t>
        </is>
      </c>
      <c r="Q26" t="inlineStr"/>
    </row>
    <row r="27">
      <c r="A27" t="inlineStr">
        <is>
          <t>ANEKA SENTRATAMA CAHAYA OPTIMA</t>
        </is>
      </c>
      <c r="B27" t="inlineStr">
        <is>
          <t>Kota Adm. Jakarta Utara</t>
        </is>
      </c>
      <c r="C27" t="inlineStr">
        <is>
          <t>N/A</t>
        </is>
      </c>
      <c r="D27" t="inlineStr">
        <is>
          <t>N/A</t>
        </is>
      </c>
      <c r="E27" t="inlineStr">
        <is>
          <t>https://lpjk.pu.go.id/search-badan-usaha-detail/NTh0K0l0bWVpK0JqSnUxaFhjUnJ3UT09</t>
        </is>
      </c>
      <c r="F27" t="n">
        <v>1</v>
      </c>
      <c r="G27" t="inlineStr">
        <is>
          <t>BG003</t>
        </is>
      </c>
      <c r="H27" t="inlineStr"/>
      <c r="I27" s="2" t="n">
        <v>46212</v>
      </c>
      <c r="J27" t="inlineStr">
        <is>
          <t>Pencabutan</t>
        </is>
      </c>
      <c r="K27" t="n">
        <v>30</v>
      </c>
      <c r="L27" t="inlineStr">
        <is>
          <t>9 Juli 2026</t>
        </is>
      </c>
      <c r="M27" t="inlineStr">
        <is>
          <t>Konstruksi Gedung Industri</t>
        </is>
      </c>
      <c r="N27" t="inlineStr">
        <is>
          <t>K</t>
        </is>
      </c>
      <c r="O27" t="inlineStr">
        <is>
          <t>20230305</t>
        </is>
      </c>
      <c r="P27" t="inlineStr">
        <is>
          <t>DKI Jakarta</t>
        </is>
      </c>
      <c r="Q27" t="inlineStr"/>
    </row>
    <row r="28">
      <c r="A28" t="inlineStr">
        <is>
          <t>ANGKASA PRIMA</t>
        </is>
      </c>
      <c r="B28" t="inlineStr">
        <is>
          <t>Kab. Ogan Ilir</t>
        </is>
      </c>
      <c r="C28" t="inlineStr">
        <is>
          <t>081290807988</t>
        </is>
      </c>
      <c r="D28" t="inlineStr">
        <is>
          <t>ciptagiri_mulya@yahoo.com</t>
        </is>
      </c>
      <c r="E28" t="inlineStr">
        <is>
          <t>https://lpjk.pu.go.id/search-badan-usaha-detail/ekZ2T2QrYkVYQ2J5bWtuVUhrdkZWQT09</t>
        </is>
      </c>
      <c r="F28" t="n">
        <v>10</v>
      </c>
      <c r="G28" t="inlineStr">
        <is>
          <t>BG001, BG006, BG007, BG009, BS016</t>
        </is>
      </c>
      <c r="H28" t="inlineStr">
        <is>
          <t>29 Maret 2006</t>
        </is>
      </c>
      <c r="I28" s="2" t="n">
        <v>46212</v>
      </c>
      <c r="J28" t="inlineStr">
        <is>
          <t>Pencabutan</t>
        </is>
      </c>
      <c r="K28" t="n">
        <v>30</v>
      </c>
      <c r="L28" t="inlineStr">
        <is>
          <t>9 Juli 2026</t>
        </is>
      </c>
      <c r="M28" t="inlineStr">
        <is>
          <t>Konstruksi Bangunan Sipil Fasilitas Olah Raga, Konstruksi Gedung Hunian, Konstruksi Gedung Lainnya, Konstruksi Gedung Pendidikan, Konstruksi Gedung Penginapan</t>
        </is>
      </c>
      <c r="N28" t="inlineStr">
        <is>
          <t>K</t>
        </is>
      </c>
      <c r="O28" t="inlineStr">
        <is>
          <t>20230708, 20230709</t>
        </is>
      </c>
      <c r="P28" t="inlineStr">
        <is>
          <t>Sumatera Selatan</t>
        </is>
      </c>
      <c r="Q28" t="inlineStr"/>
    </row>
    <row r="29">
      <c r="A29" t="inlineStr">
        <is>
          <t>ANITA JAYA</t>
        </is>
      </c>
      <c r="B29" t="inlineStr">
        <is>
          <t>Kab. Merauke</t>
        </is>
      </c>
      <c r="C29" t="inlineStr">
        <is>
          <t>081343094816</t>
        </is>
      </c>
      <c r="D29" t="inlineStr">
        <is>
          <t>cvanitajaya20@gmail.com</t>
        </is>
      </c>
      <c r="E29" t="inlineStr">
        <is>
          <t>https://lpjk.pu.go.id/search-badan-usaha-detail/L2ZYU3JOWk5nMzRRQitFRlNYcEhCZz09</t>
        </is>
      </c>
      <c r="F29" t="n">
        <v>1</v>
      </c>
      <c r="G29" t="inlineStr">
        <is>
          <t>BG002</t>
        </is>
      </c>
      <c r="H29" t="inlineStr">
        <is>
          <t>29 Juni 2018</t>
        </is>
      </c>
      <c r="I29" s="2" t="n">
        <v>46212</v>
      </c>
      <c r="J29" t="inlineStr">
        <is>
          <t>Pencabutan</t>
        </is>
      </c>
      <c r="K29" t="n">
        <v>30</v>
      </c>
      <c r="L29" t="inlineStr">
        <is>
          <t>9 Juli 2026</t>
        </is>
      </c>
      <c r="M29" t="inlineStr">
        <is>
          <t>Konstruksi Gedung Perkantoran</t>
        </is>
      </c>
      <c r="N29" t="inlineStr">
        <is>
          <t>K</t>
        </is>
      </c>
      <c r="O29" t="inlineStr">
        <is>
          <t>20230709</t>
        </is>
      </c>
      <c r="P29" t="inlineStr">
        <is>
          <t>Papua Selatan</t>
        </is>
      </c>
      <c r="Q29" t="inlineStr"/>
    </row>
    <row r="30">
      <c r="A30" t="inlineStr">
        <is>
          <t>ANNISA PRATAMA</t>
        </is>
      </c>
      <c r="B30" t="inlineStr">
        <is>
          <t>Kab. Takalar</t>
        </is>
      </c>
      <c r="C30" t="inlineStr">
        <is>
          <t>085241648834</t>
        </is>
      </c>
      <c r="D30" t="inlineStr">
        <is>
          <t>cv.annisapratama0205@gmail.com</t>
        </is>
      </c>
      <c r="E30" t="inlineStr">
        <is>
          <t>https://lpjk.pu.go.id/search-badan-usaha-detail/YkkrbTBjV0R0K1N0eGFFVTZHOW1RQT09</t>
        </is>
      </c>
      <c r="F30" t="n">
        <v>1</v>
      </c>
      <c r="G30" t="inlineStr">
        <is>
          <t>BS001</t>
        </is>
      </c>
      <c r="H30" t="inlineStr">
        <is>
          <t>20 Februari 2003</t>
        </is>
      </c>
      <c r="I30" s="2" t="n">
        <v>46212</v>
      </c>
      <c r="J30" t="inlineStr">
        <is>
          <t>Disetujui</t>
        </is>
      </c>
      <c r="K30" t="n">
        <v>30</v>
      </c>
      <c r="L30" t="inlineStr">
        <is>
          <t>9 Juli 2026</t>
        </is>
      </c>
      <c r="M30" t="inlineStr">
        <is>
          <t>Konstruksi Bangunan Sipil Jalan</t>
        </is>
      </c>
      <c r="N30" t="inlineStr">
        <is>
          <t>K</t>
        </is>
      </c>
      <c r="O30" t="inlineStr">
        <is>
          <t>20230407</t>
        </is>
      </c>
      <c r="P30" t="inlineStr">
        <is>
          <t>Sulawesi Selatan</t>
        </is>
      </c>
      <c r="Q30" t="inlineStr"/>
    </row>
    <row r="31">
      <c r="A31" t="inlineStr">
        <is>
          <t>ANTAR PULAU EMAS</t>
        </is>
      </c>
      <c r="B31" t="inlineStr">
        <is>
          <t>Kota Palu</t>
        </is>
      </c>
      <c r="C31" t="inlineStr">
        <is>
          <t>0812-4710-4271</t>
        </is>
      </c>
      <c r="D31" t="inlineStr">
        <is>
          <t>cv.antarpulauemas@gmail.com</t>
        </is>
      </c>
      <c r="E31" t="inlineStr">
        <is>
          <t>https://lpjk.pu.go.id/search-badan-usaha-detail/aHA3NnF5U244TStNeG1kenJBVm9rQT09</t>
        </is>
      </c>
      <c r="F31" t="n">
        <v>1</v>
      </c>
      <c r="G31" t="inlineStr">
        <is>
          <t>BG002</t>
        </is>
      </c>
      <c r="H31" t="inlineStr">
        <is>
          <t>31 Maret 1983</t>
        </is>
      </c>
      <c r="I31" s="2" t="n">
        <v>46212</v>
      </c>
      <c r="J31" t="inlineStr">
        <is>
          <t>Disetujui</t>
        </is>
      </c>
      <c r="K31" t="n">
        <v>30</v>
      </c>
      <c r="L31" t="inlineStr">
        <is>
          <t>9 Juli 2026</t>
        </is>
      </c>
      <c r="M31" t="inlineStr">
        <is>
          <t>Konstruksi Gedung Perkantoran</t>
        </is>
      </c>
      <c r="N31" t="inlineStr">
        <is>
          <t>K</t>
        </is>
      </c>
      <c r="O31" t="inlineStr">
        <is>
          <t>20230710</t>
        </is>
      </c>
      <c r="P31" t="inlineStr">
        <is>
          <t>Sulawesi Tengah</t>
        </is>
      </c>
      <c r="Q31" t="inlineStr"/>
    </row>
    <row r="32">
      <c r="A32" t="inlineStr">
        <is>
          <t>ANTARIKSA PRITAMA</t>
        </is>
      </c>
      <c r="B32" t="inlineStr">
        <is>
          <t>Kab. Boalemo</t>
        </is>
      </c>
      <c r="C32" t="inlineStr">
        <is>
          <t>081355049775</t>
        </is>
      </c>
      <c r="D32" t="inlineStr">
        <is>
          <t>cvantariksapritama@gmail.com</t>
        </is>
      </c>
      <c r="E32" t="inlineStr">
        <is>
          <t>https://lpjk.pu.go.id/search-badan-usaha-detail/NDB0YVZNSUJzekQ3OUZsTmFrbWxPQT09</t>
        </is>
      </c>
      <c r="F32" t="n">
        <v>1</v>
      </c>
      <c r="G32" t="inlineStr">
        <is>
          <t>BS001</t>
        </is>
      </c>
      <c r="H32" t="inlineStr">
        <is>
          <t>25 Juli 2022</t>
        </is>
      </c>
      <c r="I32" s="2" t="n">
        <v>46212</v>
      </c>
      <c r="J32" t="inlineStr">
        <is>
          <t>Disetujui</t>
        </is>
      </c>
      <c r="K32" t="n">
        <v>30</v>
      </c>
      <c r="L32" t="inlineStr">
        <is>
          <t>9 Juli 2026</t>
        </is>
      </c>
      <c r="M32" t="inlineStr">
        <is>
          <t>Konstruksi Bangunan Sipil Jalan</t>
        </is>
      </c>
      <c r="N32" t="inlineStr">
        <is>
          <t>K</t>
        </is>
      </c>
      <c r="O32" t="inlineStr">
        <is>
          <t>20230708</t>
        </is>
      </c>
      <c r="P32" t="inlineStr">
        <is>
          <t>Gorontalo</t>
        </is>
      </c>
      <c r="Q32" t="inlineStr"/>
    </row>
    <row r="33">
      <c r="A33" t="inlineStr">
        <is>
          <t>ANUGERAH JAYA</t>
        </is>
      </c>
      <c r="B33" t="inlineStr">
        <is>
          <t>Kab. Malang</t>
        </is>
      </c>
      <c r="C33" t="inlineStr">
        <is>
          <t>081231566669</t>
        </is>
      </c>
      <c r="D33" t="inlineStr">
        <is>
          <t>ajjabung@gmail.com</t>
        </is>
      </c>
      <c r="E33" t="inlineStr">
        <is>
          <t>https://lpjk.pu.go.id/search-badan-usaha-detail/UWQ1aitLZDZkZnd2U1o4SFVNcFQ0QT09</t>
        </is>
      </c>
      <c r="F33" t="n">
        <v>1</v>
      </c>
      <c r="G33" t="inlineStr">
        <is>
          <t>BG009</t>
        </is>
      </c>
      <c r="H33" t="inlineStr">
        <is>
          <t>8 Februari 2013</t>
        </is>
      </c>
      <c r="I33" s="2" t="n">
        <v>46212</v>
      </c>
      <c r="J33" t="inlineStr">
        <is>
          <t>Disetujui</t>
        </is>
      </c>
      <c r="K33" t="n">
        <v>30</v>
      </c>
      <c r="L33" t="inlineStr">
        <is>
          <t>9 Juli 2026</t>
        </is>
      </c>
      <c r="M33" t="inlineStr">
        <is>
          <t>Konstruksi Gedung Lainnya</t>
        </is>
      </c>
      <c r="N33" t="inlineStr">
        <is>
          <t>K</t>
        </is>
      </c>
      <c r="O33" t="inlineStr">
        <is>
          <t>20230627</t>
        </is>
      </c>
      <c r="P33" t="inlineStr">
        <is>
          <t>Jawa Timur</t>
        </is>
      </c>
      <c r="Q33" t="inlineStr"/>
    </row>
    <row r="34">
      <c r="A34" t="inlineStr">
        <is>
          <t>ANUGERAH KREASI BERSAMA</t>
        </is>
      </c>
      <c r="B34" t="inlineStr">
        <is>
          <t>Kab. Karawang</t>
        </is>
      </c>
      <c r="C34" t="inlineStr">
        <is>
          <t>082111283777</t>
        </is>
      </c>
      <c r="D34" t="inlineStr">
        <is>
          <t>anugerah_kreasi@yahoo.com</t>
        </is>
      </c>
      <c r="E34" t="inlineStr">
        <is>
          <t>https://lpjk.pu.go.id/search-badan-usaha-detail/Vzl0Y3ladFZTc21BTTRFYWFjcmZaQT09</t>
        </is>
      </c>
      <c r="F34" t="n">
        <v>1</v>
      </c>
      <c r="G34" t="inlineStr">
        <is>
          <t>BG009</t>
        </is>
      </c>
      <c r="H34" t="inlineStr">
        <is>
          <t>21 Oktober 2015</t>
        </is>
      </c>
      <c r="I34" s="2" t="n">
        <v>46212</v>
      </c>
      <c r="J34" t="inlineStr">
        <is>
          <t>Disetujui</t>
        </is>
      </c>
      <c r="K34" t="n">
        <v>30</v>
      </c>
      <c r="L34" t="inlineStr">
        <is>
          <t>9 Juli 2026</t>
        </is>
      </c>
      <c r="M34" t="inlineStr">
        <is>
          <t>Konstruksi Gedung Lainnya</t>
        </is>
      </c>
      <c r="N34" t="inlineStr">
        <is>
          <t>K</t>
        </is>
      </c>
      <c r="O34" t="inlineStr">
        <is>
          <t>20230708</t>
        </is>
      </c>
      <c r="P34" t="inlineStr">
        <is>
          <t>Jawa Barat</t>
        </is>
      </c>
      <c r="Q34" t="inlineStr"/>
    </row>
    <row r="35">
      <c r="A35" t="inlineStr">
        <is>
          <t>ANUGERAH REZEKI ABADI</t>
        </is>
      </c>
      <c r="B35" t="inlineStr">
        <is>
          <t>Kota Bontang</t>
        </is>
      </c>
      <c r="C35" t="inlineStr">
        <is>
          <t>081253131999</t>
        </is>
      </c>
      <c r="D35" t="inlineStr">
        <is>
          <t>cv.anugerahrezekiabadi@gmail.com</t>
        </is>
      </c>
      <c r="E35" t="inlineStr">
        <is>
          <t>https://lpjk.pu.go.id/search-badan-usaha-detail/SG9UT0V4VkZPOGNHKzdPeVU0VHVRZz09</t>
        </is>
      </c>
      <c r="F35" t="n">
        <v>1</v>
      </c>
      <c r="G35" t="inlineStr">
        <is>
          <t>BG002</t>
        </is>
      </c>
      <c r="H35" t="inlineStr">
        <is>
          <t>21 Agustus 2021</t>
        </is>
      </c>
      <c r="I35" s="2" t="n">
        <v>46212</v>
      </c>
      <c r="J35" t="inlineStr">
        <is>
          <t>Pencabutan</t>
        </is>
      </c>
      <c r="K35" t="n">
        <v>30</v>
      </c>
      <c r="L35" t="inlineStr">
        <is>
          <t>9 Juli 2026</t>
        </is>
      </c>
      <c r="M35" t="inlineStr">
        <is>
          <t>Konstruksi Gedung Perkantoran</t>
        </is>
      </c>
      <c r="N35" t="inlineStr">
        <is>
          <t>K</t>
        </is>
      </c>
      <c r="O35" t="inlineStr">
        <is>
          <t>20230708</t>
        </is>
      </c>
      <c r="P35" t="inlineStr">
        <is>
          <t>Kalimantan Timur</t>
        </is>
      </c>
      <c r="Q35" t="inlineStr"/>
    </row>
    <row r="36">
      <c r="A36" t="inlineStr">
        <is>
          <t>ARAFAH ALAM SEJAHTERA</t>
        </is>
      </c>
      <c r="B36" t="inlineStr">
        <is>
          <t>Kota Padang</t>
        </is>
      </c>
      <c r="C36" t="inlineStr">
        <is>
          <t>085265477717</t>
        </is>
      </c>
      <c r="D36" t="inlineStr">
        <is>
          <t>tarinaldihidrat@yahoo.co.id</t>
        </is>
      </c>
      <c r="E36" t="inlineStr">
        <is>
          <t>https://lpjk.pu.go.id/search-badan-usaha-detail/L3FMUjZ1MGRUcDBEV2VoTlplZzEydz09</t>
        </is>
      </c>
      <c r="F36" t="n">
        <v>2</v>
      </c>
      <c r="G36" t="inlineStr">
        <is>
          <t>BS001</t>
        </is>
      </c>
      <c r="H36" t="inlineStr">
        <is>
          <t>16 April 2003</t>
        </is>
      </c>
      <c r="I36" s="2" t="n">
        <v>46212</v>
      </c>
      <c r="J36" t="inlineStr">
        <is>
          <t>Disetujui</t>
        </is>
      </c>
      <c r="K36" t="n">
        <v>30</v>
      </c>
      <c r="L36" t="inlineStr">
        <is>
          <t>9 Juli 2026</t>
        </is>
      </c>
      <c r="M36" t="inlineStr">
        <is>
          <t>Konstruksi Bangunan Sipil Jalan</t>
        </is>
      </c>
      <c r="N36" t="inlineStr">
        <is>
          <t>B</t>
        </is>
      </c>
      <c r="O36" t="inlineStr">
        <is>
          <t>20230705</t>
        </is>
      </c>
      <c r="P36" t="inlineStr">
        <is>
          <t>Sumatera Barat</t>
        </is>
      </c>
      <c r="Q36" t="inlineStr"/>
    </row>
    <row r="37">
      <c r="A37" t="inlineStr">
        <is>
          <t>AREMCO</t>
        </is>
      </c>
      <c r="B37" t="inlineStr">
        <is>
          <t>Kab. Garut</t>
        </is>
      </c>
      <c r="C37" t="inlineStr">
        <is>
          <t>082316588890</t>
        </is>
      </c>
      <c r="D37" t="inlineStr">
        <is>
          <t>cv.aremco@gmail.com</t>
        </is>
      </c>
      <c r="E37" t="inlineStr">
        <is>
          <t>https://lpjk.pu.go.id/search-badan-usaha-detail/V2VxOFFySzg4K2ltWEJ2TkpPNmpiQT09</t>
        </is>
      </c>
      <c r="F37" t="n">
        <v>1</v>
      </c>
      <c r="G37" t="inlineStr">
        <is>
          <t>BG006</t>
        </is>
      </c>
      <c r="H37" t="inlineStr">
        <is>
          <t>30 Oktober 2017</t>
        </is>
      </c>
      <c r="I37" s="2" t="n">
        <v>46212</v>
      </c>
      <c r="J37" t="inlineStr">
        <is>
          <t>Pencabutan</t>
        </is>
      </c>
      <c r="K37" t="n">
        <v>30</v>
      </c>
      <c r="L37" t="inlineStr">
        <is>
          <t>9 Juli 2026</t>
        </is>
      </c>
      <c r="M37" t="inlineStr">
        <is>
          <t>Konstruksi Gedung Pendidikan</t>
        </is>
      </c>
      <c r="N37" t="inlineStr">
        <is>
          <t>K</t>
        </is>
      </c>
      <c r="O37" t="inlineStr">
        <is>
          <t>20230309</t>
        </is>
      </c>
      <c r="P37" t="inlineStr">
        <is>
          <t>Jawa Barat</t>
        </is>
      </c>
      <c r="Q37" t="inlineStr"/>
    </row>
    <row r="38">
      <c r="A38" t="inlineStr">
        <is>
          <t>ARMADA BEBAROKAH</t>
        </is>
      </c>
      <c r="B38" t="inlineStr">
        <is>
          <t>Kab. Kotawaringin Barat</t>
        </is>
      </c>
      <c r="C38" t="inlineStr">
        <is>
          <t>0</t>
        </is>
      </c>
      <c r="D38" t="inlineStr">
        <is>
          <t>0</t>
        </is>
      </c>
      <c r="E38" t="inlineStr">
        <is>
          <t>https://lpjk.pu.go.id/search-badan-usaha-detail/dExSZWx6VXh6TEoxZzdlWVhSSXZWQT09</t>
        </is>
      </c>
      <c r="F38" t="n">
        <v>2</v>
      </c>
      <c r="G38" t="inlineStr">
        <is>
          <t>BG002, BG009</t>
        </is>
      </c>
      <c r="H38" t="inlineStr">
        <is>
          <t>14 Mei 2019</t>
        </is>
      </c>
      <c r="I38" s="2" t="n">
        <v>46212</v>
      </c>
      <c r="J38" t="inlineStr">
        <is>
          <t>Disetujui</t>
        </is>
      </c>
      <c r="K38" t="n">
        <v>30</v>
      </c>
      <c r="L38" t="inlineStr">
        <is>
          <t>9 Juli 2026</t>
        </is>
      </c>
      <c r="M38" t="inlineStr">
        <is>
          <t>Konstruksi Gedung Lainnya, Konstruksi Gedung Perkantoran</t>
        </is>
      </c>
      <c r="N38" t="inlineStr">
        <is>
          <t>M</t>
        </is>
      </c>
      <c r="O38" t="inlineStr">
        <is>
          <t>20230703</t>
        </is>
      </c>
      <c r="P38" t="inlineStr">
        <is>
          <t>Kalimantan Tengah</t>
        </is>
      </c>
      <c r="Q38" t="inlineStr"/>
    </row>
    <row r="39">
      <c r="A39" t="inlineStr">
        <is>
          <t>ARSY ENGINEERING CONSULTANT</t>
        </is>
      </c>
      <c r="B39" t="inlineStr">
        <is>
          <t>Kota Gorontalo</t>
        </is>
      </c>
      <c r="C39" t="inlineStr">
        <is>
          <t>085298835610</t>
        </is>
      </c>
      <c r="D39" t="inlineStr">
        <is>
          <t>ARSYad.engineeringconsultant@gmail.com</t>
        </is>
      </c>
      <c r="E39" t="inlineStr">
        <is>
          <t>https://lpjk.pu.go.id/search-badan-usaha-detail/dW5KYzVUZjB0UU1NUXBaaFZEQ241dz09</t>
        </is>
      </c>
      <c r="F39" t="n">
        <v>1</v>
      </c>
      <c r="G39" t="inlineStr">
        <is>
          <t>RK001</t>
        </is>
      </c>
      <c r="H39" t="inlineStr">
        <is>
          <t>6 Mei 2017</t>
        </is>
      </c>
      <c r="I39" s="2" t="n">
        <v>46212</v>
      </c>
      <c r="J39" t="inlineStr">
        <is>
          <t>Disetujui</t>
        </is>
      </c>
      <c r="K39" t="n">
        <v>30</v>
      </c>
      <c r="L39" t="inlineStr">
        <is>
          <t>9 Juli 2026</t>
        </is>
      </c>
      <c r="M39" t="inlineStr">
        <is>
          <t>Jasa Rekayasa Konstruksi Bangunan Gedung Hunian dan Non Hunian</t>
        </is>
      </c>
      <c r="N39" t="inlineStr">
        <is>
          <t>K</t>
        </is>
      </c>
      <c r="O39" t="inlineStr">
        <is>
          <t>20230614</t>
        </is>
      </c>
      <c r="P39" t="inlineStr">
        <is>
          <t>Gorontalo</t>
        </is>
      </c>
      <c r="Q39" t="inlineStr"/>
    </row>
    <row r="40">
      <c r="A40" t="inlineStr">
        <is>
          <t>ARTHA KARYA PERKASA</t>
        </is>
      </c>
      <c r="B40" t="inlineStr">
        <is>
          <t>Kab. Tangerang</t>
        </is>
      </c>
      <c r="C40" t="inlineStr">
        <is>
          <t>08162209927</t>
        </is>
      </c>
      <c r="D40" t="inlineStr">
        <is>
          <t>pt.arthakaryaperkasa@gmail.com</t>
        </is>
      </c>
      <c r="E40" t="inlineStr">
        <is>
          <t>https://lpjk.pu.go.id/search-badan-usaha-detail/YjJYVEp3aHN1Q2ZPRnZnU1NKNFQ0dz09</t>
        </is>
      </c>
      <c r="F40" t="n">
        <v>1</v>
      </c>
      <c r="G40" t="inlineStr">
        <is>
          <t>BS004</t>
        </is>
      </c>
      <c r="H40" t="inlineStr">
        <is>
          <t>19 Mei 2023</t>
        </is>
      </c>
      <c r="I40" s="2" t="n">
        <v>46212</v>
      </c>
      <c r="J40" t="inlineStr">
        <is>
          <t>Disetujui</t>
        </is>
      </c>
      <c r="K40" t="n">
        <v>30</v>
      </c>
      <c r="L40" t="inlineStr">
        <is>
          <t>9 Juli 2026</t>
        </is>
      </c>
      <c r="M40" t="inlineStr">
        <is>
          <t>Konstruksi Jaringan Irigasi dan Drainase</t>
        </is>
      </c>
      <c r="N40" t="inlineStr">
        <is>
          <t>K</t>
        </is>
      </c>
      <c r="O40" t="inlineStr">
        <is>
          <t>20230706</t>
        </is>
      </c>
      <c r="P40" t="inlineStr">
        <is>
          <t>Banten</t>
        </is>
      </c>
      <c r="Q40" t="inlineStr"/>
    </row>
    <row r="41">
      <c r="A41" t="inlineStr">
        <is>
          <t>AZKA BANGUN KARYA</t>
        </is>
      </c>
      <c r="B41" t="inlineStr">
        <is>
          <t>Kab. Malang</t>
        </is>
      </c>
      <c r="C41" t="inlineStr">
        <is>
          <t>085607063635</t>
        </is>
      </c>
      <c r="D41" t="inlineStr">
        <is>
          <t>azkabangun@yahoo.co.id</t>
        </is>
      </c>
      <c r="E41" t="inlineStr">
        <is>
          <t>https://lpjk.pu.go.id/search-badan-usaha-detail/ME4rOGhQOUdkRzV5QS81b3drZEUxQT09</t>
        </is>
      </c>
      <c r="F41" t="n">
        <v>1</v>
      </c>
      <c r="G41" t="inlineStr">
        <is>
          <t>BS004</t>
        </is>
      </c>
      <c r="H41" t="inlineStr">
        <is>
          <t>9 September 2006</t>
        </is>
      </c>
      <c r="I41" s="2" t="n">
        <v>46212</v>
      </c>
      <c r="J41" t="inlineStr">
        <is>
          <t>Disetujui</t>
        </is>
      </c>
      <c r="K41" t="n">
        <v>30</v>
      </c>
      <c r="L41" t="inlineStr">
        <is>
          <t>9 Juli 2026</t>
        </is>
      </c>
      <c r="M41" t="inlineStr">
        <is>
          <t>Konstruksi Jaringan Irigasi dan Drainase</t>
        </is>
      </c>
      <c r="N41" t="inlineStr">
        <is>
          <t>K</t>
        </is>
      </c>
      <c r="O41" t="inlineStr">
        <is>
          <t>20230708</t>
        </is>
      </c>
      <c r="P41" t="inlineStr">
        <is>
          <t>Jawa Timur</t>
        </is>
      </c>
      <c r="Q41" t="inlineStr"/>
    </row>
    <row r="42">
      <c r="A42" t="inlineStr">
        <is>
          <t>BARAKATI KARYA TEKNIK</t>
        </is>
      </c>
      <c r="B42" t="inlineStr">
        <is>
          <t>Kota Bau Bau</t>
        </is>
      </c>
      <c r="C42" t="inlineStr">
        <is>
          <t>085242008635</t>
        </is>
      </c>
      <c r="D42" t="inlineStr">
        <is>
          <t>cv.barakati@gmail.com</t>
        </is>
      </c>
      <c r="E42" t="inlineStr">
        <is>
          <t>https://lpjk.pu.go.id/search-badan-usaha-detail/S1JQdFJ0Um5iK2F2c29Va0QvblVTUT09</t>
        </is>
      </c>
      <c r="F42" t="n">
        <v>4</v>
      </c>
      <c r="G42" t="inlineStr">
        <is>
          <t>AR001, AR002</t>
        </is>
      </c>
      <c r="H42" t="inlineStr">
        <is>
          <t>24 Maret 2015</t>
        </is>
      </c>
      <c r="I42" s="2" t="n">
        <v>46212</v>
      </c>
      <c r="J42" t="inlineStr">
        <is>
          <t>Disetujui</t>
        </is>
      </c>
      <c r="K42" t="n">
        <v>30</v>
      </c>
      <c r="L42" t="inlineStr">
        <is>
          <t>9 Juli 2026</t>
        </is>
      </c>
      <c r="M42" t="inlineStr">
        <is>
          <t>Jasa Arsitektural Bangunan Gedung Hunian dan Non Hunian, Jasa Arsitektural Lainnya</t>
        </is>
      </c>
      <c r="N42" t="inlineStr">
        <is>
          <t>K</t>
        </is>
      </c>
      <c r="O42" t="inlineStr">
        <is>
          <t>20230615</t>
        </is>
      </c>
      <c r="P42" t="inlineStr">
        <is>
          <t>Sulawesi Tenggara</t>
        </is>
      </c>
      <c r="Q42" t="inlineStr"/>
    </row>
    <row r="43">
      <c r="A43" t="inlineStr">
        <is>
          <t>BATU PUTIH</t>
        </is>
      </c>
      <c r="B43" t="inlineStr">
        <is>
          <t>Kab. Barito Selatan</t>
        </is>
      </c>
      <c r="C43" t="inlineStr">
        <is>
          <t>081351570487</t>
        </is>
      </c>
      <c r="D43" t="inlineStr">
        <is>
          <t>cv.batuputih.buntok@gmail.com</t>
        </is>
      </c>
      <c r="E43" t="inlineStr">
        <is>
          <t>https://lpjk.pu.go.id/search-badan-usaha-detail/QVYrV3NBL2VtaW15NG1WWElIZGwxZz09</t>
        </is>
      </c>
      <c r="F43" t="n">
        <v>1</v>
      </c>
      <c r="G43" t="inlineStr">
        <is>
          <t>BS005</t>
        </is>
      </c>
      <c r="H43" t="inlineStr">
        <is>
          <t>26 Oktober 1992</t>
        </is>
      </c>
      <c r="I43" s="2" t="n">
        <v>46212</v>
      </c>
      <c r="J43" t="inlineStr">
        <is>
          <t>Disetujui</t>
        </is>
      </c>
      <c r="K43" t="n">
        <v>30</v>
      </c>
      <c r="L43" t="inlineStr">
        <is>
          <t>9 Juli 2026</t>
        </is>
      </c>
      <c r="M43" t="inlineStr">
        <is>
          <t>Konstruksi Bangunan Sipil Pengolahan Air Bersih</t>
        </is>
      </c>
      <c r="N43" t="inlineStr">
        <is>
          <t>K</t>
        </is>
      </c>
      <c r="O43" t="inlineStr">
        <is>
          <t>20230706</t>
        </is>
      </c>
      <c r="P43" t="inlineStr">
        <is>
          <t>Kalimantan Tengah</t>
        </is>
      </c>
      <c r="Q43" t="inlineStr"/>
    </row>
    <row r="44">
      <c r="A44" t="inlineStr">
        <is>
          <t>BENETTON</t>
        </is>
      </c>
      <c r="B44" t="inlineStr">
        <is>
          <t>Kab. Semarang</t>
        </is>
      </c>
      <c r="C44" t="inlineStr">
        <is>
          <t>082284522873</t>
        </is>
      </c>
      <c r="D44" t="inlineStr">
        <is>
          <t>cvbenettonjambu@gmail.com</t>
        </is>
      </c>
      <c r="E44" t="inlineStr">
        <is>
          <t>https://lpjk.pu.go.id/search-badan-usaha-detail/bUl5OUpMSXZKZEZIK3ppeEVscklCQT09</t>
        </is>
      </c>
      <c r="F44" t="n">
        <v>1</v>
      </c>
      <c r="G44" t="inlineStr">
        <is>
          <t>BS001</t>
        </is>
      </c>
      <c r="H44" t="inlineStr">
        <is>
          <t>28 Juni 2019</t>
        </is>
      </c>
      <c r="I44" s="2" t="n">
        <v>46212</v>
      </c>
      <c r="J44" t="inlineStr">
        <is>
          <t>Disetujui</t>
        </is>
      </c>
      <c r="K44" t="n">
        <v>30</v>
      </c>
      <c r="L44" t="inlineStr">
        <is>
          <t>9 Juli 2026</t>
        </is>
      </c>
      <c r="M44" t="inlineStr">
        <is>
          <t>Konstruksi Bangunan Sipil Jalan</t>
        </is>
      </c>
      <c r="N44" t="inlineStr">
        <is>
          <t>K</t>
        </is>
      </c>
      <c r="O44" t="inlineStr">
        <is>
          <t>20230705</t>
        </is>
      </c>
      <c r="P44" t="inlineStr">
        <is>
          <t>Jawa Tengah</t>
        </is>
      </c>
      <c r="Q44" t="inlineStr"/>
    </row>
    <row r="45">
      <c r="A45" t="inlineStr">
        <is>
          <t>BENTENG JAYA</t>
        </is>
      </c>
      <c r="B45" t="inlineStr">
        <is>
          <t>Kab. Pasangkayu</t>
        </is>
      </c>
      <c r="C45" t="inlineStr">
        <is>
          <t>081243889733</t>
        </is>
      </c>
      <c r="D45" t="inlineStr">
        <is>
          <t>bbasir363@gmail.com</t>
        </is>
      </c>
      <c r="E45" t="inlineStr">
        <is>
          <t>https://lpjk.pu.go.id/search-badan-usaha-detail/VDEwZkJEcXkzVk1Ma25nVVBlR2lWUT09</t>
        </is>
      </c>
      <c r="F45" t="n">
        <v>1</v>
      </c>
      <c r="G45" t="inlineStr">
        <is>
          <t>BG006</t>
        </is>
      </c>
      <c r="H45" t="inlineStr">
        <is>
          <t>23 Februari 2017</t>
        </is>
      </c>
      <c r="I45" s="2" t="n">
        <v>46212</v>
      </c>
      <c r="J45" t="inlineStr">
        <is>
          <t>Disetujui</t>
        </is>
      </c>
      <c r="K45" t="n">
        <v>30</v>
      </c>
      <c r="L45" t="inlineStr">
        <is>
          <t>9 Juli 2026</t>
        </is>
      </c>
      <c r="M45" t="inlineStr">
        <is>
          <t>Konstruksi Gedung Pendidikan</t>
        </is>
      </c>
      <c r="N45" t="inlineStr">
        <is>
          <t>K</t>
        </is>
      </c>
      <c r="O45" t="inlineStr">
        <is>
          <t>20230708</t>
        </is>
      </c>
      <c r="P45" t="inlineStr">
        <is>
          <t>Sulawesi Barat</t>
        </is>
      </c>
      <c r="Q45" t="inlineStr"/>
    </row>
    <row r="46">
      <c r="A46" t="inlineStr">
        <is>
          <t>BERINGIN JAYA</t>
        </is>
      </c>
      <c r="B46" t="inlineStr">
        <is>
          <t>Kab. Banjar</t>
        </is>
      </c>
      <c r="C46" t="inlineStr">
        <is>
          <t>08125067344</t>
        </is>
      </c>
      <c r="D46" t="inlineStr">
        <is>
          <t>beringin_jaya@rocketmail.com</t>
        </is>
      </c>
      <c r="E46" t="inlineStr">
        <is>
          <t>https://lpjk.pu.go.id/search-badan-usaha-detail/cG5HTFNBQURUK1YrbmZkNmo1cXVDZz09</t>
        </is>
      </c>
      <c r="F46" t="n">
        <v>1</v>
      </c>
      <c r="G46" t="inlineStr">
        <is>
          <t>BS004</t>
        </is>
      </c>
      <c r="H46" t="inlineStr">
        <is>
          <t>3 Desember 1980</t>
        </is>
      </c>
      <c r="I46" s="2" t="n">
        <v>46212</v>
      </c>
      <c r="J46" t="inlineStr">
        <is>
          <t>Disetujui</t>
        </is>
      </c>
      <c r="K46" t="n">
        <v>30</v>
      </c>
      <c r="L46" t="inlineStr">
        <is>
          <t>9 Juli 2026</t>
        </is>
      </c>
      <c r="M46" t="inlineStr">
        <is>
          <t>Konstruksi Jaringan Irigasi dan Drainase</t>
        </is>
      </c>
      <c r="N46" t="inlineStr">
        <is>
          <t>K</t>
        </is>
      </c>
      <c r="O46" t="inlineStr">
        <is>
          <t>20230704</t>
        </is>
      </c>
      <c r="P46" t="inlineStr">
        <is>
          <t>Kalimantan Selatan</t>
        </is>
      </c>
      <c r="Q46" t="inlineStr"/>
    </row>
    <row r="47">
      <c r="A47" t="inlineStr">
        <is>
          <t>BERKAH MULYO</t>
        </is>
      </c>
      <c r="B47" t="inlineStr">
        <is>
          <t>Kota Pekalongan</t>
        </is>
      </c>
      <c r="C47" t="inlineStr">
        <is>
          <t>0895422763804</t>
        </is>
      </c>
      <c r="D47" t="inlineStr">
        <is>
          <t>berkahmulyo2016@gmail.com</t>
        </is>
      </c>
      <c r="E47" t="inlineStr">
        <is>
          <t>https://lpjk.pu.go.id/search-badan-usaha-detail/cXdKMVp0WjNBT1lkRjJGNEY2MVEyUT09</t>
        </is>
      </c>
      <c r="F47" t="n">
        <v>8</v>
      </c>
      <c r="G47" t="inlineStr">
        <is>
          <t>BG004, BG005, BG009, BS002</t>
        </is>
      </c>
      <c r="H47" t="inlineStr">
        <is>
          <t>3 November 2014</t>
        </is>
      </c>
      <c r="I47" s="2" t="n">
        <v>46212</v>
      </c>
      <c r="J47" t="inlineStr">
        <is>
          <t>Disetujui</t>
        </is>
      </c>
      <c r="K47" t="n">
        <v>30</v>
      </c>
      <c r="L47" t="inlineStr">
        <is>
          <t>9 Juli 2026</t>
        </is>
      </c>
      <c r="M47" t="inlineStr">
        <is>
          <t>Bangunan Sipil Jembatan, Jalan Layang, Fly Over, dan Underpass, Konstruksi Gedung Kesehatan, Konstruksi Gedung Lainnya, Konstruksi Gedung Perbelanjaan</t>
        </is>
      </c>
      <c r="N47" t="inlineStr">
        <is>
          <t>K</t>
        </is>
      </c>
      <c r="O47" t="inlineStr">
        <is>
          <t>20230627, 20230705</t>
        </is>
      </c>
      <c r="P47" t="inlineStr">
        <is>
          <t>Jawa Tengah</t>
        </is>
      </c>
      <c r="Q47" t="inlineStr"/>
    </row>
    <row r="48">
      <c r="A48" t="inlineStr">
        <is>
          <t>BERLIAN MUDA PERKASA</t>
        </is>
      </c>
      <c r="B48" t="inlineStr">
        <is>
          <t>Kota Palembang</t>
        </is>
      </c>
      <c r="C48" t="inlineStr">
        <is>
          <t>08127865651</t>
        </is>
      </c>
      <c r="D48" t="inlineStr">
        <is>
          <t>berlianmudaperkasa@gmail.com</t>
        </is>
      </c>
      <c r="E48" t="inlineStr">
        <is>
          <t>https://lpjk.pu.go.id/search-badan-usaha-detail/cWIzTWJxMjRHS3dqTDlzd2ZuZVZ1dz09</t>
        </is>
      </c>
      <c r="F48" t="n">
        <v>2</v>
      </c>
      <c r="G48" t="inlineStr">
        <is>
          <t>BS001, BS004</t>
        </is>
      </c>
      <c r="H48" t="inlineStr">
        <is>
          <t>24 Januari 2020</t>
        </is>
      </c>
      <c r="I48" s="2" t="n">
        <v>46212</v>
      </c>
      <c r="J48" t="inlineStr">
        <is>
          <t>Disetujui, Pencabutan</t>
        </is>
      </c>
      <c r="K48" t="n">
        <v>30</v>
      </c>
      <c r="L48" t="inlineStr">
        <is>
          <t>9 Juli 2026</t>
        </is>
      </c>
      <c r="M48" t="inlineStr">
        <is>
          <t>Konstruksi Bangunan Sipil Jalan, Konstruksi Jaringan Irigasi dan Drainase</t>
        </is>
      </c>
      <c r="N48" t="inlineStr">
        <is>
          <t>K</t>
        </is>
      </c>
      <c r="O48" t="inlineStr">
        <is>
          <t>20230704, 20230705</t>
        </is>
      </c>
      <c r="P48" t="inlineStr">
        <is>
          <t>Sumatera Selatan</t>
        </is>
      </c>
      <c r="Q48" t="inlineStr"/>
    </row>
    <row r="49">
      <c r="A49" t="inlineStr">
        <is>
          <t>BHUMI CIPTA KREASI</t>
        </is>
      </c>
      <c r="B49" t="inlineStr">
        <is>
          <t>Kab. Tegal</t>
        </is>
      </c>
      <c r="C49" t="inlineStr">
        <is>
          <t>085600073008</t>
        </is>
      </c>
      <c r="D49" t="inlineStr">
        <is>
          <t>cv.bhumikreasi@gmail.com</t>
        </is>
      </c>
      <c r="E49" t="inlineStr">
        <is>
          <t>https://lpjk.pu.go.id/search-badan-usaha-detail/QjMrZ1ljOXZyRmh0cWRlVFVjeVZ4Zz09</t>
        </is>
      </c>
      <c r="F49" t="n">
        <v>3</v>
      </c>
      <c r="G49" t="inlineStr">
        <is>
          <t>AR001, RK001, RK002</t>
        </is>
      </c>
      <c r="H49" t="inlineStr">
        <is>
          <t>31 Agustus 2020</t>
        </is>
      </c>
      <c r="I49" s="2" t="n">
        <v>46212</v>
      </c>
      <c r="J49" t="inlineStr">
        <is>
          <t>Disetujui</t>
        </is>
      </c>
      <c r="K49" t="n">
        <v>30</v>
      </c>
      <c r="L49" t="inlineStr">
        <is>
          <t>9 Juli 2026</t>
        </is>
      </c>
      <c r="M49" t="inlineStr">
        <is>
          <t>Jasa Arsitektural Bangunan Gedung Hunian dan Non Hunian, Jasa Rekayasa Konstruksi Bangunan Gedung Hunian dan Non Hunian, Jasa Rekayasa Pekerjaan Teknik Sipil Sumber Daya Air</t>
        </is>
      </c>
      <c r="N49" t="inlineStr">
        <is>
          <t>K</t>
        </is>
      </c>
      <c r="O49" t="inlineStr">
        <is>
          <t>20230704</t>
        </is>
      </c>
      <c r="P49" t="inlineStr">
        <is>
          <t>Jawa Tengah</t>
        </is>
      </c>
      <c r="Q49" t="inlineStr"/>
    </row>
    <row r="50">
      <c r="A50" t="inlineStr">
        <is>
          <t>BILAL JAMBAK</t>
        </is>
      </c>
      <c r="B50" t="inlineStr">
        <is>
          <t>Kab. Pesisir Selatan</t>
        </is>
      </c>
      <c r="C50" t="inlineStr">
        <is>
          <t>08126668191</t>
        </is>
      </c>
      <c r="D50" t="inlineStr">
        <is>
          <t>cvbilaljambak@gmail.com</t>
        </is>
      </c>
      <c r="E50" t="inlineStr">
        <is>
          <t>https://lpjk.pu.go.id/search-badan-usaha-detail/TG9PUlBCbW5RUEw1QStjS3luWFRXZz09</t>
        </is>
      </c>
      <c r="F50" t="n">
        <v>2</v>
      </c>
      <c r="G50" t="inlineStr">
        <is>
          <t>BS010</t>
        </is>
      </c>
      <c r="H50" t="inlineStr">
        <is>
          <t>28 Juni 2021</t>
        </is>
      </c>
      <c r="I50" s="2" t="n">
        <v>46212</v>
      </c>
      <c r="J50" t="inlineStr">
        <is>
          <t>Disetujui</t>
        </is>
      </c>
      <c r="K50" t="n">
        <v>30</v>
      </c>
      <c r="L50" t="inlineStr">
        <is>
          <t>9 Juli 2026</t>
        </is>
      </c>
      <c r="M50" t="inlineStr">
        <is>
          <t>Konstruksi Bangunan Prasarana Sumber Daya Air</t>
        </is>
      </c>
      <c r="N50" t="inlineStr">
        <is>
          <t>K</t>
        </is>
      </c>
      <c r="O50" t="inlineStr">
        <is>
          <t>20230629</t>
        </is>
      </c>
      <c r="P50" t="inlineStr">
        <is>
          <t>Sumatera Barat</t>
        </is>
      </c>
      <c r="Q50" t="inlineStr"/>
    </row>
    <row r="51">
      <c r="A51" t="inlineStr">
        <is>
          <t>BIMMEL JAYA MANDIRI</t>
        </is>
      </c>
      <c r="B51" t="inlineStr">
        <is>
          <t>Kab. Cirebon</t>
        </is>
      </c>
      <c r="C51" t="inlineStr">
        <is>
          <t>087705048382</t>
        </is>
      </c>
      <c r="D51" t="inlineStr">
        <is>
          <t>CVBIMMELJAYAMANDIRI@GMAIL.COM</t>
        </is>
      </c>
      <c r="E51" t="inlineStr">
        <is>
          <t>https://lpjk.pu.go.id/search-badan-usaha-detail/aW9hOHhxNDlzc0g4MmFYUkFnT3NBQT09</t>
        </is>
      </c>
      <c r="F51" t="n">
        <v>1</v>
      </c>
      <c r="G51" t="inlineStr">
        <is>
          <t>BG002</t>
        </is>
      </c>
      <c r="H51" t="inlineStr">
        <is>
          <t>8 Juni 2023</t>
        </is>
      </c>
      <c r="I51" s="2" t="n">
        <v>46212</v>
      </c>
      <c r="J51" t="inlineStr">
        <is>
          <t>Disetujui</t>
        </is>
      </c>
      <c r="K51" t="n">
        <v>30</v>
      </c>
      <c r="L51" t="inlineStr">
        <is>
          <t>9 Juli 2026</t>
        </is>
      </c>
      <c r="M51" t="inlineStr">
        <is>
          <t>Konstruksi Gedung Perkantoran</t>
        </is>
      </c>
      <c r="N51" t="inlineStr">
        <is>
          <t>K</t>
        </is>
      </c>
      <c r="O51" t="inlineStr">
        <is>
          <t>20230707</t>
        </is>
      </c>
      <c r="P51" t="inlineStr">
        <is>
          <t>Jawa Barat</t>
        </is>
      </c>
      <c r="Q51" t="inlineStr"/>
    </row>
    <row r="52">
      <c r="A52" t="inlineStr">
        <is>
          <t>BINTANG KECIL</t>
        </is>
      </c>
      <c r="B52" t="inlineStr">
        <is>
          <t>Kab. Tapin</t>
        </is>
      </c>
      <c r="C52" t="inlineStr">
        <is>
          <t>082113579911</t>
        </is>
      </c>
      <c r="D52" t="inlineStr">
        <is>
          <t>bintangkecil.cv@gmail.com</t>
        </is>
      </c>
      <c r="E52" t="inlineStr">
        <is>
          <t>https://lpjk.pu.go.id/search-badan-usaha-detail/U2prVG5YVzF6UDNnUENGRkhXcHFwQT09</t>
        </is>
      </c>
      <c r="F52" t="n">
        <v>2</v>
      </c>
      <c r="G52" t="inlineStr">
        <is>
          <t>BG008</t>
        </is>
      </c>
      <c r="H52" t="inlineStr">
        <is>
          <t>12 Maret 2004</t>
        </is>
      </c>
      <c r="I52" s="2" t="n">
        <v>46212</v>
      </c>
      <c r="J52" t="inlineStr">
        <is>
          <t>Disetujui</t>
        </is>
      </c>
      <c r="K52" t="n">
        <v>30</v>
      </c>
      <c r="L52" t="inlineStr">
        <is>
          <t>9 Juli 2026</t>
        </is>
      </c>
      <c r="M52" t="inlineStr">
        <is>
          <t>Konstruksi Gedung Tempat Hiburan dan Olahraga</t>
        </is>
      </c>
      <c r="N52" t="inlineStr">
        <is>
          <t>K</t>
        </is>
      </c>
      <c r="O52" t="inlineStr">
        <is>
          <t>20230704</t>
        </is>
      </c>
      <c r="P52" t="inlineStr">
        <is>
          <t>Kalimantan Selatan</t>
        </is>
      </c>
      <c r="Q52" t="inlineStr"/>
    </row>
    <row r="53">
      <c r="A53" t="inlineStr">
        <is>
          <t>BINTANG TIMUR</t>
        </is>
      </c>
      <c r="B53" t="inlineStr">
        <is>
          <t>Kab. Tanjung Jabung Timur</t>
        </is>
      </c>
      <c r="C53" t="inlineStr">
        <is>
          <t>082230455277</t>
        </is>
      </c>
      <c r="D53" t="inlineStr">
        <is>
          <t>muhammadaman252@gmail.com</t>
        </is>
      </c>
      <c r="E53" t="inlineStr">
        <is>
          <t>https://lpjk.pu.go.id/search-badan-usaha-detail/TEJONktqcFdDMnBOUDc0c3pKa1dyUT09</t>
        </is>
      </c>
      <c r="F53" t="n">
        <v>2</v>
      </c>
      <c r="G53" t="inlineStr">
        <is>
          <t>BS004</t>
        </is>
      </c>
      <c r="H53" t="inlineStr">
        <is>
          <t>16 Desember 2000</t>
        </is>
      </c>
      <c r="I53" s="2" t="n">
        <v>46212</v>
      </c>
      <c r="J53" t="inlineStr">
        <is>
          <t>Disetujui</t>
        </is>
      </c>
      <c r="K53" t="n">
        <v>30</v>
      </c>
      <c r="L53" t="inlineStr">
        <is>
          <t>9 Juli 2026</t>
        </is>
      </c>
      <c r="M53" t="inlineStr">
        <is>
          <t>Konstruksi Jaringan Irigasi dan Drainase</t>
        </is>
      </c>
      <c r="N53" t="inlineStr">
        <is>
          <t>K</t>
        </is>
      </c>
      <c r="O53" t="inlineStr">
        <is>
          <t>20230609</t>
        </is>
      </c>
      <c r="P53" t="inlineStr">
        <is>
          <t>Jambi</t>
        </is>
      </c>
      <c r="Q53" t="inlineStr"/>
    </row>
    <row r="54">
      <c r="A54" t="inlineStr">
        <is>
          <t>CAHAYA GALAXY CONSULTANT</t>
        </is>
      </c>
      <c r="B54" t="inlineStr">
        <is>
          <t>Kota Mataram</t>
        </is>
      </c>
      <c r="C54" t="inlineStr">
        <is>
          <t>082145981527</t>
        </is>
      </c>
      <c r="D54" t="inlineStr">
        <is>
          <t>cahayagalaxyconsultan@gmail.com</t>
        </is>
      </c>
      <c r="E54" t="inlineStr">
        <is>
          <t>https://lpjk.pu.go.id/search-badan-usaha-detail/Y0JkV2FNNGYxUTFVRWM4SmpkeGNZUT09</t>
        </is>
      </c>
      <c r="F54" t="n">
        <v>2</v>
      </c>
      <c r="G54" t="inlineStr">
        <is>
          <t>RK001, RK003</t>
        </is>
      </c>
      <c r="H54" t="inlineStr">
        <is>
          <t>30 Januari 2023</t>
        </is>
      </c>
      <c r="I54" s="2" t="n">
        <v>46212</v>
      </c>
      <c r="J54" t="inlineStr">
        <is>
          <t>Disetujui</t>
        </is>
      </c>
      <c r="K54" t="n">
        <v>30</v>
      </c>
      <c r="L54" t="inlineStr">
        <is>
          <t>9 Juli 2026</t>
        </is>
      </c>
      <c r="M54" t="inlineStr">
        <is>
          <t>Jasa Rekayasa Konstruksi Bangunan Gedung Hunian dan Non Hunian, Jasa Rekayasa Pekerjaan Teknik Sipil Transportasi</t>
        </is>
      </c>
      <c r="N54" t="inlineStr">
        <is>
          <t>K</t>
        </is>
      </c>
      <c r="O54" t="inlineStr">
        <is>
          <t>20230414, 20230613</t>
        </is>
      </c>
      <c r="P54" t="inlineStr">
        <is>
          <t>Nusa Tenggara Barat</t>
        </is>
      </c>
      <c r="Q54" t="inlineStr"/>
    </row>
    <row r="55">
      <c r="A55" t="inlineStr">
        <is>
          <t>CAHAYA RIFQI</t>
        </is>
      </c>
      <c r="B55" t="inlineStr">
        <is>
          <t>Kab. Banggai</t>
        </is>
      </c>
      <c r="C55" t="inlineStr">
        <is>
          <t>082191784263</t>
        </is>
      </c>
      <c r="D55" t="inlineStr">
        <is>
          <t>cv.cahayarifqi@gmail.com</t>
        </is>
      </c>
      <c r="E55" t="inlineStr">
        <is>
          <t>https://lpjk.pu.go.id/search-badan-usaha-detail/Vk81dDdRT2lLdnpsbDhwdldwSHMyZz09</t>
        </is>
      </c>
      <c r="F55" t="n">
        <v>2</v>
      </c>
      <c r="G55" t="inlineStr">
        <is>
          <t>BG005, BG006</t>
        </is>
      </c>
      <c r="H55" t="inlineStr">
        <is>
          <t>19 Agustus 2021</t>
        </is>
      </c>
      <c r="I55" s="2" t="n">
        <v>46212</v>
      </c>
      <c r="J55" t="inlineStr">
        <is>
          <t>Disetujui</t>
        </is>
      </c>
      <c r="K55" t="n">
        <v>30</v>
      </c>
      <c r="L55" t="inlineStr">
        <is>
          <t>9 Juli 2026</t>
        </is>
      </c>
      <c r="M55" t="inlineStr">
        <is>
          <t>Konstruksi Gedung Kesehatan, Konstruksi Gedung Pendidikan</t>
        </is>
      </c>
      <c r="N55" t="inlineStr">
        <is>
          <t>K</t>
        </is>
      </c>
      <c r="O55" t="inlineStr">
        <is>
          <t>20230709</t>
        </is>
      </c>
      <c r="P55" t="inlineStr">
        <is>
          <t>Sulawesi Tengah</t>
        </is>
      </c>
      <c r="Q55" t="inlineStr"/>
    </row>
    <row r="56">
      <c r="A56" t="inlineStr">
        <is>
          <t>CIPTA GRAHA</t>
        </is>
      </c>
      <c r="B56" t="inlineStr">
        <is>
          <t>Kab. Malang</t>
        </is>
      </c>
      <c r="C56" t="inlineStr">
        <is>
          <t>081214232662</t>
        </is>
      </c>
      <c r="D56" t="inlineStr">
        <is>
          <t>ciptagraha.contractor@gmail.com</t>
        </is>
      </c>
      <c r="E56" t="inlineStr">
        <is>
          <t>https://lpjk.pu.go.id/search-badan-usaha-detail/amVuWXlpTXM3Z1A0cklkclZpTmxQZz09</t>
        </is>
      </c>
      <c r="F56" t="n">
        <v>1</v>
      </c>
      <c r="G56" t="inlineStr">
        <is>
          <t>BS004</t>
        </is>
      </c>
      <c r="H56" t="inlineStr">
        <is>
          <t>12 Juni 2012</t>
        </is>
      </c>
      <c r="I56" s="2" t="n">
        <v>46212</v>
      </c>
      <c r="J56" t="inlineStr">
        <is>
          <t>Disetujui</t>
        </is>
      </c>
      <c r="K56" t="n">
        <v>30</v>
      </c>
      <c r="L56" t="inlineStr">
        <is>
          <t>9 Juli 2026</t>
        </is>
      </c>
      <c r="M56" t="inlineStr">
        <is>
          <t>Konstruksi Jaringan Irigasi dan Drainase</t>
        </is>
      </c>
      <c r="N56" t="inlineStr">
        <is>
          <t>K</t>
        </is>
      </c>
      <c r="O56" t="inlineStr">
        <is>
          <t>20230707</t>
        </is>
      </c>
      <c r="P56" t="inlineStr">
        <is>
          <t>Jawa Timur</t>
        </is>
      </c>
      <c r="Q56" t="inlineStr"/>
    </row>
    <row r="57">
      <c r="A57" t="inlineStr">
        <is>
          <t>CIPTA KIYAT ADIJAYA</t>
        </is>
      </c>
      <c r="B57" t="inlineStr">
        <is>
          <t>Kota Adm. Jakarta Selatan</t>
        </is>
      </c>
      <c r="C57" t="inlineStr">
        <is>
          <t>0218706656</t>
        </is>
      </c>
      <c r="D57" t="inlineStr">
        <is>
          <t>ciptakiyat.adijaya@gmail.com</t>
        </is>
      </c>
      <c r="E57" t="inlineStr">
        <is>
          <t>https://lpjk.pu.go.id/search-badan-usaha-detail/UHR1cFVKSWwyaFNnQWkyaXRZL3FOUT09</t>
        </is>
      </c>
      <c r="F57" t="n">
        <v>4</v>
      </c>
      <c r="G57" t="inlineStr">
        <is>
          <t>BG005, BG006</t>
        </is>
      </c>
      <c r="H57" t="inlineStr">
        <is>
          <t>20 Maret 2023</t>
        </is>
      </c>
      <c r="I57" s="2" t="n">
        <v>46212</v>
      </c>
      <c r="J57" t="inlineStr">
        <is>
          <t>Pencabutan</t>
        </is>
      </c>
      <c r="K57" t="n">
        <v>30</v>
      </c>
      <c r="L57" t="inlineStr">
        <is>
          <t>9 Juli 2026</t>
        </is>
      </c>
      <c r="M57" t="inlineStr">
        <is>
          <t>Konstruksi Gedung Kesehatan, Konstruksi Gedung Pendidikan</t>
        </is>
      </c>
      <c r="N57" t="inlineStr">
        <is>
          <t>K</t>
        </is>
      </c>
      <c r="O57" t="inlineStr">
        <is>
          <t>20230411</t>
        </is>
      </c>
      <c r="P57" t="inlineStr">
        <is>
          <t>DKI Jakarta</t>
        </is>
      </c>
      <c r="Q57" t="inlineStr"/>
    </row>
    <row r="58">
      <c r="A58" t="inlineStr">
        <is>
          <t>CITRA KREASI TEKNINDO</t>
        </is>
      </c>
      <c r="B58" t="inlineStr">
        <is>
          <t>Kab. Bondowoso</t>
        </is>
      </c>
      <c r="C58" t="inlineStr">
        <is>
          <t>081252734410</t>
        </is>
      </c>
      <c r="D58" t="inlineStr">
        <is>
          <t>cvcitrakreasiteknindo@gmail.com</t>
        </is>
      </c>
      <c r="E58" t="inlineStr">
        <is>
          <t>https://lpjk.pu.go.id/search-badan-usaha-detail/SEhndThxNEpBdlVZcHgwbDdubVQzQT09</t>
        </is>
      </c>
      <c r="F58" t="n">
        <v>3</v>
      </c>
      <c r="G58" t="inlineStr">
        <is>
          <t>RK001, RK002, RK003</t>
        </is>
      </c>
      <c r="H58" t="inlineStr">
        <is>
          <t>14 Maret 2012</t>
        </is>
      </c>
      <c r="I58" s="2" t="n">
        <v>46212</v>
      </c>
      <c r="J58" t="inlineStr">
        <is>
          <t>Disetujui</t>
        </is>
      </c>
      <c r="K58" t="n">
        <v>30</v>
      </c>
      <c r="L58" t="inlineStr">
        <is>
          <t>9 Juli 2026</t>
        </is>
      </c>
      <c r="M58" t="inlineStr">
        <is>
          <t>Jasa Rekayasa Konstruksi Bangunan Gedung Hunian dan Non Hunian, Jasa Rekayasa Pekerjaan Teknik Sipil Sumber Daya Air, Jasa Rekayasa Pekerjaan Teknik Sipil Transportasi</t>
        </is>
      </c>
      <c r="N58" t="inlineStr">
        <is>
          <t>K</t>
        </is>
      </c>
      <c r="O58" t="inlineStr">
        <is>
          <t>20230704, 20230705</t>
        </is>
      </c>
      <c r="P58" t="inlineStr">
        <is>
          <t>Jawa Timur</t>
        </is>
      </c>
      <c r="Q58" t="inlineStr"/>
    </row>
    <row r="59">
      <c r="A59" t="inlineStr">
        <is>
          <t>CV. RODEAK JAYA MANDIRI</t>
        </is>
      </c>
      <c r="B59" t="inlineStr">
        <is>
          <t>Kab. Raja Ampat</t>
        </is>
      </c>
      <c r="C59" t="inlineStr">
        <is>
          <t>0852 4422 5159</t>
        </is>
      </c>
      <c r="D59" t="inlineStr">
        <is>
          <t>rodeakjayamandiri@gmail.com</t>
        </is>
      </c>
      <c r="E59" t="inlineStr">
        <is>
          <t>https://lpjk.pu.go.id/search-badan-usaha-detail/Zno0SlU2dTJURmZrQWtaM1JGdGZCQT09</t>
        </is>
      </c>
      <c r="F59" t="n">
        <v>1</v>
      </c>
      <c r="G59" t="inlineStr">
        <is>
          <t>BG009</t>
        </is>
      </c>
      <c r="H59" t="inlineStr">
        <is>
          <t>16 September 2016</t>
        </is>
      </c>
      <c r="I59" s="2" t="n">
        <v>46212</v>
      </c>
      <c r="J59" t="inlineStr">
        <is>
          <t>Disetujui</t>
        </is>
      </c>
      <c r="K59" t="n">
        <v>30</v>
      </c>
      <c r="L59" t="inlineStr">
        <is>
          <t>9 Juli 2026</t>
        </is>
      </c>
      <c r="M59" t="inlineStr">
        <is>
          <t>Konstruksi Gedung Lainnya</t>
        </is>
      </c>
      <c r="N59" t="inlineStr">
        <is>
          <t>K</t>
        </is>
      </c>
      <c r="O59" t="inlineStr">
        <is>
          <t>20230623</t>
        </is>
      </c>
      <c r="P59" t="inlineStr">
        <is>
          <t>Papua Barat</t>
        </is>
      </c>
      <c r="Q59" t="inlineStr"/>
    </row>
    <row r="60">
      <c r="A60" t="inlineStr">
        <is>
          <t>DARMA NUSANTARA</t>
        </is>
      </c>
      <c r="B60" t="inlineStr">
        <is>
          <t>Kota Palangkaraya</t>
        </is>
      </c>
      <c r="C60" t="inlineStr">
        <is>
          <t>085234012057</t>
        </is>
      </c>
      <c r="D60" t="inlineStr">
        <is>
          <t>cv.darmanusantara@gmail.com</t>
        </is>
      </c>
      <c r="E60" t="inlineStr">
        <is>
          <t>https://lpjk.pu.go.id/search-badan-usaha-detail/SlpiR1pzR3g0aXMySVdrbGplVUVJdz09</t>
        </is>
      </c>
      <c r="F60" t="n">
        <v>1</v>
      </c>
      <c r="G60" t="inlineStr">
        <is>
          <t>BS001</t>
        </is>
      </c>
      <c r="H60" t="inlineStr">
        <is>
          <t>21 Juni 2016</t>
        </is>
      </c>
      <c r="I60" s="2" t="n">
        <v>46212</v>
      </c>
      <c r="J60" t="inlineStr">
        <is>
          <t>Disetujui</t>
        </is>
      </c>
      <c r="K60" t="n">
        <v>30</v>
      </c>
      <c r="L60" t="inlineStr">
        <is>
          <t>9 Juli 2026</t>
        </is>
      </c>
      <c r="M60" t="inlineStr">
        <is>
          <t>Konstruksi Bangunan Sipil Jalan</t>
        </is>
      </c>
      <c r="N60" t="inlineStr">
        <is>
          <t>K</t>
        </is>
      </c>
      <c r="O60" t="inlineStr">
        <is>
          <t>20230313</t>
        </is>
      </c>
      <c r="P60" t="inlineStr">
        <is>
          <t>Kalimantan Tengah</t>
        </is>
      </c>
      <c r="Q60" t="inlineStr"/>
    </row>
    <row r="61">
      <c r="A61" t="inlineStr">
        <is>
          <t>DIASH DIRAYA PLANS</t>
        </is>
      </c>
      <c r="B61" t="inlineStr">
        <is>
          <t>Kota Makassar</t>
        </is>
      </c>
      <c r="C61" t="inlineStr">
        <is>
          <t>081342001001</t>
        </is>
      </c>
      <c r="D61" t="inlineStr">
        <is>
          <t>pt.diash@gmail.com</t>
        </is>
      </c>
      <c r="E61" t="inlineStr">
        <is>
          <t>https://lpjk.pu.go.id/search-badan-usaha-detail/T1hFRTdTZ3UvSjZqVTNKSzhBY0F2QT09</t>
        </is>
      </c>
      <c r="F61" t="n">
        <v>1</v>
      </c>
      <c r="G61" t="inlineStr">
        <is>
          <t>BG001</t>
        </is>
      </c>
      <c r="H61" t="inlineStr">
        <is>
          <t>10 Maret 2022</t>
        </is>
      </c>
      <c r="I61" s="2" t="n">
        <v>46212</v>
      </c>
      <c r="J61" t="inlineStr">
        <is>
          <t>Disetujui</t>
        </is>
      </c>
      <c r="K61" t="n">
        <v>30</v>
      </c>
      <c r="L61" t="inlineStr">
        <is>
          <t>9 Juli 2026</t>
        </is>
      </c>
      <c r="M61" t="inlineStr">
        <is>
          <t>Konstruksi Gedung Hunian</t>
        </is>
      </c>
      <c r="N61" t="inlineStr">
        <is>
          <t>K</t>
        </is>
      </c>
      <c r="O61" t="inlineStr">
        <is>
          <t>20230710</t>
        </is>
      </c>
      <c r="P61" t="inlineStr">
        <is>
          <t>Sulawesi Selatan</t>
        </is>
      </c>
      <c r="Q61" t="inlineStr"/>
    </row>
    <row r="62">
      <c r="A62" t="inlineStr">
        <is>
          <t>DUTA KAMUNING</t>
        </is>
      </c>
      <c r="B62" t="inlineStr">
        <is>
          <t>Kab. Kuningan</t>
        </is>
      </c>
      <c r="C62" t="inlineStr">
        <is>
          <t>081394102061</t>
        </is>
      </c>
      <c r="D62" t="inlineStr">
        <is>
          <t>ptsinarchulamega@gmail.com</t>
        </is>
      </c>
      <c r="E62" t="inlineStr">
        <is>
          <t>https://lpjk.pu.go.id/search-badan-usaha-detail/ckFUejBXL1ZhdTVOdURyODhaMzFmZz09</t>
        </is>
      </c>
      <c r="F62" t="n">
        <v>1</v>
      </c>
      <c r="G62" t="inlineStr">
        <is>
          <t>BG009</t>
        </is>
      </c>
      <c r="H62" t="inlineStr">
        <is>
          <t>6 Februari 1973</t>
        </is>
      </c>
      <c r="I62" s="2" t="n">
        <v>46212</v>
      </c>
      <c r="J62" t="inlineStr">
        <is>
          <t>Disetujui</t>
        </is>
      </c>
      <c r="K62" t="n">
        <v>30</v>
      </c>
      <c r="L62" t="inlineStr">
        <is>
          <t>9 Juli 2026</t>
        </is>
      </c>
      <c r="M62" t="inlineStr">
        <is>
          <t>Konstruksi Gedung Lainnya</t>
        </is>
      </c>
      <c r="N62" t="inlineStr">
        <is>
          <t>K</t>
        </is>
      </c>
      <c r="O62" t="inlineStr">
        <is>
          <t>20230704</t>
        </is>
      </c>
      <c r="P62" t="inlineStr">
        <is>
          <t>Jawa Barat</t>
        </is>
      </c>
      <c r="Q62" t="inlineStr"/>
    </row>
    <row r="63">
      <c r="A63" t="inlineStr">
        <is>
          <t>EKA PAKSI MEGAH PERKASA</t>
        </is>
      </c>
      <c r="B63" t="inlineStr">
        <is>
          <t>Kab. Jember</t>
        </is>
      </c>
      <c r="C63" t="inlineStr">
        <is>
          <t>081336273799</t>
        </is>
      </c>
      <c r="D63" t="inlineStr">
        <is>
          <t>ekapaksimegahperkasa@yahoo.com</t>
        </is>
      </c>
      <c r="E63" t="inlineStr">
        <is>
          <t>https://lpjk.pu.go.id/search-badan-usaha-detail/ODFGc0xaWWFVS3VOTkJUK2NlYXAyQT09</t>
        </is>
      </c>
      <c r="F63" t="n">
        <v>3</v>
      </c>
      <c r="G63" t="inlineStr">
        <is>
          <t>BG005, BG006, BG009</t>
        </is>
      </c>
      <c r="H63" t="inlineStr">
        <is>
          <t>8 Agustus 2022</t>
        </is>
      </c>
      <c r="I63" s="2" t="n">
        <v>46212</v>
      </c>
      <c r="J63" t="inlineStr">
        <is>
          <t>Disetujui</t>
        </is>
      </c>
      <c r="K63" t="n">
        <v>30</v>
      </c>
      <c r="L63" t="inlineStr">
        <is>
          <t>9 Juli 2026</t>
        </is>
      </c>
      <c r="M63" t="inlineStr">
        <is>
          <t>Konstruksi Gedung Kesehatan, Konstruksi Gedung Lainnya, Konstruksi Gedung Pendidikan</t>
        </is>
      </c>
      <c r="N63" t="inlineStr">
        <is>
          <t>K</t>
        </is>
      </c>
      <c r="O63" t="inlineStr">
        <is>
          <t>20230215, 20230216</t>
        </is>
      </c>
      <c r="P63" t="inlineStr">
        <is>
          <t>Jawa Timur</t>
        </is>
      </c>
      <c r="Q63" t="inlineStr"/>
    </row>
    <row r="64">
      <c r="A64" t="inlineStr">
        <is>
          <t>ELANG PERKASA</t>
        </is>
      </c>
      <c r="B64" t="inlineStr">
        <is>
          <t>Kab. Muara Enim</t>
        </is>
      </c>
      <c r="C64" t="inlineStr">
        <is>
          <t>081273227805</t>
        </is>
      </c>
      <c r="D64" t="inlineStr">
        <is>
          <t>rruslaili16@gmail.com</t>
        </is>
      </c>
      <c r="E64" t="inlineStr">
        <is>
          <t>https://lpjk.pu.go.id/search-badan-usaha-detail/N290akR5QklxK2M3cXg0Yyt3Q3N3UT09</t>
        </is>
      </c>
      <c r="F64" t="n">
        <v>4</v>
      </c>
      <c r="G64" t="inlineStr">
        <is>
          <t>BG006, BG009</t>
        </is>
      </c>
      <c r="H64" t="inlineStr">
        <is>
          <t>4 Desember 2013</t>
        </is>
      </c>
      <c r="I64" s="2" t="n">
        <v>46212</v>
      </c>
      <c r="J64" t="inlineStr">
        <is>
          <t>Disetujui</t>
        </is>
      </c>
      <c r="K64" t="n">
        <v>30</v>
      </c>
      <c r="L64" t="inlineStr">
        <is>
          <t>9 Juli 2026</t>
        </is>
      </c>
      <c r="M64" t="inlineStr">
        <is>
          <t>Konstruksi Gedung Lainnya, Konstruksi Gedung Pendidikan</t>
        </is>
      </c>
      <c r="N64" t="inlineStr">
        <is>
          <t>K</t>
        </is>
      </c>
      <c r="O64" t="inlineStr">
        <is>
          <t>20230705</t>
        </is>
      </c>
      <c r="P64" t="inlineStr">
        <is>
          <t>Sumatera Selatan</t>
        </is>
      </c>
      <c r="Q64" t="inlineStr"/>
    </row>
    <row r="65">
      <c r="A65" t="inlineStr">
        <is>
          <t>ERA SEJAHTERA</t>
        </is>
      </c>
      <c r="B65" t="inlineStr">
        <is>
          <t>Kota Pontianak</t>
        </is>
      </c>
      <c r="C65" t="inlineStr">
        <is>
          <t>089609059748</t>
        </is>
      </c>
      <c r="D65" t="inlineStr">
        <is>
          <t>erasejahteracv@gmail.com</t>
        </is>
      </c>
      <c r="E65" t="inlineStr">
        <is>
          <t>https://lpjk.pu.go.id/search-badan-usaha-detail/RzNQNWNzZjFqVHJnaHVrMTcxQ1Fydz09</t>
        </is>
      </c>
      <c r="F65" t="n">
        <v>2</v>
      </c>
      <c r="G65" t="inlineStr">
        <is>
          <t>BS001, BS004</t>
        </is>
      </c>
      <c r="H65" t="inlineStr">
        <is>
          <t>8 November 2013</t>
        </is>
      </c>
      <c r="I65" s="2" t="n">
        <v>46212</v>
      </c>
      <c r="J65" t="inlineStr">
        <is>
          <t>Disetujui</t>
        </is>
      </c>
      <c r="K65" t="n">
        <v>30</v>
      </c>
      <c r="L65" t="inlineStr">
        <is>
          <t>9 Juli 2026</t>
        </is>
      </c>
      <c r="M65" t="inlineStr">
        <is>
          <t>Konstruksi Bangunan Sipil Jalan, Konstruksi Jaringan Irigasi dan Drainase</t>
        </is>
      </c>
      <c r="N65" t="inlineStr">
        <is>
          <t>K</t>
        </is>
      </c>
      <c r="O65" t="inlineStr">
        <is>
          <t>20230709</t>
        </is>
      </c>
      <c r="P65" t="inlineStr">
        <is>
          <t>Kalimantan Barat</t>
        </is>
      </c>
      <c r="Q65" t="inlineStr"/>
    </row>
    <row r="66">
      <c r="A66" t="inlineStr">
        <is>
          <t>FAJAR MAKMUR SERUI</t>
        </is>
      </c>
      <c r="B66" t="inlineStr">
        <is>
          <t>Kab. Kepulauan Yapen</t>
        </is>
      </c>
      <c r="C66" t="inlineStr">
        <is>
          <t>082199203987</t>
        </is>
      </c>
      <c r="D66" t="inlineStr">
        <is>
          <t>fajarmakmurseruicv@gmail.com</t>
        </is>
      </c>
      <c r="E66" t="inlineStr">
        <is>
          <t>https://lpjk.pu.go.id/search-badan-usaha-detail/enhvZGJvdzhUdkdRc1h6eTVCTlErdz09</t>
        </is>
      </c>
      <c r="F66" t="n">
        <v>1</v>
      </c>
      <c r="G66" t="inlineStr">
        <is>
          <t>BG009</t>
        </is>
      </c>
      <c r="H66" t="inlineStr">
        <is>
          <t>11 April 2023</t>
        </is>
      </c>
      <c r="I66" s="2" t="n">
        <v>46212</v>
      </c>
      <c r="J66" t="inlineStr">
        <is>
          <t>Pencabutan</t>
        </is>
      </c>
      <c r="K66" t="n">
        <v>30</v>
      </c>
      <c r="L66" t="inlineStr">
        <is>
          <t>9 Juli 2026</t>
        </is>
      </c>
      <c r="M66" t="inlineStr">
        <is>
          <t>Konstruksi Gedung Lainnya</t>
        </is>
      </c>
      <c r="N66" t="inlineStr">
        <is>
          <t>K</t>
        </is>
      </c>
      <c r="O66" t="inlineStr">
        <is>
          <t>20230709</t>
        </is>
      </c>
      <c r="P66" t="inlineStr">
        <is>
          <t>Papua</t>
        </is>
      </c>
      <c r="Q66" t="inlineStr"/>
    </row>
    <row r="67">
      <c r="A67" t="inlineStr">
        <is>
          <t>FAJAR SEJAHTERA MAKMUR</t>
        </is>
      </c>
      <c r="B67" t="inlineStr">
        <is>
          <t>Kota Jambi</t>
        </is>
      </c>
      <c r="C67" t="inlineStr">
        <is>
          <t>081383888899</t>
        </is>
      </c>
      <c r="D67" t="inlineStr">
        <is>
          <t>pt.fajarsejahteramakmur505@gmail.com</t>
        </is>
      </c>
      <c r="E67" t="inlineStr">
        <is>
          <t>https://lpjk.pu.go.id/search-badan-usaha-detail/dlFwMHEreGtPdFRwek9OZWNxOENMdz09</t>
        </is>
      </c>
      <c r="F67" t="n">
        <v>1</v>
      </c>
      <c r="G67" t="inlineStr">
        <is>
          <t>BG001</t>
        </is>
      </c>
      <c r="H67" t="inlineStr">
        <is>
          <t>25 Juli 2017</t>
        </is>
      </c>
      <c r="I67" s="2" t="n">
        <v>46212</v>
      </c>
      <c r="J67" t="inlineStr">
        <is>
          <t>Disetujui</t>
        </is>
      </c>
      <c r="K67" t="n">
        <v>30</v>
      </c>
      <c r="L67" t="inlineStr">
        <is>
          <t>9 Juli 2026</t>
        </is>
      </c>
      <c r="M67" t="inlineStr">
        <is>
          <t>Konstruksi Gedung Hunian</t>
        </is>
      </c>
      <c r="N67" t="inlineStr">
        <is>
          <t>K</t>
        </is>
      </c>
      <c r="O67" t="inlineStr">
        <is>
          <t>20230710</t>
        </is>
      </c>
      <c r="P67" t="inlineStr">
        <is>
          <t>Jambi</t>
        </is>
      </c>
      <c r="Q67" t="inlineStr"/>
    </row>
    <row r="68">
      <c r="A68" t="inlineStr">
        <is>
          <t>FAQIH ENGINEER KONSULTAN</t>
        </is>
      </c>
      <c r="B68" t="inlineStr">
        <is>
          <t>Kota Tarakan</t>
        </is>
      </c>
      <c r="C68" t="inlineStr">
        <is>
          <t>085347007273</t>
        </is>
      </c>
      <c r="D68" t="inlineStr">
        <is>
          <t>Fek.engineer@yahoo.com</t>
        </is>
      </c>
      <c r="E68" t="inlineStr">
        <is>
          <t>https://lpjk.pu.go.id/search-badan-usaha-detail/M1l1TUJueTAwaU9LbnBjZXFVd0tTZz09</t>
        </is>
      </c>
      <c r="F68" t="n">
        <v>1</v>
      </c>
      <c r="G68" t="inlineStr">
        <is>
          <t>RK002</t>
        </is>
      </c>
      <c r="H68" t="inlineStr">
        <is>
          <t>30 Januari 2020</t>
        </is>
      </c>
      <c r="I68" s="2" t="n">
        <v>46212</v>
      </c>
      <c r="J68" t="inlineStr">
        <is>
          <t>Disetujui</t>
        </is>
      </c>
      <c r="K68" t="n">
        <v>30</v>
      </c>
      <c r="L68" t="inlineStr">
        <is>
          <t>9 Juli 2026</t>
        </is>
      </c>
      <c r="M68" t="inlineStr">
        <is>
          <t>Jasa Rekayasa Pekerjaan Teknik Sipil Sumber Daya Air</t>
        </is>
      </c>
      <c r="N68" t="inlineStr">
        <is>
          <t>K</t>
        </is>
      </c>
      <c r="O68" t="inlineStr">
        <is>
          <t>20230214</t>
        </is>
      </c>
      <c r="P68" t="inlineStr">
        <is>
          <t>Kalimantan Utara</t>
        </is>
      </c>
      <c r="Q68" t="inlineStr"/>
    </row>
    <row r="69">
      <c r="A69" t="inlineStr">
        <is>
          <t>FATIH AZCA KONSULTAN</t>
        </is>
      </c>
      <c r="B69" t="inlineStr">
        <is>
          <t>Kota Medan</t>
        </is>
      </c>
      <c r="C69" t="inlineStr">
        <is>
          <t>085261515100</t>
        </is>
      </c>
      <c r="D69" t="inlineStr">
        <is>
          <t>fatih.azca@gmail.com</t>
        </is>
      </c>
      <c r="E69" t="inlineStr">
        <is>
          <t>https://lpjk.pu.go.id/search-badan-usaha-detail/SmRZRWtGSkZQWXlFRUdpeUJvUDVudz09</t>
        </is>
      </c>
      <c r="F69" t="n">
        <v>2</v>
      </c>
      <c r="G69" t="inlineStr">
        <is>
          <t>RK001, RK003</t>
        </is>
      </c>
      <c r="H69" t="inlineStr">
        <is>
          <t>12 Agustus 2019</t>
        </is>
      </c>
      <c r="I69" s="2" t="n">
        <v>46212</v>
      </c>
      <c r="J69" t="inlineStr">
        <is>
          <t>Disetujui</t>
        </is>
      </c>
      <c r="K69" t="n">
        <v>30</v>
      </c>
      <c r="L69" t="inlineStr">
        <is>
          <t>9 Juli 2026</t>
        </is>
      </c>
      <c r="M69" t="inlineStr">
        <is>
          <t>Jasa Rekayasa Konstruksi Bangunan Gedung Hunian dan Non Hunian, Jasa Rekayasa Pekerjaan Teknik Sipil Transportasi</t>
        </is>
      </c>
      <c r="N69" t="inlineStr">
        <is>
          <t>K</t>
        </is>
      </c>
      <c r="O69" t="inlineStr">
        <is>
          <t>20230620</t>
        </is>
      </c>
      <c r="P69" t="inlineStr">
        <is>
          <t>Sumatera Utara</t>
        </is>
      </c>
      <c r="Q69" t="inlineStr"/>
    </row>
    <row r="70">
      <c r="A70" t="inlineStr">
        <is>
          <t>FITRI AZZAHRA</t>
        </is>
      </c>
      <c r="B70" t="inlineStr">
        <is>
          <t>Kab. Pati</t>
        </is>
      </c>
      <c r="C70" t="inlineStr">
        <is>
          <t>082325252399</t>
        </is>
      </c>
      <c r="D70" t="inlineStr">
        <is>
          <t>cvfitriazzahra@gmail.com</t>
        </is>
      </c>
      <c r="E70" t="inlineStr">
        <is>
          <t>https://lpjk.pu.go.id/search-badan-usaha-detail/M1BjazR1L3BWRUxpUDFRMDZpeWtadz09</t>
        </is>
      </c>
      <c r="F70" t="n">
        <v>1</v>
      </c>
      <c r="G70" t="inlineStr">
        <is>
          <t>BS001</t>
        </is>
      </c>
      <c r="H70" t="inlineStr">
        <is>
          <t>3 November 2018</t>
        </is>
      </c>
      <c r="I70" s="2" t="n">
        <v>46212</v>
      </c>
      <c r="J70" t="inlineStr">
        <is>
          <t>Disetujui</t>
        </is>
      </c>
      <c r="K70" t="n">
        <v>30</v>
      </c>
      <c r="L70" t="inlineStr">
        <is>
          <t>9 Juli 2026</t>
        </is>
      </c>
      <c r="M70" t="inlineStr">
        <is>
          <t>Konstruksi Bangunan Sipil Jalan</t>
        </is>
      </c>
      <c r="N70" t="inlineStr">
        <is>
          <t>K</t>
        </is>
      </c>
      <c r="O70" t="inlineStr">
        <is>
          <t>20230706</t>
        </is>
      </c>
      <c r="P70" t="inlineStr">
        <is>
          <t>Jawa Tengah</t>
        </is>
      </c>
      <c r="Q70" t="inlineStr"/>
    </row>
    <row r="71">
      <c r="A71" t="inlineStr">
        <is>
          <t>GEO PLANO KONSULTAN</t>
        </is>
      </c>
      <c r="B71" t="inlineStr">
        <is>
          <t>Kota Surabaya</t>
        </is>
      </c>
      <c r="C71" t="inlineStr">
        <is>
          <t>0318414593</t>
        </is>
      </c>
      <c r="D71" t="inlineStr">
        <is>
          <t>geoplano.konsultan@gmail.com</t>
        </is>
      </c>
      <c r="E71" t="inlineStr">
        <is>
          <t>https://lpjk.pu.go.id/search-badan-usaha-detail/d1VWTnpuYmlLQWhYWC9XaFl3TG9iQT09</t>
        </is>
      </c>
      <c r="F71" t="n">
        <v>4</v>
      </c>
      <c r="G71" t="inlineStr">
        <is>
          <t>AL002, AL003, AL004, RK001</t>
        </is>
      </c>
      <c r="H71" t="inlineStr">
        <is>
          <t>19 April 2004</t>
        </is>
      </c>
      <c r="I71" s="2" t="n">
        <v>46212</v>
      </c>
      <c r="J71" t="inlineStr">
        <is>
          <t>Pencabutan</t>
        </is>
      </c>
      <c r="K71" t="n">
        <v>30</v>
      </c>
      <c r="L71" t="inlineStr">
        <is>
          <t>9 Juli 2026</t>
        </is>
      </c>
      <c r="M71" t="inlineStr">
        <is>
          <t>Jasa Pengembangan Lingkungan Bangunan dan Lanskap, Jasa Pengembangan Perkotaan, Jasa Pengembangan Wilayah, Jasa Rekayasa Konstruksi Bangunan Gedung Hunian dan Non Hunian</t>
        </is>
      </c>
      <c r="N71" t="inlineStr">
        <is>
          <t>K</t>
        </is>
      </c>
      <c r="O71" t="inlineStr">
        <is>
          <t>20230622, 20230624</t>
        </is>
      </c>
      <c r="P71" t="inlineStr">
        <is>
          <t>Jawa Timur</t>
        </is>
      </c>
      <c r="Q71" t="inlineStr"/>
    </row>
    <row r="72">
      <c r="A72" t="inlineStr">
        <is>
          <t>GERBANG GAYO</t>
        </is>
      </c>
      <c r="B72" t="inlineStr">
        <is>
          <t>Kab. Bener Meriah</t>
        </is>
      </c>
      <c r="C72" t="inlineStr">
        <is>
          <t>085226904396</t>
        </is>
      </c>
      <c r="D72" t="inlineStr">
        <is>
          <t>cvgerbanggayo@gmail.com</t>
        </is>
      </c>
      <c r="E72" t="inlineStr">
        <is>
          <t>https://lpjk.pu.go.id/search-badan-usaha-detail/OUJMQmltaTh2YytIWG9XaGl2M3FaUT09</t>
        </is>
      </c>
      <c r="F72" t="n">
        <v>1</v>
      </c>
      <c r="G72" t="inlineStr">
        <is>
          <t>BS004</t>
        </is>
      </c>
      <c r="H72" t="inlineStr">
        <is>
          <t>13 Juli 2007</t>
        </is>
      </c>
      <c r="I72" s="2" t="n">
        <v>46212</v>
      </c>
      <c r="J72" t="inlineStr">
        <is>
          <t>Disetujui</t>
        </is>
      </c>
      <c r="K72" t="n">
        <v>30</v>
      </c>
      <c r="L72" t="inlineStr">
        <is>
          <t>9 Juli 2026</t>
        </is>
      </c>
      <c r="M72" t="inlineStr">
        <is>
          <t>Konstruksi Jaringan Irigasi dan Drainase</t>
        </is>
      </c>
      <c r="N72" t="inlineStr">
        <is>
          <t>K</t>
        </is>
      </c>
      <c r="O72" t="inlineStr">
        <is>
          <t>20230703</t>
        </is>
      </c>
      <c r="P72" t="inlineStr">
        <is>
          <t>Aceh</t>
        </is>
      </c>
      <c r="Q72" t="inlineStr"/>
    </row>
    <row r="73">
      <c r="A73" t="inlineStr">
        <is>
          <t>GITA MANDIRI</t>
        </is>
      </c>
      <c r="B73" t="inlineStr">
        <is>
          <t>Kota Bukittinggi</t>
        </is>
      </c>
      <c r="C73" t="inlineStr">
        <is>
          <t>085265755653</t>
        </is>
      </c>
      <c r="D73" t="inlineStr">
        <is>
          <t>cv.gita.mandiri011@gmail.com</t>
        </is>
      </c>
      <c r="E73" t="inlineStr">
        <is>
          <t>https://lpjk.pu.go.id/search-badan-usaha-detail/aWdsN21tT0RwUnBkdXZRR0tMdjJUZz09</t>
        </is>
      </c>
      <c r="F73" t="n">
        <v>1</v>
      </c>
      <c r="G73" t="inlineStr">
        <is>
          <t>BG002</t>
        </is>
      </c>
      <c r="H73" t="inlineStr">
        <is>
          <t>5 Februari 2011</t>
        </is>
      </c>
      <c r="I73" s="2" t="n">
        <v>46212</v>
      </c>
      <c r="J73" t="inlineStr">
        <is>
          <t>Disetujui</t>
        </is>
      </c>
      <c r="K73" t="n">
        <v>30</v>
      </c>
      <c r="L73" t="inlineStr">
        <is>
          <t>9 Juli 2026</t>
        </is>
      </c>
      <c r="M73" t="inlineStr">
        <is>
          <t>Konstruksi Gedung Perkantoran</t>
        </is>
      </c>
      <c r="N73" t="inlineStr">
        <is>
          <t>K</t>
        </is>
      </c>
      <c r="O73" t="inlineStr">
        <is>
          <t>20230710</t>
        </is>
      </c>
      <c r="P73" t="inlineStr">
        <is>
          <t>Sumatera Barat</t>
        </is>
      </c>
      <c r="Q73" t="inlineStr"/>
    </row>
    <row r="74">
      <c r="A74" t="inlineStr">
        <is>
          <t>GLOBAL TRUST MEDIA</t>
        </is>
      </c>
      <c r="B74" t="inlineStr">
        <is>
          <t>Kota Cilegon</t>
        </is>
      </c>
      <c r="C74" t="inlineStr">
        <is>
          <t>085946772071</t>
        </is>
      </c>
      <c r="D74" t="inlineStr">
        <is>
          <t>globaltrustmedia191118@gmail.com</t>
        </is>
      </c>
      <c r="E74" t="inlineStr">
        <is>
          <t>https://lpjk.pu.go.id/search-badan-usaha-detail/UWQ2S0pZbGxPTEhadmhCS0ZIQ2I2QT09</t>
        </is>
      </c>
      <c r="F74" t="n">
        <v>1</v>
      </c>
      <c r="G74" t="inlineStr">
        <is>
          <t>BS009</t>
        </is>
      </c>
      <c r="H74" t="inlineStr">
        <is>
          <t>19 November 2018</t>
        </is>
      </c>
      <c r="I74" s="2" t="n">
        <v>46212</v>
      </c>
      <c r="J74" t="inlineStr">
        <is>
          <t>Disetujui</t>
        </is>
      </c>
      <c r="K74" t="n">
        <v>30</v>
      </c>
      <c r="L74" t="inlineStr">
        <is>
          <t>9 Juli 2026</t>
        </is>
      </c>
      <c r="M74" t="inlineStr">
        <is>
          <t>Konstruksi Sentral Telekomunikasi</t>
        </is>
      </c>
      <c r="N74" t="inlineStr">
        <is>
          <t>K</t>
        </is>
      </c>
      <c r="O74" t="inlineStr">
        <is>
          <t>20230708</t>
        </is>
      </c>
      <c r="P74" t="inlineStr">
        <is>
          <t>Banten</t>
        </is>
      </c>
      <c r="Q74" t="inlineStr"/>
    </row>
    <row r="75">
      <c r="A75" t="inlineStr">
        <is>
          <t>GRAHA HANDAL</t>
        </is>
      </c>
      <c r="B75" t="inlineStr">
        <is>
          <t>Kab. Barito Utara</t>
        </is>
      </c>
      <c r="C75" t="inlineStr">
        <is>
          <t>085389676399</t>
        </is>
      </c>
      <c r="D75" t="inlineStr">
        <is>
          <t>anoorstiemtw@gmail.com</t>
        </is>
      </c>
      <c r="E75" t="inlineStr">
        <is>
          <t>https://lpjk.pu.go.id/search-badan-usaha-detail/NExTbUFwQkpycFdNUmRzVVRIMTNzQT09</t>
        </is>
      </c>
      <c r="F75" t="n">
        <v>1</v>
      </c>
      <c r="G75" t="inlineStr">
        <is>
          <t>BG008</t>
        </is>
      </c>
      <c r="H75" t="inlineStr">
        <is>
          <t>27 September 2018</t>
        </is>
      </c>
      <c r="I75" s="2" t="n">
        <v>46212</v>
      </c>
      <c r="J75" t="inlineStr">
        <is>
          <t>Disetujui</t>
        </is>
      </c>
      <c r="K75" t="n">
        <v>30</v>
      </c>
      <c r="L75" t="inlineStr">
        <is>
          <t>9 Juli 2026</t>
        </is>
      </c>
      <c r="M75" t="inlineStr">
        <is>
          <t>Konstruksi Gedung Tempat Hiburan dan Olahraga</t>
        </is>
      </c>
      <c r="N75" t="inlineStr">
        <is>
          <t>K</t>
        </is>
      </c>
      <c r="O75" t="inlineStr">
        <is>
          <t>20230705</t>
        </is>
      </c>
      <c r="P75" t="inlineStr">
        <is>
          <t>Kalimantan Tengah</t>
        </is>
      </c>
      <c r="Q75" t="inlineStr"/>
    </row>
    <row r="76">
      <c r="A76" t="inlineStr">
        <is>
          <t>GRAND ABADI</t>
        </is>
      </c>
      <c r="B76" t="inlineStr">
        <is>
          <t>Kota Blitar</t>
        </is>
      </c>
      <c r="C76" t="inlineStr">
        <is>
          <t>0</t>
        </is>
      </c>
      <c r="D76" t="inlineStr">
        <is>
          <t>grandabadi@yahoo.com</t>
        </is>
      </c>
      <c r="E76" t="inlineStr">
        <is>
          <t>https://lpjk.pu.go.id/search-badan-usaha-detail/OU1ZYXJGV0hKaGFxNUVZdlVnQm9qdz09</t>
        </is>
      </c>
      <c r="F76" t="n">
        <v>2</v>
      </c>
      <c r="G76" t="inlineStr">
        <is>
          <t>BG005, BS004</t>
        </is>
      </c>
      <c r="H76" t="inlineStr">
        <is>
          <t>5 September 2000</t>
        </is>
      </c>
      <c r="I76" s="2" t="n">
        <v>46212</v>
      </c>
      <c r="J76" t="inlineStr">
        <is>
          <t>Disetujui</t>
        </is>
      </c>
      <c r="K76" t="n">
        <v>30</v>
      </c>
      <c r="L76" t="inlineStr">
        <is>
          <t>9 Juli 2026</t>
        </is>
      </c>
      <c r="M76" t="inlineStr">
        <is>
          <t>Konstruksi Gedung Kesehatan, Konstruksi Jaringan Irigasi dan Drainase</t>
        </is>
      </c>
      <c r="N76" t="inlineStr">
        <is>
          <t>K</t>
        </is>
      </c>
      <c r="O76" t="inlineStr">
        <is>
          <t>20230704</t>
        </is>
      </c>
      <c r="P76" t="inlineStr">
        <is>
          <t>Jawa Timur</t>
        </is>
      </c>
      <c r="Q76" t="inlineStr"/>
    </row>
    <row r="77">
      <c r="A77" t="inlineStr">
        <is>
          <t>GUGUN ABADI</t>
        </is>
      </c>
      <c r="B77" t="inlineStr">
        <is>
          <t>Kab. Mappi</t>
        </is>
      </c>
      <c r="C77" t="inlineStr">
        <is>
          <t>081247625352</t>
        </is>
      </c>
      <c r="D77" t="inlineStr">
        <is>
          <t>gugunabadi115@gmail.com</t>
        </is>
      </c>
      <c r="E77" t="inlineStr">
        <is>
          <t>https://lpjk.pu.go.id/search-badan-usaha-detail/U2RtcW1LN0ZtbFppd05XNUs4clRiUT09</t>
        </is>
      </c>
      <c r="F77" t="n">
        <v>1</v>
      </c>
      <c r="G77" t="inlineStr">
        <is>
          <t>BG006</t>
        </is>
      </c>
      <c r="H77" t="inlineStr">
        <is>
          <t>21 Februari 2022</t>
        </is>
      </c>
      <c r="I77" s="2" t="n">
        <v>46212</v>
      </c>
      <c r="J77" t="inlineStr">
        <is>
          <t>Disetujui</t>
        </is>
      </c>
      <c r="K77" t="n">
        <v>30</v>
      </c>
      <c r="L77" t="inlineStr">
        <is>
          <t>9 Juli 2026</t>
        </is>
      </c>
      <c r="M77" t="inlineStr">
        <is>
          <t>Konstruksi Gedung Pendidikan</t>
        </is>
      </c>
      <c r="N77" t="inlineStr">
        <is>
          <t>K</t>
        </is>
      </c>
      <c r="O77" t="inlineStr">
        <is>
          <t>20230709</t>
        </is>
      </c>
      <c r="P77" t="inlineStr">
        <is>
          <t>Papua</t>
        </is>
      </c>
      <c r="Q77" t="inlineStr"/>
    </row>
    <row r="78">
      <c r="A78" t="inlineStr">
        <is>
          <t>HAKASA</t>
        </is>
      </c>
      <c r="B78" t="inlineStr">
        <is>
          <t>Kab. Wonosobo</t>
        </is>
      </c>
      <c r="C78" t="inlineStr">
        <is>
          <t>082225099130</t>
        </is>
      </c>
      <c r="D78" t="inlineStr">
        <is>
          <t>cvhakasa@gmail.com</t>
        </is>
      </c>
      <c r="E78" t="inlineStr">
        <is>
          <t>https://lpjk.pu.go.id/search-badan-usaha-detail/TFZ1MzZ0UlZ0SHdUVW12OEx3SVlUQT09</t>
        </is>
      </c>
      <c r="F78" t="n">
        <v>2</v>
      </c>
      <c r="G78" t="inlineStr">
        <is>
          <t>BS001, BS004</t>
        </is>
      </c>
      <c r="H78" t="inlineStr">
        <is>
          <t>14 Januari 2020</t>
        </is>
      </c>
      <c r="I78" s="2" t="n">
        <v>46212</v>
      </c>
      <c r="J78" t="inlineStr">
        <is>
          <t>Disetujui</t>
        </is>
      </c>
      <c r="K78" t="n">
        <v>30</v>
      </c>
      <c r="L78" t="inlineStr">
        <is>
          <t>9 Juli 2026</t>
        </is>
      </c>
      <c r="M78" t="inlineStr">
        <is>
          <t>Konstruksi Bangunan Sipil Jalan, Konstruksi Jaringan Irigasi dan Drainase</t>
        </is>
      </c>
      <c r="N78" t="inlineStr">
        <is>
          <t>K</t>
        </is>
      </c>
      <c r="O78" t="inlineStr">
        <is>
          <t>20230705, 20230706</t>
        </is>
      </c>
      <c r="P78" t="inlineStr">
        <is>
          <t>Jawa Tengah</t>
        </is>
      </c>
      <c r="Q78" t="inlineStr"/>
    </row>
    <row r="79">
      <c r="A79" t="inlineStr">
        <is>
          <t>HANA HANUM RAHMAT</t>
        </is>
      </c>
      <c r="B79" t="inlineStr">
        <is>
          <t>Kota Ambon</t>
        </is>
      </c>
      <c r="C79" t="inlineStr">
        <is>
          <t>085325597845</t>
        </is>
      </c>
      <c r="D79" t="inlineStr">
        <is>
          <t>ssahupala86@gmail.com</t>
        </is>
      </c>
      <c r="E79" t="inlineStr">
        <is>
          <t>https://lpjk.pu.go.id/search-badan-usaha-detail/R2ZwVGVrKzc4ak5iNUFmRzBCdjBwUT09</t>
        </is>
      </c>
      <c r="F79" t="n">
        <v>1</v>
      </c>
      <c r="G79" t="inlineStr">
        <is>
          <t>BS006</t>
        </is>
      </c>
      <c r="H79" t="inlineStr">
        <is>
          <t>8 November 2021</t>
        </is>
      </c>
      <c r="I79" s="2" t="n">
        <v>46212</v>
      </c>
      <c r="J79" t="inlineStr">
        <is>
          <t>Disetujui</t>
        </is>
      </c>
      <c r="K79" t="n">
        <v>30</v>
      </c>
      <c r="L79" t="inlineStr">
        <is>
          <t>9 Juli 2026</t>
        </is>
      </c>
      <c r="M79" t="inlineStr">
        <is>
          <t>Konstruksi Bangunan Sipil Prasarana dan Sarana Sistem Pengolahan Limbah Padat, Cair, dan Gas</t>
        </is>
      </c>
      <c r="N79" t="inlineStr">
        <is>
          <t>K</t>
        </is>
      </c>
      <c r="O79" t="inlineStr">
        <is>
          <t>20230612</t>
        </is>
      </c>
      <c r="P79" t="inlineStr">
        <is>
          <t>Maluku</t>
        </is>
      </c>
      <c r="Q79" t="inlineStr"/>
    </row>
    <row r="80">
      <c r="A80" t="inlineStr">
        <is>
          <t>HARAPAN JAYA</t>
        </is>
      </c>
      <c r="B80" t="inlineStr">
        <is>
          <t>Kab. Bojonegoro</t>
        </is>
      </c>
      <c r="C80" t="inlineStr">
        <is>
          <t>085233958687</t>
        </is>
      </c>
      <c r="D80" t="inlineStr">
        <is>
          <t>harapanjaya201390@yahoo.co.id</t>
        </is>
      </c>
      <c r="E80" t="inlineStr">
        <is>
          <t>https://lpjk.pu.go.id/search-badan-usaha-detail/UVdoUVRRVjZQV0lMSWZqc1lUbjhGdz09</t>
        </is>
      </c>
      <c r="F80" t="n">
        <v>2</v>
      </c>
      <c r="G80" t="inlineStr">
        <is>
          <t>BG005, BS004</t>
        </is>
      </c>
      <c r="H80" t="inlineStr">
        <is>
          <t>25 Juni 2013</t>
        </is>
      </c>
      <c r="I80" s="2" t="n">
        <v>46212</v>
      </c>
      <c r="J80" t="inlineStr">
        <is>
          <t>Pencabutan</t>
        </is>
      </c>
      <c r="K80" t="n">
        <v>30</v>
      </c>
      <c r="L80" t="inlineStr">
        <is>
          <t>9 Juli 2026</t>
        </is>
      </c>
      <c r="M80" t="inlineStr">
        <is>
          <t>Konstruksi Gedung Kesehatan, Konstruksi Jaringan Irigasi dan Drainase</t>
        </is>
      </c>
      <c r="N80" t="inlineStr">
        <is>
          <t>K</t>
        </is>
      </c>
      <c r="O80" t="inlineStr">
        <is>
          <t>20230707</t>
        </is>
      </c>
      <c r="P80" t="inlineStr">
        <is>
          <t>Jawa Timur</t>
        </is>
      </c>
      <c r="Q80" t="inlineStr"/>
    </row>
    <row r="81">
      <c r="A81" t="inlineStr">
        <is>
          <t>HARMONI DEVELOPMEN INDONESIA</t>
        </is>
      </c>
      <c r="B81" t="inlineStr">
        <is>
          <t>Kota Adm. Jakarta Utara</t>
        </is>
      </c>
      <c r="C81" t="inlineStr">
        <is>
          <t>02150103123</t>
        </is>
      </c>
      <c r="D81" t="inlineStr">
        <is>
          <t>harmoni.development@yahoo.com</t>
        </is>
      </c>
      <c r="E81" t="inlineStr">
        <is>
          <t>https://lpjk.pu.go.id/search-badan-usaha-detail/WkNBQ1RMaEZ0d3R6S2d5RmpCaHpJdz09</t>
        </is>
      </c>
      <c r="F81" t="n">
        <v>1</v>
      </c>
      <c r="G81" t="inlineStr">
        <is>
          <t>BS001</t>
        </is>
      </c>
      <c r="H81" t="inlineStr">
        <is>
          <t>17 Mei 2019</t>
        </is>
      </c>
      <c r="I81" s="2" t="n">
        <v>46212</v>
      </c>
      <c r="J81" t="inlineStr">
        <is>
          <t>Disetujui</t>
        </is>
      </c>
      <c r="K81" t="n">
        <v>30</v>
      </c>
      <c r="L81" t="inlineStr">
        <is>
          <t>9 Juli 2026</t>
        </is>
      </c>
      <c r="M81" t="inlineStr">
        <is>
          <t>Konstruksi Bangunan Sipil Jalan</t>
        </is>
      </c>
      <c r="N81" t="inlineStr">
        <is>
          <t>B</t>
        </is>
      </c>
      <c r="O81" t="inlineStr">
        <is>
          <t>20230623</t>
        </is>
      </c>
      <c r="P81" t="inlineStr">
        <is>
          <t>DKI Jakarta</t>
        </is>
      </c>
      <c r="Q81" t="inlineStr"/>
    </row>
    <row r="82">
      <c r="A82" t="inlineStr">
        <is>
          <t>HARTA NIRWANA KALIMANTAN</t>
        </is>
      </c>
      <c r="B82" t="inlineStr">
        <is>
          <t>Kota Bontang</t>
        </is>
      </c>
      <c r="C82" t="inlineStr">
        <is>
          <t>081345785758</t>
        </is>
      </c>
      <c r="D82" t="inlineStr">
        <is>
          <t>cv.hartanirwanakalimantan@gmail.com</t>
        </is>
      </c>
      <c r="E82" t="inlineStr">
        <is>
          <t>https://lpjk.pu.go.id/search-badan-usaha-detail/ZTBoci9Zdjg5NGU0SzJWYnFSMEpZQT09</t>
        </is>
      </c>
      <c r="F82" t="n">
        <v>1</v>
      </c>
      <c r="G82" t="inlineStr">
        <is>
          <t>BS004</t>
        </is>
      </c>
      <c r="H82" t="inlineStr">
        <is>
          <t>16 Juni 2022</t>
        </is>
      </c>
      <c r="I82" s="2" t="n">
        <v>46212</v>
      </c>
      <c r="J82" t="inlineStr">
        <is>
          <t>Disetujui</t>
        </is>
      </c>
      <c r="K82" t="n">
        <v>30</v>
      </c>
      <c r="L82" t="inlineStr">
        <is>
          <t>9 Juli 2026</t>
        </is>
      </c>
      <c r="M82" t="inlineStr">
        <is>
          <t>Konstruksi Jaringan Irigasi dan Drainase</t>
        </is>
      </c>
      <c r="N82" t="inlineStr">
        <is>
          <t>K</t>
        </is>
      </c>
      <c r="O82" t="inlineStr">
        <is>
          <t>20230708</t>
        </is>
      </c>
      <c r="P82" t="inlineStr">
        <is>
          <t>Kalimantan Timur</t>
        </is>
      </c>
      <c r="Q82" t="inlineStr"/>
    </row>
    <row r="83">
      <c r="A83" t="inlineStr">
        <is>
          <t>HUDA MULYA</t>
        </is>
      </c>
      <c r="B83" t="inlineStr">
        <is>
          <t>Kota Palangkaraya</t>
        </is>
      </c>
      <c r="C83" t="inlineStr">
        <is>
          <t>085386898839</t>
        </is>
      </c>
      <c r="D83" t="inlineStr">
        <is>
          <t>cvhudamulya@gmail.com</t>
        </is>
      </c>
      <c r="E83" t="inlineStr">
        <is>
          <t>https://lpjk.pu.go.id/search-badan-usaha-detail/WnMrcXArTE53dWhvQUxVZXl1dVlNUT09</t>
        </is>
      </c>
      <c r="F83" t="n">
        <v>2</v>
      </c>
      <c r="G83" t="inlineStr">
        <is>
          <t>BG006, BG009</t>
        </is>
      </c>
      <c r="H83" t="inlineStr">
        <is>
          <t>22 November 2021</t>
        </is>
      </c>
      <c r="I83" s="2" t="n">
        <v>46212</v>
      </c>
      <c r="J83" t="inlineStr">
        <is>
          <t>Pencabutan</t>
        </is>
      </c>
      <c r="K83" t="n">
        <v>30</v>
      </c>
      <c r="L83" t="inlineStr">
        <is>
          <t>9 Juli 2026</t>
        </is>
      </c>
      <c r="M83" t="inlineStr">
        <is>
          <t>Konstruksi Gedung Lainnya, Konstruksi Gedung Pendidikan</t>
        </is>
      </c>
      <c r="N83" t="inlineStr">
        <is>
          <t>K</t>
        </is>
      </c>
      <c r="O83" t="inlineStr">
        <is>
          <t>20230708</t>
        </is>
      </c>
      <c r="P83" t="inlineStr">
        <is>
          <t>Kalimantan Tengah</t>
        </is>
      </c>
      <c r="Q83" t="inlineStr"/>
    </row>
    <row r="84">
      <c r="A84" t="inlineStr">
        <is>
          <t>IBNU MANUNTUNG CONSULTANT</t>
        </is>
      </c>
      <c r="B84" t="inlineStr">
        <is>
          <t>Kota Banjarbaru</t>
        </is>
      </c>
      <c r="C84" t="inlineStr">
        <is>
          <t>082256046845</t>
        </is>
      </c>
      <c r="D84" t="inlineStr">
        <is>
          <t>ibnumanuntung.id@gmail.com</t>
        </is>
      </c>
      <c r="E84" t="inlineStr">
        <is>
          <t>https://lpjk.pu.go.id/search-badan-usaha-detail/M09jQzBpaUx6N0RJcmlJRFJBaFE4UT09</t>
        </is>
      </c>
      <c r="F84" t="n">
        <v>1</v>
      </c>
      <c r="G84" t="inlineStr">
        <is>
          <t>RK003</t>
        </is>
      </c>
      <c r="H84" t="inlineStr">
        <is>
          <t>18 Desember 2019</t>
        </is>
      </c>
      <c r="I84" s="2" t="n">
        <v>46212</v>
      </c>
      <c r="J84" t="inlineStr">
        <is>
          <t>Disetujui</t>
        </is>
      </c>
      <c r="K84" t="n">
        <v>30</v>
      </c>
      <c r="L84" t="inlineStr">
        <is>
          <t>9 Juli 2026</t>
        </is>
      </c>
      <c r="M84" t="inlineStr">
        <is>
          <t>Jasa Rekayasa Pekerjaan Teknik Sipil Transportasi</t>
        </is>
      </c>
      <c r="N84" t="inlineStr">
        <is>
          <t>K</t>
        </is>
      </c>
      <c r="O84" t="inlineStr">
        <is>
          <t>20230623</t>
        </is>
      </c>
      <c r="P84" t="inlineStr">
        <is>
          <t>Kalimantan Selatan</t>
        </is>
      </c>
      <c r="Q84" t="inlineStr"/>
    </row>
    <row r="85">
      <c r="A85" t="inlineStr">
        <is>
          <t>INDRAJAYA KONTRAKTOR</t>
        </is>
      </c>
      <c r="B85" t="inlineStr">
        <is>
          <t>Kab. Bondowoso</t>
        </is>
      </c>
      <c r="C85" t="inlineStr">
        <is>
          <t>0823-1663-0298</t>
        </is>
      </c>
      <c r="D85" t="inlineStr">
        <is>
          <t>cvindrajayakontraktor@gmail.com</t>
        </is>
      </c>
      <c r="E85" t="inlineStr">
        <is>
          <t>https://lpjk.pu.go.id/search-badan-usaha-detail/N21nQ3NuS3hCS1E0bzhDR212TVJWdz09</t>
        </is>
      </c>
      <c r="F85" t="n">
        <v>1</v>
      </c>
      <c r="G85" t="inlineStr">
        <is>
          <t>BS004</t>
        </is>
      </c>
      <c r="H85" t="inlineStr">
        <is>
          <t>20 Juni 2019</t>
        </is>
      </c>
      <c r="I85" s="2" t="n">
        <v>46212</v>
      </c>
      <c r="J85" t="inlineStr">
        <is>
          <t>Pencabutan</t>
        </is>
      </c>
      <c r="K85" t="n">
        <v>30</v>
      </c>
      <c r="L85" t="inlineStr">
        <is>
          <t>9 Juli 2026</t>
        </is>
      </c>
      <c r="M85" t="inlineStr">
        <is>
          <t>Konstruksi Jaringan Irigasi dan Drainase</t>
        </is>
      </c>
      <c r="N85" t="inlineStr">
        <is>
          <t>K</t>
        </is>
      </c>
      <c r="O85" t="inlineStr">
        <is>
          <t>20230617</t>
        </is>
      </c>
      <c r="P85" t="inlineStr">
        <is>
          <t>Jawa Timur</t>
        </is>
      </c>
      <c r="Q85" t="inlineStr"/>
    </row>
    <row r="86">
      <c r="A86" t="inlineStr">
        <is>
          <t>INSAN MUDA BERDIKARI</t>
        </is>
      </c>
      <c r="B86" t="inlineStr">
        <is>
          <t>Kab. Banyuwangi</t>
        </is>
      </c>
      <c r="C86" t="inlineStr">
        <is>
          <t>081336336116</t>
        </is>
      </c>
      <c r="D86" t="inlineStr">
        <is>
          <t>insanmudaberdikari.2022@gmail.com</t>
        </is>
      </c>
      <c r="E86" t="inlineStr">
        <is>
          <t>https://lpjk.pu.go.id/search-badan-usaha-detail/WXhqZ2RnY1lhZkxxL3orbnRvdVdiQT09</t>
        </is>
      </c>
      <c r="F86" t="n">
        <v>1</v>
      </c>
      <c r="G86" t="inlineStr">
        <is>
          <t>BG009</t>
        </is>
      </c>
      <c r="H86" t="inlineStr">
        <is>
          <t>5 Juli 2012</t>
        </is>
      </c>
      <c r="I86" s="2" t="n">
        <v>46212</v>
      </c>
      <c r="J86" t="inlineStr">
        <is>
          <t>Disetujui</t>
        </is>
      </c>
      <c r="K86" t="n">
        <v>30</v>
      </c>
      <c r="L86" t="inlineStr">
        <is>
          <t>9 Juli 2026</t>
        </is>
      </c>
      <c r="M86" t="inlineStr">
        <is>
          <t>Konstruksi Gedung Lainnya</t>
        </is>
      </c>
      <c r="N86" t="inlineStr">
        <is>
          <t>K</t>
        </is>
      </c>
      <c r="O86" t="inlineStr">
        <is>
          <t>20230518</t>
        </is>
      </c>
      <c r="P86" t="inlineStr">
        <is>
          <t>Jawa Timur</t>
        </is>
      </c>
      <c r="Q86" t="inlineStr"/>
    </row>
    <row r="87">
      <c r="A87" t="inlineStr">
        <is>
          <t>INTAN BERLIAN AS</t>
        </is>
      </c>
      <c r="B87" t="inlineStr">
        <is>
          <t>Kab. Sumbawa Barat</t>
        </is>
      </c>
      <c r="C87" t="inlineStr">
        <is>
          <t>082339070884</t>
        </is>
      </c>
      <c r="D87" t="inlineStr">
        <is>
          <t>sahebaintan@gmail.com</t>
        </is>
      </c>
      <c r="E87" t="inlineStr">
        <is>
          <t>https://lpjk.pu.go.id/search-badan-usaha-detail/ZWR6Uks0WE13Y0ZDeDJxT0dQaWdSQT09</t>
        </is>
      </c>
      <c r="F87" t="n">
        <v>1</v>
      </c>
      <c r="G87" t="inlineStr">
        <is>
          <t>BS001</t>
        </is>
      </c>
      <c r="H87" t="inlineStr">
        <is>
          <t>8 Oktober 2015</t>
        </is>
      </c>
      <c r="I87" s="2" t="n">
        <v>46212</v>
      </c>
      <c r="J87" t="inlineStr">
        <is>
          <t>Disetujui</t>
        </is>
      </c>
      <c r="K87" t="n">
        <v>30</v>
      </c>
      <c r="L87" t="inlineStr">
        <is>
          <t>9 Juli 2026</t>
        </is>
      </c>
      <c r="M87" t="inlineStr">
        <is>
          <t>Konstruksi Bangunan Sipil Jalan</t>
        </is>
      </c>
      <c r="N87" t="inlineStr">
        <is>
          <t>K</t>
        </is>
      </c>
      <c r="O87" t="inlineStr">
        <is>
          <t>20230530</t>
        </is>
      </c>
      <c r="P87" t="inlineStr">
        <is>
          <t>Nusa Tenggara Barat</t>
        </is>
      </c>
      <c r="Q87" t="inlineStr"/>
    </row>
    <row r="88">
      <c r="A88" t="inlineStr">
        <is>
          <t>INTI SARI MAJU BERSAMA</t>
        </is>
      </c>
      <c r="B88" t="inlineStr">
        <is>
          <t>Kota Jayapura</t>
        </is>
      </c>
      <c r="C88" t="inlineStr">
        <is>
          <t>082199183168</t>
        </is>
      </c>
      <c r="D88" t="inlineStr">
        <is>
          <t>pt.imb.jpr@gmail.com</t>
        </is>
      </c>
      <c r="E88" t="inlineStr">
        <is>
          <t>https://lpjk.pu.go.id/search-badan-usaha-detail/NTFSVDRZNUVoTFQ1Ri84T1pqMjAvQT09</t>
        </is>
      </c>
      <c r="F88" t="n">
        <v>1</v>
      </c>
      <c r="G88" t="inlineStr">
        <is>
          <t>BS001</t>
        </is>
      </c>
      <c r="H88" t="inlineStr">
        <is>
          <t>27 Juni 2012</t>
        </is>
      </c>
      <c r="I88" s="2" t="n">
        <v>46212</v>
      </c>
      <c r="J88" t="inlineStr">
        <is>
          <t>Pencabutan</t>
        </is>
      </c>
      <c r="K88" t="n">
        <v>30</v>
      </c>
      <c r="L88" t="inlineStr">
        <is>
          <t>9 Juli 2026</t>
        </is>
      </c>
      <c r="M88" t="inlineStr">
        <is>
          <t>Konstruksi Bangunan Sipil Jalan</t>
        </is>
      </c>
      <c r="N88" t="inlineStr">
        <is>
          <t>M</t>
        </is>
      </c>
      <c r="O88" t="inlineStr">
        <is>
          <t>20230619</t>
        </is>
      </c>
      <c r="P88" t="inlineStr">
        <is>
          <t>Papua</t>
        </is>
      </c>
      <c r="Q88" t="inlineStr"/>
    </row>
    <row r="89">
      <c r="A89" t="inlineStr">
        <is>
          <t>JATI NUSA SUKSES</t>
        </is>
      </c>
      <c r="B89" t="inlineStr">
        <is>
          <t>Kota Cilegon</t>
        </is>
      </c>
      <c r="C89" t="inlineStr">
        <is>
          <t>085236564939</t>
        </is>
      </c>
      <c r="D89" t="inlineStr">
        <is>
          <t>jatinusasukses@gmail.com</t>
        </is>
      </c>
      <c r="E89" t="inlineStr">
        <is>
          <t>https://lpjk.pu.go.id/search-badan-usaha-detail/SGdKbEVEeDUrSHg1dVg5Uk9hZy9xdz09</t>
        </is>
      </c>
      <c r="F89" t="n">
        <v>1</v>
      </c>
      <c r="G89" t="inlineStr">
        <is>
          <t>BG009</t>
        </is>
      </c>
      <c r="H89" t="inlineStr">
        <is>
          <t>29 Maret 2023</t>
        </is>
      </c>
      <c r="I89" s="2" t="n">
        <v>46212</v>
      </c>
      <c r="J89" t="inlineStr">
        <is>
          <t>Disetujui</t>
        </is>
      </c>
      <c r="K89" t="n">
        <v>30</v>
      </c>
      <c r="L89" t="inlineStr">
        <is>
          <t>9 Juli 2026</t>
        </is>
      </c>
      <c r="M89" t="inlineStr">
        <is>
          <t>Konstruksi Gedung Lainnya</t>
        </is>
      </c>
      <c r="N89" t="inlineStr">
        <is>
          <t>K</t>
        </is>
      </c>
      <c r="O89" t="inlineStr">
        <is>
          <t>20230705</t>
        </is>
      </c>
      <c r="P89" t="inlineStr">
        <is>
          <t>Banten</t>
        </is>
      </c>
      <c r="Q89" t="inlineStr"/>
    </row>
    <row r="90">
      <c r="A90" t="inlineStr">
        <is>
          <t>JAYA SAKTI BERSAMA</t>
        </is>
      </c>
      <c r="B90" t="inlineStr">
        <is>
          <t>Kab. Brebes</t>
        </is>
      </c>
      <c r="C90" t="inlineStr">
        <is>
          <t>082136181694</t>
        </is>
      </c>
      <c r="D90" t="inlineStr">
        <is>
          <t>yudawihantopo@gmail.com</t>
        </is>
      </c>
      <c r="E90" t="inlineStr">
        <is>
          <t>https://lpjk.pu.go.id/search-badan-usaha-detail/eFJoeVJRUTBNQnNVd1J1SHNNekxMZz09</t>
        </is>
      </c>
      <c r="F90" t="n">
        <v>3</v>
      </c>
      <c r="G90" t="inlineStr">
        <is>
          <t>BG002, BG006, BG008</t>
        </is>
      </c>
      <c r="H90" t="inlineStr">
        <is>
          <t>27 Maret 2017</t>
        </is>
      </c>
      <c r="I90" s="2" t="n">
        <v>46212</v>
      </c>
      <c r="J90" t="inlineStr">
        <is>
          <t>Pencabutan</t>
        </is>
      </c>
      <c r="K90" t="n">
        <v>30</v>
      </c>
      <c r="L90" t="inlineStr">
        <is>
          <t>9 Juli 2026</t>
        </is>
      </c>
      <c r="M90" t="inlineStr">
        <is>
          <t>Konstruksi Gedung Pendidikan, Konstruksi Gedung Perkantoran, Konstruksi Gedung Tempat Hiburan dan Olahraga</t>
        </is>
      </c>
      <c r="N90" t="inlineStr">
        <is>
          <t>K</t>
        </is>
      </c>
      <c r="O90" t="inlineStr">
        <is>
          <t>20230706</t>
        </is>
      </c>
      <c r="P90" t="inlineStr">
        <is>
          <t>Jawa Tengah</t>
        </is>
      </c>
      <c r="Q90" t="inlineStr"/>
    </row>
    <row r="91">
      <c r="A91" t="inlineStr">
        <is>
          <t>JAYAVAINDO MULYA UTAMA</t>
        </is>
      </c>
      <c r="B91" t="inlineStr">
        <is>
          <t>Kab. Sumedang</t>
        </is>
      </c>
      <c r="C91" t="inlineStr">
        <is>
          <t>085956632271</t>
        </is>
      </c>
      <c r="D91" t="inlineStr">
        <is>
          <t>jayavaindomulyautama@gmail.com</t>
        </is>
      </c>
      <c r="E91" t="inlineStr">
        <is>
          <t>https://lpjk.pu.go.id/search-badan-usaha-detail/OGdQbmxWTVMvZmVIaHlNVW9sa1p6QT09</t>
        </is>
      </c>
      <c r="F91" t="n">
        <v>4</v>
      </c>
      <c r="G91" t="inlineStr">
        <is>
          <t>BG001, BG009</t>
        </is>
      </c>
      <c r="H91" t="inlineStr">
        <is>
          <t>14 Februari 2011</t>
        </is>
      </c>
      <c r="I91" s="2" t="n">
        <v>46212</v>
      </c>
      <c r="J91" t="inlineStr">
        <is>
          <t>Disetujui</t>
        </is>
      </c>
      <c r="K91" t="n">
        <v>30</v>
      </c>
      <c r="L91" t="inlineStr">
        <is>
          <t>9 Juli 2026</t>
        </is>
      </c>
      <c r="M91" t="inlineStr">
        <is>
          <t>Konstruksi Gedung Hunian, Konstruksi Gedung Lainnya</t>
        </is>
      </c>
      <c r="N91" t="inlineStr">
        <is>
          <t>K</t>
        </is>
      </c>
      <c r="O91" t="inlineStr">
        <is>
          <t>20230709</t>
        </is>
      </c>
      <c r="P91" t="inlineStr">
        <is>
          <t>Jawa Barat</t>
        </is>
      </c>
      <c r="Q91" t="inlineStr"/>
    </row>
    <row r="92">
      <c r="A92" t="inlineStr">
        <is>
          <t>KARSA JAYA KONSULTAN</t>
        </is>
      </c>
      <c r="B92" t="inlineStr">
        <is>
          <t>Kota Lubuk Linggau</t>
        </is>
      </c>
      <c r="C92" t="inlineStr">
        <is>
          <t>082185732244</t>
        </is>
      </c>
      <c r="D92" t="inlineStr">
        <is>
          <t>karsajaya06@gmail.com</t>
        </is>
      </c>
      <c r="E92" t="inlineStr">
        <is>
          <t>https://lpjk.pu.go.id/search-badan-usaha-detail/bWVpZzNjOWJRQUp0Ym9GR0ZxZHI0dz09</t>
        </is>
      </c>
      <c r="F92" t="n">
        <v>1</v>
      </c>
      <c r="G92" t="inlineStr">
        <is>
          <t>RK001</t>
        </is>
      </c>
      <c r="H92" t="inlineStr">
        <is>
          <t>16 Juni 2023</t>
        </is>
      </c>
      <c r="I92" s="2" t="n">
        <v>46212</v>
      </c>
      <c r="J92" t="inlineStr">
        <is>
          <t>Disetujui</t>
        </is>
      </c>
      <c r="K92" t="n">
        <v>30</v>
      </c>
      <c r="L92" t="inlineStr">
        <is>
          <t>9 Juli 2026</t>
        </is>
      </c>
      <c r="M92" t="inlineStr">
        <is>
          <t>Jasa Rekayasa Konstruksi Bangunan Gedung Hunian dan Non Hunian</t>
        </is>
      </c>
      <c r="N92" t="inlineStr">
        <is>
          <t>K</t>
        </is>
      </c>
      <c r="O92" t="inlineStr">
        <is>
          <t>20230622</t>
        </is>
      </c>
      <c r="P92" t="inlineStr">
        <is>
          <t>Sumatera Selatan</t>
        </is>
      </c>
      <c r="Q92" t="inlineStr"/>
    </row>
    <row r="93">
      <c r="A93" t="inlineStr">
        <is>
          <t>KARYA BANGUN SUKSES SEJAHTERA</t>
        </is>
      </c>
      <c r="B93" t="inlineStr">
        <is>
          <t>Kab. Buru</t>
        </is>
      </c>
      <c r="C93" t="inlineStr">
        <is>
          <t>081317773935</t>
        </is>
      </c>
      <c r="D93" t="inlineStr">
        <is>
          <t>karyabangun015@gmail.com</t>
        </is>
      </c>
      <c r="E93" t="inlineStr">
        <is>
          <t>https://lpjk.pu.go.id/search-badan-usaha-detail/MDByaFNmQ2EyM080KzJyTmNQZVp4cDF2Q1AvbXpYTm5WZUh4ejd5VTd3WT0</t>
        </is>
      </c>
      <c r="F93" t="n">
        <v>2</v>
      </c>
      <c r="G93" t="inlineStr">
        <is>
          <t>BG001, BG002</t>
        </is>
      </c>
      <c r="H93" t="inlineStr">
        <is>
          <t>27 Februari 2020</t>
        </is>
      </c>
      <c r="I93" s="2" t="n">
        <v>46212</v>
      </c>
      <c r="J93" t="inlineStr">
        <is>
          <t>Dokumen Lengkap</t>
        </is>
      </c>
      <c r="K93" t="n">
        <v>30</v>
      </c>
      <c r="L93" t="inlineStr">
        <is>
          <t>9 Juli 2026</t>
        </is>
      </c>
      <c r="M93" t="inlineStr">
        <is>
          <t>Konstruksi Gedung Hunian, Konstruksi Gedung Perkantoran</t>
        </is>
      </c>
      <c r="N93" t="inlineStr">
        <is>
          <t>K</t>
        </is>
      </c>
      <c r="O93" t="inlineStr">
        <is>
          <t>20230710</t>
        </is>
      </c>
      <c r="P93" t="inlineStr">
        <is>
          <t>Maluku</t>
        </is>
      </c>
      <c r="Q93" t="inlineStr"/>
    </row>
    <row r="94">
      <c r="A94" t="inlineStr">
        <is>
          <t>KARYA DESAIN</t>
        </is>
      </c>
      <c r="B94" t="inlineStr">
        <is>
          <t>Kab. Banyuwangi</t>
        </is>
      </c>
      <c r="C94" t="inlineStr">
        <is>
          <t>081336533333</t>
        </is>
      </c>
      <c r="D94" t="inlineStr">
        <is>
          <t>cvkaryadesain@gmail.com</t>
        </is>
      </c>
      <c r="E94" t="inlineStr">
        <is>
          <t>https://lpjk.pu.go.id/search-badan-usaha-detail/M0NLS3FNNllqeVM1aHhidThNcWgvZz09</t>
        </is>
      </c>
      <c r="F94" t="n">
        <v>4</v>
      </c>
      <c r="G94" t="inlineStr">
        <is>
          <t>BG005, BG006, BS001, BS004</t>
        </is>
      </c>
      <c r="H94" t="inlineStr">
        <is>
          <t>22 Juni 2023</t>
        </is>
      </c>
      <c r="I94" s="2" t="n">
        <v>46212</v>
      </c>
      <c r="J94" t="inlineStr">
        <is>
          <t>Disetujui</t>
        </is>
      </c>
      <c r="K94" t="n">
        <v>30</v>
      </c>
      <c r="L94" t="inlineStr">
        <is>
          <t>9 Juli 2026</t>
        </is>
      </c>
      <c r="M94" t="inlineStr">
        <is>
          <t>Konstruksi Bangunan Sipil Jalan, Konstruksi Gedung Kesehatan, Konstruksi Gedung Pendidikan, Konstruksi Jaringan Irigasi dan Drainase</t>
        </is>
      </c>
      <c r="N94" t="inlineStr">
        <is>
          <t>K</t>
        </is>
      </c>
      <c r="O94" t="inlineStr">
        <is>
          <t>20230705</t>
        </is>
      </c>
      <c r="P94" t="inlineStr">
        <is>
          <t>Jawa Timur</t>
        </is>
      </c>
      <c r="Q94" t="inlineStr"/>
    </row>
    <row r="95">
      <c r="A95" t="inlineStr">
        <is>
          <t>KARYA MANDIRI</t>
        </is>
      </c>
      <c r="B95" t="inlineStr">
        <is>
          <t>Kab. Serdang Bedagai</t>
        </is>
      </c>
      <c r="C95" t="inlineStr">
        <is>
          <t>082294212098</t>
        </is>
      </c>
      <c r="D95" t="inlineStr">
        <is>
          <t>karyamandiri7676@yahoo.com</t>
        </is>
      </c>
      <c r="E95" t="inlineStr">
        <is>
          <t>https://lpjk.pu.go.id/search-badan-usaha-detail/cStOSXI5N3YyUnVZdW1zRW8vY0x5Zz09</t>
        </is>
      </c>
      <c r="F95" t="n">
        <v>1</v>
      </c>
      <c r="G95" t="inlineStr">
        <is>
          <t>PA001</t>
        </is>
      </c>
      <c r="H95" t="inlineStr">
        <is>
          <t>20 Agustus 2013</t>
        </is>
      </c>
      <c r="I95" s="2" t="n">
        <v>46212</v>
      </c>
      <c r="J95" t="inlineStr">
        <is>
          <t>Pembekuan</t>
        </is>
      </c>
      <c r="K95" t="n">
        <v>30</v>
      </c>
      <c r="L95" t="inlineStr">
        <is>
          <t>9 Juli 2026</t>
        </is>
      </c>
      <c r="M95" t="inlineStr">
        <is>
          <t>Penyewaan Peralatan Konstruksi</t>
        </is>
      </c>
      <c r="N95" t="inlineStr">
        <is>
          <t>Spesialis</t>
        </is>
      </c>
      <c r="O95" t="inlineStr">
        <is>
          <t>20230707</t>
        </is>
      </c>
      <c r="P95" t="inlineStr">
        <is>
          <t>Sumatera Utara</t>
        </is>
      </c>
      <c r="Q95" t="inlineStr"/>
    </row>
    <row r="96">
      <c r="A96" t="inlineStr">
        <is>
          <t>KARYA PERSADA MANDIRI</t>
        </is>
      </c>
      <c r="B96" t="inlineStr">
        <is>
          <t>Kota Adm. Jakarta Utara</t>
        </is>
      </c>
      <c r="C96" t="inlineStr">
        <is>
          <t>02166672933</t>
        </is>
      </c>
      <c r="D96" t="inlineStr">
        <is>
          <t>ptkaryapersadamandiri@gmail.com</t>
        </is>
      </c>
      <c r="E96" t="inlineStr">
        <is>
          <t>https://lpjk.pu.go.id/search-badan-usaha-detail/Z1BmSTFpaGZOeFJFTTZPQ3FNelRDQT09</t>
        </is>
      </c>
      <c r="F96" t="n">
        <v>1</v>
      </c>
      <c r="G96" t="inlineStr">
        <is>
          <t>BS001</t>
        </is>
      </c>
      <c r="H96" t="inlineStr">
        <is>
          <t>11 Maret 2020</t>
        </is>
      </c>
      <c r="I96" s="2" t="n">
        <v>46212</v>
      </c>
      <c r="J96" t="inlineStr">
        <is>
          <t>Disetujui</t>
        </is>
      </c>
      <c r="K96" t="n">
        <v>30</v>
      </c>
      <c r="L96" t="inlineStr">
        <is>
          <t>9 Juli 2026</t>
        </is>
      </c>
      <c r="M96" t="inlineStr">
        <is>
          <t>Konstruksi Bangunan Sipil Jalan</t>
        </is>
      </c>
      <c r="N96" t="inlineStr">
        <is>
          <t>K</t>
        </is>
      </c>
      <c r="O96" t="inlineStr">
        <is>
          <t>20230615</t>
        </is>
      </c>
      <c r="P96" t="inlineStr">
        <is>
          <t>DKI Jakarta</t>
        </is>
      </c>
      <c r="Q96" t="inlineStr"/>
    </row>
    <row r="97">
      <c r="A97" t="inlineStr">
        <is>
          <t>KARYA SETOKOK</t>
        </is>
      </c>
      <c r="B97" t="inlineStr">
        <is>
          <t>Kota Batam</t>
        </is>
      </c>
      <c r="C97" t="inlineStr">
        <is>
          <t>0778428228</t>
        </is>
      </c>
      <c r="D97" t="inlineStr">
        <is>
          <t>pt_karyasetokok@yahoo.com</t>
        </is>
      </c>
      <c r="E97" t="inlineStr">
        <is>
          <t>https://lpjk.pu.go.id/search-badan-usaha-detail/R2VBZnBXSnYxUWhDSHExUC9WNzNDQT09</t>
        </is>
      </c>
      <c r="F97" t="n">
        <v>1</v>
      </c>
      <c r="G97" t="inlineStr">
        <is>
          <t>BS001</t>
        </is>
      </c>
      <c r="H97" t="inlineStr">
        <is>
          <t>18 Oktober 2002</t>
        </is>
      </c>
      <c r="I97" s="2" t="n">
        <v>46212</v>
      </c>
      <c r="J97" t="inlineStr">
        <is>
          <t>Disetujui</t>
        </is>
      </c>
      <c r="K97" t="n">
        <v>30</v>
      </c>
      <c r="L97" t="inlineStr">
        <is>
          <t>9 Juli 2026</t>
        </is>
      </c>
      <c r="M97" t="inlineStr">
        <is>
          <t>Konstruksi Bangunan Sipil Jalan</t>
        </is>
      </c>
      <c r="N97" t="inlineStr">
        <is>
          <t>K</t>
        </is>
      </c>
      <c r="O97" t="inlineStr">
        <is>
          <t>20230705</t>
        </is>
      </c>
      <c r="P97" t="inlineStr">
        <is>
          <t>Kepulauan Riau</t>
        </is>
      </c>
      <c r="Q97" t="inlineStr"/>
    </row>
    <row r="98">
      <c r="A98" t="inlineStr">
        <is>
          <t>KARYA UTAMA KAHAYAN</t>
        </is>
      </c>
      <c r="B98" t="inlineStr">
        <is>
          <t>Kota Palangkaraya</t>
        </is>
      </c>
      <c r="C98" t="inlineStr">
        <is>
          <t>085390748155</t>
        </is>
      </c>
      <c r="D98" t="inlineStr">
        <is>
          <t>karya1.kahayan@gmail.com</t>
        </is>
      </c>
      <c r="E98" t="inlineStr">
        <is>
          <t>https://lpjk.pu.go.id/search-badan-usaha-detail/aThqZDdiekFldVhmUzZDZU9qUXJPdz09</t>
        </is>
      </c>
      <c r="F98" t="n">
        <v>5</v>
      </c>
      <c r="G98" t="inlineStr">
        <is>
          <t>BG001, BG002, BG005, BG006, BG009</t>
        </is>
      </c>
      <c r="H98" t="inlineStr">
        <is>
          <t>9 Mei 2023</t>
        </is>
      </c>
      <c r="I98" s="2" t="n">
        <v>46212</v>
      </c>
      <c r="J98" t="inlineStr">
        <is>
          <t>Disetujui</t>
        </is>
      </c>
      <c r="K98" t="n">
        <v>30</v>
      </c>
      <c r="L98" t="inlineStr">
        <is>
          <t>9 Juli 2026</t>
        </is>
      </c>
      <c r="M98" t="inlineStr">
        <is>
          <t>Konstruksi Gedung Hunian, Konstruksi Gedung Kesehatan, Konstruksi Gedung Lainnya, Konstruksi Gedung Pendidikan, Konstruksi Gedung Perkantoran</t>
        </is>
      </c>
      <c r="N98" t="inlineStr">
        <is>
          <t>K</t>
        </is>
      </c>
      <c r="O98" t="inlineStr">
        <is>
          <t>20230709</t>
        </is>
      </c>
      <c r="P98" t="inlineStr">
        <is>
          <t>Kalimantan Tengah</t>
        </is>
      </c>
      <c r="Q98" t="inlineStr"/>
    </row>
    <row r="99">
      <c r="A99" t="inlineStr">
        <is>
          <t>KARYAPUTERA JAYAMANDIRI</t>
        </is>
      </c>
      <c r="B99" t="inlineStr">
        <is>
          <t>Kota Bandar Lampung</t>
        </is>
      </c>
      <c r="C99" t="inlineStr">
        <is>
          <t>081377699996</t>
        </is>
      </c>
      <c r="D99" t="inlineStr">
        <is>
          <t>ptkaryaputera@gmail.com</t>
        </is>
      </c>
      <c r="E99" t="inlineStr">
        <is>
          <t>https://lpjk.pu.go.id/search-badan-usaha-detail/anJGdGt6Ujh1QkFqNDZQSkp3amw4dz09</t>
        </is>
      </c>
      <c r="F99" t="n">
        <v>1</v>
      </c>
      <c r="G99" t="inlineStr">
        <is>
          <t>BS001</t>
        </is>
      </c>
      <c r="H99" t="inlineStr">
        <is>
          <t>5 Januari 2004</t>
        </is>
      </c>
      <c r="I99" s="2" t="n">
        <v>46212</v>
      </c>
      <c r="J99" t="inlineStr">
        <is>
          <t>Disetujui</t>
        </is>
      </c>
      <c r="K99" t="n">
        <v>30</v>
      </c>
      <c r="L99" t="inlineStr">
        <is>
          <t>9 Juli 2026</t>
        </is>
      </c>
      <c r="M99" t="inlineStr">
        <is>
          <t>Konstruksi Bangunan Sipil Jalan</t>
        </is>
      </c>
      <c r="N99" t="inlineStr">
        <is>
          <t>K</t>
        </is>
      </c>
      <c r="O99" t="inlineStr">
        <is>
          <t>20230627</t>
        </is>
      </c>
      <c r="P99" t="inlineStr">
        <is>
          <t>Lampung</t>
        </is>
      </c>
      <c r="Q99" t="inlineStr"/>
    </row>
    <row r="100">
      <c r="A100" t="inlineStr">
        <is>
          <t>KEDATON</t>
        </is>
      </c>
      <c r="B100" t="inlineStr">
        <is>
          <t>Kab. Trenggalek</t>
        </is>
      </c>
      <c r="C100" t="inlineStr">
        <is>
          <t>081335564738</t>
        </is>
      </c>
      <c r="D100" t="inlineStr">
        <is>
          <t>kedatonfc2012@gmail.com</t>
        </is>
      </c>
      <c r="E100" t="inlineStr">
        <is>
          <t>https://lpjk.pu.go.id/search-badan-usaha-detail/TVJuM3FmT1hmL3NPZVpvUTJVQWFvZz09</t>
        </is>
      </c>
      <c r="F100" t="n">
        <v>4</v>
      </c>
      <c r="G100" t="inlineStr">
        <is>
          <t>BG005, BG006, BG009, BS001</t>
        </is>
      </c>
      <c r="H100" t="inlineStr">
        <is>
          <t>14 Februari 2006</t>
        </is>
      </c>
      <c r="I100" s="2" t="n">
        <v>46212</v>
      </c>
      <c r="J100" t="inlineStr">
        <is>
          <t>Disetujui</t>
        </is>
      </c>
      <c r="K100" t="n">
        <v>30</v>
      </c>
      <c r="L100" t="inlineStr">
        <is>
          <t>9 Juli 2026</t>
        </is>
      </c>
      <c r="M100" t="inlineStr">
        <is>
          <t>Konstruksi Bangunan Sipil Jalan, Konstruksi Gedung Kesehatan, Konstruksi Gedung Lainnya, Konstruksi Gedung Pendidikan</t>
        </is>
      </c>
      <c r="N100" t="inlineStr">
        <is>
          <t>K</t>
        </is>
      </c>
      <c r="O100" t="inlineStr">
        <is>
          <t>20230706</t>
        </is>
      </c>
      <c r="P100" t="inlineStr">
        <is>
          <t>Jawa Timur</t>
        </is>
      </c>
      <c r="Q100" t="inlineStr"/>
    </row>
    <row r="101">
      <c r="A101" t="inlineStr">
        <is>
          <t>KEMBAR MANUNGGAL JAYA</t>
        </is>
      </c>
      <c r="B101" t="inlineStr">
        <is>
          <t>Kab. Gunungkidul</t>
        </is>
      </c>
      <c r="C101" t="inlineStr">
        <is>
          <t>087836190911</t>
        </is>
      </c>
      <c r="D101" t="inlineStr">
        <is>
          <t>cvkembarmanunggaljaya@gmail.com</t>
        </is>
      </c>
      <c r="E101" t="inlineStr">
        <is>
          <t>https://lpjk.pu.go.id/search-badan-usaha-detail/N3ZacVI5OVJtc0lTdFVWa1FLZTJrQT09</t>
        </is>
      </c>
      <c r="F101" t="n">
        <v>1</v>
      </c>
      <c r="G101" t="inlineStr">
        <is>
          <t>BG001</t>
        </is>
      </c>
      <c r="H101" t="inlineStr">
        <is>
          <t>31 Januari 2018</t>
        </is>
      </c>
      <c r="I101" s="2" t="n">
        <v>46212</v>
      </c>
      <c r="J101" t="inlineStr">
        <is>
          <t>Disetujui</t>
        </is>
      </c>
      <c r="K101" t="n">
        <v>30</v>
      </c>
      <c r="L101" t="inlineStr">
        <is>
          <t>9 Juli 2026</t>
        </is>
      </c>
      <c r="M101" t="inlineStr">
        <is>
          <t>Konstruksi Gedung Hunian</t>
        </is>
      </c>
      <c r="N101" t="inlineStr">
        <is>
          <t>K</t>
        </is>
      </c>
      <c r="O101" t="inlineStr">
        <is>
          <t>20230705</t>
        </is>
      </c>
      <c r="P101" t="inlineStr">
        <is>
          <t>DI Yogyakarta</t>
        </is>
      </c>
      <c r="Q101" t="inlineStr"/>
    </row>
    <row r="102">
      <c r="A102" t="inlineStr">
        <is>
          <t>KENCANA DAYA INDONESIA</t>
        </is>
      </c>
      <c r="B102" t="inlineStr">
        <is>
          <t>Kota Adm. Jakarta Barat</t>
        </is>
      </c>
      <c r="C102" t="inlineStr">
        <is>
          <t>082240903999</t>
        </is>
      </c>
      <c r="D102" t="inlineStr">
        <is>
          <t>info@kdindonesia.com</t>
        </is>
      </c>
      <c r="E102" t="inlineStr">
        <is>
          <t>https://lpjk.pu.go.id/search-badan-usaha-detail/QUFBREhIWTVGd1NGbXpzNU5ZT2xCdz09</t>
        </is>
      </c>
      <c r="F102" t="n">
        <v>3</v>
      </c>
      <c r="G102" t="inlineStr">
        <is>
          <t>IN001, IN004, IN006</t>
        </is>
      </c>
      <c r="H102" t="inlineStr">
        <is>
          <t>16 Mei 2023</t>
        </is>
      </c>
      <c r="I102" s="2" t="n">
        <v>46212</v>
      </c>
      <c r="J102" t="inlineStr">
        <is>
          <t>Pembekuan</t>
        </is>
      </c>
      <c r="K102" t="n">
        <v>30</v>
      </c>
      <c r="L102" t="inlineStr">
        <is>
          <t>9 Juli 2026</t>
        </is>
      </c>
      <c r="M102" t="inlineStr">
        <is>
          <t>Instalasi Elektronika, Instalasi Mekanikal, Instalasi Minyak dan Gas</t>
        </is>
      </c>
      <c r="N102" t="inlineStr">
        <is>
          <t>Spesialis</t>
        </is>
      </c>
      <c r="O102" t="inlineStr">
        <is>
          <t>20230705</t>
        </is>
      </c>
      <c r="P102" t="inlineStr">
        <is>
          <t>DKI Jakarta</t>
        </is>
      </c>
      <c r="Q102" t="inlineStr"/>
    </row>
    <row r="103">
      <c r="A103" t="inlineStr">
        <is>
          <t>KENCANA INDAH</t>
        </is>
      </c>
      <c r="B103" t="inlineStr">
        <is>
          <t>Kab. Karawang</t>
        </is>
      </c>
      <c r="C103" t="inlineStr">
        <is>
          <t>081296884554</t>
        </is>
      </c>
      <c r="D103" t="inlineStr">
        <is>
          <t>cvkencanaindah44@gmail.com</t>
        </is>
      </c>
      <c r="E103" t="inlineStr">
        <is>
          <t>https://lpjk.pu.go.id/search-badan-usaha-detail/eTU4dnJneHQ5ME9talEvbitYQnlxQT09</t>
        </is>
      </c>
      <c r="F103" t="n">
        <v>4</v>
      </c>
      <c r="G103" t="inlineStr">
        <is>
          <t>BG009, BS001, BS002, BS004</t>
        </is>
      </c>
      <c r="H103" t="inlineStr">
        <is>
          <t>14 Mei 2001</t>
        </is>
      </c>
      <c r="I103" s="2" t="n">
        <v>46212</v>
      </c>
      <c r="J103" t="inlineStr">
        <is>
          <t>Disetujui</t>
        </is>
      </c>
      <c r="K103" t="n">
        <v>30</v>
      </c>
      <c r="L103" t="inlineStr">
        <is>
          <t>9 Juli 2026</t>
        </is>
      </c>
      <c r="M103" t="inlineStr">
        <is>
          <t>Bangunan Sipil Jembatan, Jalan Layang, Fly Over, dan Underpass, Konstruksi Bangunan Sipil Jalan, Konstruksi Gedung Lainnya, Konstruksi Jaringan Irigasi dan Drainase</t>
        </is>
      </c>
      <c r="N103" t="inlineStr">
        <is>
          <t>K</t>
        </is>
      </c>
      <c r="O103" t="inlineStr">
        <is>
          <t>20230706</t>
        </is>
      </c>
      <c r="P103" t="inlineStr">
        <is>
          <t>Jawa Barat</t>
        </is>
      </c>
      <c r="Q103" t="inlineStr"/>
    </row>
    <row r="104">
      <c r="A104" t="inlineStr">
        <is>
          <t>KHARISMA MENARA ABADI</t>
        </is>
      </c>
      <c r="B104" t="inlineStr">
        <is>
          <t>Kota Adm. Jakarta Barat</t>
        </is>
      </c>
      <c r="C104" t="inlineStr">
        <is>
          <t>02154361078</t>
        </is>
      </c>
      <c r="D104" t="inlineStr">
        <is>
          <t>kharismamenaraabadi.jkt@gmail.com</t>
        </is>
      </c>
      <c r="E104" t="inlineStr">
        <is>
          <t>https://lpjk.pu.go.id/search-badan-usaha-detail/TXV0K2t5SnU0czB1VVBlWnRZTkg4dz09</t>
        </is>
      </c>
      <c r="F104" t="n">
        <v>2</v>
      </c>
      <c r="G104" t="inlineStr">
        <is>
          <t>BG006</t>
        </is>
      </c>
      <c r="H104" t="inlineStr">
        <is>
          <t>28 Maret 2003</t>
        </is>
      </c>
      <c r="I104" s="2" t="n">
        <v>46212</v>
      </c>
      <c r="J104" t="inlineStr">
        <is>
          <t>Pencabutan</t>
        </is>
      </c>
      <c r="K104" t="n">
        <v>30</v>
      </c>
      <c r="L104" t="inlineStr">
        <is>
          <t>9 Juli 2026</t>
        </is>
      </c>
      <c r="M104" t="inlineStr">
        <is>
          <t>Konstruksi Gedung Pendidikan</t>
        </is>
      </c>
      <c r="N104" t="inlineStr">
        <is>
          <t>M</t>
        </is>
      </c>
      <c r="O104" t="inlineStr">
        <is>
          <t>20230710</t>
        </is>
      </c>
      <c r="P104" t="inlineStr">
        <is>
          <t>DKI Jakarta</t>
        </is>
      </c>
      <c r="Q104" t="inlineStr"/>
    </row>
    <row r="105">
      <c r="A105" t="inlineStr">
        <is>
          <t>KREASINDO PUTRA NIKAN</t>
        </is>
      </c>
      <c r="B105" t="inlineStr">
        <is>
          <t>Kab. Ogan Komering Ilir</t>
        </is>
      </c>
      <c r="C105" t="inlineStr">
        <is>
          <t>081271365854</t>
        </is>
      </c>
      <c r="D105" t="inlineStr">
        <is>
          <t>kreasindoputranikan88@gmail.com</t>
        </is>
      </c>
      <c r="E105" t="inlineStr">
        <is>
          <t>https://lpjk.pu.go.id/search-badan-usaha-detail/ZnoxaGxFNlZKOTd2Z2thZEFvNDYzZz09</t>
        </is>
      </c>
      <c r="F105" t="n">
        <v>2</v>
      </c>
      <c r="G105" t="inlineStr">
        <is>
          <t>BS010</t>
        </is>
      </c>
      <c r="H105" t="inlineStr">
        <is>
          <t>15 Januari 2020</t>
        </is>
      </c>
      <c r="I105" s="2" t="n">
        <v>46212</v>
      </c>
      <c r="J105" t="inlineStr">
        <is>
          <t>Disetujui</t>
        </is>
      </c>
      <c r="K105" t="n">
        <v>30</v>
      </c>
      <c r="L105" t="inlineStr">
        <is>
          <t>9 Juli 2026</t>
        </is>
      </c>
      <c r="M105" t="inlineStr">
        <is>
          <t>Konstruksi Bangunan Prasarana Sumber Daya Air</t>
        </is>
      </c>
      <c r="N105" t="inlineStr">
        <is>
          <t>K</t>
        </is>
      </c>
      <c r="O105" t="inlineStr">
        <is>
          <t>20230708</t>
        </is>
      </c>
      <c r="P105" t="inlineStr">
        <is>
          <t>Sumatera Selatan</t>
        </is>
      </c>
      <c r="Q105" t="inlineStr"/>
    </row>
    <row r="106">
      <c r="A106" t="inlineStr">
        <is>
          <t>KURNIA RAYA PRATAMA</t>
        </is>
      </c>
      <c r="B106" t="inlineStr">
        <is>
          <t>Kab. Subang</t>
        </is>
      </c>
      <c r="C106" t="inlineStr">
        <is>
          <t>082115093456</t>
        </is>
      </c>
      <c r="D106" t="inlineStr">
        <is>
          <t>kurniarayapratama222@gmail.com</t>
        </is>
      </c>
      <c r="E106" t="inlineStr">
        <is>
          <t>https://lpjk.pu.go.id/search-badan-usaha-detail/TlY1NHlaZ1d2eHcwZHQ3eURuYTMrZz09</t>
        </is>
      </c>
      <c r="F106" t="n">
        <v>4</v>
      </c>
      <c r="G106" t="inlineStr">
        <is>
          <t>BG006, BG009, BS001, BS004</t>
        </is>
      </c>
      <c r="H106" t="inlineStr">
        <is>
          <t>30 Agustus 2002</t>
        </is>
      </c>
      <c r="I106" s="2" t="n">
        <v>46212</v>
      </c>
      <c r="J106" t="inlineStr">
        <is>
          <t>Disetujui</t>
        </is>
      </c>
      <c r="K106" t="n">
        <v>30</v>
      </c>
      <c r="L106" t="inlineStr">
        <is>
          <t>9 Juli 2026</t>
        </is>
      </c>
      <c r="M106" t="inlineStr">
        <is>
          <t>Konstruksi Bangunan Sipil Jalan, Konstruksi Gedung Lainnya, Konstruksi Gedung Pendidikan, Konstruksi Jaringan Irigasi dan Drainase</t>
        </is>
      </c>
      <c r="N106" t="inlineStr">
        <is>
          <t>K</t>
        </is>
      </c>
      <c r="O106" t="inlineStr">
        <is>
          <t>20230627</t>
        </is>
      </c>
      <c r="P106" t="inlineStr">
        <is>
          <t>Jawa Barat</t>
        </is>
      </c>
      <c r="Q106" t="inlineStr"/>
    </row>
    <row r="107">
      <c r="A107" t="inlineStr">
        <is>
          <t>LONA KARYA SEJAHTERA</t>
        </is>
      </c>
      <c r="B107" t="inlineStr">
        <is>
          <t>Kab. Cilacap</t>
        </is>
      </c>
      <c r="C107" t="inlineStr">
        <is>
          <t>085168860303</t>
        </is>
      </c>
      <c r="D107" t="inlineStr">
        <is>
          <t>lona_karya@yahoo.com</t>
        </is>
      </c>
      <c r="E107" t="inlineStr">
        <is>
          <t>https://lpjk.pu.go.id/search-badan-usaha-detail/VmpKMS8ydmdIdVl0VFFEbHQ1TnZBbkdURDEzVjJyK1o5Q2sxV3IvRnhsRT0</t>
        </is>
      </c>
      <c r="F107" t="n">
        <v>1</v>
      </c>
      <c r="G107" t="inlineStr">
        <is>
          <t>RK001</t>
        </is>
      </c>
      <c r="H107" t="inlineStr">
        <is>
          <t>27 November 2025</t>
        </is>
      </c>
      <c r="I107" s="2" t="n">
        <v>46212</v>
      </c>
      <c r="J107" t="inlineStr">
        <is>
          <t>Dokumen Lengkap</t>
        </is>
      </c>
      <c r="K107" t="n">
        <v>30</v>
      </c>
      <c r="L107" t="inlineStr">
        <is>
          <t>9 Juli 2026</t>
        </is>
      </c>
      <c r="M107" t="inlineStr">
        <is>
          <t>Jasa Rekayasa Konstruksi Bangunan Gedung Hunian dan Non Hunian</t>
        </is>
      </c>
      <c r="N107" t="inlineStr">
        <is>
          <t>K</t>
        </is>
      </c>
      <c r="O107" t="inlineStr">
        <is>
          <t>20230331</t>
        </is>
      </c>
      <c r="P107" t="inlineStr">
        <is>
          <t>Jawa Tengah</t>
        </is>
      </c>
      <c r="Q107" t="inlineStr"/>
    </row>
    <row r="108">
      <c r="A108" t="inlineStr">
        <is>
          <t>LONA KARYA SEJAHTERA</t>
        </is>
      </c>
      <c r="B108" t="inlineStr">
        <is>
          <t>Kota Banjar</t>
        </is>
      </c>
      <c r="C108" t="inlineStr">
        <is>
          <t>081381469283</t>
        </is>
      </c>
      <c r="D108" t="inlineStr">
        <is>
          <t>lona_karya@yahoo.com</t>
        </is>
      </c>
      <c r="E108" t="inlineStr">
        <is>
          <t>https://lpjk.pu.go.id/search-badan-usaha-detail/NlJTdDBBY2NnS2RxWVp0bmdKdDIyUT09</t>
        </is>
      </c>
      <c r="F108" t="n">
        <v>2</v>
      </c>
      <c r="G108" t="inlineStr">
        <is>
          <t>RK002, RK003</t>
        </is>
      </c>
      <c r="H108" t="inlineStr">
        <is>
          <t>21 September 2016</t>
        </is>
      </c>
      <c r="I108" s="2" t="n">
        <v>46212</v>
      </c>
      <c r="J108" t="inlineStr">
        <is>
          <t>Disetujui, Dokumen Tidak Lengkap</t>
        </is>
      </c>
      <c r="K108" t="n">
        <v>30</v>
      </c>
      <c r="L108" t="inlineStr">
        <is>
          <t>9 Juli 2026</t>
        </is>
      </c>
      <c r="M108" t="inlineStr">
        <is>
          <t>Jasa Rekayasa Pekerjaan Teknik Sipil Sumber Daya Air, Jasa Rekayasa Pekerjaan Teknik Sipil Transportasi</t>
        </is>
      </c>
      <c r="N108" t="inlineStr">
        <is>
          <t>K</t>
        </is>
      </c>
      <c r="O108" t="inlineStr">
        <is>
          <t>20230327</t>
        </is>
      </c>
      <c r="P108" t="inlineStr">
        <is>
          <t>Jawa Barat</t>
        </is>
      </c>
      <c r="Q108" t="inlineStr"/>
    </row>
    <row r="109">
      <c r="A109" t="inlineStr">
        <is>
          <t>LUMINTU JAYA</t>
        </is>
      </c>
      <c r="B109" t="inlineStr">
        <is>
          <t>Kab. Magetan</t>
        </is>
      </c>
      <c r="C109" t="inlineStr">
        <is>
          <t>085335797790</t>
        </is>
      </c>
      <c r="D109" t="inlineStr">
        <is>
          <t>lumintujaya2016@gmail.com</t>
        </is>
      </c>
      <c r="E109" t="inlineStr">
        <is>
          <t>https://lpjk.pu.go.id/search-badan-usaha-detail/empGdUNKMHRoam1FYXo2S1hhbURZUT09</t>
        </is>
      </c>
      <c r="F109" t="n">
        <v>1</v>
      </c>
      <c r="G109" t="inlineStr">
        <is>
          <t>BS004</t>
        </is>
      </c>
      <c r="H109" t="inlineStr">
        <is>
          <t>12 Juli 2008</t>
        </is>
      </c>
      <c r="I109" s="2" t="n">
        <v>46212</v>
      </c>
      <c r="J109" t="inlineStr">
        <is>
          <t>Disetujui</t>
        </is>
      </c>
      <c r="K109" t="n">
        <v>30</v>
      </c>
      <c r="L109" t="inlineStr">
        <is>
          <t>9 Juli 2026</t>
        </is>
      </c>
      <c r="M109" t="inlineStr">
        <is>
          <t>Konstruksi Jaringan Irigasi dan Drainase</t>
        </is>
      </c>
      <c r="N109" t="inlineStr">
        <is>
          <t>K</t>
        </is>
      </c>
      <c r="O109" t="inlineStr">
        <is>
          <t>20230704</t>
        </is>
      </c>
      <c r="P109" t="inlineStr">
        <is>
          <t>Jawa Timur</t>
        </is>
      </c>
      <c r="Q109" t="inlineStr"/>
    </row>
    <row r="110">
      <c r="A110" t="inlineStr">
        <is>
          <t>MAHADEWI</t>
        </is>
      </c>
      <c r="B110" t="inlineStr">
        <is>
          <t>Kota Kendari</t>
        </is>
      </c>
      <c r="C110" t="inlineStr">
        <is>
          <t>08114055767</t>
        </is>
      </c>
      <c r="D110" t="inlineStr">
        <is>
          <t>mahadewi_cv@yahoo.co.id</t>
        </is>
      </c>
      <c r="E110" t="inlineStr">
        <is>
          <t>https://lpjk.pu.go.id/search-badan-usaha-detail/bnBEekpWU0JXTnJOWm5FK3FHS2hSUT09</t>
        </is>
      </c>
      <c r="F110" t="n">
        <v>1</v>
      </c>
      <c r="G110" t="inlineStr">
        <is>
          <t>BG006</t>
        </is>
      </c>
      <c r="H110" t="inlineStr">
        <is>
          <t>22 Juni 2005</t>
        </is>
      </c>
      <c r="I110" s="2" t="n">
        <v>46212</v>
      </c>
      <c r="J110" t="inlineStr">
        <is>
          <t>Disetujui</t>
        </is>
      </c>
      <c r="K110" t="n">
        <v>30</v>
      </c>
      <c r="L110" t="inlineStr">
        <is>
          <t>9 Juli 2026</t>
        </is>
      </c>
      <c r="M110" t="inlineStr">
        <is>
          <t>Konstruksi Gedung Pendidikan</t>
        </is>
      </c>
      <c r="N110" t="inlineStr">
        <is>
          <t>K</t>
        </is>
      </c>
      <c r="O110" t="inlineStr">
        <is>
          <t>20230704</t>
        </is>
      </c>
      <c r="P110" t="inlineStr">
        <is>
          <t>Sulawesi Tenggara</t>
        </is>
      </c>
      <c r="Q110" t="inlineStr"/>
    </row>
    <row r="111">
      <c r="A111" t="inlineStr">
        <is>
          <t>MAHANTA KARYA</t>
        </is>
      </c>
      <c r="B111" t="inlineStr">
        <is>
          <t>Kab. Ponorogo</t>
        </is>
      </c>
      <c r="C111" t="inlineStr">
        <is>
          <t>081333286892</t>
        </is>
      </c>
      <c r="D111" t="inlineStr">
        <is>
          <t>mahantakarya11@gmail.com</t>
        </is>
      </c>
      <c r="E111" t="inlineStr">
        <is>
          <t>https://lpjk.pu.go.id/search-badan-usaha-detail/QUJsclFQd1pIc29tWEhJVW4rWVlrZz09</t>
        </is>
      </c>
      <c r="F111" t="n">
        <v>2</v>
      </c>
      <c r="G111" t="inlineStr">
        <is>
          <t>BS004</t>
        </is>
      </c>
      <c r="H111" t="inlineStr">
        <is>
          <t>21 Januari 2021</t>
        </is>
      </c>
      <c r="I111" s="2" t="n">
        <v>46212</v>
      </c>
      <c r="J111" t="inlineStr">
        <is>
          <t>Disetujui</t>
        </is>
      </c>
      <c r="K111" t="n">
        <v>30</v>
      </c>
      <c r="L111" t="inlineStr">
        <is>
          <t>9 Juli 2026</t>
        </is>
      </c>
      <c r="M111" t="inlineStr">
        <is>
          <t>Konstruksi Jaringan Irigasi dan Drainase</t>
        </is>
      </c>
      <c r="N111" t="inlineStr">
        <is>
          <t>K</t>
        </is>
      </c>
      <c r="O111" t="inlineStr">
        <is>
          <t>20230710</t>
        </is>
      </c>
      <c r="P111" t="inlineStr">
        <is>
          <t>Jawa Timur</t>
        </is>
      </c>
      <c r="Q111" t="inlineStr"/>
    </row>
    <row r="112">
      <c r="A112" t="inlineStr">
        <is>
          <t>MAHIRAH KARYA</t>
        </is>
      </c>
      <c r="B112" t="inlineStr">
        <is>
          <t>Kota Palembang</t>
        </is>
      </c>
      <c r="C112" t="inlineStr">
        <is>
          <t>081271529476</t>
        </is>
      </c>
      <c r="D112" t="inlineStr">
        <is>
          <t>mahirakaryacv@gmail.com</t>
        </is>
      </c>
      <c r="E112" t="inlineStr">
        <is>
          <t>https://lpjk.pu.go.id/search-badan-usaha-detail/QU1JdjZpa211SkNqa29UQVBGNUdwQT09</t>
        </is>
      </c>
      <c r="F112" t="n">
        <v>1</v>
      </c>
      <c r="G112" t="inlineStr">
        <is>
          <t>BS002</t>
        </is>
      </c>
      <c r="H112" t="inlineStr">
        <is>
          <t>21 Februari 2019</t>
        </is>
      </c>
      <c r="I112" s="2" t="n">
        <v>46212</v>
      </c>
      <c r="J112" t="inlineStr">
        <is>
          <t>Disetujui</t>
        </is>
      </c>
      <c r="K112" t="n">
        <v>30</v>
      </c>
      <c r="L112" t="inlineStr">
        <is>
          <t>9 Juli 2026</t>
        </is>
      </c>
      <c r="M112" t="inlineStr">
        <is>
          <t>Bangunan Sipil Jembatan, Jalan Layang, Fly Over, dan Underpass</t>
        </is>
      </c>
      <c r="N112" t="inlineStr">
        <is>
          <t>K</t>
        </is>
      </c>
      <c r="O112" t="inlineStr">
        <is>
          <t>20230710</t>
        </is>
      </c>
      <c r="P112" t="inlineStr">
        <is>
          <t>Sumatera Selatan</t>
        </is>
      </c>
      <c r="Q112" t="inlineStr"/>
    </row>
    <row r="113">
      <c r="A113" t="inlineStr">
        <is>
          <t>MAJU RAHAYU</t>
        </is>
      </c>
      <c r="B113" t="inlineStr">
        <is>
          <t>Kab. Bandung</t>
        </is>
      </c>
      <c r="C113" t="inlineStr">
        <is>
          <t>087821257166</t>
        </is>
      </c>
      <c r="D113" t="inlineStr">
        <is>
          <t>majurahayu.cv@yahoo.com</t>
        </is>
      </c>
      <c r="E113" t="inlineStr">
        <is>
          <t>https://lpjk.pu.go.id/search-badan-usaha-detail/NW9zVUk5WVd2L0RlRGh5MGQ4T001dz09</t>
        </is>
      </c>
      <c r="F113" t="n">
        <v>2</v>
      </c>
      <c r="G113" t="inlineStr">
        <is>
          <t>BS001, BS004</t>
        </is>
      </c>
      <c r="H113" t="inlineStr">
        <is>
          <t>5 Juni 2017</t>
        </is>
      </c>
      <c r="I113" s="2" t="n">
        <v>46212</v>
      </c>
      <c r="J113" t="inlineStr">
        <is>
          <t>Pencabutan</t>
        </is>
      </c>
      <c r="K113" t="n">
        <v>30</v>
      </c>
      <c r="L113" t="inlineStr">
        <is>
          <t>9 Juli 2026</t>
        </is>
      </c>
      <c r="M113" t="inlineStr">
        <is>
          <t>Konstruksi Bangunan Sipil Jalan, Konstruksi Jaringan Irigasi dan Drainase</t>
        </is>
      </c>
      <c r="N113" t="inlineStr">
        <is>
          <t>K</t>
        </is>
      </c>
      <c r="O113" t="inlineStr">
        <is>
          <t>20230707</t>
        </is>
      </c>
      <c r="P113" t="inlineStr">
        <is>
          <t>Jawa Barat</t>
        </is>
      </c>
      <c r="Q113" t="inlineStr"/>
    </row>
    <row r="114">
      <c r="A114" t="inlineStr">
        <is>
          <t>MAJU TERUS KONSTRUKSINDO</t>
        </is>
      </c>
      <c r="B114" t="inlineStr">
        <is>
          <t>Kab. Sleman</t>
        </is>
      </c>
      <c r="C114" t="inlineStr">
        <is>
          <t>087739744448</t>
        </is>
      </c>
      <c r="D114" t="inlineStr">
        <is>
          <t>majuteruskonstruksindo.cv@gmail.com</t>
        </is>
      </c>
      <c r="E114" t="inlineStr">
        <is>
          <t>https://lpjk.pu.go.id/search-badan-usaha-detail/WkYvckx2WUt3aEh2QnB5QWx0WWYxdz09</t>
        </is>
      </c>
      <c r="F114" t="n">
        <v>1</v>
      </c>
      <c r="G114" t="inlineStr">
        <is>
          <t>BG004</t>
        </is>
      </c>
      <c r="H114" t="inlineStr">
        <is>
          <t>28 Maret 2023</t>
        </is>
      </c>
      <c r="I114" s="2" t="n">
        <v>46212</v>
      </c>
      <c r="J114" t="inlineStr">
        <is>
          <t>Disetujui</t>
        </is>
      </c>
      <c r="K114" t="n">
        <v>30</v>
      </c>
      <c r="L114" t="inlineStr">
        <is>
          <t>9 Juli 2026</t>
        </is>
      </c>
      <c r="M114" t="inlineStr">
        <is>
          <t>Konstruksi Gedung Perbelanjaan</t>
        </is>
      </c>
      <c r="N114" t="inlineStr">
        <is>
          <t>K</t>
        </is>
      </c>
      <c r="O114" t="inlineStr">
        <is>
          <t>20230704</t>
        </is>
      </c>
      <c r="P114" t="inlineStr">
        <is>
          <t>DI Yogyakarta</t>
        </is>
      </c>
      <c r="Q114" t="inlineStr"/>
    </row>
    <row r="115">
      <c r="A115" t="inlineStr">
        <is>
          <t>MANDIRI BANGUN PERSADA</t>
        </is>
      </c>
      <c r="B115" t="inlineStr">
        <is>
          <t>Kab. Bantaeng</t>
        </is>
      </c>
      <c r="C115" t="inlineStr">
        <is>
          <t>085342521751</t>
        </is>
      </c>
      <c r="D115" t="inlineStr">
        <is>
          <t>cvmbp65@gmail.com</t>
        </is>
      </c>
      <c r="E115" t="inlineStr">
        <is>
          <t>https://lpjk.pu.go.id/search-badan-usaha-detail/b0o1WlpaZFAydE9nWkQ1akpjcjdaQT09</t>
        </is>
      </c>
      <c r="F115" t="n">
        <v>1</v>
      </c>
      <c r="G115" t="inlineStr">
        <is>
          <t>BG006</t>
        </is>
      </c>
      <c r="H115" t="inlineStr">
        <is>
          <t>29 April 2005</t>
        </is>
      </c>
      <c r="I115" s="2" t="n">
        <v>46212</v>
      </c>
      <c r="J115" t="inlineStr">
        <is>
          <t>Disetujui</t>
        </is>
      </c>
      <c r="K115" t="n">
        <v>30</v>
      </c>
      <c r="L115" t="inlineStr">
        <is>
          <t>9 Juli 2026</t>
        </is>
      </c>
      <c r="M115" t="inlineStr">
        <is>
          <t>Konstruksi Gedung Pendidikan</t>
        </is>
      </c>
      <c r="N115" t="inlineStr">
        <is>
          <t>K</t>
        </is>
      </c>
      <c r="O115" t="inlineStr">
        <is>
          <t>20230707</t>
        </is>
      </c>
      <c r="P115" t="inlineStr">
        <is>
          <t>Sulawesi Selatan</t>
        </is>
      </c>
      <c r="Q115" t="inlineStr"/>
    </row>
    <row r="116">
      <c r="A116" t="inlineStr">
        <is>
          <t>MANUNGGAL</t>
        </is>
      </c>
      <c r="B116" t="inlineStr">
        <is>
          <t>Kota Malang</t>
        </is>
      </c>
      <c r="C116" t="inlineStr">
        <is>
          <t>081357575551</t>
        </is>
      </c>
      <c r="D116" t="inlineStr">
        <is>
          <t>manunggalshop@gmail.com</t>
        </is>
      </c>
      <c r="E116" t="inlineStr">
        <is>
          <t>https://lpjk.pu.go.id/search-badan-usaha-detail/ZkozQ3RRZHBpcTBValNTWmZqL1R6UT09</t>
        </is>
      </c>
      <c r="F116" t="n">
        <v>2</v>
      </c>
      <c r="G116" t="inlineStr">
        <is>
          <t>BS001</t>
        </is>
      </c>
      <c r="H116" t="inlineStr">
        <is>
          <t>25 November 2013</t>
        </is>
      </c>
      <c r="I116" s="2" t="n">
        <v>46212</v>
      </c>
      <c r="J116" t="inlineStr">
        <is>
          <t>Disetujui</t>
        </is>
      </c>
      <c r="K116" t="n">
        <v>30</v>
      </c>
      <c r="L116" t="inlineStr">
        <is>
          <t>9 Juli 2026</t>
        </is>
      </c>
      <c r="M116" t="inlineStr">
        <is>
          <t>Konstruksi Bangunan Sipil Jalan</t>
        </is>
      </c>
      <c r="N116" t="inlineStr">
        <is>
          <t>K</t>
        </is>
      </c>
      <c r="O116" t="inlineStr">
        <is>
          <t>20230705</t>
        </is>
      </c>
      <c r="P116" t="inlineStr">
        <is>
          <t>Jawa Timur</t>
        </is>
      </c>
      <c r="Q116" t="inlineStr"/>
    </row>
    <row r="117">
      <c r="A117" t="inlineStr">
        <is>
          <t>MARGA SETIA</t>
        </is>
      </c>
      <c r="B117" t="inlineStr">
        <is>
          <t>Kab. Sukoharjo</t>
        </is>
      </c>
      <c r="C117" t="inlineStr">
        <is>
          <t>085292717717</t>
        </is>
      </c>
      <c r="D117" t="inlineStr">
        <is>
          <t>margasetiaskh@gmail.com</t>
        </is>
      </c>
      <c r="E117" t="inlineStr">
        <is>
          <t>https://lpjk.pu.go.id/search-badan-usaha-detail/VExLeVpzT0NZVUdMMUV0VG5vbmYwZz09</t>
        </is>
      </c>
      <c r="F117" t="n">
        <v>4</v>
      </c>
      <c r="G117" t="inlineStr">
        <is>
          <t>BG002, BG006, BS001, BS004</t>
        </is>
      </c>
      <c r="H117" t="inlineStr">
        <is>
          <t>9 April 2005</t>
        </is>
      </c>
      <c r="I117" s="2" t="n">
        <v>46212</v>
      </c>
      <c r="J117" t="inlineStr">
        <is>
          <t>Disetujui</t>
        </is>
      </c>
      <c r="K117" t="n">
        <v>30</v>
      </c>
      <c r="L117" t="inlineStr">
        <is>
          <t>9 Juli 2026</t>
        </is>
      </c>
      <c r="M117" t="inlineStr">
        <is>
          <t>Konstruksi Bangunan Sipil Jalan, Konstruksi Gedung Pendidikan, Konstruksi Gedung Perkantoran, Konstruksi Jaringan Irigasi dan Drainase</t>
        </is>
      </c>
      <c r="N117" t="inlineStr">
        <is>
          <t>K</t>
        </is>
      </c>
      <c r="O117" t="inlineStr">
        <is>
          <t>20230706</t>
        </is>
      </c>
      <c r="P117" t="inlineStr">
        <is>
          <t>Jawa Tengah</t>
        </is>
      </c>
      <c r="Q117" t="inlineStr"/>
    </row>
    <row r="118">
      <c r="A118" t="inlineStr">
        <is>
          <t>MEGAH JAYA SEJAHTERA</t>
        </is>
      </c>
      <c r="B118" t="inlineStr">
        <is>
          <t>Kota Ambon</t>
        </is>
      </c>
      <c r="C118" t="inlineStr">
        <is>
          <t>085230001231</t>
        </is>
      </c>
      <c r="D118" t="inlineStr">
        <is>
          <t>Jaya.sejahtera18@yahoo.com</t>
        </is>
      </c>
      <c r="E118" t="inlineStr">
        <is>
          <t>https://lpjk.pu.go.id/search-badan-usaha-detail/WHp5b3QwaEw2bVZrWnYzK1V1Zzd1Zz09</t>
        </is>
      </c>
      <c r="F118" t="n">
        <v>2</v>
      </c>
      <c r="G118" t="inlineStr">
        <is>
          <t>BS001</t>
        </is>
      </c>
      <c r="H118" t="inlineStr">
        <is>
          <t>26 Januari 2015</t>
        </is>
      </c>
      <c r="I118" s="2" t="n">
        <v>46212</v>
      </c>
      <c r="J118" t="inlineStr">
        <is>
          <t>Disetujui</t>
        </is>
      </c>
      <c r="K118" t="n">
        <v>30</v>
      </c>
      <c r="L118" t="inlineStr">
        <is>
          <t>9 Juli 2026</t>
        </is>
      </c>
      <c r="M118" t="inlineStr">
        <is>
          <t>Konstruksi Bangunan Sipil Jalan</t>
        </is>
      </c>
      <c r="N118" t="inlineStr">
        <is>
          <t>K</t>
        </is>
      </c>
      <c r="O118" t="inlineStr">
        <is>
          <t>20230626</t>
        </is>
      </c>
      <c r="P118" t="inlineStr">
        <is>
          <t>Maluku</t>
        </is>
      </c>
      <c r="Q118" t="inlineStr"/>
    </row>
    <row r="119">
      <c r="A119" t="inlineStr">
        <is>
          <t>MEKAR JAYA</t>
        </is>
      </c>
      <c r="B119" t="inlineStr">
        <is>
          <t>Kab. Pekalongan</t>
        </is>
      </c>
      <c r="C119" t="inlineStr">
        <is>
          <t>085642631813</t>
        </is>
      </c>
      <c r="D119" t="inlineStr">
        <is>
          <t>cv.mekarjaya123@gmail.com</t>
        </is>
      </c>
      <c r="E119" t="inlineStr">
        <is>
          <t>https://lpjk.pu.go.id/search-badan-usaha-detail/OHhIS0FseG5aYmZMdnBqNWZvZHE5QT09</t>
        </is>
      </c>
      <c r="F119" t="n">
        <v>2</v>
      </c>
      <c r="G119" t="inlineStr">
        <is>
          <t>BG006</t>
        </is>
      </c>
      <c r="H119" t="inlineStr">
        <is>
          <t>22 Juni 2012</t>
        </is>
      </c>
      <c r="I119" s="2" t="n">
        <v>46212</v>
      </c>
      <c r="J119" t="inlineStr">
        <is>
          <t>Disetujui</t>
        </is>
      </c>
      <c r="K119" t="n">
        <v>30</v>
      </c>
      <c r="L119" t="inlineStr">
        <is>
          <t>9 Juli 2026</t>
        </is>
      </c>
      <c r="M119" t="inlineStr">
        <is>
          <t>Konstruksi Gedung Pendidikan</t>
        </is>
      </c>
      <c r="N119" t="inlineStr">
        <is>
          <t>K</t>
        </is>
      </c>
      <c r="O119" t="inlineStr">
        <is>
          <t>20230705</t>
        </is>
      </c>
      <c r="P119" t="inlineStr">
        <is>
          <t>Jawa Tengah</t>
        </is>
      </c>
      <c r="Q119" t="inlineStr"/>
    </row>
    <row r="120">
      <c r="A120" t="inlineStr">
        <is>
          <t>MIFTAHUSSYIFA</t>
        </is>
      </c>
      <c r="B120" t="inlineStr">
        <is>
          <t>Kab. Kotabaru</t>
        </is>
      </c>
      <c r="C120" t="inlineStr">
        <is>
          <t>081257245848</t>
        </is>
      </c>
      <c r="D120" t="inlineStr">
        <is>
          <t>cv.miftahussyifa@gmail.com</t>
        </is>
      </c>
      <c r="E120" t="inlineStr">
        <is>
          <t>https://lpjk.pu.go.id/search-badan-usaha-detail/SjRwU3lGU1cwbFlyakE5Sm1LanVNdz09</t>
        </is>
      </c>
      <c r="F120" t="n">
        <v>5</v>
      </c>
      <c r="G120" t="inlineStr">
        <is>
          <t>BG002, BG004, BG006, BS001, BS002</t>
        </is>
      </c>
      <c r="H120" t="inlineStr">
        <is>
          <t>5 Februari 2015</t>
        </is>
      </c>
      <c r="I120" s="2" t="n">
        <v>46212</v>
      </c>
      <c r="J120" t="inlineStr">
        <is>
          <t>Disetujui</t>
        </is>
      </c>
      <c r="K120" t="n">
        <v>30</v>
      </c>
      <c r="L120" t="inlineStr">
        <is>
          <t>9 Juli 2026</t>
        </is>
      </c>
      <c r="M120" t="inlineStr">
        <is>
          <t>Bangunan Sipil Jembatan, Jalan Layang, Fly Over, dan Underpass, Konstruksi Bangunan Sipil Jalan, Konstruksi Gedung Pendidikan, Konstruksi Gedung Perbelanjaan, Konstruksi Gedung Perkantoran</t>
        </is>
      </c>
      <c r="N120" t="inlineStr">
        <is>
          <t>K</t>
        </is>
      </c>
      <c r="O120" t="inlineStr">
        <is>
          <t>20230702</t>
        </is>
      </c>
      <c r="P120" t="inlineStr">
        <is>
          <t>Kalimantan Selatan</t>
        </is>
      </c>
      <c r="Q120" t="inlineStr"/>
    </row>
    <row r="121">
      <c r="A121" t="inlineStr">
        <is>
          <t>MITRA JAYA</t>
        </is>
      </c>
      <c r="B121" t="inlineStr">
        <is>
          <t>Kab. Belitung</t>
        </is>
      </c>
      <c r="C121" t="inlineStr">
        <is>
          <t>081949533633</t>
        </is>
      </c>
      <c r="D121" t="inlineStr">
        <is>
          <t>Asregency1@gmail.com</t>
        </is>
      </c>
      <c r="E121" t="inlineStr">
        <is>
          <t>https://lpjk.pu.go.id/search-badan-usaha-detail/TDVUcVlrVHRWdzYvYzFBK0hqOGZBZz09</t>
        </is>
      </c>
      <c r="F121" t="n">
        <v>1</v>
      </c>
      <c r="G121" t="inlineStr">
        <is>
          <t>BG006</t>
        </is>
      </c>
      <c r="H121" t="inlineStr">
        <is>
          <t>20 November 2006</t>
        </is>
      </c>
      <c r="I121" s="2" t="n">
        <v>46212</v>
      </c>
      <c r="J121" t="inlineStr">
        <is>
          <t>Disetujui</t>
        </is>
      </c>
      <c r="K121" t="n">
        <v>30</v>
      </c>
      <c r="L121" t="inlineStr">
        <is>
          <t>9 Juli 2026</t>
        </is>
      </c>
      <c r="M121" t="inlineStr">
        <is>
          <t>Konstruksi Gedung Pendidikan</t>
        </is>
      </c>
      <c r="N121" t="inlineStr">
        <is>
          <t>K</t>
        </is>
      </c>
      <c r="O121" t="inlineStr">
        <is>
          <t>20230708</t>
        </is>
      </c>
      <c r="P121" t="inlineStr">
        <is>
          <t>Kepulauan Bangka Belitung</t>
        </is>
      </c>
      <c r="Q121" t="inlineStr"/>
    </row>
    <row r="122">
      <c r="A122" t="inlineStr">
        <is>
          <t>MULTICONS ALDA JAYA</t>
        </is>
      </c>
      <c r="B122" t="inlineStr">
        <is>
          <t>Kota Padang</t>
        </is>
      </c>
      <c r="C122" t="inlineStr">
        <is>
          <t>082172133320</t>
        </is>
      </c>
      <c r="D122" t="inlineStr">
        <is>
          <t>cv.multiconsaldajaya@gmail.com</t>
        </is>
      </c>
      <c r="E122" t="inlineStr">
        <is>
          <t>https://lpjk.pu.go.id/search-badan-usaha-detail/OW5xOEZDbXpOUEFSOTlVTnNQN1ZnUT09</t>
        </is>
      </c>
      <c r="F122" t="n">
        <v>10</v>
      </c>
      <c r="G122" t="inlineStr">
        <is>
          <t>BG002, BG003, BG005, BG006, BG009</t>
        </is>
      </c>
      <c r="H122" t="inlineStr">
        <is>
          <t>28 Februari 2023</t>
        </is>
      </c>
      <c r="I122" s="2" t="n">
        <v>46212</v>
      </c>
      <c r="J122" t="inlineStr">
        <is>
          <t>Disetujui</t>
        </is>
      </c>
      <c r="K122" t="n">
        <v>30</v>
      </c>
      <c r="L122" t="inlineStr">
        <is>
          <t>9 Juli 2026</t>
        </is>
      </c>
      <c r="M122" t="inlineStr">
        <is>
          <t>Konstruksi Gedung Industri, Konstruksi Gedung Kesehatan, Konstruksi Gedung Lainnya, Konstruksi Gedung Pendidikan, Konstruksi Gedung Perkantoran</t>
        </is>
      </c>
      <c r="N122" t="inlineStr">
        <is>
          <t>K</t>
        </is>
      </c>
      <c r="O122" t="inlineStr">
        <is>
          <t>20230709</t>
        </is>
      </c>
      <c r="P122" t="inlineStr">
        <is>
          <t>Sumatera Barat</t>
        </is>
      </c>
      <c r="Q122" t="inlineStr"/>
    </row>
    <row r="123">
      <c r="A123" t="inlineStr">
        <is>
          <t>MURNI KONSTRUKSI INDONESIA</t>
        </is>
      </c>
      <c r="B123" t="inlineStr">
        <is>
          <t>Kota Makassar</t>
        </is>
      </c>
      <c r="C123" t="inlineStr">
        <is>
          <t>085395524000</t>
        </is>
      </c>
      <c r="D123" t="inlineStr">
        <is>
          <t>murnikonstruksi.indonesia@yahoo.co.id</t>
        </is>
      </c>
      <c r="E123" t="inlineStr">
        <is>
          <t>https://lpjk.pu.go.id/search-badan-usaha-detail/Z1M4d0pHM0k3ekZOVllEeXRwQmk5dz09</t>
        </is>
      </c>
      <c r="F123" t="n">
        <v>1</v>
      </c>
      <c r="G123" t="inlineStr">
        <is>
          <t>BG002</t>
        </is>
      </c>
      <c r="H123" t="inlineStr">
        <is>
          <t>22 Mei 2003</t>
        </is>
      </c>
      <c r="I123" s="2" t="n">
        <v>46212</v>
      </c>
      <c r="J123" t="inlineStr">
        <is>
          <t>Pencabutan</t>
        </is>
      </c>
      <c r="K123" t="n">
        <v>30</v>
      </c>
      <c r="L123" t="inlineStr">
        <is>
          <t>9 Juli 2026</t>
        </is>
      </c>
      <c r="M123" t="inlineStr">
        <is>
          <t>Konstruksi Gedung Perkantoran</t>
        </is>
      </c>
      <c r="N123" t="inlineStr">
        <is>
          <t>M</t>
        </is>
      </c>
      <c r="O123" t="inlineStr">
        <is>
          <t>20230708</t>
        </is>
      </c>
      <c r="P123" t="inlineStr">
        <is>
          <t>Sulawesi Selatan</t>
        </is>
      </c>
      <c r="Q123" t="inlineStr"/>
    </row>
    <row r="124">
      <c r="A124" t="inlineStr">
        <is>
          <t>MUSTIKA</t>
        </is>
      </c>
      <c r="B124" t="inlineStr">
        <is>
          <t>Kab. Bojonegoro</t>
        </is>
      </c>
      <c r="C124" t="inlineStr">
        <is>
          <t>082245397102</t>
        </is>
      </c>
      <c r="D124" t="inlineStr">
        <is>
          <t>luckyhs93@gmail.com</t>
        </is>
      </c>
      <c r="E124" t="inlineStr">
        <is>
          <t>https://lpjk.pu.go.id/search-badan-usaha-detail/NGdPZ2E4N01yeWordzUyVTd0b1BkZz09</t>
        </is>
      </c>
      <c r="F124" t="n">
        <v>1</v>
      </c>
      <c r="G124" t="inlineStr">
        <is>
          <t>BS005</t>
        </is>
      </c>
      <c r="H124" t="inlineStr">
        <is>
          <t>29 November 2012</t>
        </is>
      </c>
      <c r="I124" s="2" t="n">
        <v>46212</v>
      </c>
      <c r="J124" t="inlineStr">
        <is>
          <t>Pencabutan</t>
        </is>
      </c>
      <c r="K124" t="n">
        <v>30</v>
      </c>
      <c r="L124" t="inlineStr">
        <is>
          <t>9 Juli 2026</t>
        </is>
      </c>
      <c r="M124" t="inlineStr">
        <is>
          <t>Konstruksi Bangunan Sipil Pengolahan Air Bersih</t>
        </is>
      </c>
      <c r="N124" t="inlineStr">
        <is>
          <t>K</t>
        </is>
      </c>
      <c r="O124" t="inlineStr">
        <is>
          <t>20230706</t>
        </is>
      </c>
      <c r="P124" t="inlineStr">
        <is>
          <t>Jawa Timur</t>
        </is>
      </c>
      <c r="Q124" t="inlineStr"/>
    </row>
    <row r="125">
      <c r="A125" t="inlineStr">
        <is>
          <t>NAGA SIMA</t>
        </is>
      </c>
      <c r="B125" t="inlineStr">
        <is>
          <t>Kota Medan</t>
        </is>
      </c>
      <c r="C125" t="inlineStr">
        <is>
          <t>081260778356</t>
        </is>
      </c>
      <c r="D125" t="inlineStr">
        <is>
          <t>nagasima2022@gmail.com</t>
        </is>
      </c>
      <c r="E125" t="inlineStr">
        <is>
          <t>https://lpjk.pu.go.id/search-badan-usaha-detail/Mm5QajNxU2h3SXlvT2VSak9VMFgrdz09</t>
        </is>
      </c>
      <c r="F125" t="n">
        <v>3</v>
      </c>
      <c r="G125" t="inlineStr">
        <is>
          <t>BG005, BG006, BG009</t>
        </is>
      </c>
      <c r="H125" t="inlineStr">
        <is>
          <t>21 Januari 2020</t>
        </is>
      </c>
      <c r="I125" s="2" t="n">
        <v>46212</v>
      </c>
      <c r="J125" t="inlineStr">
        <is>
          <t>Disetujui</t>
        </is>
      </c>
      <c r="K125" t="n">
        <v>30</v>
      </c>
      <c r="L125" t="inlineStr">
        <is>
          <t>9 Juli 2026</t>
        </is>
      </c>
      <c r="M125" t="inlineStr">
        <is>
          <t>Konstruksi Gedung Kesehatan, Konstruksi Gedung Lainnya, Konstruksi Gedung Pendidikan</t>
        </is>
      </c>
      <c r="N125" t="inlineStr">
        <is>
          <t>K</t>
        </is>
      </c>
      <c r="O125" t="inlineStr">
        <is>
          <t>20230708, 20230710</t>
        </is>
      </c>
      <c r="P125" t="inlineStr">
        <is>
          <t>Sumatera Utara</t>
        </is>
      </c>
      <c r="Q125" t="inlineStr"/>
    </row>
    <row r="126">
      <c r="A126" t="inlineStr">
        <is>
          <t>NANDA PRATAMA KARYA</t>
        </is>
      </c>
      <c r="B126" t="inlineStr">
        <is>
          <t>Kota Tangerang Selatan</t>
        </is>
      </c>
      <c r="C126" t="inlineStr">
        <is>
          <t>085695241231</t>
        </is>
      </c>
      <c r="D126" t="inlineStr">
        <is>
          <t>cv.nandapratamakarya@gmail.com</t>
        </is>
      </c>
      <c r="E126" t="inlineStr">
        <is>
          <t>https://lpjk.pu.go.id/search-badan-usaha-detail/QnFSSjAwMjJtSnphQXVFOG51M2V6Zz09</t>
        </is>
      </c>
      <c r="F126" t="n">
        <v>1</v>
      </c>
      <c r="G126" t="inlineStr">
        <is>
          <t>BG006</t>
        </is>
      </c>
      <c r="H126" t="inlineStr">
        <is>
          <t>23 Agustus 2017</t>
        </is>
      </c>
      <c r="I126" s="2" t="n">
        <v>46212</v>
      </c>
      <c r="J126" t="inlineStr">
        <is>
          <t>Pencabutan</t>
        </is>
      </c>
      <c r="K126" t="n">
        <v>30</v>
      </c>
      <c r="L126" t="inlineStr">
        <is>
          <t>9 Juli 2026</t>
        </is>
      </c>
      <c r="M126" t="inlineStr">
        <is>
          <t>Konstruksi Gedung Pendidikan</t>
        </is>
      </c>
      <c r="N126" t="inlineStr">
        <is>
          <t>K</t>
        </is>
      </c>
      <c r="O126" t="inlineStr">
        <is>
          <t>20230709</t>
        </is>
      </c>
      <c r="P126" t="inlineStr">
        <is>
          <t>Banten</t>
        </is>
      </c>
      <c r="Q126" t="inlineStr"/>
    </row>
    <row r="127">
      <c r="A127" t="inlineStr">
        <is>
          <t>NAYLA PEMBAREP MANDIRI</t>
        </is>
      </c>
      <c r="B127" t="inlineStr">
        <is>
          <t>Kab. Cirebon</t>
        </is>
      </c>
      <c r="C127" t="inlineStr">
        <is>
          <t>081905060354</t>
        </is>
      </c>
      <c r="D127" t="inlineStr">
        <is>
          <t>CVNAYLAPEMBAREPMANDIRI@GMAIL.COM</t>
        </is>
      </c>
      <c r="E127" t="inlineStr">
        <is>
          <t>https://lpjk.pu.go.id/search-badan-usaha-detail/OGFJWjNJRGN5cnkxaXlLZVFKWTByQT09</t>
        </is>
      </c>
      <c r="F127" t="n">
        <v>1</v>
      </c>
      <c r="G127" t="inlineStr">
        <is>
          <t>BS010</t>
        </is>
      </c>
      <c r="H127" t="inlineStr">
        <is>
          <t>8 Juni 2023</t>
        </is>
      </c>
      <c r="I127" s="2" t="n">
        <v>46212</v>
      </c>
      <c r="J127" t="inlineStr">
        <is>
          <t>Disetujui</t>
        </is>
      </c>
      <c r="K127" t="n">
        <v>30</v>
      </c>
      <c r="L127" t="inlineStr">
        <is>
          <t>9 Juli 2026</t>
        </is>
      </c>
      <c r="M127" t="inlineStr">
        <is>
          <t>Konstruksi Bangunan Prasarana Sumber Daya Air</t>
        </is>
      </c>
      <c r="N127" t="inlineStr">
        <is>
          <t>K</t>
        </is>
      </c>
      <c r="O127" t="inlineStr">
        <is>
          <t>20230707</t>
        </is>
      </c>
      <c r="P127" t="inlineStr">
        <is>
          <t>Jawa Barat</t>
        </is>
      </c>
      <c r="Q127" t="inlineStr"/>
    </row>
    <row r="128">
      <c r="A128" t="inlineStr">
        <is>
          <t>NUANSA TIMUR RAYA</t>
        </is>
      </c>
      <c r="B128" t="inlineStr">
        <is>
          <t>Kota Langsa</t>
        </is>
      </c>
      <c r="C128" t="inlineStr">
        <is>
          <t>0641</t>
        </is>
      </c>
      <c r="D128" t="inlineStr">
        <is>
          <t>nuansatimurraya8@gmail.com</t>
        </is>
      </c>
      <c r="E128" t="inlineStr">
        <is>
          <t>https://lpjk.pu.go.id/search-badan-usaha-detail/TkJCSk1kWjV1am0xZE1TdUVMK0pjQT09</t>
        </is>
      </c>
      <c r="F128" t="n">
        <v>1</v>
      </c>
      <c r="G128" t="inlineStr">
        <is>
          <t>BS006</t>
        </is>
      </c>
      <c r="H128" t="inlineStr">
        <is>
          <t>1 Juli 2022</t>
        </is>
      </c>
      <c r="I128" s="2" t="n">
        <v>46212</v>
      </c>
      <c r="J128" t="inlineStr">
        <is>
          <t>Disetujui</t>
        </is>
      </c>
      <c r="K128" t="n">
        <v>30</v>
      </c>
      <c r="L128" t="inlineStr">
        <is>
          <t>9 Juli 2026</t>
        </is>
      </c>
      <c r="M128" t="inlineStr">
        <is>
          <t>Konstruksi Bangunan Sipil Prasarana dan Sarana Sistem Pengolahan Limbah Padat, Cair, dan Gas</t>
        </is>
      </c>
      <c r="N128" t="inlineStr">
        <is>
          <t>K</t>
        </is>
      </c>
      <c r="O128" t="inlineStr">
        <is>
          <t>20230619</t>
        </is>
      </c>
      <c r="P128" t="inlineStr">
        <is>
          <t>Aceh</t>
        </is>
      </c>
      <c r="Q128" t="inlineStr"/>
    </row>
    <row r="129">
      <c r="A129" t="inlineStr">
        <is>
          <t>NUGRAHA CONSULTANT</t>
        </is>
      </c>
      <c r="B129" t="inlineStr">
        <is>
          <t>Kota Bengkulu</t>
        </is>
      </c>
      <c r="C129" t="inlineStr">
        <is>
          <t>073625517</t>
        </is>
      </c>
      <c r="D129" t="inlineStr">
        <is>
          <t>nugraha.consultant@gmail.com</t>
        </is>
      </c>
      <c r="E129" t="inlineStr">
        <is>
          <t>https://lpjk.pu.go.id/search-badan-usaha-detail/QzVQVk8zbzIyNjdSU2h1MkxWemExdz09</t>
        </is>
      </c>
      <c r="F129" t="n">
        <v>2</v>
      </c>
      <c r="G129" t="inlineStr">
        <is>
          <t>RK002</t>
        </is>
      </c>
      <c r="H129" t="inlineStr">
        <is>
          <t>8 Juni 1995</t>
        </is>
      </c>
      <c r="I129" s="2" t="n">
        <v>46212</v>
      </c>
      <c r="J129" t="inlineStr">
        <is>
          <t>Pencabutan</t>
        </is>
      </c>
      <c r="K129" t="n">
        <v>30</v>
      </c>
      <c r="L129" t="inlineStr">
        <is>
          <t>9 Juli 2026</t>
        </is>
      </c>
      <c r="M129" t="inlineStr">
        <is>
          <t>Jasa Rekayasa Pekerjaan Teknik Sipil Sumber Daya Air</t>
        </is>
      </c>
      <c r="N129" t="inlineStr">
        <is>
          <t>K</t>
        </is>
      </c>
      <c r="O129" t="inlineStr">
        <is>
          <t>20230623</t>
        </is>
      </c>
      <c r="P129" t="inlineStr">
        <is>
          <t>Bengkulu</t>
        </is>
      </c>
      <c r="Q129" t="inlineStr"/>
    </row>
    <row r="130">
      <c r="A130" t="inlineStr">
        <is>
          <t>NUSA CAHAYA PELANGI</t>
        </is>
      </c>
      <c r="B130" t="inlineStr">
        <is>
          <t>Kota Tangerang</t>
        </is>
      </c>
      <c r="C130" t="inlineStr">
        <is>
          <t>02155752526</t>
        </is>
      </c>
      <c r="D130" t="inlineStr">
        <is>
          <t>nusacahayapelangi@outlook.co.id</t>
        </is>
      </c>
      <c r="E130" t="inlineStr">
        <is>
          <t>https://lpjk.pu.go.id/search-badan-usaha-detail/T1pGSVd2MGh3NlNVZGtyOGlDdnlIQT09</t>
        </is>
      </c>
      <c r="F130" t="n">
        <v>1</v>
      </c>
      <c r="G130" t="inlineStr">
        <is>
          <t>BG009</t>
        </is>
      </c>
      <c r="H130" t="inlineStr">
        <is>
          <t>7 Desember 2017</t>
        </is>
      </c>
      <c r="I130" s="2" t="n">
        <v>46212</v>
      </c>
      <c r="J130" t="inlineStr">
        <is>
          <t>Disetujui</t>
        </is>
      </c>
      <c r="K130" t="n">
        <v>30</v>
      </c>
      <c r="L130" t="inlineStr">
        <is>
          <t>9 Juli 2026</t>
        </is>
      </c>
      <c r="M130" t="inlineStr">
        <is>
          <t>Konstruksi Gedung Lainnya</t>
        </is>
      </c>
      <c r="N130" t="inlineStr">
        <is>
          <t>K</t>
        </is>
      </c>
      <c r="O130" t="inlineStr">
        <is>
          <t>20230703</t>
        </is>
      </c>
      <c r="P130" t="inlineStr">
        <is>
          <t>Banten</t>
        </is>
      </c>
      <c r="Q130" t="inlineStr"/>
    </row>
    <row r="131">
      <c r="A131" t="inlineStr">
        <is>
          <t>PANDAN JAYA PROPERTINDO</t>
        </is>
      </c>
      <c r="B131" t="inlineStr">
        <is>
          <t>Kab. Jombang</t>
        </is>
      </c>
      <c r="C131" t="inlineStr">
        <is>
          <t>082131718929</t>
        </is>
      </c>
      <c r="D131" t="inlineStr">
        <is>
          <t>PJPropertindo77@gmail.com</t>
        </is>
      </c>
      <c r="E131" t="inlineStr">
        <is>
          <t>https://lpjk.pu.go.id/search-badan-usaha-detail/R1JoS0kwRlc2R2dFMDRxN3JvdTZyZz09</t>
        </is>
      </c>
      <c r="F131" t="n">
        <v>2</v>
      </c>
      <c r="G131" t="inlineStr">
        <is>
          <t>BG003</t>
        </is>
      </c>
      <c r="H131" t="inlineStr">
        <is>
          <t>27 Oktober 2009</t>
        </is>
      </c>
      <c r="I131" s="2" t="n">
        <v>46212</v>
      </c>
      <c r="J131" t="inlineStr">
        <is>
          <t>Disetujui</t>
        </is>
      </c>
      <c r="K131" t="n">
        <v>30</v>
      </c>
      <c r="L131" t="inlineStr">
        <is>
          <t>9 Juli 2026</t>
        </is>
      </c>
      <c r="M131" t="inlineStr">
        <is>
          <t>Konstruksi Gedung Industri</t>
        </is>
      </c>
      <c r="N131" t="inlineStr">
        <is>
          <t>K</t>
        </is>
      </c>
      <c r="O131" t="inlineStr">
        <is>
          <t>20230708</t>
        </is>
      </c>
      <c r="P131" t="inlineStr">
        <is>
          <t>Jawa Timur</t>
        </is>
      </c>
      <c r="Q131" t="inlineStr"/>
    </row>
    <row r="132">
      <c r="A132" t="inlineStr">
        <is>
          <t>PANGESTU</t>
        </is>
      </c>
      <c r="B132" t="inlineStr">
        <is>
          <t>Kab. Klaten</t>
        </is>
      </c>
      <c r="C132" t="inlineStr">
        <is>
          <t>085640603422</t>
        </is>
      </c>
      <c r="D132" t="inlineStr">
        <is>
          <t>cv.pangestu93@yahoo.co.id</t>
        </is>
      </c>
      <c r="E132" t="inlineStr">
        <is>
          <t>https://lpjk.pu.go.id/search-badan-usaha-detail/LzFOQ0VRcVAzcnpRYk9uaEdPRUhaZz09</t>
        </is>
      </c>
      <c r="F132" t="n">
        <v>1</v>
      </c>
      <c r="G132" t="inlineStr">
        <is>
          <t>BS010</t>
        </is>
      </c>
      <c r="H132" t="inlineStr">
        <is>
          <t>18 Oktober 2003</t>
        </is>
      </c>
      <c r="I132" s="2" t="n">
        <v>46212</v>
      </c>
      <c r="J132" t="inlineStr">
        <is>
          <t>Pencabutan</t>
        </is>
      </c>
      <c r="K132" t="n">
        <v>30</v>
      </c>
      <c r="L132" t="inlineStr">
        <is>
          <t>9 Juli 2026</t>
        </is>
      </c>
      <c r="M132" t="inlineStr">
        <is>
          <t>Konstruksi Bangunan Prasarana Sumber Daya Air</t>
        </is>
      </c>
      <c r="N132" t="inlineStr">
        <is>
          <t>K</t>
        </is>
      </c>
      <c r="O132" t="inlineStr">
        <is>
          <t>20230708</t>
        </is>
      </c>
      <c r="P132" t="inlineStr">
        <is>
          <t>Jawa Tengah</t>
        </is>
      </c>
      <c r="Q132" t="inlineStr"/>
    </row>
    <row r="133">
      <c r="A133" t="inlineStr">
        <is>
          <t>PARASWIDA CIPTA WIGUNA</t>
        </is>
      </c>
      <c r="B133" t="inlineStr">
        <is>
          <t>Kota Palembang</t>
        </is>
      </c>
      <c r="C133" t="inlineStr">
        <is>
          <t>085378881040</t>
        </is>
      </c>
      <c r="D133" t="inlineStr">
        <is>
          <t>cvparaswidaciptawiguna09@gmail.com</t>
        </is>
      </c>
      <c r="E133" t="inlineStr">
        <is>
          <t>https://lpjk.pu.go.id/search-badan-usaha-detail/YVdZeHpmM2pUWGc3ZlpySGtCM016Zz09</t>
        </is>
      </c>
      <c r="F133" t="n">
        <v>1</v>
      </c>
      <c r="G133" t="inlineStr">
        <is>
          <t>BS001</t>
        </is>
      </c>
      <c r="H133" t="inlineStr">
        <is>
          <t>6 Juli 2019</t>
        </is>
      </c>
      <c r="I133" s="2" t="n">
        <v>46212</v>
      </c>
      <c r="J133" t="inlineStr">
        <is>
          <t>Disetujui</t>
        </is>
      </c>
      <c r="K133" t="n">
        <v>30</v>
      </c>
      <c r="L133" t="inlineStr">
        <is>
          <t>9 Juli 2026</t>
        </is>
      </c>
      <c r="M133" t="inlineStr">
        <is>
          <t>Konstruksi Bangunan Sipil Jalan</t>
        </is>
      </c>
      <c r="N133" t="inlineStr">
        <is>
          <t>K</t>
        </is>
      </c>
      <c r="O133" t="inlineStr">
        <is>
          <t>20230707</t>
        </is>
      </c>
      <c r="P133" t="inlineStr">
        <is>
          <t>Sumatera Selatan</t>
        </is>
      </c>
      <c r="Q133" t="inlineStr"/>
    </row>
    <row r="134">
      <c r="A134" t="inlineStr">
        <is>
          <t>PEMBANGUNAN NUSANTARA JAYA</t>
        </is>
      </c>
      <c r="B134" t="inlineStr">
        <is>
          <t>Kab. Sidoarjo</t>
        </is>
      </c>
      <c r="C134" t="inlineStr">
        <is>
          <t>0318068967</t>
        </is>
      </c>
      <c r="D134" t="inlineStr">
        <is>
          <t>pembangunan.nusantara@gmail.com</t>
        </is>
      </c>
      <c r="E134" t="inlineStr">
        <is>
          <t>https://lpjk.pu.go.id/search-badan-usaha-detail/a2dvYnd5QnFpSk5UaUVheEdTREFWdz09</t>
        </is>
      </c>
      <c r="F134" t="n">
        <v>1</v>
      </c>
      <c r="G134" t="inlineStr">
        <is>
          <t>BG006</t>
        </is>
      </c>
      <c r="H134" t="inlineStr">
        <is>
          <t>2 Desember 2008</t>
        </is>
      </c>
      <c r="I134" s="2" t="n">
        <v>46212</v>
      </c>
      <c r="J134" t="inlineStr">
        <is>
          <t>Pencabutan</t>
        </is>
      </c>
      <c r="K134" t="n">
        <v>30</v>
      </c>
      <c r="L134" t="inlineStr">
        <is>
          <t>9 Juli 2026</t>
        </is>
      </c>
      <c r="M134" t="inlineStr">
        <is>
          <t>Konstruksi Gedung Pendidikan</t>
        </is>
      </c>
      <c r="N134" t="inlineStr">
        <is>
          <t>M</t>
        </is>
      </c>
      <c r="O134" t="inlineStr">
        <is>
          <t>20230706</t>
        </is>
      </c>
      <c r="P134" t="inlineStr">
        <is>
          <t>Jawa Timur</t>
        </is>
      </c>
      <c r="Q134" t="inlineStr"/>
    </row>
    <row r="135">
      <c r="A135" t="inlineStr">
        <is>
          <t>PERMATA ANUGERAH YALASAMUDRA</t>
        </is>
      </c>
      <c r="B135" t="inlineStr">
        <is>
          <t>Kota Surabaya</t>
        </is>
      </c>
      <c r="C135" t="inlineStr">
        <is>
          <t>03182531715</t>
        </is>
      </c>
      <c r="D135" t="inlineStr">
        <is>
          <t>ptpay_permata@yahoo.co.id</t>
        </is>
      </c>
      <c r="E135" t="inlineStr">
        <is>
          <t>https://lpjk.pu.go.id/search-badan-usaha-detail/a3BySEp0aE80NGJUakIwYmw5ZnFrQT09</t>
        </is>
      </c>
      <c r="F135" t="n">
        <v>1</v>
      </c>
      <c r="G135" t="inlineStr">
        <is>
          <t>BG005</t>
        </is>
      </c>
      <c r="H135" t="inlineStr">
        <is>
          <t>28 Desember 2011</t>
        </is>
      </c>
      <c r="I135" s="2" t="n">
        <v>46212</v>
      </c>
      <c r="J135" t="inlineStr">
        <is>
          <t>Pencabutan</t>
        </is>
      </c>
      <c r="K135" t="n">
        <v>30</v>
      </c>
      <c r="L135" t="inlineStr">
        <is>
          <t>9 Juli 2026</t>
        </is>
      </c>
      <c r="M135" t="inlineStr">
        <is>
          <t>Konstruksi Gedung Kesehatan</t>
        </is>
      </c>
      <c r="N135" t="inlineStr">
        <is>
          <t>M</t>
        </is>
      </c>
      <c r="O135" t="inlineStr">
        <is>
          <t>20230622</t>
        </is>
      </c>
      <c r="P135" t="inlineStr">
        <is>
          <t>Jawa Timur</t>
        </is>
      </c>
      <c r="Q135" t="inlineStr"/>
    </row>
    <row r="136">
      <c r="A136" t="inlineStr">
        <is>
          <t>PILAR MAS</t>
        </is>
      </c>
      <c r="B136" t="inlineStr">
        <is>
          <t>Kota Banda Aceh</t>
        </is>
      </c>
      <c r="C136" t="inlineStr">
        <is>
          <t>081360170839</t>
        </is>
      </c>
      <c r="D136" t="inlineStr">
        <is>
          <t>pilarmas_cv@yahoo.co.id</t>
        </is>
      </c>
      <c r="E136" t="inlineStr">
        <is>
          <t>https://lpjk.pu.go.id/search-badan-usaha-detail/Rmt1TEYreDZMWXhtM1QzOWZCR3RUdz09</t>
        </is>
      </c>
      <c r="F136" t="n">
        <v>5</v>
      </c>
      <c r="G136" t="inlineStr">
        <is>
          <t>BG002, BG005, BG006, BG008, BG009</t>
        </is>
      </c>
      <c r="H136" t="inlineStr">
        <is>
          <t>29 Maret 2007</t>
        </is>
      </c>
      <c r="I136" s="2" t="n">
        <v>46212</v>
      </c>
      <c r="J136" t="inlineStr">
        <is>
          <t>Disetujui</t>
        </is>
      </c>
      <c r="K136" t="n">
        <v>30</v>
      </c>
      <c r="L136" t="inlineStr">
        <is>
          <t>9 Juli 2026</t>
        </is>
      </c>
      <c r="M136" t="inlineStr">
        <is>
          <t>Konstruksi Gedung Kesehatan, Konstruksi Gedung Lainnya, Konstruksi Gedung Pendidikan, Konstruksi Gedung Perkantoran, Konstruksi Gedung Tempat Hiburan dan Olahraga</t>
        </is>
      </c>
      <c r="N136" t="inlineStr">
        <is>
          <t>K</t>
        </is>
      </c>
      <c r="O136" t="inlineStr">
        <is>
          <t>20230706</t>
        </is>
      </c>
      <c r="P136" t="inlineStr">
        <is>
          <t>Aceh</t>
        </is>
      </c>
      <c r="Q136" t="inlineStr"/>
    </row>
    <row r="137">
      <c r="A137" t="inlineStr">
        <is>
          <t>PRAKARSA ADHICIPTA KONSULTAN</t>
        </is>
      </c>
      <c r="B137" t="inlineStr">
        <is>
          <t>Kab. Bandung</t>
        </is>
      </c>
      <c r="C137" t="inlineStr">
        <is>
          <t>081220551230</t>
        </is>
      </c>
      <c r="D137" t="inlineStr">
        <is>
          <t>prakarsaadhicipta@gmail.com</t>
        </is>
      </c>
      <c r="E137" t="inlineStr">
        <is>
          <t>https://lpjk.pu.go.id/search-badan-usaha-detail/Vk4xTGQ1QnVRYm9uZzVCZk15ZmZRZz09</t>
        </is>
      </c>
      <c r="F137" t="n">
        <v>1</v>
      </c>
      <c r="G137" t="inlineStr">
        <is>
          <t>RK005</t>
        </is>
      </c>
      <c r="H137" t="inlineStr">
        <is>
          <t>4 September 1986</t>
        </is>
      </c>
      <c r="I137" s="2" t="n">
        <v>46212</v>
      </c>
      <c r="J137" t="inlineStr">
        <is>
          <t>Pencabutan</t>
        </is>
      </c>
      <c r="K137" t="n">
        <v>30</v>
      </c>
      <c r="L137" t="inlineStr">
        <is>
          <t>9 Juli 2026</t>
        </is>
      </c>
      <c r="M137" t="inlineStr">
        <is>
          <t>Jasa Rekayasa Lainnya</t>
        </is>
      </c>
      <c r="N137" t="inlineStr">
        <is>
          <t>K</t>
        </is>
      </c>
      <c r="O137" t="inlineStr">
        <is>
          <t>20230629</t>
        </is>
      </c>
      <c r="P137" t="inlineStr">
        <is>
          <t>Jawa Barat</t>
        </is>
      </c>
      <c r="Q137" t="inlineStr"/>
    </row>
    <row r="138">
      <c r="A138" t="inlineStr">
        <is>
          <t>PRATAMA KARYA SEJOLI</t>
        </is>
      </c>
      <c r="B138" t="inlineStr">
        <is>
          <t>Kota Jambi</t>
        </is>
      </c>
      <c r="C138" t="inlineStr">
        <is>
          <t>08117493014</t>
        </is>
      </c>
      <c r="D138" t="inlineStr">
        <is>
          <t>cvpratamakaryasejoli@gmail.com</t>
        </is>
      </c>
      <c r="E138" t="inlineStr">
        <is>
          <t>https://lpjk.pu.go.id/search-badan-usaha-detail/bUFXTU1CZmc2dkpZKzZIYlJIaTZNdz09</t>
        </is>
      </c>
      <c r="F138" t="n">
        <v>2</v>
      </c>
      <c r="G138" t="inlineStr">
        <is>
          <t>BG002, BG006</t>
        </is>
      </c>
      <c r="H138" t="inlineStr">
        <is>
          <t>5 Maret 2020</t>
        </is>
      </c>
      <c r="I138" s="2" t="n">
        <v>46212</v>
      </c>
      <c r="J138" t="inlineStr">
        <is>
          <t>Disetujui</t>
        </is>
      </c>
      <c r="K138" t="n">
        <v>30</v>
      </c>
      <c r="L138" t="inlineStr">
        <is>
          <t>9 Juli 2026</t>
        </is>
      </c>
      <c r="M138" t="inlineStr">
        <is>
          <t>Konstruksi Gedung Pendidikan, Konstruksi Gedung Perkantoran</t>
        </is>
      </c>
      <c r="N138" t="inlineStr">
        <is>
          <t>K</t>
        </is>
      </c>
      <c r="O138" t="inlineStr">
        <is>
          <t>20230704</t>
        </is>
      </c>
      <c r="P138" t="inlineStr">
        <is>
          <t>Jambi</t>
        </is>
      </c>
      <c r="Q138" t="inlineStr"/>
    </row>
    <row r="139">
      <c r="A139" t="inlineStr">
        <is>
          <t>PUTRA AM - BIR</t>
        </is>
      </c>
      <c r="B139" t="inlineStr">
        <is>
          <t>Kota Kupang</t>
        </is>
      </c>
      <c r="C139" t="inlineStr">
        <is>
          <t>081239774627</t>
        </is>
      </c>
      <c r="D139" t="inlineStr">
        <is>
          <t>andrea.mariyano@gmail.com</t>
        </is>
      </c>
      <c r="E139" t="inlineStr">
        <is>
          <t>https://lpjk.pu.go.id/search-badan-usaha-detail/Rm51OHBLdzViSnVwSE5NNUtvT1Y5dz09</t>
        </is>
      </c>
      <c r="F139" t="n">
        <v>1</v>
      </c>
      <c r="G139" t="inlineStr">
        <is>
          <t>BG006</t>
        </is>
      </c>
      <c r="H139" t="inlineStr">
        <is>
          <t>30 Mei 2013</t>
        </is>
      </c>
      <c r="I139" s="2" t="n">
        <v>46212</v>
      </c>
      <c r="J139" t="inlineStr">
        <is>
          <t>Disetujui</t>
        </is>
      </c>
      <c r="K139" t="n">
        <v>30</v>
      </c>
      <c r="L139" t="inlineStr">
        <is>
          <t>9 Juli 2026</t>
        </is>
      </c>
      <c r="M139" t="inlineStr">
        <is>
          <t>Konstruksi Gedung Pendidikan</t>
        </is>
      </c>
      <c r="N139" t="inlineStr">
        <is>
          <t>K</t>
        </is>
      </c>
      <c r="O139" t="inlineStr">
        <is>
          <t>20230708</t>
        </is>
      </c>
      <c r="P139" t="inlineStr">
        <is>
          <t>Nusa Tenggara Timur</t>
        </is>
      </c>
      <c r="Q139" t="inlineStr"/>
    </row>
    <row r="140">
      <c r="A140" t="inlineStr">
        <is>
          <t>PUTRA PRENGGO SETIA</t>
        </is>
      </c>
      <c r="B140" t="inlineStr">
        <is>
          <t>Kab. Ngawi</t>
        </is>
      </c>
      <c r="C140" t="inlineStr">
        <is>
          <t>082301613800</t>
        </is>
      </c>
      <c r="D140" t="inlineStr">
        <is>
          <t>CV.PPS.NGAWI@GMAIL.COM</t>
        </is>
      </c>
      <c r="E140" t="inlineStr">
        <is>
          <t>https://lpjk.pu.go.id/search-badan-usaha-detail/aG5vcVEvVms1RGdTT2lPYWMzUGhjdz09</t>
        </is>
      </c>
      <c r="F140" t="n">
        <v>3</v>
      </c>
      <c r="G140" t="inlineStr">
        <is>
          <t>BG005, BG006, BG009</t>
        </is>
      </c>
      <c r="H140" t="inlineStr">
        <is>
          <t>12 Januari 2016</t>
        </is>
      </c>
      <c r="I140" s="2" t="n">
        <v>46212</v>
      </c>
      <c r="J140" t="inlineStr">
        <is>
          <t>Disetujui</t>
        </is>
      </c>
      <c r="K140" t="n">
        <v>30</v>
      </c>
      <c r="L140" t="inlineStr">
        <is>
          <t>9 Juli 2026</t>
        </is>
      </c>
      <c r="M140" t="inlineStr">
        <is>
          <t>Konstruksi Gedung Kesehatan, Konstruksi Gedung Lainnya, Konstruksi Gedung Pendidikan</t>
        </is>
      </c>
      <c r="N140" t="inlineStr">
        <is>
          <t>K</t>
        </is>
      </c>
      <c r="O140" t="inlineStr">
        <is>
          <t>20230710</t>
        </is>
      </c>
      <c r="P140" t="inlineStr">
        <is>
          <t>Jawa Timur</t>
        </is>
      </c>
      <c r="Q140" t="inlineStr"/>
    </row>
    <row r="141">
      <c r="A141" t="inlineStr">
        <is>
          <t>PUTRI KENCANA</t>
        </is>
      </c>
      <c r="B141" t="inlineStr">
        <is>
          <t>Kota Padang Sidempuan</t>
        </is>
      </c>
      <c r="C141" t="inlineStr">
        <is>
          <t>081376259173</t>
        </is>
      </c>
      <c r="D141" t="inlineStr">
        <is>
          <t>cv.putrikencana@gmail.com</t>
        </is>
      </c>
      <c r="E141" t="inlineStr">
        <is>
          <t>https://lpjk.pu.go.id/search-badan-usaha-detail/M3dXa2R3ZXI4N0tXbWQxdlZ4dDlGUT09</t>
        </is>
      </c>
      <c r="F141" t="n">
        <v>1</v>
      </c>
      <c r="G141" t="inlineStr">
        <is>
          <t>BG009</t>
        </is>
      </c>
      <c r="H141" t="inlineStr">
        <is>
          <t>29 November 2001</t>
        </is>
      </c>
      <c r="I141" s="2" t="n">
        <v>46212</v>
      </c>
      <c r="J141" t="inlineStr">
        <is>
          <t>Disetujui</t>
        </is>
      </c>
      <c r="K141" t="n">
        <v>30</v>
      </c>
      <c r="L141" t="inlineStr">
        <is>
          <t>9 Juli 2026</t>
        </is>
      </c>
      <c r="M141" t="inlineStr">
        <is>
          <t>Konstruksi Gedung Lainnya</t>
        </is>
      </c>
      <c r="N141" t="inlineStr">
        <is>
          <t>K</t>
        </is>
      </c>
      <c r="O141" t="inlineStr">
        <is>
          <t>20230621</t>
        </is>
      </c>
      <c r="P141" t="inlineStr">
        <is>
          <t>Sumatera Utara</t>
        </is>
      </c>
      <c r="Q141" t="inlineStr"/>
    </row>
    <row r="142">
      <c r="A142" t="inlineStr">
        <is>
          <t>RANGGA PERKASA</t>
        </is>
      </c>
      <c r="B142" t="inlineStr">
        <is>
          <t>Kab. Sambas</t>
        </is>
      </c>
      <c r="C142" t="inlineStr">
        <is>
          <t>085245799757</t>
        </is>
      </c>
      <c r="D142" t="inlineStr">
        <is>
          <t>cv.ranggaperkasasbs@gmail.com</t>
        </is>
      </c>
      <c r="E142" t="inlineStr">
        <is>
          <t>https://lpjk.pu.go.id/search-badan-usaha-detail/UURRY01qY09GUDhVa3JJMEdEVUhhQT09</t>
        </is>
      </c>
      <c r="F142" t="n">
        <v>2</v>
      </c>
      <c r="G142" t="inlineStr">
        <is>
          <t>BS002, BS004</t>
        </is>
      </c>
      <c r="H142" t="inlineStr">
        <is>
          <t>14 Februari 2017</t>
        </is>
      </c>
      <c r="I142" s="2" t="n">
        <v>46212</v>
      </c>
      <c r="J142" t="inlineStr">
        <is>
          <t>Disetujui</t>
        </is>
      </c>
      <c r="K142" t="n">
        <v>30</v>
      </c>
      <c r="L142" t="inlineStr">
        <is>
          <t>9 Juli 2026</t>
        </is>
      </c>
      <c r="M142" t="inlineStr">
        <is>
          <t>Bangunan Sipil Jembatan, Jalan Layang, Fly Over, dan Underpass, Konstruksi Jaringan Irigasi dan Drainase</t>
        </is>
      </c>
      <c r="N142" t="inlineStr">
        <is>
          <t>K</t>
        </is>
      </c>
      <c r="O142" t="inlineStr">
        <is>
          <t>20230710</t>
        </is>
      </c>
      <c r="P142" t="inlineStr">
        <is>
          <t>Kalimantan Barat</t>
        </is>
      </c>
      <c r="Q142" t="inlineStr"/>
    </row>
    <row r="143">
      <c r="A143" t="inlineStr">
        <is>
          <t>RARA VANNES MEGA KONSTRUKSI</t>
        </is>
      </c>
      <c r="B143" t="inlineStr">
        <is>
          <t>Kab. Rejang Lebong</t>
        </is>
      </c>
      <c r="C143" t="inlineStr">
        <is>
          <t>081275641272</t>
        </is>
      </c>
      <c r="D143" t="inlineStr">
        <is>
          <t>raravanes.megakontruksi@gmail.com</t>
        </is>
      </c>
      <c r="E143" t="inlineStr">
        <is>
          <t>https://lpjk.pu.go.id/search-badan-usaha-detail/Z3Y4emFyWGppZW9QZ2t1RG1vTzJodz09</t>
        </is>
      </c>
      <c r="F143" t="n">
        <v>1</v>
      </c>
      <c r="G143" t="inlineStr">
        <is>
          <t>BG006</t>
        </is>
      </c>
      <c r="H143" t="inlineStr">
        <is>
          <t>16 Maret 2023</t>
        </is>
      </c>
      <c r="I143" s="2" t="n">
        <v>46212</v>
      </c>
      <c r="J143" t="inlineStr">
        <is>
          <t>Disetujui</t>
        </is>
      </c>
      <c r="K143" t="n">
        <v>30</v>
      </c>
      <c r="L143" t="inlineStr">
        <is>
          <t>9 Juli 2026</t>
        </is>
      </c>
      <c r="M143" t="inlineStr">
        <is>
          <t>Konstruksi Gedung Pendidikan</t>
        </is>
      </c>
      <c r="N143" t="inlineStr">
        <is>
          <t>K</t>
        </is>
      </c>
      <c r="O143" t="inlineStr">
        <is>
          <t>20230704</t>
        </is>
      </c>
      <c r="P143" t="inlineStr">
        <is>
          <t>Bengkulu</t>
        </is>
      </c>
      <c r="Q143" t="inlineStr"/>
    </row>
    <row r="144">
      <c r="A144" t="inlineStr">
        <is>
          <t>RAYYAN</t>
        </is>
      </c>
      <c r="B144" t="inlineStr">
        <is>
          <t>Kab. Mamuju</t>
        </is>
      </c>
      <c r="C144" t="inlineStr">
        <is>
          <t>082191988864</t>
        </is>
      </c>
      <c r="D144" t="inlineStr">
        <is>
          <t>cvrayyan4@gmail.com</t>
        </is>
      </c>
      <c r="E144" t="inlineStr">
        <is>
          <t>https://lpjk.pu.go.id/search-badan-usaha-detail/b3BXSUNBT25Td3Z1YlpSelBSRFU0UT09</t>
        </is>
      </c>
      <c r="F144" t="n">
        <v>10</v>
      </c>
      <c r="G144" t="inlineStr">
        <is>
          <t>BG002, BG005, BG006, BG008, BG009</t>
        </is>
      </c>
      <c r="H144" t="inlineStr">
        <is>
          <t>18 Januari 2018</t>
        </is>
      </c>
      <c r="I144" s="2" t="n">
        <v>46212</v>
      </c>
      <c r="J144" t="inlineStr">
        <is>
          <t>Pencabutan</t>
        </is>
      </c>
      <c r="K144" t="n">
        <v>30</v>
      </c>
      <c r="L144" t="inlineStr">
        <is>
          <t>9 Juli 2026</t>
        </is>
      </c>
      <c r="M144" t="inlineStr">
        <is>
          <t>Konstruksi Gedung Kesehatan, Konstruksi Gedung Lainnya, Konstruksi Gedung Pendidikan, Konstruksi Gedung Perkantoran, Konstruksi Gedung Tempat Hiburan dan Olahraga</t>
        </is>
      </c>
      <c r="N144" t="inlineStr">
        <is>
          <t>K</t>
        </is>
      </c>
      <c r="O144" t="inlineStr">
        <is>
          <t>20230709, 20230710</t>
        </is>
      </c>
      <c r="P144" t="inlineStr">
        <is>
          <t>Sulawesi Barat</t>
        </is>
      </c>
      <c r="Q144" t="inlineStr"/>
    </row>
    <row r="145">
      <c r="A145" t="inlineStr">
        <is>
          <t>REKAYASA ENGINEERING KONSULTAN</t>
        </is>
      </c>
      <c r="B145" t="inlineStr">
        <is>
          <t>Kab. Natuna</t>
        </is>
      </c>
      <c r="C145" t="inlineStr">
        <is>
          <t>082250866650</t>
        </is>
      </c>
      <c r="D145" t="inlineStr">
        <is>
          <t>fajrimuharsyah@gmail.com</t>
        </is>
      </c>
      <c r="E145" t="inlineStr">
        <is>
          <t>https://lpjk.pu.go.id/search-badan-usaha-detail/NDE0TmVQRnlqR1FIc3BhdjR4ZnhGUT09</t>
        </is>
      </c>
      <c r="F145" t="n">
        <v>2</v>
      </c>
      <c r="G145" t="inlineStr">
        <is>
          <t>RK001</t>
        </is>
      </c>
      <c r="H145" t="inlineStr">
        <is>
          <t>23 Januari 2020</t>
        </is>
      </c>
      <c r="I145" s="2" t="n">
        <v>46212</v>
      </c>
      <c r="J145" t="inlineStr">
        <is>
          <t>Disetujui</t>
        </is>
      </c>
      <c r="K145" t="n">
        <v>30</v>
      </c>
      <c r="L145" t="inlineStr">
        <is>
          <t>9 Juli 2026</t>
        </is>
      </c>
      <c r="M145" t="inlineStr">
        <is>
          <t>Jasa Rekayasa Konstruksi Bangunan Gedung Hunian dan Non Hunian</t>
        </is>
      </c>
      <c r="N145" t="inlineStr">
        <is>
          <t>K</t>
        </is>
      </c>
      <c r="O145" t="inlineStr">
        <is>
          <t>20230626</t>
        </is>
      </c>
      <c r="P145" t="inlineStr">
        <is>
          <t>Kepulauan Riau</t>
        </is>
      </c>
      <c r="Q145" t="inlineStr"/>
    </row>
    <row r="146">
      <c r="A146" t="inlineStr">
        <is>
          <t>RIMBA HIJAU BORNEO</t>
        </is>
      </c>
      <c r="B146" t="inlineStr">
        <is>
          <t>Kab. Kutai Timur</t>
        </is>
      </c>
      <c r="C146" t="inlineStr">
        <is>
          <t>082350123397</t>
        </is>
      </c>
      <c r="D146" t="inlineStr">
        <is>
          <t>rimbahijauborneo.cv@gmail.com</t>
        </is>
      </c>
      <c r="E146" t="inlineStr">
        <is>
          <t>https://lpjk.pu.go.id/search-badan-usaha-detail/M1RxZFIzVWdxNXNuMnNyNzFYQmVEUT09</t>
        </is>
      </c>
      <c r="F146" t="n">
        <v>1</v>
      </c>
      <c r="G146" t="inlineStr">
        <is>
          <t>BG004</t>
        </is>
      </c>
      <c r="H146" t="inlineStr">
        <is>
          <t>22 Januari 2013</t>
        </is>
      </c>
      <c r="I146" s="2" t="n">
        <v>46212</v>
      </c>
      <c r="J146" t="inlineStr">
        <is>
          <t>Dokumen Lengkap</t>
        </is>
      </c>
      <c r="K146" t="n">
        <v>30</v>
      </c>
      <c r="L146" t="inlineStr">
        <is>
          <t>9 Juli 2026</t>
        </is>
      </c>
      <c r="M146" t="inlineStr">
        <is>
          <t>Konstruksi Gedung Perbelanjaan</t>
        </is>
      </c>
      <c r="N146" t="inlineStr">
        <is>
          <t>K</t>
        </is>
      </c>
      <c r="O146" t="inlineStr">
        <is>
          <t>20230710</t>
        </is>
      </c>
      <c r="P146" t="inlineStr">
        <is>
          <t>Kalimantan Timur</t>
        </is>
      </c>
      <c r="Q146" t="inlineStr"/>
    </row>
    <row r="147">
      <c r="A147" t="inlineStr">
        <is>
          <t>RIMBA KENCANA</t>
        </is>
      </c>
      <c r="B147" t="inlineStr">
        <is>
          <t>Kab. Ponorogo</t>
        </is>
      </c>
      <c r="C147" t="inlineStr">
        <is>
          <t>081234641610</t>
        </is>
      </c>
      <c r="D147" t="inlineStr">
        <is>
          <t>rimbakencana01@gmail.com</t>
        </is>
      </c>
      <c r="E147" t="inlineStr">
        <is>
          <t>https://lpjk.pu.go.id/search-badan-usaha-detail/alN5dTlSaUJ3V0ttZlZBajBqK3Bydz09</t>
        </is>
      </c>
      <c r="F147" t="n">
        <v>1</v>
      </c>
      <c r="G147" t="inlineStr">
        <is>
          <t>BG006</t>
        </is>
      </c>
      <c r="H147" t="inlineStr">
        <is>
          <t>27 September 1993</t>
        </is>
      </c>
      <c r="I147" s="2" t="n">
        <v>46212</v>
      </c>
      <c r="J147" t="inlineStr">
        <is>
          <t>Disetujui</t>
        </is>
      </c>
      <c r="K147" t="n">
        <v>30</v>
      </c>
      <c r="L147" t="inlineStr">
        <is>
          <t>9 Juli 2026</t>
        </is>
      </c>
      <c r="M147" t="inlineStr">
        <is>
          <t>Konstruksi Gedung Pendidikan</t>
        </is>
      </c>
      <c r="N147" t="inlineStr">
        <is>
          <t>K</t>
        </is>
      </c>
      <c r="O147" t="inlineStr">
        <is>
          <t>20230704</t>
        </is>
      </c>
      <c r="P147" t="inlineStr">
        <is>
          <t>Jawa Timur</t>
        </is>
      </c>
      <c r="Q147" t="inlineStr"/>
    </row>
    <row r="148">
      <c r="A148" t="inlineStr">
        <is>
          <t>RINDANG MANDIRI PERKASA</t>
        </is>
      </c>
      <c r="B148" t="inlineStr">
        <is>
          <t>Kab. Paser</t>
        </is>
      </c>
      <c r="C148" t="inlineStr">
        <is>
          <t>081350160321</t>
        </is>
      </c>
      <c r="D148" t="inlineStr">
        <is>
          <t>ptrindangmandiriperkasa@gmail.com</t>
        </is>
      </c>
      <c r="E148" t="inlineStr">
        <is>
          <t>https://lpjk.pu.go.id/search-badan-usaha-detail/eFFqQjAvcTBRSFN0UUVNaDJzVVpTZz09</t>
        </is>
      </c>
      <c r="F148" t="n">
        <v>1</v>
      </c>
      <c r="G148" t="inlineStr">
        <is>
          <t>BS004</t>
        </is>
      </c>
      <c r="H148" t="inlineStr">
        <is>
          <t>21 Desember 2018</t>
        </is>
      </c>
      <c r="I148" s="2" t="n">
        <v>46212</v>
      </c>
      <c r="J148" t="inlineStr">
        <is>
          <t>Disetujui</t>
        </is>
      </c>
      <c r="K148" t="n">
        <v>30</v>
      </c>
      <c r="L148" t="inlineStr">
        <is>
          <t>9 Juli 2026</t>
        </is>
      </c>
      <c r="M148" t="inlineStr">
        <is>
          <t>Konstruksi Jaringan Irigasi dan Drainase</t>
        </is>
      </c>
      <c r="N148" t="inlineStr">
        <is>
          <t>K</t>
        </is>
      </c>
      <c r="O148" t="inlineStr">
        <is>
          <t>20230709</t>
        </is>
      </c>
      <c r="P148" t="inlineStr">
        <is>
          <t>Kalimantan Timur</t>
        </is>
      </c>
      <c r="Q148" t="inlineStr"/>
    </row>
    <row r="149">
      <c r="A149" t="inlineStr">
        <is>
          <t>RIZKI PUTERA PERDANA</t>
        </is>
      </c>
      <c r="B149" t="inlineStr">
        <is>
          <t>Kab. Hulu Sungai Selatan</t>
        </is>
      </c>
      <c r="C149" t="inlineStr">
        <is>
          <t>085251802205</t>
        </is>
      </c>
      <c r="D149" t="inlineStr">
        <is>
          <t>rizkiputera@yopmail.com</t>
        </is>
      </c>
      <c r="E149" t="inlineStr">
        <is>
          <t>https://lpjk.pu.go.id/search-badan-usaha-detail/di9VcFVvdFpTeG1pU0N1b05iZFpmQT09</t>
        </is>
      </c>
      <c r="F149" t="n">
        <v>1</v>
      </c>
      <c r="G149" t="inlineStr">
        <is>
          <t>BG005</t>
        </is>
      </c>
      <c r="H149" t="inlineStr">
        <is>
          <t>1 April 2016</t>
        </is>
      </c>
      <c r="I149" s="2" t="n">
        <v>46212</v>
      </c>
      <c r="J149" t="inlineStr">
        <is>
          <t>Disetujui</t>
        </is>
      </c>
      <c r="K149" t="n">
        <v>30</v>
      </c>
      <c r="L149" t="inlineStr">
        <is>
          <t>9 Juli 2026</t>
        </is>
      </c>
      <c r="M149" t="inlineStr">
        <is>
          <t>Konstruksi Gedung Kesehatan</t>
        </is>
      </c>
      <c r="N149" t="inlineStr">
        <is>
          <t>K</t>
        </is>
      </c>
      <c r="O149" t="inlineStr">
        <is>
          <t>20230709</t>
        </is>
      </c>
      <c r="P149" t="inlineStr">
        <is>
          <t>Kalimantan Selatan</t>
        </is>
      </c>
      <c r="Q149" t="inlineStr"/>
    </row>
    <row r="150">
      <c r="A150" t="inlineStr">
        <is>
          <t>RIZQIANA DAFFA PERTAMA</t>
        </is>
      </c>
      <c r="B150" t="inlineStr">
        <is>
          <t>Kab. Jeneponto</t>
        </is>
      </c>
      <c r="C150" t="inlineStr">
        <is>
          <t>081241070555</t>
        </is>
      </c>
      <c r="D150" t="inlineStr">
        <is>
          <t>cvrizqianadaffapertama@gmail.com</t>
        </is>
      </c>
      <c r="E150" t="inlineStr">
        <is>
          <t>https://lpjk.pu.go.id/search-badan-usaha-detail/WjRDUWVSYnZKdXhKU2g5WFV2Mll6UT09</t>
        </is>
      </c>
      <c r="F150" t="n">
        <v>2</v>
      </c>
      <c r="G150" t="inlineStr">
        <is>
          <t>BS001</t>
        </is>
      </c>
      <c r="H150" t="inlineStr">
        <is>
          <t>6 Maret 2018</t>
        </is>
      </c>
      <c r="I150" s="2" t="n">
        <v>46212</v>
      </c>
      <c r="J150" t="inlineStr">
        <is>
          <t>Pencabutan</t>
        </is>
      </c>
      <c r="K150" t="n">
        <v>30</v>
      </c>
      <c r="L150" t="inlineStr">
        <is>
          <t>9 Juli 2026</t>
        </is>
      </c>
      <c r="M150" t="inlineStr">
        <is>
          <t>Konstruksi Bangunan Sipil Jalan</t>
        </is>
      </c>
      <c r="N150" t="inlineStr">
        <is>
          <t>K</t>
        </is>
      </c>
      <c r="O150" t="inlineStr">
        <is>
          <t>20230627</t>
        </is>
      </c>
      <c r="P150" t="inlineStr">
        <is>
          <t>Sulawesi Selatan</t>
        </is>
      </c>
      <c r="Q150" t="inlineStr"/>
    </row>
    <row r="151">
      <c r="A151" t="inlineStr">
        <is>
          <t>SABATARA</t>
        </is>
      </c>
      <c r="B151" t="inlineStr">
        <is>
          <t>Kab. Kaimana</t>
        </is>
      </c>
      <c r="C151" t="inlineStr">
        <is>
          <t>082328984377</t>
        </is>
      </c>
      <c r="D151" t="inlineStr">
        <is>
          <t>cvsabatara3@gmail.com</t>
        </is>
      </c>
      <c r="E151" t="inlineStr">
        <is>
          <t>https://lpjk.pu.go.id/search-badan-usaha-detail/Q0s3KzMyOGZmQUd6djdPOXc1dVYvQT09</t>
        </is>
      </c>
      <c r="F151" t="n">
        <v>2</v>
      </c>
      <c r="G151" t="inlineStr">
        <is>
          <t>BS001</t>
        </is>
      </c>
      <c r="H151" t="inlineStr">
        <is>
          <t>20 April 2021</t>
        </is>
      </c>
      <c r="I151" s="2" t="n">
        <v>46212</v>
      </c>
      <c r="J151" t="inlineStr">
        <is>
          <t>Pencabutan</t>
        </is>
      </c>
      <c r="K151" t="n">
        <v>30</v>
      </c>
      <c r="L151" t="inlineStr">
        <is>
          <t>9 Juli 2026</t>
        </is>
      </c>
      <c r="M151" t="inlineStr">
        <is>
          <t>Konstruksi Bangunan Sipil Jalan</t>
        </is>
      </c>
      <c r="N151" t="inlineStr">
        <is>
          <t>K</t>
        </is>
      </c>
      <c r="O151" t="inlineStr">
        <is>
          <t>20230710</t>
        </is>
      </c>
      <c r="P151" t="inlineStr">
        <is>
          <t>Papua Barat</t>
        </is>
      </c>
      <c r="Q151" t="inlineStr"/>
    </row>
    <row r="152">
      <c r="A152" t="inlineStr">
        <is>
          <t>SAE JAYA ABADI</t>
        </is>
      </c>
      <c r="B152" t="inlineStr">
        <is>
          <t>Kab. Grobogan</t>
        </is>
      </c>
      <c r="C152" t="inlineStr">
        <is>
          <t>085292725232</t>
        </is>
      </c>
      <c r="D152" t="inlineStr">
        <is>
          <t>cv.saejayaabadi@gmail.com</t>
        </is>
      </c>
      <c r="E152" t="inlineStr">
        <is>
          <t>https://lpjk.pu.go.id/search-badan-usaha-detail/QUl2ZGk5L09CSFFYd2h0RGxaMkhFdz09</t>
        </is>
      </c>
      <c r="F152" t="n">
        <v>1</v>
      </c>
      <c r="G152" t="inlineStr">
        <is>
          <t>BG005</t>
        </is>
      </c>
      <c r="H152" t="inlineStr">
        <is>
          <t>21 Januari 2016</t>
        </is>
      </c>
      <c r="I152" s="2" t="n">
        <v>46212</v>
      </c>
      <c r="J152" t="inlineStr">
        <is>
          <t>Disetujui</t>
        </is>
      </c>
      <c r="K152" t="n">
        <v>30</v>
      </c>
      <c r="L152" t="inlineStr">
        <is>
          <t>9 Juli 2026</t>
        </is>
      </c>
      <c r="M152" t="inlineStr">
        <is>
          <t>Konstruksi Gedung Kesehatan</t>
        </is>
      </c>
      <c r="N152" t="inlineStr">
        <is>
          <t>K</t>
        </is>
      </c>
      <c r="O152" t="inlineStr">
        <is>
          <t>20230706</t>
        </is>
      </c>
      <c r="P152" t="inlineStr">
        <is>
          <t>Jawa Tengah</t>
        </is>
      </c>
      <c r="Q152" t="inlineStr"/>
    </row>
    <row r="153">
      <c r="A153" t="inlineStr">
        <is>
          <t>SAHABAT</t>
        </is>
      </c>
      <c r="B153" t="inlineStr">
        <is>
          <t>Kab. Banyumas</t>
        </is>
      </c>
      <c r="C153" t="inlineStr">
        <is>
          <t>082220070187</t>
        </is>
      </c>
      <c r="D153" t="inlineStr">
        <is>
          <t>sahabat342@gmail.com</t>
        </is>
      </c>
      <c r="E153" t="inlineStr">
        <is>
          <t>https://lpjk.pu.go.id/search-badan-usaha-detail/SGtuR3pkQndqUUQxYUJSV0dGVFhjUT09</t>
        </is>
      </c>
      <c r="F153" t="n">
        <v>1</v>
      </c>
      <c r="G153" t="inlineStr">
        <is>
          <t>BS004</t>
        </is>
      </c>
      <c r="H153" t="inlineStr">
        <is>
          <t>10 Februari 2015</t>
        </is>
      </c>
      <c r="I153" s="2" t="n">
        <v>46212</v>
      </c>
      <c r="J153" t="inlineStr">
        <is>
          <t>Disetujui</t>
        </is>
      </c>
      <c r="K153" t="n">
        <v>30</v>
      </c>
      <c r="L153" t="inlineStr">
        <is>
          <t>9 Juli 2026</t>
        </is>
      </c>
      <c r="M153" t="inlineStr">
        <is>
          <t>Konstruksi Jaringan Irigasi dan Drainase</t>
        </is>
      </c>
      <c r="N153" t="inlineStr">
        <is>
          <t>K</t>
        </is>
      </c>
      <c r="O153" t="inlineStr">
        <is>
          <t>20230707</t>
        </is>
      </c>
      <c r="P153" t="inlineStr">
        <is>
          <t>Jawa Tengah</t>
        </is>
      </c>
      <c r="Q153" t="inlineStr"/>
    </row>
    <row r="154">
      <c r="A154" t="inlineStr">
        <is>
          <t>SANGGAR TEKNIK</t>
        </is>
      </c>
      <c r="B154" t="inlineStr">
        <is>
          <t>Kota Probolinggo</t>
        </is>
      </c>
      <c r="C154" t="inlineStr">
        <is>
          <t>089522685017</t>
        </is>
      </c>
      <c r="D154" t="inlineStr">
        <is>
          <t>adiyahyarisky@gmail.com</t>
        </is>
      </c>
      <c r="E154" t="inlineStr">
        <is>
          <t>https://lpjk.pu.go.id/search-badan-usaha-detail/Qms2eVFCUCtITUJTS2ZwcW9rdFJUZz09</t>
        </is>
      </c>
      <c r="F154" t="n">
        <v>3</v>
      </c>
      <c r="G154" t="inlineStr">
        <is>
          <t>BG005</t>
        </is>
      </c>
      <c r="H154" t="inlineStr">
        <is>
          <t>16 Oktober 2006</t>
        </is>
      </c>
      <c r="I154" s="2" t="n">
        <v>46212</v>
      </c>
      <c r="J154" t="inlineStr">
        <is>
          <t>Pencabutan</t>
        </is>
      </c>
      <c r="K154" t="n">
        <v>30</v>
      </c>
      <c r="L154" t="inlineStr">
        <is>
          <t>9 Juli 2026</t>
        </is>
      </c>
      <c r="M154" t="inlineStr">
        <is>
          <t>Konstruksi Gedung Kesehatan</t>
        </is>
      </c>
      <c r="N154" t="inlineStr">
        <is>
          <t>K</t>
        </is>
      </c>
      <c r="O154" t="inlineStr">
        <is>
          <t>20230627</t>
        </is>
      </c>
      <c r="P154" t="inlineStr">
        <is>
          <t>Jawa Timur</t>
        </is>
      </c>
      <c r="Q154" t="inlineStr"/>
    </row>
    <row r="155">
      <c r="A155" t="inlineStr">
        <is>
          <t>SANTI JAYA BAROKAH</t>
        </is>
      </c>
      <c r="B155" t="inlineStr">
        <is>
          <t>Kab. Kuningan</t>
        </is>
      </c>
      <c r="C155" t="inlineStr">
        <is>
          <t>08231206488</t>
        </is>
      </c>
      <c r="D155" t="inlineStr">
        <is>
          <t>cv.santijayabarokah@gmail.com</t>
        </is>
      </c>
      <c r="E155" t="inlineStr">
        <is>
          <t>https://lpjk.pu.go.id/search-badan-usaha-detail/SGRPUjBlcEhKNzdERjBnelduWGdTUT09</t>
        </is>
      </c>
      <c r="F155" t="n">
        <v>1</v>
      </c>
      <c r="G155" t="inlineStr">
        <is>
          <t>BG004</t>
        </is>
      </c>
      <c r="H155" t="inlineStr">
        <is>
          <t>26 April 2022</t>
        </is>
      </c>
      <c r="I155" s="2" t="n">
        <v>46212</v>
      </c>
      <c r="J155" t="inlineStr">
        <is>
          <t>Disetujui</t>
        </is>
      </c>
      <c r="K155" t="n">
        <v>30</v>
      </c>
      <c r="L155" t="inlineStr">
        <is>
          <t>9 Juli 2026</t>
        </is>
      </c>
      <c r="M155" t="inlineStr">
        <is>
          <t>Konstruksi Gedung Perbelanjaan</t>
        </is>
      </c>
      <c r="N155" t="inlineStr">
        <is>
          <t>K</t>
        </is>
      </c>
      <c r="O155" t="inlineStr">
        <is>
          <t>20230705</t>
        </is>
      </c>
      <c r="P155" t="inlineStr">
        <is>
          <t>Jawa Barat</t>
        </is>
      </c>
      <c r="Q155" t="inlineStr"/>
    </row>
    <row r="156">
      <c r="A156" t="inlineStr">
        <is>
          <t>SARANA ABADI RAYA</t>
        </is>
      </c>
      <c r="B156" t="inlineStr">
        <is>
          <t>Kab. Karawang</t>
        </is>
      </c>
      <c r="C156" t="inlineStr">
        <is>
          <t>02678630027</t>
        </is>
      </c>
      <c r="D156" t="inlineStr">
        <is>
          <t>info@sarana-abadi.co.id</t>
        </is>
      </c>
      <c r="E156" t="inlineStr">
        <is>
          <t>https://lpjk.pu.go.id/search-badan-usaha-detail/RHVtMzlLbjQ3MUxqRWROaUtHZFJidz09</t>
        </is>
      </c>
      <c r="F156" t="n">
        <v>1</v>
      </c>
      <c r="G156" t="inlineStr">
        <is>
          <t>BG001</t>
        </is>
      </c>
      <c r="H156" t="inlineStr">
        <is>
          <t>24 Januari 2008</t>
        </is>
      </c>
      <c r="I156" s="2" t="n">
        <v>46212</v>
      </c>
      <c r="J156" t="inlineStr">
        <is>
          <t>Disetujui</t>
        </is>
      </c>
      <c r="K156" t="n">
        <v>30</v>
      </c>
      <c r="L156" t="inlineStr">
        <is>
          <t>9 Juli 2026</t>
        </is>
      </c>
      <c r="M156" t="inlineStr">
        <is>
          <t>Konstruksi Gedung Hunian</t>
        </is>
      </c>
      <c r="N156" t="inlineStr">
        <is>
          <t>M</t>
        </is>
      </c>
      <c r="O156" t="inlineStr">
        <is>
          <t>20230622</t>
        </is>
      </c>
      <c r="P156" t="inlineStr">
        <is>
          <t>Jawa Barat</t>
        </is>
      </c>
      <c r="Q156" t="inlineStr"/>
    </row>
    <row r="157">
      <c r="A157" t="inlineStr">
        <is>
          <t>SARANA MITRA KARYA</t>
        </is>
      </c>
      <c r="B157" t="inlineStr">
        <is>
          <t>Kota Padang</t>
        </is>
      </c>
      <c r="C157" t="inlineStr">
        <is>
          <t>085271422005</t>
        </is>
      </c>
      <c r="D157" t="inlineStr">
        <is>
          <t>saranamitrakarya@gmail.com</t>
        </is>
      </c>
      <c r="E157" t="inlineStr">
        <is>
          <t>https://lpjk.pu.go.id/search-badan-usaha-detail/TnNyVXhwNHdWaUVwVFJISlZUbEFxUT09</t>
        </is>
      </c>
      <c r="F157" t="n">
        <v>1</v>
      </c>
      <c r="G157" t="inlineStr">
        <is>
          <t>BS001</t>
        </is>
      </c>
      <c r="H157" t="inlineStr">
        <is>
          <t>9 Desember 2013</t>
        </is>
      </c>
      <c r="I157" s="2" t="n">
        <v>46212</v>
      </c>
      <c r="J157" t="inlineStr">
        <is>
          <t>Disetujui</t>
        </is>
      </c>
      <c r="K157" t="n">
        <v>30</v>
      </c>
      <c r="L157" t="inlineStr">
        <is>
          <t>9 Juli 2026</t>
        </is>
      </c>
      <c r="M157" t="inlineStr">
        <is>
          <t>Konstruksi Bangunan Sipil Jalan</t>
        </is>
      </c>
      <c r="N157" t="inlineStr">
        <is>
          <t>K</t>
        </is>
      </c>
      <c r="O157" t="inlineStr">
        <is>
          <t>20230404</t>
        </is>
      </c>
      <c r="P157" t="inlineStr">
        <is>
          <t>Sumatera Barat</t>
        </is>
      </c>
      <c r="Q157" t="inlineStr"/>
    </row>
    <row r="158">
      <c r="A158" t="inlineStr">
        <is>
          <t>SEGITIGA MAS</t>
        </is>
      </c>
      <c r="B158" t="inlineStr">
        <is>
          <t>Kab. Trenggalek</t>
        </is>
      </c>
      <c r="C158" t="inlineStr">
        <is>
          <t>081335754822</t>
        </is>
      </c>
      <c r="D158" t="inlineStr">
        <is>
          <t>segi3mascv@gmail.com</t>
        </is>
      </c>
      <c r="E158" t="inlineStr">
        <is>
          <t>https://lpjk.pu.go.id/search-badan-usaha-detail/NXYvTEFWMTlRRDZYa1FzY2piVWlxZz09</t>
        </is>
      </c>
      <c r="F158" t="n">
        <v>1</v>
      </c>
      <c r="G158" t="inlineStr">
        <is>
          <t>BS004</t>
        </is>
      </c>
      <c r="H158" t="inlineStr">
        <is>
          <t>21 Desember 2006</t>
        </is>
      </c>
      <c r="I158" s="2" t="n">
        <v>46212</v>
      </c>
      <c r="J158" t="inlineStr">
        <is>
          <t>Disetujui</t>
        </is>
      </c>
      <c r="K158" t="n">
        <v>30</v>
      </c>
      <c r="L158" t="inlineStr">
        <is>
          <t>9 Juli 2026</t>
        </is>
      </c>
      <c r="M158" t="inlineStr">
        <is>
          <t>Konstruksi Jaringan Irigasi dan Drainase</t>
        </is>
      </c>
      <c r="N158" t="inlineStr">
        <is>
          <t>K</t>
        </is>
      </c>
      <c r="O158" t="inlineStr">
        <is>
          <t>20230624</t>
        </is>
      </c>
      <c r="P158" t="inlineStr">
        <is>
          <t>Jawa Timur</t>
        </is>
      </c>
      <c r="Q158" t="inlineStr"/>
    </row>
    <row r="159">
      <c r="A159" t="inlineStr">
        <is>
          <t>SELOJATI KARYA MULYA</t>
        </is>
      </c>
      <c r="B159" t="inlineStr">
        <is>
          <t>Kab. Pacitan</t>
        </is>
      </c>
      <c r="C159" t="inlineStr">
        <is>
          <t>081235300845</t>
        </is>
      </c>
      <c r="D159" t="inlineStr">
        <is>
          <t>cv.selojkm@gmail.com</t>
        </is>
      </c>
      <c r="E159" t="inlineStr">
        <is>
          <t>https://lpjk.pu.go.id/search-badan-usaha-detail/M0JPT0puNnpNQ2dRVkg0TmI0Zk9Ydz09</t>
        </is>
      </c>
      <c r="F159" t="n">
        <v>1</v>
      </c>
      <c r="G159" t="inlineStr">
        <is>
          <t>BS005</t>
        </is>
      </c>
      <c r="H159" t="inlineStr">
        <is>
          <t>2 Februari 2018</t>
        </is>
      </c>
      <c r="I159" s="2" t="n">
        <v>46212</v>
      </c>
      <c r="J159" t="inlineStr">
        <is>
          <t>Disetujui</t>
        </is>
      </c>
      <c r="K159" t="n">
        <v>30</v>
      </c>
      <c r="L159" t="inlineStr">
        <is>
          <t>9 Juli 2026</t>
        </is>
      </c>
      <c r="M159" t="inlineStr">
        <is>
          <t>Konstruksi Bangunan Sipil Pengolahan Air Bersih</t>
        </is>
      </c>
      <c r="N159" t="inlineStr">
        <is>
          <t>K</t>
        </is>
      </c>
      <c r="O159" t="inlineStr">
        <is>
          <t>20230705</t>
        </is>
      </c>
      <c r="P159" t="inlineStr">
        <is>
          <t>Jawa Timur</t>
        </is>
      </c>
      <c r="Q159" t="inlineStr"/>
    </row>
    <row r="160">
      <c r="A160" t="inlineStr">
        <is>
          <t>SENTRAL ELEKTRIKAL JAYA UTAMA</t>
        </is>
      </c>
      <c r="B160" t="inlineStr">
        <is>
          <t>Kab. Parigi Moutong</t>
        </is>
      </c>
      <c r="C160" t="inlineStr">
        <is>
          <t>085242497409</t>
        </is>
      </c>
      <c r="D160" t="inlineStr">
        <is>
          <t>sentralelektrikaljayautamapt@gmail.com</t>
        </is>
      </c>
      <c r="E160" t="inlineStr">
        <is>
          <t>https://lpjk.pu.go.id/search-badan-usaha-detail/S0N1dE5RWU9RUjNIOG5FbVBxNFNCdz09</t>
        </is>
      </c>
      <c r="F160" t="n">
        <v>2</v>
      </c>
      <c r="G160" t="inlineStr">
        <is>
          <t>BG002</t>
        </is>
      </c>
      <c r="H160" t="inlineStr">
        <is>
          <t>15 Februari 2019</t>
        </is>
      </c>
      <c r="I160" s="2" t="n">
        <v>46212</v>
      </c>
      <c r="J160" t="inlineStr">
        <is>
          <t>Disetujui</t>
        </is>
      </c>
      <c r="K160" t="n">
        <v>30</v>
      </c>
      <c r="L160" t="inlineStr">
        <is>
          <t>9 Juli 2026</t>
        </is>
      </c>
      <c r="M160" t="inlineStr">
        <is>
          <t>Konstruksi Gedung Perkantoran</t>
        </is>
      </c>
      <c r="N160" t="inlineStr">
        <is>
          <t>K</t>
        </is>
      </c>
      <c r="O160" t="inlineStr">
        <is>
          <t>20230417</t>
        </is>
      </c>
      <c r="P160" t="inlineStr">
        <is>
          <t>Sulawesi Tengah</t>
        </is>
      </c>
      <c r="Q160" t="inlineStr"/>
    </row>
    <row r="161">
      <c r="A161" t="inlineStr">
        <is>
          <t>SINAR BELITI</t>
        </is>
      </c>
      <c r="B161" t="inlineStr">
        <is>
          <t>Kota Lubuk Linggau</t>
        </is>
      </c>
      <c r="C161" t="inlineStr">
        <is>
          <t>082376242226</t>
        </is>
      </c>
      <c r="D161" t="inlineStr">
        <is>
          <t>sinarbeliti@gmail.com</t>
        </is>
      </c>
      <c r="E161" t="inlineStr">
        <is>
          <t>https://lpjk.pu.go.id/search-badan-usaha-detail/TElHNTB1cUUyellrWWVQZVprdXJNZz09</t>
        </is>
      </c>
      <c r="F161" t="n">
        <v>1</v>
      </c>
      <c r="G161" t="inlineStr">
        <is>
          <t>BG001</t>
        </is>
      </c>
      <c r="H161" t="inlineStr">
        <is>
          <t>4 Januari 2011</t>
        </is>
      </c>
      <c r="I161" s="2" t="n">
        <v>46212</v>
      </c>
      <c r="J161" t="inlineStr">
        <is>
          <t>Disetujui</t>
        </is>
      </c>
      <c r="K161" t="n">
        <v>30</v>
      </c>
      <c r="L161" t="inlineStr">
        <is>
          <t>9 Juli 2026</t>
        </is>
      </c>
      <c r="M161" t="inlineStr">
        <is>
          <t>Konstruksi Gedung Hunian</t>
        </is>
      </c>
      <c r="N161" t="inlineStr">
        <is>
          <t>K</t>
        </is>
      </c>
      <c r="O161" t="inlineStr">
        <is>
          <t>20230613</t>
        </is>
      </c>
      <c r="P161" t="inlineStr">
        <is>
          <t>Sumatera Selatan</t>
        </is>
      </c>
      <c r="Q161" t="inlineStr"/>
    </row>
    <row r="162">
      <c r="A162" t="inlineStr">
        <is>
          <t>SINAR HARAPAN</t>
        </is>
      </c>
      <c r="B162" t="inlineStr">
        <is>
          <t>Kab. Kediri</t>
        </is>
      </c>
      <c r="C162" t="inlineStr">
        <is>
          <t>085648131457</t>
        </is>
      </c>
      <c r="D162" t="inlineStr">
        <is>
          <t>sinarharapan509@gmail.com</t>
        </is>
      </c>
      <c r="E162" t="inlineStr">
        <is>
          <t>https://lpjk.pu.go.id/search-badan-usaha-detail/UGpPN3F6bm5ablVZMTMzWTlZUGU3dz09</t>
        </is>
      </c>
      <c r="F162" t="n">
        <v>5</v>
      </c>
      <c r="G162" t="inlineStr">
        <is>
          <t>BG002, BG005, BG006, BS001, BS004</t>
        </is>
      </c>
      <c r="H162" t="inlineStr">
        <is>
          <t>12 Maret 2007</t>
        </is>
      </c>
      <c r="I162" s="2" t="n">
        <v>46212</v>
      </c>
      <c r="J162" t="inlineStr">
        <is>
          <t>Disetujui</t>
        </is>
      </c>
      <c r="K162" t="n">
        <v>30</v>
      </c>
      <c r="L162" t="inlineStr">
        <is>
          <t>9 Juli 2026</t>
        </is>
      </c>
      <c r="M162" t="inlineStr">
        <is>
          <t>Konstruksi Bangunan Sipil Jalan, Konstruksi Gedung Kesehatan, Konstruksi Gedung Pendidikan, Konstruksi Gedung Perkantoran, Konstruksi Jaringan Irigasi dan Drainase</t>
        </is>
      </c>
      <c r="N162" t="inlineStr">
        <is>
          <t>K</t>
        </is>
      </c>
      <c r="O162" t="inlineStr">
        <is>
          <t>20230702, 20230703</t>
        </is>
      </c>
      <c r="P162" t="inlineStr">
        <is>
          <t>Jawa Timur</t>
        </is>
      </c>
      <c r="Q162" t="inlineStr"/>
    </row>
    <row r="163">
      <c r="A163" t="inlineStr">
        <is>
          <t>SINAR MATAHARI</t>
        </is>
      </c>
      <c r="B163" t="inlineStr">
        <is>
          <t>Kab. Bandung</t>
        </is>
      </c>
      <c r="C163" t="inlineStr">
        <is>
          <t>0225942493</t>
        </is>
      </c>
      <c r="D163" t="inlineStr">
        <is>
          <t>sinarmataharipanas@yahoo.com</t>
        </is>
      </c>
      <c r="E163" t="inlineStr">
        <is>
          <t>https://lpjk.pu.go.id/search-badan-usaha-detail/MzdBZnplZFdLYVIyTjJTZ1l6VkE2dz09</t>
        </is>
      </c>
      <c r="F163" t="n">
        <v>2</v>
      </c>
      <c r="G163" t="inlineStr">
        <is>
          <t>BG006, BG009</t>
        </is>
      </c>
      <c r="H163" t="inlineStr">
        <is>
          <t>7 Januari 2011</t>
        </is>
      </c>
      <c r="I163" s="2" t="n">
        <v>46212</v>
      </c>
      <c r="J163" t="inlineStr">
        <is>
          <t>Pencabutan</t>
        </is>
      </c>
      <c r="K163" t="n">
        <v>30</v>
      </c>
      <c r="L163" t="inlineStr">
        <is>
          <t>9 Juli 2026</t>
        </is>
      </c>
      <c r="M163" t="inlineStr">
        <is>
          <t>Konstruksi Gedung Lainnya, Konstruksi Gedung Pendidikan</t>
        </is>
      </c>
      <c r="N163" t="inlineStr">
        <is>
          <t>K</t>
        </is>
      </c>
      <c r="O163" t="inlineStr">
        <is>
          <t>20230709</t>
        </is>
      </c>
      <c r="P163" t="inlineStr">
        <is>
          <t>Jawa Barat</t>
        </is>
      </c>
      <c r="Q163" t="inlineStr"/>
    </row>
    <row r="164">
      <c r="A164" t="inlineStr">
        <is>
          <t>SINAR MATAHARI KONSTRUKSI</t>
        </is>
      </c>
      <c r="B164" t="inlineStr">
        <is>
          <t>Kab. Bintan</t>
        </is>
      </c>
      <c r="C164" t="inlineStr">
        <is>
          <t>087876530733</t>
        </is>
      </c>
      <c r="D164" t="inlineStr">
        <is>
          <t>sinarmataharik@gmail.com</t>
        </is>
      </c>
      <c r="E164" t="inlineStr">
        <is>
          <t>https://lpjk.pu.go.id/search-badan-usaha-detail/UFE5c2FBa3hhVEl0ZEZzcms3b091Zz09</t>
        </is>
      </c>
      <c r="F164" t="n">
        <v>1</v>
      </c>
      <c r="G164" t="inlineStr">
        <is>
          <t>BG003</t>
        </is>
      </c>
      <c r="H164" t="inlineStr">
        <is>
          <t>9 Juni 2023</t>
        </is>
      </c>
      <c r="I164" s="2" t="n">
        <v>46212</v>
      </c>
      <c r="J164" t="inlineStr">
        <is>
          <t>Pencabutan</t>
        </is>
      </c>
      <c r="K164" t="n">
        <v>30</v>
      </c>
      <c r="L164" t="inlineStr">
        <is>
          <t>9 Juli 2026</t>
        </is>
      </c>
      <c r="M164" t="inlineStr">
        <is>
          <t>Konstruksi Gedung Industri</t>
        </is>
      </c>
      <c r="N164" t="inlineStr">
        <is>
          <t>K</t>
        </is>
      </c>
      <c r="O164" t="inlineStr">
        <is>
          <t>20230706</t>
        </is>
      </c>
      <c r="P164" t="inlineStr">
        <is>
          <t>Kepulauan Riau</t>
        </is>
      </c>
      <c r="Q164" t="inlineStr"/>
    </row>
    <row r="165">
      <c r="A165" t="inlineStr">
        <is>
          <t>SINAR REZKY 37</t>
        </is>
      </c>
      <c r="B165" t="inlineStr">
        <is>
          <t>Kab. Mamberamo Tengah</t>
        </is>
      </c>
      <c r="C165" t="inlineStr">
        <is>
          <t>081241088133</t>
        </is>
      </c>
      <c r="D165" t="inlineStr">
        <is>
          <t>cvsinarresky@gmail.com</t>
        </is>
      </c>
      <c r="E165" t="inlineStr">
        <is>
          <t>https://lpjk.pu.go.id/search-badan-usaha-detail/M1p0VEluM1BWRCt1RGZ2dzZJM2RZZz09</t>
        </is>
      </c>
      <c r="F165" t="n">
        <v>1</v>
      </c>
      <c r="G165" t="inlineStr">
        <is>
          <t>BG001</t>
        </is>
      </c>
      <c r="H165" t="inlineStr">
        <is>
          <t>27 Mei 2015</t>
        </is>
      </c>
      <c r="I165" s="2" t="n">
        <v>46212</v>
      </c>
      <c r="J165" t="inlineStr">
        <is>
          <t>Disetujui</t>
        </is>
      </c>
      <c r="K165" t="n">
        <v>30</v>
      </c>
      <c r="L165" t="inlineStr">
        <is>
          <t>9 Juli 2026</t>
        </is>
      </c>
      <c r="M165" t="inlineStr">
        <is>
          <t>Konstruksi Gedung Hunian</t>
        </is>
      </c>
      <c r="N165" t="inlineStr">
        <is>
          <t>K</t>
        </is>
      </c>
      <c r="O165" t="inlineStr">
        <is>
          <t>20230709</t>
        </is>
      </c>
      <c r="P165" t="inlineStr">
        <is>
          <t>Papua</t>
        </is>
      </c>
      <c r="Q165" t="inlineStr"/>
    </row>
    <row r="166">
      <c r="A166" t="inlineStr">
        <is>
          <t>SINAR VILOTY</t>
        </is>
      </c>
      <c r="B166" t="inlineStr">
        <is>
          <t>Kab. Merauke</t>
        </is>
      </c>
      <c r="C166" t="inlineStr">
        <is>
          <t>082198629775</t>
        </is>
      </c>
      <c r="D166" t="inlineStr">
        <is>
          <t>sinarviloty868@gmail.com</t>
        </is>
      </c>
      <c r="E166" t="inlineStr">
        <is>
          <t>https://lpjk.pu.go.id/search-badan-usaha-detail/U2ZQOTZCMHl0TGNkNm5DL09ockNZdz09</t>
        </is>
      </c>
      <c r="F166" t="n">
        <v>1</v>
      </c>
      <c r="G166" t="inlineStr">
        <is>
          <t>BG005</t>
        </is>
      </c>
      <c r="H166" t="inlineStr">
        <is>
          <t>28 Agustus 2007</t>
        </is>
      </c>
      <c r="I166" s="2" t="n">
        <v>46212</v>
      </c>
      <c r="J166" t="inlineStr">
        <is>
          <t>Disetujui</t>
        </is>
      </c>
      <c r="K166" t="n">
        <v>30</v>
      </c>
      <c r="L166" t="inlineStr">
        <is>
          <t>9 Juli 2026</t>
        </is>
      </c>
      <c r="M166" t="inlineStr">
        <is>
          <t>Konstruksi Gedung Kesehatan</t>
        </is>
      </c>
      <c r="N166" t="inlineStr">
        <is>
          <t>K</t>
        </is>
      </c>
      <c r="O166" t="inlineStr">
        <is>
          <t>20230705</t>
        </is>
      </c>
      <c r="P166" t="inlineStr">
        <is>
          <t>Papua Selatan</t>
        </is>
      </c>
      <c r="Q166" t="inlineStr"/>
    </row>
    <row r="167">
      <c r="A167" t="inlineStr">
        <is>
          <t>SINDANG LAYA CONSULTANT</t>
        </is>
      </c>
      <c r="B167" t="inlineStr">
        <is>
          <t>Kota Medan</t>
        </is>
      </c>
      <c r="C167" t="inlineStr">
        <is>
          <t>081262563310</t>
        </is>
      </c>
      <c r="D167" t="inlineStr">
        <is>
          <t>sindanglaya0017@gmail.com</t>
        </is>
      </c>
      <c r="E167" t="inlineStr">
        <is>
          <t>https://lpjk.pu.go.id/search-badan-usaha-detail/eEdlRllOcFBpcjFFT25rSFY3RnNpUT09</t>
        </is>
      </c>
      <c r="F167" t="n">
        <v>2</v>
      </c>
      <c r="G167" t="inlineStr">
        <is>
          <t>AR001, RK001</t>
        </is>
      </c>
      <c r="H167" t="inlineStr">
        <is>
          <t>12 November 2014</t>
        </is>
      </c>
      <c r="I167" s="2" t="n">
        <v>46212</v>
      </c>
      <c r="J167" t="inlineStr">
        <is>
          <t>Disetujui</t>
        </is>
      </c>
      <c r="K167" t="n">
        <v>30</v>
      </c>
      <c r="L167" t="inlineStr">
        <is>
          <t>9 Juli 2026</t>
        </is>
      </c>
      <c r="M167" t="inlineStr">
        <is>
          <t>Jasa Arsitektural Bangunan Gedung Hunian dan Non Hunian, Jasa Rekayasa Konstruksi Bangunan Gedung Hunian dan Non Hunian</t>
        </is>
      </c>
      <c r="N167" t="inlineStr">
        <is>
          <t>K</t>
        </is>
      </c>
      <c r="O167" t="inlineStr">
        <is>
          <t>20230623</t>
        </is>
      </c>
      <c r="P167" t="inlineStr">
        <is>
          <t>Sumatera Utara</t>
        </is>
      </c>
      <c r="Q167" t="inlineStr"/>
    </row>
    <row r="168">
      <c r="A168" t="inlineStr">
        <is>
          <t>SRIWIJAYA PERKASA</t>
        </is>
      </c>
      <c r="B168" t="inlineStr">
        <is>
          <t>Kab. Malang</t>
        </is>
      </c>
      <c r="C168" t="inlineStr">
        <is>
          <t>08125270372</t>
        </is>
      </c>
      <c r="D168" t="inlineStr">
        <is>
          <t>sriwijayaperkasa480@gmail.com</t>
        </is>
      </c>
      <c r="E168" t="inlineStr">
        <is>
          <t>https://lpjk.pu.go.id/search-badan-usaha-detail/QytYZWNxV0JjM1FzbnNoYXNHWFhBUT09</t>
        </is>
      </c>
      <c r="F168" t="n">
        <v>1</v>
      </c>
      <c r="G168" t="inlineStr">
        <is>
          <t>BS001</t>
        </is>
      </c>
      <c r="H168" t="inlineStr">
        <is>
          <t>5 April 2008</t>
        </is>
      </c>
      <c r="I168" s="2" t="n">
        <v>46212</v>
      </c>
      <c r="J168" t="inlineStr">
        <is>
          <t>Disetujui</t>
        </is>
      </c>
      <c r="K168" t="n">
        <v>30</v>
      </c>
      <c r="L168" t="inlineStr">
        <is>
          <t>9 Juli 2026</t>
        </is>
      </c>
      <c r="M168" t="inlineStr">
        <is>
          <t>Konstruksi Bangunan Sipil Jalan</t>
        </is>
      </c>
      <c r="N168" t="inlineStr">
        <is>
          <t>K</t>
        </is>
      </c>
      <c r="O168" t="inlineStr">
        <is>
          <t>20230705</t>
        </is>
      </c>
      <c r="P168" t="inlineStr">
        <is>
          <t>Jawa Timur</t>
        </is>
      </c>
      <c r="Q168" t="inlineStr"/>
    </row>
    <row r="169">
      <c r="A169" t="inlineStr">
        <is>
          <t>SUMBER MULYO</t>
        </is>
      </c>
      <c r="B169" t="inlineStr">
        <is>
          <t>Kab. Gunungkidul</t>
        </is>
      </c>
      <c r="C169" t="inlineStr">
        <is>
          <t>081327725559</t>
        </is>
      </c>
      <c r="D169" t="inlineStr">
        <is>
          <t>sumbermulyocvpri@ymail.com</t>
        </is>
      </c>
      <c r="E169" t="inlineStr">
        <is>
          <t>https://lpjk.pu.go.id/search-badan-usaha-detail/d3hmTEg5ZjJVOVZURUh2VFp5TnFoQT09</t>
        </is>
      </c>
      <c r="F169" t="n">
        <v>2</v>
      </c>
      <c r="G169" t="inlineStr">
        <is>
          <t>BG005, BG009</t>
        </is>
      </c>
      <c r="H169" t="inlineStr">
        <is>
          <t>31 Juli 2004</t>
        </is>
      </c>
      <c r="I169" s="2" t="n">
        <v>46212</v>
      </c>
      <c r="J169" t="inlineStr">
        <is>
          <t>Disetujui</t>
        </is>
      </c>
      <c r="K169" t="n">
        <v>30</v>
      </c>
      <c r="L169" t="inlineStr">
        <is>
          <t>9 Juli 2026</t>
        </is>
      </c>
      <c r="M169" t="inlineStr">
        <is>
          <t>Konstruksi Gedung Kesehatan, Konstruksi Gedung Lainnya</t>
        </is>
      </c>
      <c r="N169" t="inlineStr">
        <is>
          <t>K</t>
        </is>
      </c>
      <c r="O169" t="inlineStr">
        <is>
          <t>20230704</t>
        </is>
      </c>
      <c r="P169" t="inlineStr">
        <is>
          <t>DI Yogyakarta</t>
        </is>
      </c>
      <c r="Q169" t="inlineStr"/>
    </row>
    <row r="170">
      <c r="A170" t="inlineStr">
        <is>
          <t>SURYA BERKAH UTAMA</t>
        </is>
      </c>
      <c r="B170" t="inlineStr">
        <is>
          <t>Kab. Kuningan</t>
        </is>
      </c>
      <c r="C170" t="inlineStr">
        <is>
          <t>000</t>
        </is>
      </c>
      <c r="D170" t="inlineStr">
        <is>
          <t>suryaberkahutama.sbu@gmail.com</t>
        </is>
      </c>
      <c r="E170" t="inlineStr">
        <is>
          <t>https://lpjk.pu.go.id/search-badan-usaha-detail/TFZhZHV4Q2xZSHZIdXlWQy9iaXFoQT09</t>
        </is>
      </c>
      <c r="F170" t="n">
        <v>1</v>
      </c>
      <c r="G170" t="inlineStr">
        <is>
          <t>BS004</t>
        </is>
      </c>
      <c r="H170" t="inlineStr">
        <is>
          <t>4 Juni 2015</t>
        </is>
      </c>
      <c r="I170" s="2" t="n">
        <v>46212</v>
      </c>
      <c r="J170" t="inlineStr">
        <is>
          <t>Pencabutan</t>
        </is>
      </c>
      <c r="K170" t="n">
        <v>30</v>
      </c>
      <c r="L170" t="inlineStr">
        <is>
          <t>9 Juli 2026</t>
        </is>
      </c>
      <c r="M170" t="inlineStr">
        <is>
          <t>Konstruksi Jaringan Irigasi dan Drainase</t>
        </is>
      </c>
      <c r="N170" t="inlineStr">
        <is>
          <t>K</t>
        </is>
      </c>
      <c r="O170" t="inlineStr">
        <is>
          <t>20230705</t>
        </is>
      </c>
      <c r="P170" t="inlineStr">
        <is>
          <t>Jawa Barat</t>
        </is>
      </c>
      <c r="Q170" t="inlineStr"/>
    </row>
    <row r="171">
      <c r="A171" t="inlineStr">
        <is>
          <t>SURYA CITRA PERSADA</t>
        </is>
      </c>
      <c r="B171" t="inlineStr">
        <is>
          <t>Kota Jambi</t>
        </is>
      </c>
      <c r="C171" t="inlineStr">
        <is>
          <t>081366330877</t>
        </is>
      </c>
      <c r="D171" t="inlineStr">
        <is>
          <t>cpersada44@yahoo.com</t>
        </is>
      </c>
      <c r="E171" t="inlineStr">
        <is>
          <t>https://lpjk.pu.go.id/search-badan-usaha-detail/cGR0cmJJV21xaStLSG1uQjB3eGtTUT09</t>
        </is>
      </c>
      <c r="F171" t="n">
        <v>1</v>
      </c>
      <c r="G171" t="inlineStr">
        <is>
          <t>BG003</t>
        </is>
      </c>
      <c r="H171" t="inlineStr">
        <is>
          <t>3 Januari 2008</t>
        </is>
      </c>
      <c r="I171" s="2" t="n">
        <v>46212</v>
      </c>
      <c r="J171" t="inlineStr">
        <is>
          <t>Disetujui</t>
        </is>
      </c>
      <c r="K171" t="n">
        <v>30</v>
      </c>
      <c r="L171" t="inlineStr">
        <is>
          <t>9 Juli 2026</t>
        </is>
      </c>
      <c r="M171" t="inlineStr">
        <is>
          <t>Konstruksi Gedung Industri</t>
        </is>
      </c>
      <c r="N171" t="inlineStr">
        <is>
          <t>K</t>
        </is>
      </c>
      <c r="O171" t="inlineStr">
        <is>
          <t>20230705</t>
        </is>
      </c>
      <c r="P171" t="inlineStr">
        <is>
          <t>Jambi</t>
        </is>
      </c>
      <c r="Q171" t="inlineStr"/>
    </row>
    <row r="172">
      <c r="A172" t="inlineStr">
        <is>
          <t>SURYA SENTOSA</t>
        </is>
      </c>
      <c r="B172" t="inlineStr">
        <is>
          <t>Kab. Pasaman</t>
        </is>
      </c>
      <c r="C172" t="inlineStr">
        <is>
          <t>082169738519</t>
        </is>
      </c>
      <c r="D172" t="inlineStr">
        <is>
          <t>cv.suryasentosa@gmail.com</t>
        </is>
      </c>
      <c r="E172" t="inlineStr">
        <is>
          <t>https://lpjk.pu.go.id/search-badan-usaha-detail/dm1BczNweVVULzNGNkhuVm81NEoyQT09</t>
        </is>
      </c>
      <c r="F172" t="n">
        <v>5</v>
      </c>
      <c r="G172" t="inlineStr">
        <is>
          <t>BG006, BG008, BG009, BS001, BS004</t>
        </is>
      </c>
      <c r="H172" t="inlineStr">
        <is>
          <t>13 Januari 1999</t>
        </is>
      </c>
      <c r="I172" s="2" t="n">
        <v>46212</v>
      </c>
      <c r="J172" t="inlineStr">
        <is>
          <t>Disetujui, Pencabutan</t>
        </is>
      </c>
      <c r="K172" t="n">
        <v>30</v>
      </c>
      <c r="L172" t="inlineStr">
        <is>
          <t>9 Juli 2026</t>
        </is>
      </c>
      <c r="M172" t="inlineStr">
        <is>
          <t>Konstruksi Bangunan Sipil Jalan, Konstruksi Gedung Lainnya, Konstruksi Gedung Pendidikan, Konstruksi Gedung Tempat Hiburan dan Olahraga, Konstruksi Jaringan Irigasi dan Drainase</t>
        </is>
      </c>
      <c r="N172" t="inlineStr">
        <is>
          <t>K</t>
        </is>
      </c>
      <c r="O172" t="inlineStr">
        <is>
          <t>20230630</t>
        </is>
      </c>
      <c r="P172" t="inlineStr">
        <is>
          <t>Sumatera Barat</t>
        </is>
      </c>
      <c r="Q172" t="inlineStr"/>
    </row>
    <row r="173">
      <c r="A173" t="inlineStr">
        <is>
          <t>SWASTIJAYA MITRA SADHANA</t>
        </is>
      </c>
      <c r="B173" t="inlineStr">
        <is>
          <t>Kota Surabaya</t>
        </is>
      </c>
      <c r="C173" t="inlineStr">
        <is>
          <t>031</t>
        </is>
      </c>
      <c r="D173" t="inlineStr">
        <is>
          <t>cv.swastijaya@yahoo.com</t>
        </is>
      </c>
      <c r="E173" t="inlineStr">
        <is>
          <t>https://lpjk.pu.go.id/search-badan-usaha-detail/VWcvdmR4akFUYjVMNGNJU2V3enVjQT09</t>
        </is>
      </c>
      <c r="F173" t="n">
        <v>1</v>
      </c>
      <c r="G173" t="inlineStr">
        <is>
          <t>BG009</t>
        </is>
      </c>
      <c r="H173" t="inlineStr">
        <is>
          <t>10 Oktober 2006</t>
        </is>
      </c>
      <c r="I173" s="2" t="n">
        <v>46212</v>
      </c>
      <c r="J173" t="inlineStr">
        <is>
          <t>Disetujui</t>
        </is>
      </c>
      <c r="K173" t="n">
        <v>30</v>
      </c>
      <c r="L173" t="inlineStr">
        <is>
          <t>9 Juli 2026</t>
        </is>
      </c>
      <c r="M173" t="inlineStr">
        <is>
          <t>Konstruksi Gedung Lainnya</t>
        </is>
      </c>
      <c r="N173" t="inlineStr">
        <is>
          <t>K</t>
        </is>
      </c>
      <c r="O173" t="inlineStr">
        <is>
          <t>20230707</t>
        </is>
      </c>
      <c r="P173" t="inlineStr">
        <is>
          <t>Jawa Timur</t>
        </is>
      </c>
      <c r="Q173" t="inlineStr"/>
    </row>
    <row r="174">
      <c r="A174" t="inlineStr">
        <is>
          <t>TAPAK BUANA KONSTRUKSI</t>
        </is>
      </c>
      <c r="B174" t="inlineStr">
        <is>
          <t>Kota Makassar</t>
        </is>
      </c>
      <c r="C174" t="inlineStr">
        <is>
          <t>085299931699</t>
        </is>
      </c>
      <c r="D174" t="inlineStr">
        <is>
          <t>cvtapakbuanakonstruksi@gmail.com</t>
        </is>
      </c>
      <c r="E174" t="inlineStr">
        <is>
          <t>https://lpjk.pu.go.id/search-badan-usaha-detail/VkQ2bWh0NVhCNzZNb2F4UXN6eElMOXdCd2I1WVh6czUvS0JoZGtVN0JjTT0</t>
        </is>
      </c>
      <c r="F174" t="n">
        <v>1</v>
      </c>
      <c r="G174" t="inlineStr">
        <is>
          <t>BG002</t>
        </is>
      </c>
      <c r="H174" t="inlineStr">
        <is>
          <t>17 Oktober 2022</t>
        </is>
      </c>
      <c r="I174" s="2" t="n">
        <v>46212</v>
      </c>
      <c r="J174" t="inlineStr">
        <is>
          <t>Disetujui</t>
        </is>
      </c>
      <c r="K174" t="n">
        <v>30</v>
      </c>
      <c r="L174" t="inlineStr">
        <is>
          <t>9 Juli 2026</t>
        </is>
      </c>
      <c r="M174" t="inlineStr">
        <is>
          <t>Konstruksi Gedung Perkantoran</t>
        </is>
      </c>
      <c r="N174" t="inlineStr">
        <is>
          <t>K</t>
        </is>
      </c>
      <c r="O174" t="inlineStr">
        <is>
          <t>20230708</t>
        </is>
      </c>
      <c r="P174" t="inlineStr">
        <is>
          <t>Sulawesi Selatan</t>
        </is>
      </c>
      <c r="Q174" t="inlineStr"/>
    </row>
    <row r="175">
      <c r="A175" t="inlineStr">
        <is>
          <t>TIGA DARA LESTARI</t>
        </is>
      </c>
      <c r="B175" t="inlineStr">
        <is>
          <t>Kab. Ogan Komering Ulu</t>
        </is>
      </c>
      <c r="C175" t="inlineStr">
        <is>
          <t>082281702987</t>
        </is>
      </c>
      <c r="D175" t="inlineStr">
        <is>
          <t>alfenmda@gmail.com</t>
        </is>
      </c>
      <c r="E175" t="inlineStr">
        <is>
          <t>https://lpjk.pu.go.id/search-badan-usaha-detail/Ykt3Q2pYSzZSYlpHeEZRdVVYNWNEdz09</t>
        </is>
      </c>
      <c r="F175" t="n">
        <v>2</v>
      </c>
      <c r="G175" t="inlineStr">
        <is>
          <t>BG005, BG006</t>
        </is>
      </c>
      <c r="H175" t="inlineStr">
        <is>
          <t>22 Juni 2012</t>
        </is>
      </c>
      <c r="I175" s="2" t="n">
        <v>46212</v>
      </c>
      <c r="J175" t="inlineStr">
        <is>
          <t>Disetujui</t>
        </is>
      </c>
      <c r="K175" t="n">
        <v>30</v>
      </c>
      <c r="L175" t="inlineStr">
        <is>
          <t>9 Juli 2026</t>
        </is>
      </c>
      <c r="M175" t="inlineStr">
        <is>
          <t>Konstruksi Gedung Kesehatan, Konstruksi Gedung Pendidikan</t>
        </is>
      </c>
      <c r="N175" t="inlineStr">
        <is>
          <t>K</t>
        </is>
      </c>
      <c r="O175" t="inlineStr">
        <is>
          <t>20230705</t>
        </is>
      </c>
      <c r="P175" t="inlineStr">
        <is>
          <t>Sumatera Selatan</t>
        </is>
      </c>
      <c r="Q175" t="inlineStr"/>
    </row>
    <row r="176">
      <c r="A176" t="inlineStr">
        <is>
          <t>TIGA MITRA KARYA</t>
        </is>
      </c>
      <c r="B176" t="inlineStr">
        <is>
          <t>Kab. Kutai Timur</t>
        </is>
      </c>
      <c r="C176" t="inlineStr">
        <is>
          <t>081289821414</t>
        </is>
      </c>
      <c r="D176" t="inlineStr">
        <is>
          <t>tigamitrakarya.cv@gmail.com</t>
        </is>
      </c>
      <c r="E176" t="inlineStr">
        <is>
          <t>https://lpjk.pu.go.id/search-badan-usaha-detail/SU5tbVpGMHJhRjZKeEVOZE5vOTFCQT09</t>
        </is>
      </c>
      <c r="F176" t="n">
        <v>2</v>
      </c>
      <c r="G176" t="inlineStr">
        <is>
          <t>BG005, BG006</t>
        </is>
      </c>
      <c r="H176" t="inlineStr">
        <is>
          <t>26 November 2019</t>
        </is>
      </c>
      <c r="I176" s="2" t="n">
        <v>46212</v>
      </c>
      <c r="J176" t="inlineStr">
        <is>
          <t>Disetujui</t>
        </is>
      </c>
      <c r="K176" t="n">
        <v>30</v>
      </c>
      <c r="L176" t="inlineStr">
        <is>
          <t>9 Juli 2026</t>
        </is>
      </c>
      <c r="M176" t="inlineStr">
        <is>
          <t>Konstruksi Gedung Kesehatan, Konstruksi Gedung Pendidikan</t>
        </is>
      </c>
      <c r="N176" t="inlineStr">
        <is>
          <t>K</t>
        </is>
      </c>
      <c r="O176" t="inlineStr">
        <is>
          <t>20230704</t>
        </is>
      </c>
      <c r="P176" t="inlineStr">
        <is>
          <t>Kalimantan Timur</t>
        </is>
      </c>
      <c r="Q176" t="inlineStr"/>
    </row>
    <row r="177">
      <c r="A177" t="inlineStr">
        <is>
          <t>TIGA PILAR</t>
        </is>
      </c>
      <c r="B177" t="inlineStr">
        <is>
          <t>Kab. Bondowoso</t>
        </is>
      </c>
      <c r="C177" t="inlineStr">
        <is>
          <t>08113623737</t>
        </is>
      </c>
      <c r="D177" t="inlineStr">
        <is>
          <t>tigapilar2016@gmail.com</t>
        </is>
      </c>
      <c r="E177" t="inlineStr">
        <is>
          <t>https://lpjk.pu.go.id/search-badan-usaha-detail/aHF2ZnRBMHBxYXZVYllhQXpUaHM0Zz09</t>
        </is>
      </c>
      <c r="F177" t="n">
        <v>1</v>
      </c>
      <c r="G177" t="inlineStr">
        <is>
          <t>BS001</t>
        </is>
      </c>
      <c r="H177" t="inlineStr">
        <is>
          <t>22 Juni 2012</t>
        </is>
      </c>
      <c r="I177" s="2" t="n">
        <v>46212</v>
      </c>
      <c r="J177" t="inlineStr">
        <is>
          <t>Disetujui</t>
        </is>
      </c>
      <c r="K177" t="n">
        <v>30</v>
      </c>
      <c r="L177" t="inlineStr">
        <is>
          <t>9 Juli 2026</t>
        </is>
      </c>
      <c r="M177" t="inlineStr">
        <is>
          <t>Konstruksi Bangunan Sipil Jalan</t>
        </is>
      </c>
      <c r="N177" t="inlineStr">
        <is>
          <t>K</t>
        </is>
      </c>
      <c r="O177" t="inlineStr">
        <is>
          <t>20230505</t>
        </is>
      </c>
      <c r="P177" t="inlineStr">
        <is>
          <t>Jawa Timur</t>
        </is>
      </c>
      <c r="Q177" t="inlineStr"/>
    </row>
    <row r="178">
      <c r="A178" t="inlineStr">
        <is>
          <t>TITIAN REZEKI</t>
        </is>
      </c>
      <c r="B178" t="inlineStr">
        <is>
          <t>Kab. Sintang</t>
        </is>
      </c>
      <c r="C178" t="inlineStr">
        <is>
          <t>085252013477</t>
        </is>
      </c>
      <c r="D178" t="inlineStr">
        <is>
          <t>titianrezekicv2@gmail.com</t>
        </is>
      </c>
      <c r="E178" t="inlineStr">
        <is>
          <t>https://lpjk.pu.go.id/search-badan-usaha-detail/UXVkZThBSnpHS3BGMWdYZGdTeGtHQT09</t>
        </is>
      </c>
      <c r="F178" t="n">
        <v>2</v>
      </c>
      <c r="G178" t="inlineStr">
        <is>
          <t>BS004</t>
        </is>
      </c>
      <c r="H178" t="inlineStr">
        <is>
          <t>24 Oktober 1998</t>
        </is>
      </c>
      <c r="I178" s="2" t="n">
        <v>46212</v>
      </c>
      <c r="J178" t="inlineStr">
        <is>
          <t>Disetujui</t>
        </is>
      </c>
      <c r="K178" t="n">
        <v>30</v>
      </c>
      <c r="L178" t="inlineStr">
        <is>
          <t>9 Juli 2026</t>
        </is>
      </c>
      <c r="M178" t="inlineStr">
        <is>
          <t>Konstruksi Jaringan Irigasi dan Drainase</t>
        </is>
      </c>
      <c r="N178" t="inlineStr">
        <is>
          <t>K</t>
        </is>
      </c>
      <c r="O178" t="inlineStr">
        <is>
          <t>20230707</t>
        </is>
      </c>
      <c r="P178" t="inlineStr">
        <is>
          <t>Kalimantan Barat</t>
        </is>
      </c>
      <c r="Q178" t="inlineStr"/>
    </row>
    <row r="179">
      <c r="A179" t="inlineStr">
        <is>
          <t>TRIMAKO ABDI KONSULINDO</t>
        </is>
      </c>
      <c r="B179" t="inlineStr">
        <is>
          <t>Kota Makassar</t>
        </is>
      </c>
      <c r="C179" t="inlineStr">
        <is>
          <t>0411872692</t>
        </is>
      </c>
      <c r="D179" t="inlineStr">
        <is>
          <t>trimako_konsulindo@yahoo.com</t>
        </is>
      </c>
      <c r="E179" t="inlineStr">
        <is>
          <t>https://lpjk.pu.go.id/search-badan-usaha-detail/eWJNZWN5ZlduTU9NZzdnVmVjc0RlUT09</t>
        </is>
      </c>
      <c r="F179" t="n">
        <v>2</v>
      </c>
      <c r="G179" t="inlineStr">
        <is>
          <t>AR002, AR003</t>
        </is>
      </c>
      <c r="H179" t="inlineStr">
        <is>
          <t>7 Januari 2012</t>
        </is>
      </c>
      <c r="I179" s="2" t="n">
        <v>46212</v>
      </c>
      <c r="J179" t="inlineStr">
        <is>
          <t>Disetujui</t>
        </is>
      </c>
      <c r="K179" t="n">
        <v>30</v>
      </c>
      <c r="L179" t="inlineStr">
        <is>
          <t>9 Juli 2026</t>
        </is>
      </c>
      <c r="M179" t="inlineStr">
        <is>
          <t>Jasa Arsitektural Lainnya, Jasa Desain Interior pada Bangunan Gedung dan Bangunan Sipil</t>
        </is>
      </c>
      <c r="N179" t="inlineStr">
        <is>
          <t>K</t>
        </is>
      </c>
      <c r="O179" t="inlineStr">
        <is>
          <t>20230612</t>
        </is>
      </c>
      <c r="P179" t="inlineStr">
        <is>
          <t>Sulawesi Selatan</t>
        </is>
      </c>
      <c r="Q179" t="inlineStr"/>
    </row>
    <row r="180">
      <c r="A180" t="inlineStr">
        <is>
          <t>TRIMURTI PERKASA</t>
        </is>
      </c>
      <c r="B180" t="inlineStr">
        <is>
          <t>Kota Medan</t>
        </is>
      </c>
      <c r="C180" t="inlineStr">
        <is>
          <t>0618224928</t>
        </is>
      </c>
      <c r="D180" t="inlineStr">
        <is>
          <t>trimurti_perkasa@yahoo.com</t>
        </is>
      </c>
      <c r="E180" t="inlineStr">
        <is>
          <t>https://lpjk.pu.go.id/search-badan-usaha-detail/VkRiTFlnMHF6T1BQSVE4aUQwNWxDZz09</t>
        </is>
      </c>
      <c r="F180" t="n">
        <v>2</v>
      </c>
      <c r="G180" t="inlineStr">
        <is>
          <t>BS002</t>
        </is>
      </c>
      <c r="H180" t="inlineStr">
        <is>
          <t>26 Mei 2007</t>
        </is>
      </c>
      <c r="I180" s="2" t="n">
        <v>46212</v>
      </c>
      <c r="J180" t="inlineStr">
        <is>
          <t>Disetujui</t>
        </is>
      </c>
      <c r="K180" t="n">
        <v>30</v>
      </c>
      <c r="L180" t="inlineStr">
        <is>
          <t>9 Juli 2026</t>
        </is>
      </c>
      <c r="M180" t="inlineStr">
        <is>
          <t>Bangunan Sipil Jembatan, Jalan Layang, Fly Over, dan Underpass</t>
        </is>
      </c>
      <c r="N180" t="inlineStr">
        <is>
          <t>M</t>
        </is>
      </c>
      <c r="O180" t="inlineStr">
        <is>
          <t>20230630</t>
        </is>
      </c>
      <c r="P180" t="inlineStr">
        <is>
          <t>Sumatera Utara</t>
        </is>
      </c>
      <c r="Q180" t="inlineStr"/>
    </row>
    <row r="181">
      <c r="A181" t="inlineStr">
        <is>
          <t>TUAH RISIKI</t>
        </is>
      </c>
      <c r="B181" t="inlineStr">
        <is>
          <t>Kab. Sintang</t>
        </is>
      </c>
      <c r="C181" t="inlineStr">
        <is>
          <t>085252600604</t>
        </is>
      </c>
      <c r="D181" t="inlineStr">
        <is>
          <t>tuahrisiki@gmail.com</t>
        </is>
      </c>
      <c r="E181" t="inlineStr">
        <is>
          <t>https://lpjk.pu.go.id/search-badan-usaha-detail/ckJ5ZUsvL0NJYWp3UWY4YThzalhHdz09</t>
        </is>
      </c>
      <c r="F181" t="n">
        <v>1</v>
      </c>
      <c r="G181" t="inlineStr">
        <is>
          <t>PL005</t>
        </is>
      </c>
      <c r="H181" t="inlineStr">
        <is>
          <t>19 November 2019</t>
        </is>
      </c>
      <c r="I181" s="2" t="n">
        <v>46212</v>
      </c>
      <c r="J181" t="inlineStr">
        <is>
          <t>Pencabutan</t>
        </is>
      </c>
      <c r="K181" t="n">
        <v>30</v>
      </c>
      <c r="L181" t="inlineStr">
        <is>
          <t>9 Juli 2026</t>
        </is>
      </c>
      <c r="M181" t="inlineStr">
        <is>
          <t>Pembuatan/Pengeboran Sumur Air Tanah</t>
        </is>
      </c>
      <c r="N181" t="inlineStr">
        <is>
          <t>Spesialis</t>
        </is>
      </c>
      <c r="O181" t="inlineStr">
        <is>
          <t>20230709</t>
        </is>
      </c>
      <c r="P181" t="inlineStr">
        <is>
          <t>Kalimantan Barat</t>
        </is>
      </c>
      <c r="Q181" t="inlineStr"/>
    </row>
    <row r="182">
      <c r="A182" t="inlineStr">
        <is>
          <t>USAHA TERPADU UHAMKA</t>
        </is>
      </c>
      <c r="B182" t="inlineStr">
        <is>
          <t>Kota Adm. Jakarta Selatan</t>
        </is>
      </c>
      <c r="C182" t="inlineStr">
        <is>
          <t>081297970319</t>
        </is>
      </c>
      <c r="D182" t="inlineStr">
        <is>
          <t>pt.usahaterpadu.uhamka@gmail.com</t>
        </is>
      </c>
      <c r="E182" t="inlineStr">
        <is>
          <t>https://lpjk.pu.go.id/search-badan-usaha-detail/SjFyQTJaakthZkVGaG9KVjNVMmZnUT09</t>
        </is>
      </c>
      <c r="F182" t="n">
        <v>1</v>
      </c>
      <c r="G182" t="inlineStr">
        <is>
          <t>BG006</t>
        </is>
      </c>
      <c r="H182" t="inlineStr">
        <is>
          <t>11 Januari 2021</t>
        </is>
      </c>
      <c r="I182" s="2" t="n">
        <v>46212</v>
      </c>
      <c r="J182" t="inlineStr">
        <is>
          <t>Pencabutan</t>
        </is>
      </c>
      <c r="K182" t="n">
        <v>30</v>
      </c>
      <c r="L182" t="inlineStr">
        <is>
          <t>9 Juli 2026</t>
        </is>
      </c>
      <c r="M182" t="inlineStr">
        <is>
          <t>Konstruksi Gedung Pendidikan</t>
        </is>
      </c>
      <c r="N182" t="inlineStr">
        <is>
          <t>K</t>
        </is>
      </c>
      <c r="O182" t="inlineStr">
        <is>
          <t>20230612</t>
        </is>
      </c>
      <c r="P182" t="inlineStr">
        <is>
          <t>DKI Jakarta</t>
        </is>
      </c>
      <c r="Q182" t="inlineStr"/>
    </row>
    <row r="183">
      <c r="A183" t="inlineStr">
        <is>
          <t>WASTU UTAMA KARYA</t>
        </is>
      </c>
      <c r="B183" t="inlineStr">
        <is>
          <t>Kab. Ciamis</t>
        </is>
      </c>
      <c r="C183" t="inlineStr">
        <is>
          <t>085323869119</t>
        </is>
      </c>
      <c r="D183" t="inlineStr">
        <is>
          <t>wastuutama71@gmail.com</t>
        </is>
      </c>
      <c r="E183" t="inlineStr">
        <is>
          <t>https://lpjk.pu.go.id/search-badan-usaha-detail/L0ZzNG1KN2JMV3AzNEYyS0Z4bkt5QT09</t>
        </is>
      </c>
      <c r="F183" t="n">
        <v>1</v>
      </c>
      <c r="G183" t="inlineStr">
        <is>
          <t>RK001</t>
        </is>
      </c>
      <c r="H183" t="inlineStr">
        <is>
          <t>16 Januari 2020</t>
        </is>
      </c>
      <c r="I183" s="2" t="n">
        <v>46212</v>
      </c>
      <c r="J183" t="inlineStr">
        <is>
          <t>Disetujui</t>
        </is>
      </c>
      <c r="K183" t="n">
        <v>30</v>
      </c>
      <c r="L183" t="inlineStr">
        <is>
          <t>9 Juli 2026</t>
        </is>
      </c>
      <c r="M183" t="inlineStr">
        <is>
          <t>Jasa Rekayasa Konstruksi Bangunan Gedung Hunian dan Non Hunian</t>
        </is>
      </c>
      <c r="N183" t="inlineStr">
        <is>
          <t>K</t>
        </is>
      </c>
      <c r="O183" t="inlineStr">
        <is>
          <t>20230619</t>
        </is>
      </c>
      <c r="P183" t="inlineStr">
        <is>
          <t>Jawa Barat</t>
        </is>
      </c>
      <c r="Q183" t="inlineStr"/>
    </row>
    <row r="184">
      <c r="A184" t="inlineStr">
        <is>
          <t>WIJAYA KUSUMA KONTRAKTOR</t>
        </is>
      </c>
      <c r="B184" t="inlineStr">
        <is>
          <t>Kab. Kediri</t>
        </is>
      </c>
      <c r="C184" t="inlineStr">
        <is>
          <t>082330889553</t>
        </is>
      </c>
      <c r="D184" t="inlineStr">
        <is>
          <t>wijayakusumakontraktor@gmail.com</t>
        </is>
      </c>
      <c r="E184" t="inlineStr">
        <is>
          <t>https://lpjk.pu.go.id/search-badan-usaha-detail/QzE2ODhSSUttYVFQVGRpVk44dURLZz09</t>
        </is>
      </c>
      <c r="F184" t="n">
        <v>2</v>
      </c>
      <c r="G184" t="inlineStr">
        <is>
          <t>BG001</t>
        </is>
      </c>
      <c r="H184" t="inlineStr">
        <is>
          <t>29 Juni 2022</t>
        </is>
      </c>
      <c r="I184" s="2" t="n">
        <v>46212</v>
      </c>
      <c r="J184" t="inlineStr">
        <is>
          <t>Disetujui</t>
        </is>
      </c>
      <c r="K184" t="n">
        <v>30</v>
      </c>
      <c r="L184" t="inlineStr">
        <is>
          <t>9 Juli 2026</t>
        </is>
      </c>
      <c r="M184" t="inlineStr">
        <is>
          <t>Konstruksi Gedung Hunian</t>
        </is>
      </c>
      <c r="N184" t="inlineStr">
        <is>
          <t>K</t>
        </is>
      </c>
      <c r="O184" t="inlineStr">
        <is>
          <t>20230708</t>
        </is>
      </c>
      <c r="P184" t="inlineStr">
        <is>
          <t>Jawa Timur</t>
        </is>
      </c>
      <c r="Q184" t="inlineStr"/>
    </row>
    <row r="185">
      <c r="A185" t="inlineStr">
        <is>
          <t>YUDI KARYA</t>
        </is>
      </c>
      <c r="B185" t="inlineStr">
        <is>
          <t>Kab. Belitung Timur</t>
        </is>
      </c>
      <c r="C185" t="inlineStr">
        <is>
          <t>08194844053</t>
        </is>
      </c>
      <c r="D185" t="inlineStr">
        <is>
          <t>cvyudikarya7@gmail.com</t>
        </is>
      </c>
      <c r="E185" t="inlineStr">
        <is>
          <t>https://lpjk.pu.go.id/search-badan-usaha-detail/djltMTdzQmVNL21NZUhwanhYcFVKZz09</t>
        </is>
      </c>
      <c r="F185" t="n">
        <v>1</v>
      </c>
      <c r="G185" t="inlineStr">
        <is>
          <t>BG002</t>
        </is>
      </c>
      <c r="H185" t="inlineStr">
        <is>
          <t>28 Januari 2014</t>
        </is>
      </c>
      <c r="I185" s="2" t="n">
        <v>46212</v>
      </c>
      <c r="J185" t="inlineStr">
        <is>
          <t>Disetujui</t>
        </is>
      </c>
      <c r="K185" t="n">
        <v>30</v>
      </c>
      <c r="L185" t="inlineStr">
        <is>
          <t>9 Juli 2026</t>
        </is>
      </c>
      <c r="M185" t="inlineStr">
        <is>
          <t>Konstruksi Gedung Perkantoran</t>
        </is>
      </c>
      <c r="N185" t="inlineStr">
        <is>
          <t>K</t>
        </is>
      </c>
      <c r="O185" t="inlineStr">
        <is>
          <t>20230625</t>
        </is>
      </c>
      <c r="P185" t="inlineStr">
        <is>
          <t>Kepulauan Bangka Belitung</t>
        </is>
      </c>
      <c r="Q1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2026-06-09T02:28:37Z</dcterms:created>
  <dcterms:modified xsi:type="dcterms:W3CDTF">2026-06-09T02:28:37Z</dcterms:modified>
</cp:coreProperties>
</file>