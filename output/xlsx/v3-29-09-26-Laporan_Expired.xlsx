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cols>
    <col width="17" customWidth="1" min="1" max="1"/>
    <col width="16" customWidth="1" min="2" max="2"/>
    <col width="9" customWidth="1" min="3" max="3"/>
    <col width="7" customWidth="1" min="4" max="4"/>
    <col width="6" customWidth="1" min="5" max="5"/>
    <col width="18" customWidth="1" min="6" max="6"/>
    <col width="21" customWidth="1" min="7" max="7"/>
    <col width="20" customWidth="1" min="8" max="8"/>
    <col width="28" customWidth="1" min="9" max="9"/>
    <col width="8" customWidth="1" min="10" max="10"/>
    <col width="11" customWidth="1" min="11" max="11"/>
    <col width="17" customWidth="1" min="12" max="12"/>
    <col width="16" customWidth="1" min="13" max="13"/>
    <col width="13" customWidth="1" min="14" max="14"/>
    <col width="19" customWidth="1" min="15" max="15"/>
    <col width="10"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9"/>
  <sheetViews>
    <sheetView workbookViewId="0">
      <selection activeCell="A1" sqref="A1"/>
    </sheetView>
  </sheetViews>
  <sheetFormatPr baseColWidth="8" defaultRowHeight="15"/>
  <cols>
    <col width="30" customWidth="1" min="1" max="1"/>
    <col width="27" customWidth="1" min="2" max="2"/>
    <col width="15" customWidth="1" min="3" max="3"/>
    <col width="39"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5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INDOHEXA CIPTA KREASI</t>
        </is>
      </c>
      <c r="B2" t="inlineStr">
        <is>
          <t>Kota Bekasi</t>
        </is>
      </c>
      <c r="C2" t="inlineStr">
        <is>
          <t>081380008431</t>
        </is>
      </c>
      <c r="D2" t="inlineStr">
        <is>
          <t>indohexa.cipta.kreasi@gmail.com</t>
        </is>
      </c>
      <c r="E2" t="inlineStr">
        <is>
          <t>https://lpjk.pu.go.id/search-badan-usaha-detail/ZXJaWllDVGZFRG5tYkptdW9HbE5zdz09</t>
        </is>
      </c>
      <c r="F2" t="n">
        <v>2</v>
      </c>
      <c r="G2" t="inlineStr">
        <is>
          <t>PB004</t>
        </is>
      </c>
      <c r="H2" t="inlineStr">
        <is>
          <t>20 Maret 2020</t>
        </is>
      </c>
      <c r="I2" s="2" t="n">
        <v>46354</v>
      </c>
      <c r="J2" t="inlineStr">
        <is>
          <t>Pembekuan</t>
        </is>
      </c>
      <c r="K2" t="n">
        <v>60</v>
      </c>
      <c r="L2" t="inlineStr">
        <is>
          <t>28 November 2026</t>
        </is>
      </c>
      <c r="M2" t="inlineStr">
        <is>
          <t>Dekorasi Interior</t>
        </is>
      </c>
      <c r="N2" t="inlineStr">
        <is>
          <t>Spesialis</t>
        </is>
      </c>
      <c r="O2" t="inlineStr">
        <is>
          <t>20231128</t>
        </is>
      </c>
      <c r="P2" t="inlineStr">
        <is>
          <t>Jawa Barat</t>
        </is>
      </c>
      <c r="Q2" s="3">
        <f>HYPERLINK("https://wa.me/6281380008431?text=*[PENGINGAT MASA BERLAKU SBU INDOHEXA CIPTA KREASI]*%0A%0AYth. Pimpinan INDOHEXA CIPTA KREASI,%0AMohon izin menginformasikan status SBU Anda di sistem LPJK:%0A%0A📄 SBU: PB004%0A📅 Expired: 28 November 2026 (60 Hari Lagi)%0A%0AKami tim PT. ESDEA Assistance Management siap men-support proses perpanjangan segera agar administrasi proyek tidak terhambat%0A%0AApakah boleh saya bantu siapkan estimasi biaya dan waktu pengerjaannya?.", "Hubungi")</f>
        <v/>
      </c>
    </row>
    <row r="3">
      <c r="A3" t="inlineStr">
        <is>
          <t>KARYA PUTRA KANBES</t>
        </is>
      </c>
      <c r="B3" t="inlineStr">
        <is>
          <t>Kota Bekasi</t>
        </is>
      </c>
      <c r="C3" t="inlineStr">
        <is>
          <t>085711871434</t>
        </is>
      </c>
      <c r="D3" t="inlineStr">
        <is>
          <t>karyaputrakanbes@gmail.com</t>
        </is>
      </c>
      <c r="E3" t="inlineStr">
        <is>
          <t>https://lpjk.pu.go.id/search-badan-usaha-detail/REZVTkxScUJmRGhJYlVUMmp5VTFHQT09</t>
        </is>
      </c>
      <c r="F3" t="n">
        <v>1</v>
      </c>
      <c r="G3" t="inlineStr">
        <is>
          <t>BG002</t>
        </is>
      </c>
      <c r="H3" t="inlineStr">
        <is>
          <t>18 Agustus 2023</t>
        </is>
      </c>
      <c r="I3" s="2" t="n">
        <v>46354</v>
      </c>
      <c r="J3" t="inlineStr">
        <is>
          <t>Disetujui</t>
        </is>
      </c>
      <c r="K3" t="n">
        <v>60</v>
      </c>
      <c r="L3" t="inlineStr">
        <is>
          <t>28 November 2026</t>
        </is>
      </c>
      <c r="M3" t="inlineStr">
        <is>
          <t>Konstruksi Gedung Perkantoran</t>
        </is>
      </c>
      <c r="N3" t="inlineStr">
        <is>
          <t>K</t>
        </is>
      </c>
      <c r="O3" t="inlineStr">
        <is>
          <t>20231128</t>
        </is>
      </c>
      <c r="P3" t="inlineStr">
        <is>
          <t>Jawa Barat</t>
        </is>
      </c>
      <c r="Q3" s="3">
        <f>HYPERLINK("https://wa.me/6285711871434?text=*[PENGINGAT MASA BERLAKU SBU KARYA PUTRA KANBES]*%0A%0AYth. Pimpinan KARYA PUTRA KANBES,%0AMohon izin menginformasikan status SBU Anda di sistem LPJK:%0A%0A📄 SBU: BG002%0A📅 Expired: 28 November 2026 (60 Hari Lagi)%0A%0AKami tim PT. ESDEA Assistance Management siap men-support proses perpanjangan segera agar administrasi proyek tidak terhambat%0A%0AApakah boleh saya bantu siapkan estimasi biaya dan waktu pengerjaannya?.", "Hubungi")</f>
        <v/>
      </c>
    </row>
    <row r="4">
      <c r="A4" t="inlineStr">
        <is>
          <t>KARYA UNO MANDIRI</t>
        </is>
      </c>
      <c r="B4" t="inlineStr">
        <is>
          <t>Kab. Bogor</t>
        </is>
      </c>
      <c r="C4" t="inlineStr">
        <is>
          <t>082122681299</t>
        </is>
      </c>
      <c r="D4" t="inlineStr">
        <is>
          <t>cvkaryauno01@gmail.com</t>
        </is>
      </c>
      <c r="E4" t="inlineStr">
        <is>
          <t>https://lpjk.pu.go.id/search-badan-usaha-detail/aGhGRHpDUVluRGFlb3M0Y0N6UC9VQT09</t>
        </is>
      </c>
      <c r="F4" t="n">
        <v>4</v>
      </c>
      <c r="G4" t="inlineStr">
        <is>
          <t>BG005, BG006, BG009, BS001</t>
        </is>
      </c>
      <c r="H4" t="inlineStr">
        <is>
          <t>31 Januari 2020</t>
        </is>
      </c>
      <c r="I4" s="2" t="n">
        <v>46354</v>
      </c>
      <c r="J4" t="inlineStr">
        <is>
          <t>Pencabutan</t>
        </is>
      </c>
      <c r="K4" t="n">
        <v>60</v>
      </c>
      <c r="L4" t="inlineStr">
        <is>
          <t>28 November 2026</t>
        </is>
      </c>
      <c r="M4" t="inlineStr">
        <is>
          <t>Konstruksi Bangunan Sipil Jalan, Konstruksi Gedung Kesehatan, Konstruksi Gedung Lainnya, Konstruksi Gedung Pendidikan</t>
        </is>
      </c>
      <c r="N4" t="inlineStr">
        <is>
          <t>K</t>
        </is>
      </c>
      <c r="O4" t="inlineStr">
        <is>
          <t>20231127</t>
        </is>
      </c>
      <c r="P4" t="inlineStr">
        <is>
          <t>Jawa Barat</t>
        </is>
      </c>
      <c r="Q4" s="3">
        <f>HYPERLINK("https://wa.me/6282122681299?text=*[PENGINGAT MASA BERLAKU SBU KARYA UNO MANDIRI]*%0A%0AYth. Pimpinan KARYA UNO MANDIRI,%0AMohon izin menginformasikan status SBU Anda di sistem LPJK:%0A%0A📄 SBU: BG005, BG006, BG009, BS001%0A📅 Expired: 28 November 2026 (60 Hari Lagi)%0A%0AKami tim PT. ESDEA Assistance Management siap men-support proses perpanjangan segera agar administrasi proyek tidak terhambat%0A%0AApakah boleh saya bantu siapkan estimasi biaya dan waktu pengerjaannya?.", "Hubungi")</f>
        <v/>
      </c>
    </row>
    <row r="5">
      <c r="A5" t="inlineStr">
        <is>
          <t>KAUSA SINERGI SEJAHTERA</t>
        </is>
      </c>
      <c r="B5" t="inlineStr">
        <is>
          <t>Kota Bekasi</t>
        </is>
      </c>
      <c r="C5" t="inlineStr">
        <is>
          <t>02182636387</t>
        </is>
      </c>
      <c r="D5" t="inlineStr">
        <is>
          <t>kausasinergisejahtera@gmail.com</t>
        </is>
      </c>
      <c r="E5" t="inlineStr">
        <is>
          <t>https://lpjk.pu.go.id/search-badan-usaha-detail/c2dUVUZtQXZxTHZEQitXQURDbzA0Zz09</t>
        </is>
      </c>
      <c r="F5" t="n">
        <v>1</v>
      </c>
      <c r="G5" t="inlineStr">
        <is>
          <t>BG002</t>
        </is>
      </c>
      <c r="H5" t="inlineStr">
        <is>
          <t>3 November 2022</t>
        </is>
      </c>
      <c r="I5" s="2" t="n">
        <v>46354</v>
      </c>
      <c r="J5" t="inlineStr">
        <is>
          <t>Disetujui</t>
        </is>
      </c>
      <c r="K5" t="n">
        <v>60</v>
      </c>
      <c r="L5" t="inlineStr">
        <is>
          <t>28 November 2026</t>
        </is>
      </c>
      <c r="M5" t="inlineStr">
        <is>
          <t>Konstruksi Gedung Perkantoran</t>
        </is>
      </c>
      <c r="N5" t="inlineStr">
        <is>
          <t>K</t>
        </is>
      </c>
      <c r="O5" t="inlineStr">
        <is>
          <t>20231123</t>
        </is>
      </c>
      <c r="P5" t="inlineStr">
        <is>
          <t>Jawa Barat</t>
        </is>
      </c>
      <c r="Q5" t="inlineStr"/>
    </row>
    <row r="6">
      <c r="A6" t="inlineStr">
        <is>
          <t>KLAPANUNGGAL PERMATA ENERGI</t>
        </is>
      </c>
      <c r="B6" t="inlineStr">
        <is>
          <t>Kab. Bogor</t>
        </is>
      </c>
      <c r="C6" t="inlineStr">
        <is>
          <t>02122886170</t>
        </is>
      </c>
      <c r="D6" t="inlineStr">
        <is>
          <t>ptklapanunggalpermataenergi@gmail.com</t>
        </is>
      </c>
      <c r="E6" t="inlineStr">
        <is>
          <t>https://lpjk.pu.go.id/search-badan-usaha-detail/MCtpMG5HWkNiOEcvQlJkTGgrZmxsUT09</t>
        </is>
      </c>
      <c r="F6" t="n">
        <v>1</v>
      </c>
      <c r="G6" t="inlineStr">
        <is>
          <t>BG009</t>
        </is>
      </c>
      <c r="H6" t="inlineStr">
        <is>
          <t>11 September 2013</t>
        </is>
      </c>
      <c r="I6" s="2" t="n">
        <v>46354</v>
      </c>
      <c r="J6" t="inlineStr">
        <is>
          <t>Disetujui</t>
        </is>
      </c>
      <c r="K6" t="n">
        <v>60</v>
      </c>
      <c r="L6" t="inlineStr">
        <is>
          <t>28 November 2026</t>
        </is>
      </c>
      <c r="M6" t="inlineStr">
        <is>
          <t>Konstruksi Gedung Lainnya</t>
        </is>
      </c>
      <c r="N6" t="inlineStr">
        <is>
          <t>K</t>
        </is>
      </c>
      <c r="O6" t="inlineStr">
        <is>
          <t>20231123</t>
        </is>
      </c>
      <c r="P6" t="inlineStr">
        <is>
          <t>Jawa Barat</t>
        </is>
      </c>
      <c r="Q6" t="inlineStr"/>
    </row>
    <row r="7">
      <c r="A7" t="inlineStr">
        <is>
          <t>NIAGATUJUH PRATAMA</t>
        </is>
      </c>
      <c r="B7" t="inlineStr">
        <is>
          <t>Kota Bekasi</t>
        </is>
      </c>
      <c r="C7" t="inlineStr">
        <is>
          <t>000</t>
        </is>
      </c>
      <c r="D7" t="inlineStr">
        <is>
          <t>pt.niagatujuhpratama@gmail.com</t>
        </is>
      </c>
      <c r="E7" t="inlineStr">
        <is>
          <t>https://lpjk.pu.go.id/search-badan-usaha-detail/azE2b29VcHZXcGlmanVzY3JFSTg3Zz09</t>
        </is>
      </c>
      <c r="F7" t="n">
        <v>2</v>
      </c>
      <c r="G7" t="inlineStr">
        <is>
          <t>BG001</t>
        </is>
      </c>
      <c r="H7" t="inlineStr">
        <is>
          <t>23 November 2023</t>
        </is>
      </c>
      <c r="I7" s="2" t="n">
        <v>46354</v>
      </c>
      <c r="J7" t="inlineStr">
        <is>
          <t>Pencabutan</t>
        </is>
      </c>
      <c r="K7" t="n">
        <v>60</v>
      </c>
      <c r="L7" t="inlineStr">
        <is>
          <t>28 November 2026</t>
        </is>
      </c>
      <c r="M7" t="inlineStr">
        <is>
          <t>Konstruksi Gedung Hunian</t>
        </is>
      </c>
      <c r="N7" t="inlineStr">
        <is>
          <t>K</t>
        </is>
      </c>
      <c r="O7" t="inlineStr">
        <is>
          <t>20231128</t>
        </is>
      </c>
      <c r="P7" t="inlineStr">
        <is>
          <t>Jawa Barat</t>
        </is>
      </c>
      <c r="Q7" s="3">
        <f>HYPERLINK("https://wa.me/6200?text=*[PENGINGAT MASA BERLAKU SBU NIAGATUJUH PRATAMA]*%0A%0AYth. Pimpinan NIAGATUJUH PRATAMA,%0AMohon izin menginformasikan status SBU Anda di sistem LPJK:%0A%0A📄 SBU: BG001%0A📅 Expired: 28 November 2026 (60 Hari Lagi)%0A%0AKami tim PT. ESDEA Assistance Management siap men-support proses perpanjangan segera agar administrasi proyek tidak terhambat%0A%0AApakah boleh saya bantu siapkan estimasi biaya dan waktu pengerjaannya?.", "Hubungi")</f>
        <v/>
      </c>
    </row>
    <row r="8">
      <c r="A8" t="inlineStr">
        <is>
          <t>NUSA WARNA PERSADA</t>
        </is>
      </c>
      <c r="B8" t="inlineStr">
        <is>
          <t>Kab. Bekasi</t>
        </is>
      </c>
      <c r="C8" t="inlineStr">
        <is>
          <t>082312592920</t>
        </is>
      </c>
      <c r="D8" t="inlineStr">
        <is>
          <t>nusawarnapersada@gmail.com</t>
        </is>
      </c>
      <c r="E8" t="inlineStr">
        <is>
          <t>https://lpjk.pu.go.id/search-badan-usaha-detail/eGZzUitRM0Z0M211Y0tUWnNxYzlyQT09</t>
        </is>
      </c>
      <c r="F8" t="n">
        <v>1</v>
      </c>
      <c r="G8" t="inlineStr">
        <is>
          <t>BS001</t>
        </is>
      </c>
      <c r="H8" t="inlineStr">
        <is>
          <t>15 Agustus 2023</t>
        </is>
      </c>
      <c r="I8" s="2" t="n">
        <v>46354</v>
      </c>
      <c r="J8" t="inlineStr">
        <is>
          <t>Disetujui</t>
        </is>
      </c>
      <c r="K8" t="n">
        <v>60</v>
      </c>
      <c r="L8" t="inlineStr">
        <is>
          <t>28 November 2026</t>
        </is>
      </c>
      <c r="M8" t="inlineStr">
        <is>
          <t>Konstruksi Bangunan Sipil Jalan</t>
        </is>
      </c>
      <c r="N8" t="inlineStr">
        <is>
          <t>K</t>
        </is>
      </c>
      <c r="O8" t="inlineStr">
        <is>
          <t>20231103</t>
        </is>
      </c>
      <c r="P8" t="inlineStr">
        <is>
          <t>Jawa Barat</t>
        </is>
      </c>
      <c r="Q8" s="3">
        <f>HYPERLINK("https://wa.me/6282312592920?text=*[PENGINGAT MASA BERLAKU SBU NUSA WARNA PERSADA]*%0A%0AYth. Pimpinan NUSA WARNA PERSADA,%0AMohon izin menginformasikan status SBU Anda di sistem LPJK:%0A%0A📄 SBU: BS001%0A📅 Expired: 28 November 2026 (60 Hari Lagi)%0A%0AKami tim PT. ESDEA Assistance Management siap men-support proses perpanjangan segera agar administrasi proyek tidak terhambat%0A%0AApakah boleh saya bantu siapkan estimasi biaya dan waktu pengerjaannya?.", "Hubungi")</f>
        <v/>
      </c>
    </row>
    <row r="9">
      <c r="A9" t="inlineStr">
        <is>
          <t>PRIMA GUNA REKSA</t>
        </is>
      </c>
      <c r="B9" t="inlineStr">
        <is>
          <t>Kab. Bekasi</t>
        </is>
      </c>
      <c r="C9" t="inlineStr">
        <is>
          <t>087779048279</t>
        </is>
      </c>
      <c r="D9" t="inlineStr">
        <is>
          <t>cv.primagunareksa@yahoo.com</t>
        </is>
      </c>
      <c r="E9" t="inlineStr">
        <is>
          <t>https://lpjk.pu.go.id/search-badan-usaha-detail/aFgyZGdpcTdabWswN0FDUnh4bXYzQT09</t>
        </is>
      </c>
      <c r="F9" t="n">
        <v>1</v>
      </c>
      <c r="G9" t="inlineStr">
        <is>
          <t>BS001</t>
        </is>
      </c>
      <c r="H9" t="inlineStr">
        <is>
          <t>24 Desember 2014</t>
        </is>
      </c>
      <c r="I9" s="2" t="n">
        <v>46354</v>
      </c>
      <c r="J9" t="inlineStr">
        <is>
          <t>Disetujui</t>
        </is>
      </c>
      <c r="K9" t="n">
        <v>60</v>
      </c>
      <c r="L9" t="inlineStr">
        <is>
          <t>28 November 2026</t>
        </is>
      </c>
      <c r="M9" t="inlineStr">
        <is>
          <t>Konstruksi Bangunan Sipil Jalan</t>
        </is>
      </c>
      <c r="N9" t="inlineStr">
        <is>
          <t>K</t>
        </is>
      </c>
      <c r="O9" t="inlineStr">
        <is>
          <t>20231103</t>
        </is>
      </c>
      <c r="P9" t="inlineStr">
        <is>
          <t>Jawa Barat</t>
        </is>
      </c>
      <c r="Q9" s="3">
        <f>HYPERLINK("https://wa.me/6287779048279?text=*[PENGINGAT MASA BERLAKU SBU PRIMA GUNA REKSA]*%0A%0AYth. Pimpinan PRIMA GUNA REKSA,%0AMohon izin menginformasikan status SBU Anda di sistem LPJK:%0A%0A📄 SBU: BS001%0A📅 Expired: 28 November 2026 (60 Hari Lagi)%0A%0AKami tim PT. ESDEA Assistance Management siap men-support proses perpanjangan segera agar administrasi proyek tidak terhambat%0A%0AApakah boleh saya bantu siapkan estimasi biaya dan waktu pengerjaannya?.", "Hubungi")</f>
        <v/>
      </c>
    </row>
    <row r="10">
      <c r="A10" t="inlineStr">
        <is>
          <t>PRIMA UNGGUL PERSADA</t>
        </is>
      </c>
      <c r="B10" t="inlineStr">
        <is>
          <t>Kab. Bekasi</t>
        </is>
      </c>
      <c r="C10" t="inlineStr">
        <is>
          <t>02188374701</t>
        </is>
      </c>
      <c r="D10" t="inlineStr">
        <is>
          <t>divisihrdpup@gmail.com</t>
        </is>
      </c>
      <c r="E10" t="inlineStr">
        <is>
          <t>https://lpjk.pu.go.id/search-badan-usaha-detail/eWQwOG9qcTJvRjd0ZGMwbkJIMEs3dz09</t>
        </is>
      </c>
      <c r="F10" t="n">
        <v>1</v>
      </c>
      <c r="G10" t="inlineStr">
        <is>
          <t>BG002</t>
        </is>
      </c>
      <c r="H10" t="inlineStr">
        <is>
          <t>28 November 2000</t>
        </is>
      </c>
      <c r="I10" s="2" t="n">
        <v>46354</v>
      </c>
      <c r="J10" t="inlineStr">
        <is>
          <t>Disetujui</t>
        </is>
      </c>
      <c r="K10" t="n">
        <v>60</v>
      </c>
      <c r="L10" t="inlineStr">
        <is>
          <t>28 November 2026</t>
        </is>
      </c>
      <c r="M10" t="inlineStr">
        <is>
          <t>Konstruksi Gedung Perkantoran</t>
        </is>
      </c>
      <c r="N10" t="inlineStr">
        <is>
          <t>M</t>
        </is>
      </c>
      <c r="O10" t="inlineStr">
        <is>
          <t>20231128</t>
        </is>
      </c>
      <c r="P10" t="inlineStr">
        <is>
          <t>Jawa Barat</t>
        </is>
      </c>
      <c r="Q10" t="inlineStr"/>
    </row>
    <row r="11">
      <c r="A11" t="inlineStr">
        <is>
          <t>SIFA JAYA LESTARI</t>
        </is>
      </c>
      <c r="B11" t="inlineStr">
        <is>
          <t>Kota Bekasi</t>
        </is>
      </c>
      <c r="C11" t="inlineStr">
        <is>
          <t>081395743631</t>
        </is>
      </c>
      <c r="D11" t="inlineStr">
        <is>
          <t>sifajayalestari@gmail.com</t>
        </is>
      </c>
      <c r="E11" t="inlineStr">
        <is>
          <t>https://lpjk.pu.go.id/search-badan-usaha-detail/RGFZbGU0OFBaK3l0WDB0TlN1RCsyZz09</t>
        </is>
      </c>
      <c r="F11" t="n">
        <v>3</v>
      </c>
      <c r="G11" t="inlineStr">
        <is>
          <t>BG005, BG006, BG009</t>
        </is>
      </c>
      <c r="H11" t="inlineStr">
        <is>
          <t>23 Agustus 2023</t>
        </is>
      </c>
      <c r="I11" s="2" t="n">
        <v>46354</v>
      </c>
      <c r="J11" t="inlineStr">
        <is>
          <t>Disetujui</t>
        </is>
      </c>
      <c r="K11" t="n">
        <v>60</v>
      </c>
      <c r="L11" t="inlineStr">
        <is>
          <t>28 November 2026</t>
        </is>
      </c>
      <c r="M11" t="inlineStr">
        <is>
          <t>Konstruksi Gedung Kesehatan, Konstruksi Gedung Lainnya, Konstruksi Gedung Pendidikan</t>
        </is>
      </c>
      <c r="N11" t="inlineStr">
        <is>
          <t>K</t>
        </is>
      </c>
      <c r="O11" t="inlineStr">
        <is>
          <t>20231123, 20231130</t>
        </is>
      </c>
      <c r="P11" t="inlineStr">
        <is>
          <t>Jawa Barat</t>
        </is>
      </c>
      <c r="Q11" s="3">
        <f>HYPERLINK("https://wa.me/6281395743631?text=*[PENGINGAT MASA BERLAKU SBU SIFA JAYA LESTARI]*%0A%0AYth. Pimpinan SIFA JAYA LESTARI,%0AMohon izin menginformasikan status SBU Anda di sistem LPJK:%0A%0A📄 SBU: BG005, BG006, BG009%0A📅 Expired: 28 November 2026 (60 Hari Lagi)%0A%0AKami tim PT. ESDEA Assistance Management siap men-support proses perpanjangan segera agar administrasi proyek tidak terhambat%0A%0AApakah boleh saya bantu siapkan estimasi biaya dan waktu pengerjaannya?.", "Hubungi")</f>
        <v/>
      </c>
    </row>
    <row r="12">
      <c r="A12" t="inlineStr">
        <is>
          <t>ADARO</t>
        </is>
      </c>
      <c r="B12" t="inlineStr">
        <is>
          <t>Kota Lubuk Linggau</t>
        </is>
      </c>
      <c r="C12" t="inlineStr">
        <is>
          <t>081373281727</t>
        </is>
      </c>
      <c r="D12" t="inlineStr">
        <is>
          <t>cvadarollg@gmail.com</t>
        </is>
      </c>
      <c r="E12" t="inlineStr">
        <is>
          <t>https://lpjk.pu.go.id/search-badan-usaha-detail/YmVFRjZiSitNRTA3TDRMT0R0dzc2UT09</t>
        </is>
      </c>
      <c r="F12" t="n">
        <v>1</v>
      </c>
      <c r="G12" t="inlineStr">
        <is>
          <t>BS001</t>
        </is>
      </c>
      <c r="H12" t="inlineStr">
        <is>
          <t>18 Juni 2009</t>
        </is>
      </c>
      <c r="I12" s="2" t="n">
        <v>46354</v>
      </c>
      <c r="J12" t="inlineStr">
        <is>
          <t>Disetujui</t>
        </is>
      </c>
      <c r="K12" t="n">
        <v>60</v>
      </c>
      <c r="L12" t="inlineStr">
        <is>
          <t>28 November 2026</t>
        </is>
      </c>
      <c r="M12" t="inlineStr">
        <is>
          <t>Konstruksi Bangunan Sipil Jalan</t>
        </is>
      </c>
      <c r="N12" t="inlineStr">
        <is>
          <t>K</t>
        </is>
      </c>
      <c r="O12" t="inlineStr">
        <is>
          <t>20231128</t>
        </is>
      </c>
      <c r="P12" t="inlineStr">
        <is>
          <t>Sumatera Selatan</t>
        </is>
      </c>
      <c r="Q12" t="inlineStr"/>
    </row>
    <row r="13">
      <c r="A13" t="inlineStr">
        <is>
          <t>ALIF SAPUTRA</t>
        </is>
      </c>
      <c r="B13" t="inlineStr">
        <is>
          <t>Kab. Bondowoso</t>
        </is>
      </c>
      <c r="C13" t="inlineStr">
        <is>
          <t>082325606970</t>
        </is>
      </c>
      <c r="D13" t="inlineStr">
        <is>
          <t>cvalifsaputra@gmail.com</t>
        </is>
      </c>
      <c r="E13" t="inlineStr">
        <is>
          <t>https://lpjk.pu.go.id/search-badan-usaha-detail/aFdPMFdScEZyQjVJMGR3bUtoSlk1QT09</t>
        </is>
      </c>
      <c r="F13" t="n">
        <v>1</v>
      </c>
      <c r="G13" t="inlineStr">
        <is>
          <t>BS001</t>
        </is>
      </c>
      <c r="H13" t="inlineStr">
        <is>
          <t>22 Desember 2015</t>
        </is>
      </c>
      <c r="I13" s="2" t="n">
        <v>46354</v>
      </c>
      <c r="J13" t="inlineStr">
        <is>
          <t>Disetujui</t>
        </is>
      </c>
      <c r="K13" t="n">
        <v>60</v>
      </c>
      <c r="L13" t="inlineStr">
        <is>
          <t>28 November 2026</t>
        </is>
      </c>
      <c r="M13" t="inlineStr">
        <is>
          <t>Konstruksi Bangunan Sipil Jalan</t>
        </is>
      </c>
      <c r="N13" t="inlineStr">
        <is>
          <t>K</t>
        </is>
      </c>
      <c r="O13" t="inlineStr">
        <is>
          <t>20231127</t>
        </is>
      </c>
      <c r="P13" t="inlineStr">
        <is>
          <t>Jawa Timur</t>
        </is>
      </c>
      <c r="Q13" t="inlineStr"/>
    </row>
    <row r="14">
      <c r="A14" t="inlineStr">
        <is>
          <t>ALMA CIPTA SEJAHTERA</t>
        </is>
      </c>
      <c r="B14" t="inlineStr">
        <is>
          <t>Kota Adm. Jakarta Selatan</t>
        </is>
      </c>
      <c r="C14" t="inlineStr">
        <is>
          <t>02183708292</t>
        </is>
      </c>
      <c r="D14" t="inlineStr">
        <is>
          <t>alma_cipta.sejahtera@yahoo.co.id</t>
        </is>
      </c>
      <c r="E14" t="inlineStr">
        <is>
          <t>https://lpjk.pu.go.id/search-badan-usaha-detail/R0JHWlcwc2V0UzhaRWIrM0g0dEhmUT09</t>
        </is>
      </c>
      <c r="F14" t="n">
        <v>2</v>
      </c>
      <c r="G14" t="inlineStr">
        <is>
          <t>IN001, IN008</t>
        </is>
      </c>
      <c r="H14" t="inlineStr">
        <is>
          <t>11 Januari 1983</t>
        </is>
      </c>
      <c r="I14" s="2" t="n">
        <v>46354</v>
      </c>
      <c r="J14" t="inlineStr">
        <is>
          <t>Pembekuan</t>
        </is>
      </c>
      <c r="K14" t="n">
        <v>60</v>
      </c>
      <c r="L14" t="inlineStr">
        <is>
          <t>28 November 2026</t>
        </is>
      </c>
      <c r="M14" t="inlineStr">
        <is>
          <t>Instalasi Mekanikal, Instalasi Pendingin Dan Ventilasi Udara</t>
        </is>
      </c>
      <c r="N14" t="inlineStr">
        <is>
          <t>Spesialis</t>
        </is>
      </c>
      <c r="O14" t="inlineStr">
        <is>
          <t>20231127</t>
        </is>
      </c>
      <c r="P14" t="inlineStr">
        <is>
          <t>DKI Jakarta</t>
        </is>
      </c>
      <c r="Q14" t="inlineStr"/>
    </row>
    <row r="15">
      <c r="A15" t="inlineStr">
        <is>
          <t>ANDALAN TIGA KAWAN</t>
        </is>
      </c>
      <c r="B15" t="inlineStr">
        <is>
          <t>Kota Padang</t>
        </is>
      </c>
      <c r="C15" t="inlineStr">
        <is>
          <t>0811666889</t>
        </is>
      </c>
      <c r="D15" t="inlineStr">
        <is>
          <t>andalantigakawan@gmail.com</t>
        </is>
      </c>
      <c r="E15" t="inlineStr">
        <is>
          <t>https://lpjk.pu.go.id/search-badan-usaha-detail/ZmRaNXNVZzN0cXZTSWFMQXVGbVNOZz09</t>
        </is>
      </c>
      <c r="F15" t="n">
        <v>2</v>
      </c>
      <c r="G15" t="inlineStr">
        <is>
          <t>BS004, BS010</t>
        </is>
      </c>
      <c r="H15" t="inlineStr">
        <is>
          <t>28 Februari 2023</t>
        </is>
      </c>
      <c r="I15" s="2" t="n">
        <v>46354</v>
      </c>
      <c r="J15" t="inlineStr">
        <is>
          <t>Disetujui</t>
        </is>
      </c>
      <c r="K15" t="n">
        <v>60</v>
      </c>
      <c r="L15" t="inlineStr">
        <is>
          <t>28 November 2026</t>
        </is>
      </c>
      <c r="M15" t="inlineStr">
        <is>
          <t>Konstruksi Bangunan Prasarana Sumber Daya Air, Konstruksi Jaringan Irigasi dan Drainase</t>
        </is>
      </c>
      <c r="N15" t="inlineStr">
        <is>
          <t>K</t>
        </is>
      </c>
      <c r="O15" t="inlineStr">
        <is>
          <t>20231124</t>
        </is>
      </c>
      <c r="P15" t="inlineStr">
        <is>
          <t>Sumatera Barat</t>
        </is>
      </c>
      <c r="Q15" t="inlineStr"/>
    </row>
    <row r="16">
      <c r="A16" t="inlineStr">
        <is>
          <t>ANEKA JASA TEKNIK GRESIK</t>
        </is>
      </c>
      <c r="B16" t="inlineStr">
        <is>
          <t>Kab. Gresik</t>
        </is>
      </c>
      <c r="C16" t="inlineStr">
        <is>
          <t>081330784277</t>
        </is>
      </c>
      <c r="D16" t="inlineStr">
        <is>
          <t>anekajasateknik_g@yahoo.com</t>
        </is>
      </c>
      <c r="E16" t="inlineStr">
        <is>
          <t>https://lpjk.pu.go.id/search-badan-usaha-detail/YXB3WEJFUkJUT2prbnZzWFZoM1IrZz09</t>
        </is>
      </c>
      <c r="F16" t="n">
        <v>1</v>
      </c>
      <c r="G16" t="inlineStr">
        <is>
          <t>IN003</t>
        </is>
      </c>
      <c r="H16" t="inlineStr">
        <is>
          <t>16 Januari 2020</t>
        </is>
      </c>
      <c r="I16" s="2" t="n">
        <v>46354</v>
      </c>
      <c r="J16" t="inlineStr">
        <is>
          <t>Disetujui</t>
        </is>
      </c>
      <c r="K16" t="n">
        <v>60</v>
      </c>
      <c r="L16" t="inlineStr">
        <is>
          <t>28 November 2026</t>
        </is>
      </c>
      <c r="M16" t="inlineStr">
        <is>
          <t>Instalasi Peralatan Infrastruktur Pertambangan dan Manufaktur</t>
        </is>
      </c>
      <c r="N16" t="inlineStr">
        <is>
          <t>Spesialis</t>
        </is>
      </c>
      <c r="O16" t="inlineStr">
        <is>
          <t>20231118</t>
        </is>
      </c>
      <c r="P16" t="inlineStr">
        <is>
          <t>Jawa Timur</t>
        </is>
      </c>
      <c r="Q16" t="inlineStr"/>
    </row>
    <row r="17">
      <c r="A17" t="inlineStr">
        <is>
          <t>ANUGERAH SEKAWAN INDOKARYA</t>
        </is>
      </c>
      <c r="B17" t="inlineStr">
        <is>
          <t>Kota Adm. Jakarta Utara</t>
        </is>
      </c>
      <c r="C17" t="inlineStr">
        <is>
          <t>0895359472503</t>
        </is>
      </c>
      <c r="D17" t="inlineStr">
        <is>
          <t>ptbanjaranugerahkarya@gmail.com</t>
        </is>
      </c>
      <c r="E17" t="inlineStr">
        <is>
          <t>https://lpjk.pu.go.id/search-badan-usaha-detail/ZTZoTUUzTC8xUG1oL2pjZ2lXWjM0QT09</t>
        </is>
      </c>
      <c r="F17" t="n">
        <v>1</v>
      </c>
      <c r="G17" t="inlineStr">
        <is>
          <t>BS008</t>
        </is>
      </c>
      <c r="H17" t="inlineStr">
        <is>
          <t>4 Oktober 2023</t>
        </is>
      </c>
      <c r="I17" s="2" t="n">
        <v>46354</v>
      </c>
      <c r="J17" t="inlineStr">
        <is>
          <t>Disetujui</t>
        </is>
      </c>
      <c r="K17" t="n">
        <v>60</v>
      </c>
      <c r="L17" t="inlineStr">
        <is>
          <t>28 November 2026</t>
        </is>
      </c>
      <c r="M17" t="inlineStr">
        <is>
          <t>Konstruksi Bangunan Sipil Telekomunikasi untuk Prasarana Transportasi</t>
        </is>
      </c>
      <c r="N17" t="inlineStr">
        <is>
          <t>K</t>
        </is>
      </c>
      <c r="O17" t="inlineStr">
        <is>
          <t>20231124</t>
        </is>
      </c>
      <c r="P17" t="inlineStr">
        <is>
          <t>DKI Jakarta</t>
        </is>
      </c>
      <c r="Q17" t="inlineStr"/>
    </row>
    <row r="18">
      <c r="A18" t="inlineStr">
        <is>
          <t>ANUGERAH SURYA JAYA</t>
        </is>
      </c>
      <c r="B18" t="inlineStr">
        <is>
          <t>Kab. Lombok Utara</t>
        </is>
      </c>
      <c r="C18" t="inlineStr">
        <is>
          <t>081913415323</t>
        </is>
      </c>
      <c r="D18" t="inlineStr">
        <is>
          <t>cvanugrahsuryajaya@gmail.com</t>
        </is>
      </c>
      <c r="E18" t="inlineStr">
        <is>
          <t>https://lpjk.pu.go.id/search-badan-usaha-detail/UmVYRGIrUnF5RUQraldQakIyMjd4dz09</t>
        </is>
      </c>
      <c r="F18" t="n">
        <v>1</v>
      </c>
      <c r="G18" t="inlineStr">
        <is>
          <t>BS001</t>
        </is>
      </c>
      <c r="H18" t="inlineStr">
        <is>
          <t>13 Mei 2020</t>
        </is>
      </c>
      <c r="I18" s="2" t="n">
        <v>46354</v>
      </c>
      <c r="J18" t="inlineStr">
        <is>
          <t>Disetujui</t>
        </is>
      </c>
      <c r="K18" t="n">
        <v>60</v>
      </c>
      <c r="L18" t="inlineStr">
        <is>
          <t>28 November 2026</t>
        </is>
      </c>
      <c r="M18" t="inlineStr">
        <is>
          <t>Konstruksi Bangunan Sipil Jalan</t>
        </is>
      </c>
      <c r="N18" t="inlineStr">
        <is>
          <t>K</t>
        </is>
      </c>
      <c r="O18" t="inlineStr">
        <is>
          <t>20231124</t>
        </is>
      </c>
      <c r="P18" t="inlineStr">
        <is>
          <t>Nusa Tenggara Barat</t>
        </is>
      </c>
      <c r="Q18" t="inlineStr"/>
    </row>
    <row r="19">
      <c r="A19" t="inlineStr">
        <is>
          <t>ANUGRA SEJAHTERA RAYA</t>
        </is>
      </c>
      <c r="B19" t="inlineStr">
        <is>
          <t>Kab. Lamongan</t>
        </is>
      </c>
      <c r="C19" t="inlineStr">
        <is>
          <t>085733675999</t>
        </is>
      </c>
      <c r="D19" t="inlineStr">
        <is>
          <t>cv.anugrasejahtera@yahoo.com</t>
        </is>
      </c>
      <c r="E19" t="inlineStr">
        <is>
          <t>https://lpjk.pu.go.id/search-badan-usaha-detail/cVFvWXRpSUxOcWk1bGRPMzR4eDBEQT09</t>
        </is>
      </c>
      <c r="F19" t="n">
        <v>1</v>
      </c>
      <c r="G19" t="inlineStr">
        <is>
          <t>BS001</t>
        </is>
      </c>
      <c r="H19" t="inlineStr">
        <is>
          <t>6 Desember 2019</t>
        </is>
      </c>
      <c r="I19" s="2" t="n">
        <v>46354</v>
      </c>
      <c r="J19" t="inlineStr">
        <is>
          <t>Disetujui</t>
        </is>
      </c>
      <c r="K19" t="n">
        <v>60</v>
      </c>
      <c r="L19" t="inlineStr">
        <is>
          <t>28 November 2026</t>
        </is>
      </c>
      <c r="M19" t="inlineStr">
        <is>
          <t>Konstruksi Bangunan Sipil Jalan</t>
        </is>
      </c>
      <c r="N19" t="inlineStr">
        <is>
          <t>K</t>
        </is>
      </c>
      <c r="O19" t="inlineStr">
        <is>
          <t>20231128</t>
        </is>
      </c>
      <c r="P19" t="inlineStr">
        <is>
          <t>Jawa Timur</t>
        </is>
      </c>
      <c r="Q19" t="inlineStr"/>
    </row>
    <row r="20">
      <c r="A20" t="inlineStr">
        <is>
          <t>ANUGRAH MANDIRI ABADI</t>
        </is>
      </c>
      <c r="B20" t="inlineStr">
        <is>
          <t>Kota Balikpapan</t>
        </is>
      </c>
      <c r="C20" t="inlineStr">
        <is>
          <t>081314003839</t>
        </is>
      </c>
      <c r="D20" t="inlineStr">
        <is>
          <t>cvanugrahmandiriabadi2019@gmail.com</t>
        </is>
      </c>
      <c r="E20" t="inlineStr">
        <is>
          <t>https://lpjk.pu.go.id/search-badan-usaha-detail/M2Q1Um5HRWpjbklaL3J6d09LVXpKUT09</t>
        </is>
      </c>
      <c r="F20" t="n">
        <v>6</v>
      </c>
      <c r="G20" t="inlineStr">
        <is>
          <t>BS001, BS002, BS004</t>
        </is>
      </c>
      <c r="H20" t="inlineStr">
        <is>
          <t>9 Februari 2019</t>
        </is>
      </c>
      <c r="I20" s="2" t="n">
        <v>46354</v>
      </c>
      <c r="J20" t="inlineStr">
        <is>
          <t>Disetujui</t>
        </is>
      </c>
      <c r="K20" t="n">
        <v>60</v>
      </c>
      <c r="L20" t="inlineStr">
        <is>
          <t>28 November 2026</t>
        </is>
      </c>
      <c r="M20" t="inlineStr">
        <is>
          <t>Bangunan Sipil Jembatan, Jalan Layang, Fly Over, dan Underpass, Konstruksi Bangunan Sipil Jalan, Konstruksi Jaringan Irigasi dan Drainase</t>
        </is>
      </c>
      <c r="N20" t="inlineStr">
        <is>
          <t>K</t>
        </is>
      </c>
      <c r="O20" t="inlineStr">
        <is>
          <t>20231121</t>
        </is>
      </c>
      <c r="P20" t="inlineStr">
        <is>
          <t>Kalimantan Timur</t>
        </is>
      </c>
      <c r="Q20" t="inlineStr"/>
    </row>
    <row r="21">
      <c r="A21" t="inlineStr">
        <is>
          <t>AQILA SUKSES</t>
        </is>
      </c>
      <c r="B21" t="inlineStr">
        <is>
          <t>Kab. Lombok Tengah</t>
        </is>
      </c>
      <c r="C21" t="inlineStr">
        <is>
          <t>087866154725</t>
        </is>
      </c>
      <c r="D21" t="inlineStr">
        <is>
          <t>aqilasukses5555@gmail.com</t>
        </is>
      </c>
      <c r="E21" t="inlineStr">
        <is>
          <t>https://lpjk.pu.go.id/search-badan-usaha-detail/N05aZGNuTllpQjhlak5HeTZROXc1dz09</t>
        </is>
      </c>
      <c r="F21" t="n">
        <v>3</v>
      </c>
      <c r="G21" t="inlineStr">
        <is>
          <t>BG005, BG006, BG009</t>
        </is>
      </c>
      <c r="H21" t="inlineStr">
        <is>
          <t>8 September 2023</t>
        </is>
      </c>
      <c r="I21" s="2" t="n">
        <v>46354</v>
      </c>
      <c r="J21" t="inlineStr">
        <is>
          <t>Disetujui</t>
        </is>
      </c>
      <c r="K21" t="n">
        <v>60</v>
      </c>
      <c r="L21" t="inlineStr">
        <is>
          <t>28 November 2026</t>
        </is>
      </c>
      <c r="M21" t="inlineStr">
        <is>
          <t>Konstruksi Gedung Kesehatan, Konstruksi Gedung Lainnya, Konstruksi Gedung Pendidikan</t>
        </is>
      </c>
      <c r="N21" t="inlineStr">
        <is>
          <t>K</t>
        </is>
      </c>
      <c r="O21" t="inlineStr">
        <is>
          <t>20231127, 20231128</t>
        </is>
      </c>
      <c r="P21" t="inlineStr">
        <is>
          <t>Nusa Tenggara Barat</t>
        </is>
      </c>
      <c r="Q21" t="inlineStr"/>
    </row>
    <row r="22">
      <c r="A22" t="inlineStr">
        <is>
          <t>ARYANA CAKASANA</t>
        </is>
      </c>
      <c r="B22" t="inlineStr">
        <is>
          <t>Kota Surabaya</t>
        </is>
      </c>
      <c r="C22" t="inlineStr">
        <is>
          <t>0315051010</t>
        </is>
      </c>
      <c r="D22" t="inlineStr">
        <is>
          <t>infoaryana23@gmail.com</t>
        </is>
      </c>
      <c r="E22" t="inlineStr">
        <is>
          <t>https://lpjk.pu.go.id/search-badan-usaha-detail/YjltMDN4TnZFWXFpU0dpUm1pL1pOdz09</t>
        </is>
      </c>
      <c r="F22" t="n">
        <v>2</v>
      </c>
      <c r="G22" t="inlineStr">
        <is>
          <t>BG004</t>
        </is>
      </c>
      <c r="H22" t="inlineStr">
        <is>
          <t>20 Maret 1991</t>
        </is>
      </c>
      <c r="I22" s="2" t="n">
        <v>46354</v>
      </c>
      <c r="J22" t="inlineStr">
        <is>
          <t>Pembekuan</t>
        </is>
      </c>
      <c r="K22" t="n">
        <v>60</v>
      </c>
      <c r="L22" t="inlineStr">
        <is>
          <t>28 November 2026</t>
        </is>
      </c>
      <c r="M22" t="inlineStr">
        <is>
          <t>Konstruksi Gedung Perbelanjaan</t>
        </is>
      </c>
      <c r="N22" t="inlineStr">
        <is>
          <t>M</t>
        </is>
      </c>
      <c r="O22" t="inlineStr">
        <is>
          <t>20231129</t>
        </is>
      </c>
      <c r="P22" t="inlineStr">
        <is>
          <t>Jawa Timur</t>
        </is>
      </c>
      <c r="Q22" t="inlineStr"/>
    </row>
    <row r="23">
      <c r="A23" t="inlineStr">
        <is>
          <t>ARYO DWIPUTRA</t>
        </is>
      </c>
      <c r="B23" t="inlineStr">
        <is>
          <t>Kota Adm. Jakarta Utara</t>
        </is>
      </c>
      <c r="C23" t="inlineStr">
        <is>
          <t>02143903700</t>
        </is>
      </c>
      <c r="D23" t="inlineStr">
        <is>
          <t>aryodwiputralandscape@gmail.com</t>
        </is>
      </c>
      <c r="E23" t="inlineStr">
        <is>
          <t>https://lpjk.pu.go.id/search-badan-usaha-detail/Z0N6REdVUWNMWkMra1pKR09ERzJvQT09</t>
        </is>
      </c>
      <c r="F23" t="n">
        <v>1</v>
      </c>
      <c r="G23" t="inlineStr">
        <is>
          <t>PB010</t>
        </is>
      </c>
      <c r="H23" t="inlineStr">
        <is>
          <t>11 Desember 1997</t>
        </is>
      </c>
      <c r="I23" s="2" t="n">
        <v>46354</v>
      </c>
      <c r="J23" t="inlineStr">
        <is>
          <t>Disetujui</t>
        </is>
      </c>
      <c r="K23" t="n">
        <v>60</v>
      </c>
      <c r="L23" t="inlineStr">
        <is>
          <t>28 November 2026</t>
        </is>
      </c>
      <c r="M23" t="inlineStr">
        <is>
          <t>Pekerjaan Lanskap, Pertamanan, dan Penanaman Vegetasi</t>
        </is>
      </c>
      <c r="N23" t="inlineStr">
        <is>
          <t>Spesialis</t>
        </is>
      </c>
      <c r="O23" t="inlineStr">
        <is>
          <t>20231123</t>
        </is>
      </c>
      <c r="P23" t="inlineStr">
        <is>
          <t>DKI Jakarta</t>
        </is>
      </c>
      <c r="Q23" t="inlineStr"/>
    </row>
    <row r="24">
      <c r="A24" t="inlineStr">
        <is>
          <t>ATA CEUNTER GRUP</t>
        </is>
      </c>
      <c r="B24" t="inlineStr">
        <is>
          <t>Kota Langsa</t>
        </is>
      </c>
      <c r="C24" t="inlineStr">
        <is>
          <t>0641</t>
        </is>
      </c>
      <c r="D24" t="inlineStr">
        <is>
          <t>ataceunter@gmail.com</t>
        </is>
      </c>
      <c r="E24" t="inlineStr">
        <is>
          <t>https://lpjk.pu.go.id/search-badan-usaha-detail/YnhvSld6bXF6U2VGNFJzTHNEMSs2QT09</t>
        </is>
      </c>
      <c r="F24" t="n">
        <v>1</v>
      </c>
      <c r="G24" t="inlineStr">
        <is>
          <t>BG005</t>
        </is>
      </c>
      <c r="H24" t="inlineStr">
        <is>
          <t>22 Desember 2022</t>
        </is>
      </c>
      <c r="I24" s="2" t="n">
        <v>46354</v>
      </c>
      <c r="J24" t="inlineStr">
        <is>
          <t>Disetujui</t>
        </is>
      </c>
      <c r="K24" t="n">
        <v>60</v>
      </c>
      <c r="L24" t="inlineStr">
        <is>
          <t>28 November 2026</t>
        </is>
      </c>
      <c r="M24" t="inlineStr">
        <is>
          <t>Konstruksi Gedung Kesehatan</t>
        </is>
      </c>
      <c r="N24" t="inlineStr">
        <is>
          <t>K</t>
        </is>
      </c>
      <c r="O24" t="inlineStr">
        <is>
          <t>20231120</t>
        </is>
      </c>
      <c r="P24" t="inlineStr">
        <is>
          <t>Aceh</t>
        </is>
      </c>
      <c r="Q24" t="inlineStr"/>
    </row>
    <row r="25">
      <c r="A25" t="inlineStr">
        <is>
          <t>BAJA KARYA UTAMA</t>
        </is>
      </c>
      <c r="B25" t="inlineStr">
        <is>
          <t>Kab. Magelang</t>
        </is>
      </c>
      <c r="C25" t="inlineStr">
        <is>
          <t>081328690096</t>
        </is>
      </c>
      <c r="D25" t="inlineStr">
        <is>
          <t>cv.baja.karya.utama@gmail.com</t>
        </is>
      </c>
      <c r="E25" t="inlineStr">
        <is>
          <t>https://lpjk.pu.go.id/search-badan-usaha-detail/eW1YZW9yT2dReUFVQmdTU2N4RGJIUT09</t>
        </is>
      </c>
      <c r="F25" t="n">
        <v>2</v>
      </c>
      <c r="G25" t="inlineStr">
        <is>
          <t>BG006, BG009</t>
        </is>
      </c>
      <c r="H25" t="inlineStr">
        <is>
          <t>8 Desember 2003</t>
        </is>
      </c>
      <c r="I25" s="2" t="n">
        <v>46354</v>
      </c>
      <c r="J25" t="inlineStr">
        <is>
          <t>Disetujui</t>
        </is>
      </c>
      <c r="K25" t="n">
        <v>60</v>
      </c>
      <c r="L25" t="inlineStr">
        <is>
          <t>28 November 2026</t>
        </is>
      </c>
      <c r="M25" t="inlineStr">
        <is>
          <t>Konstruksi Gedung Lainnya, Konstruksi Gedung Pendidikan</t>
        </is>
      </c>
      <c r="N25" t="inlineStr">
        <is>
          <t>K</t>
        </is>
      </c>
      <c r="O25" t="inlineStr">
        <is>
          <t>20231124</t>
        </is>
      </c>
      <c r="P25" t="inlineStr">
        <is>
          <t>Jawa Tengah</t>
        </is>
      </c>
      <c r="Q25" t="inlineStr"/>
    </row>
    <row r="26">
      <c r="A26" t="inlineStr">
        <is>
          <t>BANDA BAHARI PERMAI</t>
        </is>
      </c>
      <c r="B26" t="inlineStr">
        <is>
          <t>Kota Ambon</t>
        </is>
      </c>
      <c r="C26" t="inlineStr">
        <is>
          <t>082115664663</t>
        </is>
      </c>
      <c r="D26" t="inlineStr">
        <is>
          <t>dewawattimury@gmail.com</t>
        </is>
      </c>
      <c r="E26" t="inlineStr">
        <is>
          <t>https://lpjk.pu.go.id/search-badan-usaha-detail/WlYzd09naUJ3RmNWOTlBMTkwZzF2dz09</t>
        </is>
      </c>
      <c r="F26" t="n">
        <v>9</v>
      </c>
      <c r="G26" t="inlineStr">
        <is>
          <t>BG001, BG002, BG004, BG006, BG008, BG009, BS001, BS002, BS004</t>
        </is>
      </c>
      <c r="H26" t="inlineStr">
        <is>
          <t>22 Juni 2012</t>
        </is>
      </c>
      <c r="I26" s="2" t="n">
        <v>46354</v>
      </c>
      <c r="J26" t="inlineStr">
        <is>
          <t>Disetujui</t>
        </is>
      </c>
      <c r="K26" t="n">
        <v>60</v>
      </c>
      <c r="L26" t="inlineStr">
        <is>
          <t>28 November 2026</t>
        </is>
      </c>
      <c r="M26" t="inlineStr">
        <is>
          <t>Bangunan Sipil Jembatan, Jalan Layang, Fly Over, dan Underpass, Konstruksi Bangunan Sipil Jalan, Konstruksi Gedung Hunian, Konstruksi Gedung Lainnya, Konstruksi Gedung Pendidikan, Konstruksi Gedung Perbelanjaan, Konstruksi Gedung Perkantoran, Konstruksi Gedung Tempat Hiburan dan Olahraga, Konstruksi Jaringan Irigasi dan Drainase</t>
        </is>
      </c>
      <c r="N26" t="inlineStr">
        <is>
          <t>K</t>
        </is>
      </c>
      <c r="O26" t="inlineStr">
        <is>
          <t>20231126, 20231127, 20231129, 20231130, 20231201</t>
        </is>
      </c>
      <c r="P26" t="inlineStr">
        <is>
          <t>Maluku</t>
        </is>
      </c>
      <c r="Q26" t="inlineStr"/>
    </row>
    <row r="27">
      <c r="A27" t="inlineStr">
        <is>
          <t>BANGUN TRIADI MANDIRI SUKSES</t>
        </is>
      </c>
      <c r="B27" t="inlineStr">
        <is>
          <t>Kota Tangerang</t>
        </is>
      </c>
      <c r="C27" t="inlineStr">
        <is>
          <t>083877516699</t>
        </is>
      </c>
      <c r="D27" t="inlineStr">
        <is>
          <t>banguntriadimandirisukses@gmail.com</t>
        </is>
      </c>
      <c r="E27" t="inlineStr">
        <is>
          <t>https://lpjk.pu.go.id/search-badan-usaha-detail/ZTByU1ZTdjZ0NXVIeWRKdVNKZHNFdz09</t>
        </is>
      </c>
      <c r="F27" t="n">
        <v>2</v>
      </c>
      <c r="G27" t="inlineStr">
        <is>
          <t>BG006, BG009</t>
        </is>
      </c>
      <c r="H27" t="inlineStr">
        <is>
          <t>5 Desember 2022</t>
        </is>
      </c>
      <c r="I27" s="2" t="n">
        <v>46354</v>
      </c>
      <c r="J27" t="inlineStr">
        <is>
          <t>Disetujui</t>
        </is>
      </c>
      <c r="K27" t="n">
        <v>60</v>
      </c>
      <c r="L27" t="inlineStr">
        <is>
          <t>28 November 2026</t>
        </is>
      </c>
      <c r="M27" t="inlineStr">
        <is>
          <t>Konstruksi Gedung Lainnya, Konstruksi Gedung Pendidikan</t>
        </is>
      </c>
      <c r="N27" t="inlineStr">
        <is>
          <t>K</t>
        </is>
      </c>
      <c r="O27" t="inlineStr">
        <is>
          <t>20231121, 20231128</t>
        </is>
      </c>
      <c r="P27" t="inlineStr">
        <is>
          <t>Banten</t>
        </is>
      </c>
      <c r="Q27" t="inlineStr"/>
    </row>
    <row r="28">
      <c r="A28" t="inlineStr">
        <is>
          <t>BAYU BROTHERS</t>
        </is>
      </c>
      <c r="B28" t="inlineStr">
        <is>
          <t>Kota Bandar Lampung</t>
        </is>
      </c>
      <c r="C28" t="inlineStr">
        <is>
          <t>085208552882</t>
        </is>
      </c>
      <c r="D28" t="inlineStr">
        <is>
          <t>cvbayubrother25@gmail.com</t>
        </is>
      </c>
      <c r="E28" t="inlineStr">
        <is>
          <t>https://lpjk.pu.go.id/search-badan-usaha-detail/YzVYQVBXc3h5RmIzYVVpQ1hUaDlBdz09</t>
        </is>
      </c>
      <c r="F28" t="n">
        <v>1</v>
      </c>
      <c r="G28" t="inlineStr">
        <is>
          <t>BG006</t>
        </is>
      </c>
      <c r="H28" t="inlineStr">
        <is>
          <t>11 Januari 2014</t>
        </is>
      </c>
      <c r="I28" s="2" t="n">
        <v>46354</v>
      </c>
      <c r="J28" t="inlineStr">
        <is>
          <t>Disetujui</t>
        </is>
      </c>
      <c r="K28" t="n">
        <v>60</v>
      </c>
      <c r="L28" t="inlineStr">
        <is>
          <t>28 November 2026</t>
        </is>
      </c>
      <c r="M28" t="inlineStr">
        <is>
          <t>Konstruksi Gedung Pendidikan</t>
        </is>
      </c>
      <c r="N28" t="inlineStr">
        <is>
          <t>K</t>
        </is>
      </c>
      <c r="O28" t="inlineStr">
        <is>
          <t>20231127</t>
        </is>
      </c>
      <c r="P28" t="inlineStr">
        <is>
          <t>Lampung</t>
        </is>
      </c>
      <c r="Q28" t="inlineStr"/>
    </row>
    <row r="29">
      <c r="A29" t="inlineStr">
        <is>
          <t>BERKAH AMELIA ANJANI</t>
        </is>
      </c>
      <c r="B29" t="inlineStr">
        <is>
          <t>Kota Tangerang Selatan</t>
        </is>
      </c>
      <c r="C29" t="inlineStr">
        <is>
          <t>082122402423</t>
        </is>
      </c>
      <c r="D29" t="inlineStr">
        <is>
          <t>berkahameliaanjani@gmail.com</t>
        </is>
      </c>
      <c r="E29" t="inlineStr">
        <is>
          <t>https://lpjk.pu.go.id/search-badan-usaha-detail/RjRXUHpGaHdQcmpiaU4zNUlwMldMUT09</t>
        </is>
      </c>
      <c r="F29" t="n">
        <v>8</v>
      </c>
      <c r="G29" t="inlineStr">
        <is>
          <t>BG005, BG006, BG009, BS001</t>
        </is>
      </c>
      <c r="H29" t="inlineStr">
        <is>
          <t>14 Januari 2009</t>
        </is>
      </c>
      <c r="I29" s="2" t="n">
        <v>46354</v>
      </c>
      <c r="J29" t="inlineStr">
        <is>
          <t>Disetujui</t>
        </is>
      </c>
      <c r="K29" t="n">
        <v>60</v>
      </c>
      <c r="L29" t="inlineStr">
        <is>
          <t>28 November 2026</t>
        </is>
      </c>
      <c r="M29" t="inlineStr">
        <is>
          <t>Konstruksi Bangunan Sipil Jalan, Konstruksi Gedung Kesehatan, Konstruksi Gedung Lainnya, Konstruksi Gedung Pendidikan</t>
        </is>
      </c>
      <c r="N29" t="inlineStr">
        <is>
          <t>K</t>
        </is>
      </c>
      <c r="O29" t="inlineStr">
        <is>
          <t>20231129</t>
        </is>
      </c>
      <c r="P29" t="inlineStr">
        <is>
          <t>Banten</t>
        </is>
      </c>
      <c r="Q29" t="inlineStr"/>
    </row>
    <row r="30">
      <c r="A30" t="inlineStr">
        <is>
          <t>BERLIAN</t>
        </is>
      </c>
      <c r="B30" t="inlineStr">
        <is>
          <t>Kab. Dharmasraya</t>
        </is>
      </c>
      <c r="C30" t="inlineStr">
        <is>
          <t>082386480080</t>
        </is>
      </c>
      <c r="D30" t="inlineStr">
        <is>
          <t>cv.berlianpajak@gmail.com</t>
        </is>
      </c>
      <c r="E30" t="inlineStr">
        <is>
          <t>https://lpjk.pu.go.id/search-badan-usaha-detail/MEdUNVM5blF3VGtDekJTYWsxdi95QT09</t>
        </is>
      </c>
      <c r="F30" t="n">
        <v>2</v>
      </c>
      <c r="G30" t="inlineStr">
        <is>
          <t>BS001, BS002</t>
        </is>
      </c>
      <c r="H30" t="inlineStr">
        <is>
          <t>21 Juni 2012</t>
        </is>
      </c>
      <c r="I30" s="2" t="n">
        <v>46354</v>
      </c>
      <c r="J30" t="inlineStr">
        <is>
          <t>Disetujui</t>
        </is>
      </c>
      <c r="K30" t="n">
        <v>60</v>
      </c>
      <c r="L30" t="inlineStr">
        <is>
          <t>28 November 2026</t>
        </is>
      </c>
      <c r="M30" t="inlineStr">
        <is>
          <t>Bangunan Sipil Jembatan, Jalan Layang, Fly Over, dan Underpass, Konstruksi Bangunan Sipil Jalan</t>
        </is>
      </c>
      <c r="N30" t="inlineStr">
        <is>
          <t>K</t>
        </is>
      </c>
      <c r="O30" t="inlineStr">
        <is>
          <t>20231128</t>
        </is>
      </c>
      <c r="P30" t="inlineStr">
        <is>
          <t>Sumatera Barat</t>
        </is>
      </c>
      <c r="Q30" t="inlineStr"/>
    </row>
    <row r="31">
      <c r="A31" t="inlineStr">
        <is>
          <t>BINA CIPTA SELARAS</t>
        </is>
      </c>
      <c r="B31" t="inlineStr">
        <is>
          <t>Kota Bandung</t>
        </is>
      </c>
      <c r="C31" t="inlineStr">
        <is>
          <t>08122357478</t>
        </is>
      </c>
      <c r="D31" t="inlineStr">
        <is>
          <t>bc.selaras77@gmail.com</t>
        </is>
      </c>
      <c r="E31" t="inlineStr">
        <is>
          <t>https://lpjk.pu.go.id/search-badan-usaha-detail/YVRrNlN5RWNHdHZQcm9TeTJFUHlJdz09</t>
        </is>
      </c>
      <c r="F31" t="n">
        <v>4</v>
      </c>
      <c r="G31" t="inlineStr">
        <is>
          <t>BG006, BG009, BS001, BS004</t>
        </is>
      </c>
      <c r="H31" t="inlineStr">
        <is>
          <t>18 Februari 2021</t>
        </is>
      </c>
      <c r="I31" s="2" t="n">
        <v>46354</v>
      </c>
      <c r="J31" t="inlineStr">
        <is>
          <t>Disetujui</t>
        </is>
      </c>
      <c r="K31" t="n">
        <v>60</v>
      </c>
      <c r="L31" t="inlineStr">
        <is>
          <t>28 November 2026</t>
        </is>
      </c>
      <c r="M31" t="inlineStr">
        <is>
          <t>Konstruksi Bangunan Sipil Jalan, Konstruksi Gedung Lainnya, Konstruksi Gedung Pendidikan, Konstruksi Jaringan Irigasi dan Drainase</t>
        </is>
      </c>
      <c r="N31" t="inlineStr">
        <is>
          <t>K</t>
        </is>
      </c>
      <c r="O31" t="inlineStr">
        <is>
          <t>20231127</t>
        </is>
      </c>
      <c r="P31" t="inlineStr">
        <is>
          <t>Jawa Barat</t>
        </is>
      </c>
      <c r="Q31" t="inlineStr"/>
    </row>
    <row r="32">
      <c r="A32" t="inlineStr">
        <is>
          <t>BINTANG MAS</t>
        </is>
      </c>
      <c r="B32" t="inlineStr">
        <is>
          <t>Kab. Majene</t>
        </is>
      </c>
      <c r="C32" t="inlineStr">
        <is>
          <t>0</t>
        </is>
      </c>
      <c r="D32" t="inlineStr">
        <is>
          <t>cvbintangmasmajene@yahoo.com</t>
        </is>
      </c>
      <c r="E32" t="inlineStr">
        <is>
          <t>https://lpjk.pu.go.id/search-badan-usaha-detail/a29zRG9WRlRDck5TeXl4U1gxa3kzQT09</t>
        </is>
      </c>
      <c r="F32" t="n">
        <v>2</v>
      </c>
      <c r="G32" t="inlineStr">
        <is>
          <t>BG005</t>
        </is>
      </c>
      <c r="H32" t="inlineStr">
        <is>
          <t>18 September 2000</t>
        </is>
      </c>
      <c r="I32" s="2" t="n">
        <v>46354</v>
      </c>
      <c r="J32" t="inlineStr">
        <is>
          <t>Disetujui</t>
        </is>
      </c>
      <c r="K32" t="n">
        <v>60</v>
      </c>
      <c r="L32" t="inlineStr">
        <is>
          <t>28 November 2026</t>
        </is>
      </c>
      <c r="M32" t="inlineStr">
        <is>
          <t>Konstruksi Gedung Kesehatan</t>
        </is>
      </c>
      <c r="N32" t="inlineStr">
        <is>
          <t>K</t>
        </is>
      </c>
      <c r="O32" t="inlineStr">
        <is>
          <t>20231128</t>
        </is>
      </c>
      <c r="P32" t="inlineStr">
        <is>
          <t>Sulawesi Barat</t>
        </is>
      </c>
      <c r="Q32" t="inlineStr"/>
    </row>
    <row r="33">
      <c r="A33" t="inlineStr">
        <is>
          <t>BINTANG SAMUDRA NUSANTARA</t>
        </is>
      </c>
      <c r="B33" t="inlineStr">
        <is>
          <t>Kab. Lombok Barat</t>
        </is>
      </c>
      <c r="C33" t="inlineStr">
        <is>
          <t>081907986718</t>
        </is>
      </c>
      <c r="D33" t="inlineStr">
        <is>
          <t>fiqri_matano@yahoo.com</t>
        </is>
      </c>
      <c r="E33" t="inlineStr">
        <is>
          <t>https://lpjk.pu.go.id/search-badan-usaha-detail/TUI2eEkvQXhabWY5cWVqZjVSclNpdz09</t>
        </is>
      </c>
      <c r="F33" t="n">
        <v>12</v>
      </c>
      <c r="G33" t="inlineStr">
        <is>
          <t>BG001, BG004, BG005, BG009, BS001, BS004</t>
        </is>
      </c>
      <c r="H33" t="inlineStr">
        <is>
          <t>11 Februari 2013</t>
        </is>
      </c>
      <c r="I33" s="2" t="n">
        <v>46354</v>
      </c>
      <c r="J33" t="inlineStr">
        <is>
          <t>Disetujui</t>
        </is>
      </c>
      <c r="K33" t="n">
        <v>60</v>
      </c>
      <c r="L33" t="inlineStr">
        <is>
          <t>28 November 2026</t>
        </is>
      </c>
      <c r="M33" t="inlineStr">
        <is>
          <t>Konstruksi Bangunan Sipil Jalan, Konstruksi Gedung Hunian, Konstruksi Gedung Kesehatan, Konstruksi Gedung Lainnya, Konstruksi Gedung Perbelanjaan, Konstruksi Jaringan Irigasi dan Drainase</t>
        </is>
      </c>
      <c r="N33" t="inlineStr">
        <is>
          <t>K</t>
        </is>
      </c>
      <c r="O33" t="inlineStr">
        <is>
          <t>20231117, 20231125, 20231201</t>
        </is>
      </c>
      <c r="P33" t="inlineStr">
        <is>
          <t>Nusa Tenggara Barat</t>
        </is>
      </c>
      <c r="Q33" t="inlineStr"/>
    </row>
    <row r="34">
      <c r="A34" t="inlineStr">
        <is>
          <t>BRAHMA ANANTA CONSULTANT</t>
        </is>
      </c>
      <c r="B34" t="inlineStr">
        <is>
          <t>Kab. Natuna</t>
        </is>
      </c>
      <c r="C34" t="inlineStr">
        <is>
          <t>082226846878</t>
        </is>
      </c>
      <c r="D34" t="inlineStr">
        <is>
          <t>brahmaanantaconsultant@gmail.com</t>
        </is>
      </c>
      <c r="E34" t="inlineStr">
        <is>
          <t>https://lpjk.pu.go.id/search-badan-usaha-detail/QVJaRk1BTDJmUFpodHBnQkZlN29Vdz09</t>
        </is>
      </c>
      <c r="F34" t="n">
        <v>3</v>
      </c>
      <c r="G34" t="inlineStr">
        <is>
          <t>RK002, RK003, RK005</t>
        </is>
      </c>
      <c r="H34" t="inlineStr">
        <is>
          <t>1 November 2023</t>
        </is>
      </c>
      <c r="I34" s="2" t="n">
        <v>46354</v>
      </c>
      <c r="J34" t="inlineStr">
        <is>
          <t>Disetujui</t>
        </is>
      </c>
      <c r="K34" t="n">
        <v>60</v>
      </c>
      <c r="L34" t="inlineStr">
        <is>
          <t>28 November 2026</t>
        </is>
      </c>
      <c r="M34" t="inlineStr">
        <is>
          <t>Jasa Rekayasa Lainnya, Jasa Rekayasa Pekerjaan Teknik Sipil Sumber Daya Air, Jasa Rekayasa Pekerjaan Teknik Sipil Transportasi</t>
        </is>
      </c>
      <c r="N34" t="inlineStr">
        <is>
          <t>K</t>
        </is>
      </c>
      <c r="O34" t="inlineStr">
        <is>
          <t>20231123</t>
        </is>
      </c>
      <c r="P34" t="inlineStr">
        <is>
          <t>Kepulauan Riau</t>
        </is>
      </c>
      <c r="Q34" t="inlineStr"/>
    </row>
    <row r="35">
      <c r="A35" t="inlineStr">
        <is>
          <t>BUNGA KARYA</t>
        </is>
      </c>
      <c r="B35" t="inlineStr">
        <is>
          <t>Kab. Pesisir Selatan</t>
        </is>
      </c>
      <c r="C35" t="inlineStr">
        <is>
          <t>082213133813</t>
        </is>
      </c>
      <c r="D35" t="inlineStr">
        <is>
          <t>cvbungakarya@gmail.com</t>
        </is>
      </c>
      <c r="E35" t="inlineStr">
        <is>
          <t>https://lpjk.pu.go.id/search-badan-usaha-detail/TWdTT1gvV0F6L2pkMytiTDFRMjZFQT09</t>
        </is>
      </c>
      <c r="F35" t="n">
        <v>5</v>
      </c>
      <c r="G35" t="inlineStr">
        <is>
          <t>BG002, BG004, BG005, BG006, BG009</t>
        </is>
      </c>
      <c r="H35" t="inlineStr">
        <is>
          <t>28 April 1993</t>
        </is>
      </c>
      <c r="I35" s="2" t="n">
        <v>46354</v>
      </c>
      <c r="J35" t="inlineStr">
        <is>
          <t>Disetujui</t>
        </is>
      </c>
      <c r="K35" t="n">
        <v>60</v>
      </c>
      <c r="L35" t="inlineStr">
        <is>
          <t>28 November 2026</t>
        </is>
      </c>
      <c r="M35" t="inlineStr">
        <is>
          <t>Konstruksi Gedung Kesehatan, Konstruksi Gedung Lainnya, Konstruksi Gedung Pendidikan, Konstruksi Gedung Perbelanjaan, Konstruksi Gedung Perkantoran</t>
        </is>
      </c>
      <c r="N35" t="inlineStr">
        <is>
          <t>K</t>
        </is>
      </c>
      <c r="O35" t="inlineStr">
        <is>
          <t>20231128</t>
        </is>
      </c>
      <c r="P35" t="inlineStr">
        <is>
          <t>Sumatera Barat</t>
        </is>
      </c>
      <c r="Q35" t="inlineStr"/>
    </row>
    <row r="36">
      <c r="A36" t="inlineStr">
        <is>
          <t>CHELSEA MITRA</t>
        </is>
      </c>
      <c r="B36" t="inlineStr">
        <is>
          <t>Kota Jayapura</t>
        </is>
      </c>
      <c r="C36" t="inlineStr">
        <is>
          <t>082110089855</t>
        </is>
      </c>
      <c r="D36" t="inlineStr">
        <is>
          <t>chelseamitracv@gmail.com</t>
        </is>
      </c>
      <c r="E36" t="inlineStr">
        <is>
          <t>https://lpjk.pu.go.id/search-badan-usaha-detail/WDE2ZXA2aWV5R0dGbXpzK3pEcmd6Zz09</t>
        </is>
      </c>
      <c r="F36" t="n">
        <v>2</v>
      </c>
      <c r="G36" t="inlineStr">
        <is>
          <t>BG009</t>
        </is>
      </c>
      <c r="H36" t="inlineStr">
        <is>
          <t>25 Februari 2014</t>
        </is>
      </c>
      <c r="I36" s="2" t="n">
        <v>46354</v>
      </c>
      <c r="J36" t="inlineStr">
        <is>
          <t>Disetujui</t>
        </is>
      </c>
      <c r="K36" t="n">
        <v>60</v>
      </c>
      <c r="L36" t="inlineStr">
        <is>
          <t>28 November 2026</t>
        </is>
      </c>
      <c r="M36" t="inlineStr">
        <is>
          <t>Konstruksi Gedung Lainnya</t>
        </is>
      </c>
      <c r="N36" t="inlineStr">
        <is>
          <t>K</t>
        </is>
      </c>
      <c r="O36" t="inlineStr">
        <is>
          <t>20231128</t>
        </is>
      </c>
      <c r="P36" t="inlineStr">
        <is>
          <t>Papua</t>
        </is>
      </c>
      <c r="Q36" t="inlineStr"/>
    </row>
    <row r="37">
      <c r="A37" t="inlineStr">
        <is>
          <t>CIPTA CASABIRU</t>
        </is>
      </c>
      <c r="B37" t="inlineStr">
        <is>
          <t>Kota Adm. Jakarta Selatan</t>
        </is>
      </c>
      <c r="C37" t="inlineStr">
        <is>
          <t>0217231680</t>
        </is>
      </c>
      <c r="D37" t="inlineStr">
        <is>
          <t>project@casadei.co.id</t>
        </is>
      </c>
      <c r="E37" t="inlineStr">
        <is>
          <t>https://lpjk.pu.go.id/search-badan-usaha-detail/TWQ5MWJPR3F0bWFZS1l0TlNrQXFzdz09</t>
        </is>
      </c>
      <c r="F37" t="n">
        <v>4</v>
      </c>
      <c r="G37" t="inlineStr">
        <is>
          <t>BG001, BG002</t>
        </is>
      </c>
      <c r="H37" t="inlineStr">
        <is>
          <t>23 April 2002</t>
        </is>
      </c>
      <c r="I37" s="2" t="n">
        <v>46354</v>
      </c>
      <c r="J37" t="inlineStr">
        <is>
          <t>Pencabutan</t>
        </is>
      </c>
      <c r="K37" t="n">
        <v>60</v>
      </c>
      <c r="L37" t="inlineStr">
        <is>
          <t>28 November 2026</t>
        </is>
      </c>
      <c r="M37" t="inlineStr">
        <is>
          <t>Konstruksi Gedung Hunian, Konstruksi Gedung Perkantoran</t>
        </is>
      </c>
      <c r="N37" t="inlineStr">
        <is>
          <t>K</t>
        </is>
      </c>
      <c r="O37" t="inlineStr">
        <is>
          <t>20231121</t>
        </is>
      </c>
      <c r="P37" t="inlineStr">
        <is>
          <t>DKI Jakarta</t>
        </is>
      </c>
      <c r="Q37" t="inlineStr"/>
    </row>
    <row r="38">
      <c r="A38" t="inlineStr">
        <is>
          <t>CIPTA PERDANA</t>
        </is>
      </c>
      <c r="B38" t="inlineStr">
        <is>
          <t>Kab. Banjar</t>
        </is>
      </c>
      <c r="C38" t="inlineStr">
        <is>
          <t>081251928583</t>
        </is>
      </c>
      <c r="D38" t="inlineStr">
        <is>
          <t>cipta_prdn@yahoo.co.id</t>
        </is>
      </c>
      <c r="E38" t="inlineStr">
        <is>
          <t>https://lpjk.pu.go.id/search-badan-usaha-detail/NzdvRFNKblRFb0t3RzllcnVzTHdTUT09</t>
        </is>
      </c>
      <c r="F38" t="n">
        <v>4</v>
      </c>
      <c r="G38" t="inlineStr">
        <is>
          <t>BS002, BS004</t>
        </is>
      </c>
      <c r="H38" t="inlineStr">
        <is>
          <t>24 Desember 2001</t>
        </is>
      </c>
      <c r="I38" s="2" t="n">
        <v>46354</v>
      </c>
      <c r="J38" t="inlineStr">
        <is>
          <t>Pencabutan</t>
        </is>
      </c>
      <c r="K38" t="n">
        <v>60</v>
      </c>
      <c r="L38" t="inlineStr">
        <is>
          <t>28 November 2026</t>
        </is>
      </c>
      <c r="M38" t="inlineStr">
        <is>
          <t>Bangunan Sipil Jembatan, Jalan Layang, Fly Over, dan Underpass, Konstruksi Jaringan Irigasi dan Drainase</t>
        </is>
      </c>
      <c r="N38" t="inlineStr">
        <is>
          <t>K</t>
        </is>
      </c>
      <c r="O38" t="inlineStr">
        <is>
          <t>20231121, 20231129</t>
        </is>
      </c>
      <c r="P38" t="inlineStr">
        <is>
          <t>Kalimantan Selatan</t>
        </is>
      </c>
      <c r="Q38" t="inlineStr"/>
    </row>
    <row r="39">
      <c r="A39" t="inlineStr">
        <is>
          <t>CITRA KARYA NAWASENA</t>
        </is>
      </c>
      <c r="B39" t="inlineStr">
        <is>
          <t>Kab. Boyolali</t>
        </is>
      </c>
      <c r="C39" t="inlineStr">
        <is>
          <t>081334439133</t>
        </is>
      </c>
      <c r="D39" t="inlineStr">
        <is>
          <t>cvcitrakaryanawasena@gmail.com</t>
        </is>
      </c>
      <c r="E39" t="inlineStr">
        <is>
          <t>https://lpjk.pu.go.id/search-badan-usaha-detail/UHlwY0pDVW1FUWx4QW9NZCtxdjZDZz09</t>
        </is>
      </c>
      <c r="F39" t="n">
        <v>1</v>
      </c>
      <c r="G39" t="inlineStr">
        <is>
          <t>RK001</t>
        </is>
      </c>
      <c r="H39" t="inlineStr">
        <is>
          <t>26 Oktober 2023</t>
        </is>
      </c>
      <c r="I39" s="2" t="n">
        <v>46354</v>
      </c>
      <c r="J39" t="inlineStr">
        <is>
          <t>Disetujui</t>
        </is>
      </c>
      <c r="K39" t="n">
        <v>60</v>
      </c>
      <c r="L39" t="inlineStr">
        <is>
          <t>28 November 2026</t>
        </is>
      </c>
      <c r="M39" t="inlineStr">
        <is>
          <t>Jasa Rekayasa Konstruksi Bangunan Gedung Hunian dan Non Hunian</t>
        </is>
      </c>
      <c r="N39" t="inlineStr">
        <is>
          <t>K</t>
        </is>
      </c>
      <c r="O39" t="inlineStr">
        <is>
          <t>20231118</t>
        </is>
      </c>
      <c r="P39" t="inlineStr">
        <is>
          <t>Jawa Tengah</t>
        </is>
      </c>
      <c r="Q39" t="inlineStr"/>
    </row>
    <row r="40">
      <c r="A40" t="inlineStr">
        <is>
          <t>CITRA SELARAS AGUNG ABADI</t>
        </is>
      </c>
      <c r="B40" t="inlineStr">
        <is>
          <t>Kota Adm. Jakarta Barat</t>
        </is>
      </c>
      <c r="C40" t="inlineStr">
        <is>
          <t>081325998578</t>
        </is>
      </c>
      <c r="D40" t="inlineStr">
        <is>
          <t>ptcsaa@gmail.com</t>
        </is>
      </c>
      <c r="E40" t="inlineStr">
        <is>
          <t>https://lpjk.pu.go.id/search-badan-usaha-detail/ZFI1TVVZMjd1bVFkQ1NqTVBKejg2bHQyUTFRcEdJRlc2MlNrMUVHV0FKST0</t>
        </is>
      </c>
      <c r="F40" t="n">
        <v>1</v>
      </c>
      <c r="G40" t="inlineStr">
        <is>
          <t>BG001</t>
        </is>
      </c>
      <c r="H40" t="inlineStr">
        <is>
          <t>5 Oktober 2020</t>
        </is>
      </c>
      <c r="I40" s="2" t="n">
        <v>46354</v>
      </c>
      <c r="J40" t="inlineStr">
        <is>
          <t>Disetujui</t>
        </is>
      </c>
      <c r="K40" t="n">
        <v>60</v>
      </c>
      <c r="L40" t="inlineStr">
        <is>
          <t>28 November 2026</t>
        </is>
      </c>
      <c r="M40" t="inlineStr">
        <is>
          <t>Konstruksi Gedung Hunian</t>
        </is>
      </c>
      <c r="N40" t="inlineStr">
        <is>
          <t>K</t>
        </is>
      </c>
      <c r="O40" t="inlineStr">
        <is>
          <t>20231127</t>
        </is>
      </c>
      <c r="P40" t="inlineStr">
        <is>
          <t>DKI Jakarta</t>
        </is>
      </c>
      <c r="Q40" t="inlineStr"/>
    </row>
    <row r="41">
      <c r="A41" t="inlineStr">
        <is>
          <t>CURUG KEMBARMAS</t>
        </is>
      </c>
      <c r="B41" t="inlineStr">
        <is>
          <t>Kota Bandung</t>
        </is>
      </c>
      <c r="C41" t="inlineStr">
        <is>
          <t>0227275887</t>
        </is>
      </c>
      <c r="D41" t="inlineStr">
        <is>
          <t>curugkembarpt@gmail.com</t>
        </is>
      </c>
      <c r="E41" t="inlineStr">
        <is>
          <t>https://lpjk.pu.go.id/search-badan-usaha-detail/R2JtNmpEZWlwVHdBMyt0V1FFZjJCUT09</t>
        </is>
      </c>
      <c r="F41" t="n">
        <v>1</v>
      </c>
      <c r="G41" t="inlineStr">
        <is>
          <t>BS001</t>
        </is>
      </c>
      <c r="H41" t="inlineStr">
        <is>
          <t>18 Januari 1993</t>
        </is>
      </c>
      <c r="I41" s="2" t="n">
        <v>46354</v>
      </c>
      <c r="J41" t="inlineStr">
        <is>
          <t>Disetujui</t>
        </is>
      </c>
      <c r="K41" t="n">
        <v>60</v>
      </c>
      <c r="L41" t="inlineStr">
        <is>
          <t>28 November 2026</t>
        </is>
      </c>
      <c r="M41" t="inlineStr">
        <is>
          <t>Konstruksi Bangunan Sipil Jalan</t>
        </is>
      </c>
      <c r="N41" t="inlineStr">
        <is>
          <t>K</t>
        </is>
      </c>
      <c r="O41" t="inlineStr">
        <is>
          <t>20231123</t>
        </is>
      </c>
      <c r="P41" t="inlineStr">
        <is>
          <t>Jawa Barat</t>
        </is>
      </c>
      <c r="Q41" t="inlineStr"/>
    </row>
    <row r="42">
      <c r="A42" t="inlineStr">
        <is>
          <t>DARMA PUTERA AGUNG</t>
        </is>
      </c>
      <c r="B42" t="inlineStr">
        <is>
          <t>Kab. Cilacap</t>
        </is>
      </c>
      <c r="C42" t="inlineStr">
        <is>
          <t>0282538197</t>
        </is>
      </c>
      <c r="D42" t="inlineStr">
        <is>
          <t>ptdarmaputeraagung@yahoo.co.od</t>
        </is>
      </c>
      <c r="E42" t="inlineStr">
        <is>
          <t>https://lpjk.pu.go.id/search-badan-usaha-detail/R1dSRHVZejRhbEZNYWxVb3FUTlY2UT09</t>
        </is>
      </c>
      <c r="F42" t="n">
        <v>2</v>
      </c>
      <c r="G42" t="inlineStr">
        <is>
          <t>BG002, BG009</t>
        </is>
      </c>
      <c r="H42" t="inlineStr">
        <is>
          <t>14 Januari 2004</t>
        </is>
      </c>
      <c r="I42" s="2" t="n">
        <v>46354</v>
      </c>
      <c r="J42" t="inlineStr">
        <is>
          <t>Disetujui</t>
        </is>
      </c>
      <c r="K42" t="n">
        <v>60</v>
      </c>
      <c r="L42" t="inlineStr">
        <is>
          <t>28 November 2026</t>
        </is>
      </c>
      <c r="M42" t="inlineStr">
        <is>
          <t>Konstruksi Gedung Lainnya, Konstruksi Gedung Perkantoran</t>
        </is>
      </c>
      <c r="N42" t="inlineStr">
        <is>
          <t>K</t>
        </is>
      </c>
      <c r="O42" t="inlineStr">
        <is>
          <t>20231128, 20231129</t>
        </is>
      </c>
      <c r="P42" t="inlineStr">
        <is>
          <t>Jawa Tengah</t>
        </is>
      </c>
      <c r="Q42" t="inlineStr"/>
    </row>
    <row r="43">
      <c r="A43" t="inlineStr">
        <is>
          <t>DINA TEHNIKA UTAMA</t>
        </is>
      </c>
      <c r="B43" t="inlineStr">
        <is>
          <t>Kab. Lombok Tengah</t>
        </is>
      </c>
      <c r="C43" t="inlineStr">
        <is>
          <t>087865370514</t>
        </is>
      </c>
      <c r="D43" t="inlineStr">
        <is>
          <t>dinatehnikautama@gmail.com</t>
        </is>
      </c>
      <c r="E43" t="inlineStr">
        <is>
          <t>https://lpjk.pu.go.id/search-badan-usaha-detail/bnE3a2xmaUJqOUdTalI0S0Y1RGxGdz09</t>
        </is>
      </c>
      <c r="F43" t="n">
        <v>6</v>
      </c>
      <c r="G43" t="inlineStr">
        <is>
          <t>BG006, BG009, BS001</t>
        </is>
      </c>
      <c r="H43" t="inlineStr">
        <is>
          <t>9 Juni 1995</t>
        </is>
      </c>
      <c r="I43" s="2" t="n">
        <v>46354</v>
      </c>
      <c r="J43" t="inlineStr">
        <is>
          <t>Disetujui</t>
        </is>
      </c>
      <c r="K43" t="n">
        <v>60</v>
      </c>
      <c r="L43" t="inlineStr">
        <is>
          <t>28 November 2026</t>
        </is>
      </c>
      <c r="M43" t="inlineStr">
        <is>
          <t>Konstruksi Bangunan Sipil Jalan, Konstruksi Gedung Lainnya, Konstruksi Gedung Pendidikan</t>
        </is>
      </c>
      <c r="N43" t="inlineStr">
        <is>
          <t>K</t>
        </is>
      </c>
      <c r="O43" t="inlineStr">
        <is>
          <t>20231128</t>
        </is>
      </c>
      <c r="P43" t="inlineStr">
        <is>
          <t>Nusa Tenggara Barat</t>
        </is>
      </c>
      <c r="Q43" t="inlineStr"/>
    </row>
    <row r="44">
      <c r="A44" t="inlineStr">
        <is>
          <t>DUTA KELUD</t>
        </is>
      </c>
      <c r="B44" t="inlineStr">
        <is>
          <t>Kab. Kediri</t>
        </is>
      </c>
      <c r="C44" t="inlineStr">
        <is>
          <t>081335442161</t>
        </is>
      </c>
      <c r="D44" t="inlineStr">
        <is>
          <t>dutakelud78@gmail.com</t>
        </is>
      </c>
      <c r="E44" t="inlineStr">
        <is>
          <t>https://lpjk.pu.go.id/search-badan-usaha-detail/WW5uZlNGNkdYdXpNOXB5aEE4VmRmQT09</t>
        </is>
      </c>
      <c r="F44" t="n">
        <v>1</v>
      </c>
      <c r="G44" t="inlineStr">
        <is>
          <t>BG008</t>
        </is>
      </c>
      <c r="H44" t="inlineStr">
        <is>
          <t>3 Maret 2001</t>
        </is>
      </c>
      <c r="I44" s="2" t="n">
        <v>46354</v>
      </c>
      <c r="J44" t="inlineStr">
        <is>
          <t>Disetujui</t>
        </is>
      </c>
      <c r="K44" t="n">
        <v>60</v>
      </c>
      <c r="L44" t="inlineStr">
        <is>
          <t>28 November 2026</t>
        </is>
      </c>
      <c r="M44" t="inlineStr">
        <is>
          <t>Konstruksi Gedung Tempat Hiburan dan Olahraga</t>
        </is>
      </c>
      <c r="N44" t="inlineStr">
        <is>
          <t>K</t>
        </is>
      </c>
      <c r="O44" t="inlineStr">
        <is>
          <t>20231123</t>
        </is>
      </c>
      <c r="P44" t="inlineStr">
        <is>
          <t>Jawa Timur</t>
        </is>
      </c>
      <c r="Q44" t="inlineStr"/>
    </row>
    <row r="45">
      <c r="A45" t="inlineStr">
        <is>
          <t>FAEYZA JAYA PERKASA</t>
        </is>
      </c>
      <c r="B45" t="inlineStr">
        <is>
          <t>Kab. Pangkajene Kepulauan</t>
        </is>
      </c>
      <c r="C45" t="inlineStr">
        <is>
          <t>0811413111</t>
        </is>
      </c>
      <c r="D45" t="inlineStr">
        <is>
          <t>faeyzajp2023@gmail.com</t>
        </is>
      </c>
      <c r="E45" t="inlineStr">
        <is>
          <t>https://lpjk.pu.go.id/search-badan-usaha-detail/NlZYQ2ZwVWdDYmZGWE1DeWdRbjR2UT09</t>
        </is>
      </c>
      <c r="F45" t="n">
        <v>3</v>
      </c>
      <c r="G45" t="inlineStr">
        <is>
          <t>BG001, BG002, BG009</t>
        </is>
      </c>
      <c r="H45" t="inlineStr">
        <is>
          <t>2 Maret 2023</t>
        </is>
      </c>
      <c r="I45" s="2" t="n">
        <v>46354</v>
      </c>
      <c r="J45" t="inlineStr">
        <is>
          <t>Disetujui</t>
        </is>
      </c>
      <c r="K45" t="n">
        <v>60</v>
      </c>
      <c r="L45" t="inlineStr">
        <is>
          <t>28 November 2026</t>
        </is>
      </c>
      <c r="M45" t="inlineStr">
        <is>
          <t>Konstruksi Gedung Hunian, Konstruksi Gedung Lainnya, Konstruksi Gedung Perkantoran</t>
        </is>
      </c>
      <c r="N45" t="inlineStr">
        <is>
          <t>K</t>
        </is>
      </c>
      <c r="O45" t="inlineStr">
        <is>
          <t>20231030</t>
        </is>
      </c>
      <c r="P45" t="inlineStr">
        <is>
          <t>Sulawesi Selatan</t>
        </is>
      </c>
      <c r="Q45" t="inlineStr"/>
    </row>
    <row r="46">
      <c r="A46" t="inlineStr">
        <is>
          <t>GARIS DINAMIS</t>
        </is>
      </c>
      <c r="B46" t="inlineStr">
        <is>
          <t>Kab. Lima Puluh Kota</t>
        </is>
      </c>
      <c r="C46" t="inlineStr">
        <is>
          <t>081374751313</t>
        </is>
      </c>
      <c r="D46" t="inlineStr">
        <is>
          <t>garisdinamiscv@gmail.com</t>
        </is>
      </c>
      <c r="E46" t="inlineStr">
        <is>
          <t>https://lpjk.pu.go.id/search-badan-usaha-detail/VndZbEgvY01vaXUyd0s4MHpEU0x0UT09</t>
        </is>
      </c>
      <c r="F46" t="n">
        <v>2</v>
      </c>
      <c r="G46" t="inlineStr">
        <is>
          <t>RK003, RK005</t>
        </is>
      </c>
      <c r="H46" t="inlineStr">
        <is>
          <t>17 November 2023</t>
        </is>
      </c>
      <c r="I46" s="2" t="n">
        <v>46354</v>
      </c>
      <c r="J46" t="inlineStr">
        <is>
          <t>Disetujui</t>
        </is>
      </c>
      <c r="K46" t="n">
        <v>60</v>
      </c>
      <c r="L46" t="inlineStr">
        <is>
          <t>28 November 2026</t>
        </is>
      </c>
      <c r="M46" t="inlineStr">
        <is>
          <t>Jasa Rekayasa Lainnya, Jasa Rekayasa Pekerjaan Teknik Sipil Transportasi</t>
        </is>
      </c>
      <c r="N46" t="inlineStr">
        <is>
          <t>K</t>
        </is>
      </c>
      <c r="O46" t="inlineStr">
        <is>
          <t>20231121</t>
        </is>
      </c>
      <c r="P46" t="inlineStr">
        <is>
          <t>Sumatera Barat</t>
        </is>
      </c>
      <c r="Q46" t="inlineStr"/>
    </row>
    <row r="47">
      <c r="A47" t="inlineStr">
        <is>
          <t>GEMILANG</t>
        </is>
      </c>
      <c r="B47" t="inlineStr">
        <is>
          <t>Kab. Ponorogo</t>
        </is>
      </c>
      <c r="C47" t="inlineStr">
        <is>
          <t>085702819117</t>
        </is>
      </c>
      <c r="D47" t="inlineStr">
        <is>
          <t>gemilang.cv8@gmail.com</t>
        </is>
      </c>
      <c r="E47" t="inlineStr">
        <is>
          <t>https://lpjk.pu.go.id/search-badan-usaha-detail/V2FKSUhJMmRRZnh2WXFVQWpuSUZxUT09</t>
        </is>
      </c>
      <c r="F47" t="n">
        <v>2</v>
      </c>
      <c r="G47" t="inlineStr">
        <is>
          <t>BS001, BS004</t>
        </is>
      </c>
      <c r="H47" t="inlineStr">
        <is>
          <t>21 Agustus 1995</t>
        </is>
      </c>
      <c r="I47" s="2" t="n">
        <v>46354</v>
      </c>
      <c r="J47" t="inlineStr">
        <is>
          <t>Disetujui</t>
        </is>
      </c>
      <c r="K47" t="n">
        <v>60</v>
      </c>
      <c r="L47" t="inlineStr">
        <is>
          <t>28 November 2026</t>
        </is>
      </c>
      <c r="M47" t="inlineStr">
        <is>
          <t>Konstruksi Bangunan Sipil Jalan, Konstruksi Jaringan Irigasi dan Drainase</t>
        </is>
      </c>
      <c r="N47" t="inlineStr">
        <is>
          <t>K</t>
        </is>
      </c>
      <c r="O47" t="inlineStr">
        <is>
          <t>20231127, 20231129</t>
        </is>
      </c>
      <c r="P47" t="inlineStr">
        <is>
          <t>Jawa Timur</t>
        </is>
      </c>
      <c r="Q47" t="inlineStr"/>
    </row>
    <row r="48">
      <c r="A48" t="inlineStr">
        <is>
          <t>GENERASI PENERUS</t>
        </is>
      </c>
      <c r="B48" t="inlineStr">
        <is>
          <t>Kab. Lombok Barat</t>
        </is>
      </c>
      <c r="C48" t="inlineStr">
        <is>
          <t>0817364840</t>
        </is>
      </c>
      <c r="D48" t="inlineStr">
        <is>
          <t>penerusgenerasi05@gmail.com</t>
        </is>
      </c>
      <c r="E48" t="inlineStr">
        <is>
          <t>https://lpjk.pu.go.id/search-badan-usaha-detail/ZUhXVldLbi9ZeDZnU3kzL2p3TnRQZz09</t>
        </is>
      </c>
      <c r="F48" t="n">
        <v>4</v>
      </c>
      <c r="G48" t="inlineStr">
        <is>
          <t>BG002, BG006, BS001, BS004</t>
        </is>
      </c>
      <c r="H48" t="inlineStr">
        <is>
          <t>9 September 2019</t>
        </is>
      </c>
      <c r="I48" s="2" t="n">
        <v>46354</v>
      </c>
      <c r="J48" t="inlineStr">
        <is>
          <t>Disetujui, Pencabutan</t>
        </is>
      </c>
      <c r="K48" t="n">
        <v>60</v>
      </c>
      <c r="L48" t="inlineStr">
        <is>
          <t>28 November 2026</t>
        </is>
      </c>
      <c r="M48" t="inlineStr">
        <is>
          <t>Konstruksi Bangunan Sipil Jalan, Konstruksi Gedung Pendidikan, Konstruksi Gedung Perkantoran, Konstruksi Jaringan Irigasi dan Drainase</t>
        </is>
      </c>
      <c r="N48" t="inlineStr">
        <is>
          <t>K</t>
        </is>
      </c>
      <c r="O48" t="inlineStr">
        <is>
          <t>20231128, 20231129, 20231204</t>
        </is>
      </c>
      <c r="P48" t="inlineStr">
        <is>
          <t>Nusa Tenggara Barat</t>
        </is>
      </c>
      <c r="Q48" t="inlineStr"/>
    </row>
    <row r="49">
      <c r="A49" t="inlineStr">
        <is>
          <t>GIBRANAUREL PILAR PERKASA</t>
        </is>
      </c>
      <c r="B49" t="inlineStr">
        <is>
          <t>Kota Bandung</t>
        </is>
      </c>
      <c r="C49" t="inlineStr">
        <is>
          <t>02220505057</t>
        </is>
      </c>
      <c r="D49" t="inlineStr">
        <is>
          <t>ga.pilarperkasa@gmail.com</t>
        </is>
      </c>
      <c r="E49" t="inlineStr">
        <is>
          <t>https://lpjk.pu.go.id/search-badan-usaha-detail/SUdXU3IwVDdIaUFTUUYwWFhVZXQwdz09</t>
        </is>
      </c>
      <c r="F49" t="n">
        <v>10</v>
      </c>
      <c r="G49" t="inlineStr">
        <is>
          <t>BG002, BG003, BG005, BG006, BG009</t>
        </is>
      </c>
      <c r="H49" t="inlineStr">
        <is>
          <t>7 Februari 2019</t>
        </is>
      </c>
      <c r="I49" s="2" t="n">
        <v>46354</v>
      </c>
      <c r="J49" t="inlineStr">
        <is>
          <t>Disetujui</t>
        </is>
      </c>
      <c r="K49" t="n">
        <v>60</v>
      </c>
      <c r="L49" t="inlineStr">
        <is>
          <t>28 November 2026</t>
        </is>
      </c>
      <c r="M49" t="inlineStr">
        <is>
          <t>Konstruksi Gedung Industri, Konstruksi Gedung Kesehatan, Konstruksi Gedung Lainnya, Konstruksi Gedung Pendidikan, Konstruksi Gedung Perkantoran</t>
        </is>
      </c>
      <c r="N49" t="inlineStr">
        <is>
          <t>K</t>
        </is>
      </c>
      <c r="O49" t="inlineStr">
        <is>
          <t>20231128</t>
        </is>
      </c>
      <c r="P49" t="inlineStr">
        <is>
          <t>Jawa Barat</t>
        </is>
      </c>
      <c r="Q49" t="inlineStr"/>
    </row>
    <row r="50">
      <c r="A50" t="inlineStr">
        <is>
          <t>GLOBAL KALINDA TEKNIKA</t>
        </is>
      </c>
      <c r="B50" t="inlineStr">
        <is>
          <t>Kab. Jember</t>
        </is>
      </c>
      <c r="C50" t="inlineStr">
        <is>
          <t>03158251621</t>
        </is>
      </c>
      <c r="D50" t="inlineStr">
        <is>
          <t>globalkalindateknika@gmail.com</t>
        </is>
      </c>
      <c r="E50" t="inlineStr">
        <is>
          <t>https://lpjk.pu.go.id/search-badan-usaha-detail/RFZjbVgvWEYyOGV4RFZPc0tOdWxzZz09</t>
        </is>
      </c>
      <c r="F50" t="n">
        <v>1</v>
      </c>
      <c r="G50" t="inlineStr">
        <is>
          <t>BG005</t>
        </is>
      </c>
      <c r="H50" t="inlineStr">
        <is>
          <t>1 Oktober 2010</t>
        </is>
      </c>
      <c r="I50" s="2" t="n">
        <v>46354</v>
      </c>
      <c r="J50" t="inlineStr">
        <is>
          <t>Pembekuan</t>
        </is>
      </c>
      <c r="K50" t="n">
        <v>60</v>
      </c>
      <c r="L50" t="inlineStr">
        <is>
          <t>28 November 2026</t>
        </is>
      </c>
      <c r="M50" t="inlineStr">
        <is>
          <t>Konstruksi Gedung Kesehatan</t>
        </is>
      </c>
      <c r="N50" t="inlineStr">
        <is>
          <t>M</t>
        </is>
      </c>
      <c r="O50" t="inlineStr">
        <is>
          <t>20231129</t>
        </is>
      </c>
      <c r="P50" t="inlineStr">
        <is>
          <t>Jawa Timur</t>
        </is>
      </c>
      <c r="Q50" t="inlineStr"/>
    </row>
    <row r="51">
      <c r="A51" t="inlineStr">
        <is>
          <t>GLOBAL MUKTI BERKAH</t>
        </is>
      </c>
      <c r="B51" t="inlineStr">
        <is>
          <t>Kota Tangerang</t>
        </is>
      </c>
      <c r="C51" t="inlineStr">
        <is>
          <t>081283859774</t>
        </is>
      </c>
      <c r="D51" t="inlineStr">
        <is>
          <t>pt.globalmukti_berkah@yahoo.com</t>
        </is>
      </c>
      <c r="E51" t="inlineStr">
        <is>
          <t>https://lpjk.pu.go.id/search-badan-usaha-detail/RkNxYTJUaWtRRkFWdngxbDhzeXlLQT09</t>
        </is>
      </c>
      <c r="F51" t="n">
        <v>1</v>
      </c>
      <c r="G51" t="inlineStr">
        <is>
          <t>BG002</t>
        </is>
      </c>
      <c r="H51" t="inlineStr">
        <is>
          <t>12 Agustus 2021</t>
        </is>
      </c>
      <c r="I51" s="2" t="n">
        <v>46354</v>
      </c>
      <c r="J51" t="inlineStr">
        <is>
          <t>Disetujui</t>
        </is>
      </c>
      <c r="K51" t="n">
        <v>60</v>
      </c>
      <c r="L51" t="inlineStr">
        <is>
          <t>28 November 2026</t>
        </is>
      </c>
      <c r="M51" t="inlineStr">
        <is>
          <t>Konstruksi Gedung Perkantoran</t>
        </is>
      </c>
      <c r="N51" t="inlineStr">
        <is>
          <t>K</t>
        </is>
      </c>
      <c r="O51" t="inlineStr">
        <is>
          <t>20231123</t>
        </is>
      </c>
      <c r="P51" t="inlineStr">
        <is>
          <t>Banten</t>
        </is>
      </c>
      <c r="Q51" t="inlineStr"/>
    </row>
    <row r="52">
      <c r="A52" t="inlineStr">
        <is>
          <t>GUNUNG AGUNG KONTRAKTOR</t>
        </is>
      </c>
      <c r="B52" t="inlineStr">
        <is>
          <t>Kota Adm. Jakarta Pusat</t>
        </is>
      </c>
      <c r="C52" t="inlineStr">
        <is>
          <t>081315335078</t>
        </is>
      </c>
      <c r="D52" t="inlineStr">
        <is>
          <t>ptgunungagungkontraktor@gmail.com</t>
        </is>
      </c>
      <c r="E52" t="inlineStr">
        <is>
          <t>https://lpjk.pu.go.id/search-badan-usaha-detail/NVBkVml4b3lMK2pFbFJ5QzF6Rk9pQT09</t>
        </is>
      </c>
      <c r="F52" t="n">
        <v>1</v>
      </c>
      <c r="G52" t="inlineStr">
        <is>
          <t>BG003</t>
        </is>
      </c>
      <c r="H52" t="inlineStr">
        <is>
          <t>10 Juni 2022</t>
        </is>
      </c>
      <c r="I52" s="2" t="n">
        <v>46354</v>
      </c>
      <c r="J52" t="inlineStr">
        <is>
          <t>Disetujui</t>
        </is>
      </c>
      <c r="K52" t="n">
        <v>60</v>
      </c>
      <c r="L52" t="inlineStr">
        <is>
          <t>28 November 2026</t>
        </is>
      </c>
      <c r="M52" t="inlineStr">
        <is>
          <t>Konstruksi Gedung Industri</t>
        </is>
      </c>
      <c r="N52" t="inlineStr">
        <is>
          <t>B</t>
        </is>
      </c>
      <c r="O52" t="inlineStr">
        <is>
          <t>20231123</t>
        </is>
      </c>
      <c r="P52" t="inlineStr">
        <is>
          <t>DKI Jakarta</t>
        </is>
      </c>
      <c r="Q52" t="inlineStr"/>
    </row>
    <row r="53">
      <c r="A53" t="inlineStr">
        <is>
          <t>HARAPAN KITA</t>
        </is>
      </c>
      <c r="B53" t="inlineStr">
        <is>
          <t>Kota Adm. Jakarta Utara</t>
        </is>
      </c>
      <c r="C53" t="inlineStr">
        <is>
          <t>02146509064</t>
        </is>
      </c>
      <c r="D53" t="inlineStr">
        <is>
          <t>cvharapankita1981@gmail.com</t>
        </is>
      </c>
      <c r="E53" t="inlineStr">
        <is>
          <t>https://lpjk.pu.go.id/search-badan-usaha-detail/WE8zdHQyVFc1eTE3WHZzZkZKam05UT09</t>
        </is>
      </c>
      <c r="F53" t="n">
        <v>3</v>
      </c>
      <c r="G53" t="inlineStr">
        <is>
          <t>BG002, BG009, BS001</t>
        </is>
      </c>
      <c r="H53" t="inlineStr">
        <is>
          <t>14 Desember 2022</t>
        </is>
      </c>
      <c r="I53" s="2" t="n">
        <v>46354</v>
      </c>
      <c r="J53" t="inlineStr">
        <is>
          <t>Disetujui</t>
        </is>
      </c>
      <c r="K53" t="n">
        <v>60</v>
      </c>
      <c r="L53" t="inlineStr">
        <is>
          <t>28 November 2026</t>
        </is>
      </c>
      <c r="M53" t="inlineStr">
        <is>
          <t>Konstruksi Bangunan Sipil Jalan, Konstruksi Gedung Lainnya, Konstruksi Gedung Perkantoran</t>
        </is>
      </c>
      <c r="N53" t="inlineStr">
        <is>
          <t>K</t>
        </is>
      </c>
      <c r="O53" t="inlineStr">
        <is>
          <t>20231128</t>
        </is>
      </c>
      <c r="P53" t="inlineStr">
        <is>
          <t>DKI Jakarta</t>
        </is>
      </c>
      <c r="Q53" t="inlineStr"/>
    </row>
    <row r="54">
      <c r="A54" t="inlineStr">
        <is>
          <t>INDO PETANG NUSANTARA</t>
        </is>
      </c>
      <c r="B54" t="inlineStr">
        <is>
          <t>Kota Tangerang</t>
        </is>
      </c>
      <c r="C54" t="inlineStr">
        <is>
          <t>081211260866</t>
        </is>
      </c>
      <c r="D54" t="inlineStr">
        <is>
          <t>indopetangnusantara@gmail.com</t>
        </is>
      </c>
      <c r="E54" t="inlineStr">
        <is>
          <t>https://lpjk.pu.go.id/search-badan-usaha-detail/YkM2d1FCaEV5WGhQQWJPZjFWRWZLZz09</t>
        </is>
      </c>
      <c r="F54" t="n">
        <v>2</v>
      </c>
      <c r="G54" t="inlineStr">
        <is>
          <t>BG005, BG009</t>
        </is>
      </c>
      <c r="H54" t="inlineStr">
        <is>
          <t>25 Oktober 2023</t>
        </is>
      </c>
      <c r="I54" s="2" t="n">
        <v>46354</v>
      </c>
      <c r="J54" t="inlineStr">
        <is>
          <t>Disetujui</t>
        </is>
      </c>
      <c r="K54" t="n">
        <v>60</v>
      </c>
      <c r="L54" t="inlineStr">
        <is>
          <t>28 November 2026</t>
        </is>
      </c>
      <c r="M54" t="inlineStr">
        <is>
          <t>Konstruksi Gedung Kesehatan, Konstruksi Gedung Lainnya</t>
        </is>
      </c>
      <c r="N54" t="inlineStr">
        <is>
          <t>K</t>
        </is>
      </c>
      <c r="O54" t="inlineStr">
        <is>
          <t>20231125</t>
        </is>
      </c>
      <c r="P54" t="inlineStr">
        <is>
          <t>Banten</t>
        </is>
      </c>
      <c r="Q54" t="inlineStr"/>
    </row>
    <row r="55">
      <c r="A55" t="inlineStr">
        <is>
          <t>INTI KARYA ENGINEERING</t>
        </is>
      </c>
      <c r="B55" t="inlineStr">
        <is>
          <t>Kota Cilegon</t>
        </is>
      </c>
      <c r="C55" t="inlineStr">
        <is>
          <t>085281916395</t>
        </is>
      </c>
      <c r="D55" t="inlineStr">
        <is>
          <t>Inkae.banten@gmail.com</t>
        </is>
      </c>
      <c r="E55" t="inlineStr">
        <is>
          <t>https://lpjk.pu.go.id/search-badan-usaha-detail/RjJWcWdYOHJiMHZYZFp6THduQkw5Zz09</t>
        </is>
      </c>
      <c r="F55" t="n">
        <v>2</v>
      </c>
      <c r="G55" t="inlineStr">
        <is>
          <t>BG003, BG009</t>
        </is>
      </c>
      <c r="H55" t="inlineStr">
        <is>
          <t>2 April 2020</t>
        </is>
      </c>
      <c r="I55" s="2" t="n">
        <v>46354</v>
      </c>
      <c r="J55" t="inlineStr">
        <is>
          <t>Pencabutan</t>
        </is>
      </c>
      <c r="K55" t="n">
        <v>60</v>
      </c>
      <c r="L55" t="inlineStr">
        <is>
          <t>28 November 2026</t>
        </is>
      </c>
      <c r="M55" t="inlineStr">
        <is>
          <t>Konstruksi Gedung Industri, Konstruksi Gedung Lainnya</t>
        </is>
      </c>
      <c r="N55" t="inlineStr">
        <is>
          <t>K</t>
        </is>
      </c>
      <c r="O55" t="inlineStr">
        <is>
          <t>20231114</t>
        </is>
      </c>
      <c r="P55" t="inlineStr">
        <is>
          <t>Banten</t>
        </is>
      </c>
      <c r="Q55" t="inlineStr"/>
    </row>
    <row r="56">
      <c r="A56" t="inlineStr">
        <is>
          <t>JAGARNATAMA PUTRA MANDIRI</t>
        </is>
      </c>
      <c r="B56" t="inlineStr">
        <is>
          <t>Kota Padang</t>
        </is>
      </c>
      <c r="C56" t="inlineStr">
        <is>
          <t>085358618825</t>
        </is>
      </c>
      <c r="D56" t="inlineStr">
        <is>
          <t>jagarnatamaputram@gmail.com</t>
        </is>
      </c>
      <c r="E56" t="inlineStr">
        <is>
          <t>https://lpjk.pu.go.id/search-badan-usaha-detail/VkVqZllCSHVIUThRRkY3NkpBYmxMdz09</t>
        </is>
      </c>
      <c r="F56" t="n">
        <v>1</v>
      </c>
      <c r="G56" t="inlineStr">
        <is>
          <t>BS002</t>
        </is>
      </c>
      <c r="H56" t="inlineStr">
        <is>
          <t>14 Februari 2023</t>
        </is>
      </c>
      <c r="I56" s="2" t="n">
        <v>46354</v>
      </c>
      <c r="J56" t="inlineStr">
        <is>
          <t>Disetujui</t>
        </is>
      </c>
      <c r="K56" t="n">
        <v>60</v>
      </c>
      <c r="L56" t="inlineStr">
        <is>
          <t>28 November 2026</t>
        </is>
      </c>
      <c r="M56" t="inlineStr">
        <is>
          <t>Bangunan Sipil Jembatan, Jalan Layang, Fly Over, dan Underpass</t>
        </is>
      </c>
      <c r="N56" t="inlineStr">
        <is>
          <t>K</t>
        </is>
      </c>
      <c r="O56" t="inlineStr">
        <is>
          <t>20231110</t>
        </is>
      </c>
      <c r="P56" t="inlineStr">
        <is>
          <t>Sumatera Barat</t>
        </is>
      </c>
      <c r="Q56" t="inlineStr"/>
    </row>
    <row r="57">
      <c r="A57" t="inlineStr">
        <is>
          <t>JAYA MANTRA</t>
        </is>
      </c>
      <c r="B57" t="inlineStr">
        <is>
          <t>Kab. Jembrana</t>
        </is>
      </c>
      <c r="C57" t="inlineStr">
        <is>
          <t>036543754</t>
        </is>
      </c>
      <c r="D57" t="inlineStr">
        <is>
          <t>cvjayamantra@gmail.com</t>
        </is>
      </c>
      <c r="E57" t="inlineStr">
        <is>
          <t>https://lpjk.pu.go.id/search-badan-usaha-detail/NUY1R0xMYWRhTnJEVTVnVlh6MkI5UT09</t>
        </is>
      </c>
      <c r="F57" t="n">
        <v>4</v>
      </c>
      <c r="G57" t="inlineStr">
        <is>
          <t>BG002, BG005, BG006, BG009</t>
        </is>
      </c>
      <c r="H57" t="inlineStr">
        <is>
          <t>5 Mei 2011</t>
        </is>
      </c>
      <c r="I57" s="2" t="n">
        <v>46354</v>
      </c>
      <c r="J57" t="inlineStr">
        <is>
          <t>Disetujui</t>
        </is>
      </c>
      <c r="K57" t="n">
        <v>60</v>
      </c>
      <c r="L57" t="inlineStr">
        <is>
          <t>28 November 2026</t>
        </is>
      </c>
      <c r="M57" t="inlineStr">
        <is>
          <t>Konstruksi Gedung Kesehatan, Konstruksi Gedung Lainnya, Konstruksi Gedung Pendidikan, Konstruksi Gedung Perkantoran</t>
        </is>
      </c>
      <c r="N57" t="inlineStr">
        <is>
          <t>K</t>
        </is>
      </c>
      <c r="O57" t="inlineStr">
        <is>
          <t>20231122, 20231130</t>
        </is>
      </c>
      <c r="P57" t="inlineStr">
        <is>
          <t>Bali</t>
        </is>
      </c>
      <c r="Q57" t="inlineStr"/>
    </row>
    <row r="58">
      <c r="A58" t="inlineStr">
        <is>
          <t>JAYA MULYA GROUPS</t>
        </is>
      </c>
      <c r="B58" t="inlineStr">
        <is>
          <t>Kab. Gresik</t>
        </is>
      </c>
      <c r="C58" t="inlineStr">
        <is>
          <t>081217843546</t>
        </is>
      </c>
      <c r="D58" t="inlineStr">
        <is>
          <t>ptjayamulyagroups99@gmail.com</t>
        </is>
      </c>
      <c r="E58" t="inlineStr">
        <is>
          <t>https://lpjk.pu.go.id/search-badan-usaha-detail/WDJFZlBQK2d5emhwRWdPdWVqZjN2UT09</t>
        </is>
      </c>
      <c r="F58" t="n">
        <v>7</v>
      </c>
      <c r="G58" t="inlineStr">
        <is>
          <t>BG001, BG002, BG003, BG004, BG008, BS001, BS002</t>
        </is>
      </c>
      <c r="H58" t="inlineStr">
        <is>
          <t>26 Juli 2004</t>
        </is>
      </c>
      <c r="I58" s="2" t="n">
        <v>46354</v>
      </c>
      <c r="J58" t="inlineStr">
        <is>
          <t>Disetujui</t>
        </is>
      </c>
      <c r="K58" t="n">
        <v>60</v>
      </c>
      <c r="L58" t="inlineStr">
        <is>
          <t>28 November 2026</t>
        </is>
      </c>
      <c r="M58" t="inlineStr">
        <is>
          <t>Bangunan Sipil Jembatan, Jalan Layang, Fly Over, dan Underpass, Konstruksi Bangunan Sipil Jalan, Konstruksi Gedung Hunian, Konstruksi Gedung Industri, Konstruksi Gedung Perbelanjaan, Konstruksi Gedung Perkantoran, Konstruksi Gedung Tempat Hiburan dan Olahraga</t>
        </is>
      </c>
      <c r="N58" t="inlineStr">
        <is>
          <t>K</t>
        </is>
      </c>
      <c r="O58" t="inlineStr">
        <is>
          <t>20231127, 20231128</t>
        </is>
      </c>
      <c r="P58" t="inlineStr">
        <is>
          <t>Jawa Timur</t>
        </is>
      </c>
      <c r="Q58" t="inlineStr"/>
    </row>
    <row r="59">
      <c r="A59" t="inlineStr">
        <is>
          <t>JAYA SAKTI</t>
        </is>
      </c>
      <c r="B59" t="inlineStr">
        <is>
          <t>Kota Semarang</t>
        </is>
      </c>
      <c r="C59" t="inlineStr">
        <is>
          <t>081324882627</t>
        </is>
      </c>
      <c r="D59" t="inlineStr">
        <is>
          <t>jayasakti2017@gmail.com</t>
        </is>
      </c>
      <c r="E59" t="inlineStr">
        <is>
          <t>https://lpjk.pu.go.id/search-badan-usaha-detail/RlhuKy92Y0s5WldySmpNZWVsWUkxdz09</t>
        </is>
      </c>
      <c r="F59" t="n">
        <v>3</v>
      </c>
      <c r="G59" t="inlineStr">
        <is>
          <t>BG005, BG009, BS005</t>
        </is>
      </c>
      <c r="H59" t="inlineStr">
        <is>
          <t>30 November 2016</t>
        </is>
      </c>
      <c r="I59" s="2" t="n">
        <v>46354</v>
      </c>
      <c r="J59" t="inlineStr">
        <is>
          <t>Pencabutan</t>
        </is>
      </c>
      <c r="K59" t="n">
        <v>60</v>
      </c>
      <c r="L59" t="inlineStr">
        <is>
          <t>28 November 2026</t>
        </is>
      </c>
      <c r="M59" t="inlineStr">
        <is>
          <t>Konstruksi Bangunan Sipil Pengolahan Air Bersih, Konstruksi Gedung Kesehatan, Konstruksi Gedung Lainnya</t>
        </is>
      </c>
      <c r="N59" t="inlineStr">
        <is>
          <t>K</t>
        </is>
      </c>
      <c r="O59" t="inlineStr">
        <is>
          <t>20231128, 20231129</t>
        </is>
      </c>
      <c r="P59" t="inlineStr">
        <is>
          <t>Jawa Tengah</t>
        </is>
      </c>
      <c r="Q59" t="inlineStr"/>
    </row>
    <row r="60">
      <c r="A60" t="inlineStr">
        <is>
          <t>JAYO MAJU LAKSANA</t>
        </is>
      </c>
      <c r="B60" t="inlineStr">
        <is>
          <t>Kab. Sukabumi</t>
        </is>
      </c>
      <c r="C60" t="inlineStr">
        <is>
          <t>081211608088</t>
        </is>
      </c>
      <c r="D60" t="inlineStr">
        <is>
          <t>ptjayomajulaksana@gmail.com</t>
        </is>
      </c>
      <c r="E60" t="inlineStr">
        <is>
          <t>https://lpjk.pu.go.id/search-badan-usaha-detail/Tk5EZW1iNFJoR3lYY0RxdEdNOWVqUT09</t>
        </is>
      </c>
      <c r="F60" t="n">
        <v>1</v>
      </c>
      <c r="G60" t="inlineStr">
        <is>
          <t>AR001</t>
        </is>
      </c>
      <c r="H60" t="inlineStr">
        <is>
          <t>4 Agustus 2023</t>
        </is>
      </c>
      <c r="I60" s="2" t="n">
        <v>46354</v>
      </c>
      <c r="J60" t="inlineStr">
        <is>
          <t>Disetujui</t>
        </is>
      </c>
      <c r="K60" t="n">
        <v>60</v>
      </c>
      <c r="L60" t="inlineStr">
        <is>
          <t>28 November 2026</t>
        </is>
      </c>
      <c r="M60" t="inlineStr">
        <is>
          <t>Jasa Arsitektural Bangunan Gedung Hunian dan Non Hunian</t>
        </is>
      </c>
      <c r="N60" t="inlineStr">
        <is>
          <t>K</t>
        </is>
      </c>
      <c r="O60" t="inlineStr">
        <is>
          <t>20231116</t>
        </is>
      </c>
      <c r="P60" t="inlineStr">
        <is>
          <t>Jawa Barat</t>
        </is>
      </c>
      <c r="Q60" t="inlineStr"/>
    </row>
    <row r="61">
      <c r="A61" t="inlineStr">
        <is>
          <t>JEMBAR UTAMA</t>
        </is>
      </c>
      <c r="B61" t="inlineStr">
        <is>
          <t>Kab. Tangerang</t>
        </is>
      </c>
      <c r="C61" t="inlineStr">
        <is>
          <t>0215531480</t>
        </is>
      </c>
      <c r="D61" t="inlineStr">
        <is>
          <t>pt.jembar.utama@gmail.com</t>
        </is>
      </c>
      <c r="E61" t="inlineStr">
        <is>
          <t>https://lpjk.pu.go.id/search-badan-usaha-detail/eUVuTzJLSXphcWxsYzh2RjkyOWYxZz09</t>
        </is>
      </c>
      <c r="F61" t="n">
        <v>1</v>
      </c>
      <c r="G61" t="inlineStr">
        <is>
          <t>BG008</t>
        </is>
      </c>
      <c r="H61" t="inlineStr">
        <is>
          <t>6 Desember 2013</t>
        </is>
      </c>
      <c r="I61" s="2" t="n">
        <v>46354</v>
      </c>
      <c r="J61" t="inlineStr">
        <is>
          <t>Disetujui</t>
        </is>
      </c>
      <c r="K61" t="n">
        <v>60</v>
      </c>
      <c r="L61" t="inlineStr">
        <is>
          <t>28 November 2026</t>
        </is>
      </c>
      <c r="M61" t="inlineStr">
        <is>
          <t>Konstruksi Gedung Tempat Hiburan dan Olahraga</t>
        </is>
      </c>
      <c r="N61" t="inlineStr">
        <is>
          <t>M</t>
        </is>
      </c>
      <c r="O61" t="inlineStr">
        <is>
          <t>20231127</t>
        </is>
      </c>
      <c r="P61" t="inlineStr">
        <is>
          <t>Banten</t>
        </is>
      </c>
      <c r="Q61" t="inlineStr"/>
    </row>
    <row r="62">
      <c r="A62" t="inlineStr">
        <is>
          <t>KARYA LIMA SEKAWAN</t>
        </is>
      </c>
      <c r="B62" t="inlineStr">
        <is>
          <t>Kota Cilegon</t>
        </is>
      </c>
      <c r="C62" t="inlineStr">
        <is>
          <t>02547814749</t>
        </is>
      </c>
      <c r="D62" t="inlineStr">
        <is>
          <t>pt.kalis54@gmail.com</t>
        </is>
      </c>
      <c r="E62" t="inlineStr">
        <is>
          <t>https://lpjk.pu.go.id/search-badan-usaha-detail/T0lERFhOSE9FSWRBUmFQb1lBNENKZz09</t>
        </is>
      </c>
      <c r="F62" t="n">
        <v>1</v>
      </c>
      <c r="G62" t="inlineStr">
        <is>
          <t>BS011</t>
        </is>
      </c>
      <c r="H62" t="inlineStr">
        <is>
          <t>14 Maret 2012</t>
        </is>
      </c>
      <c r="I62" s="2" t="n">
        <v>46354</v>
      </c>
      <c r="J62" t="inlineStr">
        <is>
          <t>Disetujui</t>
        </is>
      </c>
      <c r="K62" t="n">
        <v>60</v>
      </c>
      <c r="L62" t="inlineStr">
        <is>
          <t>28 November 2026</t>
        </is>
      </c>
      <c r="M62" t="inlineStr">
        <is>
          <t>Konstruksi Bangunan Pelabuhan Bukan Perikanan</t>
        </is>
      </c>
      <c r="N62" t="inlineStr">
        <is>
          <t>K</t>
        </is>
      </c>
      <c r="O62" t="inlineStr">
        <is>
          <t>20231124</t>
        </is>
      </c>
      <c r="P62" t="inlineStr">
        <is>
          <t>Banten</t>
        </is>
      </c>
      <c r="Q62" t="inlineStr"/>
    </row>
    <row r="63">
      <c r="A63" t="inlineStr">
        <is>
          <t>KARYAINDO CIPTANUSA</t>
        </is>
      </c>
      <c r="B63" t="inlineStr">
        <is>
          <t>Kota Adm. Jakarta Barat</t>
        </is>
      </c>
      <c r="C63" t="inlineStr">
        <is>
          <t>0215801105</t>
        </is>
      </c>
      <c r="D63" t="inlineStr">
        <is>
          <t>karyaindociptanusa@protonmail.com</t>
        </is>
      </c>
      <c r="E63" t="inlineStr">
        <is>
          <t>https://lpjk.pu.go.id/search-badan-usaha-detail/akM2ajBjRVUwQ3NTWU5oU0pUUnBJUT09</t>
        </is>
      </c>
      <c r="F63" t="n">
        <v>1</v>
      </c>
      <c r="G63" t="inlineStr">
        <is>
          <t>BS001</t>
        </is>
      </c>
      <c r="H63" t="inlineStr">
        <is>
          <t>1 September 2023</t>
        </is>
      </c>
      <c r="I63" s="2" t="n">
        <v>46354</v>
      </c>
      <c r="J63" t="inlineStr">
        <is>
          <t>Disetujui</t>
        </is>
      </c>
      <c r="K63" t="n">
        <v>60</v>
      </c>
      <c r="L63" t="inlineStr">
        <is>
          <t>28 November 2026</t>
        </is>
      </c>
      <c r="M63" t="inlineStr">
        <is>
          <t>Konstruksi Bangunan Sipil Jalan</t>
        </is>
      </c>
      <c r="N63" t="inlineStr">
        <is>
          <t>K</t>
        </is>
      </c>
      <c r="O63" t="inlineStr">
        <is>
          <t>20231116</t>
        </is>
      </c>
      <c r="P63" t="inlineStr">
        <is>
          <t>DKI Jakarta</t>
        </is>
      </c>
      <c r="Q63" t="inlineStr"/>
    </row>
    <row r="64">
      <c r="A64" t="inlineStr">
        <is>
          <t>KASTARA UTAMA KONSULTAN</t>
        </is>
      </c>
      <c r="B64" t="inlineStr">
        <is>
          <t>Kab. Bantul</t>
        </is>
      </c>
      <c r="C64" t="inlineStr">
        <is>
          <t>085866895069</t>
        </is>
      </c>
      <c r="D64" t="inlineStr">
        <is>
          <t>kastarautamakonsultan0222@gmail.com</t>
        </is>
      </c>
      <c r="E64" t="inlineStr">
        <is>
          <t>https://lpjk.pu.go.id/search-badan-usaha-detail/MjRua1JTeGE0Y284VjRhNzZUaUpjQT09</t>
        </is>
      </c>
      <c r="F64" t="n">
        <v>3</v>
      </c>
      <c r="G64" t="inlineStr">
        <is>
          <t>RK002, RK003, RK005</t>
        </is>
      </c>
      <c r="H64" t="inlineStr">
        <is>
          <t>2 Februari 2022</t>
        </is>
      </c>
      <c r="I64" s="2" t="n">
        <v>46354</v>
      </c>
      <c r="J64" t="inlineStr">
        <is>
          <t>Disetujui</t>
        </is>
      </c>
      <c r="K64" t="n">
        <v>60</v>
      </c>
      <c r="L64" t="inlineStr">
        <is>
          <t>28 November 2026</t>
        </is>
      </c>
      <c r="M64" t="inlineStr">
        <is>
          <t>Jasa Rekayasa Lainnya, Jasa Rekayasa Pekerjaan Teknik Sipil Sumber Daya Air, Jasa Rekayasa Pekerjaan Teknik Sipil Transportasi</t>
        </is>
      </c>
      <c r="N64" t="inlineStr">
        <is>
          <t>K</t>
        </is>
      </c>
      <c r="O64" t="inlineStr">
        <is>
          <t>20231109, 20231121</t>
        </is>
      </c>
      <c r="P64" t="inlineStr">
        <is>
          <t>DI Yogyakarta</t>
        </is>
      </c>
      <c r="Q64" t="inlineStr"/>
    </row>
    <row r="65">
      <c r="A65" t="inlineStr">
        <is>
          <t>KAYAN UTAMA</t>
        </is>
      </c>
      <c r="B65" t="inlineStr">
        <is>
          <t>Kota Tarakan</t>
        </is>
      </c>
      <c r="C65" t="inlineStr">
        <is>
          <t>081347822757</t>
        </is>
      </c>
      <c r="D65" t="inlineStr">
        <is>
          <t>kayanutama@gmail.com</t>
        </is>
      </c>
      <c r="E65" t="inlineStr">
        <is>
          <t>https://lpjk.pu.go.id/search-badan-usaha-detail/bDFaOUh5MHVQa1hsVWVMMU1QWlFadz09</t>
        </is>
      </c>
      <c r="F65" t="n">
        <v>1</v>
      </c>
      <c r="G65" t="inlineStr">
        <is>
          <t>BG006</t>
        </is>
      </c>
      <c r="H65" t="inlineStr">
        <is>
          <t>5 Januari 2022</t>
        </is>
      </c>
      <c r="I65" s="2" t="n">
        <v>46354</v>
      </c>
      <c r="J65" t="inlineStr">
        <is>
          <t>Disetujui</t>
        </is>
      </c>
      <c r="K65" t="n">
        <v>60</v>
      </c>
      <c r="L65" t="inlineStr">
        <is>
          <t>28 November 2026</t>
        </is>
      </c>
      <c r="M65" t="inlineStr">
        <is>
          <t>Konstruksi Gedung Pendidikan</t>
        </is>
      </c>
      <c r="N65" t="inlineStr">
        <is>
          <t>K</t>
        </is>
      </c>
      <c r="O65" t="inlineStr">
        <is>
          <t>20231122</t>
        </is>
      </c>
      <c r="P65" t="inlineStr">
        <is>
          <t>Kalimantan Utara</t>
        </is>
      </c>
      <c r="Q65" t="inlineStr"/>
    </row>
    <row r="66">
      <c r="A66" t="inlineStr">
        <is>
          <t>KILAT JAYA</t>
        </is>
      </c>
      <c r="B66" t="inlineStr">
        <is>
          <t>Kota Manado</t>
        </is>
      </c>
      <c r="C66" t="inlineStr">
        <is>
          <t>08114309181</t>
        </is>
      </c>
      <c r="D66" t="inlineStr">
        <is>
          <t>kilatjaya2016@gmail.com</t>
        </is>
      </c>
      <c r="E66" t="inlineStr">
        <is>
          <t>https://lpjk.pu.go.id/search-badan-usaha-detail/YWJld3dFNTRQcm8ydFRzelY1U3Y2QT09</t>
        </is>
      </c>
      <c r="F66" t="n">
        <v>1</v>
      </c>
      <c r="G66" t="inlineStr">
        <is>
          <t>BS007</t>
        </is>
      </c>
      <c r="H66" t="inlineStr">
        <is>
          <t>6 April 2016</t>
        </is>
      </c>
      <c r="I66" s="2" t="n">
        <v>46354</v>
      </c>
      <c r="J66" t="inlineStr">
        <is>
          <t>Disetujui</t>
        </is>
      </c>
      <c r="K66" t="n">
        <v>60</v>
      </c>
      <c r="L66" t="inlineStr">
        <is>
          <t>28 November 2026</t>
        </is>
      </c>
      <c r="M66" t="inlineStr">
        <is>
          <t>Konstruksi Bangunan Sipil Elektrikal</t>
        </is>
      </c>
      <c r="N66" t="inlineStr">
        <is>
          <t>K</t>
        </is>
      </c>
      <c r="O66" t="inlineStr">
        <is>
          <t>20231106</t>
        </is>
      </c>
      <c r="P66" t="inlineStr">
        <is>
          <t>Sulawesi Utara</t>
        </is>
      </c>
      <c r="Q66" t="inlineStr"/>
    </row>
    <row r="67">
      <c r="A67" t="inlineStr">
        <is>
          <t>KONARS RWX MISSION</t>
        </is>
      </c>
      <c r="B67" t="inlineStr">
        <is>
          <t>Kota Bandung</t>
        </is>
      </c>
      <c r="C67" t="inlineStr">
        <is>
          <t>087811007993</t>
        </is>
      </c>
      <c r="D67" t="inlineStr">
        <is>
          <t>ptkonarsrwxmission@gmail.com</t>
        </is>
      </c>
      <c r="E67" t="inlineStr">
        <is>
          <t>https://lpjk.pu.go.id/search-badan-usaha-detail/YjFKNW1XbmxaS2FYRXJRWURsbnhiQT09</t>
        </is>
      </c>
      <c r="F67" t="n">
        <v>1</v>
      </c>
      <c r="G67" t="inlineStr">
        <is>
          <t>AR001</t>
        </is>
      </c>
      <c r="H67" t="inlineStr">
        <is>
          <t>31 Oktober 2023</t>
        </is>
      </c>
      <c r="I67" s="2" t="n">
        <v>46354</v>
      </c>
      <c r="J67" t="inlineStr">
        <is>
          <t>Disetujui</t>
        </is>
      </c>
      <c r="K67" t="n">
        <v>60</v>
      </c>
      <c r="L67" t="inlineStr">
        <is>
          <t>28 November 2026</t>
        </is>
      </c>
      <c r="M67" t="inlineStr">
        <is>
          <t>Jasa Arsitektural Bangunan Gedung Hunian dan Non Hunian</t>
        </is>
      </c>
      <c r="N67" t="inlineStr">
        <is>
          <t>K</t>
        </is>
      </c>
      <c r="O67" t="inlineStr">
        <is>
          <t>20231116</t>
        </is>
      </c>
      <c r="P67" t="inlineStr">
        <is>
          <t>Jawa Barat</t>
        </is>
      </c>
      <c r="Q67" t="inlineStr"/>
    </row>
    <row r="68">
      <c r="A68" t="inlineStr">
        <is>
          <t>KONSTRUKSI ANTAPURA ABADI</t>
        </is>
      </c>
      <c r="B68" t="inlineStr">
        <is>
          <t>Kota Cirebon</t>
        </is>
      </c>
      <c r="C68" t="inlineStr">
        <is>
          <t>081333347137</t>
        </is>
      </c>
      <c r="D68" t="inlineStr">
        <is>
          <t>konstruksiantapuraabadi@gmail.com</t>
        </is>
      </c>
      <c r="E68" t="inlineStr">
        <is>
          <t>https://lpjk.pu.go.id/search-badan-usaha-detail/d3dBN3JXZlY4RVRMYUw1QllaS0p5Zz09</t>
        </is>
      </c>
      <c r="F68" t="n">
        <v>4</v>
      </c>
      <c r="G68" t="inlineStr">
        <is>
          <t>BS001, BS002, BS004, BS010</t>
        </is>
      </c>
      <c r="H68" t="inlineStr">
        <is>
          <t>19 September 2019</t>
        </is>
      </c>
      <c r="I68" s="2" t="n">
        <v>46354</v>
      </c>
      <c r="J68" t="inlineStr">
        <is>
          <t>Disetujui</t>
        </is>
      </c>
      <c r="K68" t="n">
        <v>60</v>
      </c>
      <c r="L68" t="inlineStr">
        <is>
          <t>28 November 2026</t>
        </is>
      </c>
      <c r="M68" t="inlineStr">
        <is>
          <t>Bangunan Sipil Jembatan, Jalan Layang, Fly Over, dan Underpass, Konstruksi Bangunan Prasarana Sumber Daya Air, Konstruksi Bangunan Sipil Jalan, Konstruksi Jaringan Irigasi dan Drainase</t>
        </is>
      </c>
      <c r="N68" t="inlineStr">
        <is>
          <t>K</t>
        </is>
      </c>
      <c r="O68" t="inlineStr">
        <is>
          <t>20231128, 20231129</t>
        </is>
      </c>
      <c r="P68" t="inlineStr">
        <is>
          <t>Jawa Barat</t>
        </is>
      </c>
      <c r="Q68" t="inlineStr"/>
    </row>
    <row r="69">
      <c r="A69" t="inlineStr">
        <is>
          <t>LANGIT BINTANG SUKSES</t>
        </is>
      </c>
      <c r="B69" t="inlineStr">
        <is>
          <t>Kab. Cirebon</t>
        </is>
      </c>
      <c r="C69" t="inlineStr">
        <is>
          <t>08111665595</t>
        </is>
      </c>
      <c r="D69" t="inlineStr">
        <is>
          <t>langitbintangsukses@gmail.com</t>
        </is>
      </c>
      <c r="E69" t="inlineStr">
        <is>
          <t>https://lpjk.pu.go.id/search-badan-usaha-detail/VklLQ2VuNHkzZjRCeW84L0xCMDladz09</t>
        </is>
      </c>
      <c r="F69" t="n">
        <v>1</v>
      </c>
      <c r="G69" t="inlineStr">
        <is>
          <t>BG003</t>
        </is>
      </c>
      <c r="H69" t="inlineStr"/>
      <c r="I69" s="2" t="n">
        <v>46354</v>
      </c>
      <c r="J69" t="inlineStr">
        <is>
          <t>Disetujui</t>
        </is>
      </c>
      <c r="K69" t="n">
        <v>60</v>
      </c>
      <c r="L69" t="inlineStr">
        <is>
          <t>28 November 2026</t>
        </is>
      </c>
      <c r="M69" t="inlineStr">
        <is>
          <t>Konstruksi Gedung Industri</t>
        </is>
      </c>
      <c r="N69" t="inlineStr">
        <is>
          <t>K</t>
        </is>
      </c>
      <c r="O69" t="inlineStr">
        <is>
          <t>20231128</t>
        </is>
      </c>
      <c r="P69" t="inlineStr">
        <is>
          <t>Jawa Barat</t>
        </is>
      </c>
      <c r="Q69" t="inlineStr"/>
    </row>
    <row r="70">
      <c r="A70" t="inlineStr">
        <is>
          <t>LEGAL AKSES PARTNER</t>
        </is>
      </c>
      <c r="B70" t="inlineStr">
        <is>
          <t>Kab. Lombok Tengah</t>
        </is>
      </c>
      <c r="C70" t="inlineStr">
        <is>
          <t>087854533885</t>
        </is>
      </c>
      <c r="D70" t="inlineStr">
        <is>
          <t>legalakses2017@gmail.com</t>
        </is>
      </c>
      <c r="E70" t="inlineStr">
        <is>
          <t>https://lpjk.pu.go.id/search-badan-usaha-detail/Z29KWUFKMnJPRFdkdWh3UXVQY2QzZz09</t>
        </is>
      </c>
      <c r="F70" t="n">
        <v>1</v>
      </c>
      <c r="G70" t="inlineStr">
        <is>
          <t>BG009</t>
        </is>
      </c>
      <c r="H70" t="inlineStr">
        <is>
          <t>10 Juli 2017</t>
        </is>
      </c>
      <c r="I70" s="2" t="n">
        <v>46354</v>
      </c>
      <c r="J70" t="inlineStr">
        <is>
          <t>Pencabutan</t>
        </is>
      </c>
      <c r="K70" t="n">
        <v>60</v>
      </c>
      <c r="L70" t="inlineStr">
        <is>
          <t>28 November 2026</t>
        </is>
      </c>
      <c r="M70" t="inlineStr">
        <is>
          <t>Konstruksi Gedung Lainnya</t>
        </is>
      </c>
      <c r="N70" t="inlineStr">
        <is>
          <t>K</t>
        </is>
      </c>
      <c r="O70" t="inlineStr">
        <is>
          <t>20231120</t>
        </is>
      </c>
      <c r="P70" t="inlineStr">
        <is>
          <t>Nusa Tenggara Barat</t>
        </is>
      </c>
      <c r="Q70" t="inlineStr"/>
    </row>
    <row r="71">
      <c r="A71" t="inlineStr">
        <is>
          <t>MAHA KARYA SEMESTA</t>
        </is>
      </c>
      <c r="B71" t="inlineStr">
        <is>
          <t>Kota Makassar</t>
        </is>
      </c>
      <c r="C71" t="inlineStr">
        <is>
          <t>085242054774</t>
        </is>
      </c>
      <c r="D71" t="inlineStr">
        <is>
          <t>mahakaryasemesta08@gmail.com</t>
        </is>
      </c>
      <c r="E71" t="inlineStr">
        <is>
          <t>https://lpjk.pu.go.id/search-badan-usaha-detail/ejNYNjBSOTl0ZmxJdDlMd0E5dmJQZz09</t>
        </is>
      </c>
      <c r="F71" t="n">
        <v>5</v>
      </c>
      <c r="G71" t="inlineStr">
        <is>
          <t>BG002, BG006, BG009, BS001, BS004</t>
        </is>
      </c>
      <c r="H71" t="inlineStr">
        <is>
          <t>18 Mei 2020</t>
        </is>
      </c>
      <c r="I71" s="2" t="n">
        <v>46354</v>
      </c>
      <c r="J71" t="inlineStr">
        <is>
          <t>Disetujui</t>
        </is>
      </c>
      <c r="K71" t="n">
        <v>60</v>
      </c>
      <c r="L71" t="inlineStr">
        <is>
          <t>28 November 2026</t>
        </is>
      </c>
      <c r="M71" t="inlineStr">
        <is>
          <t>Konstruksi Bangunan Sipil Jalan, Konstruksi Gedung Lainnya, Konstruksi Gedung Pendidikan, Konstruksi Gedung Perkantoran, Konstruksi Jaringan Irigasi dan Drainase</t>
        </is>
      </c>
      <c r="N71" t="inlineStr">
        <is>
          <t>K</t>
        </is>
      </c>
      <c r="O71" t="inlineStr">
        <is>
          <t>20231125, 20231127</t>
        </is>
      </c>
      <c r="P71" t="inlineStr">
        <is>
          <t>Sulawesi Selatan</t>
        </is>
      </c>
      <c r="Q71" t="inlineStr"/>
    </row>
    <row r="72">
      <c r="A72" t="inlineStr">
        <is>
          <t>MAJU BERSAMA</t>
        </is>
      </c>
      <c r="B72" t="inlineStr">
        <is>
          <t>Kota Semarang</t>
        </is>
      </c>
      <c r="C72" t="inlineStr">
        <is>
          <t>085865218318</t>
        </is>
      </c>
      <c r="D72" t="inlineStr">
        <is>
          <t>bersama.kitabisa888@gmail.com</t>
        </is>
      </c>
      <c r="E72" t="inlineStr">
        <is>
          <t>https://lpjk.pu.go.id/search-badan-usaha-detail/Y3BmdGR3eVdLVkRHcE1JMkF6QWdhUT09</t>
        </is>
      </c>
      <c r="F72" t="n">
        <v>5</v>
      </c>
      <c r="G72" t="inlineStr">
        <is>
          <t>BG001, BG002, BG005, BG006, BG009</t>
        </is>
      </c>
      <c r="H72" t="inlineStr">
        <is>
          <t>1 Januari 2018</t>
        </is>
      </c>
      <c r="I72" s="2" t="n">
        <v>46354</v>
      </c>
      <c r="J72" t="inlineStr">
        <is>
          <t>Disetujui</t>
        </is>
      </c>
      <c r="K72" t="n">
        <v>60</v>
      </c>
      <c r="L72" t="inlineStr">
        <is>
          <t>28 November 2026</t>
        </is>
      </c>
      <c r="M72" t="inlineStr">
        <is>
          <t>Konstruksi Gedung Hunian, Konstruksi Gedung Kesehatan, Konstruksi Gedung Lainnya, Konstruksi Gedung Pendidikan, Konstruksi Gedung Perkantoran</t>
        </is>
      </c>
      <c r="N72" t="inlineStr">
        <is>
          <t>K</t>
        </is>
      </c>
      <c r="O72" t="inlineStr">
        <is>
          <t>20231129, 20231130</t>
        </is>
      </c>
      <c r="P72" t="inlineStr">
        <is>
          <t>Jawa Tengah</t>
        </is>
      </c>
      <c r="Q72" t="inlineStr"/>
    </row>
    <row r="73">
      <c r="A73" t="inlineStr">
        <is>
          <t>MAKSUM PUTRA JAYA</t>
        </is>
      </c>
      <c r="B73" t="inlineStr">
        <is>
          <t>Kab. Pati</t>
        </is>
      </c>
      <c r="C73" t="inlineStr">
        <is>
          <t>082325529866</t>
        </is>
      </c>
      <c r="D73" t="inlineStr">
        <is>
          <t>cv.maksumputrajayapati@gmail.com</t>
        </is>
      </c>
      <c r="E73" t="inlineStr">
        <is>
          <t>https://lpjk.pu.go.id/search-badan-usaha-detail/SS9hY2IxMWtvWlVCR1pndUsva3ZIZz09</t>
        </is>
      </c>
      <c r="F73" t="n">
        <v>3</v>
      </c>
      <c r="G73" t="inlineStr">
        <is>
          <t>BS001, BS002, BS004</t>
        </is>
      </c>
      <c r="H73" t="inlineStr">
        <is>
          <t>13 Juli 2020</t>
        </is>
      </c>
      <c r="I73" s="2" t="n">
        <v>46354</v>
      </c>
      <c r="J73" t="inlineStr">
        <is>
          <t>Pencabutan</t>
        </is>
      </c>
      <c r="K73" t="n">
        <v>60</v>
      </c>
      <c r="L73" t="inlineStr">
        <is>
          <t>28 November 2026</t>
        </is>
      </c>
      <c r="M73" t="inlineStr">
        <is>
          <t>Bangunan Sipil Jembatan, Jalan Layang, Fly Over, dan Underpass, Konstruksi Bangunan Sipil Jalan, Konstruksi Jaringan Irigasi dan Drainase</t>
        </is>
      </c>
      <c r="N73" t="inlineStr">
        <is>
          <t>K</t>
        </is>
      </c>
      <c r="O73" t="inlineStr">
        <is>
          <t>20231005, 20231102</t>
        </is>
      </c>
      <c r="P73" t="inlineStr">
        <is>
          <t>Jawa Tengah</t>
        </is>
      </c>
      <c r="Q73" t="inlineStr"/>
    </row>
    <row r="74">
      <c r="A74" t="inlineStr">
        <is>
          <t>MANGARA PERMATA</t>
        </is>
      </c>
      <c r="B74" t="inlineStr">
        <is>
          <t>Kota Medan</t>
        </is>
      </c>
      <c r="C74" t="inlineStr">
        <is>
          <t>085360988556</t>
        </is>
      </c>
      <c r="D74" t="inlineStr">
        <is>
          <t>mangarapermata.cv@gmail.com</t>
        </is>
      </c>
      <c r="E74" t="inlineStr">
        <is>
          <t>https://lpjk.pu.go.id/search-badan-usaha-detail/V3h5VFFuNEtCYjdDREVmcXRrNE1sQT09</t>
        </is>
      </c>
      <c r="F74" t="n">
        <v>2</v>
      </c>
      <c r="G74" t="inlineStr">
        <is>
          <t>BG009, BS001</t>
        </is>
      </c>
      <c r="H74" t="inlineStr">
        <is>
          <t>28 Juni 2016</t>
        </is>
      </c>
      <c r="I74" s="2" t="n">
        <v>46354</v>
      </c>
      <c r="J74" t="inlineStr">
        <is>
          <t>Disetujui</t>
        </is>
      </c>
      <c r="K74" t="n">
        <v>60</v>
      </c>
      <c r="L74" t="inlineStr">
        <is>
          <t>28 November 2026</t>
        </is>
      </c>
      <c r="M74" t="inlineStr">
        <is>
          <t>Konstruksi Bangunan Sipil Jalan, Konstruksi Gedung Lainnya</t>
        </is>
      </c>
      <c r="N74" t="inlineStr">
        <is>
          <t>K</t>
        </is>
      </c>
      <c r="O74" t="inlineStr">
        <is>
          <t>20231127, 20231128</t>
        </is>
      </c>
      <c r="P74" t="inlineStr">
        <is>
          <t>Sumatera Utara</t>
        </is>
      </c>
      <c r="Q74" t="inlineStr"/>
    </row>
    <row r="75">
      <c r="A75" t="inlineStr">
        <is>
          <t>MANGGALA</t>
        </is>
      </c>
      <c r="B75" t="inlineStr">
        <is>
          <t>Kota Denpasar</t>
        </is>
      </c>
      <c r="C75" t="inlineStr">
        <is>
          <t>081337324272</t>
        </is>
      </c>
      <c r="D75" t="inlineStr">
        <is>
          <t>cv.manggala20@ymail.com</t>
        </is>
      </c>
      <c r="E75" t="inlineStr">
        <is>
          <t>https://lpjk.pu.go.id/search-badan-usaha-detail/b3BtdTFYRG1kR1JDeHdNMzQrK2p4QT09</t>
        </is>
      </c>
      <c r="F75" t="n">
        <v>1</v>
      </c>
      <c r="G75" t="inlineStr">
        <is>
          <t>BG002</t>
        </is>
      </c>
      <c r="H75" t="inlineStr">
        <is>
          <t>31 Agustus 1984</t>
        </is>
      </c>
      <c r="I75" s="2" t="n">
        <v>46354</v>
      </c>
      <c r="J75" t="inlineStr">
        <is>
          <t>Disetujui</t>
        </is>
      </c>
      <c r="K75" t="n">
        <v>60</v>
      </c>
      <c r="L75" t="inlineStr">
        <is>
          <t>28 November 2026</t>
        </is>
      </c>
      <c r="M75" t="inlineStr">
        <is>
          <t>Konstruksi Gedung Perkantoran</t>
        </is>
      </c>
      <c r="N75" t="inlineStr">
        <is>
          <t>K</t>
        </is>
      </c>
      <c r="O75" t="inlineStr">
        <is>
          <t>20231123</t>
        </is>
      </c>
      <c r="P75" t="inlineStr">
        <is>
          <t>Bali</t>
        </is>
      </c>
      <c r="Q75" t="inlineStr"/>
    </row>
    <row r="76">
      <c r="A76" t="inlineStr">
        <is>
          <t>MARGA GIRI SENTOSA</t>
        </is>
      </c>
      <c r="B76" t="inlineStr">
        <is>
          <t>Kab. Tangerang</t>
        </is>
      </c>
      <c r="C76" t="inlineStr">
        <is>
          <t>-</t>
        </is>
      </c>
      <c r="D76" t="inlineStr">
        <is>
          <t>kawagrahamas@gmail.com</t>
        </is>
      </c>
      <c r="E76" t="inlineStr">
        <is>
          <t>https://lpjk.pu.go.id/search-badan-usaha-detail/ZG9xYlBoWktoWlFYSTVuVUo4YXZRUT09</t>
        </is>
      </c>
      <c r="F76" t="n">
        <v>1</v>
      </c>
      <c r="G76" t="inlineStr">
        <is>
          <t>BG001</t>
        </is>
      </c>
      <c r="H76" t="inlineStr">
        <is>
          <t>1 Januari 2018</t>
        </is>
      </c>
      <c r="I76" s="2" t="n">
        <v>46354</v>
      </c>
      <c r="J76" t="inlineStr">
        <is>
          <t>Disetujui</t>
        </is>
      </c>
      <c r="K76" t="n">
        <v>60</v>
      </c>
      <c r="L76" t="inlineStr">
        <is>
          <t>28 November 2026</t>
        </is>
      </c>
      <c r="M76" t="inlineStr">
        <is>
          <t>Konstruksi Gedung Hunian</t>
        </is>
      </c>
      <c r="N76" t="inlineStr">
        <is>
          <t>K</t>
        </is>
      </c>
      <c r="O76" t="inlineStr">
        <is>
          <t>20231128</t>
        </is>
      </c>
      <c r="P76" t="inlineStr">
        <is>
          <t>Banten</t>
        </is>
      </c>
      <c r="Q76" t="inlineStr"/>
    </row>
    <row r="77">
      <c r="A77" t="inlineStr">
        <is>
          <t>MASA BAROKAH</t>
        </is>
      </c>
      <c r="B77" t="inlineStr">
        <is>
          <t>Kab. Gresik</t>
        </is>
      </c>
      <c r="C77" t="inlineStr">
        <is>
          <t>081375354354</t>
        </is>
      </c>
      <c r="D77" t="inlineStr">
        <is>
          <t>masabarokah@gmail.com</t>
        </is>
      </c>
      <c r="E77" t="inlineStr">
        <is>
          <t>https://lpjk.pu.go.id/search-badan-usaha-detail/UmRjb2xwQTRGTmVDY1RBeUVmZkRUZz09</t>
        </is>
      </c>
      <c r="F77" t="n">
        <v>1</v>
      </c>
      <c r="G77" t="inlineStr">
        <is>
          <t>BG009</t>
        </is>
      </c>
      <c r="H77" t="inlineStr">
        <is>
          <t>28 Desember 2017</t>
        </is>
      </c>
      <c r="I77" s="2" t="n">
        <v>46354</v>
      </c>
      <c r="J77" t="inlineStr">
        <is>
          <t>Pencabutan</t>
        </is>
      </c>
      <c r="K77" t="n">
        <v>60</v>
      </c>
      <c r="L77" t="inlineStr">
        <is>
          <t>28 November 2026</t>
        </is>
      </c>
      <c r="M77" t="inlineStr">
        <is>
          <t>Konstruksi Gedung Lainnya</t>
        </is>
      </c>
      <c r="N77" t="inlineStr">
        <is>
          <t>K</t>
        </is>
      </c>
      <c r="O77" t="inlineStr">
        <is>
          <t>20231128</t>
        </is>
      </c>
      <c r="P77" t="inlineStr">
        <is>
          <t>Jawa Timur</t>
        </is>
      </c>
      <c r="Q77" t="inlineStr"/>
    </row>
    <row r="78">
      <c r="A78" t="inlineStr">
        <is>
          <t>MASTER GEOTESFONDASI</t>
        </is>
      </c>
      <c r="B78" t="inlineStr">
        <is>
          <t>Kota Tangerang Selatan</t>
        </is>
      </c>
      <c r="C78" t="inlineStr">
        <is>
          <t>02153152968</t>
        </is>
      </c>
      <c r="D78" t="inlineStr">
        <is>
          <t>masgeotes@yahoo.com</t>
        </is>
      </c>
      <c r="E78" t="inlineStr">
        <is>
          <t>https://lpjk.pu.go.id/search-badan-usaha-detail/eFRpK1RTeVVzK0h3OTcyRGUwSk5LQT09</t>
        </is>
      </c>
      <c r="F78" t="n">
        <v>1</v>
      </c>
      <c r="G78" t="inlineStr">
        <is>
          <t>BG009</t>
        </is>
      </c>
      <c r="H78" t="inlineStr">
        <is>
          <t>14 November 2023</t>
        </is>
      </c>
      <c r="I78" s="2" t="n">
        <v>46354</v>
      </c>
      <c r="J78" t="inlineStr">
        <is>
          <t>Disetujui</t>
        </is>
      </c>
      <c r="K78" t="n">
        <v>60</v>
      </c>
      <c r="L78" t="inlineStr">
        <is>
          <t>28 November 2026</t>
        </is>
      </c>
      <c r="M78" t="inlineStr">
        <is>
          <t>Konstruksi Gedung Lainnya</t>
        </is>
      </c>
      <c r="N78" t="inlineStr">
        <is>
          <t>K</t>
        </is>
      </c>
      <c r="O78" t="inlineStr">
        <is>
          <t>20231128</t>
        </is>
      </c>
      <c r="P78" t="inlineStr">
        <is>
          <t>Banten</t>
        </is>
      </c>
      <c r="Q78" t="inlineStr"/>
    </row>
    <row r="79">
      <c r="A79" t="inlineStr">
        <is>
          <t>MEGA UTAMA</t>
        </is>
      </c>
      <c r="B79" t="inlineStr">
        <is>
          <t>Kota Batu</t>
        </is>
      </c>
      <c r="C79" t="inlineStr">
        <is>
          <t>082143174265</t>
        </is>
      </c>
      <c r="D79" t="inlineStr">
        <is>
          <t>utamamega007@gmail.com</t>
        </is>
      </c>
      <c r="E79" t="inlineStr">
        <is>
          <t>https://lpjk.pu.go.id/search-badan-usaha-detail/WUF0RzZoWHV3ZEJDU0IvUUVnNW4rUT09</t>
        </is>
      </c>
      <c r="F79" t="n">
        <v>1</v>
      </c>
      <c r="G79" t="inlineStr">
        <is>
          <t>BS004</t>
        </is>
      </c>
      <c r="H79" t="inlineStr">
        <is>
          <t>8 November 2008</t>
        </is>
      </c>
      <c r="I79" s="2" t="n">
        <v>46354</v>
      </c>
      <c r="J79" t="inlineStr">
        <is>
          <t>Disetujui</t>
        </is>
      </c>
      <c r="K79" t="n">
        <v>60</v>
      </c>
      <c r="L79" t="inlineStr">
        <is>
          <t>28 November 2026</t>
        </is>
      </c>
      <c r="M79" t="inlineStr">
        <is>
          <t>Konstruksi Jaringan Irigasi dan Drainase</t>
        </is>
      </c>
      <c r="N79" t="inlineStr">
        <is>
          <t>K</t>
        </is>
      </c>
      <c r="O79" t="inlineStr">
        <is>
          <t>20231123</t>
        </is>
      </c>
      <c r="P79" t="inlineStr">
        <is>
          <t>Jawa Timur</t>
        </is>
      </c>
      <c r="Q79" t="inlineStr"/>
    </row>
    <row r="80">
      <c r="A80" t="inlineStr">
        <is>
          <t>MITRA BONANZA</t>
        </is>
      </c>
      <c r="B80" t="inlineStr">
        <is>
          <t>Kota Banjarmasin</t>
        </is>
      </c>
      <c r="C80" t="inlineStr">
        <is>
          <t>081349667273</t>
        </is>
      </c>
      <c r="D80" t="inlineStr">
        <is>
          <t>mitrabonanza@gmail.com</t>
        </is>
      </c>
      <c r="E80" t="inlineStr">
        <is>
          <t>https://lpjk.pu.go.id/search-badan-usaha-detail/bERYY1pjZ0JmcjZhTnF0ZWhQY2VBdz09</t>
        </is>
      </c>
      <c r="F80" t="n">
        <v>4</v>
      </c>
      <c r="G80" t="inlineStr">
        <is>
          <t>BG005, BG006, BS002, BS004</t>
        </is>
      </c>
      <c r="H80" t="inlineStr">
        <is>
          <t>11 Mei 2001</t>
        </is>
      </c>
      <c r="I80" s="2" t="n">
        <v>46354</v>
      </c>
      <c r="J80" t="inlineStr">
        <is>
          <t>Pencabutan</t>
        </is>
      </c>
      <c r="K80" t="n">
        <v>60</v>
      </c>
      <c r="L80" t="inlineStr">
        <is>
          <t>28 November 2026</t>
        </is>
      </c>
      <c r="M80" t="inlineStr">
        <is>
          <t>Bangunan Sipil Jembatan, Jalan Layang, Fly Over, dan Underpass, Konstruksi Gedung Kesehatan, Konstruksi Gedung Pendidikan, Konstruksi Jaringan Irigasi dan Drainase</t>
        </is>
      </c>
      <c r="N80" t="inlineStr">
        <is>
          <t>K</t>
        </is>
      </c>
      <c r="O80" t="inlineStr">
        <is>
          <t>20231128, 20231129</t>
        </is>
      </c>
      <c r="P80" t="inlineStr">
        <is>
          <t>Kalimantan Selatan</t>
        </is>
      </c>
      <c r="Q80" t="inlineStr"/>
    </row>
    <row r="81">
      <c r="A81" t="inlineStr">
        <is>
          <t>MITRA UTAMA</t>
        </is>
      </c>
      <c r="B81" t="inlineStr">
        <is>
          <t>Kota Banjarbaru</t>
        </is>
      </c>
      <c r="C81" t="inlineStr">
        <is>
          <t>08115128117</t>
        </is>
      </c>
      <c r="D81" t="inlineStr">
        <is>
          <t>cvmitrautamabudhi@gmail.com</t>
        </is>
      </c>
      <c r="E81" t="inlineStr">
        <is>
          <t>https://lpjk.pu.go.id/search-badan-usaha-detail/bWd6cnF1N284MHgvY0dPYmZXUVVSdz09</t>
        </is>
      </c>
      <c r="F81" t="n">
        <v>1</v>
      </c>
      <c r="G81" t="inlineStr">
        <is>
          <t>BG005</t>
        </is>
      </c>
      <c r="H81" t="inlineStr">
        <is>
          <t>3 Maret 1999</t>
        </is>
      </c>
      <c r="I81" s="2" t="n">
        <v>46354</v>
      </c>
      <c r="J81" t="inlineStr">
        <is>
          <t>Disetujui</t>
        </is>
      </c>
      <c r="K81" t="n">
        <v>60</v>
      </c>
      <c r="L81" t="inlineStr">
        <is>
          <t>28 November 2026</t>
        </is>
      </c>
      <c r="M81" t="inlineStr">
        <is>
          <t>Konstruksi Gedung Kesehatan</t>
        </is>
      </c>
      <c r="N81" t="inlineStr">
        <is>
          <t>K</t>
        </is>
      </c>
      <c r="O81" t="inlineStr">
        <is>
          <t>20231122</t>
        </is>
      </c>
      <c r="P81" t="inlineStr">
        <is>
          <t>Kalimantan Selatan</t>
        </is>
      </c>
      <c r="Q81" t="inlineStr"/>
    </row>
    <row r="82">
      <c r="A82" t="inlineStr">
        <is>
          <t>MUTIARA ASKANA</t>
        </is>
      </c>
      <c r="B82" t="inlineStr">
        <is>
          <t>Kota Balikpapan</t>
        </is>
      </c>
      <c r="C82" t="inlineStr">
        <is>
          <t>082158889309</t>
        </is>
      </c>
      <c r="D82" t="inlineStr">
        <is>
          <t>cvmutiaraaskana17@gmail.com</t>
        </is>
      </c>
      <c r="E82" t="inlineStr">
        <is>
          <t>https://lpjk.pu.go.id/search-badan-usaha-detail/L3Bpb3ZIRUc3Zm91L1p4eG5iSCt6dz09</t>
        </is>
      </c>
      <c r="F82" t="n">
        <v>2</v>
      </c>
      <c r="G82" t="inlineStr">
        <is>
          <t>BS001</t>
        </is>
      </c>
      <c r="H82" t="inlineStr">
        <is>
          <t>5 Januari 2018</t>
        </is>
      </c>
      <c r="I82" s="2" t="n">
        <v>46354</v>
      </c>
      <c r="J82" t="inlineStr">
        <is>
          <t>Disetujui</t>
        </is>
      </c>
      <c r="K82" t="n">
        <v>60</v>
      </c>
      <c r="L82" t="inlineStr">
        <is>
          <t>28 November 2026</t>
        </is>
      </c>
      <c r="M82" t="inlineStr">
        <is>
          <t>Konstruksi Bangunan Sipil Jalan</t>
        </is>
      </c>
      <c r="N82" t="inlineStr">
        <is>
          <t>K</t>
        </is>
      </c>
      <c r="O82" t="inlineStr">
        <is>
          <t>20231123</t>
        </is>
      </c>
      <c r="P82" t="inlineStr">
        <is>
          <t>Kalimantan Timur</t>
        </is>
      </c>
      <c r="Q82" t="inlineStr"/>
    </row>
    <row r="83">
      <c r="A83" t="inlineStr">
        <is>
          <t>NADYA CITRA NIAGA</t>
        </is>
      </c>
      <c r="B83" t="inlineStr">
        <is>
          <t>Kab. Cianjur</t>
        </is>
      </c>
      <c r="C83" t="inlineStr">
        <is>
          <t>082126462653</t>
        </is>
      </c>
      <c r="D83" t="inlineStr">
        <is>
          <t>nadyacitra.niaga@gmail.com</t>
        </is>
      </c>
      <c r="E83" t="inlineStr">
        <is>
          <t>https://lpjk.pu.go.id/search-badan-usaha-detail/VW9LS2pEL0VzUWdud0xkQzVUR1RUQT09</t>
        </is>
      </c>
      <c r="F83" t="n">
        <v>3</v>
      </c>
      <c r="G83" t="inlineStr">
        <is>
          <t>BG009, BS001, BS004</t>
        </is>
      </c>
      <c r="H83" t="inlineStr">
        <is>
          <t>14 Januari 2016</t>
        </is>
      </c>
      <c r="I83" s="2" t="n">
        <v>46354</v>
      </c>
      <c r="J83" t="inlineStr">
        <is>
          <t>Disetujui</t>
        </is>
      </c>
      <c r="K83" t="n">
        <v>60</v>
      </c>
      <c r="L83" t="inlineStr">
        <is>
          <t>28 November 2026</t>
        </is>
      </c>
      <c r="M83" t="inlineStr">
        <is>
          <t>Konstruksi Bangunan Sipil Jalan, Konstruksi Gedung Lainnya, Konstruksi Jaringan Irigasi dan Drainase</t>
        </is>
      </c>
      <c r="N83" t="inlineStr">
        <is>
          <t>K</t>
        </is>
      </c>
      <c r="O83" t="inlineStr">
        <is>
          <t>20231125</t>
        </is>
      </c>
      <c r="P83" t="inlineStr">
        <is>
          <t>Jawa Barat</t>
        </is>
      </c>
      <c r="Q83" t="inlineStr"/>
    </row>
    <row r="84">
      <c r="A84" t="inlineStr">
        <is>
          <t>NITEKSINDO MULTITECH PERKASA</t>
        </is>
      </c>
      <c r="B84" t="inlineStr">
        <is>
          <t>Kota Surabaya</t>
        </is>
      </c>
      <c r="C84" t="inlineStr">
        <is>
          <t>0315477970</t>
        </is>
      </c>
      <c r="D84" t="inlineStr">
        <is>
          <t>niteksindo@yahoo.com</t>
        </is>
      </c>
      <c r="E84" t="inlineStr">
        <is>
          <t>https://lpjk.pu.go.id/search-badan-usaha-detail/alBJbEFOdDI1cHRvMHpJeG1xN1BDQT09</t>
        </is>
      </c>
      <c r="F84" t="n">
        <v>1</v>
      </c>
      <c r="G84" t="inlineStr">
        <is>
          <t>IN004</t>
        </is>
      </c>
      <c r="H84" t="inlineStr">
        <is>
          <t>13 Maret 2009</t>
        </is>
      </c>
      <c r="I84" s="2" t="n">
        <v>46354</v>
      </c>
      <c r="J84" t="inlineStr">
        <is>
          <t>Disetujui</t>
        </is>
      </c>
      <c r="K84" t="n">
        <v>60</v>
      </c>
      <c r="L84" t="inlineStr">
        <is>
          <t>28 November 2026</t>
        </is>
      </c>
      <c r="M84" t="inlineStr">
        <is>
          <t>Instalasi Minyak dan Gas</t>
        </is>
      </c>
      <c r="N84" t="inlineStr">
        <is>
          <t>Spesialis</t>
        </is>
      </c>
      <c r="O84" t="inlineStr">
        <is>
          <t>20231127</t>
        </is>
      </c>
      <c r="P84" t="inlineStr">
        <is>
          <t>Jawa Timur</t>
        </is>
      </c>
      <c r="Q84" t="inlineStr"/>
    </row>
    <row r="85">
      <c r="A85" t="inlineStr">
        <is>
          <t>NUSAENA TIMUR ABADI</t>
        </is>
      </c>
      <c r="B85" t="inlineStr">
        <is>
          <t>Kota Bandung</t>
        </is>
      </c>
      <c r="C85" t="inlineStr">
        <is>
          <t>083893124351</t>
        </is>
      </c>
      <c r="D85" t="inlineStr">
        <is>
          <t>nusaenatimurabadi@gmail.com</t>
        </is>
      </c>
      <c r="E85" t="inlineStr">
        <is>
          <t>https://lpjk.pu.go.id/search-badan-usaha-detail/S0g0eDgza3ltM0Z1TXpDdVVOc2RNZz09</t>
        </is>
      </c>
      <c r="F85" t="n">
        <v>4</v>
      </c>
      <c r="G85" t="inlineStr">
        <is>
          <t>BS001, BS004</t>
        </is>
      </c>
      <c r="H85" t="inlineStr">
        <is>
          <t>22 Agustus 2023</t>
        </is>
      </c>
      <c r="I85" s="2" t="n">
        <v>46354</v>
      </c>
      <c r="J85" t="inlineStr">
        <is>
          <t>Disetujui</t>
        </is>
      </c>
      <c r="K85" t="n">
        <v>60</v>
      </c>
      <c r="L85" t="inlineStr">
        <is>
          <t>28 November 2026</t>
        </is>
      </c>
      <c r="M85" t="inlineStr">
        <is>
          <t>Konstruksi Bangunan Sipil Jalan, Konstruksi Jaringan Irigasi dan Drainase</t>
        </is>
      </c>
      <c r="N85" t="inlineStr">
        <is>
          <t>K</t>
        </is>
      </c>
      <c r="O85" t="inlineStr">
        <is>
          <t>20231127</t>
        </is>
      </c>
      <c r="P85" t="inlineStr">
        <is>
          <t>Jawa Barat</t>
        </is>
      </c>
      <c r="Q85" t="inlineStr"/>
    </row>
    <row r="86">
      <c r="A86" t="inlineStr">
        <is>
          <t>NUSANTARA UTAMA ABADI</t>
        </is>
      </c>
      <c r="B86" t="inlineStr">
        <is>
          <t>Kab. Lumajang</t>
        </is>
      </c>
      <c r="C86" t="inlineStr">
        <is>
          <t>085259428798</t>
        </is>
      </c>
      <c r="D86" t="inlineStr">
        <is>
          <t>cvnusantarautamaabdi01@gmail.com</t>
        </is>
      </c>
      <c r="E86" t="inlineStr">
        <is>
          <t>https://lpjk.pu.go.id/search-badan-usaha-detail/dVA2WkM1ZC9TeHV2M29YTFJERHFWQT09</t>
        </is>
      </c>
      <c r="F86" t="n">
        <v>3</v>
      </c>
      <c r="G86" t="inlineStr">
        <is>
          <t>BG009, BS001, BS004</t>
        </is>
      </c>
      <c r="H86" t="inlineStr">
        <is>
          <t>9 Juni 2023</t>
        </is>
      </c>
      <c r="I86" s="2" t="n">
        <v>46354</v>
      </c>
      <c r="J86" t="inlineStr">
        <is>
          <t>Disetujui</t>
        </is>
      </c>
      <c r="K86" t="n">
        <v>60</v>
      </c>
      <c r="L86" t="inlineStr">
        <is>
          <t>28 November 2026</t>
        </is>
      </c>
      <c r="M86" t="inlineStr">
        <is>
          <t>Konstruksi Bangunan Sipil Jalan, Konstruksi Gedung Lainnya, Konstruksi Jaringan Irigasi dan Drainase</t>
        </is>
      </c>
      <c r="N86" t="inlineStr">
        <is>
          <t>K</t>
        </is>
      </c>
      <c r="O86" t="inlineStr">
        <is>
          <t>20231123, 20231124</t>
        </is>
      </c>
      <c r="P86" t="inlineStr">
        <is>
          <t>Jawa Timur</t>
        </is>
      </c>
      <c r="Q86" t="inlineStr"/>
    </row>
    <row r="87">
      <c r="A87" t="inlineStr">
        <is>
          <t>PEMUDA MEMBANGUN NEGERI</t>
        </is>
      </c>
      <c r="B87" t="inlineStr">
        <is>
          <t>Kab. Wakatobi</t>
        </is>
      </c>
      <c r="C87" t="inlineStr">
        <is>
          <t>082194696196</t>
        </is>
      </c>
      <c r="D87" t="inlineStr">
        <is>
          <t>cv.pemudamembangunnegeri@gmail.com</t>
        </is>
      </c>
      <c r="E87" t="inlineStr">
        <is>
          <t>https://lpjk.pu.go.id/search-badan-usaha-detail/eXhtR0cybjRId0IrbVV6MGhEYS9BQT09</t>
        </is>
      </c>
      <c r="F87" t="n">
        <v>2</v>
      </c>
      <c r="G87" t="inlineStr">
        <is>
          <t>BG005, BG009</t>
        </is>
      </c>
      <c r="H87" t="inlineStr">
        <is>
          <t>24 Juli 2019</t>
        </is>
      </c>
      <c r="I87" s="2" t="n">
        <v>46354</v>
      </c>
      <c r="J87" t="inlineStr">
        <is>
          <t>Disetujui</t>
        </is>
      </c>
      <c r="K87" t="n">
        <v>60</v>
      </c>
      <c r="L87" t="inlineStr">
        <is>
          <t>28 November 2026</t>
        </is>
      </c>
      <c r="M87" t="inlineStr">
        <is>
          <t>Konstruksi Gedung Kesehatan, Konstruksi Gedung Lainnya</t>
        </is>
      </c>
      <c r="N87" t="inlineStr">
        <is>
          <t>K</t>
        </is>
      </c>
      <c r="O87" t="inlineStr">
        <is>
          <t>20231128</t>
        </is>
      </c>
      <c r="P87" t="inlineStr">
        <is>
          <t>Sulawesi Tenggara</t>
        </is>
      </c>
      <c r="Q87" t="inlineStr"/>
    </row>
    <row r="88">
      <c r="A88" t="inlineStr">
        <is>
          <t>PENDIL WESI</t>
        </is>
      </c>
      <c r="B88" t="inlineStr">
        <is>
          <t>Kab. Indramayu</t>
        </is>
      </c>
      <c r="C88" t="inlineStr">
        <is>
          <t>081382000580</t>
        </is>
      </c>
      <c r="D88" t="inlineStr">
        <is>
          <t>ptpendilwesi@gmail.com</t>
        </is>
      </c>
      <c r="E88" t="inlineStr">
        <is>
          <t>https://lpjk.pu.go.id/search-badan-usaha-detail/RzRpNDFEQmNxSTJyVkNGdDZRdVFCQT09</t>
        </is>
      </c>
      <c r="F88" t="n">
        <v>5</v>
      </c>
      <c r="G88" t="inlineStr">
        <is>
          <t>BG001, BG003, BS001, IN001, IN004</t>
        </is>
      </c>
      <c r="H88" t="inlineStr">
        <is>
          <t>4 Januari 2008</t>
        </is>
      </c>
      <c r="I88" s="2" t="n">
        <v>46354</v>
      </c>
      <c r="J88" t="inlineStr">
        <is>
          <t>Disetujui, Pembekuan</t>
        </is>
      </c>
      <c r="K88" t="n">
        <v>60</v>
      </c>
      <c r="L88" t="inlineStr">
        <is>
          <t>28 November 2026</t>
        </is>
      </c>
      <c r="M88" t="inlineStr">
        <is>
          <t>Instalasi Mekanikal, Instalasi Minyak dan Gas, Konstruksi Bangunan Sipil Jalan, Konstruksi Gedung Hunian, Konstruksi Gedung Industri</t>
        </is>
      </c>
      <c r="N88" t="inlineStr">
        <is>
          <t>K, Spesialis</t>
        </is>
      </c>
      <c r="O88" t="inlineStr">
        <is>
          <t>20231128, 20231129</t>
        </is>
      </c>
      <c r="P88" t="inlineStr">
        <is>
          <t>Jawa Barat</t>
        </is>
      </c>
      <c r="Q88" t="inlineStr"/>
    </row>
    <row r="89">
      <c r="A89" t="inlineStr">
        <is>
          <t>PILAR TRITAMA</t>
        </is>
      </c>
      <c r="B89" t="inlineStr">
        <is>
          <t>Kota Magelang</t>
        </is>
      </c>
      <c r="C89" t="inlineStr">
        <is>
          <t>08121579648</t>
        </is>
      </c>
      <c r="D89" t="inlineStr">
        <is>
          <t>pilartritamakonsultan@yahoo.co.id</t>
        </is>
      </c>
      <c r="E89" t="inlineStr">
        <is>
          <t>https://lpjk.pu.go.id/search-badan-usaha-detail/TUtxOXJQejUvTzNCRXFjN0dWdVlIdz09</t>
        </is>
      </c>
      <c r="F89" t="n">
        <v>1</v>
      </c>
      <c r="G89" t="inlineStr">
        <is>
          <t>RK003</t>
        </is>
      </c>
      <c r="H89" t="inlineStr">
        <is>
          <t>17 Oktober 2002</t>
        </is>
      </c>
      <c r="I89" s="2" t="n">
        <v>46354</v>
      </c>
      <c r="J89" t="inlineStr">
        <is>
          <t>Disetujui</t>
        </is>
      </c>
      <c r="K89" t="n">
        <v>60</v>
      </c>
      <c r="L89" t="inlineStr">
        <is>
          <t>28 November 2026</t>
        </is>
      </c>
      <c r="M89" t="inlineStr">
        <is>
          <t>Jasa Rekayasa Pekerjaan Teknik Sipil Transportasi</t>
        </is>
      </c>
      <c r="N89" t="inlineStr">
        <is>
          <t>K</t>
        </is>
      </c>
      <c r="O89" t="inlineStr">
        <is>
          <t>20231122</t>
        </is>
      </c>
      <c r="P89" t="inlineStr">
        <is>
          <t>Jawa Tengah</t>
        </is>
      </c>
      <c r="Q89" t="inlineStr"/>
    </row>
    <row r="90">
      <c r="A90" t="inlineStr">
        <is>
          <t>PRIMA ANUGRAH</t>
        </is>
      </c>
      <c r="B90" t="inlineStr">
        <is>
          <t>Kab. Temanggung</t>
        </is>
      </c>
      <c r="C90" t="inlineStr">
        <is>
          <t>081328629425</t>
        </is>
      </c>
      <c r="D90" t="inlineStr">
        <is>
          <t>cv.primaanugrah@ymail.com</t>
        </is>
      </c>
      <c r="E90" t="inlineStr">
        <is>
          <t>https://lpjk.pu.go.id/search-badan-usaha-detail/UFd6ZzlhQXpkallkQk9GUVIxMVE2QT09</t>
        </is>
      </c>
      <c r="F90" t="n">
        <v>6</v>
      </c>
      <c r="G90" t="inlineStr">
        <is>
          <t>BG002, BG004, BG005, BG006, BG009, BS004</t>
        </is>
      </c>
      <c r="H90" t="inlineStr">
        <is>
          <t>22 Mei 1999</t>
        </is>
      </c>
      <c r="I90" s="2" t="n">
        <v>46354</v>
      </c>
      <c r="J90" t="inlineStr">
        <is>
          <t>Disetujui</t>
        </is>
      </c>
      <c r="K90" t="n">
        <v>60</v>
      </c>
      <c r="L90" t="inlineStr">
        <is>
          <t>28 November 2026</t>
        </is>
      </c>
      <c r="M90" t="inlineStr">
        <is>
          <t>Konstruksi Gedung Kesehatan, Konstruksi Gedung Lainnya, Konstruksi Gedung Pendidikan, Konstruksi Gedung Perbelanjaan, Konstruksi Gedung Perkantoran, Konstruksi Jaringan Irigasi dan Drainase</t>
        </is>
      </c>
      <c r="N90" t="inlineStr">
        <is>
          <t>K</t>
        </is>
      </c>
      <c r="O90" t="inlineStr">
        <is>
          <t>20231124, 20231127</t>
        </is>
      </c>
      <c r="P90" t="inlineStr">
        <is>
          <t>Jawa Tengah</t>
        </is>
      </c>
      <c r="Q90" t="inlineStr"/>
    </row>
    <row r="91">
      <c r="A91" t="inlineStr">
        <is>
          <t>PRIMA KARYA MANUNGGAL</t>
        </is>
      </c>
      <c r="B91" t="inlineStr">
        <is>
          <t>Kab. Pangkajene Kepulauan</t>
        </is>
      </c>
      <c r="C91" t="inlineStr">
        <is>
          <t>0811464465</t>
        </is>
      </c>
      <c r="D91" t="inlineStr">
        <is>
          <t>pkmpt@yahoo.com</t>
        </is>
      </c>
      <c r="E91" t="inlineStr">
        <is>
          <t>https://lpjk.pu.go.id/search-badan-usaha-detail/RTh1c05sUVMxSEpvWHd4YXNGZmdaUT09</t>
        </is>
      </c>
      <c r="F91" t="n">
        <v>2</v>
      </c>
      <c r="G91" t="inlineStr">
        <is>
          <t>BS001, BS004</t>
        </is>
      </c>
      <c r="H91" t="inlineStr">
        <is>
          <t>19 April 1982</t>
        </is>
      </c>
      <c r="I91" s="2" t="n">
        <v>46354</v>
      </c>
      <c r="J91" t="inlineStr">
        <is>
          <t>Pencabutan</t>
        </is>
      </c>
      <c r="K91" t="n">
        <v>60</v>
      </c>
      <c r="L91" t="inlineStr">
        <is>
          <t>28 November 2026</t>
        </is>
      </c>
      <c r="M91" t="inlineStr">
        <is>
          <t>Konstruksi Bangunan Sipil Jalan, Konstruksi Jaringan Irigasi dan Drainase</t>
        </is>
      </c>
      <c r="N91" t="inlineStr">
        <is>
          <t>K</t>
        </is>
      </c>
      <c r="O91" t="inlineStr">
        <is>
          <t>20231124</t>
        </is>
      </c>
      <c r="P91" t="inlineStr">
        <is>
          <t>Sulawesi Selatan</t>
        </is>
      </c>
      <c r="Q91" t="inlineStr"/>
    </row>
    <row r="92">
      <c r="A92" t="inlineStr">
        <is>
          <t>PUTRA BELANTI MEMBANGUN</t>
        </is>
      </c>
      <c r="B92" t="inlineStr">
        <is>
          <t>Kab. Tapin</t>
        </is>
      </c>
      <c r="C92" t="inlineStr">
        <is>
          <t>082350212679</t>
        </is>
      </c>
      <c r="D92" t="inlineStr">
        <is>
          <t>pmb.binuang77@gmail.com</t>
        </is>
      </c>
      <c r="E92" t="inlineStr">
        <is>
          <t>https://lpjk.pu.go.id/search-badan-usaha-detail/NGFZNjZNZS84VGhIRnNjRlVHMnBJdz09</t>
        </is>
      </c>
      <c r="F92" t="n">
        <v>1</v>
      </c>
      <c r="G92" t="inlineStr">
        <is>
          <t>BS005</t>
        </is>
      </c>
      <c r="H92" t="inlineStr">
        <is>
          <t>26 Oktober 2022</t>
        </is>
      </c>
      <c r="I92" s="2" t="n">
        <v>46354</v>
      </c>
      <c r="J92" t="inlineStr">
        <is>
          <t>Disetujui</t>
        </is>
      </c>
      <c r="K92" t="n">
        <v>60</v>
      </c>
      <c r="L92" t="inlineStr">
        <is>
          <t>28 November 2026</t>
        </is>
      </c>
      <c r="M92" t="inlineStr">
        <is>
          <t>Konstruksi Bangunan Sipil Pengolahan Air Bersih</t>
        </is>
      </c>
      <c r="N92" t="inlineStr">
        <is>
          <t>K</t>
        </is>
      </c>
      <c r="O92" t="inlineStr">
        <is>
          <t>20231128</t>
        </is>
      </c>
      <c r="P92" t="inlineStr">
        <is>
          <t>Kalimantan Selatan</t>
        </is>
      </c>
      <c r="Q92" t="inlineStr"/>
    </row>
    <row r="93">
      <c r="A93" t="inlineStr">
        <is>
          <t>PUTRA CAPRIA PRATAMA</t>
        </is>
      </c>
      <c r="B93" t="inlineStr">
        <is>
          <t>Kota Surabaya</t>
        </is>
      </c>
      <c r="C93" t="inlineStr">
        <is>
          <t>081234806763</t>
        </is>
      </c>
      <c r="D93" t="inlineStr">
        <is>
          <t>putracapriapratama@gmail.com</t>
        </is>
      </c>
      <c r="E93" t="inlineStr">
        <is>
          <t>https://lpjk.pu.go.id/search-badan-usaha-detail/L21URW5NNXBDV2lFZ1ZpUTNWMUpLZz09</t>
        </is>
      </c>
      <c r="F93" t="n">
        <v>1</v>
      </c>
      <c r="G93" t="inlineStr">
        <is>
          <t>BS001</t>
        </is>
      </c>
      <c r="H93" t="inlineStr">
        <is>
          <t>26 Januari 2023</t>
        </is>
      </c>
      <c r="I93" s="2" t="n">
        <v>46354</v>
      </c>
      <c r="J93" t="inlineStr">
        <is>
          <t>Disetujui</t>
        </is>
      </c>
      <c r="K93" t="n">
        <v>60</v>
      </c>
      <c r="L93" t="inlineStr">
        <is>
          <t>28 November 2026</t>
        </is>
      </c>
      <c r="M93" t="inlineStr">
        <is>
          <t>Konstruksi Bangunan Sipil Jalan</t>
        </is>
      </c>
      <c r="N93" t="inlineStr">
        <is>
          <t>K</t>
        </is>
      </c>
      <c r="O93" t="inlineStr">
        <is>
          <t>20231109</t>
        </is>
      </c>
      <c r="P93" t="inlineStr">
        <is>
          <t>Jawa Timur</t>
        </is>
      </c>
      <c r="Q93" t="inlineStr"/>
    </row>
    <row r="94">
      <c r="A94" t="inlineStr">
        <is>
          <t>PUTRA KALUARRANG PERKASA</t>
        </is>
      </c>
      <c r="B94" t="inlineStr">
        <is>
          <t>Kab. Sidenreng Rappang</t>
        </is>
      </c>
      <c r="C94" t="inlineStr">
        <is>
          <t>082343330983</t>
        </is>
      </c>
      <c r="D94" t="inlineStr">
        <is>
          <t>ptputrakaluarrangperkasa1@gmail.com</t>
        </is>
      </c>
      <c r="E94" t="inlineStr">
        <is>
          <t>https://lpjk.pu.go.id/search-badan-usaha-detail/Ym9GN3pOaVczeWFkWFltdVdsdFdPQT09</t>
        </is>
      </c>
      <c r="F94" t="n">
        <v>1</v>
      </c>
      <c r="G94" t="inlineStr">
        <is>
          <t>BG009</t>
        </is>
      </c>
      <c r="H94" t="inlineStr">
        <is>
          <t>24 Agustus 2023</t>
        </is>
      </c>
      <c r="I94" s="2" t="n">
        <v>46354</v>
      </c>
      <c r="J94" t="inlineStr">
        <is>
          <t>Disetujui</t>
        </is>
      </c>
      <c r="K94" t="n">
        <v>60</v>
      </c>
      <c r="L94" t="inlineStr">
        <is>
          <t>28 November 2026</t>
        </is>
      </c>
      <c r="M94" t="inlineStr">
        <is>
          <t>Konstruksi Gedung Lainnya</t>
        </is>
      </c>
      <c r="N94" t="inlineStr">
        <is>
          <t>K</t>
        </is>
      </c>
      <c r="O94" t="inlineStr">
        <is>
          <t>20231129</t>
        </is>
      </c>
      <c r="P94" t="inlineStr">
        <is>
          <t>Sulawesi Selatan</t>
        </is>
      </c>
      <c r="Q94" t="inlineStr"/>
    </row>
    <row r="95">
      <c r="A95" t="inlineStr">
        <is>
          <t>PUTRA MIHOU</t>
        </is>
      </c>
      <c r="B95" t="inlineStr">
        <is>
          <t>Kab. Pegunungan Arfak</t>
        </is>
      </c>
      <c r="C95" t="inlineStr">
        <is>
          <t>085335038945</t>
        </is>
      </c>
      <c r="D95" t="inlineStr">
        <is>
          <t>cvputramihou@gmail.com</t>
        </is>
      </c>
      <c r="E95" t="inlineStr">
        <is>
          <t>https://lpjk.pu.go.id/search-badan-usaha-detail/ZEdLTTVNQlB5OXI0YzgxMVlUaWNWUT09</t>
        </is>
      </c>
      <c r="F95" t="n">
        <v>2</v>
      </c>
      <c r="G95" t="inlineStr">
        <is>
          <t>BG001, BS001</t>
        </is>
      </c>
      <c r="H95" t="inlineStr">
        <is>
          <t>24 November 2023</t>
        </is>
      </c>
      <c r="I95" s="2" t="n">
        <v>46354</v>
      </c>
      <c r="J95" t="inlineStr">
        <is>
          <t>Disetujui, Pencabutan</t>
        </is>
      </c>
      <c r="K95" t="n">
        <v>60</v>
      </c>
      <c r="L95" t="inlineStr">
        <is>
          <t>28 November 2026</t>
        </is>
      </c>
      <c r="M95" t="inlineStr">
        <is>
          <t>Konstruksi Bangunan Sipil Jalan, Konstruksi Gedung Hunian</t>
        </is>
      </c>
      <c r="N95" t="inlineStr">
        <is>
          <t>K</t>
        </is>
      </c>
      <c r="O95" t="inlineStr">
        <is>
          <t>20231129, 20231130</t>
        </is>
      </c>
      <c r="P95" t="inlineStr">
        <is>
          <t>Papua Barat</t>
        </is>
      </c>
      <c r="Q95" t="inlineStr"/>
    </row>
    <row r="96">
      <c r="A96" t="inlineStr">
        <is>
          <t>PUTRA MULYO MANDIRI</t>
        </is>
      </c>
      <c r="B96" t="inlineStr">
        <is>
          <t>Kota Semarang</t>
        </is>
      </c>
      <c r="C96" t="inlineStr">
        <is>
          <t>081382467638</t>
        </is>
      </c>
      <c r="D96" t="inlineStr">
        <is>
          <t>putramulyomandiri.pmm@gmail.com</t>
        </is>
      </c>
      <c r="E96" t="inlineStr">
        <is>
          <t>https://lpjk.pu.go.id/search-badan-usaha-detail/d1gwR3Fud2ErWFhtNDUzRXNiZWFjZz09</t>
        </is>
      </c>
      <c r="F96" t="n">
        <v>1</v>
      </c>
      <c r="G96" t="inlineStr">
        <is>
          <t>BG009</t>
        </is>
      </c>
      <c r="H96" t="inlineStr">
        <is>
          <t>24 Oktober 2023</t>
        </is>
      </c>
      <c r="I96" s="2" t="n">
        <v>46354</v>
      </c>
      <c r="J96" t="inlineStr">
        <is>
          <t>Disetujui</t>
        </is>
      </c>
      <c r="K96" t="n">
        <v>60</v>
      </c>
      <c r="L96" t="inlineStr">
        <is>
          <t>28 November 2026</t>
        </is>
      </c>
      <c r="M96" t="inlineStr">
        <is>
          <t>Konstruksi Gedung Lainnya</t>
        </is>
      </c>
      <c r="N96" t="inlineStr">
        <is>
          <t>K</t>
        </is>
      </c>
      <c r="O96" t="inlineStr">
        <is>
          <t>20231128</t>
        </is>
      </c>
      <c r="P96" t="inlineStr">
        <is>
          <t>Jawa Tengah</t>
        </is>
      </c>
      <c r="Q96" t="inlineStr"/>
    </row>
    <row r="97">
      <c r="A97" t="inlineStr">
        <is>
          <t>PUTRA UTAMA PERKASA</t>
        </is>
      </c>
      <c r="B97" t="inlineStr">
        <is>
          <t>Kab. Malang</t>
        </is>
      </c>
      <c r="C97" t="inlineStr">
        <is>
          <t>082334046644</t>
        </is>
      </c>
      <c r="D97" t="inlineStr">
        <is>
          <t>putrautamaperkasa.cv@gmail.com</t>
        </is>
      </c>
      <c r="E97" t="inlineStr">
        <is>
          <t>https://lpjk.pu.go.id/search-badan-usaha-detail/Rng3bkx5OWZ3UXJKWTZTYjdHb1E2QT09</t>
        </is>
      </c>
      <c r="F97" t="n">
        <v>1</v>
      </c>
      <c r="G97" t="inlineStr">
        <is>
          <t>BS004</t>
        </is>
      </c>
      <c r="H97" t="inlineStr">
        <is>
          <t>4 Juni 1998</t>
        </is>
      </c>
      <c r="I97" s="2" t="n">
        <v>46354</v>
      </c>
      <c r="J97" t="inlineStr">
        <is>
          <t>Disetujui</t>
        </is>
      </c>
      <c r="K97" t="n">
        <v>60</v>
      </c>
      <c r="L97" t="inlineStr">
        <is>
          <t>28 November 2026</t>
        </is>
      </c>
      <c r="M97" t="inlineStr">
        <is>
          <t>Konstruksi Jaringan Irigasi dan Drainase</t>
        </is>
      </c>
      <c r="N97" t="inlineStr">
        <is>
          <t>K</t>
        </is>
      </c>
      <c r="O97" t="inlineStr">
        <is>
          <t>20231124</t>
        </is>
      </c>
      <c r="P97" t="inlineStr">
        <is>
          <t>Jawa Timur</t>
        </is>
      </c>
      <c r="Q97" t="inlineStr"/>
    </row>
    <row r="98">
      <c r="A98" t="inlineStr">
        <is>
          <t>PUTRI PINILIH</t>
        </is>
      </c>
      <c r="B98" t="inlineStr">
        <is>
          <t>Kota Cimahi</t>
        </is>
      </c>
      <c r="C98" t="inlineStr">
        <is>
          <t>082317583370</t>
        </is>
      </c>
      <c r="D98" t="inlineStr">
        <is>
          <t>cv.putripinilih@gmail.com</t>
        </is>
      </c>
      <c r="E98" t="inlineStr">
        <is>
          <t>https://lpjk.pu.go.id/search-badan-usaha-detail/b2dEWk5OMzF3WHBQY2x5blVuQzRudz09</t>
        </is>
      </c>
      <c r="F98" t="n">
        <v>3</v>
      </c>
      <c r="G98" t="inlineStr">
        <is>
          <t>BG005, BG006, BG009</t>
        </is>
      </c>
      <c r="H98" t="inlineStr">
        <is>
          <t>14 November 2023</t>
        </is>
      </c>
      <c r="I98" s="2" t="n">
        <v>46354</v>
      </c>
      <c r="J98" t="inlineStr">
        <is>
          <t>Disetujui</t>
        </is>
      </c>
      <c r="K98" t="n">
        <v>60</v>
      </c>
      <c r="L98" t="inlineStr">
        <is>
          <t>28 November 2026</t>
        </is>
      </c>
      <c r="M98" t="inlineStr">
        <is>
          <t>Konstruksi Gedung Kesehatan, Konstruksi Gedung Lainnya, Konstruksi Gedung Pendidikan</t>
        </is>
      </c>
      <c r="N98" t="inlineStr">
        <is>
          <t>K</t>
        </is>
      </c>
      <c r="O98" t="inlineStr">
        <is>
          <t>20231124</t>
        </is>
      </c>
      <c r="P98" t="inlineStr">
        <is>
          <t>Jawa Barat</t>
        </is>
      </c>
      <c r="Q98" t="inlineStr"/>
    </row>
    <row r="99">
      <c r="A99" t="inlineStr">
        <is>
          <t>PUTRI YALI MANDIRI</t>
        </is>
      </c>
      <c r="B99" t="inlineStr">
        <is>
          <t>Kab. Yalimo</t>
        </is>
      </c>
      <c r="C99" t="inlineStr">
        <is>
          <t>081344784841</t>
        </is>
      </c>
      <c r="D99" t="inlineStr">
        <is>
          <t>putriyalimandiri@gmail.com</t>
        </is>
      </c>
      <c r="E99" t="inlineStr">
        <is>
          <t>https://lpjk.pu.go.id/search-badan-usaha-detail/Nm45aHpCZkZ5VUZpcVlRenA0UUhTZz09</t>
        </is>
      </c>
      <c r="F99" t="n">
        <v>1</v>
      </c>
      <c r="G99" t="inlineStr">
        <is>
          <t>BG009</t>
        </is>
      </c>
      <c r="H99" t="inlineStr">
        <is>
          <t>17 Juli 2014</t>
        </is>
      </c>
      <c r="I99" s="2" t="n">
        <v>46354</v>
      </c>
      <c r="J99" t="inlineStr">
        <is>
          <t>Disetujui</t>
        </is>
      </c>
      <c r="K99" t="n">
        <v>60</v>
      </c>
      <c r="L99" t="inlineStr">
        <is>
          <t>28 November 2026</t>
        </is>
      </c>
      <c r="M99" t="inlineStr">
        <is>
          <t>Konstruksi Gedung Lainnya</t>
        </is>
      </c>
      <c r="N99" t="inlineStr">
        <is>
          <t>K</t>
        </is>
      </c>
      <c r="O99" t="inlineStr">
        <is>
          <t>20231115</t>
        </is>
      </c>
      <c r="P99" t="inlineStr">
        <is>
          <t>Papua Pegunungan</t>
        </is>
      </c>
      <c r="Q99" t="inlineStr"/>
    </row>
    <row r="100">
      <c r="A100" t="inlineStr">
        <is>
          <t>RAJA BELIDO SUKSES</t>
        </is>
      </c>
      <c r="B100" t="inlineStr">
        <is>
          <t>Kota Batam</t>
        </is>
      </c>
      <c r="C100" t="inlineStr">
        <is>
          <t>085208597888</t>
        </is>
      </c>
      <c r="D100" t="inlineStr">
        <is>
          <t>raja.belido@yahoo.com</t>
        </is>
      </c>
      <c r="E100" t="inlineStr">
        <is>
          <t>https://lpjk.pu.go.id/search-badan-usaha-detail/R3BhelVBUkVwVkFWeDlNQmxWR2Y4UT09</t>
        </is>
      </c>
      <c r="F100" t="n">
        <v>1</v>
      </c>
      <c r="G100" t="inlineStr">
        <is>
          <t>BS005</t>
        </is>
      </c>
      <c r="H100" t="inlineStr">
        <is>
          <t>23 Mei 2017</t>
        </is>
      </c>
      <c r="I100" s="2" t="n">
        <v>46354</v>
      </c>
      <c r="J100" t="inlineStr">
        <is>
          <t>Disetujui</t>
        </is>
      </c>
      <c r="K100" t="n">
        <v>60</v>
      </c>
      <c r="L100" t="inlineStr">
        <is>
          <t>28 November 2026</t>
        </is>
      </c>
      <c r="M100" t="inlineStr">
        <is>
          <t>Konstruksi Bangunan Sipil Pengolahan Air Bersih</t>
        </is>
      </c>
      <c r="N100" t="inlineStr">
        <is>
          <t>K</t>
        </is>
      </c>
      <c r="O100" t="inlineStr">
        <is>
          <t>20231123</t>
        </is>
      </c>
      <c r="P100" t="inlineStr">
        <is>
          <t>Kepulauan Riau</t>
        </is>
      </c>
      <c r="Q100" t="inlineStr"/>
    </row>
    <row r="101">
      <c r="A101" t="inlineStr">
        <is>
          <t>RAJAWALI PARAMA KONSTRUKSI</t>
        </is>
      </c>
      <c r="B101" t="inlineStr">
        <is>
          <t>Kota Tangerang Selatan</t>
        </is>
      </c>
      <c r="C101" t="inlineStr">
        <is>
          <t>02153128888</t>
        </is>
      </c>
      <c r="D101" t="inlineStr">
        <is>
          <t>bong_parnoto@rajawaliparama.com</t>
        </is>
      </c>
      <c r="E101" t="inlineStr">
        <is>
          <t>https://lpjk.pu.go.id/search-badan-usaha-detail/c0tkVTVTY1lVajMvaE94V2J6RGswUT09</t>
        </is>
      </c>
      <c r="F101" t="n">
        <v>2</v>
      </c>
      <c r="G101" t="inlineStr">
        <is>
          <t>IN001</t>
        </is>
      </c>
      <c r="H101" t="inlineStr">
        <is>
          <t>8 Februari 2011</t>
        </is>
      </c>
      <c r="I101" s="2" t="n">
        <v>46354</v>
      </c>
      <c r="J101" t="inlineStr">
        <is>
          <t>Disetujui</t>
        </is>
      </c>
      <c r="K101" t="n">
        <v>60</v>
      </c>
      <c r="L101" t="inlineStr">
        <is>
          <t>28 November 2026</t>
        </is>
      </c>
      <c r="M101" t="inlineStr">
        <is>
          <t>Instalasi Mekanikal</t>
        </is>
      </c>
      <c r="N101" t="inlineStr">
        <is>
          <t>Spesialis</t>
        </is>
      </c>
      <c r="O101" t="inlineStr">
        <is>
          <t>20231120</t>
        </is>
      </c>
      <c r="P101" t="inlineStr">
        <is>
          <t>Banten</t>
        </is>
      </c>
      <c r="Q101" t="inlineStr"/>
    </row>
    <row r="102">
      <c r="A102" t="inlineStr">
        <is>
          <t>RAKSA ARIA KENCANA</t>
        </is>
      </c>
      <c r="B102" t="inlineStr">
        <is>
          <t>Kota Sukabumi</t>
        </is>
      </c>
      <c r="C102" t="inlineStr">
        <is>
          <t>081381364610</t>
        </is>
      </c>
      <c r="D102" t="inlineStr">
        <is>
          <t>rak.sukabumi@gmail.com</t>
        </is>
      </c>
      <c r="E102" t="inlineStr">
        <is>
          <t>https://lpjk.pu.go.id/search-badan-usaha-detail/MFFuRFYxbjA1ZHNuemdwMDJoc0prQT09</t>
        </is>
      </c>
      <c r="F102" t="n">
        <v>1</v>
      </c>
      <c r="G102" t="inlineStr">
        <is>
          <t>BG005</t>
        </is>
      </c>
      <c r="H102" t="inlineStr">
        <is>
          <t>6 Januari 2020</t>
        </is>
      </c>
      <c r="I102" s="2" t="n">
        <v>46354</v>
      </c>
      <c r="J102" t="inlineStr">
        <is>
          <t>Disetujui</t>
        </is>
      </c>
      <c r="K102" t="n">
        <v>60</v>
      </c>
      <c r="L102" t="inlineStr">
        <is>
          <t>28 November 2026</t>
        </is>
      </c>
      <c r="M102" t="inlineStr">
        <is>
          <t>Konstruksi Gedung Kesehatan</t>
        </is>
      </c>
      <c r="N102" t="inlineStr">
        <is>
          <t>K</t>
        </is>
      </c>
      <c r="O102" t="inlineStr">
        <is>
          <t>20231114</t>
        </is>
      </c>
      <c r="P102" t="inlineStr">
        <is>
          <t>Jawa Barat</t>
        </is>
      </c>
      <c r="Q102" t="inlineStr"/>
    </row>
    <row r="103">
      <c r="A103" t="inlineStr">
        <is>
          <t>RAMADHAN</t>
        </is>
      </c>
      <c r="B103" t="inlineStr">
        <is>
          <t>Kab. Bone</t>
        </is>
      </c>
      <c r="C103" t="inlineStr">
        <is>
          <t>085145175678</t>
        </is>
      </c>
      <c r="D103" t="inlineStr">
        <is>
          <t>cv.ramadhanbone@gmail.com</t>
        </is>
      </c>
      <c r="E103" t="inlineStr">
        <is>
          <t>https://lpjk.pu.go.id/search-badan-usaha-detail/NUV0WXZSdXEvK3kxQkdEcTl6R1hsdz09</t>
        </is>
      </c>
      <c r="F103" t="n">
        <v>12</v>
      </c>
      <c r="G103" t="inlineStr">
        <is>
          <t>BG005, BG006, BG009, BS001, BS002, BS005</t>
        </is>
      </c>
      <c r="H103" t="inlineStr">
        <is>
          <t>10 Januari 2015</t>
        </is>
      </c>
      <c r="I103" s="2" t="n">
        <v>46354</v>
      </c>
      <c r="J103" t="inlineStr">
        <is>
          <t>Disetujui</t>
        </is>
      </c>
      <c r="K103" t="n">
        <v>60</v>
      </c>
      <c r="L103" t="inlineStr">
        <is>
          <t>28 November 2026</t>
        </is>
      </c>
      <c r="M103" t="inlineStr">
        <is>
          <t>Bangunan Sipil Jembatan, Jalan Layang, Fly Over, dan Underpass, Konstruksi Bangunan Sipil Jalan, Konstruksi Bangunan Sipil Pengolahan Air Bersih, Konstruksi Gedung Kesehatan, Konstruksi Gedung Lainnya, Konstruksi Gedung Pendidikan</t>
        </is>
      </c>
      <c r="N103" t="inlineStr">
        <is>
          <t>K</t>
        </is>
      </c>
      <c r="O103" t="inlineStr">
        <is>
          <t>20231115, 20231116, 20231119</t>
        </is>
      </c>
      <c r="P103" t="inlineStr">
        <is>
          <t>Sulawesi Selatan</t>
        </is>
      </c>
      <c r="Q103" t="inlineStr"/>
    </row>
    <row r="104">
      <c r="A104" t="inlineStr">
        <is>
          <t>SARANAMUKTI PUTERASEJATI</t>
        </is>
      </c>
      <c r="B104" t="inlineStr">
        <is>
          <t>Kab. Banggai</t>
        </is>
      </c>
      <c r="C104" t="inlineStr">
        <is>
          <t>046121575</t>
        </is>
      </c>
      <c r="D104" t="inlineStr">
        <is>
          <t>saranamuktiputerasejati@yahoo.com</t>
        </is>
      </c>
      <c r="E104" t="inlineStr">
        <is>
          <t>https://lpjk.pu.go.id/search-badan-usaha-detail/WkdlRmg4b2Z2a1prZTU3Qjk2Q0s4Zz09</t>
        </is>
      </c>
      <c r="F104" t="n">
        <v>1</v>
      </c>
      <c r="G104" t="inlineStr">
        <is>
          <t>BS001</t>
        </is>
      </c>
      <c r="H104" t="inlineStr">
        <is>
          <t>15 Desember 1993</t>
        </is>
      </c>
      <c r="I104" s="2" t="n">
        <v>46354</v>
      </c>
      <c r="J104" t="inlineStr">
        <is>
          <t>Pencabutan</t>
        </is>
      </c>
      <c r="K104" t="n">
        <v>60</v>
      </c>
      <c r="L104" t="inlineStr">
        <is>
          <t>28 November 2026</t>
        </is>
      </c>
      <c r="M104" t="inlineStr">
        <is>
          <t>Konstruksi Bangunan Sipil Jalan</t>
        </is>
      </c>
      <c r="N104" t="inlineStr">
        <is>
          <t>B</t>
        </is>
      </c>
      <c r="O104" t="inlineStr">
        <is>
          <t>20231121</t>
        </is>
      </c>
      <c r="P104" t="inlineStr">
        <is>
          <t>Sulawesi Tengah</t>
        </is>
      </c>
      <c r="Q104" t="inlineStr"/>
    </row>
    <row r="105">
      <c r="A105" t="inlineStr">
        <is>
          <t>SATRIA MITRA MUDA</t>
        </is>
      </c>
      <c r="B105" t="inlineStr">
        <is>
          <t>Kota Jambi</t>
        </is>
      </c>
      <c r="C105" t="inlineStr">
        <is>
          <t>083190579389</t>
        </is>
      </c>
      <c r="D105" t="inlineStr">
        <is>
          <t>satriamitramudacv@yahoo.com</t>
        </is>
      </c>
      <c r="E105" t="inlineStr">
        <is>
          <t>https://lpjk.pu.go.id/search-badan-usaha-detail/aFVsdDZpMXdDYXNLMWtPTnlRdENOZz09</t>
        </is>
      </c>
      <c r="F105" t="n">
        <v>3</v>
      </c>
      <c r="G105" t="inlineStr">
        <is>
          <t>BG002, BG005, BG006</t>
        </is>
      </c>
      <c r="H105" t="inlineStr">
        <is>
          <t>15 Mei 2016</t>
        </is>
      </c>
      <c r="I105" s="2" t="n">
        <v>46354</v>
      </c>
      <c r="J105" t="inlineStr">
        <is>
          <t>Disetujui</t>
        </is>
      </c>
      <c r="K105" t="n">
        <v>60</v>
      </c>
      <c r="L105" t="inlineStr">
        <is>
          <t>28 November 2026</t>
        </is>
      </c>
      <c r="M105" t="inlineStr">
        <is>
          <t>Konstruksi Gedung Kesehatan, Konstruksi Gedung Pendidikan, Konstruksi Gedung Perkantoran</t>
        </is>
      </c>
      <c r="N105" t="inlineStr">
        <is>
          <t>K</t>
        </is>
      </c>
      <c r="O105" t="inlineStr">
        <is>
          <t>20231127</t>
        </is>
      </c>
      <c r="P105" t="inlineStr">
        <is>
          <t>Jambi</t>
        </is>
      </c>
      <c r="Q105" t="inlineStr"/>
    </row>
    <row r="106">
      <c r="A106" t="inlineStr">
        <is>
          <t>SEMARAK KONSTRUKSI BATAM</t>
        </is>
      </c>
      <c r="B106" t="inlineStr">
        <is>
          <t>Kota Batam</t>
        </is>
      </c>
      <c r="C106" t="inlineStr">
        <is>
          <t>082257777888</t>
        </is>
      </c>
      <c r="D106" t="inlineStr">
        <is>
          <t>pt.semarakkb@gmail.com</t>
        </is>
      </c>
      <c r="E106" t="inlineStr">
        <is>
          <t>https://lpjk.pu.go.id/search-badan-usaha-detail/WG83K0NqSW4rdzVLdXVrSGxReVZBdz09</t>
        </is>
      </c>
      <c r="F106" t="n">
        <v>2</v>
      </c>
      <c r="G106" t="inlineStr">
        <is>
          <t>BG001</t>
        </is>
      </c>
      <c r="H106" t="inlineStr">
        <is>
          <t>4 Maret 2010</t>
        </is>
      </c>
      <c r="I106" s="2" t="n">
        <v>46354</v>
      </c>
      <c r="J106" t="inlineStr">
        <is>
          <t>Disetujui</t>
        </is>
      </c>
      <c r="K106" t="n">
        <v>60</v>
      </c>
      <c r="L106" t="inlineStr">
        <is>
          <t>28 November 2026</t>
        </is>
      </c>
      <c r="M106" t="inlineStr">
        <is>
          <t>Konstruksi Gedung Hunian</t>
        </is>
      </c>
      <c r="N106" t="inlineStr">
        <is>
          <t>K</t>
        </is>
      </c>
      <c r="O106" t="inlineStr">
        <is>
          <t>20231128</t>
        </is>
      </c>
      <c r="P106" t="inlineStr">
        <is>
          <t>Kepulauan Riau</t>
        </is>
      </c>
      <c r="Q106" t="inlineStr"/>
    </row>
    <row r="107">
      <c r="A107" t="inlineStr">
        <is>
          <t>SETIAWAN BUNDA</t>
        </is>
      </c>
      <c r="B107" t="inlineStr">
        <is>
          <t>Kota Surabaya</t>
        </is>
      </c>
      <c r="C107" t="inlineStr">
        <is>
          <t>082230140708</t>
        </is>
      </c>
      <c r="D107" t="inlineStr">
        <is>
          <t>setiawan.bunda@yahoo.com</t>
        </is>
      </c>
      <c r="E107" t="inlineStr">
        <is>
          <t>https://lpjk.pu.go.id/search-badan-usaha-detail/bXdHcUNFMlJRalltaG5qVEJpTVpvdz09</t>
        </is>
      </c>
      <c r="F107" t="n">
        <v>1</v>
      </c>
      <c r="G107" t="inlineStr">
        <is>
          <t>BS001</t>
        </is>
      </c>
      <c r="H107" t="inlineStr">
        <is>
          <t>22 Juni 2012</t>
        </is>
      </c>
      <c r="I107" s="2" t="n">
        <v>46354</v>
      </c>
      <c r="J107" t="inlineStr">
        <is>
          <t>Disetujui</t>
        </is>
      </c>
      <c r="K107" t="n">
        <v>60</v>
      </c>
      <c r="L107" t="inlineStr">
        <is>
          <t>28 November 2026</t>
        </is>
      </c>
      <c r="M107" t="inlineStr">
        <is>
          <t>Konstruksi Bangunan Sipil Jalan</t>
        </is>
      </c>
      <c r="N107" t="inlineStr">
        <is>
          <t>K</t>
        </is>
      </c>
      <c r="O107" t="inlineStr">
        <is>
          <t>20231123</t>
        </is>
      </c>
      <c r="P107" t="inlineStr">
        <is>
          <t>Jawa Timur</t>
        </is>
      </c>
      <c r="Q107" t="inlineStr"/>
    </row>
    <row r="108">
      <c r="A108" t="inlineStr">
        <is>
          <t>SINAR ESTETIKA DJAYA</t>
        </is>
      </c>
      <c r="B108" t="inlineStr">
        <is>
          <t>Kab. Serang</t>
        </is>
      </c>
      <c r="C108" t="inlineStr">
        <is>
          <t>081388067707</t>
        </is>
      </c>
      <c r="D108" t="inlineStr">
        <is>
          <t>sedjaya88@gmail.com</t>
        </is>
      </c>
      <c r="E108" t="inlineStr">
        <is>
          <t>https://lpjk.pu.go.id/search-badan-usaha-detail/TmpVS1g5NDcwWEhpcFZiUHZaV3Q3Zz09</t>
        </is>
      </c>
      <c r="F108" t="n">
        <v>1</v>
      </c>
      <c r="G108" t="inlineStr">
        <is>
          <t>BS001</t>
        </is>
      </c>
      <c r="H108" t="inlineStr">
        <is>
          <t>14 Februari 2023</t>
        </is>
      </c>
      <c r="I108" s="2" t="n">
        <v>46354</v>
      </c>
      <c r="J108" t="inlineStr">
        <is>
          <t>Disetujui</t>
        </is>
      </c>
      <c r="K108" t="n">
        <v>60</v>
      </c>
      <c r="L108" t="inlineStr">
        <is>
          <t>28 November 2026</t>
        </is>
      </c>
      <c r="M108" t="inlineStr">
        <is>
          <t>Konstruksi Bangunan Sipil Jalan</t>
        </is>
      </c>
      <c r="N108" t="inlineStr">
        <is>
          <t>K</t>
        </is>
      </c>
      <c r="O108" t="inlineStr">
        <is>
          <t>20231122</t>
        </is>
      </c>
      <c r="P108" t="inlineStr">
        <is>
          <t>Banten</t>
        </is>
      </c>
      <c r="Q108" t="inlineStr"/>
    </row>
    <row r="109">
      <c r="A109" t="inlineStr">
        <is>
          <t>SINAR MUTIA</t>
        </is>
      </c>
      <c r="B109" t="inlineStr">
        <is>
          <t>Kota Lhokseumawe</t>
        </is>
      </c>
      <c r="C109" t="inlineStr">
        <is>
          <t>085260852997</t>
        </is>
      </c>
      <c r="D109" t="inlineStr">
        <is>
          <t>cv.sinarmutia18@gmail.com</t>
        </is>
      </c>
      <c r="E109" t="inlineStr">
        <is>
          <t>https://lpjk.pu.go.id/search-badan-usaha-detail/M0hEVWNuQ09XdERka0RZUlZqSnNRUT09</t>
        </is>
      </c>
      <c r="F109" t="n">
        <v>4</v>
      </c>
      <c r="G109" t="inlineStr">
        <is>
          <t>BG001, BG002, BG006, BG008</t>
        </is>
      </c>
      <c r="H109" t="inlineStr">
        <is>
          <t>5 Januari 2018</t>
        </is>
      </c>
      <c r="I109" s="2" t="n">
        <v>46354</v>
      </c>
      <c r="J109" t="inlineStr">
        <is>
          <t>Disetujui</t>
        </is>
      </c>
      <c r="K109" t="n">
        <v>60</v>
      </c>
      <c r="L109" t="inlineStr">
        <is>
          <t>28 November 2026</t>
        </is>
      </c>
      <c r="M109" t="inlineStr">
        <is>
          <t>Konstruksi Gedung Hunian, Konstruksi Gedung Pendidikan, Konstruksi Gedung Perkantoran, Konstruksi Gedung Tempat Hiburan dan Olahraga</t>
        </is>
      </c>
      <c r="N109" t="inlineStr">
        <is>
          <t>K</t>
        </is>
      </c>
      <c r="O109" t="inlineStr">
        <is>
          <t>20231122</t>
        </is>
      </c>
      <c r="P109" t="inlineStr">
        <is>
          <t>Aceh</t>
        </is>
      </c>
      <c r="Q109" t="inlineStr"/>
    </row>
    <row r="110">
      <c r="A110" t="inlineStr">
        <is>
          <t>SOKOJATI BUMI SERASI</t>
        </is>
      </c>
      <c r="B110" t="inlineStr">
        <is>
          <t>Kab. Cilacap</t>
        </is>
      </c>
      <c r="C110" t="inlineStr">
        <is>
          <t>08122773546</t>
        </is>
      </c>
      <c r="D110" t="inlineStr">
        <is>
          <t>ptsbs@ymail.com</t>
        </is>
      </c>
      <c r="E110" t="inlineStr">
        <is>
          <t>https://lpjk.pu.go.id/search-badan-usaha-detail/ajBJZEdWc3RHNnhidWxRejk3Q3diQT09</t>
        </is>
      </c>
      <c r="F110" t="n">
        <v>2</v>
      </c>
      <c r="G110" t="inlineStr">
        <is>
          <t>BG003, IN004</t>
        </is>
      </c>
      <c r="H110" t="inlineStr">
        <is>
          <t>13 April 2004</t>
        </is>
      </c>
      <c r="I110" s="2" t="n">
        <v>46354</v>
      </c>
      <c r="J110" t="inlineStr">
        <is>
          <t>Disetujui</t>
        </is>
      </c>
      <c r="K110" t="n">
        <v>60</v>
      </c>
      <c r="L110" t="inlineStr">
        <is>
          <t>28 November 2026</t>
        </is>
      </c>
      <c r="M110" t="inlineStr">
        <is>
          <t>Instalasi Minyak dan Gas, Konstruksi Gedung Industri</t>
        </is>
      </c>
      <c r="N110" t="inlineStr">
        <is>
          <t>K, Spesialis</t>
        </is>
      </c>
      <c r="O110" t="inlineStr">
        <is>
          <t>20231124</t>
        </is>
      </c>
      <c r="P110" t="inlineStr">
        <is>
          <t>Jawa Tengah</t>
        </is>
      </c>
      <c r="Q110" t="inlineStr"/>
    </row>
    <row r="111">
      <c r="A111" t="inlineStr">
        <is>
          <t>SUMBER BERKAH MUTIARA</t>
        </is>
      </c>
      <c r="B111" t="inlineStr">
        <is>
          <t>Kab. Tuban</t>
        </is>
      </c>
      <c r="C111" t="inlineStr">
        <is>
          <t>085732453166</t>
        </is>
      </c>
      <c r="D111" t="inlineStr">
        <is>
          <t>cv.sumberberkahmutiara@gmail.com</t>
        </is>
      </c>
      <c r="E111" t="inlineStr">
        <is>
          <t>https://lpjk.pu.go.id/search-badan-usaha-detail/YkJkWlNzVXNnbk5nRURsWmdLOHc1Zz09</t>
        </is>
      </c>
      <c r="F111" t="n">
        <v>1</v>
      </c>
      <c r="G111" t="inlineStr">
        <is>
          <t>BS001</t>
        </is>
      </c>
      <c r="H111" t="inlineStr">
        <is>
          <t>10 Oktober 2023</t>
        </is>
      </c>
      <c r="I111" s="2" t="n">
        <v>46354</v>
      </c>
      <c r="J111" t="inlineStr">
        <is>
          <t>Disetujui</t>
        </is>
      </c>
      <c r="K111" t="n">
        <v>60</v>
      </c>
      <c r="L111" t="inlineStr">
        <is>
          <t>28 November 2026</t>
        </is>
      </c>
      <c r="M111" t="inlineStr">
        <is>
          <t>Konstruksi Bangunan Sipil Jalan</t>
        </is>
      </c>
      <c r="N111" t="inlineStr">
        <is>
          <t>K</t>
        </is>
      </c>
      <c r="O111" t="inlineStr">
        <is>
          <t>20231128</t>
        </is>
      </c>
      <c r="P111" t="inlineStr">
        <is>
          <t>Jawa Timur</t>
        </is>
      </c>
      <c r="Q111" t="inlineStr"/>
    </row>
    <row r="112">
      <c r="A112" t="inlineStr">
        <is>
          <t>TATA KARYA KONSULTAN</t>
        </is>
      </c>
      <c r="B112" t="inlineStr">
        <is>
          <t>Kota Tangerang</t>
        </is>
      </c>
      <c r="C112" t="inlineStr">
        <is>
          <t>081294632437</t>
        </is>
      </c>
      <c r="D112" t="inlineStr">
        <is>
          <t>tatakaryakonsultan@gmail.com</t>
        </is>
      </c>
      <c r="E112" t="inlineStr">
        <is>
          <t>https://lpjk.pu.go.id/search-badan-usaha-detail/MWxJdHQ1cW1FeE00ZStFcjhBRm5Edz09</t>
        </is>
      </c>
      <c r="F112" t="n">
        <v>1</v>
      </c>
      <c r="G112" t="inlineStr">
        <is>
          <t>RK002</t>
        </is>
      </c>
      <c r="H112" t="inlineStr">
        <is>
          <t>21 Juli 2023</t>
        </is>
      </c>
      <c r="I112" s="2" t="n">
        <v>46354</v>
      </c>
      <c r="J112" t="inlineStr">
        <is>
          <t>Disetujui</t>
        </is>
      </c>
      <c r="K112" t="n">
        <v>60</v>
      </c>
      <c r="L112" t="inlineStr">
        <is>
          <t>28 November 2026</t>
        </is>
      </c>
      <c r="M112" t="inlineStr">
        <is>
          <t>Jasa Rekayasa Pekerjaan Teknik Sipil Sumber Daya Air</t>
        </is>
      </c>
      <c r="N112" t="inlineStr">
        <is>
          <t>K</t>
        </is>
      </c>
      <c r="O112" t="inlineStr">
        <is>
          <t>20231123</t>
        </is>
      </c>
      <c r="P112" t="inlineStr">
        <is>
          <t>Banten</t>
        </is>
      </c>
      <c r="Q112" t="inlineStr"/>
    </row>
    <row r="113">
      <c r="A113" t="inlineStr">
        <is>
          <t>TATA KARYA PRATAMA</t>
        </is>
      </c>
      <c r="B113" t="inlineStr">
        <is>
          <t>Kota Padang</t>
        </is>
      </c>
      <c r="C113" t="inlineStr">
        <is>
          <t>082381956101</t>
        </is>
      </c>
      <c r="D113" t="inlineStr">
        <is>
          <t>tatakaryapratama@gmail.com</t>
        </is>
      </c>
      <c r="E113" t="inlineStr">
        <is>
          <t>https://lpjk.pu.go.id/search-badan-usaha-detail/YzJkbXk1bnM0Sk5xdzNMb0FOTzFrdz09</t>
        </is>
      </c>
      <c r="F113" t="n">
        <v>6</v>
      </c>
      <c r="G113" t="inlineStr">
        <is>
          <t>BG005, BG006, BG008, BG009, BS001, BS004</t>
        </is>
      </c>
      <c r="H113" t="inlineStr">
        <is>
          <t>31 Maret 2016</t>
        </is>
      </c>
      <c r="I113" s="2" t="n">
        <v>46354</v>
      </c>
      <c r="J113" t="inlineStr">
        <is>
          <t>Disetujui</t>
        </is>
      </c>
      <c r="K113" t="n">
        <v>60</v>
      </c>
      <c r="L113" t="inlineStr">
        <is>
          <t>28 November 2026</t>
        </is>
      </c>
      <c r="M113" t="inlineStr">
        <is>
          <t>Konstruksi Bangunan Sipil Jalan, Konstruksi Gedung Kesehatan, Konstruksi Gedung Lainnya, Konstruksi Gedung Pendidikan, Konstruksi Gedung Tempat Hiburan dan Olahraga, Konstruksi Jaringan Irigasi dan Drainase</t>
        </is>
      </c>
      <c r="N113" t="inlineStr">
        <is>
          <t>K</t>
        </is>
      </c>
      <c r="O113" t="inlineStr">
        <is>
          <t>20231128, 20231130</t>
        </is>
      </c>
      <c r="P113" t="inlineStr">
        <is>
          <t>Sumatera Barat</t>
        </is>
      </c>
      <c r="Q113" t="inlineStr"/>
    </row>
    <row r="114">
      <c r="A114" t="inlineStr">
        <is>
          <t>TETRAWAHYU KENCANA</t>
        </is>
      </c>
      <c r="B114" t="inlineStr">
        <is>
          <t>Kota Surabaya</t>
        </is>
      </c>
      <c r="C114" t="inlineStr">
        <is>
          <t>0318288414</t>
        </is>
      </c>
      <c r="D114" t="inlineStr">
        <is>
          <t>tetrawahyuk@yahoo.co.id</t>
        </is>
      </c>
      <c r="E114" t="inlineStr">
        <is>
          <t>https://lpjk.pu.go.id/search-badan-usaha-detail/S3RRY2ovUmJGeUNlR2U5SElRTnYrUT09</t>
        </is>
      </c>
      <c r="F114" t="n">
        <v>6</v>
      </c>
      <c r="G114" t="inlineStr">
        <is>
          <t>BG002, BG003, BG004, BG006, BG009, BS001</t>
        </is>
      </c>
      <c r="H114" t="inlineStr">
        <is>
          <t>21 Oktober 1991</t>
        </is>
      </c>
      <c r="I114" s="2" t="n">
        <v>46354</v>
      </c>
      <c r="J114" t="inlineStr">
        <is>
          <t>Disetujui</t>
        </is>
      </c>
      <c r="K114" t="n">
        <v>60</v>
      </c>
      <c r="L114" t="inlineStr">
        <is>
          <t>28 November 2026</t>
        </is>
      </c>
      <c r="M114" t="inlineStr">
        <is>
          <t>Konstruksi Bangunan Sipil Jalan, Konstruksi Gedung Industri, Konstruksi Gedung Lainnya, Konstruksi Gedung Pendidikan, Konstruksi Gedung Perbelanjaan, Konstruksi Gedung Perkantoran</t>
        </is>
      </c>
      <c r="N114" t="inlineStr">
        <is>
          <t>K</t>
        </is>
      </c>
      <c r="O114" t="inlineStr">
        <is>
          <t>20231123</t>
        </is>
      </c>
      <c r="P114" t="inlineStr">
        <is>
          <t>Jawa Timur</t>
        </is>
      </c>
      <c r="Q114" t="inlineStr"/>
    </row>
    <row r="115">
      <c r="A115" t="inlineStr">
        <is>
          <t>TIMURJAYA TUNGGAL</t>
        </is>
      </c>
      <c r="B115" t="inlineStr">
        <is>
          <t>Kota Balikpapan</t>
        </is>
      </c>
      <c r="C115" t="inlineStr">
        <is>
          <t>0542733522</t>
        </is>
      </c>
      <c r="D115" t="inlineStr">
        <is>
          <t>tuffahatii@kotaminyak.co.id</t>
        </is>
      </c>
      <c r="E115" t="inlineStr">
        <is>
          <t>https://lpjk.pu.go.id/search-badan-usaha-detail/QTVJYVZORTh2SG41U3hDcWx4elRjZz09</t>
        </is>
      </c>
      <c r="F115" t="n">
        <v>2</v>
      </c>
      <c r="G115" t="inlineStr">
        <is>
          <t>IN004, IN007</t>
        </is>
      </c>
      <c r="H115" t="inlineStr">
        <is>
          <t>23 Agustus 1991</t>
        </is>
      </c>
      <c r="I115" s="2" t="n">
        <v>46354</v>
      </c>
      <c r="J115" t="inlineStr">
        <is>
          <t>Disetujui</t>
        </is>
      </c>
      <c r="K115" t="n">
        <v>60</v>
      </c>
      <c r="L115" t="inlineStr">
        <is>
          <t>28 November 2026</t>
        </is>
      </c>
      <c r="M115" t="inlineStr">
        <is>
          <t>Instalasi Minyak dan Gas, Instalasi Saluran Air (Plambing)</t>
        </is>
      </c>
      <c r="N115" t="inlineStr">
        <is>
          <t>Spesialis</t>
        </is>
      </c>
      <c r="O115" t="inlineStr">
        <is>
          <t>20231115</t>
        </is>
      </c>
      <c r="P115" t="inlineStr">
        <is>
          <t>Kalimantan Timur</t>
        </is>
      </c>
      <c r="Q115" t="inlineStr"/>
    </row>
    <row r="116">
      <c r="A116" t="inlineStr">
        <is>
          <t>TRACON INDUSTRI</t>
        </is>
      </c>
      <c r="B116" t="inlineStr">
        <is>
          <t>Kota Adm. Jakarta Selatan</t>
        </is>
      </c>
      <c r="C116" t="inlineStr">
        <is>
          <t>0217974367</t>
        </is>
      </c>
      <c r="D116" t="inlineStr">
        <is>
          <t>cslia@tracon.rekayasa.co.id</t>
        </is>
      </c>
      <c r="E116" t="inlineStr">
        <is>
          <t>https://lpjk.pu.go.id/search-badan-usaha-detail/UklzUGJSanVIdjRJa0lVU2ZnWjRDUT09</t>
        </is>
      </c>
      <c r="F116" t="n">
        <v>2</v>
      </c>
      <c r="G116" t="inlineStr">
        <is>
          <t>BS005, BS013</t>
        </is>
      </c>
      <c r="H116" t="inlineStr">
        <is>
          <t>27 Agustus 2001</t>
        </is>
      </c>
      <c r="I116" s="2" t="n">
        <v>46354</v>
      </c>
      <c r="J116" t="inlineStr">
        <is>
          <t>Disetujui, Pembekuan</t>
        </is>
      </c>
      <c r="K116" t="n">
        <v>60</v>
      </c>
      <c r="L116" t="inlineStr">
        <is>
          <t>28 November 2026</t>
        </is>
      </c>
      <c r="M116" t="inlineStr">
        <is>
          <t>Konstruksi Bangunan Sipil Minyak dan Gas Bumi, Konstruksi Bangunan Sipil Pengolahan Air Bersih</t>
        </is>
      </c>
      <c r="N116" t="inlineStr">
        <is>
          <t>B, M</t>
        </is>
      </c>
      <c r="O116" t="inlineStr">
        <is>
          <t>20231128, 20231201</t>
        </is>
      </c>
      <c r="P116" t="inlineStr">
        <is>
          <t>DKI Jakarta</t>
        </is>
      </c>
      <c r="Q116" t="inlineStr"/>
    </row>
    <row r="117">
      <c r="A117" t="inlineStr">
        <is>
          <t>TRIKARYA VISI BERSAMA</t>
        </is>
      </c>
      <c r="B117" t="inlineStr">
        <is>
          <t>Kota Semarang</t>
        </is>
      </c>
      <c r="C117" t="inlineStr">
        <is>
          <t>081390039785</t>
        </is>
      </c>
      <c r="D117" t="inlineStr">
        <is>
          <t>cvtrikaryavisibersama@gmail.com</t>
        </is>
      </c>
      <c r="E117" t="inlineStr">
        <is>
          <t>https://lpjk.pu.go.id/search-badan-usaha-detail/WlJsdW81YUN2VlE4cjZVaSszNi92dz09</t>
        </is>
      </c>
      <c r="F117" t="n">
        <v>1</v>
      </c>
      <c r="G117" t="inlineStr">
        <is>
          <t>BG009</t>
        </is>
      </c>
      <c r="H117" t="inlineStr">
        <is>
          <t>21 Desember 2022</t>
        </is>
      </c>
      <c r="I117" s="2" t="n">
        <v>46354</v>
      </c>
      <c r="J117" t="inlineStr">
        <is>
          <t>Disetujui</t>
        </is>
      </c>
      <c r="K117" t="n">
        <v>60</v>
      </c>
      <c r="L117" t="inlineStr">
        <is>
          <t>28 November 2026</t>
        </is>
      </c>
      <c r="M117" t="inlineStr">
        <is>
          <t>Konstruksi Gedung Lainnya</t>
        </is>
      </c>
      <c r="N117" t="inlineStr">
        <is>
          <t>K</t>
        </is>
      </c>
      <c r="O117" t="inlineStr">
        <is>
          <t>20231125</t>
        </is>
      </c>
      <c r="P117" t="inlineStr">
        <is>
          <t>Jawa Tengah</t>
        </is>
      </c>
      <c r="Q117" t="inlineStr"/>
    </row>
    <row r="118">
      <c r="A118" t="inlineStr">
        <is>
          <t>TUNAS KREATIF SEJAHTERA</t>
        </is>
      </c>
      <c r="B118" t="inlineStr">
        <is>
          <t>Kab. Majalengka</t>
        </is>
      </c>
      <c r="C118" t="inlineStr">
        <is>
          <t>081221038380</t>
        </is>
      </c>
      <c r="D118" t="inlineStr">
        <is>
          <t>cvtunaskreatifsejahteraizin@gmail.com</t>
        </is>
      </c>
      <c r="E118" t="inlineStr">
        <is>
          <t>https://lpjk.pu.go.id/search-badan-usaha-detail/aDJYbTJUeU02a0szaWhmbE5NZVZSQT09</t>
        </is>
      </c>
      <c r="F118" t="n">
        <v>2</v>
      </c>
      <c r="G118" t="inlineStr">
        <is>
          <t>BG006, BS004</t>
        </is>
      </c>
      <c r="H118" t="inlineStr">
        <is>
          <t>26 Juli 2010</t>
        </is>
      </c>
      <c r="I118" s="2" t="n">
        <v>46354</v>
      </c>
      <c r="J118" t="inlineStr">
        <is>
          <t>Disetujui</t>
        </is>
      </c>
      <c r="K118" t="n">
        <v>60</v>
      </c>
      <c r="L118" t="inlineStr">
        <is>
          <t>28 November 2026</t>
        </is>
      </c>
      <c r="M118" t="inlineStr">
        <is>
          <t>Konstruksi Gedung Pendidikan, Konstruksi Jaringan Irigasi dan Drainase</t>
        </is>
      </c>
      <c r="N118" t="inlineStr">
        <is>
          <t>K</t>
        </is>
      </c>
      <c r="O118" t="inlineStr">
        <is>
          <t>20220923, 20231109</t>
        </is>
      </c>
      <c r="P118" t="inlineStr">
        <is>
          <t>Jawa Barat</t>
        </is>
      </c>
      <c r="Q118" t="inlineStr"/>
    </row>
    <row r="119">
      <c r="A119" t="inlineStr">
        <is>
          <t>WIDYA PARMA WICAKSANA</t>
        </is>
      </c>
      <c r="B119" t="inlineStr">
        <is>
          <t>Kab. Klaten</t>
        </is>
      </c>
      <c r="C119" t="inlineStr">
        <is>
          <t>0857421270000</t>
        </is>
      </c>
      <c r="D119" t="inlineStr">
        <is>
          <t>widyaparmawicaksana8@gmail.com</t>
        </is>
      </c>
      <c r="E119" t="inlineStr">
        <is>
          <t>https://lpjk.pu.go.id/search-badan-usaha-detail/VC9Rc01xTGkydisxdU4zU2ZidUQwdz09</t>
        </is>
      </c>
      <c r="F119" t="n">
        <v>3</v>
      </c>
      <c r="G119" t="inlineStr">
        <is>
          <t>BG002, BG005, BG009</t>
        </is>
      </c>
      <c r="H119" t="inlineStr">
        <is>
          <t>10 November 2023</t>
        </is>
      </c>
      <c r="I119" s="2" t="n">
        <v>46354</v>
      </c>
      <c r="J119" t="inlineStr">
        <is>
          <t>Disetujui</t>
        </is>
      </c>
      <c r="K119" t="n">
        <v>60</v>
      </c>
      <c r="L119" t="inlineStr">
        <is>
          <t>28 November 2026</t>
        </is>
      </c>
      <c r="M119" t="inlineStr">
        <is>
          <t>Konstruksi Gedung Kesehatan, Konstruksi Gedung Lainnya, Konstruksi Gedung Perkantoran</t>
        </is>
      </c>
      <c r="N119" t="inlineStr">
        <is>
          <t>K</t>
        </is>
      </c>
      <c r="O119" t="inlineStr">
        <is>
          <t>20231116, 20231120</t>
        </is>
      </c>
      <c r="P119" t="inlineStr">
        <is>
          <t>Jawa Tengah</t>
        </is>
      </c>
      <c r="Q1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6"/>
  <sheetViews>
    <sheetView workbookViewId="0">
      <selection activeCell="A1" sqref="A1"/>
    </sheetView>
  </sheetViews>
  <sheetFormatPr baseColWidth="8" defaultRowHeight="15"/>
  <cols>
    <col width="34" customWidth="1" min="1" max="1"/>
    <col width="27" customWidth="1" min="2" max="2"/>
    <col width="16" customWidth="1" min="3" max="3"/>
    <col width="41" customWidth="1" min="4" max="4"/>
    <col width="50" customWidth="1" min="5" max="5"/>
    <col width="18" customWidth="1" min="6" max="6"/>
    <col width="49" customWidth="1" min="7" max="7"/>
    <col width="20" customWidth="1" min="8" max="8"/>
    <col width="28" customWidth="1" min="9" max="9"/>
    <col width="22" customWidth="1" min="10" max="10"/>
    <col width="11" customWidth="1" min="11" max="11"/>
    <col width="17" customWidth="1" min="12" max="12"/>
    <col width="50" customWidth="1" min="13" max="13"/>
    <col width="13" customWidth="1" min="14" max="14"/>
    <col width="4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ABHINAYA KANAKA DIYANTI</t>
        </is>
      </c>
      <c r="B2" t="inlineStr">
        <is>
          <t>Kab. Bogor</t>
        </is>
      </c>
      <c r="C2" t="inlineStr">
        <is>
          <t>02183711010</t>
        </is>
      </c>
      <c r="D2" t="inlineStr">
        <is>
          <t>ptabhinayakanakadiyanti@gmail.com</t>
        </is>
      </c>
      <c r="E2" t="inlineStr">
        <is>
          <t>https://lpjk.pu.go.id/search-badan-usaha-detail/VGNEaTlsY2lEOTl2YXZCVHZsY0l6QT09</t>
        </is>
      </c>
      <c r="F2" t="n">
        <v>2</v>
      </c>
      <c r="G2" t="inlineStr">
        <is>
          <t>AR001</t>
        </is>
      </c>
      <c r="H2" t="inlineStr">
        <is>
          <t>24 Maret 2016</t>
        </is>
      </c>
      <c r="I2" s="2" t="n">
        <v>46324</v>
      </c>
      <c r="J2" t="inlineStr">
        <is>
          <t>Disetujui</t>
        </is>
      </c>
      <c r="K2" t="n">
        <v>30</v>
      </c>
      <c r="L2" t="inlineStr">
        <is>
          <t>29 Oktober 2026</t>
        </is>
      </c>
      <c r="M2" t="inlineStr">
        <is>
          <t>Jasa Arsitektural Bangunan Gedung Hunian dan Non Hunian</t>
        </is>
      </c>
      <c r="N2" t="inlineStr">
        <is>
          <t>K</t>
        </is>
      </c>
      <c r="O2" t="inlineStr">
        <is>
          <t>20231018</t>
        </is>
      </c>
      <c r="P2" t="inlineStr">
        <is>
          <t>Jawa Barat</t>
        </is>
      </c>
      <c r="Q2" t="inlineStr"/>
    </row>
    <row r="3">
      <c r="A3" t="inlineStr">
        <is>
          <t>ANEKA REKAKOMINDO KENCANA</t>
        </is>
      </c>
      <c r="B3" t="inlineStr">
        <is>
          <t>Kota Bekasi</t>
        </is>
      </c>
      <c r="C3" t="inlineStr">
        <is>
          <t>0811108255</t>
        </is>
      </c>
      <c r="D3" t="inlineStr">
        <is>
          <t>gideonrekakomindo@gmail.com</t>
        </is>
      </c>
      <c r="E3" t="inlineStr">
        <is>
          <t>https://lpjk.pu.go.id/search-badan-usaha-detail/bWlXTGJlazlYd1BJY05ZMC96aUozY1JpVkdud0tzam9UN3ppU25vL3ZHcz0</t>
        </is>
      </c>
      <c r="F3" t="n">
        <v>1</v>
      </c>
      <c r="G3" t="inlineStr">
        <is>
          <t>BS001</t>
        </is>
      </c>
      <c r="H3" t="inlineStr">
        <is>
          <t>6 September 2023</t>
        </is>
      </c>
      <c r="I3" s="2" t="n">
        <v>46324</v>
      </c>
      <c r="J3" t="inlineStr">
        <is>
          <t>Disetujui</t>
        </is>
      </c>
      <c r="K3" t="n">
        <v>30</v>
      </c>
      <c r="L3" t="inlineStr">
        <is>
          <t>29 Oktober 2026</t>
        </is>
      </c>
      <c r="M3" t="inlineStr">
        <is>
          <t>Konstruksi Bangunan Sipil Jalan</t>
        </is>
      </c>
      <c r="N3" t="inlineStr">
        <is>
          <t>K</t>
        </is>
      </c>
      <c r="O3" t="inlineStr">
        <is>
          <t>20231026</t>
        </is>
      </c>
      <c r="P3" t="inlineStr">
        <is>
          <t>Jawa Barat</t>
        </is>
      </c>
      <c r="Q3" s="3">
        <f>HYPERLINK("https://wa.me/62811108255?text=*[Pengingat Masa Berlaku SBU ANEKA REKAKOMINDO KENCANA]*%0A%0AYth. Pimpinan ANEKA REKAKOMINDO KENCANA,%0AMohon izin menginformasikan status SBU Anda:%0A%0A📄 SBU: BS001%0A📅 Expired: 29 Oktober 2026 (30 Hari Lagi)%0A%0AKami tim PT. ESDEA Assistance Management siap men-support proses perpanjangan segera agar administrasi proyek tidak terhambat%0A%0AApakah boleh saya bantu siapkan estimasi biaya dan waktu pengerjaannya?.", "Hubungi")</f>
        <v/>
      </c>
    </row>
    <row r="4">
      <c r="A4" t="inlineStr">
        <is>
          <t>BAYU SARI</t>
        </is>
      </c>
      <c r="B4" t="inlineStr">
        <is>
          <t>Kab. Bogor</t>
        </is>
      </c>
      <c r="C4" t="inlineStr">
        <is>
          <t>081804904054</t>
        </is>
      </c>
      <c r="D4" t="inlineStr">
        <is>
          <t>octopulse12@gmail.com</t>
        </is>
      </c>
      <c r="E4" t="inlineStr">
        <is>
          <t>https://lpjk.pu.go.id/search-badan-usaha-detail/bEF0dElMNmZTT2orb0FvOGVtV2RIQT09</t>
        </is>
      </c>
      <c r="F4" t="n">
        <v>1</v>
      </c>
      <c r="G4" t="inlineStr">
        <is>
          <t>BS001</t>
        </is>
      </c>
      <c r="H4" t="inlineStr">
        <is>
          <t>17 November 1979</t>
        </is>
      </c>
      <c r="I4" s="2" t="n">
        <v>46324</v>
      </c>
      <c r="J4" t="inlineStr">
        <is>
          <t>Disetujui</t>
        </is>
      </c>
      <c r="K4" t="n">
        <v>30</v>
      </c>
      <c r="L4" t="inlineStr">
        <is>
          <t>29 Oktober 2026</t>
        </is>
      </c>
      <c r="M4" t="inlineStr">
        <is>
          <t>Konstruksi Bangunan Sipil Jalan</t>
        </is>
      </c>
      <c r="N4" t="inlineStr">
        <is>
          <t>K</t>
        </is>
      </c>
      <c r="O4" t="inlineStr">
        <is>
          <t>20231017</t>
        </is>
      </c>
      <c r="P4" t="inlineStr">
        <is>
          <t>Jawa Barat</t>
        </is>
      </c>
      <c r="Q4" s="3">
        <f>HYPERLINK("https://wa.me/6281804904054?text=*[Pengingat Masa Berlaku SBU BAYU SARI]*%0A%0AYth. Pimpinan BAYU SARI,%0AMohon izin menginformasikan status SBU Anda:%0A%0A📄 SBU: BS001%0A📅 Expired: 29 Oktober 2026 (30 Hari Lagi)%0A%0AKami tim PT. ESDEA Assistance Management siap men-support proses perpanjangan segera agar administrasi proyek tidak terhambat%0A%0AApakah boleh saya bantu siapkan estimasi biaya dan waktu pengerjaannya?.", "Hubungi")</f>
        <v/>
      </c>
    </row>
    <row r="5">
      <c r="A5" t="inlineStr">
        <is>
          <t>TAPAK BIMO ROSO</t>
        </is>
      </c>
      <c r="B5" t="inlineStr">
        <is>
          <t>Kota Bekasi</t>
        </is>
      </c>
      <c r="C5" t="inlineStr">
        <is>
          <t>02189453368</t>
        </is>
      </c>
      <c r="D5" t="inlineStr">
        <is>
          <t>tapakbimoroso@gmail.com</t>
        </is>
      </c>
      <c r="E5" t="inlineStr">
        <is>
          <t>https://lpjk.pu.go.id/search-badan-usaha-detail/MU04cnZncW1yZiswVnYzWEJTVUpkdz09</t>
        </is>
      </c>
      <c r="F5" t="n">
        <v>1</v>
      </c>
      <c r="G5" t="inlineStr">
        <is>
          <t>IN004</t>
        </is>
      </c>
      <c r="H5" t="inlineStr">
        <is>
          <t>11 Juni 2015</t>
        </is>
      </c>
      <c r="I5" s="2" t="n">
        <v>46324</v>
      </c>
      <c r="J5" t="inlineStr">
        <is>
          <t>Pencabutan</t>
        </is>
      </c>
      <c r="K5" t="n">
        <v>30</v>
      </c>
      <c r="L5" t="inlineStr">
        <is>
          <t>29 Oktober 2026</t>
        </is>
      </c>
      <c r="M5" t="inlineStr">
        <is>
          <t>Instalasi Minyak dan Gas</t>
        </is>
      </c>
      <c r="N5" t="inlineStr">
        <is>
          <t>Spesialis</t>
        </is>
      </c>
      <c r="O5" t="inlineStr">
        <is>
          <t>20231025</t>
        </is>
      </c>
      <c r="P5" t="inlineStr">
        <is>
          <t>Jawa Barat</t>
        </is>
      </c>
      <c r="Q5" t="inlineStr"/>
    </row>
    <row r="6">
      <c r="A6" t="inlineStr">
        <is>
          <t>ADI PROPERTINDO</t>
        </is>
      </c>
      <c r="B6" t="inlineStr">
        <is>
          <t>Kab. Karanganyar</t>
        </is>
      </c>
      <c r="C6" t="inlineStr">
        <is>
          <t>081227204440</t>
        </is>
      </c>
      <c r="D6" t="inlineStr">
        <is>
          <t>propertindoadi@gmail.com</t>
        </is>
      </c>
      <c r="E6" t="inlineStr">
        <is>
          <t>https://lpjk.pu.go.id/search-badan-usaha-detail/dXdTRHVPYlBDNHlBUW8yWG5jaHRLUT09</t>
        </is>
      </c>
      <c r="F6" t="n">
        <v>3</v>
      </c>
      <c r="G6" t="inlineStr">
        <is>
          <t>BG001, BG002, BS001</t>
        </is>
      </c>
      <c r="H6" t="inlineStr">
        <is>
          <t>2 Mei 2013</t>
        </is>
      </c>
      <c r="I6" s="2" t="n">
        <v>46324</v>
      </c>
      <c r="J6" t="inlineStr">
        <is>
          <t>Disetujui</t>
        </is>
      </c>
      <c r="K6" t="n">
        <v>30</v>
      </c>
      <c r="L6" t="inlineStr">
        <is>
          <t>29 Oktober 2026</t>
        </is>
      </c>
      <c r="M6" t="inlineStr">
        <is>
          <t>Konstruksi Bangunan Sipil Jalan, Konstruksi Gedung Hunian, Konstruksi Gedung Perkantoran</t>
        </is>
      </c>
      <c r="N6" t="inlineStr">
        <is>
          <t>K</t>
        </is>
      </c>
      <c r="O6" t="inlineStr">
        <is>
          <t>20231028</t>
        </is>
      </c>
      <c r="P6" t="inlineStr">
        <is>
          <t>Jawa Tengah</t>
        </is>
      </c>
      <c r="Q6" t="inlineStr"/>
    </row>
    <row r="7">
      <c r="A7" t="inlineStr">
        <is>
          <t>ADNAN KREASI DESIGN</t>
        </is>
      </c>
      <c r="B7" t="inlineStr">
        <is>
          <t>Kota Makassar</t>
        </is>
      </c>
      <c r="C7" t="inlineStr">
        <is>
          <t>085342103554</t>
        </is>
      </c>
      <c r="D7" t="inlineStr">
        <is>
          <t>adnankreasidesign@gmail.com</t>
        </is>
      </c>
      <c r="E7" t="inlineStr">
        <is>
          <t>https://lpjk.pu.go.id/search-badan-usaha-detail/S3dXRjRwR3J2WFNsTzRTZk0zMzAyZz09</t>
        </is>
      </c>
      <c r="F7" t="n">
        <v>1</v>
      </c>
      <c r="G7" t="inlineStr">
        <is>
          <t>AR001</t>
        </is>
      </c>
      <c r="H7" t="inlineStr">
        <is>
          <t>5 Mei 2020</t>
        </is>
      </c>
      <c r="I7" s="2" t="n">
        <v>46324</v>
      </c>
      <c r="J7" t="inlineStr">
        <is>
          <t>Disetujui</t>
        </is>
      </c>
      <c r="K7" t="n">
        <v>30</v>
      </c>
      <c r="L7" t="inlineStr">
        <is>
          <t>29 Oktober 2026</t>
        </is>
      </c>
      <c r="M7" t="inlineStr">
        <is>
          <t>Jasa Arsitektural Bangunan Gedung Hunian dan Non Hunian</t>
        </is>
      </c>
      <c r="N7" t="inlineStr">
        <is>
          <t>K</t>
        </is>
      </c>
      <c r="O7" t="inlineStr">
        <is>
          <t>20231015</t>
        </is>
      </c>
      <c r="P7" t="inlineStr">
        <is>
          <t>Sulawesi Selatan</t>
        </is>
      </c>
      <c r="Q7" t="inlineStr"/>
    </row>
    <row r="8">
      <c r="A8" t="inlineStr">
        <is>
          <t>ALEANA</t>
        </is>
      </c>
      <c r="B8" t="inlineStr">
        <is>
          <t>Kota Bandung</t>
        </is>
      </c>
      <c r="C8" t="inlineStr">
        <is>
          <t>081321489049</t>
        </is>
      </c>
      <c r="D8" t="inlineStr">
        <is>
          <t>barokahcvaleana@gmail.com</t>
        </is>
      </c>
      <c r="E8" t="inlineStr">
        <is>
          <t>https://lpjk.pu.go.id/search-badan-usaha-detail/WFROSmlGZXVsWmtTaklhZVB3Mmtpdz09</t>
        </is>
      </c>
      <c r="F8" t="n">
        <v>2</v>
      </c>
      <c r="G8" t="inlineStr">
        <is>
          <t>BG006, BG009</t>
        </is>
      </c>
      <c r="H8" t="inlineStr">
        <is>
          <t>22 Juni 2012</t>
        </is>
      </c>
      <c r="I8" s="2" t="n">
        <v>46324</v>
      </c>
      <c r="J8" t="inlineStr">
        <is>
          <t>Disetujui</t>
        </is>
      </c>
      <c r="K8" t="n">
        <v>30</v>
      </c>
      <c r="L8" t="inlineStr">
        <is>
          <t>29 Oktober 2026</t>
        </is>
      </c>
      <c r="M8" t="inlineStr">
        <is>
          <t>Konstruksi Gedung Lainnya, Konstruksi Gedung Pendidikan</t>
        </is>
      </c>
      <c r="N8" t="inlineStr">
        <is>
          <t>K</t>
        </is>
      </c>
      <c r="O8" t="inlineStr">
        <is>
          <t>20231027, 20231030</t>
        </is>
      </c>
      <c r="P8" t="inlineStr">
        <is>
          <t>Jawa Barat</t>
        </is>
      </c>
      <c r="Q8" t="inlineStr"/>
    </row>
    <row r="9">
      <c r="A9" t="inlineStr">
        <is>
          <t>ALKASVA</t>
        </is>
      </c>
      <c r="B9" t="inlineStr">
        <is>
          <t>Kota Palembang</t>
        </is>
      </c>
      <c r="C9" t="inlineStr">
        <is>
          <t>0819685810</t>
        </is>
      </c>
      <c r="D9" t="inlineStr">
        <is>
          <t>cvalkasva@gmail.com</t>
        </is>
      </c>
      <c r="E9" t="inlineStr">
        <is>
          <t>https://lpjk.pu.go.id/search-badan-usaha-detail/MXFEUUY1YXB2L3VIQTZjVXpJM0lxZz09</t>
        </is>
      </c>
      <c r="F9" t="n">
        <v>2</v>
      </c>
      <c r="G9" t="inlineStr">
        <is>
          <t>RK001</t>
        </is>
      </c>
      <c r="H9" t="inlineStr">
        <is>
          <t>14 Agustus 2023</t>
        </is>
      </c>
      <c r="I9" s="2" t="n">
        <v>46324</v>
      </c>
      <c r="J9" t="inlineStr">
        <is>
          <t>Disetujui</t>
        </is>
      </c>
      <c r="K9" t="n">
        <v>30</v>
      </c>
      <c r="L9" t="inlineStr">
        <is>
          <t>29 Oktober 2026</t>
        </is>
      </c>
      <c r="M9" t="inlineStr">
        <is>
          <t>Jasa Rekayasa Konstruksi Bangunan Gedung Hunian dan Non Hunian</t>
        </is>
      </c>
      <c r="N9" t="inlineStr">
        <is>
          <t>K</t>
        </is>
      </c>
      <c r="O9" t="inlineStr">
        <is>
          <t>20231020</t>
        </is>
      </c>
      <c r="P9" t="inlineStr">
        <is>
          <t>Sumatera Selatan</t>
        </is>
      </c>
      <c r="Q9" t="inlineStr"/>
    </row>
    <row r="10">
      <c r="A10" t="inlineStr">
        <is>
          <t>ANANDA UTAMA</t>
        </is>
      </c>
      <c r="B10" t="inlineStr">
        <is>
          <t>Kota Palopo</t>
        </is>
      </c>
      <c r="C10" t="inlineStr">
        <is>
          <t>08124285377</t>
        </is>
      </c>
      <c r="D10" t="inlineStr">
        <is>
          <t>anandautama55@yahoo.com</t>
        </is>
      </c>
      <c r="E10" t="inlineStr">
        <is>
          <t>https://lpjk.pu.go.id/search-badan-usaha-detail/azduUDNxTFhtR21adjI3dXNiQllmZz09</t>
        </is>
      </c>
      <c r="F10" t="n">
        <v>12</v>
      </c>
      <c r="G10" t="inlineStr">
        <is>
          <t>BG001, BG002, BG004, BG005, BG006, BS001</t>
        </is>
      </c>
      <c r="H10" t="inlineStr">
        <is>
          <t>28 Desember 1993</t>
        </is>
      </c>
      <c r="I10" s="2" t="n">
        <v>46324</v>
      </c>
      <c r="J10" t="inlineStr">
        <is>
          <t>Disetujui</t>
        </is>
      </c>
      <c r="K10" t="n">
        <v>30</v>
      </c>
      <c r="L10" t="inlineStr">
        <is>
          <t>29 Oktober 2026</t>
        </is>
      </c>
      <c r="M10" t="inlineStr">
        <is>
          <t>Konstruksi Bangunan Sipil Jalan, Konstruksi Gedung Hunian, Konstruksi Gedung Kesehatan, Konstruksi Gedung Pendidikan, Konstruksi Gedung Perbelanjaan, Konstruksi Gedung Perkantoran</t>
        </is>
      </c>
      <c r="N10" t="inlineStr">
        <is>
          <t>K</t>
        </is>
      </c>
      <c r="O10" t="inlineStr">
        <is>
          <t>20231029</t>
        </is>
      </c>
      <c r="P10" t="inlineStr">
        <is>
          <t>Sulawesi Selatan</t>
        </is>
      </c>
      <c r="Q10" t="inlineStr"/>
    </row>
    <row r="11">
      <c r="A11" t="inlineStr">
        <is>
          <t>ANEKA ADIJASA</t>
        </is>
      </c>
      <c r="B11" t="inlineStr">
        <is>
          <t>Kab. Sleman</t>
        </is>
      </c>
      <c r="C11" t="inlineStr">
        <is>
          <t>08179427326</t>
        </is>
      </c>
      <c r="D11" t="inlineStr">
        <is>
          <t>aneka.adijasa@gmail.com</t>
        </is>
      </c>
      <c r="E11" t="inlineStr">
        <is>
          <t>https://lpjk.pu.go.id/search-badan-usaha-detail/NUlXR2xrWTE0MFhmZFBvUTQyUWVtdz09</t>
        </is>
      </c>
      <c r="F11" t="n">
        <v>4</v>
      </c>
      <c r="G11" t="inlineStr">
        <is>
          <t>BS004, BS006</t>
        </is>
      </c>
      <c r="H11" t="inlineStr">
        <is>
          <t>13 Februari 2014</t>
        </is>
      </c>
      <c r="I11" s="2" t="n">
        <v>46324</v>
      </c>
      <c r="J11" t="inlineStr">
        <is>
          <t>Disetujui</t>
        </is>
      </c>
      <c r="K11" t="n">
        <v>30</v>
      </c>
      <c r="L11" t="inlineStr">
        <is>
          <t>29 Oktober 2026</t>
        </is>
      </c>
      <c r="M11" t="inlineStr">
        <is>
          <t>Konstruksi Bangunan Sipil Prasarana dan Sarana Sistem Pengolahan Limbah Padat, Cair, dan Gas, Konstruksi Jaringan Irigasi dan Drainase</t>
        </is>
      </c>
      <c r="N11" t="inlineStr">
        <is>
          <t>K</t>
        </is>
      </c>
      <c r="O11" t="inlineStr">
        <is>
          <t>20230811</t>
        </is>
      </c>
      <c r="P11" t="inlineStr">
        <is>
          <t>DI Yogyakarta</t>
        </is>
      </c>
      <c r="Q11" t="inlineStr"/>
    </row>
    <row r="12">
      <c r="A12" t="inlineStr">
        <is>
          <t>ANTIKA PURNAMA JAYA</t>
        </is>
      </c>
      <c r="B12" t="inlineStr">
        <is>
          <t>Kab. Gresik</t>
        </is>
      </c>
      <c r="C12" t="inlineStr">
        <is>
          <t>081334714500</t>
        </is>
      </c>
      <c r="D12" t="inlineStr">
        <is>
          <t>cv.antikapurnamajaya@gmail.com</t>
        </is>
      </c>
      <c r="E12" t="inlineStr">
        <is>
          <t>https://lpjk.pu.go.id/search-badan-usaha-detail/UUM1T3ZQNXduaTJlMHVESkc0aXZMdz09</t>
        </is>
      </c>
      <c r="F12" t="n">
        <v>1</v>
      </c>
      <c r="G12" t="inlineStr">
        <is>
          <t>BS001</t>
        </is>
      </c>
      <c r="H12" t="inlineStr">
        <is>
          <t>21 Februari 2023</t>
        </is>
      </c>
      <c r="I12" s="2" t="n">
        <v>46324</v>
      </c>
      <c r="J12" t="inlineStr">
        <is>
          <t>Disetujui</t>
        </is>
      </c>
      <c r="K12" t="n">
        <v>30</v>
      </c>
      <c r="L12" t="inlineStr">
        <is>
          <t>29 Oktober 2026</t>
        </is>
      </c>
      <c r="M12" t="inlineStr">
        <is>
          <t>Konstruksi Bangunan Sipil Jalan</t>
        </is>
      </c>
      <c r="N12" t="inlineStr">
        <is>
          <t>K</t>
        </is>
      </c>
      <c r="O12" t="inlineStr">
        <is>
          <t>20231009</t>
        </is>
      </c>
      <c r="P12" t="inlineStr">
        <is>
          <t>Jawa Timur</t>
        </is>
      </c>
      <c r="Q12" t="inlineStr"/>
    </row>
    <row r="13">
      <c r="A13" t="inlineStr">
        <is>
          <t>ANUGERAH</t>
        </is>
      </c>
      <c r="B13" t="inlineStr">
        <is>
          <t>Kab. Sampang</t>
        </is>
      </c>
      <c r="C13" t="inlineStr">
        <is>
          <t>087761510897</t>
        </is>
      </c>
      <c r="D13" t="inlineStr">
        <is>
          <t>cv.anugerah2023@yahoo.com</t>
        </is>
      </c>
      <c r="E13" t="inlineStr">
        <is>
          <t>https://lpjk.pu.go.id/search-badan-usaha-detail/TU5sWjcvMklXdm9zODBicUpITlpqQT09</t>
        </is>
      </c>
      <c r="F13" t="n">
        <v>1</v>
      </c>
      <c r="G13" t="inlineStr">
        <is>
          <t>BG006</t>
        </is>
      </c>
      <c r="H13" t="inlineStr">
        <is>
          <t>15 September 2003</t>
        </is>
      </c>
      <c r="I13" s="2" t="n">
        <v>46324</v>
      </c>
      <c r="J13" t="inlineStr">
        <is>
          <t>Disetujui</t>
        </is>
      </c>
      <c r="K13" t="n">
        <v>30</v>
      </c>
      <c r="L13" t="inlineStr">
        <is>
          <t>29 Oktober 2026</t>
        </is>
      </c>
      <c r="M13" t="inlineStr">
        <is>
          <t>Konstruksi Gedung Pendidikan</t>
        </is>
      </c>
      <c r="N13" t="inlineStr">
        <is>
          <t>K</t>
        </is>
      </c>
      <c r="O13" t="inlineStr">
        <is>
          <t>20231024</t>
        </is>
      </c>
      <c r="P13" t="inlineStr">
        <is>
          <t>Jawa Timur</t>
        </is>
      </c>
      <c r="Q13" t="inlineStr"/>
    </row>
    <row r="14">
      <c r="A14" t="inlineStr">
        <is>
          <t>APRILLIA PROFESIONAL TEKNOLOGI</t>
        </is>
      </c>
      <c r="B14" t="inlineStr">
        <is>
          <t>Kota Bandung</t>
        </is>
      </c>
      <c r="C14" t="inlineStr">
        <is>
          <t>0227234251</t>
        </is>
      </c>
      <c r="D14" t="inlineStr">
        <is>
          <t>info.aprotech@yahoo.com</t>
        </is>
      </c>
      <c r="E14" t="inlineStr">
        <is>
          <t>https://lpjk.pu.go.id/search-badan-usaha-detail/SmwvOEQ5eldIOWVrd2hoMWQwMjU1dz09</t>
        </is>
      </c>
      <c r="F14" t="n">
        <v>2</v>
      </c>
      <c r="G14" t="inlineStr">
        <is>
          <t>BG009</t>
        </is>
      </c>
      <c r="H14" t="inlineStr">
        <is>
          <t>28 Juli 2000</t>
        </is>
      </c>
      <c r="I14" s="2" t="n">
        <v>46324</v>
      </c>
      <c r="J14" t="inlineStr">
        <is>
          <t>Disetujui</t>
        </is>
      </c>
      <c r="K14" t="n">
        <v>30</v>
      </c>
      <c r="L14" t="inlineStr">
        <is>
          <t>29 Oktober 2026</t>
        </is>
      </c>
      <c r="M14" t="inlineStr">
        <is>
          <t>Konstruksi Gedung Lainnya</t>
        </is>
      </c>
      <c r="N14" t="inlineStr">
        <is>
          <t>K</t>
        </is>
      </c>
      <c r="O14" t="inlineStr">
        <is>
          <t>20231019</t>
        </is>
      </c>
      <c r="P14" t="inlineStr">
        <is>
          <t>Jawa Barat</t>
        </is>
      </c>
      <c r="Q14" t="inlineStr"/>
    </row>
    <row r="15">
      <c r="A15" t="inlineStr">
        <is>
          <t>ARIESCONT PERDANA</t>
        </is>
      </c>
      <c r="B15" t="inlineStr">
        <is>
          <t>Kota Palu</t>
        </is>
      </c>
      <c r="C15" t="inlineStr">
        <is>
          <t>085343575657</t>
        </is>
      </c>
      <c r="D15" t="inlineStr">
        <is>
          <t>pt.ariescont_perdana@yahoo.co.id</t>
        </is>
      </c>
      <c r="E15" t="inlineStr">
        <is>
          <t>https://lpjk.pu.go.id/search-badan-usaha-detail/R1Rxam54eUNEdkI1UFI4RjYvczhIZz09</t>
        </is>
      </c>
      <c r="F15" t="n">
        <v>2</v>
      </c>
      <c r="G15" t="inlineStr">
        <is>
          <t>BS004</t>
        </is>
      </c>
      <c r="H15" t="inlineStr">
        <is>
          <t>28 Juli 1992</t>
        </is>
      </c>
      <c r="I15" s="2" t="n">
        <v>46324</v>
      </c>
      <c r="J15" t="inlineStr">
        <is>
          <t>Pembekuan</t>
        </is>
      </c>
      <c r="K15" t="n">
        <v>30</v>
      </c>
      <c r="L15" t="inlineStr">
        <is>
          <t>29 Oktober 2026</t>
        </is>
      </c>
      <c r="M15" t="inlineStr">
        <is>
          <t>Konstruksi Jaringan Irigasi dan Drainase</t>
        </is>
      </c>
      <c r="N15" t="inlineStr">
        <is>
          <t>M</t>
        </is>
      </c>
      <c r="O15" t="inlineStr">
        <is>
          <t>20231016</t>
        </is>
      </c>
      <c r="P15" t="inlineStr">
        <is>
          <t>Sulawesi Tengah</t>
        </is>
      </c>
      <c r="Q15" t="inlineStr"/>
    </row>
    <row r="16">
      <c r="A16" t="inlineStr">
        <is>
          <t>ART GRAHA ENGINEERING</t>
        </is>
      </c>
      <c r="B16" t="inlineStr">
        <is>
          <t>Kota Solok</t>
        </is>
      </c>
      <c r="C16" t="inlineStr">
        <is>
          <t>085365011165</t>
        </is>
      </c>
      <c r="D16" t="inlineStr">
        <is>
          <t>artgrahaeng@gmail.com</t>
        </is>
      </c>
      <c r="E16" t="inlineStr">
        <is>
          <t>https://lpjk.pu.go.id/search-badan-usaha-detail/NUZENkN4RmxORDc0NXM5Z3NlbVUrUT09</t>
        </is>
      </c>
      <c r="F16" t="n">
        <v>2</v>
      </c>
      <c r="G16" t="inlineStr">
        <is>
          <t>RK001, RK003</t>
        </is>
      </c>
      <c r="H16" t="inlineStr">
        <is>
          <t>1 Oktober 2012</t>
        </is>
      </c>
      <c r="I16" s="2" t="n">
        <v>46324</v>
      </c>
      <c r="J16" t="inlineStr">
        <is>
          <t>Disetujui</t>
        </is>
      </c>
      <c r="K16" t="n">
        <v>30</v>
      </c>
      <c r="L16" t="inlineStr">
        <is>
          <t>29 Oktober 2026</t>
        </is>
      </c>
      <c r="M16" t="inlineStr">
        <is>
          <t>Jasa Rekayasa Konstruksi Bangunan Gedung Hunian dan Non Hunian, Jasa Rekayasa Pekerjaan Teknik Sipil Transportasi</t>
        </is>
      </c>
      <c r="N16" t="inlineStr">
        <is>
          <t>K</t>
        </is>
      </c>
      <c r="O16" t="inlineStr">
        <is>
          <t>20231004</t>
        </is>
      </c>
      <c r="P16" t="inlineStr">
        <is>
          <t>Sumatera Barat</t>
        </is>
      </c>
      <c r="Q16" t="inlineStr"/>
    </row>
    <row r="17">
      <c r="A17" t="inlineStr">
        <is>
          <t>ASTAKA</t>
        </is>
      </c>
      <c r="B17" t="inlineStr">
        <is>
          <t>Kota Madiun</t>
        </is>
      </c>
      <c r="C17" t="inlineStr">
        <is>
          <t>0813 5745 4368</t>
        </is>
      </c>
      <c r="D17" t="inlineStr">
        <is>
          <t>kholiqsori@gmail.com</t>
        </is>
      </c>
      <c r="E17" t="inlineStr">
        <is>
          <t>https://lpjk.pu.go.id/search-badan-usaha-detail/SU8zZU5NaklnUnpFZnJ4Y1BqUnRrQT09</t>
        </is>
      </c>
      <c r="F17" t="n">
        <v>12</v>
      </c>
      <c r="G17" t="inlineStr">
        <is>
          <t>BG001, BG002, BG005, BG006, BG009, BS001</t>
        </is>
      </c>
      <c r="H17" t="inlineStr">
        <is>
          <t>25 Februari 2021</t>
        </is>
      </c>
      <c r="I17" s="2" t="n">
        <v>46324</v>
      </c>
      <c r="J17" t="inlineStr">
        <is>
          <t>Disetujui</t>
        </is>
      </c>
      <c r="K17" t="n">
        <v>30</v>
      </c>
      <c r="L17" t="inlineStr">
        <is>
          <t>29 Oktober 2026</t>
        </is>
      </c>
      <c r="M17" t="inlineStr">
        <is>
          <t>Konstruksi Bangunan Sipil Jalan, Konstruksi Gedung Hunian, Konstruksi Gedung Kesehatan, Konstruksi Gedung Lainnya, Konstruksi Gedung Pendidikan, Konstruksi Gedung Perkantoran</t>
        </is>
      </c>
      <c r="N17" t="inlineStr">
        <is>
          <t>K</t>
        </is>
      </c>
      <c r="O17" t="inlineStr">
        <is>
          <t>20231027, 20231028</t>
        </is>
      </c>
      <c r="P17" t="inlineStr">
        <is>
          <t>Jawa Timur</t>
        </is>
      </c>
      <c r="Q17" t="inlineStr"/>
    </row>
    <row r="18">
      <c r="A18" t="inlineStr">
        <is>
          <t>AZKA BANGUN RANCANA</t>
        </is>
      </c>
      <c r="B18" t="inlineStr">
        <is>
          <t>Kota Makassar</t>
        </is>
      </c>
      <c r="C18" t="inlineStr">
        <is>
          <t>085242578165</t>
        </is>
      </c>
      <c r="D18" t="inlineStr">
        <is>
          <t>azkabangunrancana@gmail.com</t>
        </is>
      </c>
      <c r="E18" t="inlineStr">
        <is>
          <t>https://lpjk.pu.go.id/search-badan-usaha-detail/THdjT2VuZTd5cjdINmxhaGlCdThiUT09</t>
        </is>
      </c>
      <c r="F18" t="n">
        <v>3</v>
      </c>
      <c r="G18" t="inlineStr">
        <is>
          <t>BG002, BG009, BS001</t>
        </is>
      </c>
      <c r="H18" t="inlineStr">
        <is>
          <t>22 Januari 2016</t>
        </is>
      </c>
      <c r="I18" s="2" t="n">
        <v>46324</v>
      </c>
      <c r="J18" t="inlineStr">
        <is>
          <t>Disetujui</t>
        </is>
      </c>
      <c r="K18" t="n">
        <v>30</v>
      </c>
      <c r="L18" t="inlineStr">
        <is>
          <t>29 Oktober 2026</t>
        </is>
      </c>
      <c r="M18" t="inlineStr">
        <is>
          <t>Konstruksi Bangunan Sipil Jalan, Konstruksi Gedung Lainnya, Konstruksi Gedung Perkantoran</t>
        </is>
      </c>
      <c r="N18" t="inlineStr">
        <is>
          <t>K</t>
        </is>
      </c>
      <c r="O18" t="inlineStr">
        <is>
          <t>20231023, 20231024</t>
        </is>
      </c>
      <c r="P18" t="inlineStr">
        <is>
          <t>Sulawesi Selatan</t>
        </is>
      </c>
      <c r="Q18" t="inlineStr"/>
    </row>
    <row r="19">
      <c r="A19" t="inlineStr">
        <is>
          <t>BARAHIM PUTRA MANDIRI</t>
        </is>
      </c>
      <c r="B19" t="inlineStr">
        <is>
          <t>Kota Palembang</t>
        </is>
      </c>
      <c r="C19" t="inlineStr">
        <is>
          <t>08121517168</t>
        </is>
      </c>
      <c r="D19" t="inlineStr">
        <is>
          <t>cvbarahimputramandiri@gmail.com</t>
        </is>
      </c>
      <c r="E19" t="inlineStr">
        <is>
          <t>https://lpjk.pu.go.id/search-badan-usaha-detail/dFVFK2I2UG9ZUjNaM2dHbFJhM1JpUT09</t>
        </is>
      </c>
      <c r="F19" t="n">
        <v>8</v>
      </c>
      <c r="G19" t="inlineStr">
        <is>
          <t>BG006, BG009, BS001, BS004</t>
        </is>
      </c>
      <c r="H19" t="inlineStr">
        <is>
          <t>12 September 2023</t>
        </is>
      </c>
      <c r="I19" s="2" t="n">
        <v>46324</v>
      </c>
      <c r="J19" t="inlineStr">
        <is>
          <t>Disetujui</t>
        </is>
      </c>
      <c r="K19" t="n">
        <v>30</v>
      </c>
      <c r="L19" t="inlineStr">
        <is>
          <t>29 Oktober 2026</t>
        </is>
      </c>
      <c r="M19" t="inlineStr">
        <is>
          <t>Konstruksi Bangunan Sipil Jalan, Konstruksi Gedung Lainnya, Konstruksi Gedung Pendidikan, Konstruksi Jaringan Irigasi dan Drainase</t>
        </is>
      </c>
      <c r="N19" t="inlineStr">
        <is>
          <t>K</t>
        </is>
      </c>
      <c r="O19" t="inlineStr">
        <is>
          <t>20231024, 20231031</t>
        </is>
      </c>
      <c r="P19" t="inlineStr">
        <is>
          <t>Sumatera Selatan</t>
        </is>
      </c>
      <c r="Q19" t="inlineStr"/>
    </row>
    <row r="20">
      <c r="A20" t="inlineStr">
        <is>
          <t>BASWARA TEKNIK KONSULTAN</t>
        </is>
      </c>
      <c r="B20" t="inlineStr">
        <is>
          <t>Kota Jambi</t>
        </is>
      </c>
      <c r="C20" t="inlineStr">
        <is>
          <t>082372709661</t>
        </is>
      </c>
      <c r="D20" t="inlineStr">
        <is>
          <t>baswarakonsultan@yahoo.com</t>
        </is>
      </c>
      <c r="E20" t="inlineStr">
        <is>
          <t>https://lpjk.pu.go.id/search-badan-usaha-detail/QjkwdmlqemVvazkvbTM4RmgrYm5FUT09</t>
        </is>
      </c>
      <c r="F20" t="n">
        <v>1</v>
      </c>
      <c r="G20" t="inlineStr">
        <is>
          <t>RK003</t>
        </is>
      </c>
      <c r="H20" t="inlineStr">
        <is>
          <t>11 Mei 2016</t>
        </is>
      </c>
      <c r="I20" s="2" t="n">
        <v>46324</v>
      </c>
      <c r="J20" t="inlineStr">
        <is>
          <t>Disetujui</t>
        </is>
      </c>
      <c r="K20" t="n">
        <v>30</v>
      </c>
      <c r="L20" t="inlineStr">
        <is>
          <t>29 Oktober 2026</t>
        </is>
      </c>
      <c r="M20" t="inlineStr">
        <is>
          <t>Jasa Rekayasa Pekerjaan Teknik Sipil Transportasi</t>
        </is>
      </c>
      <c r="N20" t="inlineStr">
        <is>
          <t>K</t>
        </is>
      </c>
      <c r="O20" t="inlineStr">
        <is>
          <t>20231019</t>
        </is>
      </c>
      <c r="P20" t="inlineStr">
        <is>
          <t>Jambi</t>
        </is>
      </c>
      <c r="Q20" t="inlineStr"/>
    </row>
    <row r="21">
      <c r="A21" t="inlineStr">
        <is>
          <t>BEJO MAKMUR SENTOSA</t>
        </is>
      </c>
      <c r="B21" t="inlineStr">
        <is>
          <t>Kab. Banyumas</t>
        </is>
      </c>
      <c r="C21" t="inlineStr">
        <is>
          <t>02817773677</t>
        </is>
      </c>
      <c r="D21" t="inlineStr">
        <is>
          <t>pt.bejomakmursentosa@gmail.com</t>
        </is>
      </c>
      <c r="E21" t="inlineStr">
        <is>
          <t>https://lpjk.pu.go.id/search-badan-usaha-detail/RENDL1lzSmFqZHlOcVQzN2xqRzFTZz09</t>
        </is>
      </c>
      <c r="F21" t="n">
        <v>2</v>
      </c>
      <c r="G21" t="inlineStr">
        <is>
          <t>BG009, BS002</t>
        </is>
      </c>
      <c r="H21" t="inlineStr">
        <is>
          <t>23 April 2019</t>
        </is>
      </c>
      <c r="I21" s="2" t="n">
        <v>46324</v>
      </c>
      <c r="J21" t="inlineStr">
        <is>
          <t>Disetujui</t>
        </is>
      </c>
      <c r="K21" t="n">
        <v>30</v>
      </c>
      <c r="L21" t="inlineStr">
        <is>
          <t>29 Oktober 2026</t>
        </is>
      </c>
      <c r="M21" t="inlineStr">
        <is>
          <t>Bangunan Sipil Jembatan, Jalan Layang, Fly Over, dan Underpass, Konstruksi Gedung Lainnya</t>
        </is>
      </c>
      <c r="N21" t="inlineStr">
        <is>
          <t>K</t>
        </is>
      </c>
      <c r="O21" t="inlineStr">
        <is>
          <t>20231024, 20231027</t>
        </is>
      </c>
      <c r="P21" t="inlineStr">
        <is>
          <t>Jawa Tengah</t>
        </is>
      </c>
      <c r="Q21" t="inlineStr"/>
    </row>
    <row r="22">
      <c r="A22" t="inlineStr">
        <is>
          <t>BETANIA PRIMA</t>
        </is>
      </c>
      <c r="B22" t="inlineStr">
        <is>
          <t>Kota Tangerang</t>
        </is>
      </c>
      <c r="C22" t="inlineStr">
        <is>
          <t>081290019906</t>
        </is>
      </c>
      <c r="D22" t="inlineStr">
        <is>
          <t>pt.betaniaprima1@gmail.com</t>
        </is>
      </c>
      <c r="E22" t="inlineStr">
        <is>
          <t>https://lpjk.pu.go.id/search-badan-usaha-detail/cjlnSkxidkcrejBiV3UyR2RpZUNYdz09</t>
        </is>
      </c>
      <c r="F22" t="n">
        <v>1</v>
      </c>
      <c r="G22" t="inlineStr">
        <is>
          <t>BG004</t>
        </is>
      </c>
      <c r="H22" t="inlineStr">
        <is>
          <t>19 Desember 1985</t>
        </is>
      </c>
      <c r="I22" s="2" t="n">
        <v>46324</v>
      </c>
      <c r="J22" t="inlineStr">
        <is>
          <t>Pencabutan</t>
        </is>
      </c>
      <c r="K22" t="n">
        <v>30</v>
      </c>
      <c r="L22" t="inlineStr">
        <is>
          <t>29 Oktober 2026</t>
        </is>
      </c>
      <c r="M22" t="inlineStr">
        <is>
          <t>Konstruksi Gedung Perbelanjaan</t>
        </is>
      </c>
      <c r="N22" t="inlineStr">
        <is>
          <t>B</t>
        </is>
      </c>
      <c r="O22" t="inlineStr">
        <is>
          <t>20230828</t>
        </is>
      </c>
      <c r="P22" t="inlineStr">
        <is>
          <t>Banten</t>
        </is>
      </c>
      <c r="Q22" t="inlineStr"/>
    </row>
    <row r="23">
      <c r="A23" t="inlineStr">
        <is>
          <t>BIMA MADIUN</t>
        </is>
      </c>
      <c r="B23" t="inlineStr">
        <is>
          <t>Kab. Madiun</t>
        </is>
      </c>
      <c r="C23" t="inlineStr">
        <is>
          <t>-</t>
        </is>
      </c>
      <c r="D23" t="inlineStr">
        <is>
          <t>cv.bimamadiun@yahoo.co.id</t>
        </is>
      </c>
      <c r="E23" t="inlineStr">
        <is>
          <t>https://lpjk.pu.go.id/search-badan-usaha-detail/a3BYTTFscGZjT1pLUkk4ZVNUdnI1UT09</t>
        </is>
      </c>
      <c r="F23" t="n">
        <v>1</v>
      </c>
      <c r="G23" t="inlineStr">
        <is>
          <t>BS005</t>
        </is>
      </c>
      <c r="H23" t="inlineStr">
        <is>
          <t>19 April 2000</t>
        </is>
      </c>
      <c r="I23" s="2" t="n">
        <v>46324</v>
      </c>
      <c r="J23" t="inlineStr">
        <is>
          <t>Disetujui</t>
        </is>
      </c>
      <c r="K23" t="n">
        <v>30</v>
      </c>
      <c r="L23" t="inlineStr">
        <is>
          <t>29 Oktober 2026</t>
        </is>
      </c>
      <c r="M23" t="inlineStr">
        <is>
          <t>Konstruksi Bangunan Sipil Pengolahan Air Bersih</t>
        </is>
      </c>
      <c r="N23" t="inlineStr">
        <is>
          <t>K</t>
        </is>
      </c>
      <c r="O23" t="inlineStr">
        <is>
          <t>20231023</t>
        </is>
      </c>
      <c r="P23" t="inlineStr">
        <is>
          <t>Jawa Timur</t>
        </is>
      </c>
      <c r="Q23" t="inlineStr"/>
    </row>
    <row r="24">
      <c r="A24" t="inlineStr">
        <is>
          <t>BINA KARYA</t>
        </is>
      </c>
      <c r="B24" t="inlineStr">
        <is>
          <t>Kab. Boyolali</t>
        </is>
      </c>
      <c r="C24" t="inlineStr">
        <is>
          <t>08122624263</t>
        </is>
      </c>
      <c r="D24" t="inlineStr">
        <is>
          <t>cv.binakarya123@gmail.com</t>
        </is>
      </c>
      <c r="E24" t="inlineStr">
        <is>
          <t>https://lpjk.pu.go.id/search-badan-usaha-detail/bEZoOUhybWZhR0ZzTitBVGNRRFdEZz09</t>
        </is>
      </c>
      <c r="F24" t="n">
        <v>5</v>
      </c>
      <c r="G24" t="inlineStr">
        <is>
          <t>BG002, BG004, BG005, BG006, BG009</t>
        </is>
      </c>
      <c r="H24" t="inlineStr">
        <is>
          <t>8 Agustus 1994</t>
        </is>
      </c>
      <c r="I24" s="2" t="n">
        <v>46324</v>
      </c>
      <c r="J24" t="inlineStr">
        <is>
          <t>Disetujui</t>
        </is>
      </c>
      <c r="K24" t="n">
        <v>30</v>
      </c>
      <c r="L24" t="inlineStr">
        <is>
          <t>29 Oktober 2026</t>
        </is>
      </c>
      <c r="M24" t="inlineStr">
        <is>
          <t>Konstruksi Gedung Kesehatan, Konstruksi Gedung Lainnya, Konstruksi Gedung Pendidikan, Konstruksi Gedung Perbelanjaan, Konstruksi Gedung Perkantoran</t>
        </is>
      </c>
      <c r="N24" t="inlineStr">
        <is>
          <t>K</t>
        </is>
      </c>
      <c r="O24" t="inlineStr">
        <is>
          <t>20231024</t>
        </is>
      </c>
      <c r="P24" t="inlineStr">
        <is>
          <t>Jawa Tengah</t>
        </is>
      </c>
      <c r="Q24" t="inlineStr"/>
    </row>
    <row r="25">
      <c r="A25" t="inlineStr">
        <is>
          <t>BUKIT INTAN MULIA AGUNG</t>
        </is>
      </c>
      <c r="B25" t="inlineStr">
        <is>
          <t>Kota Palembang</t>
        </is>
      </c>
      <c r="C25" t="inlineStr">
        <is>
          <t>082176687629</t>
        </is>
      </c>
      <c r="D25" t="inlineStr">
        <is>
          <t>bukitintanmuliaagung@gmail.com</t>
        </is>
      </c>
      <c r="E25" t="inlineStr">
        <is>
          <t>https://lpjk.pu.go.id/search-badan-usaha-detail/RjFGRW5acnBxRmtQWHNIT3JvbXRBQT09</t>
        </is>
      </c>
      <c r="F25" t="n">
        <v>1</v>
      </c>
      <c r="G25" t="inlineStr">
        <is>
          <t>BG008</t>
        </is>
      </c>
      <c r="H25" t="inlineStr">
        <is>
          <t>27 Mei 2022</t>
        </is>
      </c>
      <c r="I25" s="2" t="n">
        <v>46324</v>
      </c>
      <c r="J25" t="inlineStr">
        <is>
          <t>Disetujui</t>
        </is>
      </c>
      <c r="K25" t="n">
        <v>30</v>
      </c>
      <c r="L25" t="inlineStr">
        <is>
          <t>29 Oktober 2026</t>
        </is>
      </c>
      <c r="M25" t="inlineStr">
        <is>
          <t>Konstruksi Gedung Tempat Hiburan dan Olahraga</t>
        </is>
      </c>
      <c r="N25" t="inlineStr">
        <is>
          <t>K</t>
        </is>
      </c>
      <c r="O25" t="inlineStr">
        <is>
          <t>20231028</t>
        </is>
      </c>
      <c r="P25" t="inlineStr">
        <is>
          <t>Sumatera Selatan</t>
        </is>
      </c>
      <c r="Q25" t="inlineStr"/>
    </row>
    <row r="26">
      <c r="A26" t="inlineStr">
        <is>
          <t>BUPALAPERTIWI RAHARJA</t>
        </is>
      </c>
      <c r="B26" t="inlineStr">
        <is>
          <t>Kota Adm. Jakarta Selatan</t>
        </is>
      </c>
      <c r="C26" t="inlineStr">
        <is>
          <t>021-7864138</t>
        </is>
      </c>
      <c r="D26" t="inlineStr">
        <is>
          <t>pt.bupalapertiwiraharja@yahoo.co.id</t>
        </is>
      </c>
      <c r="E26" t="inlineStr">
        <is>
          <t>https://lpjk.pu.go.id/search-badan-usaha-detail/RkNmYi9IbDN3VTdVNmtGN0Ewb3VOUT09</t>
        </is>
      </c>
      <c r="F26" t="n">
        <v>1</v>
      </c>
      <c r="G26" t="inlineStr">
        <is>
          <t>BS010</t>
        </is>
      </c>
      <c r="H26" t="inlineStr">
        <is>
          <t>15 April 1988</t>
        </is>
      </c>
      <c r="I26" s="2" t="n">
        <v>46324</v>
      </c>
      <c r="J26" t="inlineStr">
        <is>
          <t>Disetujui</t>
        </is>
      </c>
      <c r="K26" t="n">
        <v>30</v>
      </c>
      <c r="L26" t="inlineStr">
        <is>
          <t>29 Oktober 2026</t>
        </is>
      </c>
      <c r="M26" t="inlineStr">
        <is>
          <t>Konstruksi Bangunan Prasarana Sumber Daya Air</t>
        </is>
      </c>
      <c r="N26" t="inlineStr">
        <is>
          <t>K</t>
        </is>
      </c>
      <c r="O26" t="inlineStr">
        <is>
          <t>20231023</t>
        </is>
      </c>
      <c r="P26" t="inlineStr">
        <is>
          <t>DKI Jakarta</t>
        </is>
      </c>
      <c r="Q26" t="inlineStr"/>
    </row>
    <row r="27">
      <c r="A27" t="inlineStr">
        <is>
          <t>CAHAYA MANDIRI CONSTRUCTION</t>
        </is>
      </c>
      <c r="B27" t="inlineStr">
        <is>
          <t>Kab. Pesawaran</t>
        </is>
      </c>
      <c r="C27" t="inlineStr">
        <is>
          <t>-</t>
        </is>
      </c>
      <c r="D27" t="inlineStr">
        <is>
          <t>cahayamandiricons@gmail.com</t>
        </is>
      </c>
      <c r="E27" t="inlineStr">
        <is>
          <t>https://lpjk.pu.go.id/search-badan-usaha-detail/WmRYRU8rb1F0ME5Ea01wY2JEZ2ZiUT09</t>
        </is>
      </c>
      <c r="F27" t="n">
        <v>2</v>
      </c>
      <c r="G27" t="inlineStr">
        <is>
          <t>BG002, BS001</t>
        </is>
      </c>
      <c r="H27" t="inlineStr">
        <is>
          <t>2 Juni 2014</t>
        </is>
      </c>
      <c r="I27" s="2" t="n">
        <v>46324</v>
      </c>
      <c r="J27" t="inlineStr">
        <is>
          <t>Disetujui</t>
        </is>
      </c>
      <c r="K27" t="n">
        <v>30</v>
      </c>
      <c r="L27" t="inlineStr">
        <is>
          <t>29 Oktober 2026</t>
        </is>
      </c>
      <c r="M27" t="inlineStr">
        <is>
          <t>Konstruksi Bangunan Sipil Jalan, Konstruksi Gedung Perkantoran</t>
        </is>
      </c>
      <c r="N27" t="inlineStr">
        <is>
          <t>K</t>
        </is>
      </c>
      <c r="O27" t="inlineStr">
        <is>
          <t>20231024</t>
        </is>
      </c>
      <c r="P27" t="inlineStr">
        <is>
          <t>Lampung</t>
        </is>
      </c>
      <c r="Q27" t="inlineStr"/>
    </row>
    <row r="28">
      <c r="A28" t="inlineStr">
        <is>
          <t>CAHAYA MIMIKA</t>
        </is>
      </c>
      <c r="B28" t="inlineStr">
        <is>
          <t>Kab. Mimika</t>
        </is>
      </c>
      <c r="C28" t="inlineStr">
        <is>
          <t>081382186919</t>
        </is>
      </c>
      <c r="D28" t="inlineStr">
        <is>
          <t>efraimwillem6@gmail.com</t>
        </is>
      </c>
      <c r="E28" t="inlineStr">
        <is>
          <t>https://lpjk.pu.go.id/search-badan-usaha-detail/TU9WZFFQbUU4OW4yZGY4L0srOE1FZz09</t>
        </is>
      </c>
      <c r="F28" t="n">
        <v>2</v>
      </c>
      <c r="G28" t="inlineStr">
        <is>
          <t>BG009, BS004</t>
        </is>
      </c>
      <c r="H28" t="inlineStr">
        <is>
          <t>6 Januari 2015</t>
        </is>
      </c>
      <c r="I28" s="2" t="n">
        <v>46324</v>
      </c>
      <c r="J28" t="inlineStr">
        <is>
          <t>Disetujui</t>
        </is>
      </c>
      <c r="K28" t="n">
        <v>30</v>
      </c>
      <c r="L28" t="inlineStr">
        <is>
          <t>29 Oktober 2026</t>
        </is>
      </c>
      <c r="M28" t="inlineStr">
        <is>
          <t>Konstruksi Gedung Lainnya, Konstruksi Jaringan Irigasi dan Drainase</t>
        </is>
      </c>
      <c r="N28" t="inlineStr">
        <is>
          <t>K</t>
        </is>
      </c>
      <c r="O28" t="inlineStr">
        <is>
          <t>20230930, 20231024</t>
        </is>
      </c>
      <c r="P28" t="inlineStr">
        <is>
          <t>Papua</t>
        </is>
      </c>
      <c r="Q28" t="inlineStr"/>
    </row>
    <row r="29">
      <c r="A29" t="inlineStr">
        <is>
          <t>CIPTA BANAWA LESTARI</t>
        </is>
      </c>
      <c r="B29" t="inlineStr">
        <is>
          <t>Kab. Donggala</t>
        </is>
      </c>
      <c r="C29" t="inlineStr">
        <is>
          <t>082191901984</t>
        </is>
      </c>
      <c r="D29" t="inlineStr">
        <is>
          <t>cv.ciptabanawalestari@ymail.com</t>
        </is>
      </c>
      <c r="E29" t="inlineStr">
        <is>
          <t>https://lpjk.pu.go.id/search-badan-usaha-detail/S0NrQ1BtYTNqaVAxTXJ5ZTJvZHR5Zz09</t>
        </is>
      </c>
      <c r="F29" t="n">
        <v>2</v>
      </c>
      <c r="G29" t="inlineStr">
        <is>
          <t>BS004</t>
        </is>
      </c>
      <c r="H29" t="inlineStr">
        <is>
          <t>19 Juli 2007</t>
        </is>
      </c>
      <c r="I29" s="2" t="n">
        <v>46324</v>
      </c>
      <c r="J29" t="inlineStr">
        <is>
          <t>Pencabutan</t>
        </is>
      </c>
      <c r="K29" t="n">
        <v>30</v>
      </c>
      <c r="L29" t="inlineStr">
        <is>
          <t>29 Oktober 2026</t>
        </is>
      </c>
      <c r="M29" t="inlineStr">
        <is>
          <t>Konstruksi Jaringan Irigasi dan Drainase</t>
        </is>
      </c>
      <c r="N29" t="inlineStr">
        <is>
          <t>K</t>
        </is>
      </c>
      <c r="O29" t="inlineStr">
        <is>
          <t>20231024</t>
        </is>
      </c>
      <c r="P29" t="inlineStr">
        <is>
          <t>Sulawesi Tengah</t>
        </is>
      </c>
      <c r="Q29" t="inlineStr"/>
    </row>
    <row r="30">
      <c r="A30" t="inlineStr">
        <is>
          <t>CIPTA BANGUN NUSANTARA</t>
        </is>
      </c>
      <c r="B30" t="inlineStr">
        <is>
          <t>Kota Sukabumi</t>
        </is>
      </c>
      <c r="C30" t="inlineStr">
        <is>
          <t>02666247273</t>
        </is>
      </c>
      <c r="D30" t="inlineStr">
        <is>
          <t>information@cbn-epcm.com</t>
        </is>
      </c>
      <c r="E30" t="inlineStr">
        <is>
          <t>https://lpjk.pu.go.id/search-badan-usaha-detail/eWUwSjhrVVFGaytzYWd6aFFJVThIWnVMM1cramVEcno5bzh6WlQ4NzdBND0</t>
        </is>
      </c>
      <c r="F30" t="n">
        <v>2</v>
      </c>
      <c r="G30" t="inlineStr">
        <is>
          <t>ST001</t>
        </is>
      </c>
      <c r="H30" t="inlineStr">
        <is>
          <t>24 Februari 2023</t>
        </is>
      </c>
      <c r="I30" s="2" t="n">
        <v>46324</v>
      </c>
      <c r="J30" t="inlineStr">
        <is>
          <t>Disetujui</t>
        </is>
      </c>
      <c r="K30" t="n">
        <v>30</v>
      </c>
      <c r="L30" t="inlineStr">
        <is>
          <t>29 Oktober 2026</t>
        </is>
      </c>
      <c r="M30" t="inlineStr">
        <is>
          <t>Bangunan Sipil Jembatan, Jalan Layang, Fly Over, dan Underpass</t>
        </is>
      </c>
      <c r="N30" t="inlineStr">
        <is>
          <t>B</t>
        </is>
      </c>
      <c r="O30" t="inlineStr">
        <is>
          <t>20231025</t>
        </is>
      </c>
      <c r="P30" t="inlineStr">
        <is>
          <t>Jawa Barat</t>
        </is>
      </c>
      <c r="Q30" t="inlineStr"/>
    </row>
    <row r="31">
      <c r="A31" t="inlineStr">
        <is>
          <t>CIPTA BUANA LESTARI</t>
        </is>
      </c>
      <c r="B31" t="inlineStr">
        <is>
          <t>Kab. Enrekang</t>
        </is>
      </c>
      <c r="C31" t="inlineStr">
        <is>
          <t>0811480744</t>
        </is>
      </c>
      <c r="D31" t="inlineStr">
        <is>
          <t>mfahri.papua@gmail.com</t>
        </is>
      </c>
      <c r="E31" t="inlineStr">
        <is>
          <t>https://lpjk.pu.go.id/search-badan-usaha-detail/R0NUajU2Rngxd3E0Qm9QeUZQTkl0dz09</t>
        </is>
      </c>
      <c r="F31" t="n">
        <v>3</v>
      </c>
      <c r="G31" t="inlineStr">
        <is>
          <t>RK001, RK002, RK005</t>
        </is>
      </c>
      <c r="H31" t="inlineStr">
        <is>
          <t>13 Oktober 2008</t>
        </is>
      </c>
      <c r="I31" s="2" t="n">
        <v>46324</v>
      </c>
      <c r="J31" t="inlineStr">
        <is>
          <t>Disetujui</t>
        </is>
      </c>
      <c r="K31" t="n">
        <v>30</v>
      </c>
      <c r="L31" t="inlineStr">
        <is>
          <t>29 Oktober 2026</t>
        </is>
      </c>
      <c r="M31" t="inlineStr">
        <is>
          <t>Jasa Rekayasa Konstruksi Bangunan Gedung Hunian dan Non Hunian, Jasa Rekayasa Lainnya, Jasa Rekayasa Pekerjaan Teknik Sipil Sumber Daya Air</t>
        </is>
      </c>
      <c r="N31" t="inlineStr">
        <is>
          <t>K</t>
        </is>
      </c>
      <c r="O31" t="inlineStr">
        <is>
          <t>20231006</t>
        </is>
      </c>
      <c r="P31" t="inlineStr">
        <is>
          <t>Sulawesi Selatan</t>
        </is>
      </c>
      <c r="Q31" t="inlineStr"/>
    </row>
    <row r="32">
      <c r="A32" t="inlineStr">
        <is>
          <t>CIPTA USAHA NUSA GEDE</t>
        </is>
      </c>
      <c r="B32" t="inlineStr">
        <is>
          <t>Kota Bandung</t>
        </is>
      </c>
      <c r="C32" t="inlineStr">
        <is>
          <t>02263722541</t>
        </is>
      </c>
      <c r="D32" t="inlineStr">
        <is>
          <t>ciptausaha_ng@yahoo.co.id</t>
        </is>
      </c>
      <c r="E32" t="inlineStr">
        <is>
          <t>https://lpjk.pu.go.id/search-badan-usaha-detail/T2ZTYlI2RTA2YVUvMlhqdkdsRmNWUT09</t>
        </is>
      </c>
      <c r="F32" t="n">
        <v>4</v>
      </c>
      <c r="G32" t="inlineStr">
        <is>
          <t>BG001, BG006</t>
        </is>
      </c>
      <c r="H32" t="inlineStr">
        <is>
          <t>26 Agustus 1996</t>
        </is>
      </c>
      <c r="I32" s="2" t="n">
        <v>46324</v>
      </c>
      <c r="J32" t="inlineStr">
        <is>
          <t>Pembekuan</t>
        </is>
      </c>
      <c r="K32" t="n">
        <v>30</v>
      </c>
      <c r="L32" t="inlineStr">
        <is>
          <t>29 Oktober 2026</t>
        </is>
      </c>
      <c r="M32" t="inlineStr">
        <is>
          <t>Konstruksi Gedung Hunian, Konstruksi Gedung Pendidikan</t>
        </is>
      </c>
      <c r="N32" t="inlineStr">
        <is>
          <t>M</t>
        </is>
      </c>
      <c r="O32" t="inlineStr">
        <is>
          <t>20231025</t>
        </is>
      </c>
      <c r="P32" t="inlineStr">
        <is>
          <t>Jawa Barat</t>
        </is>
      </c>
      <c r="Q32" t="inlineStr"/>
    </row>
    <row r="33">
      <c r="A33" t="inlineStr">
        <is>
          <t>CITRA MANUNGGAL</t>
        </is>
      </c>
      <c r="B33" t="inlineStr">
        <is>
          <t>Kota Makassar</t>
        </is>
      </c>
      <c r="C33" t="inlineStr">
        <is>
          <t>081245421048</t>
        </is>
      </c>
      <c r="D33" t="inlineStr">
        <is>
          <t>ptcitramanunggal@gmail.com</t>
        </is>
      </c>
      <c r="E33" t="inlineStr">
        <is>
          <t>https://lpjk.pu.go.id/search-badan-usaha-detail/NlZDVy9TTDZ5OEpWTlhqK1JnMXlqZz09</t>
        </is>
      </c>
      <c r="F33" t="n">
        <v>1</v>
      </c>
      <c r="G33" t="inlineStr">
        <is>
          <t>BS005</t>
        </is>
      </c>
      <c r="H33" t="inlineStr">
        <is>
          <t>27 November 2002</t>
        </is>
      </c>
      <c r="I33" s="2" t="n">
        <v>46324</v>
      </c>
      <c r="J33" t="inlineStr">
        <is>
          <t>Disetujui</t>
        </is>
      </c>
      <c r="K33" t="n">
        <v>30</v>
      </c>
      <c r="L33" t="inlineStr">
        <is>
          <t>29 Oktober 2026</t>
        </is>
      </c>
      <c r="M33" t="inlineStr">
        <is>
          <t>Konstruksi Bangunan Sipil Pengolahan Air Bersih</t>
        </is>
      </c>
      <c r="N33" t="inlineStr">
        <is>
          <t>K</t>
        </is>
      </c>
      <c r="O33" t="inlineStr">
        <is>
          <t>20231021</t>
        </is>
      </c>
      <c r="P33" t="inlineStr">
        <is>
          <t>Sulawesi Selatan</t>
        </is>
      </c>
      <c r="Q33" t="inlineStr"/>
    </row>
    <row r="34">
      <c r="A34" t="inlineStr">
        <is>
          <t>CITRA NUSA KONSULINDO</t>
        </is>
      </c>
      <c r="B34" t="inlineStr">
        <is>
          <t>Kota Serang</t>
        </is>
      </c>
      <c r="C34" t="inlineStr">
        <is>
          <t>082123117324</t>
        </is>
      </c>
      <c r="D34" t="inlineStr">
        <is>
          <t>citra.nusa.konsulindo@gmail.com</t>
        </is>
      </c>
      <c r="E34" t="inlineStr">
        <is>
          <t>https://lpjk.pu.go.id/search-badan-usaha-detail/Ny9DUWZpbUlOTXRqdkZaNTVWTlJVUT09</t>
        </is>
      </c>
      <c r="F34" t="n">
        <v>3</v>
      </c>
      <c r="G34" t="inlineStr">
        <is>
          <t>RK001, RK002, RK003</t>
        </is>
      </c>
      <c r="H34" t="inlineStr">
        <is>
          <t>16 Desember 2020</t>
        </is>
      </c>
      <c r="I34" s="2" t="n">
        <v>46324</v>
      </c>
      <c r="J34" t="inlineStr">
        <is>
          <t>Disetujui</t>
        </is>
      </c>
      <c r="K34" t="n">
        <v>30</v>
      </c>
      <c r="L34" t="inlineStr">
        <is>
          <t>29 Oktober 2026</t>
        </is>
      </c>
      <c r="M34" t="inlineStr">
        <is>
          <t>Jasa Rekayasa Konstruksi Bangunan Gedung Hunian dan Non Hunian, Jasa Rekayasa Pekerjaan Teknik Sipil Sumber Daya Air, Jasa Rekayasa Pekerjaan Teknik Sipil Transportasi</t>
        </is>
      </c>
      <c r="N34" t="inlineStr">
        <is>
          <t>K</t>
        </is>
      </c>
      <c r="O34" t="inlineStr">
        <is>
          <t>20231004</t>
        </is>
      </c>
      <c r="P34" t="inlineStr">
        <is>
          <t>Banten</t>
        </is>
      </c>
      <c r="Q34" t="inlineStr"/>
    </row>
    <row r="35">
      <c r="A35" t="inlineStr">
        <is>
          <t>CREMONAPRATAMA TOTAL ENGINEERING</t>
        </is>
      </c>
      <c r="B35" t="inlineStr">
        <is>
          <t>Kota Bengkulu</t>
        </is>
      </c>
      <c r="C35" t="inlineStr">
        <is>
          <t>081279784456</t>
        </is>
      </c>
      <c r="D35" t="inlineStr">
        <is>
          <t>pt.cremonapratama@gmail.com</t>
        </is>
      </c>
      <c r="E35" t="inlineStr">
        <is>
          <t>https://lpjk.pu.go.id/search-badan-usaha-detail/eEFYcGo2ODB1cjYzdXBSb0NCc09sQT09</t>
        </is>
      </c>
      <c r="F35" t="n">
        <v>1</v>
      </c>
      <c r="G35" t="inlineStr">
        <is>
          <t>RK003</t>
        </is>
      </c>
      <c r="H35" t="inlineStr">
        <is>
          <t>22 Juni 2012</t>
        </is>
      </c>
      <c r="I35" s="2" t="n">
        <v>46324</v>
      </c>
      <c r="J35" t="inlineStr">
        <is>
          <t>Disetujui</t>
        </is>
      </c>
      <c r="K35" t="n">
        <v>30</v>
      </c>
      <c r="L35" t="inlineStr">
        <is>
          <t>29 Oktober 2026</t>
        </is>
      </c>
      <c r="M35" t="inlineStr">
        <is>
          <t>Jasa Rekayasa Pekerjaan Teknik Sipil Transportasi</t>
        </is>
      </c>
      <c r="N35" t="inlineStr">
        <is>
          <t>M</t>
        </is>
      </c>
      <c r="O35" t="inlineStr">
        <is>
          <t>20231011</t>
        </is>
      </c>
      <c r="P35" t="inlineStr">
        <is>
          <t>Bengkulu</t>
        </is>
      </c>
      <c r="Q35" t="inlineStr"/>
    </row>
    <row r="36">
      <c r="A36" t="inlineStr">
        <is>
          <t>CV. KAPITAN KONSTRUKSI</t>
        </is>
      </c>
      <c r="B36" t="inlineStr">
        <is>
          <t>Kab. Konawe</t>
        </is>
      </c>
      <c r="C36" t="inlineStr">
        <is>
          <t>081355357645</t>
        </is>
      </c>
      <c r="D36" t="inlineStr">
        <is>
          <t>Kapitankonstruksi98@gmail.com</t>
        </is>
      </c>
      <c r="E36" t="inlineStr">
        <is>
          <t>https://lpjk.pu.go.id/search-badan-usaha-detail/VUljUHpFR1VzTXJVbG54YWdqZTVMZz09</t>
        </is>
      </c>
      <c r="F36" t="n">
        <v>5</v>
      </c>
      <c r="G36" t="inlineStr">
        <is>
          <t>BG002, BG006, BG009, BS001, BS010</t>
        </is>
      </c>
      <c r="H36" t="inlineStr">
        <is>
          <t>18 Oktober 2019</t>
        </is>
      </c>
      <c r="I36" s="2" t="n">
        <v>46324</v>
      </c>
      <c r="J36" t="inlineStr">
        <is>
          <t>Pencabutan</t>
        </is>
      </c>
      <c r="K36" t="n">
        <v>30</v>
      </c>
      <c r="L36" t="inlineStr">
        <is>
          <t>29 Oktober 2026</t>
        </is>
      </c>
      <c r="M36" t="inlineStr">
        <is>
          <t>Konstruksi Bangunan Prasarana Sumber Daya Air, Konstruksi Bangunan Sipil Jalan, Konstruksi Gedung Lainnya, Konstruksi Gedung Pendidikan, Konstruksi Gedung Perkantoran</t>
        </is>
      </c>
      <c r="N36" t="inlineStr">
        <is>
          <t>K</t>
        </is>
      </c>
      <c r="O36" t="inlineStr">
        <is>
          <t>20220526, 20231025, 20231026</t>
        </is>
      </c>
      <c r="P36" t="inlineStr">
        <is>
          <t>Sulawesi Tenggara</t>
        </is>
      </c>
      <c r="Q36" t="inlineStr"/>
    </row>
    <row r="37">
      <c r="A37" t="inlineStr">
        <is>
          <t>DAKARAJASA KONSULTAN</t>
        </is>
      </c>
      <c r="B37" t="inlineStr">
        <is>
          <t>Kota Jambi</t>
        </is>
      </c>
      <c r="C37" t="inlineStr">
        <is>
          <t>082378833343</t>
        </is>
      </c>
      <c r="D37" t="inlineStr">
        <is>
          <t>dakarajasa@gmail.com</t>
        </is>
      </c>
      <c r="E37" t="inlineStr">
        <is>
          <t>https://lpjk.pu.go.id/search-badan-usaha-detail/MjUzWWFNQ3R6QkszS3gwK2t2Zkl0dz09</t>
        </is>
      </c>
      <c r="F37" t="n">
        <v>2</v>
      </c>
      <c r="G37" t="inlineStr">
        <is>
          <t>RK002</t>
        </is>
      </c>
      <c r="H37" t="inlineStr">
        <is>
          <t>11 Mei 2022</t>
        </is>
      </c>
      <c r="I37" s="2" t="n">
        <v>46324</v>
      </c>
      <c r="J37" t="inlineStr">
        <is>
          <t>Disetujui</t>
        </is>
      </c>
      <c r="K37" t="n">
        <v>30</v>
      </c>
      <c r="L37" t="inlineStr">
        <is>
          <t>29 Oktober 2026</t>
        </is>
      </c>
      <c r="M37" t="inlineStr">
        <is>
          <t>Jasa Rekayasa Pekerjaan Teknik Sipil Sumber Daya Air</t>
        </is>
      </c>
      <c r="N37" t="inlineStr">
        <is>
          <t>K</t>
        </is>
      </c>
      <c r="O37" t="inlineStr">
        <is>
          <t>20231019</t>
        </is>
      </c>
      <c r="P37" t="inlineStr">
        <is>
          <t>Jambi</t>
        </is>
      </c>
      <c r="Q37" t="inlineStr"/>
    </row>
    <row r="38">
      <c r="A38" t="inlineStr">
        <is>
          <t>ENAM SATU ENAM GEMILANG</t>
        </is>
      </c>
      <c r="B38" t="inlineStr">
        <is>
          <t>Kab. Tanah Bumbu</t>
        </is>
      </c>
      <c r="C38" t="inlineStr">
        <is>
          <t>082251863867</t>
        </is>
      </c>
      <c r="D38" t="inlineStr">
        <is>
          <t>cv616gemilang.btl@gmail.com</t>
        </is>
      </c>
      <c r="E38" t="inlineStr">
        <is>
          <t>https://lpjk.pu.go.id/search-badan-usaha-detail/OWJGc2lXZzZVR3hFaHRrOTc2L1NXUT09</t>
        </is>
      </c>
      <c r="F38" t="n">
        <v>2</v>
      </c>
      <c r="G38" t="inlineStr">
        <is>
          <t>BS004, BS010</t>
        </is>
      </c>
      <c r="H38" t="inlineStr">
        <is>
          <t>29 Oktober 2021</t>
        </is>
      </c>
      <c r="I38" s="2" t="n">
        <v>46324</v>
      </c>
      <c r="J38" t="inlineStr">
        <is>
          <t>Disetujui</t>
        </is>
      </c>
      <c r="K38" t="n">
        <v>30</v>
      </c>
      <c r="L38" t="inlineStr">
        <is>
          <t>29 Oktober 2026</t>
        </is>
      </c>
      <c r="M38" t="inlineStr">
        <is>
          <t>Konstruksi Bangunan Prasarana Sumber Daya Air, Konstruksi Jaringan Irigasi dan Drainase</t>
        </is>
      </c>
      <c r="N38" t="inlineStr">
        <is>
          <t>K</t>
        </is>
      </c>
      <c r="O38" t="inlineStr">
        <is>
          <t>20230912, 20231024</t>
        </is>
      </c>
      <c r="P38" t="inlineStr">
        <is>
          <t>Kalimantan Selatan</t>
        </is>
      </c>
      <c r="Q38" t="inlineStr"/>
    </row>
    <row r="39">
      <c r="A39" t="inlineStr">
        <is>
          <t>ENDAH BANGUN NAGARA CONSULTANT</t>
        </is>
      </c>
      <c r="B39" t="inlineStr">
        <is>
          <t>Kota Jambi</t>
        </is>
      </c>
      <c r="C39" t="inlineStr">
        <is>
          <t>081288657796</t>
        </is>
      </c>
      <c r="D39" t="inlineStr">
        <is>
          <t>ebnconsultant@gmail.com</t>
        </is>
      </c>
      <c r="E39" t="inlineStr">
        <is>
          <t>https://lpjk.pu.go.id/search-badan-usaha-detail/N0VIckVoWEZwZUdGY3lqSFVKYmdGZz09</t>
        </is>
      </c>
      <c r="F39" t="n">
        <v>2</v>
      </c>
      <c r="G39" t="inlineStr">
        <is>
          <t>RK003</t>
        </is>
      </c>
      <c r="H39" t="inlineStr">
        <is>
          <t>27 Februari 2009</t>
        </is>
      </c>
      <c r="I39" s="2" t="n">
        <v>46324</v>
      </c>
      <c r="J39" t="inlineStr">
        <is>
          <t>Disetujui</t>
        </is>
      </c>
      <c r="K39" t="n">
        <v>30</v>
      </c>
      <c r="L39" t="inlineStr">
        <is>
          <t>29 Oktober 2026</t>
        </is>
      </c>
      <c r="M39" t="inlineStr">
        <is>
          <t>Jasa Rekayasa Pekerjaan Teknik Sipil Transportasi</t>
        </is>
      </c>
      <c r="N39" t="inlineStr">
        <is>
          <t>M</t>
        </is>
      </c>
      <c r="O39" t="inlineStr">
        <is>
          <t>20230410</t>
        </is>
      </c>
      <c r="P39" t="inlineStr">
        <is>
          <t>Jambi</t>
        </is>
      </c>
      <c r="Q39" t="inlineStr"/>
    </row>
    <row r="40">
      <c r="A40" t="inlineStr">
        <is>
          <t>ERGATES CITRA MANDIRI</t>
        </is>
      </c>
      <c r="B40" t="inlineStr">
        <is>
          <t>Kab. Sidoarjo</t>
        </is>
      </c>
      <c r="C40" t="inlineStr">
        <is>
          <t>081230126611</t>
        </is>
      </c>
      <c r="D40" t="inlineStr">
        <is>
          <t>pt.ergatescitramandiri2009@gmail.com</t>
        </is>
      </c>
      <c r="E40" t="inlineStr">
        <is>
          <t>https://lpjk.pu.go.id/search-badan-usaha-detail/cW1HSEIrS1pLQk5SQUJDTHVNeENkUT09</t>
        </is>
      </c>
      <c r="F40" t="n">
        <v>1</v>
      </c>
      <c r="G40" t="inlineStr">
        <is>
          <t>BG009</t>
        </is>
      </c>
      <c r="H40" t="inlineStr">
        <is>
          <t>28 April 2009</t>
        </is>
      </c>
      <c r="I40" s="2" t="n">
        <v>46324</v>
      </c>
      <c r="J40" t="inlineStr">
        <is>
          <t>Pembekuan</t>
        </is>
      </c>
      <c r="K40" t="n">
        <v>30</v>
      </c>
      <c r="L40" t="inlineStr">
        <is>
          <t>29 Oktober 2026</t>
        </is>
      </c>
      <c r="M40" t="inlineStr">
        <is>
          <t>Konstruksi Gedung Lainnya</t>
        </is>
      </c>
      <c r="N40" t="inlineStr">
        <is>
          <t>M</t>
        </is>
      </c>
      <c r="O40" t="inlineStr">
        <is>
          <t>20231018</t>
        </is>
      </c>
      <c r="P40" t="inlineStr">
        <is>
          <t>Jawa Timur</t>
        </is>
      </c>
      <c r="Q40" t="inlineStr"/>
    </row>
    <row r="41">
      <c r="A41" t="inlineStr">
        <is>
          <t>GLOBAL GEOMETRY</t>
        </is>
      </c>
      <c r="B41" t="inlineStr">
        <is>
          <t>Kota Palu</t>
        </is>
      </c>
      <c r="C41" t="inlineStr">
        <is>
          <t>085396453179</t>
        </is>
      </c>
      <c r="D41" t="inlineStr">
        <is>
          <t>cvglobalgeometry@gmail.com</t>
        </is>
      </c>
      <c r="E41" t="inlineStr">
        <is>
          <t>https://lpjk.pu.go.id/search-badan-usaha-detail/RkxBaTBqWVR1cmRBYVFITWJMZE14QT09</t>
        </is>
      </c>
      <c r="F41" t="n">
        <v>3</v>
      </c>
      <c r="G41" t="inlineStr">
        <is>
          <t>RK001, RK002, RK003</t>
        </is>
      </c>
      <c r="H41" t="inlineStr">
        <is>
          <t>2 Desember 2022</t>
        </is>
      </c>
      <c r="I41" s="2" t="n">
        <v>46324</v>
      </c>
      <c r="J41" t="inlineStr">
        <is>
          <t>Disetujui</t>
        </is>
      </c>
      <c r="K41" t="n">
        <v>30</v>
      </c>
      <c r="L41" t="inlineStr">
        <is>
          <t>29 Oktober 2026</t>
        </is>
      </c>
      <c r="M41" t="inlineStr">
        <is>
          <t>Jasa Rekayasa Konstruksi Bangunan Gedung Hunian dan Non Hunian, Jasa Rekayasa Pekerjaan Teknik Sipil Sumber Daya Air, Jasa Rekayasa Pekerjaan Teknik Sipil Transportasi</t>
        </is>
      </c>
      <c r="N41" t="inlineStr">
        <is>
          <t>K</t>
        </is>
      </c>
      <c r="O41" t="inlineStr">
        <is>
          <t>20231024</t>
        </is>
      </c>
      <c r="P41" t="inlineStr">
        <is>
          <t>Sulawesi Tengah</t>
        </is>
      </c>
      <c r="Q41" t="inlineStr"/>
    </row>
    <row r="42">
      <c r="A42" t="inlineStr">
        <is>
          <t>GLOBAL REKAYASA KONSULTAN</t>
        </is>
      </c>
      <c r="B42" t="inlineStr">
        <is>
          <t>Kota Banda Aceh</t>
        </is>
      </c>
      <c r="C42" t="inlineStr">
        <is>
          <t>085270887009</t>
        </is>
      </c>
      <c r="D42" t="inlineStr">
        <is>
          <t>globalrekayasa@yahoo.com</t>
        </is>
      </c>
      <c r="E42" t="inlineStr">
        <is>
          <t>https://lpjk.pu.go.id/search-badan-usaha-detail/VlNDUWxERGxYTURTQnZpTlRUTWpudjV2MmRKWTkrMC9jNGtGQjMyelE3TT0</t>
        </is>
      </c>
      <c r="F42" t="n">
        <v>1</v>
      </c>
      <c r="G42" t="inlineStr">
        <is>
          <t>RK002</t>
        </is>
      </c>
      <c r="H42" t="inlineStr">
        <is>
          <t>4 September 2025</t>
        </is>
      </c>
      <c r="I42" s="2" t="n">
        <v>46324</v>
      </c>
      <c r="J42" t="inlineStr">
        <is>
          <t>Disetujui</t>
        </is>
      </c>
      <c r="K42" t="n">
        <v>30</v>
      </c>
      <c r="L42" t="inlineStr">
        <is>
          <t>29 Oktober 2026</t>
        </is>
      </c>
      <c r="M42" t="inlineStr">
        <is>
          <t>Jasa Rekayasa Pekerjaan Teknik Sipil Sumber Daya Air</t>
        </is>
      </c>
      <c r="N42" t="inlineStr">
        <is>
          <t>K</t>
        </is>
      </c>
      <c r="O42" t="inlineStr">
        <is>
          <t>20231024</t>
        </is>
      </c>
      <c r="P42" t="inlineStr">
        <is>
          <t>Aceh</t>
        </is>
      </c>
      <c r="Q42" t="inlineStr"/>
    </row>
    <row r="43">
      <c r="A43" t="inlineStr">
        <is>
          <t>GUNA SUPRAINDO BENTARA</t>
        </is>
      </c>
      <c r="B43" t="inlineStr">
        <is>
          <t>Kota Adm. Jakarta Barat</t>
        </is>
      </c>
      <c r="C43" t="inlineStr">
        <is>
          <t>0215606671</t>
        </is>
      </c>
      <c r="D43" t="inlineStr">
        <is>
          <t>gsb.2014@yahoo.com</t>
        </is>
      </c>
      <c r="E43" t="inlineStr">
        <is>
          <t>https://lpjk.pu.go.id/search-badan-usaha-detail/aWtrYStvd2VRR3VPS0VqWGpuenF4UT09</t>
        </is>
      </c>
      <c r="F43" t="n">
        <v>3</v>
      </c>
      <c r="G43" t="inlineStr">
        <is>
          <t>BG002, BG004, BG008</t>
        </is>
      </c>
      <c r="H43" t="inlineStr">
        <is>
          <t>11 November 2020</t>
        </is>
      </c>
      <c r="I43" s="2" t="n">
        <v>46324</v>
      </c>
      <c r="J43" t="inlineStr">
        <is>
          <t>Disetujui</t>
        </is>
      </c>
      <c r="K43" t="n">
        <v>30</v>
      </c>
      <c r="L43" t="inlineStr">
        <is>
          <t>29 Oktober 2026</t>
        </is>
      </c>
      <c r="M43" t="inlineStr">
        <is>
          <t>Konstruksi Gedung Perbelanjaan, Konstruksi Gedung Perkantoran, Konstruksi Gedung Tempat Hiburan dan Olahraga</t>
        </is>
      </c>
      <c r="N43" t="inlineStr">
        <is>
          <t>K</t>
        </is>
      </c>
      <c r="O43" t="inlineStr">
        <is>
          <t>20231024</t>
        </is>
      </c>
      <c r="P43" t="inlineStr">
        <is>
          <t>DKI Jakarta</t>
        </is>
      </c>
      <c r="Q43" t="inlineStr"/>
    </row>
    <row r="44">
      <c r="A44" t="inlineStr">
        <is>
          <t>GUNUNG KENCANA</t>
        </is>
      </c>
      <c r="B44" t="inlineStr">
        <is>
          <t>Kota Palembang</t>
        </is>
      </c>
      <c r="C44" t="inlineStr">
        <is>
          <t>082377549990</t>
        </is>
      </c>
      <c r="D44" t="inlineStr">
        <is>
          <t>gunungkencana55@gmail.com</t>
        </is>
      </c>
      <c r="E44" t="inlineStr">
        <is>
          <t>https://lpjk.pu.go.id/search-badan-usaha-detail/OU5YL3BaNjhoeWRtQWpsTjVMMHlFZz09</t>
        </is>
      </c>
      <c r="F44" t="n">
        <v>1</v>
      </c>
      <c r="G44" t="inlineStr">
        <is>
          <t>RK001</t>
        </is>
      </c>
      <c r="H44" t="inlineStr">
        <is>
          <t>26 September 1986</t>
        </is>
      </c>
      <c r="I44" s="2" t="n">
        <v>46324</v>
      </c>
      <c r="J44" t="inlineStr">
        <is>
          <t>Disetujui</t>
        </is>
      </c>
      <c r="K44" t="n">
        <v>30</v>
      </c>
      <c r="L44" t="inlineStr">
        <is>
          <t>29 Oktober 2026</t>
        </is>
      </c>
      <c r="M44" t="inlineStr">
        <is>
          <t>Jasa Rekayasa Konstruksi Bangunan Gedung Hunian dan Non Hunian</t>
        </is>
      </c>
      <c r="N44" t="inlineStr">
        <is>
          <t>K</t>
        </is>
      </c>
      <c r="O44" t="inlineStr">
        <is>
          <t>20230922</t>
        </is>
      </c>
      <c r="P44" t="inlineStr">
        <is>
          <t>Sumatera Selatan</t>
        </is>
      </c>
      <c r="Q44" t="inlineStr"/>
    </row>
    <row r="45">
      <c r="A45" t="inlineStr">
        <is>
          <t>HABIL PUTRA MANDIRI</t>
        </is>
      </c>
      <c r="B45" t="inlineStr">
        <is>
          <t>Kab. Pandeglang</t>
        </is>
      </c>
      <c r="C45" t="inlineStr">
        <is>
          <t>087774446672</t>
        </is>
      </c>
      <c r="D45" t="inlineStr">
        <is>
          <t>habilputramandiri@gmail.com</t>
        </is>
      </c>
      <c r="E45" t="inlineStr">
        <is>
          <t>https://lpjk.pu.go.id/search-badan-usaha-detail/K2sxNHJ1OC9yeEdIak5pK2pKVjl2dz09</t>
        </is>
      </c>
      <c r="F45" t="n">
        <v>7</v>
      </c>
      <c r="G45" t="inlineStr">
        <is>
          <t>BG002, BG004, BG005, BG006, BG009, BS001, BS005</t>
        </is>
      </c>
      <c r="H45" t="inlineStr">
        <is>
          <t>19 Februari 2014</t>
        </is>
      </c>
      <c r="I45" s="2" t="n">
        <v>46324</v>
      </c>
      <c r="J45" t="inlineStr">
        <is>
          <t>Disetujui</t>
        </is>
      </c>
      <c r="K45" t="n">
        <v>30</v>
      </c>
      <c r="L45" t="inlineStr">
        <is>
          <t>29 Oktober 2026</t>
        </is>
      </c>
      <c r="M45" t="inlineStr">
        <is>
          <t>Konstruksi Bangunan Sipil Jalan, Konstruksi Bangunan Sipil Pengolahan Air Bersih, Konstruksi Gedung Kesehatan, Konstruksi Gedung Lainnya, Konstruksi Gedung Pendidikan, Konstruksi Gedung Perbelanjaan, Konstruksi Gedung Perkantoran</t>
        </is>
      </c>
      <c r="N45" t="inlineStr">
        <is>
          <t>K</t>
        </is>
      </c>
      <c r="O45" t="inlineStr">
        <is>
          <t>20231023</t>
        </is>
      </c>
      <c r="P45" t="inlineStr">
        <is>
          <t>Banten</t>
        </is>
      </c>
      <c r="Q45" t="inlineStr"/>
    </row>
    <row r="46">
      <c r="A46" t="inlineStr">
        <is>
          <t>HANINDYA RIZKI BERSUJUD</t>
        </is>
      </c>
      <c r="B46" t="inlineStr">
        <is>
          <t>Kab. Tanah Bumbu</t>
        </is>
      </c>
      <c r="C46" t="inlineStr">
        <is>
          <t>082354378888</t>
        </is>
      </c>
      <c r="D46" t="inlineStr">
        <is>
          <t>hanindyarizkibersujud.hrb@gmail.com</t>
        </is>
      </c>
      <c r="E46" t="inlineStr">
        <is>
          <t>https://lpjk.pu.go.id/search-badan-usaha-detail/RFM4aWJUajQxZVIxeGNGd2g2TG1uUT09</t>
        </is>
      </c>
      <c r="F46" t="n">
        <v>5</v>
      </c>
      <c r="G46" t="inlineStr">
        <is>
          <t>BG006, BG009, BS001, BS002, BS004</t>
        </is>
      </c>
      <c r="H46" t="inlineStr">
        <is>
          <t>9 Januari 2020</t>
        </is>
      </c>
      <c r="I46" s="2" t="n">
        <v>46324</v>
      </c>
      <c r="J46" t="inlineStr">
        <is>
          <t>Disetujui</t>
        </is>
      </c>
      <c r="K46" t="n">
        <v>30</v>
      </c>
      <c r="L46" t="inlineStr">
        <is>
          <t>29 Oktober 2026</t>
        </is>
      </c>
      <c r="M46" t="inlineStr">
        <is>
          <t>Bangunan Sipil Jembatan, Jalan Layang, Fly Over, dan Underpass, Konstruksi Bangunan Sipil Jalan, Konstruksi Gedung Lainnya, Konstruksi Gedung Pendidikan, Konstruksi Jaringan Irigasi dan Drainase</t>
        </is>
      </c>
      <c r="N46" t="inlineStr">
        <is>
          <t>K</t>
        </is>
      </c>
      <c r="O46" t="inlineStr">
        <is>
          <t>20231006, 20231030</t>
        </is>
      </c>
      <c r="P46" t="inlineStr">
        <is>
          <t>Kalimantan Selatan</t>
        </is>
      </c>
      <c r="Q46" t="inlineStr"/>
    </row>
    <row r="47">
      <c r="A47" t="inlineStr">
        <is>
          <t>HEKSA SINERGI BERKAH</t>
        </is>
      </c>
      <c r="B47" t="inlineStr">
        <is>
          <t>Kota Surabaya</t>
        </is>
      </c>
      <c r="C47" t="inlineStr">
        <is>
          <t>0318714849</t>
        </is>
      </c>
      <c r="D47" t="inlineStr">
        <is>
          <t>heksasinergiberkah@yahoo.com</t>
        </is>
      </c>
      <c r="E47" t="inlineStr">
        <is>
          <t>https://lpjk.pu.go.id/search-badan-usaha-detail/dzR2OUduTzdFRkFiVWJCOXJvRVJkZz09</t>
        </is>
      </c>
      <c r="F47" t="n">
        <v>3</v>
      </c>
      <c r="G47" t="inlineStr">
        <is>
          <t>BG005, BG006, BG009</t>
        </is>
      </c>
      <c r="H47" t="inlineStr">
        <is>
          <t>23 Maret 2020</t>
        </is>
      </c>
      <c r="I47" s="2" t="n">
        <v>46324</v>
      </c>
      <c r="J47" t="inlineStr">
        <is>
          <t>Disetujui</t>
        </is>
      </c>
      <c r="K47" t="n">
        <v>30</v>
      </c>
      <c r="L47" t="inlineStr">
        <is>
          <t>29 Oktober 2026</t>
        </is>
      </c>
      <c r="M47" t="inlineStr">
        <is>
          <t>Konstruksi Gedung Kesehatan, Konstruksi Gedung Lainnya, Konstruksi Gedung Pendidikan</t>
        </is>
      </c>
      <c r="N47" t="inlineStr">
        <is>
          <t>K</t>
        </is>
      </c>
      <c r="O47" t="inlineStr">
        <is>
          <t>20230803, 20230804, 20231025</t>
        </is>
      </c>
      <c r="P47" t="inlineStr">
        <is>
          <t>Jawa Timur</t>
        </is>
      </c>
      <c r="Q47" t="inlineStr"/>
    </row>
    <row r="48">
      <c r="A48" t="inlineStr">
        <is>
          <t>HOKI JAYA CONSTRUCTION</t>
        </is>
      </c>
      <c r="B48" t="inlineStr">
        <is>
          <t>Kab. Buleleng</t>
        </is>
      </c>
      <c r="C48" t="inlineStr">
        <is>
          <t>085239173999</t>
        </is>
      </c>
      <c r="D48" t="inlineStr">
        <is>
          <t>hokijayacontruction@gmail.com</t>
        </is>
      </c>
      <c r="E48" t="inlineStr">
        <is>
          <t>https://lpjk.pu.go.id/search-badan-usaha-detail/QjJNN3BNU0tIYVRsb09OL3BLSUZodz09</t>
        </is>
      </c>
      <c r="F48" t="n">
        <v>5</v>
      </c>
      <c r="G48" t="inlineStr">
        <is>
          <t>BG001, BG002, BG007, BG008, BG009</t>
        </is>
      </c>
      <c r="H48" t="inlineStr">
        <is>
          <t>5 Juli 2022</t>
        </is>
      </c>
      <c r="I48" s="2" t="n">
        <v>46324</v>
      </c>
      <c r="J48" t="inlineStr">
        <is>
          <t>Disetujui</t>
        </is>
      </c>
      <c r="K48" t="n">
        <v>30</v>
      </c>
      <c r="L48" t="inlineStr">
        <is>
          <t>29 Oktober 2026</t>
        </is>
      </c>
      <c r="M48" t="inlineStr">
        <is>
          <t>Konstruksi Gedung Hunian, Konstruksi Gedung Lainnya, Konstruksi Gedung Penginapan, Konstruksi Gedung Perkantoran, Konstruksi Gedung Tempat Hiburan dan Olahraga</t>
        </is>
      </c>
      <c r="N48" t="inlineStr">
        <is>
          <t>K</t>
        </is>
      </c>
      <c r="O48" t="inlineStr">
        <is>
          <t>20231027</t>
        </is>
      </c>
      <c r="P48" t="inlineStr">
        <is>
          <t>Bali</t>
        </is>
      </c>
      <c r="Q48" t="inlineStr"/>
    </row>
    <row r="49">
      <c r="A49" t="inlineStr">
        <is>
          <t>INDAH LESTARI</t>
        </is>
      </c>
      <c r="B49" t="inlineStr">
        <is>
          <t>Kab. Langkat</t>
        </is>
      </c>
      <c r="C49" t="inlineStr">
        <is>
          <t>08126363624</t>
        </is>
      </c>
      <c r="D49" t="inlineStr">
        <is>
          <t>CV.INDAHLESTARI@GMAIL.COM</t>
        </is>
      </c>
      <c r="E49" t="inlineStr">
        <is>
          <t>https://lpjk.pu.go.id/search-badan-usaha-detail/Y2NpenRMOWdMblZ1bWxkMmtVOGFvZz09</t>
        </is>
      </c>
      <c r="F49" t="n">
        <v>5</v>
      </c>
      <c r="G49" t="inlineStr">
        <is>
          <t>BG006, BG009, BS001, BS002, BS004</t>
        </is>
      </c>
      <c r="H49" t="inlineStr">
        <is>
          <t>19 Januari 2016</t>
        </is>
      </c>
      <c r="I49" s="2" t="n">
        <v>46324</v>
      </c>
      <c r="J49" t="inlineStr">
        <is>
          <t>Disetujui</t>
        </is>
      </c>
      <c r="K49" t="n">
        <v>30</v>
      </c>
      <c r="L49" t="inlineStr">
        <is>
          <t>29 Oktober 2026</t>
        </is>
      </c>
      <c r="M49" t="inlineStr">
        <is>
          <t>Bangunan Sipil Jembatan, Jalan Layang, Fly Over, dan Underpass, Konstruksi Bangunan Sipil Jalan, Konstruksi Gedung Lainnya, Konstruksi Gedung Pendidikan, Konstruksi Jaringan Irigasi dan Drainase</t>
        </is>
      </c>
      <c r="N49" t="inlineStr">
        <is>
          <t>K</t>
        </is>
      </c>
      <c r="O49" t="inlineStr">
        <is>
          <t>20231028, 20231029, 20231030, 20231102</t>
        </is>
      </c>
      <c r="P49" t="inlineStr">
        <is>
          <t>Sumatera Utara</t>
        </is>
      </c>
      <c r="Q49" t="inlineStr"/>
    </row>
    <row r="50">
      <c r="A50" t="inlineStr">
        <is>
          <t>INDRAWAN</t>
        </is>
      </c>
      <c r="B50" t="inlineStr">
        <is>
          <t>Kab. Situbondo</t>
        </is>
      </c>
      <c r="C50" t="inlineStr">
        <is>
          <t>08176478216</t>
        </is>
      </c>
      <c r="D50" t="inlineStr">
        <is>
          <t>helmy.indrawan1992@gmail.com</t>
        </is>
      </c>
      <c r="E50" t="inlineStr">
        <is>
          <t>https://lpjk.pu.go.id/search-badan-usaha-detail/TXc1M09nRGc2VkJYd1ZES2RjU1J3Zz09</t>
        </is>
      </c>
      <c r="F50" t="n">
        <v>1</v>
      </c>
      <c r="G50" t="inlineStr">
        <is>
          <t>BS001</t>
        </is>
      </c>
      <c r="H50" t="inlineStr">
        <is>
          <t>1 Februari 2018</t>
        </is>
      </c>
      <c r="I50" s="2" t="n">
        <v>46324</v>
      </c>
      <c r="J50" t="inlineStr">
        <is>
          <t>Disetujui</t>
        </is>
      </c>
      <c r="K50" t="n">
        <v>30</v>
      </c>
      <c r="L50" t="inlineStr">
        <is>
          <t>29 Oktober 2026</t>
        </is>
      </c>
      <c r="M50" t="inlineStr">
        <is>
          <t>Konstruksi Bangunan Sipil Jalan</t>
        </is>
      </c>
      <c r="N50" t="inlineStr">
        <is>
          <t>K</t>
        </is>
      </c>
      <c r="O50" t="inlineStr">
        <is>
          <t>20231017</t>
        </is>
      </c>
      <c r="P50" t="inlineStr">
        <is>
          <t>Jawa Timur</t>
        </is>
      </c>
      <c r="Q50" t="inlineStr"/>
    </row>
    <row r="51">
      <c r="A51" t="inlineStr">
        <is>
          <t>JAGADDHITA CONTRACTORS</t>
        </is>
      </c>
      <c r="B51" t="inlineStr">
        <is>
          <t>Kab. Jember</t>
        </is>
      </c>
      <c r="C51" t="inlineStr">
        <is>
          <t>081289586925</t>
        </is>
      </c>
      <c r="D51" t="inlineStr">
        <is>
          <t>cvjagaddhitacontractors@gmail.com</t>
        </is>
      </c>
      <c r="E51" t="inlineStr">
        <is>
          <t>https://lpjk.pu.go.id/search-badan-usaha-detail/QnRJVlFhSkprSC9mNVlOVmtCQkJRZz09</t>
        </is>
      </c>
      <c r="F51" t="n">
        <v>1</v>
      </c>
      <c r="G51" t="inlineStr">
        <is>
          <t>BG009</t>
        </is>
      </c>
      <c r="H51" t="inlineStr">
        <is>
          <t>11 Januari 2020</t>
        </is>
      </c>
      <c r="I51" s="2" t="n">
        <v>46324</v>
      </c>
      <c r="J51" t="inlineStr">
        <is>
          <t>Pencabutan</t>
        </is>
      </c>
      <c r="K51" t="n">
        <v>30</v>
      </c>
      <c r="L51" t="inlineStr">
        <is>
          <t>29 Oktober 2026</t>
        </is>
      </c>
      <c r="M51" t="inlineStr">
        <is>
          <t>Konstruksi Gedung Lainnya</t>
        </is>
      </c>
      <c r="N51" t="inlineStr">
        <is>
          <t>K</t>
        </is>
      </c>
      <c r="O51" t="inlineStr">
        <is>
          <t>20231030</t>
        </is>
      </c>
      <c r="P51" t="inlineStr">
        <is>
          <t>Jawa Timur</t>
        </is>
      </c>
      <c r="Q51" t="inlineStr"/>
    </row>
    <row r="52">
      <c r="A52" t="inlineStr">
        <is>
          <t>JAYA ABADI</t>
        </is>
      </c>
      <c r="B52" t="inlineStr">
        <is>
          <t>Kota Semarang</t>
        </is>
      </c>
      <c r="C52" t="inlineStr">
        <is>
          <t>081931948866</t>
        </is>
      </c>
      <c r="D52" t="inlineStr">
        <is>
          <t>jayaabadi.project.46@gmail.com</t>
        </is>
      </c>
      <c r="E52" t="inlineStr">
        <is>
          <t>https://lpjk.pu.go.id/search-badan-usaha-detail/dTBPazhzVTdxbWo0citvK0lFb0xXZz09</t>
        </is>
      </c>
      <c r="F52" t="n">
        <v>2</v>
      </c>
      <c r="G52" t="inlineStr">
        <is>
          <t>BG002, BG003</t>
        </is>
      </c>
      <c r="H52" t="inlineStr">
        <is>
          <t>13 Juli 2016</t>
        </is>
      </c>
      <c r="I52" s="2" t="n">
        <v>46324</v>
      </c>
      <c r="J52" t="inlineStr">
        <is>
          <t>Disetujui</t>
        </is>
      </c>
      <c r="K52" t="n">
        <v>30</v>
      </c>
      <c r="L52" t="inlineStr">
        <is>
          <t>29 Oktober 2026</t>
        </is>
      </c>
      <c r="M52" t="inlineStr">
        <is>
          <t>Konstruksi Gedung Industri, Konstruksi Gedung Perkantoran</t>
        </is>
      </c>
      <c r="N52" t="inlineStr">
        <is>
          <t>K</t>
        </is>
      </c>
      <c r="O52" t="inlineStr">
        <is>
          <t>20231027</t>
        </is>
      </c>
      <c r="P52" t="inlineStr">
        <is>
          <t>Jawa Tengah</t>
        </is>
      </c>
      <c r="Q52" t="inlineStr"/>
    </row>
    <row r="53">
      <c r="A53" t="inlineStr">
        <is>
          <t>JAYA KONSTRUKSINDO</t>
        </is>
      </c>
      <c r="B53" t="inlineStr">
        <is>
          <t>Kab. Kediri</t>
        </is>
      </c>
      <c r="C53" t="inlineStr">
        <is>
          <t>081331695605</t>
        </is>
      </c>
      <c r="D53" t="inlineStr">
        <is>
          <t>JAYA.KONSTRUKSINDO@YAHOO.COM</t>
        </is>
      </c>
      <c r="E53" t="inlineStr">
        <is>
          <t>https://lpjk.pu.go.id/search-badan-usaha-detail/S1lnckxieEx0OFM3MThFNUdwTTlPdz09</t>
        </is>
      </c>
      <c r="F53" t="n">
        <v>2</v>
      </c>
      <c r="G53" t="inlineStr">
        <is>
          <t>BG002, BG009</t>
        </is>
      </c>
      <c r="H53" t="inlineStr">
        <is>
          <t>12 Juni 2014</t>
        </is>
      </c>
      <c r="I53" s="2" t="n">
        <v>46324</v>
      </c>
      <c r="J53" t="inlineStr">
        <is>
          <t>Disetujui</t>
        </is>
      </c>
      <c r="K53" t="n">
        <v>30</v>
      </c>
      <c r="L53" t="inlineStr">
        <is>
          <t>29 Oktober 2026</t>
        </is>
      </c>
      <c r="M53" t="inlineStr">
        <is>
          <t>Konstruksi Gedung Lainnya, Konstruksi Gedung Perkantoran</t>
        </is>
      </c>
      <c r="N53" t="inlineStr">
        <is>
          <t>K</t>
        </is>
      </c>
      <c r="O53" t="inlineStr">
        <is>
          <t>20231029, 20231030</t>
        </is>
      </c>
      <c r="P53" t="inlineStr">
        <is>
          <t>Jawa Timur</t>
        </is>
      </c>
      <c r="Q53" t="inlineStr"/>
    </row>
    <row r="54">
      <c r="A54" t="inlineStr">
        <is>
          <t>JAYA LAKSANA MAKMUR</t>
        </is>
      </c>
      <c r="B54" t="inlineStr">
        <is>
          <t>Kab. Tangerang</t>
        </is>
      </c>
      <c r="C54" t="inlineStr">
        <is>
          <t>02159376000</t>
        </is>
      </c>
      <c r="D54" t="inlineStr">
        <is>
          <t>jayalaksanamakmurpt@gmail.com</t>
        </is>
      </c>
      <c r="E54" t="inlineStr">
        <is>
          <t>https://lpjk.pu.go.id/search-badan-usaha-detail/Vld2OFJRVSsxWUdIbnpLY1MwOTh6QT09</t>
        </is>
      </c>
      <c r="F54" t="n">
        <v>1</v>
      </c>
      <c r="G54" t="inlineStr">
        <is>
          <t>BG001</t>
        </is>
      </c>
      <c r="H54" t="inlineStr">
        <is>
          <t>21 Desember 2017</t>
        </is>
      </c>
      <c r="I54" s="2" t="n">
        <v>46324</v>
      </c>
      <c r="J54" t="inlineStr">
        <is>
          <t>Pembekuan</t>
        </is>
      </c>
      <c r="K54" t="n">
        <v>30</v>
      </c>
      <c r="L54" t="inlineStr">
        <is>
          <t>29 Oktober 2026</t>
        </is>
      </c>
      <c r="M54" t="inlineStr">
        <is>
          <t>Konstruksi Gedung Hunian</t>
        </is>
      </c>
      <c r="N54" t="inlineStr">
        <is>
          <t>M</t>
        </is>
      </c>
      <c r="O54" t="inlineStr">
        <is>
          <t>20231030</t>
        </is>
      </c>
      <c r="P54" t="inlineStr">
        <is>
          <t>Banten</t>
        </is>
      </c>
      <c r="Q54" t="inlineStr"/>
    </row>
    <row r="55">
      <c r="A55" t="inlineStr">
        <is>
          <t>KARTIKA JAYA PERSADA</t>
        </is>
      </c>
      <c r="B55" t="inlineStr">
        <is>
          <t>Kota Padang</t>
        </is>
      </c>
      <c r="C55" t="inlineStr">
        <is>
          <t>08116613334</t>
        </is>
      </c>
      <c r="D55" t="inlineStr">
        <is>
          <t>cvkartikajayapersada@gmail.com</t>
        </is>
      </c>
      <c r="E55" t="inlineStr">
        <is>
          <t>https://lpjk.pu.go.id/search-badan-usaha-detail/RUNlQldCbG9OWlFDOGJNYm42cmVGdz09</t>
        </is>
      </c>
      <c r="F55" t="n">
        <v>1</v>
      </c>
      <c r="G55" t="inlineStr">
        <is>
          <t>BS004</t>
        </is>
      </c>
      <c r="H55" t="inlineStr">
        <is>
          <t>6 Juli 2020</t>
        </is>
      </c>
      <c r="I55" s="2" t="n">
        <v>46324</v>
      </c>
      <c r="J55" t="inlineStr">
        <is>
          <t>Disetujui</t>
        </is>
      </c>
      <c r="K55" t="n">
        <v>30</v>
      </c>
      <c r="L55" t="inlineStr">
        <is>
          <t>29 Oktober 2026</t>
        </is>
      </c>
      <c r="M55" t="inlineStr">
        <is>
          <t>Konstruksi Jaringan Irigasi dan Drainase</t>
        </is>
      </c>
      <c r="N55" t="inlineStr">
        <is>
          <t>K</t>
        </is>
      </c>
      <c r="O55" t="inlineStr">
        <is>
          <t>20231029</t>
        </is>
      </c>
      <c r="P55" t="inlineStr">
        <is>
          <t>Sumatera Barat</t>
        </is>
      </c>
      <c r="Q55" t="inlineStr"/>
    </row>
    <row r="56">
      <c r="A56" t="inlineStr">
        <is>
          <t>KARYA NAGA UTAMA</t>
        </is>
      </c>
      <c r="B56" t="inlineStr">
        <is>
          <t>Kota Batam</t>
        </is>
      </c>
      <c r="C56" t="inlineStr">
        <is>
          <t>081225575721</t>
        </is>
      </c>
      <c r="D56" t="inlineStr">
        <is>
          <t>karyanagautama@gmail.com</t>
        </is>
      </c>
      <c r="E56" t="inlineStr">
        <is>
          <t>https://lpjk.pu.go.id/search-badan-usaha-detail/UTlEQVpab0tXS04raWRHSGZ2b0RxQT09</t>
        </is>
      </c>
      <c r="F56" t="n">
        <v>1</v>
      </c>
      <c r="G56" t="inlineStr">
        <is>
          <t>BG009</t>
        </is>
      </c>
      <c r="H56" t="inlineStr">
        <is>
          <t>21 September 2022</t>
        </is>
      </c>
      <c r="I56" s="2" t="n">
        <v>46324</v>
      </c>
      <c r="J56" t="inlineStr">
        <is>
          <t>Disetujui</t>
        </is>
      </c>
      <c r="K56" t="n">
        <v>30</v>
      </c>
      <c r="L56" t="inlineStr">
        <is>
          <t>29 Oktober 2026</t>
        </is>
      </c>
      <c r="M56" t="inlineStr">
        <is>
          <t>Konstruksi Gedung Lainnya</t>
        </is>
      </c>
      <c r="N56" t="inlineStr">
        <is>
          <t>K</t>
        </is>
      </c>
      <c r="O56" t="inlineStr">
        <is>
          <t>20231027</t>
        </is>
      </c>
      <c r="P56" t="inlineStr">
        <is>
          <t>Kepulauan Riau</t>
        </is>
      </c>
      <c r="Q56" t="inlineStr"/>
    </row>
    <row r="57">
      <c r="A57" t="inlineStr">
        <is>
          <t>KENCANA MULIA</t>
        </is>
      </c>
      <c r="B57" t="inlineStr">
        <is>
          <t>Kab. Sidoarjo</t>
        </is>
      </c>
      <c r="C57" t="inlineStr">
        <is>
          <t>0318952239</t>
        </is>
      </c>
      <c r="D57" t="inlineStr">
        <is>
          <t>kencanamuliacv2005@gmail.com</t>
        </is>
      </c>
      <c r="E57" t="inlineStr">
        <is>
          <t>https://lpjk.pu.go.id/search-badan-usaha-detail/bEpzRGQwaXpCUW1IRU9HUDRtNlB5QT09</t>
        </is>
      </c>
      <c r="F57" t="n">
        <v>3</v>
      </c>
      <c r="G57" t="inlineStr">
        <is>
          <t>BG002, BG003, BG009</t>
        </is>
      </c>
      <c r="H57" t="inlineStr">
        <is>
          <t>2 Januari 2007</t>
        </is>
      </c>
      <c r="I57" s="2" t="n">
        <v>46324</v>
      </c>
      <c r="J57" t="inlineStr">
        <is>
          <t>Disetujui</t>
        </is>
      </c>
      <c r="K57" t="n">
        <v>30</v>
      </c>
      <c r="L57" t="inlineStr">
        <is>
          <t>29 Oktober 2026</t>
        </is>
      </c>
      <c r="M57" t="inlineStr">
        <is>
          <t>Konstruksi Gedung Industri, Konstruksi Gedung Lainnya, Konstruksi Gedung Perkantoran</t>
        </is>
      </c>
      <c r="N57" t="inlineStr">
        <is>
          <t>K</t>
        </is>
      </c>
      <c r="O57" t="inlineStr">
        <is>
          <t>20231020, 20231030</t>
        </is>
      </c>
      <c r="P57" t="inlineStr">
        <is>
          <t>Jawa Timur</t>
        </is>
      </c>
      <c r="Q57" t="inlineStr"/>
    </row>
    <row r="58">
      <c r="A58" t="inlineStr">
        <is>
          <t>KREASI PRATAMA KARYA</t>
        </is>
      </c>
      <c r="B58" t="inlineStr">
        <is>
          <t>Kab. Pekalongan</t>
        </is>
      </c>
      <c r="C58" t="inlineStr">
        <is>
          <t>085878910193</t>
        </is>
      </c>
      <c r="D58" t="inlineStr">
        <is>
          <t>cv.pratamakreasikarya@gmail.com</t>
        </is>
      </c>
      <c r="E58" t="inlineStr">
        <is>
          <t>https://lpjk.pu.go.id/search-badan-usaha-detail/MkVObExQTlByRmVoR2M4T3BlTDM4QT09</t>
        </is>
      </c>
      <c r="F58" t="n">
        <v>1</v>
      </c>
      <c r="G58" t="inlineStr">
        <is>
          <t>BS004</t>
        </is>
      </c>
      <c r="H58" t="inlineStr">
        <is>
          <t>24 Januari 2011</t>
        </is>
      </c>
      <c r="I58" s="2" t="n">
        <v>46324</v>
      </c>
      <c r="J58" t="inlineStr">
        <is>
          <t>Disetujui</t>
        </is>
      </c>
      <c r="K58" t="n">
        <v>30</v>
      </c>
      <c r="L58" t="inlineStr">
        <is>
          <t>29 Oktober 2026</t>
        </is>
      </c>
      <c r="M58" t="inlineStr">
        <is>
          <t>Konstruksi Jaringan Irigasi dan Drainase</t>
        </is>
      </c>
      <c r="N58" t="inlineStr">
        <is>
          <t>K</t>
        </is>
      </c>
      <c r="O58" t="inlineStr">
        <is>
          <t>20230620</t>
        </is>
      </c>
      <c r="P58" t="inlineStr">
        <is>
          <t>Jawa Tengah</t>
        </is>
      </c>
      <c r="Q58" t="inlineStr"/>
    </row>
    <row r="59">
      <c r="A59" t="inlineStr">
        <is>
          <t>KRESNO JOYO</t>
        </is>
      </c>
      <c r="B59" t="inlineStr">
        <is>
          <t>Kab. Ponorogo</t>
        </is>
      </c>
      <c r="C59" t="inlineStr">
        <is>
          <t>081230460001</t>
        </is>
      </c>
      <c r="D59" t="inlineStr">
        <is>
          <t>cv.kresnojoyo@gmail.com</t>
        </is>
      </c>
      <c r="E59" t="inlineStr">
        <is>
          <t>https://lpjk.pu.go.id/search-badan-usaha-detail/TEJiVTFGTmk3OEhMd2Mrck9BYWxQQT09</t>
        </is>
      </c>
      <c r="F59" t="n">
        <v>1</v>
      </c>
      <c r="G59" t="inlineStr">
        <is>
          <t>BS001</t>
        </is>
      </c>
      <c r="H59" t="inlineStr">
        <is>
          <t>7 Januari 2006</t>
        </is>
      </c>
      <c r="I59" s="2" t="n">
        <v>46324</v>
      </c>
      <c r="J59" t="inlineStr">
        <is>
          <t>Disetujui</t>
        </is>
      </c>
      <c r="K59" t="n">
        <v>30</v>
      </c>
      <c r="L59" t="inlineStr">
        <is>
          <t>29 Oktober 2026</t>
        </is>
      </c>
      <c r="M59" t="inlineStr">
        <is>
          <t>Konstruksi Bangunan Sipil Jalan</t>
        </is>
      </c>
      <c r="N59" t="inlineStr">
        <is>
          <t>K</t>
        </is>
      </c>
      <c r="O59" t="inlineStr">
        <is>
          <t>20231018</t>
        </is>
      </c>
      <c r="P59" t="inlineStr">
        <is>
          <t>Jawa Timur</t>
        </is>
      </c>
      <c r="Q59" t="inlineStr"/>
    </row>
    <row r="60">
      <c r="A60" t="inlineStr">
        <is>
          <t>LINTANG RAYA</t>
        </is>
      </c>
      <c r="B60" t="inlineStr">
        <is>
          <t>Kab. Batang</t>
        </is>
      </c>
      <c r="C60" t="inlineStr">
        <is>
          <t>081228558468</t>
        </is>
      </c>
      <c r="D60" t="inlineStr">
        <is>
          <t>lintangrayacv@gmail.com</t>
        </is>
      </c>
      <c r="E60" t="inlineStr">
        <is>
          <t>https://lpjk.pu.go.id/search-badan-usaha-detail/VVBKVmdNRDZqb3o2a2loNER4N0JTUT09</t>
        </is>
      </c>
      <c r="F60" t="n">
        <v>2</v>
      </c>
      <c r="G60" t="inlineStr">
        <is>
          <t>BS001</t>
        </is>
      </c>
      <c r="H60" t="inlineStr">
        <is>
          <t>25 Februari 2023</t>
        </is>
      </c>
      <c r="I60" s="2" t="n">
        <v>46324</v>
      </c>
      <c r="J60" t="inlineStr">
        <is>
          <t>Disetujui</t>
        </is>
      </c>
      <c r="K60" t="n">
        <v>30</v>
      </c>
      <c r="L60" t="inlineStr">
        <is>
          <t>29 Oktober 2026</t>
        </is>
      </c>
      <c r="M60" t="inlineStr">
        <is>
          <t>Konstruksi Bangunan Sipil Jalan</t>
        </is>
      </c>
      <c r="N60" t="inlineStr">
        <is>
          <t>K</t>
        </is>
      </c>
      <c r="O60" t="inlineStr">
        <is>
          <t>20231025</t>
        </is>
      </c>
      <c r="P60" t="inlineStr">
        <is>
          <t>Jawa Tengah</t>
        </is>
      </c>
      <c r="Q60" t="inlineStr"/>
    </row>
    <row r="61">
      <c r="A61" t="inlineStr">
        <is>
          <t>MAHA KARYA ABADI</t>
        </is>
      </c>
      <c r="B61" t="inlineStr">
        <is>
          <t>Kab. Malang</t>
        </is>
      </c>
      <c r="C61" t="inlineStr">
        <is>
          <t>082232581785</t>
        </is>
      </c>
      <c r="D61" t="inlineStr">
        <is>
          <t>konsmaha@gmail.com</t>
        </is>
      </c>
      <c r="E61" t="inlineStr">
        <is>
          <t>https://lpjk.pu.go.id/search-badan-usaha-detail/YXRURDB2Q2pMV2JCR2daZzV0eUNxS0N5Y3cybE41V0JDNmkwUHN4T09FVT0</t>
        </is>
      </c>
      <c r="F61" t="n">
        <v>3</v>
      </c>
      <c r="G61" t="inlineStr">
        <is>
          <t>RK001, RK002, RK003</t>
        </is>
      </c>
      <c r="H61" t="inlineStr">
        <is>
          <t>8 Januari 2026</t>
        </is>
      </c>
      <c r="I61" s="2" t="n">
        <v>46324</v>
      </c>
      <c r="J61" t="inlineStr">
        <is>
          <t>Disetujui</t>
        </is>
      </c>
      <c r="K61" t="n">
        <v>30</v>
      </c>
      <c r="L61" t="inlineStr">
        <is>
          <t>29 Oktober 2026</t>
        </is>
      </c>
      <c r="M61" t="inlineStr">
        <is>
          <t>Jasa Rekayasa Konstruksi Bangunan Gedung Hunian dan Non Hunian, Jasa Rekayasa Pekerjaan Teknik Sipil Sumber Daya Air, Jasa Rekayasa Pekerjaan Teknik Sipil Transportasi</t>
        </is>
      </c>
      <c r="N61" t="inlineStr">
        <is>
          <t>K</t>
        </is>
      </c>
      <c r="O61" t="inlineStr">
        <is>
          <t>20231019</t>
        </is>
      </c>
      <c r="P61" t="inlineStr">
        <is>
          <t>Jawa Timur</t>
        </is>
      </c>
      <c r="Q61" t="inlineStr"/>
    </row>
    <row r="62">
      <c r="A62" t="inlineStr">
        <is>
          <t>MAHAKAM PERSADA</t>
        </is>
      </c>
      <c r="B62" t="inlineStr">
        <is>
          <t>Kota Samarinda</t>
        </is>
      </c>
      <c r="C62" t="inlineStr">
        <is>
          <t>08125361797</t>
        </is>
      </c>
      <c r="D62" t="inlineStr">
        <is>
          <t>mahakampersada@gmail.com</t>
        </is>
      </c>
      <c r="E62" t="inlineStr">
        <is>
          <t>https://lpjk.pu.go.id/search-badan-usaha-detail/VXpJcHU5d3dEQmVKNkg0bXdSbWczZz09</t>
        </is>
      </c>
      <c r="F62" t="n">
        <v>6</v>
      </c>
      <c r="G62" t="inlineStr">
        <is>
          <t>RK001, RK003, RK005</t>
        </is>
      </c>
      <c r="H62" t="inlineStr">
        <is>
          <t>22 Juni 2012</t>
        </is>
      </c>
      <c r="I62" s="2" t="n">
        <v>46324</v>
      </c>
      <c r="J62" t="inlineStr">
        <is>
          <t>Disetujui</t>
        </is>
      </c>
      <c r="K62" t="n">
        <v>30</v>
      </c>
      <c r="L62" t="inlineStr">
        <is>
          <t>29 Oktober 2026</t>
        </is>
      </c>
      <c r="M62" t="inlineStr">
        <is>
          <t>Jasa Rekayasa Konstruksi Bangunan Gedung Hunian dan Non Hunian, Jasa Rekayasa Lainnya, Jasa Rekayasa Pekerjaan Teknik Sipil Transportasi</t>
        </is>
      </c>
      <c r="N62" t="inlineStr">
        <is>
          <t>K</t>
        </is>
      </c>
      <c r="O62" t="inlineStr">
        <is>
          <t>20231023</t>
        </is>
      </c>
      <c r="P62" t="inlineStr">
        <is>
          <t>Kalimantan Timur</t>
        </is>
      </c>
      <c r="Q62" t="inlineStr"/>
    </row>
    <row r="63">
      <c r="A63" t="inlineStr">
        <is>
          <t>MENARA BERLIAN INOVASI KONSULTAN</t>
        </is>
      </c>
      <c r="B63" t="inlineStr">
        <is>
          <t>Kota Batam</t>
        </is>
      </c>
      <c r="C63" t="inlineStr">
        <is>
          <t>085375796323</t>
        </is>
      </c>
      <c r="D63" t="inlineStr">
        <is>
          <t>menaraberlianinovasikonsultan@gmail.com</t>
        </is>
      </c>
      <c r="E63" t="inlineStr">
        <is>
          <t>https://lpjk.pu.go.id/search-badan-usaha-detail/b0JScGtiTzBrMnY3R3ZhbVVMK0gxZz09</t>
        </is>
      </c>
      <c r="F63" t="n">
        <v>1</v>
      </c>
      <c r="G63" t="inlineStr">
        <is>
          <t>RK003</t>
        </is>
      </c>
      <c r="H63" t="inlineStr">
        <is>
          <t>1 Februari 2011</t>
        </is>
      </c>
      <c r="I63" s="2" t="n">
        <v>46324</v>
      </c>
      <c r="J63" t="inlineStr">
        <is>
          <t>Disetujui</t>
        </is>
      </c>
      <c r="K63" t="n">
        <v>30</v>
      </c>
      <c r="L63" t="inlineStr">
        <is>
          <t>29 Oktober 2026</t>
        </is>
      </c>
      <c r="M63" t="inlineStr">
        <is>
          <t>Jasa Rekayasa Pekerjaan Teknik Sipil Transportasi</t>
        </is>
      </c>
      <c r="N63" t="inlineStr">
        <is>
          <t>K</t>
        </is>
      </c>
      <c r="O63" t="inlineStr">
        <is>
          <t>20231012</t>
        </is>
      </c>
      <c r="P63" t="inlineStr">
        <is>
          <t>Kepulauan Riau</t>
        </is>
      </c>
      <c r="Q63" t="inlineStr"/>
    </row>
    <row r="64">
      <c r="A64" t="inlineStr">
        <is>
          <t>NDSN KREASINDO</t>
        </is>
      </c>
      <c r="B64" t="inlineStr">
        <is>
          <t>Kab. Pangandaran</t>
        </is>
      </c>
      <c r="C64" t="inlineStr">
        <is>
          <t>08121476514</t>
        </is>
      </c>
      <c r="D64" t="inlineStr">
        <is>
          <t>ndsnkreasindo@gmail.com</t>
        </is>
      </c>
      <c r="E64" t="inlineStr">
        <is>
          <t>https://lpjk.pu.go.id/search-badan-usaha-detail/QjNvV0VoTkFBYy85aCs3bmovY2dwdz09</t>
        </is>
      </c>
      <c r="F64" t="n">
        <v>3</v>
      </c>
      <c r="G64" t="inlineStr">
        <is>
          <t>RK001, RK002, RK003</t>
        </is>
      </c>
      <c r="H64" t="inlineStr">
        <is>
          <t>31 Juli 2017</t>
        </is>
      </c>
      <c r="I64" s="2" t="n">
        <v>46324</v>
      </c>
      <c r="J64" t="inlineStr">
        <is>
          <t>Disetujui</t>
        </is>
      </c>
      <c r="K64" t="n">
        <v>30</v>
      </c>
      <c r="L64" t="inlineStr">
        <is>
          <t>29 Oktober 2026</t>
        </is>
      </c>
      <c r="M64" t="inlineStr">
        <is>
          <t>Jasa Rekayasa Konstruksi Bangunan Gedung Hunian dan Non Hunian, Jasa Rekayasa Pekerjaan Teknik Sipil Sumber Daya Air, Jasa Rekayasa Pekerjaan Teknik Sipil Transportasi</t>
        </is>
      </c>
      <c r="N64" t="inlineStr">
        <is>
          <t>K</t>
        </is>
      </c>
      <c r="O64" t="inlineStr">
        <is>
          <t>20231020</t>
        </is>
      </c>
      <c r="P64" t="inlineStr">
        <is>
          <t>Jawa Barat</t>
        </is>
      </c>
      <c r="Q64" t="inlineStr"/>
    </row>
    <row r="65">
      <c r="A65" t="inlineStr">
        <is>
          <t>NUSA KREASINDO PRATAMA</t>
        </is>
      </c>
      <c r="B65" t="inlineStr">
        <is>
          <t>Kab. Garut</t>
        </is>
      </c>
      <c r="C65" t="inlineStr">
        <is>
          <t>087878581125</t>
        </is>
      </c>
      <c r="D65" t="inlineStr">
        <is>
          <t>cvnusakreasindopratama@gmail.com</t>
        </is>
      </c>
      <c r="E65" t="inlineStr">
        <is>
          <t>https://lpjk.pu.go.id/search-badan-usaha-detail/ZUZBUGdVbFZUK2F1UmwwVmp5NHlLZz09</t>
        </is>
      </c>
      <c r="F65" t="n">
        <v>2</v>
      </c>
      <c r="G65" t="inlineStr">
        <is>
          <t>AR001, RK001</t>
        </is>
      </c>
      <c r="H65" t="inlineStr">
        <is>
          <t>9 Mei 2023</t>
        </is>
      </c>
      <c r="I65" s="2" t="n">
        <v>46324</v>
      </c>
      <c r="J65" t="inlineStr">
        <is>
          <t>Disetujui</t>
        </is>
      </c>
      <c r="K65" t="n">
        <v>30</v>
      </c>
      <c r="L65" t="inlineStr">
        <is>
          <t>29 Oktober 2026</t>
        </is>
      </c>
      <c r="M65" t="inlineStr">
        <is>
          <t>Jasa Arsitektural Bangunan Gedung Hunian dan Non Hunian, Jasa Rekayasa Konstruksi Bangunan Gedung Hunian dan Non Hunian</t>
        </is>
      </c>
      <c r="N65" t="inlineStr">
        <is>
          <t>K</t>
        </is>
      </c>
      <c r="O65" t="inlineStr">
        <is>
          <t>20231017</t>
        </is>
      </c>
      <c r="P65" t="inlineStr">
        <is>
          <t>Jawa Barat</t>
        </is>
      </c>
      <c r="Q65" t="inlineStr"/>
    </row>
    <row r="66">
      <c r="A66" t="inlineStr">
        <is>
          <t>PERDANA BERKAH ABADI</t>
        </is>
      </c>
      <c r="B66" t="inlineStr">
        <is>
          <t>Kab. Tuban</t>
        </is>
      </c>
      <c r="C66" t="inlineStr">
        <is>
          <t>081256032655</t>
        </is>
      </c>
      <c r="D66" t="inlineStr">
        <is>
          <t>ptperdanaberkahabadi@gmail.com</t>
        </is>
      </c>
      <c r="E66" t="inlineStr">
        <is>
          <t>https://lpjk.pu.go.id/search-badan-usaha-detail/QnpNQUJJWFVBZW15ZzhWQkNTVGhVQT09</t>
        </is>
      </c>
      <c r="F66" t="n">
        <v>1</v>
      </c>
      <c r="G66" t="inlineStr">
        <is>
          <t>IN001</t>
        </is>
      </c>
      <c r="H66" t="inlineStr">
        <is>
          <t>21 Desember 2018</t>
        </is>
      </c>
      <c r="I66" s="2" t="n">
        <v>46324</v>
      </c>
      <c r="J66" t="inlineStr">
        <is>
          <t>Pencabutan</t>
        </is>
      </c>
      <c r="K66" t="n">
        <v>30</v>
      </c>
      <c r="L66" t="inlineStr">
        <is>
          <t>29 Oktober 2026</t>
        </is>
      </c>
      <c r="M66" t="inlineStr">
        <is>
          <t>Instalasi Mekanikal</t>
        </is>
      </c>
      <c r="N66" t="inlineStr">
        <is>
          <t>Spesialis</t>
        </is>
      </c>
      <c r="O66" t="inlineStr">
        <is>
          <t>20231028</t>
        </is>
      </c>
      <c r="P66" t="inlineStr">
        <is>
          <t>Jawa Timur</t>
        </is>
      </c>
      <c r="Q66" t="inlineStr"/>
    </row>
    <row r="67">
      <c r="A67" t="inlineStr">
        <is>
          <t>PERDANA JOVANINDO</t>
        </is>
      </c>
      <c r="B67" t="inlineStr">
        <is>
          <t>Kota Makassar</t>
        </is>
      </c>
      <c r="C67" t="inlineStr">
        <is>
          <t>0811428055</t>
        </is>
      </c>
      <c r="D67" t="inlineStr">
        <is>
          <t>perdanajovanindo@yahoo.com</t>
        </is>
      </c>
      <c r="E67" t="inlineStr">
        <is>
          <t>https://lpjk.pu.go.id/search-badan-usaha-detail/MHZMaVZSRGw5Mmh2Ym9sZE80ejV4dz09</t>
        </is>
      </c>
      <c r="F67" t="n">
        <v>1</v>
      </c>
      <c r="G67" t="inlineStr">
        <is>
          <t>BG009</t>
        </is>
      </c>
      <c r="H67" t="inlineStr">
        <is>
          <t>19 Mei 2023</t>
        </is>
      </c>
      <c r="I67" s="2" t="n">
        <v>46324</v>
      </c>
      <c r="J67" t="inlineStr">
        <is>
          <t>Disetujui</t>
        </is>
      </c>
      <c r="K67" t="n">
        <v>30</v>
      </c>
      <c r="L67" t="inlineStr">
        <is>
          <t>29 Oktober 2026</t>
        </is>
      </c>
      <c r="M67" t="inlineStr">
        <is>
          <t>Konstruksi Gedung Lainnya</t>
        </is>
      </c>
      <c r="N67" t="inlineStr">
        <is>
          <t>K</t>
        </is>
      </c>
      <c r="O67" t="inlineStr">
        <is>
          <t>20231030</t>
        </is>
      </c>
      <c r="P67" t="inlineStr">
        <is>
          <t>Sulawesi Selatan</t>
        </is>
      </c>
      <c r="Q67" t="inlineStr"/>
    </row>
    <row r="68">
      <c r="A68" t="inlineStr">
        <is>
          <t>PERMATA HADI</t>
        </is>
      </c>
      <c r="B68" t="inlineStr">
        <is>
          <t>Kota Padang Sidempuan</t>
        </is>
      </c>
      <c r="C68" t="inlineStr">
        <is>
          <t>082166737356</t>
        </is>
      </c>
      <c r="D68" t="inlineStr">
        <is>
          <t>permatahadicv@yahoo.com</t>
        </is>
      </c>
      <c r="E68" t="inlineStr">
        <is>
          <t>https://lpjk.pu.go.id/search-badan-usaha-detail/QkwrZHpaV3JUMElEOE9LeGM0Z25wQT09</t>
        </is>
      </c>
      <c r="F68" t="n">
        <v>1</v>
      </c>
      <c r="G68" t="inlineStr">
        <is>
          <t>BG009</t>
        </is>
      </c>
      <c r="H68" t="inlineStr">
        <is>
          <t>25 Juni 2007</t>
        </is>
      </c>
      <c r="I68" s="2" t="n">
        <v>46324</v>
      </c>
      <c r="J68" t="inlineStr">
        <is>
          <t>Disetujui</t>
        </is>
      </c>
      <c r="K68" t="n">
        <v>30</v>
      </c>
      <c r="L68" t="inlineStr">
        <is>
          <t>29 Oktober 2026</t>
        </is>
      </c>
      <c r="M68" t="inlineStr">
        <is>
          <t>Konstruksi Gedung Lainnya</t>
        </is>
      </c>
      <c r="N68" t="inlineStr">
        <is>
          <t>K</t>
        </is>
      </c>
      <c r="O68" t="inlineStr">
        <is>
          <t>20231025</t>
        </is>
      </c>
      <c r="P68" t="inlineStr">
        <is>
          <t>Sumatera Utara</t>
        </is>
      </c>
      <c r="Q68" t="inlineStr"/>
    </row>
    <row r="69">
      <c r="A69" t="inlineStr">
        <is>
          <t>PUTRA LEBUNG MANDIRI</t>
        </is>
      </c>
      <c r="B69" t="inlineStr">
        <is>
          <t>Kab. Banyuasin</t>
        </is>
      </c>
      <c r="C69" t="inlineStr">
        <is>
          <t>082371931845</t>
        </is>
      </c>
      <c r="D69" t="inlineStr">
        <is>
          <t>cvputralebungmandiri@gmail.com</t>
        </is>
      </c>
      <c r="E69" t="inlineStr">
        <is>
          <t>https://lpjk.pu.go.id/search-badan-usaha-detail/bHB4bGRKUkYvcGora3MwZmh0WnV3UT09</t>
        </is>
      </c>
      <c r="F69" t="n">
        <v>2</v>
      </c>
      <c r="G69" t="inlineStr">
        <is>
          <t>BG006, BG009</t>
        </is>
      </c>
      <c r="H69" t="inlineStr">
        <is>
          <t>29 Juni 2020</t>
        </is>
      </c>
      <c r="I69" s="2" t="n">
        <v>46324</v>
      </c>
      <c r="J69" t="inlineStr">
        <is>
          <t>Disetujui</t>
        </is>
      </c>
      <c r="K69" t="n">
        <v>30</v>
      </c>
      <c r="L69" t="inlineStr">
        <is>
          <t>29 Oktober 2026</t>
        </is>
      </c>
      <c r="M69" t="inlineStr">
        <is>
          <t>Konstruksi Gedung Lainnya, Konstruksi Gedung Pendidikan</t>
        </is>
      </c>
      <c r="N69" t="inlineStr">
        <is>
          <t>K</t>
        </is>
      </c>
      <c r="O69" t="inlineStr">
        <is>
          <t>20231027</t>
        </is>
      </c>
      <c r="P69" t="inlineStr">
        <is>
          <t>Sumatera Selatan</t>
        </is>
      </c>
      <c r="Q69" t="inlineStr"/>
    </row>
    <row r="70">
      <c r="A70" t="inlineStr">
        <is>
          <t>PUTRA PERWIRA ABADI</t>
        </is>
      </c>
      <c r="B70" t="inlineStr">
        <is>
          <t>Kota Tangerang Selatan</t>
        </is>
      </c>
      <c r="C70" t="inlineStr">
        <is>
          <t>081317735555</t>
        </is>
      </c>
      <c r="D70" t="inlineStr">
        <is>
          <t>putraperwiraabadi23@gmail.com</t>
        </is>
      </c>
      <c r="E70" t="inlineStr">
        <is>
          <t>https://lpjk.pu.go.id/search-badan-usaha-detail/c1Y4SGh1UmJPTkhmUHBqY3Q4WFNUUT09</t>
        </is>
      </c>
      <c r="F70" t="n">
        <v>5</v>
      </c>
      <c r="G70" t="inlineStr">
        <is>
          <t>BG001, BG006, BG009, BS001, BS004</t>
        </is>
      </c>
      <c r="H70" t="inlineStr">
        <is>
          <t>19 Juni 2023</t>
        </is>
      </c>
      <c r="I70" s="2" t="n">
        <v>46324</v>
      </c>
      <c r="J70" t="inlineStr">
        <is>
          <t>Disetujui</t>
        </is>
      </c>
      <c r="K70" t="n">
        <v>30</v>
      </c>
      <c r="L70" t="inlineStr">
        <is>
          <t>29 Oktober 2026</t>
        </is>
      </c>
      <c r="M70" t="inlineStr">
        <is>
          <t>Konstruksi Bangunan Sipil Jalan, Konstruksi Gedung Hunian, Konstruksi Gedung Lainnya, Konstruksi Gedung Pendidikan, Konstruksi Jaringan Irigasi dan Drainase</t>
        </is>
      </c>
      <c r="N70" t="inlineStr">
        <is>
          <t>K</t>
        </is>
      </c>
      <c r="O70" t="inlineStr">
        <is>
          <t>20231030, 20231031</t>
        </is>
      </c>
      <c r="P70" t="inlineStr">
        <is>
          <t>Banten</t>
        </is>
      </c>
      <c r="Q70" t="inlineStr"/>
    </row>
    <row r="71">
      <c r="A71" t="inlineStr">
        <is>
          <t>PUTRA SAMPOERNA</t>
        </is>
      </c>
      <c r="B71" t="inlineStr">
        <is>
          <t>Kab. Kubu Raya</t>
        </is>
      </c>
      <c r="C71" t="inlineStr">
        <is>
          <t>085252524287</t>
        </is>
      </c>
      <c r="D71" t="inlineStr">
        <is>
          <t>imamreza03@yahoo.com</t>
        </is>
      </c>
      <c r="E71" t="inlineStr">
        <is>
          <t>https://lpjk.pu.go.id/search-badan-usaha-detail/NmJEcENCUXkwVVN0M2NTSmFCWTlzZz09</t>
        </is>
      </c>
      <c r="F71" t="n">
        <v>1</v>
      </c>
      <c r="G71" t="inlineStr">
        <is>
          <t>BS001</t>
        </is>
      </c>
      <c r="H71" t="inlineStr">
        <is>
          <t>1 September 2009</t>
        </is>
      </c>
      <c r="I71" s="2" t="n">
        <v>46324</v>
      </c>
      <c r="J71" t="inlineStr">
        <is>
          <t>Disetujui</t>
        </is>
      </c>
      <c r="K71" t="n">
        <v>30</v>
      </c>
      <c r="L71" t="inlineStr">
        <is>
          <t>29 Oktober 2026</t>
        </is>
      </c>
      <c r="M71" t="inlineStr">
        <is>
          <t>Konstruksi Bangunan Sipil Jalan</t>
        </is>
      </c>
      <c r="N71" t="inlineStr">
        <is>
          <t>K</t>
        </is>
      </c>
      <c r="O71" t="inlineStr">
        <is>
          <t>20231028</t>
        </is>
      </c>
      <c r="P71" t="inlineStr">
        <is>
          <t>Kalimantan Barat</t>
        </is>
      </c>
      <c r="Q71" t="inlineStr"/>
    </row>
    <row r="72">
      <c r="A72" t="inlineStr">
        <is>
          <t>PUTRI MAHAKAM KALISAMARINDO</t>
        </is>
      </c>
      <c r="B72" t="inlineStr">
        <is>
          <t>Kota Adm. Jakarta Barat</t>
        </is>
      </c>
      <c r="C72" t="inlineStr">
        <is>
          <t>02154315970</t>
        </is>
      </c>
      <c r="D72" t="inlineStr">
        <is>
          <t>putrimahakam_kalisamarindo@yahoo.com</t>
        </is>
      </c>
      <c r="E72" t="inlineStr">
        <is>
          <t>https://lpjk.pu.go.id/search-badan-usaha-detail/cjhGa1I2MGVHQlpHcDdKODQ4bWFEQT09</t>
        </is>
      </c>
      <c r="F72" t="n">
        <v>1</v>
      </c>
      <c r="G72" t="inlineStr">
        <is>
          <t>BS001</t>
        </is>
      </c>
      <c r="H72" t="inlineStr">
        <is>
          <t>26 November 2012</t>
        </is>
      </c>
      <c r="I72" s="2" t="n">
        <v>46324</v>
      </c>
      <c r="J72" t="inlineStr">
        <is>
          <t>Disetujui</t>
        </is>
      </c>
      <c r="K72" t="n">
        <v>30</v>
      </c>
      <c r="L72" t="inlineStr">
        <is>
          <t>29 Oktober 2026</t>
        </is>
      </c>
      <c r="M72" t="inlineStr">
        <is>
          <t>Konstruksi Bangunan Sipil Jalan</t>
        </is>
      </c>
      <c r="N72" t="inlineStr">
        <is>
          <t>K</t>
        </is>
      </c>
      <c r="O72" t="inlineStr">
        <is>
          <t>20231023</t>
        </is>
      </c>
      <c r="P72" t="inlineStr">
        <is>
          <t>DKI Jakarta</t>
        </is>
      </c>
      <c r="Q72" t="inlineStr"/>
    </row>
    <row r="73">
      <c r="A73" t="inlineStr">
        <is>
          <t>PUTRI SEJATI</t>
        </is>
      </c>
      <c r="B73" t="inlineStr">
        <is>
          <t>Kab. Cianjur</t>
        </is>
      </c>
      <c r="C73" t="inlineStr">
        <is>
          <t>081909009001</t>
        </is>
      </c>
      <c r="D73" t="inlineStr">
        <is>
          <t>cvputrisejati@yahoo.com</t>
        </is>
      </c>
      <c r="E73" t="inlineStr">
        <is>
          <t>https://lpjk.pu.go.id/search-badan-usaha-detail/WlU3dnc1aFZ4akJwbUxOdDMvYWZIUT09</t>
        </is>
      </c>
      <c r="F73" t="n">
        <v>1</v>
      </c>
      <c r="G73" t="inlineStr">
        <is>
          <t>BS001</t>
        </is>
      </c>
      <c r="H73" t="inlineStr">
        <is>
          <t>2 Juli 2001</t>
        </is>
      </c>
      <c r="I73" s="2" t="n">
        <v>46324</v>
      </c>
      <c r="J73" t="inlineStr">
        <is>
          <t>Disetujui</t>
        </is>
      </c>
      <c r="K73" t="n">
        <v>30</v>
      </c>
      <c r="L73" t="inlineStr">
        <is>
          <t>29 Oktober 2026</t>
        </is>
      </c>
      <c r="M73" t="inlineStr">
        <is>
          <t>Konstruksi Bangunan Sipil Jalan</t>
        </is>
      </c>
      <c r="N73" t="inlineStr">
        <is>
          <t>K</t>
        </is>
      </c>
      <c r="O73" t="inlineStr">
        <is>
          <t>20231028</t>
        </is>
      </c>
      <c r="P73" t="inlineStr">
        <is>
          <t>Jawa Barat</t>
        </is>
      </c>
      <c r="Q73" t="inlineStr"/>
    </row>
    <row r="74">
      <c r="A74" t="inlineStr">
        <is>
          <t>RAJA GENTHA</t>
        </is>
      </c>
      <c r="B74" t="inlineStr">
        <is>
          <t>Kab. Jember</t>
        </is>
      </c>
      <c r="C74" t="inlineStr">
        <is>
          <t>081227370223</t>
        </is>
      </c>
      <c r="D74" t="inlineStr">
        <is>
          <t>rajagentha@gmail.com</t>
        </is>
      </c>
      <c r="E74" t="inlineStr">
        <is>
          <t>https://lpjk.pu.go.id/search-badan-usaha-detail/ZGQvYVQ5L0FzVFU5QUVvRXlLRDlDdz09</t>
        </is>
      </c>
      <c r="F74" t="n">
        <v>2</v>
      </c>
      <c r="G74" t="inlineStr">
        <is>
          <t>BG009, BS004</t>
        </is>
      </c>
      <c r="H74" t="inlineStr">
        <is>
          <t>9 Juni 2023</t>
        </is>
      </c>
      <c r="I74" s="2" t="n">
        <v>46324</v>
      </c>
      <c r="J74" t="inlineStr">
        <is>
          <t>Disetujui</t>
        </is>
      </c>
      <c r="K74" t="n">
        <v>30</v>
      </c>
      <c r="L74" t="inlineStr">
        <is>
          <t>29 Oktober 2026</t>
        </is>
      </c>
      <c r="M74" t="inlineStr">
        <is>
          <t>Konstruksi Gedung Lainnya, Konstruksi Jaringan Irigasi dan Drainase</t>
        </is>
      </c>
      <c r="N74" t="inlineStr">
        <is>
          <t>K</t>
        </is>
      </c>
      <c r="O74" t="inlineStr">
        <is>
          <t>20231005, 20231030</t>
        </is>
      </c>
      <c r="P74" t="inlineStr">
        <is>
          <t>Jawa Timur</t>
        </is>
      </c>
      <c r="Q74" t="inlineStr"/>
    </row>
    <row r="75">
      <c r="A75" t="inlineStr">
        <is>
          <t>RAJENDRA</t>
        </is>
      </c>
      <c r="B75" t="inlineStr">
        <is>
          <t>Kota Madiun</t>
        </is>
      </c>
      <c r="C75" t="inlineStr">
        <is>
          <t>0351455300</t>
        </is>
      </c>
      <c r="D75" t="inlineStr">
        <is>
          <t>cvrajendra002@gmail.com</t>
        </is>
      </c>
      <c r="E75" t="inlineStr">
        <is>
          <t>https://lpjk.pu.go.id/search-badan-usaha-detail/UWJDTGkwbmRJY3crK3BWRXJIL0d1Zz09</t>
        </is>
      </c>
      <c r="F75" t="n">
        <v>1</v>
      </c>
      <c r="G75" t="inlineStr">
        <is>
          <t>BS005</t>
        </is>
      </c>
      <c r="H75" t="inlineStr">
        <is>
          <t>11 Mei 1994</t>
        </is>
      </c>
      <c r="I75" s="2" t="n">
        <v>46324</v>
      </c>
      <c r="J75" t="inlineStr">
        <is>
          <t>Disetujui</t>
        </is>
      </c>
      <c r="K75" t="n">
        <v>30</v>
      </c>
      <c r="L75" t="inlineStr">
        <is>
          <t>29 Oktober 2026</t>
        </is>
      </c>
      <c r="M75" t="inlineStr">
        <is>
          <t>Konstruksi Bangunan Sipil Pengolahan Air Bersih</t>
        </is>
      </c>
      <c r="N75" t="inlineStr">
        <is>
          <t>K</t>
        </is>
      </c>
      <c r="O75" t="inlineStr">
        <is>
          <t>20231027</t>
        </is>
      </c>
      <c r="P75" t="inlineStr">
        <is>
          <t>Jawa Timur</t>
        </is>
      </c>
      <c r="Q75" t="inlineStr"/>
    </row>
    <row r="76">
      <c r="A76" t="inlineStr">
        <is>
          <t>REKADWIPA TEKNIKA STUDIO</t>
        </is>
      </c>
      <c r="B76" t="inlineStr">
        <is>
          <t>Kab. Karanganyar</t>
        </is>
      </c>
      <c r="C76" t="inlineStr">
        <is>
          <t>082325668006</t>
        </is>
      </c>
      <c r="D76" t="inlineStr">
        <is>
          <t>rekadwipa.studio@gmail.com</t>
        </is>
      </c>
      <c r="E76" t="inlineStr">
        <is>
          <t>https://lpjk.pu.go.id/search-badan-usaha-detail/Y2Y3cTltTVJ2aHEvLzRDbW5YWUV3dz09</t>
        </is>
      </c>
      <c r="F76" t="n">
        <v>4</v>
      </c>
      <c r="G76" t="inlineStr">
        <is>
          <t>AL001, AL002, AL003, AL004</t>
        </is>
      </c>
      <c r="H76" t="inlineStr">
        <is>
          <t>19 Februari 2019</t>
        </is>
      </c>
      <c r="I76" s="2" t="n">
        <v>46324</v>
      </c>
      <c r="J76" t="inlineStr">
        <is>
          <t>Disetujui</t>
        </is>
      </c>
      <c r="K76" t="n">
        <v>30</v>
      </c>
      <c r="L76" t="inlineStr">
        <is>
          <t>29 Oktober 2026</t>
        </is>
      </c>
      <c r="M76" t="inlineStr">
        <is>
          <t>Jasa Pengembangan Lingkungan Bangunan dan Lanskap, Jasa Pengembangan Pemanfaatan Ruang, Jasa Pengembangan Perkotaan, Jasa Pengembangan Wilayah</t>
        </is>
      </c>
      <c r="N76" t="inlineStr">
        <is>
          <t>K</t>
        </is>
      </c>
      <c r="O76" t="inlineStr">
        <is>
          <t>20231018, 20231019</t>
        </is>
      </c>
      <c r="P76" t="inlineStr">
        <is>
          <t>Jawa Tengah</t>
        </is>
      </c>
      <c r="Q76" t="inlineStr"/>
    </row>
    <row r="77">
      <c r="A77" t="inlineStr">
        <is>
          <t>REKAYASA UTAMA</t>
        </is>
      </c>
      <c r="B77" t="inlineStr">
        <is>
          <t>Kab. Tabanan</t>
        </is>
      </c>
      <c r="C77" t="inlineStr">
        <is>
          <t>0361814164</t>
        </is>
      </c>
      <c r="D77" t="inlineStr">
        <is>
          <t>rekayasautamautama@yahoo.co.id</t>
        </is>
      </c>
      <c r="E77" t="inlineStr">
        <is>
          <t>https://lpjk.pu.go.id/search-badan-usaha-detail/ci9sQWlnTjBHUGo1aGI0bFN5Z0VOZz09</t>
        </is>
      </c>
      <c r="F77" t="n">
        <v>2</v>
      </c>
      <c r="G77" t="inlineStr">
        <is>
          <t>BS004</t>
        </is>
      </c>
      <c r="H77" t="inlineStr">
        <is>
          <t>23 Juni 1994</t>
        </is>
      </c>
      <c r="I77" s="2" t="n">
        <v>46324</v>
      </c>
      <c r="J77" t="inlineStr">
        <is>
          <t>Disetujui</t>
        </is>
      </c>
      <c r="K77" t="n">
        <v>30</v>
      </c>
      <c r="L77" t="inlineStr">
        <is>
          <t>29 Oktober 2026</t>
        </is>
      </c>
      <c r="M77" t="inlineStr">
        <is>
          <t>Konstruksi Jaringan Irigasi dan Drainase</t>
        </is>
      </c>
      <c r="N77" t="inlineStr">
        <is>
          <t>K</t>
        </is>
      </c>
      <c r="O77" t="inlineStr">
        <is>
          <t>20231020</t>
        </is>
      </c>
      <c r="P77" t="inlineStr">
        <is>
          <t>Bali</t>
        </is>
      </c>
      <c r="Q77" t="inlineStr"/>
    </row>
    <row r="78">
      <c r="A78" t="inlineStr">
        <is>
          <t>SAHABAT</t>
        </is>
      </c>
      <c r="B78" t="inlineStr">
        <is>
          <t>Kota Bandung</t>
        </is>
      </c>
      <c r="C78" t="inlineStr">
        <is>
          <t>08112022215</t>
        </is>
      </c>
      <c r="D78" t="inlineStr">
        <is>
          <t>ccvsahabat@gmail.com</t>
        </is>
      </c>
      <c r="E78" t="inlineStr">
        <is>
          <t>https://lpjk.pu.go.id/search-badan-usaha-detail/TGNzcTN3QnRab09Ob3BqNU1hYk1RUT09</t>
        </is>
      </c>
      <c r="F78" t="n">
        <v>1</v>
      </c>
      <c r="G78" t="inlineStr">
        <is>
          <t>BS001</t>
        </is>
      </c>
      <c r="H78" t="inlineStr">
        <is>
          <t>16 Juli 2001</t>
        </is>
      </c>
      <c r="I78" s="2" t="n">
        <v>46324</v>
      </c>
      <c r="J78" t="inlineStr">
        <is>
          <t>Disetujui</t>
        </is>
      </c>
      <c r="K78" t="n">
        <v>30</v>
      </c>
      <c r="L78" t="inlineStr">
        <is>
          <t>29 Oktober 2026</t>
        </is>
      </c>
      <c r="M78" t="inlineStr">
        <is>
          <t>Konstruksi Bangunan Sipil Jalan</t>
        </is>
      </c>
      <c r="N78" t="inlineStr">
        <is>
          <t>K</t>
        </is>
      </c>
      <c r="O78" t="inlineStr">
        <is>
          <t>20231026</t>
        </is>
      </c>
      <c r="P78" t="inlineStr">
        <is>
          <t>Jawa Barat</t>
        </is>
      </c>
      <c r="Q78" t="inlineStr"/>
    </row>
    <row r="79">
      <c r="A79" t="inlineStr">
        <is>
          <t>SAKA AGAM OETAMA</t>
        </is>
      </c>
      <c r="B79" t="inlineStr">
        <is>
          <t>Kota Adm. Jakarta Barat</t>
        </is>
      </c>
      <c r="C79" t="inlineStr">
        <is>
          <t>081807106501</t>
        </is>
      </c>
      <c r="D79" t="inlineStr">
        <is>
          <t>andi.subagio@ymail.com</t>
        </is>
      </c>
      <c r="E79" t="inlineStr">
        <is>
          <t>https://lpjk.pu.go.id/search-badan-usaha-detail/bUp6WU1TU0d4OVFTS0FqcmFsR2ZEUT09</t>
        </is>
      </c>
      <c r="F79" t="n">
        <v>4</v>
      </c>
      <c r="G79" t="inlineStr">
        <is>
          <t>AR001, AR002, AR003, RK001</t>
        </is>
      </c>
      <c r="H79" t="inlineStr">
        <is>
          <t>6 Januari 2022</t>
        </is>
      </c>
      <c r="I79" s="2" t="n">
        <v>46324</v>
      </c>
      <c r="J79" t="inlineStr">
        <is>
          <t>Disetujui</t>
        </is>
      </c>
      <c r="K79" t="n">
        <v>30</v>
      </c>
      <c r="L79" t="inlineStr">
        <is>
          <t>29 Oktober 2026</t>
        </is>
      </c>
      <c r="M79" t="inlineStr">
        <is>
          <t>Jasa Arsitektural Bangunan Gedung Hunian dan Non Hunian, Jasa Arsitektural Lainnya, Jasa Desain Interior pada Bangunan Gedung dan Bangunan Sipil, Jasa Rekayasa Konstruksi Bangunan Gedung Hunian dan Non Hunian</t>
        </is>
      </c>
      <c r="N79" t="inlineStr">
        <is>
          <t>K</t>
        </is>
      </c>
      <c r="O79" t="inlineStr">
        <is>
          <t>20231009</t>
        </is>
      </c>
      <c r="P79" t="inlineStr">
        <is>
          <t>DKI Jakarta</t>
        </is>
      </c>
      <c r="Q79" t="inlineStr"/>
    </row>
    <row r="80">
      <c r="A80" t="inlineStr">
        <is>
          <t>SANJUR MAKMUR SADAYA</t>
        </is>
      </c>
      <c r="B80" t="inlineStr">
        <is>
          <t>Kab. Majalengka</t>
        </is>
      </c>
      <c r="C80" t="inlineStr">
        <is>
          <t>082218497334</t>
        </is>
      </c>
      <c r="D80" t="inlineStr">
        <is>
          <t>cvsanjurmakmursadaya@gmail.com</t>
        </is>
      </c>
      <c r="E80" t="inlineStr">
        <is>
          <t>https://lpjk.pu.go.id/search-badan-usaha-detail/K2V1WnFaSTJMS25uZW9ZbkNKOFVEZz09</t>
        </is>
      </c>
      <c r="F80" t="n">
        <v>3</v>
      </c>
      <c r="G80" t="inlineStr">
        <is>
          <t>BG006, BS001, BS004</t>
        </is>
      </c>
      <c r="H80" t="inlineStr">
        <is>
          <t>11 Oktober 2023</t>
        </is>
      </c>
      <c r="I80" s="2" t="n">
        <v>46324</v>
      </c>
      <c r="J80" t="inlineStr">
        <is>
          <t>Disetujui</t>
        </is>
      </c>
      <c r="K80" t="n">
        <v>30</v>
      </c>
      <c r="L80" t="inlineStr">
        <is>
          <t>29 Oktober 2026</t>
        </is>
      </c>
      <c r="M80" t="inlineStr">
        <is>
          <t>Konstruksi Bangunan Sipil Jalan, Konstruksi Gedung Pendidikan, Konstruksi Jaringan Irigasi dan Drainase</t>
        </is>
      </c>
      <c r="N80" t="inlineStr">
        <is>
          <t>K</t>
        </is>
      </c>
      <c r="O80" t="inlineStr">
        <is>
          <t>20231030</t>
        </is>
      </c>
      <c r="P80" t="inlineStr">
        <is>
          <t>Jawa Barat</t>
        </is>
      </c>
      <c r="Q80" t="inlineStr"/>
    </row>
    <row r="81">
      <c r="A81" t="inlineStr">
        <is>
          <t>SATU KATA KONSTRUKSI</t>
        </is>
      </c>
      <c r="B81" t="inlineStr">
        <is>
          <t>Kota Adm. Jakarta Barat</t>
        </is>
      </c>
      <c r="C81" t="inlineStr">
        <is>
          <t>082285940668</t>
        </is>
      </c>
      <c r="D81" t="inlineStr">
        <is>
          <t>1katakonstruksi@gmail.com</t>
        </is>
      </c>
      <c r="E81" t="inlineStr">
        <is>
          <t>https://lpjk.pu.go.id/search-badan-usaha-detail/eGw4bEdQaHRQeHlxUHBUeGZIUThJQT09</t>
        </is>
      </c>
      <c r="F81" t="n">
        <v>3</v>
      </c>
      <c r="G81" t="inlineStr">
        <is>
          <t>BG001, BG003, BG007</t>
        </is>
      </c>
      <c r="H81" t="inlineStr">
        <is>
          <t>13 Oktober 2021</t>
        </is>
      </c>
      <c r="I81" s="2" t="n">
        <v>46324</v>
      </c>
      <c r="J81" t="inlineStr">
        <is>
          <t>Disetujui</t>
        </is>
      </c>
      <c r="K81" t="n">
        <v>30</v>
      </c>
      <c r="L81" t="inlineStr">
        <is>
          <t>29 Oktober 2026</t>
        </is>
      </c>
      <c r="M81" t="inlineStr">
        <is>
          <t>Konstruksi Gedung Hunian, Konstruksi Gedung Industri, Konstruksi Gedung Penginapan</t>
        </is>
      </c>
      <c r="N81" t="inlineStr">
        <is>
          <t>K</t>
        </is>
      </c>
      <c r="O81" t="inlineStr">
        <is>
          <t>20231025</t>
        </is>
      </c>
      <c r="P81" t="inlineStr">
        <is>
          <t>DKI Jakarta</t>
        </is>
      </c>
      <c r="Q81" t="inlineStr"/>
    </row>
    <row r="82">
      <c r="A82" t="inlineStr">
        <is>
          <t>SEECONS</t>
        </is>
      </c>
      <c r="B82" t="inlineStr">
        <is>
          <t>Kota Bandung</t>
        </is>
      </c>
      <c r="C82" t="inlineStr">
        <is>
          <t>0225211106</t>
        </is>
      </c>
      <c r="D82" t="inlineStr">
        <is>
          <t>seecons@yahoo.com</t>
        </is>
      </c>
      <c r="E82" t="inlineStr">
        <is>
          <t>https://lpjk.pu.go.id/search-badan-usaha-detail/aHBVby9aYktBUTM0bDdUTVRTNU5pQT09</t>
        </is>
      </c>
      <c r="F82" t="n">
        <v>2</v>
      </c>
      <c r="G82" t="inlineStr">
        <is>
          <t>IT002, IT003</t>
        </is>
      </c>
      <c r="H82" t="inlineStr">
        <is>
          <t>15 Oktober 1974</t>
        </is>
      </c>
      <c r="I82" s="2" t="n">
        <v>46324</v>
      </c>
      <c r="J82" t="inlineStr">
        <is>
          <t>Disetujui</t>
        </is>
      </c>
      <c r="K82" t="n">
        <v>30</v>
      </c>
      <c r="L82" t="inlineStr">
        <is>
          <t>29 Oktober 2026</t>
        </is>
      </c>
      <c r="M82" t="inlineStr">
        <is>
          <t>Jasa Konsultansi Ilmiah dan Teknis Bawah Tanah, Jasa Konsultansi Ilmiah dan Teknis Permukaan Tanah dan Pembuatan Peta</t>
        </is>
      </c>
      <c r="N82" t="inlineStr">
        <is>
          <t>Spesialis</t>
        </is>
      </c>
      <c r="O82" t="inlineStr">
        <is>
          <t>20231024</t>
        </is>
      </c>
      <c r="P82" t="inlineStr">
        <is>
          <t>Jawa Barat</t>
        </is>
      </c>
      <c r="Q82" t="inlineStr"/>
    </row>
    <row r="83">
      <c r="A83" t="inlineStr">
        <is>
          <t>SIMPANG LIDO SENTOSA</t>
        </is>
      </c>
      <c r="B83" t="inlineStr">
        <is>
          <t>Kota Pontianak</t>
        </is>
      </c>
      <c r="C83" t="inlineStr">
        <is>
          <t>089520365354</t>
        </is>
      </c>
      <c r="D83" t="inlineStr">
        <is>
          <t>simpanglidosentosa@gmail.com</t>
        </is>
      </c>
      <c r="E83" t="inlineStr">
        <is>
          <t>https://lpjk.pu.go.id/search-badan-usaha-detail/WUFDdDhaOEYxM1dWZWxhRUlQSG9IZz09</t>
        </is>
      </c>
      <c r="F83" t="n">
        <v>3</v>
      </c>
      <c r="G83" t="inlineStr">
        <is>
          <t>BS001, BS004, BS005</t>
        </is>
      </c>
      <c r="H83" t="inlineStr">
        <is>
          <t>3 Agustus 2023</t>
        </is>
      </c>
      <c r="I83" s="2" t="n">
        <v>46324</v>
      </c>
      <c r="J83" t="inlineStr">
        <is>
          <t>Disetujui</t>
        </is>
      </c>
      <c r="K83" t="n">
        <v>30</v>
      </c>
      <c r="L83" t="inlineStr">
        <is>
          <t>29 Oktober 2026</t>
        </is>
      </c>
      <c r="M83" t="inlineStr">
        <is>
          <t>Konstruksi Bangunan Sipil Jalan, Konstruksi Bangunan Sipil Pengolahan Air Bersih, Konstruksi Jaringan Irigasi dan Drainase</t>
        </is>
      </c>
      <c r="N83" t="inlineStr">
        <is>
          <t>K</t>
        </is>
      </c>
      <c r="O83" t="inlineStr">
        <is>
          <t>20231021</t>
        </is>
      </c>
      <c r="P83" t="inlineStr">
        <is>
          <t>Kalimantan Barat</t>
        </is>
      </c>
      <c r="Q83" t="inlineStr"/>
    </row>
    <row r="84">
      <c r="A84" t="inlineStr">
        <is>
          <t>SINAR DELI NUSANTARA</t>
        </is>
      </c>
      <c r="B84" t="inlineStr">
        <is>
          <t>Kab. Serang</t>
        </is>
      </c>
      <c r="C84" t="inlineStr">
        <is>
          <t>02547923404</t>
        </is>
      </c>
      <c r="D84" t="inlineStr">
        <is>
          <t>pt.sinardelinusantara2020@gmail.com</t>
        </is>
      </c>
      <c r="E84" t="inlineStr">
        <is>
          <t>https://lpjk.pu.go.id/search-badan-usaha-detail/SWxtMjFSYUoxekdjRVVmanZPaVEzZz09</t>
        </is>
      </c>
      <c r="F84" t="n">
        <v>2</v>
      </c>
      <c r="G84" t="inlineStr">
        <is>
          <t>BG001, BG002</t>
        </is>
      </c>
      <c r="H84" t="inlineStr">
        <is>
          <t>14 April 2015</t>
        </is>
      </c>
      <c r="I84" s="2" t="n">
        <v>46324</v>
      </c>
      <c r="J84" t="inlineStr">
        <is>
          <t>Disetujui</t>
        </is>
      </c>
      <c r="K84" t="n">
        <v>30</v>
      </c>
      <c r="L84" t="inlineStr">
        <is>
          <t>29 Oktober 2026</t>
        </is>
      </c>
      <c r="M84" t="inlineStr">
        <is>
          <t>Konstruksi Gedung Hunian, Konstruksi Gedung Perkantoran</t>
        </is>
      </c>
      <c r="N84" t="inlineStr">
        <is>
          <t>K</t>
        </is>
      </c>
      <c r="O84" t="inlineStr">
        <is>
          <t>20231025, 20231028</t>
        </is>
      </c>
      <c r="P84" t="inlineStr">
        <is>
          <t>Banten</t>
        </is>
      </c>
      <c r="Q84" t="inlineStr"/>
    </row>
    <row r="85">
      <c r="A85" t="inlineStr">
        <is>
          <t>SINDO WAHANA</t>
        </is>
      </c>
      <c r="B85" t="inlineStr">
        <is>
          <t>Kota Adm. Jakarta Barat</t>
        </is>
      </c>
      <c r="C85" t="inlineStr">
        <is>
          <t>0216926636</t>
        </is>
      </c>
      <c r="D85" t="inlineStr">
        <is>
          <t>sindowahana72@gmail.com</t>
        </is>
      </c>
      <c r="E85" t="inlineStr">
        <is>
          <t>https://lpjk.pu.go.id/search-badan-usaha-detail/WUttT3o0ZE1GQmRoUkZSdWdKQURqdz09</t>
        </is>
      </c>
      <c r="F85" t="n">
        <v>2</v>
      </c>
      <c r="G85" t="inlineStr">
        <is>
          <t>BG002, BG003</t>
        </is>
      </c>
      <c r="H85" t="inlineStr">
        <is>
          <t>3 Maret 1992</t>
        </is>
      </c>
      <c r="I85" s="2" t="n">
        <v>46324</v>
      </c>
      <c r="J85" t="inlineStr">
        <is>
          <t>Disetujui, Pembekuan</t>
        </is>
      </c>
      <c r="K85" t="n">
        <v>30</v>
      </c>
      <c r="L85" t="inlineStr">
        <is>
          <t>29 Oktober 2026</t>
        </is>
      </c>
      <c r="M85" t="inlineStr">
        <is>
          <t>Konstruksi Gedung Industri, Konstruksi Gedung Perkantoran</t>
        </is>
      </c>
      <c r="N85" t="inlineStr">
        <is>
          <t>K, M</t>
        </is>
      </c>
      <c r="O85" t="inlineStr">
        <is>
          <t>20231022, 20231030</t>
        </is>
      </c>
      <c r="P85" t="inlineStr">
        <is>
          <t>DKI Jakarta</t>
        </is>
      </c>
      <c r="Q85" t="inlineStr"/>
    </row>
    <row r="86">
      <c r="A86" t="inlineStr">
        <is>
          <t>SUGIH ALIM</t>
        </is>
      </c>
      <c r="B86" t="inlineStr">
        <is>
          <t>Kab. Hulu Sungai Tengah</t>
        </is>
      </c>
      <c r="C86" t="inlineStr">
        <is>
          <t>085249623737</t>
        </is>
      </c>
      <c r="D86" t="inlineStr">
        <is>
          <t>cv.sugihalim@gmail.com</t>
        </is>
      </c>
      <c r="E86" t="inlineStr">
        <is>
          <t>https://lpjk.pu.go.id/search-badan-usaha-detail/cFVYbldReWlQbHEzTjg4bXlnMk52UT09</t>
        </is>
      </c>
      <c r="F86" t="n">
        <v>1</v>
      </c>
      <c r="G86" t="inlineStr">
        <is>
          <t>BS010</t>
        </is>
      </c>
      <c r="H86" t="inlineStr">
        <is>
          <t>19 Agustus 2023</t>
        </is>
      </c>
      <c r="I86" s="2" t="n">
        <v>46324</v>
      </c>
      <c r="J86" t="inlineStr">
        <is>
          <t>Pencabutan</t>
        </is>
      </c>
      <c r="K86" t="n">
        <v>30</v>
      </c>
      <c r="L86" t="inlineStr">
        <is>
          <t>29 Oktober 2026</t>
        </is>
      </c>
      <c r="M86" t="inlineStr">
        <is>
          <t>Konstruksi Bangunan Prasarana Sumber Daya Air</t>
        </is>
      </c>
      <c r="N86" t="inlineStr">
        <is>
          <t>K</t>
        </is>
      </c>
      <c r="O86" t="inlineStr">
        <is>
          <t>20231030</t>
        </is>
      </c>
      <c r="P86" t="inlineStr">
        <is>
          <t>Kalimantan Selatan</t>
        </is>
      </c>
      <c r="Q86" t="inlineStr"/>
    </row>
    <row r="87">
      <c r="A87" t="inlineStr">
        <is>
          <t>SURYA DJAYA MANDIRI</t>
        </is>
      </c>
      <c r="B87" t="inlineStr">
        <is>
          <t>Kab. Brebes</t>
        </is>
      </c>
      <c r="C87" t="inlineStr">
        <is>
          <t>081327744244</t>
        </is>
      </c>
      <c r="D87" t="inlineStr">
        <is>
          <t>suryadjayamandiri@gmail.com</t>
        </is>
      </c>
      <c r="E87" t="inlineStr">
        <is>
          <t>https://lpjk.pu.go.id/search-badan-usaha-detail/ZWVmUVFiTytHQlNldXJ5VTNFZWVVdz09</t>
        </is>
      </c>
      <c r="F87" t="n">
        <v>1</v>
      </c>
      <c r="G87" t="inlineStr">
        <is>
          <t>BG001</t>
        </is>
      </c>
      <c r="H87" t="inlineStr">
        <is>
          <t>15 Februari 2021</t>
        </is>
      </c>
      <c r="I87" s="2" t="n">
        <v>46324</v>
      </c>
      <c r="J87" t="inlineStr">
        <is>
          <t>Disetujui</t>
        </is>
      </c>
      <c r="K87" t="n">
        <v>30</v>
      </c>
      <c r="L87" t="inlineStr">
        <is>
          <t>29 Oktober 2026</t>
        </is>
      </c>
      <c r="M87" t="inlineStr">
        <is>
          <t>Konstruksi Gedung Hunian</t>
        </is>
      </c>
      <c r="N87" t="inlineStr">
        <is>
          <t>K</t>
        </is>
      </c>
      <c r="O87" t="inlineStr">
        <is>
          <t>20231027</t>
        </is>
      </c>
      <c r="P87" t="inlineStr">
        <is>
          <t>Jawa Tengah</t>
        </is>
      </c>
      <c r="Q87" t="inlineStr"/>
    </row>
    <row r="88">
      <c r="A88" t="inlineStr">
        <is>
          <t>TAMADO JAYA</t>
        </is>
      </c>
      <c r="B88" t="inlineStr">
        <is>
          <t>Kota Adm. Jakarta Selatan</t>
        </is>
      </c>
      <c r="C88" t="inlineStr">
        <is>
          <t>02178816237</t>
        </is>
      </c>
      <c r="D88" t="inlineStr">
        <is>
          <t>tamadojaya@rocketmail.com</t>
        </is>
      </c>
      <c r="E88" t="inlineStr">
        <is>
          <t>https://lpjk.pu.go.id/search-badan-usaha-detail/bEZCMVZWc1diZHEzNGs5N05DQWlDdz09</t>
        </is>
      </c>
      <c r="F88" t="n">
        <v>5</v>
      </c>
      <c r="G88" t="inlineStr">
        <is>
          <t>BG001, BG006, BG009, BS001, BS004</t>
        </is>
      </c>
      <c r="H88" t="inlineStr">
        <is>
          <t>9 Januari 2002</t>
        </is>
      </c>
      <c r="I88" s="2" t="n">
        <v>46324</v>
      </c>
      <c r="J88" t="inlineStr">
        <is>
          <t>Disetujui</t>
        </is>
      </c>
      <c r="K88" t="n">
        <v>30</v>
      </c>
      <c r="L88" t="inlineStr">
        <is>
          <t>29 Oktober 2026</t>
        </is>
      </c>
      <c r="M88" t="inlineStr">
        <is>
          <t>Konstruksi Bangunan Sipil Jalan, Konstruksi Gedung Hunian, Konstruksi Gedung Lainnya, Konstruksi Gedung Pendidikan, Konstruksi Jaringan Irigasi dan Drainase</t>
        </is>
      </c>
      <c r="N88" t="inlineStr">
        <is>
          <t>K</t>
        </is>
      </c>
      <c r="O88" t="inlineStr">
        <is>
          <t>20231019</t>
        </is>
      </c>
      <c r="P88" t="inlineStr">
        <is>
          <t>DKI Jakarta</t>
        </is>
      </c>
      <c r="Q88" t="inlineStr"/>
    </row>
    <row r="89">
      <c r="A89" t="inlineStr">
        <is>
          <t>THANISSA CONTRACTORS</t>
        </is>
      </c>
      <c r="B89" t="inlineStr">
        <is>
          <t>Kab. Jember</t>
        </is>
      </c>
      <c r="C89" t="inlineStr">
        <is>
          <t>081333030933</t>
        </is>
      </c>
      <c r="D89" t="inlineStr">
        <is>
          <t>thanissacontractors@gmail.com</t>
        </is>
      </c>
      <c r="E89" t="inlineStr">
        <is>
          <t>https://lpjk.pu.go.id/search-badan-usaha-detail/aVBSYTJ0RHVMOWx6K1JxSFZlbEptUT09</t>
        </is>
      </c>
      <c r="F89" t="n">
        <v>1</v>
      </c>
      <c r="G89" t="inlineStr">
        <is>
          <t>BG009</t>
        </is>
      </c>
      <c r="H89" t="inlineStr">
        <is>
          <t>9 Oktober 2019</t>
        </is>
      </c>
      <c r="I89" s="2" t="n">
        <v>46324</v>
      </c>
      <c r="J89" t="inlineStr">
        <is>
          <t>Pencabutan</t>
        </is>
      </c>
      <c r="K89" t="n">
        <v>30</v>
      </c>
      <c r="L89" t="inlineStr">
        <is>
          <t>29 Oktober 2026</t>
        </is>
      </c>
      <c r="M89" t="inlineStr">
        <is>
          <t>Konstruksi Gedung Lainnya</t>
        </is>
      </c>
      <c r="N89" t="inlineStr">
        <is>
          <t>K</t>
        </is>
      </c>
      <c r="O89" t="inlineStr">
        <is>
          <t>20231030</t>
        </is>
      </c>
      <c r="P89" t="inlineStr">
        <is>
          <t>Jawa Timur</t>
        </is>
      </c>
      <c r="Q89" t="inlineStr"/>
    </row>
    <row r="90">
      <c r="A90" t="inlineStr">
        <is>
          <t>TRI CAHAYA KARYA</t>
        </is>
      </c>
      <c r="B90" t="inlineStr">
        <is>
          <t>Kota Denpasar</t>
        </is>
      </c>
      <c r="C90" t="inlineStr">
        <is>
          <t>081915955452</t>
        </is>
      </c>
      <c r="D90" t="inlineStr">
        <is>
          <t>karyatricahaya@gmail.com</t>
        </is>
      </c>
      <c r="E90" t="inlineStr">
        <is>
          <t>https://lpjk.pu.go.id/search-badan-usaha-detail/L0JYRmNQV3NiRXlQMWM1aGo4SFVpZz09</t>
        </is>
      </c>
      <c r="F90" t="n">
        <v>1</v>
      </c>
      <c r="G90" t="inlineStr">
        <is>
          <t>BS005</t>
        </is>
      </c>
      <c r="H90" t="inlineStr">
        <is>
          <t>10 Januari 2023</t>
        </is>
      </c>
      <c r="I90" s="2" t="n">
        <v>46324</v>
      </c>
      <c r="J90" t="inlineStr">
        <is>
          <t>Disetujui</t>
        </is>
      </c>
      <c r="K90" t="n">
        <v>30</v>
      </c>
      <c r="L90" t="inlineStr">
        <is>
          <t>29 Oktober 2026</t>
        </is>
      </c>
      <c r="M90" t="inlineStr">
        <is>
          <t>Konstruksi Bangunan Sipil Pengolahan Air Bersih</t>
        </is>
      </c>
      <c r="N90" t="inlineStr">
        <is>
          <t>K</t>
        </is>
      </c>
      <c r="O90" t="inlineStr">
        <is>
          <t>20231030</t>
        </is>
      </c>
      <c r="P90" t="inlineStr">
        <is>
          <t>Bali</t>
        </is>
      </c>
      <c r="Q90" t="inlineStr"/>
    </row>
    <row r="91">
      <c r="A91" t="inlineStr">
        <is>
          <t>TRI DHARMA NUGRAHA</t>
        </is>
      </c>
      <c r="B91" t="inlineStr">
        <is>
          <t>Kota Medan</t>
        </is>
      </c>
      <c r="C91" t="inlineStr">
        <is>
          <t>081362635151</t>
        </is>
      </c>
      <c r="D91" t="inlineStr">
        <is>
          <t>tdharmanugraha@gmail.com</t>
        </is>
      </c>
      <c r="E91" t="inlineStr">
        <is>
          <t>https://lpjk.pu.go.id/search-badan-usaha-detail/RW5MZ3BzdVVUbzY5NTN0eG1oWlN4dz09</t>
        </is>
      </c>
      <c r="F91" t="n">
        <v>1</v>
      </c>
      <c r="G91" t="inlineStr">
        <is>
          <t>BG003</t>
        </is>
      </c>
      <c r="H91" t="inlineStr">
        <is>
          <t>2 September 2022</t>
        </is>
      </c>
      <c r="I91" s="2" t="n">
        <v>46324</v>
      </c>
      <c r="J91" t="inlineStr">
        <is>
          <t>Disetujui</t>
        </is>
      </c>
      <c r="K91" t="n">
        <v>30</v>
      </c>
      <c r="L91" t="inlineStr">
        <is>
          <t>29 Oktober 2026</t>
        </is>
      </c>
      <c r="M91" t="inlineStr">
        <is>
          <t>Konstruksi Gedung Industri</t>
        </is>
      </c>
      <c r="N91" t="inlineStr">
        <is>
          <t>K</t>
        </is>
      </c>
      <c r="O91" t="inlineStr">
        <is>
          <t>20231028</t>
        </is>
      </c>
      <c r="P91" t="inlineStr">
        <is>
          <t>Sumatera Utara</t>
        </is>
      </c>
      <c r="Q91" t="inlineStr"/>
    </row>
    <row r="92">
      <c r="A92" t="inlineStr">
        <is>
          <t>ULI ARTA TUA</t>
        </is>
      </c>
      <c r="B92" t="inlineStr">
        <is>
          <t>Kota Pematangsiantar</t>
        </is>
      </c>
      <c r="C92" t="inlineStr">
        <is>
          <t>081397663551</t>
        </is>
      </c>
      <c r="D92" t="inlineStr">
        <is>
          <t>cv.uliartatua@gmail.com</t>
        </is>
      </c>
      <c r="E92" t="inlineStr">
        <is>
          <t>https://lpjk.pu.go.id/search-badan-usaha-detail/UU9BUm9FbFZ2VmluaW9xUVpqWWllQT09</t>
        </is>
      </c>
      <c r="F92" t="n">
        <v>1</v>
      </c>
      <c r="G92" t="inlineStr">
        <is>
          <t>BG002</t>
        </is>
      </c>
      <c r="H92" t="inlineStr">
        <is>
          <t>31 Januari 2017</t>
        </is>
      </c>
      <c r="I92" s="2" t="n">
        <v>46324</v>
      </c>
      <c r="J92" t="inlineStr">
        <is>
          <t>Disetujui</t>
        </is>
      </c>
      <c r="K92" t="n">
        <v>30</v>
      </c>
      <c r="L92" t="inlineStr">
        <is>
          <t>29 Oktober 2026</t>
        </is>
      </c>
      <c r="M92" t="inlineStr">
        <is>
          <t>Konstruksi Gedung Perkantoran</t>
        </is>
      </c>
      <c r="N92" t="inlineStr">
        <is>
          <t>K</t>
        </is>
      </c>
      <c r="O92" t="inlineStr">
        <is>
          <t>20231024</t>
        </is>
      </c>
      <c r="P92" t="inlineStr">
        <is>
          <t>Sumatera Utara</t>
        </is>
      </c>
      <c r="Q92" t="inlineStr"/>
    </row>
    <row r="93">
      <c r="A93" t="inlineStr">
        <is>
          <t>WAHANA BHAKTI</t>
        </is>
      </c>
      <c r="B93" t="inlineStr">
        <is>
          <t>Kab. Bangkalan</t>
        </is>
      </c>
      <c r="C93" t="inlineStr">
        <is>
          <t>081231234554</t>
        </is>
      </c>
      <c r="D93" t="inlineStr">
        <is>
          <t>wahanabhakti22@gmail.com</t>
        </is>
      </c>
      <c r="E93" t="inlineStr">
        <is>
          <t>https://lpjk.pu.go.id/search-badan-usaha-detail/ZWc5aS9QZmpqc2kyMlV3WGYwVlU1Zz09</t>
        </is>
      </c>
      <c r="F93" t="n">
        <v>1</v>
      </c>
      <c r="G93" t="inlineStr">
        <is>
          <t>BG009</t>
        </is>
      </c>
      <c r="H93" t="inlineStr">
        <is>
          <t>7 Oktober 1991</t>
        </is>
      </c>
      <c r="I93" s="2" t="n">
        <v>46324</v>
      </c>
      <c r="J93" t="inlineStr">
        <is>
          <t>Disetujui</t>
        </is>
      </c>
      <c r="K93" t="n">
        <v>30</v>
      </c>
      <c r="L93" t="inlineStr">
        <is>
          <t>29 Oktober 2026</t>
        </is>
      </c>
      <c r="M93" t="inlineStr">
        <is>
          <t>Konstruksi Gedung Lainnya</t>
        </is>
      </c>
      <c r="N93" t="inlineStr">
        <is>
          <t>K</t>
        </is>
      </c>
      <c r="O93" t="inlineStr">
        <is>
          <t>20231005</t>
        </is>
      </c>
      <c r="P93" t="inlineStr">
        <is>
          <t>Jawa Timur</t>
        </is>
      </c>
      <c r="Q93" t="inlineStr"/>
    </row>
    <row r="94">
      <c r="A94" t="inlineStr">
        <is>
          <t>WIJAYA WILWATIKTA</t>
        </is>
      </c>
      <c r="B94" t="inlineStr">
        <is>
          <t>Kab. Blitar</t>
        </is>
      </c>
      <c r="C94" t="inlineStr">
        <is>
          <t>085655177666</t>
        </is>
      </c>
      <c r="D94" t="inlineStr">
        <is>
          <t>wijaya.wilwatikta@gmail.com</t>
        </is>
      </c>
      <c r="E94" t="inlineStr">
        <is>
          <t>https://lpjk.pu.go.id/search-badan-usaha-detail/SWQwTk5NM1lqTWRIQUM2dVFoanZjdz09</t>
        </is>
      </c>
      <c r="F94" t="n">
        <v>2</v>
      </c>
      <c r="G94" t="inlineStr">
        <is>
          <t>BS004</t>
        </is>
      </c>
      <c r="H94" t="inlineStr">
        <is>
          <t>12 Januari 2022</t>
        </is>
      </c>
      <c r="I94" s="2" t="n">
        <v>46324</v>
      </c>
      <c r="J94" t="inlineStr">
        <is>
          <t>Disetujui</t>
        </is>
      </c>
      <c r="K94" t="n">
        <v>30</v>
      </c>
      <c r="L94" t="inlineStr">
        <is>
          <t>29 Oktober 2026</t>
        </is>
      </c>
      <c r="M94" t="inlineStr">
        <is>
          <t>Konstruksi Jaringan Irigasi dan Drainase</t>
        </is>
      </c>
      <c r="N94" t="inlineStr">
        <is>
          <t>K</t>
        </is>
      </c>
      <c r="O94" t="inlineStr">
        <is>
          <t>20231026</t>
        </is>
      </c>
      <c r="P94" t="inlineStr">
        <is>
          <t>Jawa Timur</t>
        </is>
      </c>
      <c r="Q94" t="inlineStr"/>
    </row>
    <row r="95">
      <c r="A95" t="inlineStr">
        <is>
          <t>YANARI PUTRA</t>
        </is>
      </c>
      <c r="B95" t="inlineStr">
        <is>
          <t>Kab. Serang</t>
        </is>
      </c>
      <c r="C95" t="inlineStr">
        <is>
          <t>087877333133</t>
        </is>
      </c>
      <c r="D95" t="inlineStr">
        <is>
          <t>putrayanari@yahoo.com</t>
        </is>
      </c>
      <c r="E95" t="inlineStr">
        <is>
          <t>https://lpjk.pu.go.id/search-badan-usaha-detail/RkNCMnpxWGtFQkVVbkFiY0NscTladz09</t>
        </is>
      </c>
      <c r="F95" t="n">
        <v>1</v>
      </c>
      <c r="G95" t="inlineStr">
        <is>
          <t>BS002</t>
        </is>
      </c>
      <c r="H95" t="inlineStr">
        <is>
          <t>18 April 2000</t>
        </is>
      </c>
      <c r="I95" s="2" t="n">
        <v>46324</v>
      </c>
      <c r="J95" t="inlineStr">
        <is>
          <t>Pencabutan</t>
        </is>
      </c>
      <c r="K95" t="n">
        <v>30</v>
      </c>
      <c r="L95" t="inlineStr">
        <is>
          <t>29 Oktober 2026</t>
        </is>
      </c>
      <c r="M95" t="inlineStr">
        <is>
          <t>Bangunan Sipil Jembatan, Jalan Layang, Fly Over, dan Underpass</t>
        </is>
      </c>
      <c r="N95" t="inlineStr">
        <is>
          <t>K</t>
        </is>
      </c>
      <c r="O95" t="inlineStr">
        <is>
          <t>20231027</t>
        </is>
      </c>
      <c r="P95" t="inlineStr">
        <is>
          <t>Banten</t>
        </is>
      </c>
      <c r="Q95" t="inlineStr"/>
    </row>
    <row r="96">
      <c r="A96" t="inlineStr">
        <is>
          <t>YAOHUA TEKNIK INDONESIA</t>
        </is>
      </c>
      <c r="B96" t="inlineStr">
        <is>
          <t>Kota Adm. Jakarta Utara</t>
        </is>
      </c>
      <c r="C96" t="inlineStr">
        <is>
          <t>085261168808</t>
        </is>
      </c>
      <c r="D96" t="inlineStr">
        <is>
          <t>yaohuateknikindonesia@gmail.com</t>
        </is>
      </c>
      <c r="E96" t="inlineStr">
        <is>
          <t>https://lpjk.pu.go.id/search-badan-usaha-detail/K3Avb3k4L01MbG1VdGFYa0NwTFp2QT09</t>
        </is>
      </c>
      <c r="F96" t="n">
        <v>2</v>
      </c>
      <c r="G96" t="inlineStr">
        <is>
          <t>IN003, KK015</t>
        </is>
      </c>
      <c r="H96" t="inlineStr">
        <is>
          <t>26 Mei 2017</t>
        </is>
      </c>
      <c r="I96" s="2" t="n">
        <v>46324</v>
      </c>
      <c r="J96" t="inlineStr">
        <is>
          <t>Pembekuan</t>
        </is>
      </c>
      <c r="K96" t="n">
        <v>30</v>
      </c>
      <c r="L96" t="inlineStr">
        <is>
          <t>29 Oktober 2026</t>
        </is>
      </c>
      <c r="M96" t="inlineStr">
        <is>
          <t>Instalasi Peralatan Infrastruktur Pertambangan dan Manufaktur, Pekerjaan Konstruksi Tahan Api (Tanur, Anneling, Flare, atau Incenerator)</t>
        </is>
      </c>
      <c r="N96" t="inlineStr">
        <is>
          <t>Spesialis</t>
        </is>
      </c>
      <c r="O96" t="inlineStr">
        <is>
          <t>20231030</t>
        </is>
      </c>
      <c r="P96" t="inlineStr">
        <is>
          <t>DKI Jakarta</t>
        </is>
      </c>
      <c r="Q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2026-09-29T02:23:02Z</dcterms:created>
  <dcterms:modified xsi:type="dcterms:W3CDTF">2026-09-29T02:23:02Z</dcterms:modified>
</cp:coreProperties>
</file>