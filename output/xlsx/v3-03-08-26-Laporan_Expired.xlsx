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8"/>
  <sheetViews>
    <sheetView workbookViewId="0">
      <selection activeCell="A1" sqref="A1"/>
    </sheetView>
  </sheetViews>
  <sheetFormatPr baseColWidth="8" defaultRowHeight="15"/>
  <cols>
    <col width="32" customWidth="1" min="1" max="1"/>
    <col width="30" customWidth="1" min="2" max="2"/>
    <col width="18"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ARMACO</t>
        </is>
      </c>
      <c r="B2" t="inlineStr">
        <is>
          <t>Kota Adm. Jakarta Timur</t>
        </is>
      </c>
      <c r="C2" t="inlineStr">
        <is>
          <t>02185915513</t>
        </is>
      </c>
      <c r="D2" t="inlineStr">
        <is>
          <t>armaco1977@gmail.com</t>
        </is>
      </c>
      <c r="E2" t="inlineStr">
        <is>
          <t>https://lpjk.pu.go.id/search-badan-usaha-detail/Z2l5cTdncnFFSThuZ1Jjb3RqQmhsUT09</t>
        </is>
      </c>
      <c r="F2" t="n">
        <v>1</v>
      </c>
      <c r="G2" t="inlineStr">
        <is>
          <t>BG009</t>
        </is>
      </c>
      <c r="H2" t="inlineStr">
        <is>
          <t>10 Juli 2017</t>
        </is>
      </c>
      <c r="I2" s="2" t="n">
        <v>46327</v>
      </c>
      <c r="J2" t="inlineStr">
        <is>
          <t>Disetujui</t>
        </is>
      </c>
      <c r="K2" t="n">
        <v>90</v>
      </c>
      <c r="L2" t="inlineStr">
        <is>
          <t>1 November 2026</t>
        </is>
      </c>
      <c r="M2" t="inlineStr">
        <is>
          <t>Konstruksi Gedung Lainnya</t>
        </is>
      </c>
      <c r="N2" t="inlineStr">
        <is>
          <t>K</t>
        </is>
      </c>
      <c r="O2" t="inlineStr">
        <is>
          <t>20231027</t>
        </is>
      </c>
      <c r="P2" t="inlineStr">
        <is>
          <t>DKI Jakarta</t>
        </is>
      </c>
      <c r="Q2" t="inlineStr"/>
    </row>
    <row r="3">
      <c r="A3" t="inlineStr">
        <is>
          <t>DIMAS AQNI PUTRA</t>
        </is>
      </c>
      <c r="B3" t="inlineStr">
        <is>
          <t>Kota Bekasi</t>
        </is>
      </c>
      <c r="C3" t="inlineStr">
        <is>
          <t>081283780827</t>
        </is>
      </c>
      <c r="D3" t="inlineStr">
        <is>
          <t>dimasaqniputra@gmail.com</t>
        </is>
      </c>
      <c r="E3" t="inlineStr">
        <is>
          <t>https://lpjk.pu.go.id/search-badan-usaha-detail/aWMwQjdOOFZaZ3FpRWEyVlRLVU1KUT09</t>
        </is>
      </c>
      <c r="F3" t="n">
        <v>1</v>
      </c>
      <c r="G3" t="inlineStr">
        <is>
          <t>BG009</t>
        </is>
      </c>
      <c r="H3" t="inlineStr">
        <is>
          <t>29 Oktober 2015</t>
        </is>
      </c>
      <c r="I3" s="2" t="n">
        <v>46327</v>
      </c>
      <c r="J3" t="inlineStr">
        <is>
          <t>Pencabutan</t>
        </is>
      </c>
      <c r="K3" t="n">
        <v>90</v>
      </c>
      <c r="L3" t="inlineStr">
        <is>
          <t>1 November 2026</t>
        </is>
      </c>
      <c r="M3" t="inlineStr">
        <is>
          <t>Konstruksi Gedung Lainnya</t>
        </is>
      </c>
      <c r="N3" t="inlineStr">
        <is>
          <t>K</t>
        </is>
      </c>
      <c r="O3" t="inlineStr">
        <is>
          <t>20231019</t>
        </is>
      </c>
      <c r="P3" t="inlineStr">
        <is>
          <t>Jawa Barat</t>
        </is>
      </c>
      <c r="Q3" s="3">
        <f>HYPERLINK("https://wa.me/6281283780827?text=Selamat siang Bapak/Ibu pimpinan DIMAS AQNI PUTRA,%0A%0ASemoga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1</v>
      </c>
      <c r="G4" t="inlineStr">
        <is>
          <t>BG009</t>
        </is>
      </c>
      <c r="H4" t="inlineStr">
        <is>
          <t>8 Januari 2016</t>
        </is>
      </c>
      <c r="I4" s="2" t="n">
        <v>46327</v>
      </c>
      <c r="J4" t="inlineStr">
        <is>
          <t>Disetujui</t>
        </is>
      </c>
      <c r="K4" t="n">
        <v>90</v>
      </c>
      <c r="L4" t="inlineStr">
        <is>
          <t>1 November 2026</t>
        </is>
      </c>
      <c r="M4" t="inlineStr">
        <is>
          <t>Konstruksi Gedung Lainnya</t>
        </is>
      </c>
      <c r="N4" t="inlineStr">
        <is>
          <t>K</t>
        </is>
      </c>
      <c r="O4" t="inlineStr">
        <is>
          <t>20231021</t>
        </is>
      </c>
      <c r="P4" t="inlineStr">
        <is>
          <t>Jawa Barat</t>
        </is>
      </c>
      <c r="Q4" s="3">
        <f>HYPERLINK("https://wa.me/6281399055222?text=Selamat siang Bapak/Ibu pimpinan DZAKY KUSUMA,%0A%0ASemoga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HERWAN SENTOSA</t>
        </is>
      </c>
      <c r="B5" t="inlineStr">
        <is>
          <t>Kota Depok</t>
        </is>
      </c>
      <c r="C5" t="inlineStr">
        <is>
          <t>081294742225</t>
        </is>
      </c>
      <c r="D5" t="inlineStr">
        <is>
          <t>cv.herwansentosa@gmail.com</t>
        </is>
      </c>
      <c r="E5" t="inlineStr">
        <is>
          <t>https://lpjk.pu.go.id/search-badan-usaha-detail/eXpXMG9IYUVmSW1KVkZubG12c1Qxdz09</t>
        </is>
      </c>
      <c r="F5" t="n">
        <v>1</v>
      </c>
      <c r="G5" t="inlineStr">
        <is>
          <t>BS004</t>
        </is>
      </c>
      <c r="H5" t="inlineStr">
        <is>
          <t>8 Februari 2019</t>
        </is>
      </c>
      <c r="I5" s="2" t="n">
        <v>46327</v>
      </c>
      <c r="J5" t="inlineStr">
        <is>
          <t>Disetujui</t>
        </is>
      </c>
      <c r="K5" t="n">
        <v>90</v>
      </c>
      <c r="L5" t="inlineStr">
        <is>
          <t>1 November 2026</t>
        </is>
      </c>
      <c r="M5" t="inlineStr">
        <is>
          <t>Konstruksi Jaringan Irigasi dan Drainase</t>
        </is>
      </c>
      <c r="N5" t="inlineStr">
        <is>
          <t>K</t>
        </is>
      </c>
      <c r="O5" t="inlineStr">
        <is>
          <t>20230515</t>
        </is>
      </c>
      <c r="P5" t="inlineStr">
        <is>
          <t>Jawa Barat</t>
        </is>
      </c>
      <c r="Q5" s="3">
        <f>HYPERLINK("https://wa.me/6281294742225?text=Selamat siang Bapak/Ibu pimpinan HERWAN SENTOSA,%0A%0ASemoga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HOBASHITA MEGA IMPOLA</t>
        </is>
      </c>
      <c r="B6" t="inlineStr">
        <is>
          <t>Kota Bekasi</t>
        </is>
      </c>
      <c r="C6" t="inlineStr">
        <is>
          <t>02138711021</t>
        </is>
      </c>
      <c r="D6" t="inlineStr">
        <is>
          <t>pt.megaimpola@yahoo.com</t>
        </is>
      </c>
      <c r="E6" t="inlineStr">
        <is>
          <t>https://lpjk.pu.go.id/search-badan-usaha-detail/MG5PWFVtZGFVSWk0bElQYmZTYkFJUT09</t>
        </is>
      </c>
      <c r="F6" t="n">
        <v>1</v>
      </c>
      <c r="G6" t="inlineStr">
        <is>
          <t>IN004</t>
        </is>
      </c>
      <c r="H6" t="inlineStr">
        <is>
          <t>15 April 2014</t>
        </is>
      </c>
      <c r="I6" s="2" t="n">
        <v>46327</v>
      </c>
      <c r="J6" t="inlineStr">
        <is>
          <t>Pencabutan</t>
        </is>
      </c>
      <c r="K6" t="n">
        <v>90</v>
      </c>
      <c r="L6" t="inlineStr">
        <is>
          <t>1 November 2026</t>
        </is>
      </c>
      <c r="M6" t="inlineStr">
        <is>
          <t>Instalasi Minyak dan Gas</t>
        </is>
      </c>
      <c r="N6" t="inlineStr">
        <is>
          <t>Spesialis</t>
        </is>
      </c>
      <c r="O6" t="inlineStr">
        <is>
          <t>20231101</t>
        </is>
      </c>
      <c r="P6" t="inlineStr">
        <is>
          <t>Jawa Barat</t>
        </is>
      </c>
      <c r="Q6" t="inlineStr"/>
    </row>
    <row r="7">
      <c r="A7" t="inlineStr">
        <is>
          <t>MADYATHIKA</t>
        </is>
      </c>
      <c r="B7" t="inlineStr">
        <is>
          <t>Kab. Bogor</t>
        </is>
      </c>
      <c r="C7" t="inlineStr">
        <is>
          <t>085371328454</t>
        </is>
      </c>
      <c r="D7" t="inlineStr">
        <is>
          <t>madyathika@yahoo.com</t>
        </is>
      </c>
      <c r="E7" t="inlineStr">
        <is>
          <t>https://lpjk.pu.go.id/search-badan-usaha-detail/OUl6c29mRzYxN2N2NndnSUhsV1B1aTZoSjQ2ZXdNVnU0YklQTnAxcDhzMD0</t>
        </is>
      </c>
      <c r="F7" t="n">
        <v>2</v>
      </c>
      <c r="G7" t="inlineStr">
        <is>
          <t>BG009, BS001</t>
        </is>
      </c>
      <c r="H7" t="inlineStr">
        <is>
          <t>9 Januari 2026</t>
        </is>
      </c>
      <c r="I7" s="2" t="n">
        <v>46327</v>
      </c>
      <c r="J7" t="inlineStr">
        <is>
          <t>Disetujui</t>
        </is>
      </c>
      <c r="K7" t="n">
        <v>90</v>
      </c>
      <c r="L7" t="inlineStr">
        <is>
          <t>1 November 2026</t>
        </is>
      </c>
      <c r="M7" t="inlineStr">
        <is>
          <t>Konstruksi Bangunan Sipil Jalan, Konstruksi Gedung Lainnya</t>
        </is>
      </c>
      <c r="N7" t="inlineStr">
        <is>
          <t>M</t>
        </is>
      </c>
      <c r="O7" t="inlineStr">
        <is>
          <t>20231029, 20231030</t>
        </is>
      </c>
      <c r="P7" t="inlineStr">
        <is>
          <t>Jawa Barat</t>
        </is>
      </c>
      <c r="Q7" s="3">
        <f>HYPERLINK("https://wa.me/6285371328454?text=Selamat siang Bapak/Ibu pimpinan MADYATHIKA,%0A%0ASemoga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MANUNGGAL JASA KONTRUKSI</t>
        </is>
      </c>
      <c r="B8" t="inlineStr">
        <is>
          <t>Kota Bekasi</t>
        </is>
      </c>
      <c r="C8" t="inlineStr">
        <is>
          <t>081287259186</t>
        </is>
      </c>
      <c r="D8" t="inlineStr">
        <is>
          <t>manunggaljasa@yahoo.com</t>
        </is>
      </c>
      <c r="E8" t="inlineStr">
        <is>
          <t>https://lpjk.pu.go.id/search-badan-usaha-detail/SFFWdFlSYnpaalVSbnhEREduSDhHZz09</t>
        </is>
      </c>
      <c r="F8" t="n">
        <v>2</v>
      </c>
      <c r="G8" t="inlineStr">
        <is>
          <t>BS001</t>
        </is>
      </c>
      <c r="H8" t="inlineStr">
        <is>
          <t>8 Januari 2007</t>
        </is>
      </c>
      <c r="I8" s="2" t="n">
        <v>46327</v>
      </c>
      <c r="J8" t="inlineStr">
        <is>
          <t>Disetujui</t>
        </is>
      </c>
      <c r="K8" t="n">
        <v>90</v>
      </c>
      <c r="L8" t="inlineStr">
        <is>
          <t>1 November 2026</t>
        </is>
      </c>
      <c r="M8" t="inlineStr">
        <is>
          <t>Konstruksi Bangunan Sipil Jalan</t>
        </is>
      </c>
      <c r="N8" t="inlineStr">
        <is>
          <t>M</t>
        </is>
      </c>
      <c r="O8" t="inlineStr">
        <is>
          <t>20231010</t>
        </is>
      </c>
      <c r="P8" t="inlineStr">
        <is>
          <t>Jawa Barat</t>
        </is>
      </c>
      <c r="Q8" s="3">
        <f>HYPERLINK("https://wa.me/6281287259186?text=Selamat siang Bapak/Ibu pimpinan MANUNGGAL JASA KONTRUKSI,%0A%0ASemoga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MUKTI WIJAYA FIBRETECH</t>
        </is>
      </c>
      <c r="B9" t="inlineStr">
        <is>
          <t>Kota Bekasi</t>
        </is>
      </c>
      <c r="C9" t="inlineStr">
        <is>
          <t>081381252715</t>
        </is>
      </c>
      <c r="D9" t="inlineStr">
        <is>
          <t>muktiwijayafibretech@gmail.com</t>
        </is>
      </c>
      <c r="E9" t="inlineStr">
        <is>
          <t>https://lpjk.pu.go.id/search-badan-usaha-detail/S1ZJNmVpZHQ0K1FrQzVXWHNNaDdpQT09</t>
        </is>
      </c>
      <c r="F9" t="n">
        <v>2</v>
      </c>
      <c r="G9" t="inlineStr">
        <is>
          <t>BG009, BS005</t>
        </is>
      </c>
      <c r="H9" t="inlineStr">
        <is>
          <t>26 Januari 2019</t>
        </is>
      </c>
      <c r="I9" s="2" t="n">
        <v>46327</v>
      </c>
      <c r="J9" t="inlineStr">
        <is>
          <t>Disetujui</t>
        </is>
      </c>
      <c r="K9" t="n">
        <v>90</v>
      </c>
      <c r="L9" t="inlineStr">
        <is>
          <t>1 November 2026</t>
        </is>
      </c>
      <c r="M9" t="inlineStr">
        <is>
          <t>Konstruksi Bangunan Sipil Pengolahan Air Bersih, Konstruksi Gedung Lainnya</t>
        </is>
      </c>
      <c r="N9" t="inlineStr">
        <is>
          <t>K</t>
        </is>
      </c>
      <c r="O9" t="inlineStr">
        <is>
          <t>20231102</t>
        </is>
      </c>
      <c r="P9" t="inlineStr">
        <is>
          <t>Jawa Barat</t>
        </is>
      </c>
      <c r="Q9" s="3">
        <f>HYPERLINK("https://wa.me/6281381252715?text=Selamat siang Bapak/Ibu pimpinan MUKTI WIJAYA FIBRETECH,%0A%0ASemoga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PESONA GLOBAL TEKNOLOGI</t>
        </is>
      </c>
      <c r="B10" t="inlineStr">
        <is>
          <t>Kota Bekasi</t>
        </is>
      </c>
      <c r="C10" t="inlineStr">
        <is>
          <t>082123244255</t>
        </is>
      </c>
      <c r="D10" t="inlineStr">
        <is>
          <t>pesonaglobalteknologi@gmail.com</t>
        </is>
      </c>
      <c r="E10" t="inlineStr">
        <is>
          <t>https://lpjk.pu.go.id/search-badan-usaha-detail/ZGRyZFZhbXZoUDh6SGV5OXl5UnZGZz09</t>
        </is>
      </c>
      <c r="F10" t="n">
        <v>1</v>
      </c>
      <c r="G10" t="inlineStr">
        <is>
          <t>BS008</t>
        </is>
      </c>
      <c r="H10" t="inlineStr">
        <is>
          <t>15 Juli 2014</t>
        </is>
      </c>
      <c r="I10" s="2" t="n">
        <v>46327</v>
      </c>
      <c r="J10" t="inlineStr">
        <is>
          <t>Disetujui</t>
        </is>
      </c>
      <c r="K10" t="n">
        <v>90</v>
      </c>
      <c r="L10" t="inlineStr">
        <is>
          <t>1 November 2026</t>
        </is>
      </c>
      <c r="M10" t="inlineStr">
        <is>
          <t>Konstruksi Bangunan Sipil Telekomunikasi untuk Prasarana Transportasi</t>
        </is>
      </c>
      <c r="N10" t="inlineStr">
        <is>
          <t>M</t>
        </is>
      </c>
      <c r="O10" t="inlineStr">
        <is>
          <t>20231026</t>
        </is>
      </c>
      <c r="P10" t="inlineStr">
        <is>
          <t>Jawa Barat</t>
        </is>
      </c>
      <c r="Q10" s="3">
        <f>HYPERLINK("https://wa.me/6282123244255?text=Selamat siang Bapak/Ibu pimpinan PESONA GLOBAL TEKNOLOGI,%0A%0ASemoga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PUTRA BUANA MANDIRI</t>
        </is>
      </c>
      <c r="B11" t="inlineStr">
        <is>
          <t>Kota Bekasi</t>
        </is>
      </c>
      <c r="C11" t="inlineStr">
        <is>
          <t>085310133899</t>
        </is>
      </c>
      <c r="D11" t="inlineStr">
        <is>
          <t>cvputrabuanamandiri2019@gmail.com</t>
        </is>
      </c>
      <c r="E11" t="inlineStr">
        <is>
          <t>https://lpjk.pu.go.id/search-badan-usaha-detail/TWRrUmo5VUZLenE1Ni9TcGcySFQ0UT09</t>
        </is>
      </c>
      <c r="F11" t="n">
        <v>1</v>
      </c>
      <c r="G11" t="inlineStr">
        <is>
          <t>BS002</t>
        </is>
      </c>
      <c r="H11" t="inlineStr">
        <is>
          <t>6 Maret 2019</t>
        </is>
      </c>
      <c r="I11" s="2" t="n">
        <v>46327</v>
      </c>
      <c r="J11" t="inlineStr">
        <is>
          <t>Pencabutan</t>
        </is>
      </c>
      <c r="K11" t="n">
        <v>90</v>
      </c>
      <c r="L11" t="inlineStr">
        <is>
          <t>1 November 2026</t>
        </is>
      </c>
      <c r="M11" t="inlineStr">
        <is>
          <t>Bangunan Sipil Jembatan, Jalan Layang, Fly Over, dan Underpass</t>
        </is>
      </c>
      <c r="N11" t="inlineStr">
        <is>
          <t>K</t>
        </is>
      </c>
      <c r="O11" t="inlineStr">
        <is>
          <t>20231023</t>
        </is>
      </c>
      <c r="P11" t="inlineStr">
        <is>
          <t>Jawa Barat</t>
        </is>
      </c>
      <c r="Q11" s="3">
        <f>HYPERLINK("https://wa.me/6285310133899?text=Selamat siang Bapak/Ibu pimpinan PUTRA BUANA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REKA YASA DINAMIKA</t>
        </is>
      </c>
      <c r="B12" t="inlineStr">
        <is>
          <t>Kota Bekasi</t>
        </is>
      </c>
      <c r="C12" t="inlineStr">
        <is>
          <t>0218457836</t>
        </is>
      </c>
      <c r="D12" t="inlineStr">
        <is>
          <t>pt_rekayasa_dinamika@yahoo.com</t>
        </is>
      </c>
      <c r="E12" t="inlineStr">
        <is>
          <t>https://lpjk.pu.go.id/search-badan-usaha-detail/WWNCZkNVQkd5UEdGa0h3dmZQMXg2dz09</t>
        </is>
      </c>
      <c r="F12" t="n">
        <v>1</v>
      </c>
      <c r="G12" t="inlineStr">
        <is>
          <t>AR001</t>
        </is>
      </c>
      <c r="H12" t="inlineStr">
        <is>
          <t>2 Juni 2021</t>
        </is>
      </c>
      <c r="I12" s="2" t="n">
        <v>46327</v>
      </c>
      <c r="J12" t="inlineStr">
        <is>
          <t>Disetujui</t>
        </is>
      </c>
      <c r="K12" t="n">
        <v>90</v>
      </c>
      <c r="L12" t="inlineStr">
        <is>
          <t>1 November 2026</t>
        </is>
      </c>
      <c r="M12" t="inlineStr">
        <is>
          <t>Jasa Arsitektural Bangunan Gedung Hunian dan Non Hunian</t>
        </is>
      </c>
      <c r="N12" t="inlineStr">
        <is>
          <t>K</t>
        </is>
      </c>
      <c r="O12" t="inlineStr">
        <is>
          <t>20231028</t>
        </is>
      </c>
      <c r="P12" t="inlineStr">
        <is>
          <t>Jawa Barat</t>
        </is>
      </c>
      <c r="Q12" t="inlineStr"/>
    </row>
    <row r="13">
      <c r="A13" t="inlineStr">
        <is>
          <t>UNGGUL SOKAJA</t>
        </is>
      </c>
      <c r="B13" t="inlineStr">
        <is>
          <t>Kota Adm. Jakarta Timur</t>
        </is>
      </c>
      <c r="C13" t="inlineStr">
        <is>
          <t>081293438687</t>
        </is>
      </c>
      <c r="D13" t="inlineStr">
        <is>
          <t>unggul_sokaja@yahoo.com</t>
        </is>
      </c>
      <c r="E13" t="inlineStr">
        <is>
          <t>https://lpjk.pu.go.id/search-badan-usaha-detail/d1pqQ2lWcW5XdWdjMDR4Ri9FbkNaQT09</t>
        </is>
      </c>
      <c r="F13" t="n">
        <v>1</v>
      </c>
      <c r="G13" t="inlineStr">
        <is>
          <t>BG001</t>
        </is>
      </c>
      <c r="H13" t="inlineStr">
        <is>
          <t>28 Februari 2013</t>
        </is>
      </c>
      <c r="I13" s="2" t="n">
        <v>46327</v>
      </c>
      <c r="J13" t="inlineStr">
        <is>
          <t>Disetujui</t>
        </is>
      </c>
      <c r="K13" t="n">
        <v>90</v>
      </c>
      <c r="L13" t="inlineStr">
        <is>
          <t>1 November 2026</t>
        </is>
      </c>
      <c r="M13" t="inlineStr">
        <is>
          <t>Konstruksi Gedung Hunian</t>
        </is>
      </c>
      <c r="N13" t="inlineStr">
        <is>
          <t>M</t>
        </is>
      </c>
      <c r="O13" t="inlineStr">
        <is>
          <t>20231023</t>
        </is>
      </c>
      <c r="P13" t="inlineStr">
        <is>
          <t>DKI Jakarta</t>
        </is>
      </c>
      <c r="Q13" s="3">
        <f>HYPERLINK("https://wa.me/6281293438687?text=Selamat siang Bapak/Ibu pimpinan UNGGUL SOKAJA,%0A%0ASemoga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ABHISAR NAWASENA</t>
        </is>
      </c>
      <c r="B14" t="inlineStr">
        <is>
          <t>Kab. Kediri</t>
        </is>
      </c>
      <c r="C14" t="inlineStr">
        <is>
          <t>081325887877</t>
        </is>
      </c>
      <c r="D14" t="inlineStr">
        <is>
          <t>cv.abhisarnawasena@gmail.com</t>
        </is>
      </c>
      <c r="E14" t="inlineStr">
        <is>
          <t>https://lpjk.pu.go.id/search-badan-usaha-detail/ZUFZalV6MHZlaGt5OUZlcUN1aDlwZz09</t>
        </is>
      </c>
      <c r="F14" t="n">
        <v>1</v>
      </c>
      <c r="G14" t="inlineStr">
        <is>
          <t>RK001</t>
        </is>
      </c>
      <c r="H14" t="inlineStr">
        <is>
          <t>23 Mei 2023</t>
        </is>
      </c>
      <c r="I14" s="2" t="n">
        <v>46327</v>
      </c>
      <c r="J14" t="inlineStr">
        <is>
          <t>Disetujui</t>
        </is>
      </c>
      <c r="K14" t="n">
        <v>90</v>
      </c>
      <c r="L14" t="inlineStr">
        <is>
          <t>1 November 2026</t>
        </is>
      </c>
      <c r="M14" t="inlineStr">
        <is>
          <t>Jasa Rekayasa Konstruksi Bangunan Gedung Hunian dan Non Hunian</t>
        </is>
      </c>
      <c r="N14" t="inlineStr">
        <is>
          <t>K</t>
        </is>
      </c>
      <c r="O14" t="inlineStr">
        <is>
          <t>20231030</t>
        </is>
      </c>
      <c r="P14" t="inlineStr">
        <is>
          <t>Jawa Timur</t>
        </is>
      </c>
      <c r="Q14" t="inlineStr"/>
    </row>
    <row r="15">
      <c r="A15" t="inlineStr">
        <is>
          <t>ADHIPATI</t>
        </is>
      </c>
      <c r="B15" t="inlineStr">
        <is>
          <t>Kab. Kuningan</t>
        </is>
      </c>
      <c r="C15" t="inlineStr">
        <is>
          <t>08112341238</t>
        </is>
      </c>
      <c r="D15" t="inlineStr">
        <is>
          <t>adhipaticv@gmail.com95</t>
        </is>
      </c>
      <c r="E15" t="inlineStr">
        <is>
          <t>https://lpjk.pu.go.id/search-badan-usaha-detail/Uzd4YW5mbWtrU005VTFTVi9Nd2pFZz09</t>
        </is>
      </c>
      <c r="F15" t="n">
        <v>2</v>
      </c>
      <c r="G15" t="inlineStr">
        <is>
          <t>BS005</t>
        </is>
      </c>
      <c r="H15" t="inlineStr">
        <is>
          <t>10 Agustus 2020</t>
        </is>
      </c>
      <c r="I15" s="2" t="n">
        <v>46327</v>
      </c>
      <c r="J15" t="inlineStr">
        <is>
          <t>Disetujui</t>
        </is>
      </c>
      <c r="K15" t="n">
        <v>90</v>
      </c>
      <c r="L15" t="inlineStr">
        <is>
          <t>1 November 2026</t>
        </is>
      </c>
      <c r="M15" t="inlineStr">
        <is>
          <t>Konstruksi Bangunan Sipil Pengolahan Air Bersih</t>
        </is>
      </c>
      <c r="N15" t="inlineStr">
        <is>
          <t>K</t>
        </is>
      </c>
      <c r="O15" t="inlineStr">
        <is>
          <t>20231101</t>
        </is>
      </c>
      <c r="P15" t="inlineStr">
        <is>
          <t>Jawa Barat</t>
        </is>
      </c>
      <c r="Q15" t="inlineStr"/>
    </row>
    <row r="16">
      <c r="A16" t="inlineStr">
        <is>
          <t>ADIDAYA GLOBAL ABADI</t>
        </is>
      </c>
      <c r="B16" t="inlineStr">
        <is>
          <t>Kab. Majalengka</t>
        </is>
      </c>
      <c r="C16" t="inlineStr">
        <is>
          <t>085523553526</t>
        </is>
      </c>
      <c r="D16" t="inlineStr">
        <is>
          <t>adidayaglobalabadi@gmail.com</t>
        </is>
      </c>
      <c r="E16" t="inlineStr">
        <is>
          <t>https://lpjk.pu.go.id/search-badan-usaha-detail/d0RWOGVNVDFGY2lERzZ4VnhKcVpDQT09</t>
        </is>
      </c>
      <c r="F16" t="n">
        <v>1</v>
      </c>
      <c r="G16" t="inlineStr">
        <is>
          <t>BG009</t>
        </is>
      </c>
      <c r="H16" t="inlineStr">
        <is>
          <t>3 Oktober 2019</t>
        </is>
      </c>
      <c r="I16" s="2" t="n">
        <v>46327</v>
      </c>
      <c r="J16" t="inlineStr">
        <is>
          <t>Disetujui</t>
        </is>
      </c>
      <c r="K16" t="n">
        <v>90</v>
      </c>
      <c r="L16" t="inlineStr">
        <is>
          <t>1 November 2026</t>
        </is>
      </c>
      <c r="M16" t="inlineStr">
        <is>
          <t>Konstruksi Gedung Lainnya</t>
        </is>
      </c>
      <c r="N16" t="inlineStr">
        <is>
          <t>K</t>
        </is>
      </c>
      <c r="O16" t="inlineStr">
        <is>
          <t>20231101</t>
        </is>
      </c>
      <c r="P16" t="inlineStr">
        <is>
          <t>Jawa Barat</t>
        </is>
      </c>
      <c r="Q16" t="inlineStr"/>
    </row>
    <row r="17">
      <c r="A17" t="inlineStr">
        <is>
          <t>ADISAPUTRA ABADI</t>
        </is>
      </c>
      <c r="B17" t="inlineStr">
        <is>
          <t>Kota Ternate</t>
        </is>
      </c>
      <c r="C17" t="inlineStr">
        <is>
          <t>081243179950</t>
        </is>
      </c>
      <c r="D17" t="inlineStr">
        <is>
          <t>pebrianty14fir@gmail.com</t>
        </is>
      </c>
      <c r="E17" t="inlineStr">
        <is>
          <t>https://lpjk.pu.go.id/search-badan-usaha-detail/RXNqUjk3dVBJb2JsYnhmanpBQ0pzdz09</t>
        </is>
      </c>
      <c r="F17" t="n">
        <v>2</v>
      </c>
      <c r="G17" t="inlineStr">
        <is>
          <t>BG002, BG006</t>
        </is>
      </c>
      <c r="H17" t="inlineStr">
        <is>
          <t>3 Juni 2009</t>
        </is>
      </c>
      <c r="I17" s="2" t="n">
        <v>46327</v>
      </c>
      <c r="J17" t="inlineStr">
        <is>
          <t>Disetujui</t>
        </is>
      </c>
      <c r="K17" t="n">
        <v>90</v>
      </c>
      <c r="L17" t="inlineStr">
        <is>
          <t>1 November 2026</t>
        </is>
      </c>
      <c r="M17" t="inlineStr">
        <is>
          <t>Konstruksi Gedung Pendidikan, Konstruksi Gedung Perkantoran</t>
        </is>
      </c>
      <c r="N17" t="inlineStr">
        <is>
          <t>K</t>
        </is>
      </c>
      <c r="O17" t="inlineStr">
        <is>
          <t>20231031</t>
        </is>
      </c>
      <c r="P17" t="inlineStr">
        <is>
          <t>Maluku Utara</t>
        </is>
      </c>
      <c r="Q17" t="inlineStr"/>
    </row>
    <row r="18">
      <c r="A18" t="inlineStr">
        <is>
          <t>ADITYA SANUBARI</t>
        </is>
      </c>
      <c r="B18" t="inlineStr">
        <is>
          <t>Kab. Sukabumi</t>
        </is>
      </c>
      <c r="C18" t="inlineStr">
        <is>
          <t>081389323792</t>
        </is>
      </c>
      <c r="D18" t="inlineStr">
        <is>
          <t>adityasanubaricv@gmail.com</t>
        </is>
      </c>
      <c r="E18" t="inlineStr">
        <is>
          <t>https://lpjk.pu.go.id/search-badan-usaha-detail/RnhlenpINmFXRUFqTytmRmw1aDZ6Zz09</t>
        </is>
      </c>
      <c r="F18" t="n">
        <v>3</v>
      </c>
      <c r="G18" t="inlineStr">
        <is>
          <t>BG009, BS001, BS004</t>
        </is>
      </c>
      <c r="H18" t="inlineStr">
        <is>
          <t>7 Januari 2010</t>
        </is>
      </c>
      <c r="I18" s="2" t="n">
        <v>46327</v>
      </c>
      <c r="J18" t="inlineStr">
        <is>
          <t>Disetujui</t>
        </is>
      </c>
      <c r="K18" t="n">
        <v>90</v>
      </c>
      <c r="L18" t="inlineStr">
        <is>
          <t>1 November 2026</t>
        </is>
      </c>
      <c r="M18" t="inlineStr">
        <is>
          <t>Konstruksi Bangunan Sipil Jalan, Konstruksi Gedung Lainnya, Konstruksi Jaringan Irigasi dan Drainase</t>
        </is>
      </c>
      <c r="N18" t="inlineStr">
        <is>
          <t>K</t>
        </is>
      </c>
      <c r="O18" t="inlineStr">
        <is>
          <t>20231026</t>
        </is>
      </c>
      <c r="P18" t="inlineStr">
        <is>
          <t>Jawa Barat</t>
        </is>
      </c>
      <c r="Q18" t="inlineStr"/>
    </row>
    <row r="19">
      <c r="A19" t="inlineStr">
        <is>
          <t>AGAM ANAK NEGERI</t>
        </is>
      </c>
      <c r="B19" t="inlineStr">
        <is>
          <t>Kab. Trenggalek</t>
        </is>
      </c>
      <c r="C19" t="inlineStr">
        <is>
          <t>082137624395</t>
        </is>
      </c>
      <c r="D19" t="inlineStr">
        <is>
          <t>cvagamanaknegeri@gmail.com</t>
        </is>
      </c>
      <c r="E19" t="inlineStr">
        <is>
          <t>https://lpjk.pu.go.id/search-badan-usaha-detail/MmxXTDVsMy9ab3dkVnhBRXpnNTlrQT09</t>
        </is>
      </c>
      <c r="F19" t="n">
        <v>1</v>
      </c>
      <c r="G19" t="inlineStr">
        <is>
          <t>BS001</t>
        </is>
      </c>
      <c r="H19" t="inlineStr">
        <is>
          <t>13 Oktober 2023</t>
        </is>
      </c>
      <c r="I19" s="2" t="n">
        <v>46327</v>
      </c>
      <c r="J19" t="inlineStr">
        <is>
          <t>Disetujui</t>
        </is>
      </c>
      <c r="K19" t="n">
        <v>90</v>
      </c>
      <c r="L19" t="inlineStr">
        <is>
          <t>1 November 2026</t>
        </is>
      </c>
      <c r="M19" t="inlineStr">
        <is>
          <t>Konstruksi Bangunan Sipil Jalan</t>
        </is>
      </c>
      <c r="N19" t="inlineStr">
        <is>
          <t>K</t>
        </is>
      </c>
      <c r="O19" t="inlineStr">
        <is>
          <t>20231102</t>
        </is>
      </c>
      <c r="P19" t="inlineStr">
        <is>
          <t>Jawa Timur</t>
        </is>
      </c>
      <c r="Q19" t="inlineStr"/>
    </row>
    <row r="20">
      <c r="A20" t="inlineStr">
        <is>
          <t>AGENG SUKSES</t>
        </is>
      </c>
      <c r="B20" t="inlineStr">
        <is>
          <t>Kota Surabaya</t>
        </is>
      </c>
      <c r="C20" t="inlineStr">
        <is>
          <t>082228954343</t>
        </is>
      </c>
      <c r="D20" t="inlineStr">
        <is>
          <t>agengkonsultan.sby@gmail.com</t>
        </is>
      </c>
      <c r="E20" t="inlineStr">
        <is>
          <t>https://lpjk.pu.go.id/search-badan-usaha-detail/TmJrWVFzaHVGMFZ6MWY1WXYyTFJuQT09</t>
        </is>
      </c>
      <c r="F20" t="n">
        <v>1</v>
      </c>
      <c r="G20" t="inlineStr">
        <is>
          <t>RT002</t>
        </is>
      </c>
      <c r="H20" t="inlineStr">
        <is>
          <t>7 Maret 2012</t>
        </is>
      </c>
      <c r="I20" s="2" t="n">
        <v>46327</v>
      </c>
      <c r="J20" t="inlineStr">
        <is>
          <t>Disetujui</t>
        </is>
      </c>
      <c r="K20" t="n">
        <v>90</v>
      </c>
      <c r="L20" t="inlineStr">
        <is>
          <t>1 November 2026</t>
        </is>
      </c>
      <c r="M20" t="inlineStr">
        <is>
          <t>Jasa Rekayasa Konstruksi Pembangkit, Jaringan Transmisi, Gardu Induk, dan Distribusi Tenaga Listrik</t>
        </is>
      </c>
      <c r="N20" t="inlineStr">
        <is>
          <t>K</t>
        </is>
      </c>
      <c r="O20" t="inlineStr">
        <is>
          <t>20231026</t>
        </is>
      </c>
      <c r="P20" t="inlineStr">
        <is>
          <t>Jawa Timur</t>
        </is>
      </c>
      <c r="Q20" t="inlineStr"/>
    </row>
    <row r="21">
      <c r="A21" t="inlineStr">
        <is>
          <t>AJI PILAR PERKASA</t>
        </is>
      </c>
      <c r="B21" t="inlineStr">
        <is>
          <t>Kota Semarang</t>
        </is>
      </c>
      <c r="C21" t="inlineStr">
        <is>
          <t>085747284799</t>
        </is>
      </c>
      <c r="D21" t="inlineStr">
        <is>
          <t>ajipilar_perkasa@yahoo.com</t>
        </is>
      </c>
      <c r="E21" t="inlineStr">
        <is>
          <t>https://lpjk.pu.go.id/search-badan-usaha-detail/L2xjRXJXUHBHbXBxd2pOc3pBSkNuUT09</t>
        </is>
      </c>
      <c r="F21" t="n">
        <v>2</v>
      </c>
      <c r="G21" t="inlineStr">
        <is>
          <t>BS001, BS004</t>
        </is>
      </c>
      <c r="H21" t="inlineStr">
        <is>
          <t>18 November 2016</t>
        </is>
      </c>
      <c r="I21" s="2" t="n">
        <v>46327</v>
      </c>
      <c r="J21" t="inlineStr">
        <is>
          <t>Disetujui</t>
        </is>
      </c>
      <c r="K21" t="n">
        <v>90</v>
      </c>
      <c r="L21" t="inlineStr">
        <is>
          <t>1 November 2026</t>
        </is>
      </c>
      <c r="M21" t="inlineStr">
        <is>
          <t>Konstruksi Bangunan Sipil Jalan, Konstruksi Jaringan Irigasi dan Drainase</t>
        </is>
      </c>
      <c r="N21" t="inlineStr">
        <is>
          <t>K</t>
        </is>
      </c>
      <c r="O21" t="inlineStr">
        <is>
          <t>20231024, 20231031</t>
        </is>
      </c>
      <c r="P21" t="inlineStr">
        <is>
          <t>Jawa Tengah</t>
        </is>
      </c>
      <c r="Q21" t="inlineStr"/>
    </row>
    <row r="22">
      <c r="A22" t="inlineStr">
        <is>
          <t>AKUSARA KARYA BESTARI BAROKAH</t>
        </is>
      </c>
      <c r="B22" t="inlineStr">
        <is>
          <t>Kab. Kutai Kartanegara</t>
        </is>
      </c>
      <c r="C22" t="inlineStr">
        <is>
          <t>083127361170</t>
        </is>
      </c>
      <c r="D22" t="inlineStr">
        <is>
          <t>akusarabestari@gmail.com</t>
        </is>
      </c>
      <c r="E22" t="inlineStr">
        <is>
          <t>https://lpjk.pu.go.id/search-badan-usaha-detail/czRtQUhaM1UvdTBveGJUK1lYUHQ0Zz09</t>
        </is>
      </c>
      <c r="F22" t="n">
        <v>1</v>
      </c>
      <c r="G22" t="inlineStr">
        <is>
          <t>BS001</t>
        </is>
      </c>
      <c r="H22" t="inlineStr">
        <is>
          <t>26 September 2022</t>
        </is>
      </c>
      <c r="I22" s="2" t="n">
        <v>46327</v>
      </c>
      <c r="J22" t="inlineStr">
        <is>
          <t>Pencabutan</t>
        </is>
      </c>
      <c r="K22" t="n">
        <v>90</v>
      </c>
      <c r="L22" t="inlineStr">
        <is>
          <t>1 November 2026</t>
        </is>
      </c>
      <c r="M22" t="inlineStr">
        <is>
          <t>Konstruksi Bangunan Sipil Jalan</t>
        </is>
      </c>
      <c r="N22" t="inlineStr">
        <is>
          <t>K</t>
        </is>
      </c>
      <c r="O22" t="inlineStr">
        <is>
          <t>20231026</t>
        </is>
      </c>
      <c r="P22" t="inlineStr">
        <is>
          <t>Kalimantan Timur</t>
        </is>
      </c>
      <c r="Q22" t="inlineStr"/>
    </row>
    <row r="23">
      <c r="A23" t="inlineStr">
        <is>
          <t>ALSHADIK KARYA</t>
        </is>
      </c>
      <c r="B23" t="inlineStr">
        <is>
          <t>Kab. Solok</t>
        </is>
      </c>
      <c r="C23" t="inlineStr">
        <is>
          <t>082343819591</t>
        </is>
      </c>
      <c r="D23" t="inlineStr">
        <is>
          <t>alshadik.karya@gmail.com</t>
        </is>
      </c>
      <c r="E23" t="inlineStr">
        <is>
          <t>https://lpjk.pu.go.id/search-badan-usaha-detail/M3pGL2htTElKOEhTWkhta3Fwa2pXZz09</t>
        </is>
      </c>
      <c r="F23" t="n">
        <v>1</v>
      </c>
      <c r="G23" t="inlineStr">
        <is>
          <t>BG004</t>
        </is>
      </c>
      <c r="H23" t="inlineStr">
        <is>
          <t>4 September 2020</t>
        </is>
      </c>
      <c r="I23" s="2" t="n">
        <v>46327</v>
      </c>
      <c r="J23" t="inlineStr">
        <is>
          <t>Pencabutan</t>
        </is>
      </c>
      <c r="K23" t="n">
        <v>90</v>
      </c>
      <c r="L23" t="inlineStr">
        <is>
          <t>1 November 2026</t>
        </is>
      </c>
      <c r="M23" t="inlineStr">
        <is>
          <t>Konstruksi Gedung Perbelanjaan</t>
        </is>
      </c>
      <c r="N23" t="inlineStr">
        <is>
          <t>K</t>
        </is>
      </c>
      <c r="O23" t="inlineStr">
        <is>
          <t>20231026</t>
        </is>
      </c>
      <c r="P23" t="inlineStr">
        <is>
          <t>Sumatera Barat</t>
        </is>
      </c>
      <c r="Q23" t="inlineStr"/>
    </row>
    <row r="24">
      <c r="A24" t="inlineStr">
        <is>
          <t>AMANDA NUSANTARA</t>
        </is>
      </c>
      <c r="B24" t="inlineStr">
        <is>
          <t>Kota Banjarmasin</t>
        </is>
      </c>
      <c r="C24" t="inlineStr">
        <is>
          <t>082149912511</t>
        </is>
      </c>
      <c r="D24" t="inlineStr">
        <is>
          <t>cv.amandanusantara76@gmail.com</t>
        </is>
      </c>
      <c r="E24" t="inlineStr">
        <is>
          <t>https://lpjk.pu.go.id/search-badan-usaha-detail/SG1ET29jU2xBSTBNY3VIR3dFbFRiUT09</t>
        </is>
      </c>
      <c r="F24" t="n">
        <v>4</v>
      </c>
      <c r="G24" t="inlineStr">
        <is>
          <t>RK001, RK003</t>
        </is>
      </c>
      <c r="H24" t="inlineStr">
        <is>
          <t>23 November 1999</t>
        </is>
      </c>
      <c r="I24" s="2" t="n">
        <v>46327</v>
      </c>
      <c r="J24" t="inlineStr">
        <is>
          <t>Disetujui</t>
        </is>
      </c>
      <c r="K24" t="n">
        <v>90</v>
      </c>
      <c r="L24" t="inlineStr">
        <is>
          <t>1 November 2026</t>
        </is>
      </c>
      <c r="M24" t="inlineStr">
        <is>
          <t>Jasa Rekayasa Konstruksi Bangunan Gedung Hunian dan Non Hunian, Jasa Rekayasa Pekerjaan Teknik Sipil Transportasi</t>
        </is>
      </c>
      <c r="N24" t="inlineStr">
        <is>
          <t>K</t>
        </is>
      </c>
      <c r="O24" t="inlineStr">
        <is>
          <t>20231027</t>
        </is>
      </c>
      <c r="P24" t="inlineStr">
        <is>
          <t>Kalimantan Selatan</t>
        </is>
      </c>
      <c r="Q24" t="inlineStr"/>
    </row>
    <row r="25">
      <c r="A25" t="inlineStr">
        <is>
          <t>AMIRA</t>
        </is>
      </c>
      <c r="B25" t="inlineStr">
        <is>
          <t>Kab. Bolaang Mongondow Utara</t>
        </is>
      </c>
      <c r="C25" t="inlineStr">
        <is>
          <t>085399503780</t>
        </is>
      </c>
      <c r="D25" t="inlineStr">
        <is>
          <t>cv.amira69@gmail.com</t>
        </is>
      </c>
      <c r="E25" t="inlineStr">
        <is>
          <t>https://lpjk.pu.go.id/search-badan-usaha-detail/bWdkQmVaQklBRlQxSTA5NzlKY0kwUT09</t>
        </is>
      </c>
      <c r="F25" t="n">
        <v>1</v>
      </c>
      <c r="G25" t="inlineStr">
        <is>
          <t>BS001</t>
        </is>
      </c>
      <c r="H25" t="inlineStr">
        <is>
          <t>27 Januari 2010</t>
        </is>
      </c>
      <c r="I25" s="2" t="n">
        <v>46327</v>
      </c>
      <c r="J25" t="inlineStr">
        <is>
          <t>Pencabutan</t>
        </is>
      </c>
      <c r="K25" t="n">
        <v>90</v>
      </c>
      <c r="L25" t="inlineStr">
        <is>
          <t>1 November 2026</t>
        </is>
      </c>
      <c r="M25" t="inlineStr">
        <is>
          <t>Konstruksi Bangunan Sipil Jalan</t>
        </is>
      </c>
      <c r="N25" t="inlineStr">
        <is>
          <t>K</t>
        </is>
      </c>
      <c r="O25" t="inlineStr">
        <is>
          <t>20230629</t>
        </is>
      </c>
      <c r="P25" t="inlineStr">
        <is>
          <t>Sulawesi Utara</t>
        </is>
      </c>
      <c r="Q25" t="inlineStr"/>
    </row>
    <row r="26">
      <c r="A26" t="inlineStr">
        <is>
          <t>AMMAR FATIH</t>
        </is>
      </c>
      <c r="B26" t="inlineStr">
        <is>
          <t>Kab. Paser</t>
        </is>
      </c>
      <c r="C26" t="inlineStr">
        <is>
          <t>082324256218</t>
        </is>
      </c>
      <c r="D26" t="inlineStr">
        <is>
          <t>cv.ammarfatih1@gmail.com</t>
        </is>
      </c>
      <c r="E26" t="inlineStr">
        <is>
          <t>https://lpjk.pu.go.id/search-badan-usaha-detail/di8vUU0yM1FrU2QrSkdwaE1zK2JFdz09</t>
        </is>
      </c>
      <c r="F26" t="n">
        <v>1</v>
      </c>
      <c r="G26" t="inlineStr">
        <is>
          <t>RK003</t>
        </is>
      </c>
      <c r="H26" t="inlineStr">
        <is>
          <t>30 Desember 2021</t>
        </is>
      </c>
      <c r="I26" s="2" t="n">
        <v>46327</v>
      </c>
      <c r="J26" t="inlineStr">
        <is>
          <t>Disetujui</t>
        </is>
      </c>
      <c r="K26" t="n">
        <v>90</v>
      </c>
      <c r="L26" t="inlineStr">
        <is>
          <t>1 November 2026</t>
        </is>
      </c>
      <c r="M26" t="inlineStr">
        <is>
          <t>Jasa Rekayasa Pekerjaan Teknik Sipil Transportasi</t>
        </is>
      </c>
      <c r="N26" t="inlineStr">
        <is>
          <t>K</t>
        </is>
      </c>
      <c r="O26" t="inlineStr">
        <is>
          <t>20231030</t>
        </is>
      </c>
      <c r="P26" t="inlineStr">
        <is>
          <t>Kalimantan Timur</t>
        </is>
      </c>
      <c r="Q26" t="inlineStr"/>
    </row>
    <row r="27">
      <c r="A27" t="inlineStr">
        <is>
          <t>ANUGERAH CIPTA KARYA</t>
        </is>
      </c>
      <c r="B27" t="inlineStr">
        <is>
          <t>Kota Palu</t>
        </is>
      </c>
      <c r="C27" t="inlineStr">
        <is>
          <t>082225889999</t>
        </is>
      </c>
      <c r="D27" t="inlineStr">
        <is>
          <t>pt.anugrahciptakarya@gmail.com</t>
        </is>
      </c>
      <c r="E27" t="inlineStr">
        <is>
          <t>https://lpjk.pu.go.id/search-badan-usaha-detail/b3ZEME1DbC9yLytnWlI3azRMOEVYQT09</t>
        </is>
      </c>
      <c r="F27" t="n">
        <v>1</v>
      </c>
      <c r="G27" t="inlineStr">
        <is>
          <t>BS001</t>
        </is>
      </c>
      <c r="H27" t="inlineStr">
        <is>
          <t>26 Mei 2006</t>
        </is>
      </c>
      <c r="I27" s="2" t="n">
        <v>46327</v>
      </c>
      <c r="J27" t="inlineStr">
        <is>
          <t>Disetujui</t>
        </is>
      </c>
      <c r="K27" t="n">
        <v>90</v>
      </c>
      <c r="L27" t="inlineStr">
        <is>
          <t>1 November 2026</t>
        </is>
      </c>
      <c r="M27" t="inlineStr">
        <is>
          <t>Konstruksi Bangunan Sipil Jalan</t>
        </is>
      </c>
      <c r="N27" t="inlineStr">
        <is>
          <t>K</t>
        </is>
      </c>
      <c r="O27" t="inlineStr">
        <is>
          <t>20231031</t>
        </is>
      </c>
      <c r="P27" t="inlineStr">
        <is>
          <t>Sulawesi Tengah</t>
        </is>
      </c>
      <c r="Q27" t="inlineStr"/>
    </row>
    <row r="28">
      <c r="A28" t="inlineStr">
        <is>
          <t>ANUGRAH WIJAYA PERKASA</t>
        </is>
      </c>
      <c r="B28" t="inlineStr">
        <is>
          <t>Kota Pangkal Pinang</t>
        </is>
      </c>
      <c r="C28" t="inlineStr">
        <is>
          <t>085374448882</t>
        </is>
      </c>
      <c r="D28" t="inlineStr">
        <is>
          <t>anugrahwijayaperkasa23@gmail.com</t>
        </is>
      </c>
      <c r="E28" t="inlineStr">
        <is>
          <t>https://lpjk.pu.go.id/search-badan-usaha-detail/MldwWndoeXNPY0xoUFZDMFBDeGVwdz09</t>
        </is>
      </c>
      <c r="F28" t="n">
        <v>2</v>
      </c>
      <c r="G28" t="inlineStr">
        <is>
          <t>BS001</t>
        </is>
      </c>
      <c r="H28" t="inlineStr">
        <is>
          <t>12 Oktober 2023</t>
        </is>
      </c>
      <c r="I28" s="2" t="n">
        <v>46327</v>
      </c>
      <c r="J28" t="inlineStr">
        <is>
          <t>Disetujui</t>
        </is>
      </c>
      <c r="K28" t="n">
        <v>90</v>
      </c>
      <c r="L28" t="inlineStr">
        <is>
          <t>1 November 2026</t>
        </is>
      </c>
      <c r="M28" t="inlineStr">
        <is>
          <t>Konstruksi Bangunan Sipil Jalan</t>
        </is>
      </c>
      <c r="N28" t="inlineStr">
        <is>
          <t>K</t>
        </is>
      </c>
      <c r="O28" t="inlineStr">
        <is>
          <t>20231030</t>
        </is>
      </c>
      <c r="P28" t="inlineStr">
        <is>
          <t>Kepulauan Bangka Belitung</t>
        </is>
      </c>
      <c r="Q28" t="inlineStr"/>
    </row>
    <row r="29">
      <c r="A29" t="inlineStr">
        <is>
          <t>ARA KARYA</t>
        </is>
      </c>
      <c r="B29" t="inlineStr">
        <is>
          <t>Kota Tangerang Selatan</t>
        </is>
      </c>
      <c r="C29" t="inlineStr">
        <is>
          <t>08129929959</t>
        </is>
      </c>
      <c r="D29" t="inlineStr">
        <is>
          <t>arakarya.pt@gmail.com</t>
        </is>
      </c>
      <c r="E29" t="inlineStr">
        <is>
          <t>https://lpjk.pu.go.id/search-badan-usaha-detail/TUJQeHcrSFBRZ3Zsc1BWYkRFNmVMdz09</t>
        </is>
      </c>
      <c r="F29" t="n">
        <v>1</v>
      </c>
      <c r="G29" t="inlineStr">
        <is>
          <t>RK003</t>
        </is>
      </c>
      <c r="H29" t="inlineStr">
        <is>
          <t>8 Agustus 2011</t>
        </is>
      </c>
      <c r="I29" s="2" t="n">
        <v>46327</v>
      </c>
      <c r="J29" t="inlineStr">
        <is>
          <t>Disetujui</t>
        </is>
      </c>
      <c r="K29" t="n">
        <v>90</v>
      </c>
      <c r="L29" t="inlineStr">
        <is>
          <t>1 November 2026</t>
        </is>
      </c>
      <c r="M29" t="inlineStr">
        <is>
          <t>Jasa Rekayasa Pekerjaan Teknik Sipil Transportasi</t>
        </is>
      </c>
      <c r="N29" t="inlineStr">
        <is>
          <t>K</t>
        </is>
      </c>
      <c r="O29" t="inlineStr">
        <is>
          <t>20230921</t>
        </is>
      </c>
      <c r="P29" t="inlineStr">
        <is>
          <t>Banten</t>
        </is>
      </c>
      <c r="Q29" t="inlineStr"/>
    </row>
    <row r="30">
      <c r="A30" t="inlineStr">
        <is>
          <t>ARAFAH ALAM SEJAHTERA</t>
        </is>
      </c>
      <c r="B30" t="inlineStr">
        <is>
          <t>Kota Padang</t>
        </is>
      </c>
      <c r="C30" t="inlineStr">
        <is>
          <t>085265477717</t>
        </is>
      </c>
      <c r="D30" t="inlineStr">
        <is>
          <t>tarinaldihidrat@yahoo.co.id</t>
        </is>
      </c>
      <c r="E30" t="inlineStr">
        <is>
          <t>https://lpjk.pu.go.id/search-badan-usaha-detail/L3FMUjZ1MGRUcDBEV2VoTlplZzEydz09</t>
        </is>
      </c>
      <c r="F30" t="n">
        <v>2</v>
      </c>
      <c r="G30" t="inlineStr">
        <is>
          <t>BG005</t>
        </is>
      </c>
      <c r="H30" t="inlineStr">
        <is>
          <t>16 April 2003</t>
        </is>
      </c>
      <c r="I30" s="2" t="n">
        <v>46327</v>
      </c>
      <c r="J30" t="inlineStr">
        <is>
          <t>Pembekuan</t>
        </is>
      </c>
      <c r="K30" t="n">
        <v>90</v>
      </c>
      <c r="L30" t="inlineStr">
        <is>
          <t>1 November 2026</t>
        </is>
      </c>
      <c r="M30" t="inlineStr">
        <is>
          <t>Konstruksi Gedung Kesehatan</t>
        </is>
      </c>
      <c r="N30" t="inlineStr">
        <is>
          <t>B</t>
        </is>
      </c>
      <c r="O30" t="inlineStr">
        <is>
          <t>20231030</t>
        </is>
      </c>
      <c r="P30" t="inlineStr">
        <is>
          <t>Sumatera Barat</t>
        </is>
      </c>
      <c r="Q30" t="inlineStr"/>
    </row>
    <row r="31">
      <c r="A31" t="inlineStr">
        <is>
          <t>ARKON GLOBAL INDONESIA</t>
        </is>
      </c>
      <c r="B31" t="inlineStr">
        <is>
          <t>Kota Adm. Jakarta Selatan</t>
        </is>
      </c>
      <c r="C31" t="inlineStr">
        <is>
          <t>08129938726</t>
        </is>
      </c>
      <c r="D31" t="inlineStr">
        <is>
          <t>ptarkonglobalindonesia1@gmail.com</t>
        </is>
      </c>
      <c r="E31" t="inlineStr">
        <is>
          <t>https://lpjk.pu.go.id/search-badan-usaha-detail/L294eHJkK0Z1NWxCejF4MVFvMGIrQT09</t>
        </is>
      </c>
      <c r="F31" t="n">
        <v>1</v>
      </c>
      <c r="G31" t="inlineStr">
        <is>
          <t>BS009</t>
        </is>
      </c>
      <c r="H31" t="inlineStr">
        <is>
          <t>7 Februari 2013</t>
        </is>
      </c>
      <c r="I31" s="2" t="n">
        <v>46327</v>
      </c>
      <c r="J31" t="inlineStr">
        <is>
          <t>Disetujui</t>
        </is>
      </c>
      <c r="K31" t="n">
        <v>90</v>
      </c>
      <c r="L31" t="inlineStr">
        <is>
          <t>1 November 2026</t>
        </is>
      </c>
      <c r="M31" t="inlineStr">
        <is>
          <t>Konstruksi Sentral Telekomunikasi</t>
        </is>
      </c>
      <c r="N31" t="inlineStr">
        <is>
          <t>K</t>
        </is>
      </c>
      <c r="O31" t="inlineStr">
        <is>
          <t>20231101</t>
        </is>
      </c>
      <c r="P31" t="inlineStr">
        <is>
          <t>DKI Jakarta</t>
        </is>
      </c>
      <c r="Q31" t="inlineStr"/>
    </row>
    <row r="32">
      <c r="A32" t="inlineStr">
        <is>
          <t>ARMA</t>
        </is>
      </c>
      <c r="B32" t="inlineStr">
        <is>
          <t>Kab. Indragiri Hulu</t>
        </is>
      </c>
      <c r="C32" t="inlineStr">
        <is>
          <t>081381070274</t>
        </is>
      </c>
      <c r="D32" t="inlineStr">
        <is>
          <t>lily.vinci12@gmail.com</t>
        </is>
      </c>
      <c r="E32" t="inlineStr">
        <is>
          <t>https://lpjk.pu.go.id/search-badan-usaha-detail/TFJyQ2k3WEpmbmlvWjBWclcxZFd2Zz09</t>
        </is>
      </c>
      <c r="F32" t="n">
        <v>1</v>
      </c>
      <c r="G32" t="inlineStr">
        <is>
          <t>BS001</t>
        </is>
      </c>
      <c r="H32" t="inlineStr">
        <is>
          <t>27 Oktober 1992</t>
        </is>
      </c>
      <c r="I32" s="2" t="n">
        <v>46327</v>
      </c>
      <c r="J32" t="inlineStr">
        <is>
          <t>Disetujui</t>
        </is>
      </c>
      <c r="K32" t="n">
        <v>90</v>
      </c>
      <c r="L32" t="inlineStr">
        <is>
          <t>1 November 2026</t>
        </is>
      </c>
      <c r="M32" t="inlineStr">
        <is>
          <t>Konstruksi Bangunan Sipil Jalan</t>
        </is>
      </c>
      <c r="N32" t="inlineStr">
        <is>
          <t>K</t>
        </is>
      </c>
      <c r="O32" t="inlineStr">
        <is>
          <t>20231101</t>
        </is>
      </c>
      <c r="P32" t="inlineStr">
        <is>
          <t>Riau</t>
        </is>
      </c>
      <c r="Q32" t="inlineStr"/>
    </row>
    <row r="33">
      <c r="A33" t="inlineStr">
        <is>
          <t>ARMAK SUMBER BAHAGIA</t>
        </is>
      </c>
      <c r="B33" t="inlineStr">
        <is>
          <t>Kota Bandar Lampung</t>
        </is>
      </c>
      <c r="C33" t="inlineStr">
        <is>
          <t>0721240379</t>
        </is>
      </c>
      <c r="D33" t="inlineStr">
        <is>
          <t>armakgroup_asb@yahoo.com</t>
        </is>
      </c>
      <c r="E33" t="inlineStr">
        <is>
          <t>https://lpjk.pu.go.id/search-badan-usaha-detail/V0RVVXNEWjFYZjVhTG1QdUdaRDZ5dz09</t>
        </is>
      </c>
      <c r="F33" t="n">
        <v>1</v>
      </c>
      <c r="G33" t="inlineStr">
        <is>
          <t>BS002</t>
        </is>
      </c>
      <c r="H33" t="inlineStr">
        <is>
          <t>15 Januari 2003</t>
        </is>
      </c>
      <c r="I33" s="2" t="n">
        <v>46327</v>
      </c>
      <c r="J33" t="inlineStr">
        <is>
          <t>Disetujui</t>
        </is>
      </c>
      <c r="K33" t="n">
        <v>90</v>
      </c>
      <c r="L33" t="inlineStr">
        <is>
          <t>1 November 2026</t>
        </is>
      </c>
      <c r="M33" t="inlineStr">
        <is>
          <t>Bangunan Sipil Jembatan, Jalan Layang, Fly Over, dan Underpass</t>
        </is>
      </c>
      <c r="N33" t="inlineStr">
        <is>
          <t>M</t>
        </is>
      </c>
      <c r="O33" t="inlineStr">
        <is>
          <t>20230901</t>
        </is>
      </c>
      <c r="P33" t="inlineStr">
        <is>
          <t>Lampung</t>
        </is>
      </c>
      <c r="Q33" t="inlineStr"/>
    </row>
    <row r="34">
      <c r="A34" t="inlineStr">
        <is>
          <t>ARTHA GEO INTEGRITAS</t>
        </is>
      </c>
      <c r="B34" t="inlineStr">
        <is>
          <t>Kota Adm. Jakarta Utara</t>
        </is>
      </c>
      <c r="C34" t="inlineStr">
        <is>
          <t>081212992168</t>
        </is>
      </c>
      <c r="D34" t="inlineStr">
        <is>
          <t>arthageo.id@gmail.com</t>
        </is>
      </c>
      <c r="E34" t="inlineStr">
        <is>
          <t>https://lpjk.pu.go.id/search-badan-usaha-detail/WVR4U056WkZId1FLc1NxaXRKMXcyUT09</t>
        </is>
      </c>
      <c r="F34" t="n">
        <v>3</v>
      </c>
      <c r="G34" t="inlineStr">
        <is>
          <t>KK001, PL003, PL004</t>
        </is>
      </c>
      <c r="H34" t="inlineStr">
        <is>
          <t>4 Agustus 2020</t>
        </is>
      </c>
      <c r="I34" s="2" t="n">
        <v>46327</v>
      </c>
      <c r="J34" t="inlineStr">
        <is>
          <t>Pembekuan</t>
        </is>
      </c>
      <c r="K34" t="n">
        <v>90</v>
      </c>
      <c r="L34" t="inlineStr">
        <is>
          <t>1 November 2026</t>
        </is>
      </c>
      <c r="M34" t="inlineStr">
        <is>
          <t>Pekerjaan Tanah, Penyiapan Lahan Konstruksi, Pondasi Konstruksi</t>
        </is>
      </c>
      <c r="N34" t="inlineStr">
        <is>
          <t>Spesialis</t>
        </is>
      </c>
      <c r="O34" t="inlineStr">
        <is>
          <t>20231026, 20231030</t>
        </is>
      </c>
      <c r="P34" t="inlineStr">
        <is>
          <t>DKI Jakarta</t>
        </is>
      </c>
      <c r="Q34" t="inlineStr"/>
    </row>
    <row r="35">
      <c r="A35" t="inlineStr">
        <is>
          <t>AZKA BANGUN RANCANA</t>
        </is>
      </c>
      <c r="B35" t="inlineStr">
        <is>
          <t>Kota Makassar</t>
        </is>
      </c>
      <c r="C35" t="inlineStr">
        <is>
          <t>085242578165</t>
        </is>
      </c>
      <c r="D35" t="inlineStr">
        <is>
          <t>azkabangunrancana@gmail.com</t>
        </is>
      </c>
      <c r="E35" t="inlineStr">
        <is>
          <t>https://lpjk.pu.go.id/search-badan-usaha-detail/THdjT2VuZTd5cjdINmxhaGlCdThiUT09</t>
        </is>
      </c>
      <c r="F35" t="n">
        <v>1</v>
      </c>
      <c r="G35" t="inlineStr">
        <is>
          <t>BG009</t>
        </is>
      </c>
      <c r="H35" t="inlineStr">
        <is>
          <t>22 Januari 2016</t>
        </is>
      </c>
      <c r="I35" s="2" t="n">
        <v>46327</v>
      </c>
      <c r="J35" t="inlineStr">
        <is>
          <t>Disetujui</t>
        </is>
      </c>
      <c r="K35" t="n">
        <v>90</v>
      </c>
      <c r="L35" t="inlineStr">
        <is>
          <t>1 November 2026</t>
        </is>
      </c>
      <c r="M35" t="inlineStr">
        <is>
          <t>Konstruksi Gedung Lainnya</t>
        </is>
      </c>
      <c r="N35" t="inlineStr">
        <is>
          <t>K</t>
        </is>
      </c>
      <c r="O35" t="inlineStr">
        <is>
          <t>20231023</t>
        </is>
      </c>
      <c r="P35" t="inlineStr">
        <is>
          <t>Sulawesi Selatan</t>
        </is>
      </c>
      <c r="Q35" t="inlineStr"/>
    </row>
    <row r="36">
      <c r="A36" t="inlineStr">
        <is>
          <t>AZRAM MAJU BERSAMA</t>
        </is>
      </c>
      <c r="B36" t="inlineStr">
        <is>
          <t>Kota Gorontalo</t>
        </is>
      </c>
      <c r="C36" t="inlineStr">
        <is>
          <t>08114310043</t>
        </is>
      </c>
      <c r="D36" t="inlineStr">
        <is>
          <t>cvazram2023@gmail.com</t>
        </is>
      </c>
      <c r="E36" t="inlineStr">
        <is>
          <t>https://lpjk.pu.go.id/search-badan-usaha-detail/SlpwVzFJeEE4YWZ0dEUvb3pxeVREZz09</t>
        </is>
      </c>
      <c r="F36" t="n">
        <v>1</v>
      </c>
      <c r="G36" t="inlineStr">
        <is>
          <t>BS001</t>
        </is>
      </c>
      <c r="H36" t="inlineStr">
        <is>
          <t>8 September 2023</t>
        </is>
      </c>
      <c r="I36" s="2" t="n">
        <v>46327</v>
      </c>
      <c r="J36" t="inlineStr">
        <is>
          <t>Disetujui</t>
        </is>
      </c>
      <c r="K36" t="n">
        <v>90</v>
      </c>
      <c r="L36" t="inlineStr">
        <is>
          <t>1 November 2026</t>
        </is>
      </c>
      <c r="M36" t="inlineStr">
        <is>
          <t>Konstruksi Bangunan Sipil Jalan</t>
        </is>
      </c>
      <c r="N36" t="inlineStr">
        <is>
          <t>K</t>
        </is>
      </c>
      <c r="O36" t="inlineStr">
        <is>
          <t>20231101</t>
        </is>
      </c>
      <c r="P36" t="inlineStr">
        <is>
          <t>Gorontalo</t>
        </is>
      </c>
      <c r="Q36" t="inlineStr"/>
    </row>
    <row r="37">
      <c r="A37" t="inlineStr">
        <is>
          <t>BANGKITJAYA MANDIRI ABADI</t>
        </is>
      </c>
      <c r="B37" t="inlineStr">
        <is>
          <t>Kota Adm. Jakarta Utara</t>
        </is>
      </c>
      <c r="C37" t="inlineStr">
        <is>
          <t>02145855520</t>
        </is>
      </c>
      <c r="D37" t="inlineStr">
        <is>
          <t>bangkitjaya.contractor@gmail.com</t>
        </is>
      </c>
      <c r="E37" t="inlineStr">
        <is>
          <t>https://lpjk.pu.go.id/search-badan-usaha-detail/aWJqV1B6UDBCVmlkem1SNWdpQ3pVUT09</t>
        </is>
      </c>
      <c r="F37" t="n">
        <v>1</v>
      </c>
      <c r="G37" t="inlineStr">
        <is>
          <t>BG002</t>
        </is>
      </c>
      <c r="H37" t="inlineStr">
        <is>
          <t>5 Desember 2016</t>
        </is>
      </c>
      <c r="I37" s="2" t="n">
        <v>46327</v>
      </c>
      <c r="J37" t="inlineStr">
        <is>
          <t>Disetujui</t>
        </is>
      </c>
      <c r="K37" t="n">
        <v>90</v>
      </c>
      <c r="L37" t="inlineStr">
        <is>
          <t>1 November 2026</t>
        </is>
      </c>
      <c r="M37" t="inlineStr">
        <is>
          <t>Konstruksi Gedung Perkantoran</t>
        </is>
      </c>
      <c r="N37" t="inlineStr">
        <is>
          <t>M</t>
        </is>
      </c>
      <c r="O37" t="inlineStr">
        <is>
          <t>20231101</t>
        </is>
      </c>
      <c r="P37" t="inlineStr">
        <is>
          <t>DKI Jakarta</t>
        </is>
      </c>
      <c r="Q37" t="inlineStr"/>
    </row>
    <row r="38">
      <c r="A38" t="inlineStr">
        <is>
          <t>BANGUN KONTRUKSI INDONESIA</t>
        </is>
      </c>
      <c r="B38" t="inlineStr">
        <is>
          <t>Kota Cilegon</t>
        </is>
      </c>
      <c r="C38" t="inlineStr">
        <is>
          <t>0811870252</t>
        </is>
      </c>
      <c r="D38" t="inlineStr">
        <is>
          <t>bangunkonstruksiindonesia@gmail.com</t>
        </is>
      </c>
      <c r="E38" t="inlineStr">
        <is>
          <t>https://lpjk.pu.go.id/search-badan-usaha-detail/VE1KZGE1ZnJHTm10REFOMktaNVJIQT09</t>
        </is>
      </c>
      <c r="F38" t="n">
        <v>1</v>
      </c>
      <c r="G38" t="inlineStr">
        <is>
          <t>BS001</t>
        </is>
      </c>
      <c r="H38" t="inlineStr">
        <is>
          <t>6 Desember 2017</t>
        </is>
      </c>
      <c r="I38" s="2" t="n">
        <v>46327</v>
      </c>
      <c r="J38" t="inlineStr">
        <is>
          <t>Disetujui</t>
        </is>
      </c>
      <c r="K38" t="n">
        <v>90</v>
      </c>
      <c r="L38" t="inlineStr">
        <is>
          <t>1 November 2026</t>
        </is>
      </c>
      <c r="M38" t="inlineStr">
        <is>
          <t>Konstruksi Bangunan Sipil Jalan</t>
        </is>
      </c>
      <c r="N38" t="inlineStr">
        <is>
          <t>K</t>
        </is>
      </c>
      <c r="O38" t="inlineStr">
        <is>
          <t>20231102</t>
        </is>
      </c>
      <c r="P38" t="inlineStr">
        <is>
          <t>Banten</t>
        </is>
      </c>
      <c r="Q38" t="inlineStr"/>
    </row>
    <row r="39">
      <c r="A39" t="inlineStr">
        <is>
          <t>BERJAYA</t>
        </is>
      </c>
      <c r="B39" t="inlineStr">
        <is>
          <t>Kab. Tebo</t>
        </is>
      </c>
      <c r="C39" t="inlineStr">
        <is>
          <t>081274710100</t>
        </is>
      </c>
      <c r="D39" t="inlineStr">
        <is>
          <t>wahanaberjaya21@gmail.com</t>
        </is>
      </c>
      <c r="E39" t="inlineStr">
        <is>
          <t>https://lpjk.pu.go.id/search-badan-usaha-detail/b21PN2I2NWM4UzE5UUptYnBxdkpNZz09</t>
        </is>
      </c>
      <c r="F39" t="n">
        <v>6</v>
      </c>
      <c r="G39" t="inlineStr">
        <is>
          <t>BG001, BG002, BG004, BG005, BG006, BS004</t>
        </is>
      </c>
      <c r="H39" t="inlineStr">
        <is>
          <t>22 Juni 2011</t>
        </is>
      </c>
      <c r="I39" s="2" t="n">
        <v>46327</v>
      </c>
      <c r="J39" t="inlineStr">
        <is>
          <t>Disetujui</t>
        </is>
      </c>
      <c r="K39" t="n">
        <v>90</v>
      </c>
      <c r="L39" t="inlineStr">
        <is>
          <t>1 November 2026</t>
        </is>
      </c>
      <c r="M39" t="inlineStr">
        <is>
          <t>Konstruksi Gedung Hunian, Konstruksi Gedung Kesehatan, Konstruksi Gedung Pendidikan, Konstruksi Gedung Perbelanjaan, Konstruksi Gedung Perkantoran, Konstruksi Jaringan Irigasi dan Drainase</t>
        </is>
      </c>
      <c r="N39" t="inlineStr">
        <is>
          <t>K</t>
        </is>
      </c>
      <c r="O39" t="inlineStr">
        <is>
          <t>20231030</t>
        </is>
      </c>
      <c r="P39" t="inlineStr">
        <is>
          <t>Jambi</t>
        </is>
      </c>
      <c r="Q39" t="inlineStr"/>
    </row>
    <row r="40">
      <c r="A40" t="inlineStr">
        <is>
          <t>BERKAH PETUAH NEGERI</t>
        </is>
      </c>
      <c r="B40" t="inlineStr">
        <is>
          <t>Kab. Pelalawan</t>
        </is>
      </c>
      <c r="C40" t="inlineStr">
        <is>
          <t>081277748882</t>
        </is>
      </c>
      <c r="D40" t="inlineStr">
        <is>
          <t>berkahpetuahnegeri@gmail.com</t>
        </is>
      </c>
      <c r="E40" t="inlineStr">
        <is>
          <t>https://lpjk.pu.go.id/search-badan-usaha-detail/NS9DYms2TGRwVE5GNnV6V3c4RWtRZz09</t>
        </is>
      </c>
      <c r="F40" t="n">
        <v>4</v>
      </c>
      <c r="G40" t="inlineStr">
        <is>
          <t>BG006, BG009</t>
        </is>
      </c>
      <c r="H40" t="inlineStr">
        <is>
          <t>15 Mei 2020</t>
        </is>
      </c>
      <c r="I40" s="2" t="n">
        <v>46327</v>
      </c>
      <c r="J40" t="inlineStr">
        <is>
          <t>Pencabutan</t>
        </is>
      </c>
      <c r="K40" t="n">
        <v>90</v>
      </c>
      <c r="L40" t="inlineStr">
        <is>
          <t>1 November 2026</t>
        </is>
      </c>
      <c r="M40" t="inlineStr">
        <is>
          <t>Konstruksi Gedung Lainnya, Konstruksi Gedung Pendidikan</t>
        </is>
      </c>
      <c r="N40" t="inlineStr">
        <is>
          <t>K</t>
        </is>
      </c>
      <c r="O40" t="inlineStr">
        <is>
          <t>20231030</t>
        </is>
      </c>
      <c r="P40" t="inlineStr">
        <is>
          <t>Riau</t>
        </is>
      </c>
      <c r="Q40" t="inlineStr"/>
    </row>
    <row r="41">
      <c r="A41" t="inlineStr">
        <is>
          <t>BERLIAN</t>
        </is>
      </c>
      <c r="B41" t="inlineStr">
        <is>
          <t>Kab. Dharmasraya</t>
        </is>
      </c>
      <c r="C41" t="inlineStr">
        <is>
          <t>082386480080</t>
        </is>
      </c>
      <c r="D41" t="inlineStr">
        <is>
          <t>cv.berlianpajak@gmail.com</t>
        </is>
      </c>
      <c r="E41" t="inlineStr">
        <is>
          <t>https://lpjk.pu.go.id/search-badan-usaha-detail/MEdUNVM5blF3VGtDekJTYWsxdi95QT09</t>
        </is>
      </c>
      <c r="F41" t="n">
        <v>2</v>
      </c>
      <c r="G41" t="inlineStr">
        <is>
          <t>BG006, BG009</t>
        </is>
      </c>
      <c r="H41" t="inlineStr">
        <is>
          <t>21 Juni 2012</t>
        </is>
      </c>
      <c r="I41" s="2" t="n">
        <v>46327</v>
      </c>
      <c r="J41" t="inlineStr">
        <is>
          <t>Disetujui</t>
        </is>
      </c>
      <c r="K41" t="n">
        <v>90</v>
      </c>
      <c r="L41" t="inlineStr">
        <is>
          <t>1 November 2026</t>
        </is>
      </c>
      <c r="M41" t="inlineStr">
        <is>
          <t>Konstruksi Gedung Lainnya, Konstruksi Gedung Pendidikan</t>
        </is>
      </c>
      <c r="N41" t="inlineStr">
        <is>
          <t>K</t>
        </is>
      </c>
      <c r="O41" t="inlineStr">
        <is>
          <t>20231101</t>
        </is>
      </c>
      <c r="P41" t="inlineStr">
        <is>
          <t>Sumatera Barat</t>
        </is>
      </c>
      <c r="Q41" t="inlineStr"/>
    </row>
    <row r="42">
      <c r="A42" t="inlineStr">
        <is>
          <t>BERLIAN SAMUDERA</t>
        </is>
      </c>
      <c r="B42" t="inlineStr">
        <is>
          <t>Kab. Lamongan</t>
        </is>
      </c>
      <c r="C42" t="inlineStr">
        <is>
          <t>085730693069</t>
        </is>
      </c>
      <c r="D42" t="inlineStr">
        <is>
          <t>berliansamudra.lmg@gmail.com</t>
        </is>
      </c>
      <c r="E42" t="inlineStr">
        <is>
          <t>https://lpjk.pu.go.id/search-badan-usaha-detail/b2duNXVQWHRBWlMvMEF2L1d5bU9OQT09</t>
        </is>
      </c>
      <c r="F42" t="n">
        <v>2</v>
      </c>
      <c r="G42" t="inlineStr">
        <is>
          <t>BS001, BS004</t>
        </is>
      </c>
      <c r="H42" t="inlineStr">
        <is>
          <t>27 September 2023</t>
        </is>
      </c>
      <c r="I42" s="2" t="n">
        <v>46327</v>
      </c>
      <c r="J42" t="inlineStr">
        <is>
          <t>Pencabutan</t>
        </is>
      </c>
      <c r="K42" t="n">
        <v>90</v>
      </c>
      <c r="L42" t="inlineStr">
        <is>
          <t>1 November 2026</t>
        </is>
      </c>
      <c r="M42" t="inlineStr">
        <is>
          <t>Konstruksi Bangunan Sipil Jalan, Konstruksi Jaringan Irigasi dan Drainase</t>
        </is>
      </c>
      <c r="N42" t="inlineStr">
        <is>
          <t>K</t>
        </is>
      </c>
      <c r="O42" t="inlineStr">
        <is>
          <t>20231019, 20231102</t>
        </is>
      </c>
      <c r="P42" t="inlineStr">
        <is>
          <t>Jawa Timur</t>
        </is>
      </c>
      <c r="Q42" t="inlineStr"/>
    </row>
    <row r="43">
      <c r="A43" t="inlineStr">
        <is>
          <t>BINTANG ALUMINIUM SEJAHTERA</t>
        </is>
      </c>
      <c r="B43" t="inlineStr">
        <is>
          <t>Kota Adm. Jakarta Utara</t>
        </is>
      </c>
      <c r="C43" t="inlineStr">
        <is>
          <t>02164715133</t>
        </is>
      </c>
      <c r="D43" t="inlineStr">
        <is>
          <t>silviasunter@protonmail.com</t>
        </is>
      </c>
      <c r="E43" t="inlineStr">
        <is>
          <t>https://lpjk.pu.go.id/search-badan-usaha-detail/dFBhN1liUVhVYktnYlhwNGJiSGV5QT09</t>
        </is>
      </c>
      <c r="F43" t="n">
        <v>2</v>
      </c>
      <c r="G43" t="inlineStr">
        <is>
          <t>BG002</t>
        </is>
      </c>
      <c r="H43" t="inlineStr">
        <is>
          <t>28 Oktober 2019</t>
        </is>
      </c>
      <c r="I43" s="2" t="n">
        <v>46327</v>
      </c>
      <c r="J43" t="inlineStr">
        <is>
          <t>Disetujui</t>
        </is>
      </c>
      <c r="K43" t="n">
        <v>90</v>
      </c>
      <c r="L43" t="inlineStr">
        <is>
          <t>1 November 2026</t>
        </is>
      </c>
      <c r="M43" t="inlineStr">
        <is>
          <t>Konstruksi Gedung Perkantoran</t>
        </is>
      </c>
      <c r="N43" t="inlineStr">
        <is>
          <t>K</t>
        </is>
      </c>
      <c r="O43" t="inlineStr">
        <is>
          <t>20231029</t>
        </is>
      </c>
      <c r="P43" t="inlineStr">
        <is>
          <t>DKI Jakarta</t>
        </is>
      </c>
      <c r="Q43" t="inlineStr"/>
    </row>
    <row r="44">
      <c r="A44" t="inlineStr">
        <is>
          <t>BINTANG CIPTA PESONA</t>
        </is>
      </c>
      <c r="B44" t="inlineStr">
        <is>
          <t>Kab. Karanganyar</t>
        </is>
      </c>
      <c r="C44" t="inlineStr">
        <is>
          <t>085649863938</t>
        </is>
      </c>
      <c r="D44" t="inlineStr">
        <is>
          <t>cvbcp2020@gmail.com</t>
        </is>
      </c>
      <c r="E44" t="inlineStr">
        <is>
          <t>https://lpjk.pu.go.id/search-badan-usaha-detail/NkNjTDZmYlZqMGtFbnd3dGxZdmhFdz09</t>
        </is>
      </c>
      <c r="F44" t="n">
        <v>6</v>
      </c>
      <c r="G44" t="inlineStr">
        <is>
          <t>RK001, RK002, RK003</t>
        </is>
      </c>
      <c r="H44" t="inlineStr">
        <is>
          <t>27 Januari 2020</t>
        </is>
      </c>
      <c r="I44" s="2" t="n">
        <v>46327</v>
      </c>
      <c r="J44" t="inlineStr">
        <is>
          <t>Disetujui</t>
        </is>
      </c>
      <c r="K44" t="n">
        <v>90</v>
      </c>
      <c r="L44" t="inlineStr">
        <is>
          <t>1 November 2026</t>
        </is>
      </c>
      <c r="M44" t="inlineStr">
        <is>
          <t>Jasa Rekayasa Konstruksi Bangunan Gedung Hunian dan Non Hunian, Jasa Rekayasa Pekerjaan Teknik Sipil Sumber Daya Air, Jasa Rekayasa Pekerjaan Teknik Sipil Transportasi</t>
        </is>
      </c>
      <c r="N44" t="inlineStr">
        <is>
          <t>K</t>
        </is>
      </c>
      <c r="O44" t="inlineStr">
        <is>
          <t>20231023</t>
        </is>
      </c>
      <c r="P44" t="inlineStr">
        <is>
          <t>Jawa Tengah</t>
        </is>
      </c>
      <c r="Q44" t="inlineStr"/>
    </row>
    <row r="45">
      <c r="A45" t="inlineStr">
        <is>
          <t>BINTANG DI SURGA</t>
        </is>
      </c>
      <c r="B45" t="inlineStr">
        <is>
          <t>Kab. Batang</t>
        </is>
      </c>
      <c r="C45" t="inlineStr">
        <is>
          <t>089652660309</t>
        </is>
      </c>
      <c r="D45" t="inlineStr">
        <is>
          <t>bidisu001@gmail.com</t>
        </is>
      </c>
      <c r="E45" t="inlineStr">
        <is>
          <t>https://lpjk.pu.go.id/search-badan-usaha-detail/RUVGdThiSGVTS21IYmZuTFZ6ZTh4QT09</t>
        </is>
      </c>
      <c r="F45" t="n">
        <v>2</v>
      </c>
      <c r="G45" t="inlineStr">
        <is>
          <t>BG009</t>
        </is>
      </c>
      <c r="H45" t="inlineStr">
        <is>
          <t>25 Oktober 2023</t>
        </is>
      </c>
      <c r="I45" s="2" t="n">
        <v>46327</v>
      </c>
      <c r="J45" t="inlineStr">
        <is>
          <t>Disetujui</t>
        </is>
      </c>
      <c r="K45" t="n">
        <v>90</v>
      </c>
      <c r="L45" t="inlineStr">
        <is>
          <t>1 November 2026</t>
        </is>
      </c>
      <c r="M45" t="inlineStr">
        <is>
          <t>Konstruksi Gedung Lainnya</t>
        </is>
      </c>
      <c r="N45" t="inlineStr">
        <is>
          <t>K</t>
        </is>
      </c>
      <c r="O45" t="inlineStr">
        <is>
          <t>20231102</t>
        </is>
      </c>
      <c r="P45" t="inlineStr">
        <is>
          <t>Jawa Tengah</t>
        </is>
      </c>
      <c r="Q45" t="inlineStr"/>
    </row>
    <row r="46">
      <c r="A46" t="inlineStr">
        <is>
          <t>BINTANG KEJAYAAN</t>
        </is>
      </c>
      <c r="B46" t="inlineStr">
        <is>
          <t>Kab. Muara Enim</t>
        </is>
      </c>
      <c r="C46" t="inlineStr">
        <is>
          <t>085208175787</t>
        </is>
      </c>
      <c r="D46" t="inlineStr">
        <is>
          <t>azhariktm745@gmail.com</t>
        </is>
      </c>
      <c r="E46" t="inlineStr">
        <is>
          <t>https://lpjk.pu.go.id/search-badan-usaha-detail/N3FRMS9SSytNRWs1QUJUVWhWdnRsZz09</t>
        </is>
      </c>
      <c r="F46" t="n">
        <v>2</v>
      </c>
      <c r="G46" t="inlineStr">
        <is>
          <t>BS002</t>
        </is>
      </c>
      <c r="H46" t="inlineStr">
        <is>
          <t>14 Januari 2020</t>
        </is>
      </c>
      <c r="I46" s="2" t="n">
        <v>46327</v>
      </c>
      <c r="J46" t="inlineStr">
        <is>
          <t>Disetujui</t>
        </is>
      </c>
      <c r="K46" t="n">
        <v>90</v>
      </c>
      <c r="L46" t="inlineStr">
        <is>
          <t>1 November 2026</t>
        </is>
      </c>
      <c r="M46" t="inlineStr">
        <is>
          <t>Bangunan Sipil Jembatan, Jalan Layang, Fly Over, dan Underpass</t>
        </is>
      </c>
      <c r="N46" t="inlineStr">
        <is>
          <t>K</t>
        </is>
      </c>
      <c r="O46" t="inlineStr">
        <is>
          <t>20231031</t>
        </is>
      </c>
      <c r="P46" t="inlineStr">
        <is>
          <t>Sumatera Selatan</t>
        </is>
      </c>
      <c r="Q46" t="inlineStr"/>
    </row>
    <row r="47">
      <c r="A47" t="inlineStr">
        <is>
          <t>BINTANG MITRA SINAR TEKNIK</t>
        </is>
      </c>
      <c r="B47" t="inlineStr">
        <is>
          <t>Kab. Mojokerto</t>
        </is>
      </c>
      <c r="C47" t="inlineStr">
        <is>
          <t>082131895699</t>
        </is>
      </c>
      <c r="D47" t="inlineStr">
        <is>
          <t>bintangmitrasinarteknik@gmail.com</t>
        </is>
      </c>
      <c r="E47" t="inlineStr">
        <is>
          <t>https://lpjk.pu.go.id/search-badan-usaha-detail/ZHRMMkkxZFlyd0NpNTdkS2F1N0g1dz09</t>
        </is>
      </c>
      <c r="F47" t="n">
        <v>2</v>
      </c>
      <c r="G47" t="inlineStr">
        <is>
          <t>IN001</t>
        </is>
      </c>
      <c r="H47" t="inlineStr">
        <is>
          <t>3 Maret 2021</t>
        </is>
      </c>
      <c r="I47" s="2" t="n">
        <v>46327</v>
      </c>
      <c r="J47" t="inlineStr">
        <is>
          <t>Pembekuan</t>
        </is>
      </c>
      <c r="K47" t="n">
        <v>90</v>
      </c>
      <c r="L47" t="inlineStr">
        <is>
          <t>1 November 2026</t>
        </is>
      </c>
      <c r="M47" t="inlineStr">
        <is>
          <t>Instalasi Mekanikal</t>
        </is>
      </c>
      <c r="N47" t="inlineStr">
        <is>
          <t>Spesialis</t>
        </is>
      </c>
      <c r="O47" t="inlineStr">
        <is>
          <t>20231012</t>
        </is>
      </c>
      <c r="P47" t="inlineStr">
        <is>
          <t>Jawa Timur</t>
        </is>
      </c>
      <c r="Q47" t="inlineStr"/>
    </row>
    <row r="48">
      <c r="A48" t="inlineStr">
        <is>
          <t>BINTANG RAYA MANDIRI</t>
        </is>
      </c>
      <c r="B48" t="inlineStr">
        <is>
          <t>Kab. Aceh Tamiang</t>
        </is>
      </c>
      <c r="C48" t="inlineStr">
        <is>
          <t>085276194987</t>
        </is>
      </c>
      <c r="D48" t="inlineStr">
        <is>
          <t>bintangrayamandiri@yahoo.co.id</t>
        </is>
      </c>
      <c r="E48" t="inlineStr">
        <is>
          <t>https://lpjk.pu.go.id/search-badan-usaha-detail/dDR3YjFCcVlkaFR1VGRtSVRYaVRuQT09</t>
        </is>
      </c>
      <c r="F48" t="n">
        <v>2</v>
      </c>
      <c r="G48" t="inlineStr">
        <is>
          <t>BG009</t>
        </is>
      </c>
      <c r="H48" t="inlineStr">
        <is>
          <t>6 April 1982</t>
        </is>
      </c>
      <c r="I48" s="2" t="n">
        <v>46327</v>
      </c>
      <c r="J48" t="inlineStr">
        <is>
          <t>Disetujui</t>
        </is>
      </c>
      <c r="K48" t="n">
        <v>90</v>
      </c>
      <c r="L48" t="inlineStr">
        <is>
          <t>1 November 2026</t>
        </is>
      </c>
      <c r="M48" t="inlineStr">
        <is>
          <t>Konstruksi Gedung Lainnya</t>
        </is>
      </c>
      <c r="N48" t="inlineStr">
        <is>
          <t>K</t>
        </is>
      </c>
      <c r="O48" t="inlineStr">
        <is>
          <t>20231027</t>
        </is>
      </c>
      <c r="P48" t="inlineStr">
        <is>
          <t>Aceh</t>
        </is>
      </c>
      <c r="Q48" t="inlineStr"/>
    </row>
    <row r="49">
      <c r="A49" t="inlineStr">
        <is>
          <t>BINTANG TANGGAMUS</t>
        </is>
      </c>
      <c r="B49" t="inlineStr">
        <is>
          <t>Kab. Tanggamus</t>
        </is>
      </c>
      <c r="C49" t="inlineStr">
        <is>
          <t>0852 4140 0868</t>
        </is>
      </c>
      <c r="D49" t="inlineStr">
        <is>
          <t>cv.bintangtanggamus@gmail.com</t>
        </is>
      </c>
      <c r="E49" t="inlineStr">
        <is>
          <t>https://lpjk.pu.go.id/search-badan-usaha-detail/Znh3Nlk4YlhEZnR6dWhZUE5KUlhXQT09</t>
        </is>
      </c>
      <c r="F49" t="n">
        <v>2</v>
      </c>
      <c r="G49" t="inlineStr">
        <is>
          <t>BS001</t>
        </is>
      </c>
      <c r="H49" t="inlineStr">
        <is>
          <t>26 Februari 2020</t>
        </is>
      </c>
      <c r="I49" s="2" t="n">
        <v>46327</v>
      </c>
      <c r="J49" t="inlineStr">
        <is>
          <t>Pencabutan</t>
        </is>
      </c>
      <c r="K49" t="n">
        <v>90</v>
      </c>
      <c r="L49" t="inlineStr">
        <is>
          <t>1 November 2026</t>
        </is>
      </c>
      <c r="M49" t="inlineStr">
        <is>
          <t>Konstruksi Bangunan Sipil Jalan</t>
        </is>
      </c>
      <c r="N49" t="inlineStr">
        <is>
          <t>K</t>
        </is>
      </c>
      <c r="O49" t="inlineStr">
        <is>
          <t>20231025</t>
        </is>
      </c>
      <c r="P49" t="inlineStr">
        <is>
          <t>Lampung</t>
        </is>
      </c>
      <c r="Q49" t="inlineStr"/>
    </row>
    <row r="50">
      <c r="A50" t="inlineStr">
        <is>
          <t>BONANZA SUKSES BERSAMA</t>
        </is>
      </c>
      <c r="B50" t="inlineStr">
        <is>
          <t>Kota Cilegon</t>
        </is>
      </c>
      <c r="C50" t="inlineStr">
        <is>
          <t>083192333904</t>
        </is>
      </c>
      <c r="D50" t="inlineStr">
        <is>
          <t>bonanzasukses.pt@gmail.com</t>
        </is>
      </c>
      <c r="E50" t="inlineStr">
        <is>
          <t>https://lpjk.pu.go.id/search-badan-usaha-detail/VXR4OWVoU1RoV1pxS3QzbFNURUpZUT09</t>
        </is>
      </c>
      <c r="F50" t="n">
        <v>4</v>
      </c>
      <c r="G50" t="inlineStr">
        <is>
          <t>BG002, BG009</t>
        </is>
      </c>
      <c r="H50" t="inlineStr">
        <is>
          <t>17 Juli 2018</t>
        </is>
      </c>
      <c r="I50" s="2" t="n">
        <v>46327</v>
      </c>
      <c r="J50" t="inlineStr">
        <is>
          <t>Pencabutan</t>
        </is>
      </c>
      <c r="K50" t="n">
        <v>90</v>
      </c>
      <c r="L50" t="inlineStr">
        <is>
          <t>1 November 2026</t>
        </is>
      </c>
      <c r="M50" t="inlineStr">
        <is>
          <t>Konstruksi Gedung Lainnya, Konstruksi Gedung Perkantoran</t>
        </is>
      </c>
      <c r="N50" t="inlineStr">
        <is>
          <t>K</t>
        </is>
      </c>
      <c r="O50" t="inlineStr">
        <is>
          <t>20231015</t>
        </is>
      </c>
      <c r="P50" t="inlineStr">
        <is>
          <t>Banten</t>
        </is>
      </c>
      <c r="Q50" t="inlineStr"/>
    </row>
    <row r="51">
      <c r="A51" t="inlineStr">
        <is>
          <t>BUAH BOLOK MAHAKAM</t>
        </is>
      </c>
      <c r="B51" t="inlineStr">
        <is>
          <t>Kota Samarinda</t>
        </is>
      </c>
      <c r="C51" t="inlineStr">
        <is>
          <t>085250325111</t>
        </is>
      </c>
      <c r="D51" t="inlineStr">
        <is>
          <t>buahbolokmahakam@gmail.com</t>
        </is>
      </c>
      <c r="E51" t="inlineStr">
        <is>
          <t>https://lpjk.pu.go.id/search-badan-usaha-detail/aXNWMjduUkhoU0FHVDNFczZTL1N3QT09</t>
        </is>
      </c>
      <c r="F51" t="n">
        <v>2</v>
      </c>
      <c r="G51" t="inlineStr">
        <is>
          <t>BG001, BG002</t>
        </is>
      </c>
      <c r="H51" t="inlineStr">
        <is>
          <t>15 Desember 2020</t>
        </is>
      </c>
      <c r="I51" s="2" t="n">
        <v>46327</v>
      </c>
      <c r="J51" t="inlineStr">
        <is>
          <t>Disetujui</t>
        </is>
      </c>
      <c r="K51" t="n">
        <v>90</v>
      </c>
      <c r="L51" t="inlineStr">
        <is>
          <t>1 November 2026</t>
        </is>
      </c>
      <c r="M51" t="inlineStr">
        <is>
          <t>Konstruksi Gedung Hunian, Konstruksi Gedung Perkantoran</t>
        </is>
      </c>
      <c r="N51" t="inlineStr">
        <is>
          <t>K</t>
        </is>
      </c>
      <c r="O51" t="inlineStr">
        <is>
          <t>20231101</t>
        </is>
      </c>
      <c r="P51" t="inlineStr">
        <is>
          <t>Kalimantan Timur</t>
        </is>
      </c>
      <c r="Q51" t="inlineStr"/>
    </row>
    <row r="52">
      <c r="A52" t="inlineStr">
        <is>
          <t>BUANA CAKRA UTAMA</t>
        </is>
      </c>
      <c r="B52" t="inlineStr">
        <is>
          <t>Kab. Pangandaran</t>
        </is>
      </c>
      <c r="C52" t="inlineStr">
        <is>
          <t>085298999926</t>
        </is>
      </c>
      <c r="D52" t="inlineStr">
        <is>
          <t>perseroancv.buanacakrautama@gmail.com</t>
        </is>
      </c>
      <c r="E52" t="inlineStr">
        <is>
          <t>https://lpjk.pu.go.id/search-badan-usaha-detail/WWRzSTBGeGdSc2YwWW9reTVSUDl2Zz09</t>
        </is>
      </c>
      <c r="F52" t="n">
        <v>1</v>
      </c>
      <c r="G52" t="inlineStr">
        <is>
          <t>BS004</t>
        </is>
      </c>
      <c r="H52" t="inlineStr">
        <is>
          <t>19 Maret 2022</t>
        </is>
      </c>
      <c r="I52" s="2" t="n">
        <v>46327</v>
      </c>
      <c r="J52" t="inlineStr">
        <is>
          <t>Disetujui</t>
        </is>
      </c>
      <c r="K52" t="n">
        <v>90</v>
      </c>
      <c r="L52" t="inlineStr">
        <is>
          <t>1 November 2026</t>
        </is>
      </c>
      <c r="M52" t="inlineStr">
        <is>
          <t>Konstruksi Jaringan Irigasi dan Drainase</t>
        </is>
      </c>
      <c r="N52" t="inlineStr">
        <is>
          <t>K</t>
        </is>
      </c>
      <c r="O52" t="inlineStr">
        <is>
          <t>20231101</t>
        </is>
      </c>
      <c r="P52" t="inlineStr">
        <is>
          <t>Jawa Barat</t>
        </is>
      </c>
      <c r="Q52" t="inlineStr"/>
    </row>
    <row r="53">
      <c r="A53" t="inlineStr">
        <is>
          <t>BUDI SARI</t>
        </is>
      </c>
      <c r="B53" t="inlineStr">
        <is>
          <t>Kota Yogyakarta</t>
        </is>
      </c>
      <c r="C53" t="inlineStr">
        <is>
          <t>087838265664</t>
        </is>
      </c>
      <c r="D53" t="inlineStr">
        <is>
          <t>budisaricv@gmail.com</t>
        </is>
      </c>
      <c r="E53" t="inlineStr">
        <is>
          <t>https://lpjk.pu.go.id/search-badan-usaha-detail/bU54R3BBV2M4cFp0WDVsbkpleTVIZz09</t>
        </is>
      </c>
      <c r="F53" t="n">
        <v>2</v>
      </c>
      <c r="G53" t="inlineStr">
        <is>
          <t>BG005, BG009</t>
        </is>
      </c>
      <c r="H53" t="inlineStr">
        <is>
          <t>19 Desember 1988</t>
        </is>
      </c>
      <c r="I53" s="2" t="n">
        <v>46327</v>
      </c>
      <c r="J53" t="inlineStr">
        <is>
          <t>Disetujui</t>
        </is>
      </c>
      <c r="K53" t="n">
        <v>90</v>
      </c>
      <c r="L53" t="inlineStr">
        <is>
          <t>1 November 2026</t>
        </is>
      </c>
      <c r="M53" t="inlineStr">
        <is>
          <t>Konstruksi Gedung Kesehatan, Konstruksi Gedung Lainnya</t>
        </is>
      </c>
      <c r="N53" t="inlineStr">
        <is>
          <t>K</t>
        </is>
      </c>
      <c r="O53" t="inlineStr">
        <is>
          <t>20230918, 20231028</t>
        </is>
      </c>
      <c r="P53" t="inlineStr">
        <is>
          <t>DI Yogyakarta</t>
        </is>
      </c>
      <c r="Q53" t="inlineStr"/>
    </row>
    <row r="54">
      <c r="A54" t="inlineStr">
        <is>
          <t>BUMI ARTA PERKASA</t>
        </is>
      </c>
      <c r="B54" t="inlineStr">
        <is>
          <t>Kab. Kutai Timur</t>
        </is>
      </c>
      <c r="C54" t="inlineStr">
        <is>
          <t>082151640745</t>
        </is>
      </c>
      <c r="D54" t="inlineStr">
        <is>
          <t>cv.bumiartaperkasa@yahoo.com</t>
        </is>
      </c>
      <c r="E54" t="inlineStr">
        <is>
          <t>https://lpjk.pu.go.id/search-badan-usaha-detail/UGtlMkpCVktwZDdXTnNTb0NFVG01Zz09</t>
        </is>
      </c>
      <c r="F54" t="n">
        <v>1</v>
      </c>
      <c r="G54" t="inlineStr">
        <is>
          <t>BS004</t>
        </is>
      </c>
      <c r="H54" t="inlineStr">
        <is>
          <t>10 Juli 2019</t>
        </is>
      </c>
      <c r="I54" s="2" t="n">
        <v>46327</v>
      </c>
      <c r="J54" t="inlineStr">
        <is>
          <t>Disetujui</t>
        </is>
      </c>
      <c r="K54" t="n">
        <v>90</v>
      </c>
      <c r="L54" t="inlineStr">
        <is>
          <t>1 November 2026</t>
        </is>
      </c>
      <c r="M54" t="inlineStr">
        <is>
          <t>Konstruksi Jaringan Irigasi dan Drainase</t>
        </is>
      </c>
      <c r="N54" t="inlineStr">
        <is>
          <t>K</t>
        </is>
      </c>
      <c r="O54" t="inlineStr">
        <is>
          <t>20231101</t>
        </is>
      </c>
      <c r="P54" t="inlineStr">
        <is>
          <t>Kalimantan Timur</t>
        </is>
      </c>
      <c r="Q54" t="inlineStr"/>
    </row>
    <row r="55">
      <c r="A55" t="inlineStr">
        <is>
          <t>BUMI SRI KARMA</t>
        </is>
      </c>
      <c r="B55" t="inlineStr">
        <is>
          <t>Kota Mataram</t>
        </is>
      </c>
      <c r="C55" t="inlineStr">
        <is>
          <t>087865101945</t>
        </is>
      </c>
      <c r="D55" t="inlineStr">
        <is>
          <t>ptbumisrikarma0711@gmail.com</t>
        </is>
      </c>
      <c r="E55" t="inlineStr">
        <is>
          <t>https://lpjk.pu.go.id/search-badan-usaha-detail/ZjlRUTVpSmlsY1h0cHJZa2ZkN0VWQT09</t>
        </is>
      </c>
      <c r="F55" t="n">
        <v>1</v>
      </c>
      <c r="G55" t="inlineStr">
        <is>
          <t>BS001</t>
        </is>
      </c>
      <c r="H55" t="inlineStr">
        <is>
          <t>26 November 2021</t>
        </is>
      </c>
      <c r="I55" s="2" t="n">
        <v>46327</v>
      </c>
      <c r="J55" t="inlineStr">
        <is>
          <t>Disetujui</t>
        </is>
      </c>
      <c r="K55" t="n">
        <v>90</v>
      </c>
      <c r="L55" t="inlineStr">
        <is>
          <t>1 November 2026</t>
        </is>
      </c>
      <c r="M55" t="inlineStr">
        <is>
          <t>Konstruksi Bangunan Sipil Jalan</t>
        </is>
      </c>
      <c r="N55" t="inlineStr">
        <is>
          <t>K</t>
        </is>
      </c>
      <c r="O55" t="inlineStr">
        <is>
          <t>20231018</t>
        </is>
      </c>
      <c r="P55" t="inlineStr">
        <is>
          <t>Nusa Tenggara Barat</t>
        </is>
      </c>
      <c r="Q55" t="inlineStr"/>
    </row>
    <row r="56">
      <c r="A56" t="inlineStr">
        <is>
          <t>BUMI TERANG FORTUNA</t>
        </is>
      </c>
      <c r="B56" t="inlineStr">
        <is>
          <t>Kota Adm. Jakarta Barat</t>
        </is>
      </c>
      <c r="C56" t="inlineStr">
        <is>
          <t>085373333893</t>
        </is>
      </c>
      <c r="D56" t="inlineStr">
        <is>
          <t>btfortuna@yahoo.com</t>
        </is>
      </c>
      <c r="E56" t="inlineStr">
        <is>
          <t>https://lpjk.pu.go.id/search-badan-usaha-detail/OVAyVDNucndaNjJlcHRFbGxKTkEyZz09</t>
        </is>
      </c>
      <c r="F56" t="n">
        <v>1</v>
      </c>
      <c r="G56" t="inlineStr">
        <is>
          <t>BS004</t>
        </is>
      </c>
      <c r="H56" t="inlineStr">
        <is>
          <t>30 Mei 2023</t>
        </is>
      </c>
      <c r="I56" s="2" t="n">
        <v>46327</v>
      </c>
      <c r="J56" t="inlineStr">
        <is>
          <t>Disetujui</t>
        </is>
      </c>
      <c r="K56" t="n">
        <v>90</v>
      </c>
      <c r="L56" t="inlineStr">
        <is>
          <t>1 November 2026</t>
        </is>
      </c>
      <c r="M56" t="inlineStr">
        <is>
          <t>Konstruksi Jaringan Irigasi dan Drainase</t>
        </is>
      </c>
      <c r="N56" t="inlineStr">
        <is>
          <t>K</t>
        </is>
      </c>
      <c r="O56" t="inlineStr">
        <is>
          <t>20231101</t>
        </is>
      </c>
      <c r="P56" t="inlineStr">
        <is>
          <t>DKI Jakarta</t>
        </is>
      </c>
      <c r="Q56" t="inlineStr"/>
    </row>
    <row r="57">
      <c r="A57" t="inlineStr">
        <is>
          <t>CAHAYA</t>
        </is>
      </c>
      <c r="B57" t="inlineStr">
        <is>
          <t>Kab. Trenggalek</t>
        </is>
      </c>
      <c r="C57" t="inlineStr">
        <is>
          <t>085330230662</t>
        </is>
      </c>
      <c r="D57" t="inlineStr">
        <is>
          <t>cvcahaya.trenggalek@gmail.com</t>
        </is>
      </c>
      <c r="E57" t="inlineStr">
        <is>
          <t>https://lpjk.pu.go.id/search-badan-usaha-detail/ZXN1Sy9GWkUyNE9zUGZZVzdFYWZ2QT09</t>
        </is>
      </c>
      <c r="F57" t="n">
        <v>2</v>
      </c>
      <c r="G57" t="inlineStr">
        <is>
          <t>BS005, BS006</t>
        </is>
      </c>
      <c r="H57" t="inlineStr">
        <is>
          <t>9 Agustus 2001</t>
        </is>
      </c>
      <c r="I57" s="2" t="n">
        <v>46327</v>
      </c>
      <c r="J57" t="inlineStr">
        <is>
          <t>Disetujui</t>
        </is>
      </c>
      <c r="K57" t="n">
        <v>90</v>
      </c>
      <c r="L57" t="inlineStr">
        <is>
          <t>1 November 2026</t>
        </is>
      </c>
      <c r="M57" t="inlineStr">
        <is>
          <t>Konstruksi Bangunan Sipil Pengolahan Air Bersih, Konstruksi Bangunan Sipil Prasarana dan Sarana Sistem Pengolahan Limbah Padat, Cair, dan Gas</t>
        </is>
      </c>
      <c r="N57" t="inlineStr">
        <is>
          <t>K</t>
        </is>
      </c>
      <c r="O57" t="inlineStr">
        <is>
          <t>20231026, 20231027</t>
        </is>
      </c>
      <c r="P57" t="inlineStr">
        <is>
          <t>Jawa Timur</t>
        </is>
      </c>
      <c r="Q57" t="inlineStr"/>
    </row>
    <row r="58">
      <c r="A58" t="inlineStr">
        <is>
          <t>CAHAYA ERVIN GEMILANG</t>
        </is>
      </c>
      <c r="B58" t="inlineStr">
        <is>
          <t>Kota Jambi</t>
        </is>
      </c>
      <c r="C58" t="inlineStr">
        <is>
          <t>081274873873</t>
        </is>
      </c>
      <c r="D58" t="inlineStr">
        <is>
          <t>herryrachmayanto@gmail.com</t>
        </is>
      </c>
      <c r="E58" t="inlineStr">
        <is>
          <t>https://lpjk.pu.go.id/search-badan-usaha-detail/cUdBc1N0YmdwZTNNQ2NaZDdEY21odz09</t>
        </is>
      </c>
      <c r="F58" t="n">
        <v>4</v>
      </c>
      <c r="G58" t="inlineStr">
        <is>
          <t>BG002, BG005, BG006, BG009</t>
        </is>
      </c>
      <c r="H58" t="inlineStr">
        <is>
          <t>19 Januari 2008</t>
        </is>
      </c>
      <c r="I58" s="2" t="n">
        <v>46327</v>
      </c>
      <c r="J58" t="inlineStr">
        <is>
          <t>Disetujui</t>
        </is>
      </c>
      <c r="K58" t="n">
        <v>90</v>
      </c>
      <c r="L58" t="inlineStr">
        <is>
          <t>1 November 2026</t>
        </is>
      </c>
      <c r="M58" t="inlineStr">
        <is>
          <t>Konstruksi Gedung Kesehatan, Konstruksi Gedung Lainnya, Konstruksi Gedung Pendidikan, Konstruksi Gedung Perkantoran</t>
        </is>
      </c>
      <c r="N58" t="inlineStr">
        <is>
          <t>K</t>
        </is>
      </c>
      <c r="O58" t="inlineStr">
        <is>
          <t>20231030, 20231101</t>
        </is>
      </c>
      <c r="P58" t="inlineStr">
        <is>
          <t>Jambi</t>
        </is>
      </c>
      <c r="Q58" t="inlineStr"/>
    </row>
    <row r="59">
      <c r="A59" t="inlineStr">
        <is>
          <t>CAHAYA INTI ANDALAN</t>
        </is>
      </c>
      <c r="B59" t="inlineStr">
        <is>
          <t>Kota Adm. Jakarta Selatan</t>
        </is>
      </c>
      <c r="C59" t="inlineStr">
        <is>
          <t>02129657380</t>
        </is>
      </c>
      <c r="D59" t="inlineStr">
        <is>
          <t>ptcahayaintiandalan@gmail.com</t>
        </is>
      </c>
      <c r="E59" t="inlineStr">
        <is>
          <t>https://lpjk.pu.go.id/search-badan-usaha-detail/YUNPVG95MEY3ZWN4QllYNDhHbjNjdz09</t>
        </is>
      </c>
      <c r="F59" t="n">
        <v>1</v>
      </c>
      <c r="G59" t="inlineStr">
        <is>
          <t>BS009</t>
        </is>
      </c>
      <c r="H59" t="inlineStr">
        <is>
          <t>18 September 2013</t>
        </is>
      </c>
      <c r="I59" s="2" t="n">
        <v>46327</v>
      </c>
      <c r="J59" t="inlineStr">
        <is>
          <t>Disetujui</t>
        </is>
      </c>
      <c r="K59" t="n">
        <v>90</v>
      </c>
      <c r="L59" t="inlineStr">
        <is>
          <t>1 November 2026</t>
        </is>
      </c>
      <c r="M59" t="inlineStr">
        <is>
          <t>Konstruksi Sentral Telekomunikasi</t>
        </is>
      </c>
      <c r="N59" t="inlineStr">
        <is>
          <t>K</t>
        </is>
      </c>
      <c r="O59" t="inlineStr">
        <is>
          <t>20231002</t>
        </is>
      </c>
      <c r="P59" t="inlineStr">
        <is>
          <t>DKI Jakarta</t>
        </is>
      </c>
      <c r="Q59" t="inlineStr"/>
    </row>
    <row r="60">
      <c r="A60" t="inlineStr">
        <is>
          <t>CIPTA ANEKA</t>
        </is>
      </c>
      <c r="B60" t="inlineStr">
        <is>
          <t>Kab. Bondowoso</t>
        </is>
      </c>
      <c r="C60" t="inlineStr">
        <is>
          <t>082334809991</t>
        </is>
      </c>
      <c r="D60" t="inlineStr">
        <is>
          <t>cipta.anekacv@gmail.com</t>
        </is>
      </c>
      <c r="E60" t="inlineStr">
        <is>
          <t>https://lpjk.pu.go.id/search-badan-usaha-detail/bTFjSFpuMDhRRTBpeVdyQ2dTRVRsUT09</t>
        </is>
      </c>
      <c r="F60" t="n">
        <v>6</v>
      </c>
      <c r="G60" t="inlineStr">
        <is>
          <t>BG005, BG006, BS001</t>
        </is>
      </c>
      <c r="H60" t="inlineStr">
        <is>
          <t>14 November 2013</t>
        </is>
      </c>
      <c r="I60" s="2" t="n">
        <v>46327</v>
      </c>
      <c r="J60" t="inlineStr">
        <is>
          <t>Disetujui, Pencabutan</t>
        </is>
      </c>
      <c r="K60" t="n">
        <v>90</v>
      </c>
      <c r="L60" t="inlineStr">
        <is>
          <t>1 November 2026</t>
        </is>
      </c>
      <c r="M60" t="inlineStr">
        <is>
          <t>Konstruksi Bangunan Sipil Jalan, Konstruksi Gedung Kesehatan, Konstruksi Gedung Pendidikan</t>
        </is>
      </c>
      <c r="N60" t="inlineStr">
        <is>
          <t>K</t>
        </is>
      </c>
      <c r="O60" t="inlineStr">
        <is>
          <t>20231031</t>
        </is>
      </c>
      <c r="P60" t="inlineStr">
        <is>
          <t>Jawa Timur</t>
        </is>
      </c>
      <c r="Q60" t="inlineStr"/>
    </row>
    <row r="61">
      <c r="A61" t="inlineStr">
        <is>
          <t>CIPTA DYTAMA</t>
        </is>
      </c>
      <c r="B61" t="inlineStr">
        <is>
          <t>Kota Surabaya</t>
        </is>
      </c>
      <c r="C61" t="inlineStr">
        <is>
          <t>08133639417</t>
        </is>
      </c>
      <c r="D61" t="inlineStr">
        <is>
          <t>cvciptadytama2@outlook.com</t>
        </is>
      </c>
      <c r="E61" t="inlineStr">
        <is>
          <t>https://lpjk.pu.go.id/search-badan-usaha-detail/R2J2ckFGS0FodjJPQ3RVU3QrcVRyZz09</t>
        </is>
      </c>
      <c r="F61" t="n">
        <v>2</v>
      </c>
      <c r="G61" t="inlineStr">
        <is>
          <t>BG002</t>
        </is>
      </c>
      <c r="H61" t="inlineStr">
        <is>
          <t>28 September 1995</t>
        </is>
      </c>
      <c r="I61" s="2" t="n">
        <v>46327</v>
      </c>
      <c r="J61" t="inlineStr">
        <is>
          <t>Disetujui</t>
        </is>
      </c>
      <c r="K61" t="n">
        <v>90</v>
      </c>
      <c r="L61" t="inlineStr">
        <is>
          <t>1 November 2026</t>
        </is>
      </c>
      <c r="M61" t="inlineStr">
        <is>
          <t>Konstruksi Gedung Perkantoran</t>
        </is>
      </c>
      <c r="N61" t="inlineStr">
        <is>
          <t>K</t>
        </is>
      </c>
      <c r="O61" t="inlineStr">
        <is>
          <t>20231025</t>
        </is>
      </c>
      <c r="P61" t="inlineStr">
        <is>
          <t>Jawa Timur</t>
        </is>
      </c>
      <c r="Q61" t="inlineStr"/>
    </row>
    <row r="62">
      <c r="A62" t="inlineStr">
        <is>
          <t>CIPTA JAYA PIRANTI</t>
        </is>
      </c>
      <c r="B62" t="inlineStr">
        <is>
          <t>Kota Adm. Jakarta Pusat</t>
        </is>
      </c>
      <c r="C62" t="inlineStr">
        <is>
          <t>08112334567</t>
        </is>
      </c>
      <c r="D62" t="inlineStr">
        <is>
          <t>pt.cijati@gmail.com</t>
        </is>
      </c>
      <c r="E62" t="inlineStr">
        <is>
          <t>https://lpjk.pu.go.id/search-badan-usaha-detail/WHBzMUZIVEFjMW5SbTFxNUozaUliUT09</t>
        </is>
      </c>
      <c r="F62" t="n">
        <v>12</v>
      </c>
      <c r="G62" t="inlineStr">
        <is>
          <t>BG001, BG002, BG005, BG006, BG009, BS001</t>
        </is>
      </c>
      <c r="H62" t="inlineStr">
        <is>
          <t>5 Juni 2023</t>
        </is>
      </c>
      <c r="I62" s="2" t="n">
        <v>46327</v>
      </c>
      <c r="J62" t="inlineStr">
        <is>
          <t>Disetujui</t>
        </is>
      </c>
      <c r="K62" t="n">
        <v>90</v>
      </c>
      <c r="L62" t="inlineStr">
        <is>
          <t>1 November 2026</t>
        </is>
      </c>
      <c r="M62" t="inlineStr">
        <is>
          <t>Konstruksi Bangunan Sipil Jalan, Konstruksi Gedung Hunian, Konstruksi Gedung Kesehatan, Konstruksi Gedung Lainnya, Konstruksi Gedung Pendidikan, Konstruksi Gedung Perkantoran</t>
        </is>
      </c>
      <c r="N62" t="inlineStr">
        <is>
          <t>K</t>
        </is>
      </c>
      <c r="O62" t="inlineStr">
        <is>
          <t>20231101, 20231102</t>
        </is>
      </c>
      <c r="P62" t="inlineStr">
        <is>
          <t>DKI Jakarta</t>
        </is>
      </c>
      <c r="Q62" t="inlineStr"/>
    </row>
    <row r="63">
      <c r="A63" t="inlineStr">
        <is>
          <t>CITRA ABADI</t>
        </is>
      </c>
      <c r="B63" t="inlineStr">
        <is>
          <t>Kab. Sumenep</t>
        </is>
      </c>
      <c r="C63" t="inlineStr">
        <is>
          <t>081919673289</t>
        </is>
      </c>
      <c r="D63" t="inlineStr">
        <is>
          <t>cvcitraabadi81@gmail.com</t>
        </is>
      </c>
      <c r="E63" t="inlineStr">
        <is>
          <t>https://lpjk.pu.go.id/search-badan-usaha-detail/OE82RmUrWFF5bVNkQnJOSTRRZGFOZz09</t>
        </is>
      </c>
      <c r="F63" t="n">
        <v>1</v>
      </c>
      <c r="G63" t="inlineStr">
        <is>
          <t>BS005</t>
        </is>
      </c>
      <c r="H63" t="inlineStr">
        <is>
          <t>21 Februari 2003</t>
        </is>
      </c>
      <c r="I63" s="2" t="n">
        <v>46327</v>
      </c>
      <c r="J63" t="inlineStr">
        <is>
          <t>Disetujui</t>
        </is>
      </c>
      <c r="K63" t="n">
        <v>90</v>
      </c>
      <c r="L63" t="inlineStr">
        <is>
          <t>1 November 2026</t>
        </is>
      </c>
      <c r="M63" t="inlineStr">
        <is>
          <t>Konstruksi Bangunan Sipil Pengolahan Air Bersih</t>
        </is>
      </c>
      <c r="N63" t="inlineStr">
        <is>
          <t>K</t>
        </is>
      </c>
      <c r="O63" t="inlineStr">
        <is>
          <t>20231031</t>
        </is>
      </c>
      <c r="P63" t="inlineStr">
        <is>
          <t>Jawa Timur</t>
        </is>
      </c>
      <c r="Q63" t="inlineStr"/>
    </row>
    <row r="64">
      <c r="A64" t="inlineStr">
        <is>
          <t>DEMI KARYA</t>
        </is>
      </c>
      <c r="B64" t="inlineStr">
        <is>
          <t>Kab. Sukabumi</t>
        </is>
      </c>
      <c r="C64" t="inlineStr">
        <is>
          <t>081333252938</t>
        </is>
      </c>
      <c r="D64" t="inlineStr">
        <is>
          <t>cvdemikarya@gmail.com</t>
        </is>
      </c>
      <c r="E64" t="inlineStr">
        <is>
          <t>https://lpjk.pu.go.id/search-badan-usaha-detail/RzYyeHRPMmJSMDlramtKZVlKRFc0QT09</t>
        </is>
      </c>
      <c r="F64" t="n">
        <v>1</v>
      </c>
      <c r="G64" t="inlineStr">
        <is>
          <t>BG005</t>
        </is>
      </c>
      <c r="H64" t="inlineStr">
        <is>
          <t>29 Desember 1999</t>
        </is>
      </c>
      <c r="I64" s="2" t="n">
        <v>46327</v>
      </c>
      <c r="J64" t="inlineStr">
        <is>
          <t>Disetujui</t>
        </is>
      </c>
      <c r="K64" t="n">
        <v>90</v>
      </c>
      <c r="L64" t="inlineStr">
        <is>
          <t>1 November 2026</t>
        </is>
      </c>
      <c r="M64" t="inlineStr">
        <is>
          <t>Konstruksi Gedung Kesehatan</t>
        </is>
      </c>
      <c r="N64" t="inlineStr">
        <is>
          <t>K</t>
        </is>
      </c>
      <c r="O64" t="inlineStr">
        <is>
          <t>20231020</t>
        </is>
      </c>
      <c r="P64" t="inlineStr">
        <is>
          <t>Jawa Barat</t>
        </is>
      </c>
      <c r="Q64" t="inlineStr"/>
    </row>
    <row r="65">
      <c r="A65" t="inlineStr">
        <is>
          <t>DEVARA TEKHNIKA PERSADA</t>
        </is>
      </c>
      <c r="B65" t="inlineStr">
        <is>
          <t>Kab. Banyuwangi</t>
        </is>
      </c>
      <c r="C65" t="inlineStr">
        <is>
          <t>081259123505</t>
        </is>
      </c>
      <c r="D65" t="inlineStr">
        <is>
          <t>devaratekhnika@gmail.com</t>
        </is>
      </c>
      <c r="E65" t="inlineStr">
        <is>
          <t>https://lpjk.pu.go.id/search-badan-usaha-detail/RzA0d20ybmMyMU80YVlQdk1xVEZlQT09</t>
        </is>
      </c>
      <c r="F65" t="n">
        <v>2</v>
      </c>
      <c r="G65" t="inlineStr">
        <is>
          <t>BG006, BS001</t>
        </is>
      </c>
      <c r="H65" t="inlineStr">
        <is>
          <t>12 Juni 2023</t>
        </is>
      </c>
      <c r="I65" s="2" t="n">
        <v>46327</v>
      </c>
      <c r="J65" t="inlineStr">
        <is>
          <t>Disetujui</t>
        </is>
      </c>
      <c r="K65" t="n">
        <v>90</v>
      </c>
      <c r="L65" t="inlineStr">
        <is>
          <t>1 November 2026</t>
        </is>
      </c>
      <c r="M65" t="inlineStr">
        <is>
          <t>Konstruksi Bangunan Sipil Jalan, Konstruksi Gedung Pendidikan</t>
        </is>
      </c>
      <c r="N65" t="inlineStr">
        <is>
          <t>K</t>
        </is>
      </c>
      <c r="O65" t="inlineStr">
        <is>
          <t>20231030</t>
        </is>
      </c>
      <c r="P65" t="inlineStr">
        <is>
          <t>Jawa Timur</t>
        </is>
      </c>
      <c r="Q65" t="inlineStr"/>
    </row>
    <row r="66">
      <c r="A66" t="inlineStr">
        <is>
          <t>DHARMA PUTRA UTAMA</t>
        </is>
      </c>
      <c r="B66" t="inlineStr">
        <is>
          <t>Kab. Jombang</t>
        </is>
      </c>
      <c r="C66" t="inlineStr">
        <is>
          <t>0321866479</t>
        </is>
      </c>
      <c r="D66" t="inlineStr">
        <is>
          <t>dharmaputrautama8@gmail.com</t>
        </is>
      </c>
      <c r="E66" t="inlineStr">
        <is>
          <t>https://lpjk.pu.go.id/search-badan-usaha-detail/UWN2dk9xSDltOHc0MFRHa3hzanVoZz09</t>
        </is>
      </c>
      <c r="F66" t="n">
        <v>1</v>
      </c>
      <c r="G66" t="inlineStr">
        <is>
          <t>BG004</t>
        </is>
      </c>
      <c r="H66" t="inlineStr">
        <is>
          <t>24 Oktober 2002</t>
        </is>
      </c>
      <c r="I66" s="2" t="n">
        <v>46327</v>
      </c>
      <c r="J66" t="inlineStr">
        <is>
          <t>Disetujui</t>
        </is>
      </c>
      <c r="K66" t="n">
        <v>90</v>
      </c>
      <c r="L66" t="inlineStr">
        <is>
          <t>1 November 2026</t>
        </is>
      </c>
      <c r="M66" t="inlineStr">
        <is>
          <t>Konstruksi Gedung Perbelanjaan</t>
        </is>
      </c>
      <c r="N66" t="inlineStr">
        <is>
          <t>K</t>
        </is>
      </c>
      <c r="O66" t="inlineStr">
        <is>
          <t>20231027</t>
        </is>
      </c>
      <c r="P66" t="inlineStr">
        <is>
          <t>Jawa Timur</t>
        </is>
      </c>
      <c r="Q66" t="inlineStr"/>
    </row>
    <row r="67">
      <c r="A67" t="inlineStr">
        <is>
          <t>DRAJAT SAUDARA UTAMA</t>
        </is>
      </c>
      <c r="B67" t="inlineStr">
        <is>
          <t>Kab. Karawang</t>
        </is>
      </c>
      <c r="C67" t="inlineStr">
        <is>
          <t>081220005861</t>
        </is>
      </c>
      <c r="D67" t="inlineStr">
        <is>
          <t>manage@drajatsaudarautama.com</t>
        </is>
      </c>
      <c r="E67" t="inlineStr">
        <is>
          <t>https://lpjk.pu.go.id/search-badan-usaha-detail/NHBZa21ZcEN1aStvTHJpVDZwVHBWdz09</t>
        </is>
      </c>
      <c r="F67" t="n">
        <v>1</v>
      </c>
      <c r="G67" t="inlineStr">
        <is>
          <t>BG009</t>
        </is>
      </c>
      <c r="H67" t="inlineStr">
        <is>
          <t>4 September 2023</t>
        </is>
      </c>
      <c r="I67" s="2" t="n">
        <v>46327</v>
      </c>
      <c r="J67" t="inlineStr">
        <is>
          <t>Disetujui</t>
        </is>
      </c>
      <c r="K67" t="n">
        <v>90</v>
      </c>
      <c r="L67" t="inlineStr">
        <is>
          <t>1 November 2026</t>
        </is>
      </c>
      <c r="M67" t="inlineStr">
        <is>
          <t>Konstruksi Gedung Lainnya</t>
        </is>
      </c>
      <c r="N67" t="inlineStr">
        <is>
          <t>K</t>
        </is>
      </c>
      <c r="O67" t="inlineStr">
        <is>
          <t>20231101</t>
        </is>
      </c>
      <c r="P67" t="inlineStr">
        <is>
          <t>Jawa Barat</t>
        </is>
      </c>
      <c r="Q67" t="inlineStr"/>
    </row>
    <row r="68">
      <c r="A68" t="inlineStr">
        <is>
          <t>DUTA AGUNG PERSADA</t>
        </is>
      </c>
      <c r="B68" t="inlineStr">
        <is>
          <t>Kota Bandar Lampung</t>
        </is>
      </c>
      <c r="C68" t="inlineStr">
        <is>
          <t>081389081399</t>
        </is>
      </c>
      <c r="D68" t="inlineStr">
        <is>
          <t>dutaagungpersada@gmail.com</t>
        </is>
      </c>
      <c r="E68" t="inlineStr">
        <is>
          <t>https://lpjk.pu.go.id/search-badan-usaha-detail/WnhkT1dHZEIvUUdFYjRhTkVISjI3dz09</t>
        </is>
      </c>
      <c r="F68" t="n">
        <v>1</v>
      </c>
      <c r="G68" t="inlineStr">
        <is>
          <t>BG006</t>
        </is>
      </c>
      <c r="H68" t="inlineStr">
        <is>
          <t>30 Maret 1999</t>
        </is>
      </c>
      <c r="I68" s="2" t="n">
        <v>46327</v>
      </c>
      <c r="J68" t="inlineStr">
        <is>
          <t>Disetujui</t>
        </is>
      </c>
      <c r="K68" t="n">
        <v>90</v>
      </c>
      <c r="L68" t="inlineStr">
        <is>
          <t>1 November 2026</t>
        </is>
      </c>
      <c r="M68" t="inlineStr">
        <is>
          <t>Konstruksi Gedung Pendidikan</t>
        </is>
      </c>
      <c r="N68" t="inlineStr">
        <is>
          <t>K</t>
        </is>
      </c>
      <c r="O68" t="inlineStr">
        <is>
          <t>20231031</t>
        </is>
      </c>
      <c r="P68" t="inlineStr">
        <is>
          <t>Lampung</t>
        </is>
      </c>
      <c r="Q68" t="inlineStr"/>
    </row>
    <row r="69">
      <c r="A69" t="inlineStr">
        <is>
          <t>DUTA NANGGROE</t>
        </is>
      </c>
      <c r="B69" t="inlineStr">
        <is>
          <t>Kab. Aceh Besar</t>
        </is>
      </c>
      <c r="C69" t="inlineStr">
        <is>
          <t>082237834301</t>
        </is>
      </c>
      <c r="D69" t="inlineStr">
        <is>
          <t>dutananggroe2020@gmail.com</t>
        </is>
      </c>
      <c r="E69" t="inlineStr">
        <is>
          <t>https://lpjk.pu.go.id/search-badan-usaha-detail/SEJWeEpSZWNiRXlJYVZQODVsYzBvQT09</t>
        </is>
      </c>
      <c r="F69" t="n">
        <v>3</v>
      </c>
      <c r="G69" t="inlineStr">
        <is>
          <t>RK001, RK003, RK005</t>
        </is>
      </c>
      <c r="H69" t="inlineStr">
        <is>
          <t>17 Maret 2010</t>
        </is>
      </c>
      <c r="I69" s="2" t="n">
        <v>46327</v>
      </c>
      <c r="J69" t="inlineStr">
        <is>
          <t>Disetujui</t>
        </is>
      </c>
      <c r="K69" t="n">
        <v>90</v>
      </c>
      <c r="L69" t="inlineStr">
        <is>
          <t>1 November 2026</t>
        </is>
      </c>
      <c r="M69" t="inlineStr">
        <is>
          <t>Jasa Rekayasa Konstruksi Bangunan Gedung Hunian dan Non Hunian, Jasa Rekayasa Lainnya, Jasa Rekayasa Pekerjaan Teknik Sipil Transportasi</t>
        </is>
      </c>
      <c r="N69" t="inlineStr">
        <is>
          <t>K</t>
        </is>
      </c>
      <c r="O69" t="inlineStr">
        <is>
          <t>20231020</t>
        </is>
      </c>
      <c r="P69" t="inlineStr">
        <is>
          <t>Aceh</t>
        </is>
      </c>
      <c r="Q69" t="inlineStr"/>
    </row>
    <row r="70">
      <c r="A70" t="inlineStr">
        <is>
          <t>DVISHASRA SAPTADASA</t>
        </is>
      </c>
      <c r="B70" t="inlineStr">
        <is>
          <t>Kota Bandung</t>
        </is>
      </c>
      <c r="C70" t="inlineStr">
        <is>
          <t>08112335344</t>
        </is>
      </c>
      <c r="D70" t="inlineStr">
        <is>
          <t>dvishasra.saptadasa@gmail.com</t>
        </is>
      </c>
      <c r="E70" t="inlineStr">
        <is>
          <t>https://lpjk.pu.go.id/search-badan-usaha-detail/RDhBcGxHU0Nocm5NWS82QTdKMXdtZz09</t>
        </is>
      </c>
      <c r="F70" t="n">
        <v>1</v>
      </c>
      <c r="G70" t="inlineStr">
        <is>
          <t>BS004</t>
        </is>
      </c>
      <c r="H70" t="inlineStr">
        <is>
          <t>1 Desember 2020</t>
        </is>
      </c>
      <c r="I70" s="2" t="n">
        <v>46327</v>
      </c>
      <c r="J70" t="inlineStr">
        <is>
          <t>Disetujui</t>
        </is>
      </c>
      <c r="K70" t="n">
        <v>90</v>
      </c>
      <c r="L70" t="inlineStr">
        <is>
          <t>1 November 2026</t>
        </is>
      </c>
      <c r="M70" t="inlineStr">
        <is>
          <t>Konstruksi Jaringan Irigasi dan Drainase</t>
        </is>
      </c>
      <c r="N70" t="inlineStr">
        <is>
          <t>K</t>
        </is>
      </c>
      <c r="O70" t="inlineStr">
        <is>
          <t>20231030</t>
        </is>
      </c>
      <c r="P70" t="inlineStr">
        <is>
          <t>Jawa Barat</t>
        </is>
      </c>
      <c r="Q70" t="inlineStr"/>
    </row>
    <row r="71">
      <c r="A71" t="inlineStr">
        <is>
          <t>ENAM PUTRA LOUW</t>
        </is>
      </c>
      <c r="B71" t="inlineStr">
        <is>
          <t>Kab. Maluku Tengah</t>
        </is>
      </c>
      <c r="C71" t="inlineStr">
        <is>
          <t>082198660965</t>
        </is>
      </c>
      <c r="D71" t="inlineStr">
        <is>
          <t>ohorellakuraisin@gmail.com</t>
        </is>
      </c>
      <c r="E71" t="inlineStr">
        <is>
          <t>https://lpjk.pu.go.id/search-badan-usaha-detail/a3h6am5oVmgzalRvOXBNY1VQV1kzZz09</t>
        </is>
      </c>
      <c r="F71" t="n">
        <v>2</v>
      </c>
      <c r="G71" t="inlineStr">
        <is>
          <t>BG009, BS010</t>
        </is>
      </c>
      <c r="H71" t="inlineStr">
        <is>
          <t>9 Februari 2023</t>
        </is>
      </c>
      <c r="I71" s="2" t="n">
        <v>46327</v>
      </c>
      <c r="J71" t="inlineStr">
        <is>
          <t>Disetujui</t>
        </is>
      </c>
      <c r="K71" t="n">
        <v>90</v>
      </c>
      <c r="L71" t="inlineStr">
        <is>
          <t>1 November 2026</t>
        </is>
      </c>
      <c r="M71" t="inlineStr">
        <is>
          <t>Konstruksi Bangunan Prasarana Sumber Daya Air, Konstruksi Gedung Lainnya</t>
        </is>
      </c>
      <c r="N71" t="inlineStr">
        <is>
          <t>K</t>
        </is>
      </c>
      <c r="O71" t="inlineStr">
        <is>
          <t>20231024, 20231026</t>
        </is>
      </c>
      <c r="P71" t="inlineStr">
        <is>
          <t>Maluku</t>
        </is>
      </c>
      <c r="Q71" t="inlineStr"/>
    </row>
    <row r="72">
      <c r="A72" t="inlineStr">
        <is>
          <t>FARSYAH CIPTA BERSAMA</t>
        </is>
      </c>
      <c r="B72" t="inlineStr">
        <is>
          <t>Kota Bitung</t>
        </is>
      </c>
      <c r="C72" t="inlineStr">
        <is>
          <t>0</t>
        </is>
      </c>
      <c r="D72" t="inlineStr">
        <is>
          <t>cv.farsyahciptabersama@gmail.com</t>
        </is>
      </c>
      <c r="E72" t="inlineStr">
        <is>
          <t>https://lpjk.pu.go.id/search-badan-usaha-detail/bDY4VVl1MkwxMnZGNXRjaVp3Yzk5Zz09</t>
        </is>
      </c>
      <c r="F72" t="n">
        <v>1</v>
      </c>
      <c r="G72" t="inlineStr">
        <is>
          <t>BG001</t>
        </is>
      </c>
      <c r="H72" t="inlineStr">
        <is>
          <t>14 Januari 2020</t>
        </is>
      </c>
      <c r="I72" s="2" t="n">
        <v>46327</v>
      </c>
      <c r="J72" t="inlineStr">
        <is>
          <t>Disetujui</t>
        </is>
      </c>
      <c r="K72" t="n">
        <v>90</v>
      </c>
      <c r="L72" t="inlineStr">
        <is>
          <t>1 November 2026</t>
        </is>
      </c>
      <c r="M72" t="inlineStr">
        <is>
          <t>Konstruksi Gedung Hunian</t>
        </is>
      </c>
      <c r="N72" t="inlineStr">
        <is>
          <t>K</t>
        </is>
      </c>
      <c r="O72" t="inlineStr">
        <is>
          <t>20231030</t>
        </is>
      </c>
      <c r="P72" t="inlineStr">
        <is>
          <t>Sulawesi Utara</t>
        </is>
      </c>
      <c r="Q72" t="inlineStr"/>
    </row>
    <row r="73">
      <c r="A73" t="inlineStr">
        <is>
          <t>GADING MAS</t>
        </is>
      </c>
      <c r="B73" t="inlineStr">
        <is>
          <t>Kota Medan</t>
        </is>
      </c>
      <c r="C73" t="inlineStr">
        <is>
          <t>085324042404</t>
        </is>
      </c>
      <c r="D73" t="inlineStr">
        <is>
          <t>gadingmas2016@gmail.com</t>
        </is>
      </c>
      <c r="E73" t="inlineStr">
        <is>
          <t>https://lpjk.pu.go.id/search-badan-usaha-detail/SFpOaXdkcy9oRHBONUZxaCtGUE9Ndz09</t>
        </is>
      </c>
      <c r="F73" t="n">
        <v>1</v>
      </c>
      <c r="G73" t="inlineStr">
        <is>
          <t>BS002</t>
        </is>
      </c>
      <c r="H73" t="inlineStr">
        <is>
          <t>9 Juni 2016</t>
        </is>
      </c>
      <c r="I73" s="2" t="n">
        <v>46327</v>
      </c>
      <c r="J73" t="inlineStr">
        <is>
          <t>Disetujui</t>
        </is>
      </c>
      <c r="K73" t="n">
        <v>90</v>
      </c>
      <c r="L73" t="inlineStr">
        <is>
          <t>1 November 2026</t>
        </is>
      </c>
      <c r="M73" t="inlineStr">
        <is>
          <t>Bangunan Sipil Jembatan, Jalan Layang, Fly Over, dan Underpass</t>
        </is>
      </c>
      <c r="N73" t="inlineStr">
        <is>
          <t>K</t>
        </is>
      </c>
      <c r="O73" t="inlineStr">
        <is>
          <t>20231101</t>
        </is>
      </c>
      <c r="P73" t="inlineStr">
        <is>
          <t>Sumatera Utara</t>
        </is>
      </c>
      <c r="Q73" t="inlineStr"/>
    </row>
    <row r="74">
      <c r="A74" t="inlineStr">
        <is>
          <t>GALUH MOTEKAR</t>
        </is>
      </c>
      <c r="B74" t="inlineStr">
        <is>
          <t>Kab. Ciamis</t>
        </is>
      </c>
      <c r="C74" t="inlineStr">
        <is>
          <t>082219008147</t>
        </is>
      </c>
      <c r="D74" t="inlineStr">
        <is>
          <t>galuhmotekarcv07@gmail.com</t>
        </is>
      </c>
      <c r="E74" t="inlineStr">
        <is>
          <t>https://lpjk.pu.go.id/search-badan-usaha-detail/bkRtSkZCck4vVzhBMituSU5iV3pmUT09</t>
        </is>
      </c>
      <c r="F74" t="n">
        <v>1</v>
      </c>
      <c r="G74" t="inlineStr">
        <is>
          <t>BS001</t>
        </is>
      </c>
      <c r="H74" t="inlineStr">
        <is>
          <t>19 Januari 2017</t>
        </is>
      </c>
      <c r="I74" s="2" t="n">
        <v>46327</v>
      </c>
      <c r="J74" t="inlineStr">
        <is>
          <t>Disetujui</t>
        </is>
      </c>
      <c r="K74" t="n">
        <v>90</v>
      </c>
      <c r="L74" t="inlineStr">
        <is>
          <t>1 November 2026</t>
        </is>
      </c>
      <c r="M74" t="inlineStr">
        <is>
          <t>Konstruksi Bangunan Sipil Jalan</t>
        </is>
      </c>
      <c r="N74" t="inlineStr">
        <is>
          <t>K</t>
        </is>
      </c>
      <c r="O74" t="inlineStr">
        <is>
          <t>20231101</t>
        </is>
      </c>
      <c r="P74" t="inlineStr">
        <is>
          <t>Jawa Barat</t>
        </is>
      </c>
      <c r="Q74" t="inlineStr"/>
    </row>
    <row r="75">
      <c r="A75" t="inlineStr">
        <is>
          <t>GARASI SENTRA INDONESIA</t>
        </is>
      </c>
      <c r="B75" t="inlineStr">
        <is>
          <t>Kota Adm. Jakarta Selatan</t>
        </is>
      </c>
      <c r="C75" t="inlineStr">
        <is>
          <t>081994096479</t>
        </is>
      </c>
      <c r="D75" t="inlineStr">
        <is>
          <t>gasensia@gmail.com</t>
        </is>
      </c>
      <c r="E75" t="inlineStr">
        <is>
          <t>https://lpjk.pu.go.id/search-badan-usaha-detail/QXlwZW5neVRaQXBETnFDKzFpdEh4Zz09</t>
        </is>
      </c>
      <c r="F75" t="n">
        <v>1</v>
      </c>
      <c r="G75" t="inlineStr">
        <is>
          <t>BG003</t>
        </is>
      </c>
      <c r="H75" t="inlineStr">
        <is>
          <t>12 Februari 2019</t>
        </is>
      </c>
      <c r="I75" s="2" t="n">
        <v>46327</v>
      </c>
      <c r="J75" t="inlineStr">
        <is>
          <t>Pencabutan</t>
        </is>
      </c>
      <c r="K75" t="n">
        <v>90</v>
      </c>
      <c r="L75" t="inlineStr">
        <is>
          <t>1 November 2026</t>
        </is>
      </c>
      <c r="M75" t="inlineStr">
        <is>
          <t>Konstruksi Gedung Industri</t>
        </is>
      </c>
      <c r="N75" t="inlineStr">
        <is>
          <t>K</t>
        </is>
      </c>
      <c r="O75" t="inlineStr">
        <is>
          <t>20231031</t>
        </is>
      </c>
      <c r="P75" t="inlineStr">
        <is>
          <t>DKI Jakarta</t>
        </is>
      </c>
      <c r="Q75" t="inlineStr"/>
    </row>
    <row r="76">
      <c r="A76" t="inlineStr">
        <is>
          <t>GAZALA SEJAHTERA MADANI</t>
        </is>
      </c>
      <c r="B76" t="inlineStr">
        <is>
          <t>Kab. Langkat</t>
        </is>
      </c>
      <c r="C76" t="inlineStr">
        <is>
          <t>085757774014</t>
        </is>
      </c>
      <c r="D76" t="inlineStr">
        <is>
          <t>gazalasejahteramadani@yahoo.com</t>
        </is>
      </c>
      <c r="E76" t="inlineStr">
        <is>
          <t>https://lpjk.pu.go.id/search-badan-usaha-detail/V2ZCQmpycUtRVVVVM0g1MWQzRDBQZz09</t>
        </is>
      </c>
      <c r="F76" t="n">
        <v>5</v>
      </c>
      <c r="G76" t="inlineStr">
        <is>
          <t>BG001, BG003, BG004, BG006, BG009</t>
        </is>
      </c>
      <c r="H76" t="inlineStr">
        <is>
          <t>22 Juni 2021</t>
        </is>
      </c>
      <c r="I76" s="2" t="n">
        <v>46327</v>
      </c>
      <c r="J76" t="inlineStr">
        <is>
          <t>Disetujui</t>
        </is>
      </c>
      <c r="K76" t="n">
        <v>90</v>
      </c>
      <c r="L76" t="inlineStr">
        <is>
          <t>1 November 2026</t>
        </is>
      </c>
      <c r="M76" t="inlineStr">
        <is>
          <t>Konstruksi Gedung Hunian, Konstruksi Gedung Industri, Konstruksi Gedung Lainnya, Konstruksi Gedung Pendidikan, Konstruksi Gedung Perbelanjaan</t>
        </is>
      </c>
      <c r="N76" t="inlineStr">
        <is>
          <t>K</t>
        </is>
      </c>
      <c r="O76" t="inlineStr">
        <is>
          <t>20231101</t>
        </is>
      </c>
      <c r="P76" t="inlineStr">
        <is>
          <t>Sumatera Utara</t>
        </is>
      </c>
      <c r="Q76" t="inlineStr"/>
    </row>
    <row r="77">
      <c r="A77" t="inlineStr">
        <is>
          <t>GEO ART SCIENCE</t>
        </is>
      </c>
      <c r="B77" t="inlineStr">
        <is>
          <t>Kab. Sleman</t>
        </is>
      </c>
      <c r="C77" t="inlineStr">
        <is>
          <t>085231596174</t>
        </is>
      </c>
      <c r="D77" t="inlineStr">
        <is>
          <t>geoartscience@gmail.com</t>
        </is>
      </c>
      <c r="E77" t="inlineStr">
        <is>
          <t>https://lpjk.pu.go.id/search-badan-usaha-detail/clpvelhFV2g3aWhBbWhqbytlQ3o3UT09</t>
        </is>
      </c>
      <c r="F77" t="n">
        <v>1</v>
      </c>
      <c r="G77" t="inlineStr">
        <is>
          <t>AL001</t>
        </is>
      </c>
      <c r="H77" t="inlineStr">
        <is>
          <t>8 September 2015</t>
        </is>
      </c>
      <c r="I77" s="2" t="n">
        <v>46327</v>
      </c>
      <c r="J77" t="inlineStr">
        <is>
          <t>Disetujui</t>
        </is>
      </c>
      <c r="K77" t="n">
        <v>90</v>
      </c>
      <c r="L77" t="inlineStr">
        <is>
          <t>1 November 2026</t>
        </is>
      </c>
      <c r="M77" t="inlineStr">
        <is>
          <t>Jasa Pengembangan Pemanfaatan Ruang</t>
        </is>
      </c>
      <c r="N77" t="inlineStr">
        <is>
          <t>K</t>
        </is>
      </c>
      <c r="O77" t="inlineStr">
        <is>
          <t>20231024</t>
        </is>
      </c>
      <c r="P77" t="inlineStr">
        <is>
          <t>DI Yogyakarta</t>
        </is>
      </c>
      <c r="Q77" t="inlineStr"/>
    </row>
    <row r="78">
      <c r="A78" t="inlineStr">
        <is>
          <t>GUNUNG TERANG ABADI</t>
        </is>
      </c>
      <c r="B78" t="inlineStr">
        <is>
          <t>Kab. Barito Selatan</t>
        </is>
      </c>
      <c r="C78" t="inlineStr">
        <is>
          <t>081248561088</t>
        </is>
      </c>
      <c r="D78" t="inlineStr">
        <is>
          <t>cv.gunungterangabadi@gmail.com</t>
        </is>
      </c>
      <c r="E78" t="inlineStr">
        <is>
          <t>https://lpjk.pu.go.id/search-badan-usaha-detail/MHg1dFFGRUErQUV5UHBLMytySDFiUT09</t>
        </is>
      </c>
      <c r="F78" t="n">
        <v>2</v>
      </c>
      <c r="G78" t="inlineStr">
        <is>
          <t>BG002, BG009</t>
        </is>
      </c>
      <c r="H78" t="inlineStr">
        <is>
          <t>29 September 2023</t>
        </is>
      </c>
      <c r="I78" s="2" t="n">
        <v>46327</v>
      </c>
      <c r="J78" t="inlineStr">
        <is>
          <t>Disetujui</t>
        </is>
      </c>
      <c r="K78" t="n">
        <v>90</v>
      </c>
      <c r="L78" t="inlineStr">
        <is>
          <t>1 November 2026</t>
        </is>
      </c>
      <c r="M78" t="inlineStr">
        <is>
          <t>Konstruksi Gedung Lainnya, Konstruksi Gedung Perkantoran</t>
        </is>
      </c>
      <c r="N78" t="inlineStr">
        <is>
          <t>K</t>
        </is>
      </c>
      <c r="O78" t="inlineStr">
        <is>
          <t>20231101</t>
        </is>
      </c>
      <c r="P78" t="inlineStr">
        <is>
          <t>Kalimantan Tengah</t>
        </is>
      </c>
      <c r="Q78" t="inlineStr"/>
    </row>
    <row r="79">
      <c r="A79" t="inlineStr">
        <is>
          <t>HADI KARYA WISESA</t>
        </is>
      </c>
      <c r="B79" t="inlineStr">
        <is>
          <t>Kab. Karawang</t>
        </is>
      </c>
      <c r="C79" t="inlineStr">
        <is>
          <t>081584484778</t>
        </is>
      </c>
      <c r="D79" t="inlineStr">
        <is>
          <t>cv.hadikarya123@gmail.com</t>
        </is>
      </c>
      <c r="E79" t="inlineStr">
        <is>
          <t>https://lpjk.pu.go.id/search-badan-usaha-detail/TlJ3SW9QdVAvejl3Q2RRdUxkZzlZdz09</t>
        </is>
      </c>
      <c r="F79" t="n">
        <v>1</v>
      </c>
      <c r="G79" t="inlineStr">
        <is>
          <t>BG001</t>
        </is>
      </c>
      <c r="H79" t="inlineStr">
        <is>
          <t>25 Januari 2016</t>
        </is>
      </c>
      <c r="I79" s="2" t="n">
        <v>46327</v>
      </c>
      <c r="J79" t="inlineStr">
        <is>
          <t>Disetujui</t>
        </is>
      </c>
      <c r="K79" t="n">
        <v>90</v>
      </c>
      <c r="L79" t="inlineStr">
        <is>
          <t>1 November 2026</t>
        </is>
      </c>
      <c r="M79" t="inlineStr">
        <is>
          <t>Konstruksi Gedung Hunian</t>
        </is>
      </c>
      <c r="N79" t="inlineStr">
        <is>
          <t>K</t>
        </is>
      </c>
      <c r="O79" t="inlineStr">
        <is>
          <t>20231101</t>
        </is>
      </c>
      <c r="P79" t="inlineStr">
        <is>
          <t>Jawa Barat</t>
        </is>
      </c>
      <c r="Q79" t="inlineStr"/>
    </row>
    <row r="80">
      <c r="A80" t="inlineStr">
        <is>
          <t>HARMONY RAYA</t>
        </is>
      </c>
      <c r="B80" t="inlineStr">
        <is>
          <t>Kab. Gresik</t>
        </is>
      </c>
      <c r="C80" t="inlineStr">
        <is>
          <t>081330180510</t>
        </is>
      </c>
      <c r="D80" t="inlineStr">
        <is>
          <t>harmonyrayacv@gmail.com</t>
        </is>
      </c>
      <c r="E80" t="inlineStr">
        <is>
          <t>https://lpjk.pu.go.id/search-badan-usaha-detail/MkRXVTJyVnVBb2hXUjRPejVNekFiQT09</t>
        </is>
      </c>
      <c r="F80" t="n">
        <v>1</v>
      </c>
      <c r="G80" t="inlineStr">
        <is>
          <t>BS001</t>
        </is>
      </c>
      <c r="H80" t="inlineStr">
        <is>
          <t>12 Februari 2018</t>
        </is>
      </c>
      <c r="I80" s="2" t="n">
        <v>46327</v>
      </c>
      <c r="J80" t="inlineStr">
        <is>
          <t>Disetujui</t>
        </is>
      </c>
      <c r="K80" t="n">
        <v>90</v>
      </c>
      <c r="L80" t="inlineStr">
        <is>
          <t>1 November 2026</t>
        </is>
      </c>
      <c r="M80" t="inlineStr">
        <is>
          <t>Konstruksi Bangunan Sipil Jalan</t>
        </is>
      </c>
      <c r="N80" t="inlineStr">
        <is>
          <t>K</t>
        </is>
      </c>
      <c r="O80" t="inlineStr">
        <is>
          <t>20231025</t>
        </is>
      </c>
      <c r="P80" t="inlineStr">
        <is>
          <t>Jawa Timur</t>
        </is>
      </c>
      <c r="Q80" t="inlineStr"/>
    </row>
    <row r="81">
      <c r="A81" t="inlineStr">
        <is>
          <t>HASANA MITRA UTAMA</t>
        </is>
      </c>
      <c r="B81" t="inlineStr">
        <is>
          <t>Kota Adm. Jakarta Utara</t>
        </is>
      </c>
      <c r="C81" t="inlineStr">
        <is>
          <t>02193376336</t>
        </is>
      </c>
      <c r="D81" t="inlineStr">
        <is>
          <t>hamu2017@yahoo.com</t>
        </is>
      </c>
      <c r="E81" t="inlineStr">
        <is>
          <t>https://lpjk.pu.go.id/search-badan-usaha-detail/NFg2dEpxYTNQTURwYXltWE94QzliQT09</t>
        </is>
      </c>
      <c r="F81" t="n">
        <v>2</v>
      </c>
      <c r="G81" t="inlineStr">
        <is>
          <t>BG001, BG002</t>
        </is>
      </c>
      <c r="H81" t="inlineStr">
        <is>
          <t>23 Mei 2014</t>
        </is>
      </c>
      <c r="I81" s="2" t="n">
        <v>46327</v>
      </c>
      <c r="J81" t="inlineStr">
        <is>
          <t>Disetujui</t>
        </is>
      </c>
      <c r="K81" t="n">
        <v>90</v>
      </c>
      <c r="L81" t="inlineStr">
        <is>
          <t>1 November 2026</t>
        </is>
      </c>
      <c r="M81" t="inlineStr">
        <is>
          <t>Konstruksi Gedung Hunian, Konstruksi Gedung Perkantoran</t>
        </is>
      </c>
      <c r="N81" t="inlineStr">
        <is>
          <t>K</t>
        </is>
      </c>
      <c r="O81" t="inlineStr">
        <is>
          <t>20231030</t>
        </is>
      </c>
      <c r="P81" t="inlineStr">
        <is>
          <t>DKI Jakarta</t>
        </is>
      </c>
      <c r="Q81" t="inlineStr"/>
    </row>
    <row r="82">
      <c r="A82" t="inlineStr">
        <is>
          <t>HERA JAYA CONSULTANT</t>
        </is>
      </c>
      <c r="B82" t="inlineStr">
        <is>
          <t>Kota Pontianak</t>
        </is>
      </c>
      <c r="C82" t="inlineStr">
        <is>
          <t>082154314952</t>
        </is>
      </c>
      <c r="D82" t="inlineStr">
        <is>
          <t>eendra_17@yahoo.com</t>
        </is>
      </c>
      <c r="E82" t="inlineStr">
        <is>
          <t>https://lpjk.pu.go.id/search-badan-usaha-detail/YzEvaElzd1d0N1EvM2NIcVFiM3FZdUJIQ0Q5QUQwTWx1dDNpajhCa1I1QT0</t>
        </is>
      </c>
      <c r="F82" t="n">
        <v>2</v>
      </c>
      <c r="G82" t="inlineStr">
        <is>
          <t>RK001</t>
        </is>
      </c>
      <c r="H82" t="inlineStr">
        <is>
          <t>11 Januari 2022</t>
        </is>
      </c>
      <c r="I82" s="2" t="n">
        <v>46327</v>
      </c>
      <c r="J82" t="inlineStr">
        <is>
          <t>Disetujui</t>
        </is>
      </c>
      <c r="K82" t="n">
        <v>90</v>
      </c>
      <c r="L82" t="inlineStr">
        <is>
          <t>1 November 2026</t>
        </is>
      </c>
      <c r="M82" t="inlineStr">
        <is>
          <t>Jasa Rekayasa Konstruksi Bangunan Gedung Hunian dan Non Hunian</t>
        </is>
      </c>
      <c r="N82" t="inlineStr">
        <is>
          <t>K</t>
        </is>
      </c>
      <c r="O82" t="inlineStr">
        <is>
          <t>20231026</t>
        </is>
      </c>
      <c r="P82" t="inlineStr">
        <is>
          <t>Kalimantan Barat</t>
        </is>
      </c>
      <c r="Q82" t="inlineStr"/>
    </row>
    <row r="83">
      <c r="A83" t="inlineStr">
        <is>
          <t>HERANANDA SURYA PRATAMA</t>
        </is>
      </c>
      <c r="B83" t="inlineStr">
        <is>
          <t>Kota Samarinda</t>
        </is>
      </c>
      <c r="C83" t="inlineStr">
        <is>
          <t>081258380790</t>
        </is>
      </c>
      <c r="D83" t="inlineStr">
        <is>
          <t>heranandasuryapratamasmd@gmail.com</t>
        </is>
      </c>
      <c r="E83" t="inlineStr">
        <is>
          <t>https://lpjk.pu.go.id/search-badan-usaha-detail/RUcxakY3UjZpK3hub1g4UXVDbUc1UT09</t>
        </is>
      </c>
      <c r="F83" t="n">
        <v>2</v>
      </c>
      <c r="G83" t="inlineStr">
        <is>
          <t>BS002</t>
        </is>
      </c>
      <c r="H83" t="inlineStr">
        <is>
          <t>6 April 2017</t>
        </is>
      </c>
      <c r="I83" s="2" t="n">
        <v>46327</v>
      </c>
      <c r="J83" t="inlineStr">
        <is>
          <t>Pencabutan</t>
        </is>
      </c>
      <c r="K83" t="n">
        <v>90</v>
      </c>
      <c r="L83" t="inlineStr">
        <is>
          <t>1 November 2026</t>
        </is>
      </c>
      <c r="M83" t="inlineStr">
        <is>
          <t>Bangunan Sipil Jembatan, Jalan Layang, Fly Over, dan Underpass</t>
        </is>
      </c>
      <c r="N83" t="inlineStr">
        <is>
          <t>K</t>
        </is>
      </c>
      <c r="O83" t="inlineStr">
        <is>
          <t>20231101</t>
        </is>
      </c>
      <c r="P83" t="inlineStr">
        <is>
          <t>Kalimantan Timur</t>
        </is>
      </c>
      <c r="Q83" t="inlineStr"/>
    </row>
    <row r="84">
      <c r="A84" t="inlineStr">
        <is>
          <t>INDAH LESTARI</t>
        </is>
      </c>
      <c r="B84" t="inlineStr">
        <is>
          <t>Kab. Langkat</t>
        </is>
      </c>
      <c r="C84" t="inlineStr">
        <is>
          <t>08126363624</t>
        </is>
      </c>
      <c r="D84" t="inlineStr">
        <is>
          <t>CV.INDAHLESTARI@GMAIL.COM</t>
        </is>
      </c>
      <c r="E84" t="inlineStr">
        <is>
          <t>https://lpjk.pu.go.id/search-badan-usaha-detail/Y2NpenRMOWdMblZ1bWxkMmtVOGFvZz09</t>
        </is>
      </c>
      <c r="F84" t="n">
        <v>2</v>
      </c>
      <c r="G84" t="inlineStr">
        <is>
          <t>BG006, BG009</t>
        </is>
      </c>
      <c r="H84" t="inlineStr">
        <is>
          <t>19 Januari 2016</t>
        </is>
      </c>
      <c r="I84" s="2" t="n">
        <v>46327</v>
      </c>
      <c r="J84" t="inlineStr">
        <is>
          <t>Disetujui</t>
        </is>
      </c>
      <c r="K84" t="n">
        <v>90</v>
      </c>
      <c r="L84" t="inlineStr">
        <is>
          <t>1 November 2026</t>
        </is>
      </c>
      <c r="M84" t="inlineStr">
        <is>
          <t>Konstruksi Gedung Lainnya, Konstruksi Gedung Pendidikan</t>
        </is>
      </c>
      <c r="N84" t="inlineStr">
        <is>
          <t>K</t>
        </is>
      </c>
      <c r="O84" t="inlineStr">
        <is>
          <t>20231102</t>
        </is>
      </c>
      <c r="P84" t="inlineStr">
        <is>
          <t>Sumatera Utara</t>
        </is>
      </c>
      <c r="Q84" t="inlineStr"/>
    </row>
    <row r="85">
      <c r="A85" t="inlineStr">
        <is>
          <t>INTAN MAHKOTA BORNEO</t>
        </is>
      </c>
      <c r="B85" t="inlineStr">
        <is>
          <t>Kab. Tanjung Jabung Barat</t>
        </is>
      </c>
      <c r="C85" t="inlineStr">
        <is>
          <t>081379432289</t>
        </is>
      </c>
      <c r="D85" t="inlineStr">
        <is>
          <t>intanmahkotaborneo@gmail.com</t>
        </is>
      </c>
      <c r="E85" t="inlineStr">
        <is>
          <t>https://lpjk.pu.go.id/search-badan-usaha-detail/Qm96eFYxVGhGVnJqN0YxaXRjVUdiZz09</t>
        </is>
      </c>
      <c r="F85" t="n">
        <v>1</v>
      </c>
      <c r="G85" t="inlineStr">
        <is>
          <t>BG006</t>
        </is>
      </c>
      <c r="H85" t="inlineStr">
        <is>
          <t>26 Mei 2023</t>
        </is>
      </c>
      <c r="I85" s="2" t="n">
        <v>46327</v>
      </c>
      <c r="J85" t="inlineStr">
        <is>
          <t>Disetujui</t>
        </is>
      </c>
      <c r="K85" t="n">
        <v>90</v>
      </c>
      <c r="L85" t="inlineStr">
        <is>
          <t>1 November 2026</t>
        </is>
      </c>
      <c r="M85" t="inlineStr">
        <is>
          <t>Konstruksi Gedung Pendidikan</t>
        </is>
      </c>
      <c r="N85" t="inlineStr">
        <is>
          <t>K</t>
        </is>
      </c>
      <c r="O85" t="inlineStr">
        <is>
          <t>20231102</t>
        </is>
      </c>
      <c r="P85" t="inlineStr">
        <is>
          <t>Jambi</t>
        </is>
      </c>
      <c r="Q85" t="inlineStr"/>
    </row>
    <row r="86">
      <c r="A86" t="inlineStr">
        <is>
          <t>INTI BUMI MANDIRI</t>
        </is>
      </c>
      <c r="B86" t="inlineStr">
        <is>
          <t>Kota Bontang</t>
        </is>
      </c>
      <c r="C86" t="inlineStr">
        <is>
          <t>08129731724</t>
        </is>
      </c>
      <c r="D86" t="inlineStr">
        <is>
          <t>intibumimandiri@yahoo.com</t>
        </is>
      </c>
      <c r="E86" t="inlineStr">
        <is>
          <t>https://lpjk.pu.go.id/search-badan-usaha-detail/TG9iN1pkc3hFd29PZTlrdHFiTU1idz09</t>
        </is>
      </c>
      <c r="F86" t="n">
        <v>1</v>
      </c>
      <c r="G86" t="inlineStr">
        <is>
          <t>BS004</t>
        </is>
      </c>
      <c r="H86" t="inlineStr">
        <is>
          <t>8 Maret 2012</t>
        </is>
      </c>
      <c r="I86" s="2" t="n">
        <v>46327</v>
      </c>
      <c r="J86" t="inlineStr">
        <is>
          <t>Disetujui</t>
        </is>
      </c>
      <c r="K86" t="n">
        <v>90</v>
      </c>
      <c r="L86" t="inlineStr">
        <is>
          <t>1 November 2026</t>
        </is>
      </c>
      <c r="M86" t="inlineStr">
        <is>
          <t>Konstruksi Jaringan Irigasi dan Drainase</t>
        </is>
      </c>
      <c r="N86" t="inlineStr">
        <is>
          <t>K</t>
        </is>
      </c>
      <c r="O86" t="inlineStr">
        <is>
          <t>20231030</t>
        </is>
      </c>
      <c r="P86" t="inlineStr">
        <is>
          <t>Kalimantan Timur</t>
        </is>
      </c>
      <c r="Q86" t="inlineStr"/>
    </row>
    <row r="87">
      <c r="A87" t="inlineStr">
        <is>
          <t>JANUR EMAS</t>
        </is>
      </c>
      <c r="B87" t="inlineStr">
        <is>
          <t>Kota Mataram</t>
        </is>
      </c>
      <c r="C87" t="inlineStr">
        <is>
          <t>081933142261</t>
        </is>
      </c>
      <c r="D87" t="inlineStr">
        <is>
          <t>jayawiro75@gmail.com</t>
        </is>
      </c>
      <c r="E87" t="inlineStr">
        <is>
          <t>https://lpjk.pu.go.id/search-badan-usaha-detail/QkViLzZzaDhtSnhQZW9WbWhSNTg5SG5UNFdpOU5SS2FzR0lva0R6c3lmdz0</t>
        </is>
      </c>
      <c r="F87" t="n">
        <v>1</v>
      </c>
      <c r="G87" t="inlineStr">
        <is>
          <t>BS001</t>
        </is>
      </c>
      <c r="H87" t="inlineStr">
        <is>
          <t>29 Agustus 2025</t>
        </is>
      </c>
      <c r="I87" s="2" t="n">
        <v>46327</v>
      </c>
      <c r="J87" t="inlineStr">
        <is>
          <t>Disetujui</t>
        </is>
      </c>
      <c r="K87" t="n">
        <v>90</v>
      </c>
      <c r="L87" t="inlineStr">
        <is>
          <t>1 November 2026</t>
        </is>
      </c>
      <c r="M87" t="inlineStr">
        <is>
          <t>Konstruksi Bangunan Sipil Jalan</t>
        </is>
      </c>
      <c r="N87" t="inlineStr">
        <is>
          <t>K</t>
        </is>
      </c>
      <c r="O87" t="inlineStr">
        <is>
          <t>20231102</t>
        </is>
      </c>
      <c r="P87" t="inlineStr">
        <is>
          <t>Nusa Tenggara Barat</t>
        </is>
      </c>
      <c r="Q87" t="inlineStr"/>
    </row>
    <row r="88">
      <c r="A88" t="inlineStr">
        <is>
          <t>JATI MANDIRI</t>
        </is>
      </c>
      <c r="B88" t="inlineStr">
        <is>
          <t>Kota Bandung</t>
        </is>
      </c>
      <c r="C88" t="inlineStr">
        <is>
          <t>087778633634</t>
        </is>
      </c>
      <c r="D88" t="inlineStr">
        <is>
          <t>jatimandiri608@gmail.com</t>
        </is>
      </c>
      <c r="E88" t="inlineStr">
        <is>
          <t>https://lpjk.pu.go.id/search-badan-usaha-detail/RENTTmJlT3VnL2RGMUR4b2VlVGZudz09</t>
        </is>
      </c>
      <c r="F88" t="n">
        <v>1</v>
      </c>
      <c r="G88" t="inlineStr">
        <is>
          <t>BS001</t>
        </is>
      </c>
      <c r="H88" t="inlineStr">
        <is>
          <t>14 Januari 2004</t>
        </is>
      </c>
      <c r="I88" s="2" t="n">
        <v>46327</v>
      </c>
      <c r="J88" t="inlineStr">
        <is>
          <t>Disetujui</t>
        </is>
      </c>
      <c r="K88" t="n">
        <v>90</v>
      </c>
      <c r="L88" t="inlineStr">
        <is>
          <t>1 November 2026</t>
        </is>
      </c>
      <c r="M88" t="inlineStr">
        <is>
          <t>Konstruksi Bangunan Sipil Jalan</t>
        </is>
      </c>
      <c r="N88" t="inlineStr">
        <is>
          <t>K</t>
        </is>
      </c>
      <c r="O88" t="inlineStr">
        <is>
          <t>20231031</t>
        </is>
      </c>
      <c r="P88" t="inlineStr">
        <is>
          <t>Jawa Barat</t>
        </is>
      </c>
      <c r="Q88" t="inlineStr"/>
    </row>
    <row r="89">
      <c r="A89" t="inlineStr">
        <is>
          <t>JAVA PERDANA</t>
        </is>
      </c>
      <c r="B89" t="inlineStr">
        <is>
          <t>Kab. Langkat</t>
        </is>
      </c>
      <c r="C89" t="inlineStr">
        <is>
          <t>081263595588</t>
        </is>
      </c>
      <c r="D89" t="inlineStr">
        <is>
          <t>javaperdana@yahoo.com</t>
        </is>
      </c>
      <c r="E89" t="inlineStr">
        <is>
          <t>https://lpjk.pu.go.id/search-badan-usaha-detail/OGJraXV2WXl6NEtPd3AxRW1YSkdxdz09</t>
        </is>
      </c>
      <c r="F89" t="n">
        <v>1</v>
      </c>
      <c r="G89" t="inlineStr">
        <is>
          <t>BS001</t>
        </is>
      </c>
      <c r="H89" t="inlineStr">
        <is>
          <t>14 Februari 2007</t>
        </is>
      </c>
      <c r="I89" s="2" t="n">
        <v>46327</v>
      </c>
      <c r="J89" t="inlineStr">
        <is>
          <t>Disetujui</t>
        </is>
      </c>
      <c r="K89" t="n">
        <v>90</v>
      </c>
      <c r="L89" t="inlineStr">
        <is>
          <t>1 November 2026</t>
        </is>
      </c>
      <c r="M89" t="inlineStr">
        <is>
          <t>Konstruksi Bangunan Sipil Jalan</t>
        </is>
      </c>
      <c r="N89" t="inlineStr">
        <is>
          <t>K</t>
        </is>
      </c>
      <c r="O89" t="inlineStr">
        <is>
          <t>20231102</t>
        </is>
      </c>
      <c r="P89" t="inlineStr">
        <is>
          <t>Sumatera Utara</t>
        </is>
      </c>
      <c r="Q89" t="inlineStr"/>
    </row>
    <row r="90">
      <c r="A90" t="inlineStr">
        <is>
          <t>JAYA INDO TAMA</t>
        </is>
      </c>
      <c r="B90" t="inlineStr">
        <is>
          <t>Kota Surabaya</t>
        </is>
      </c>
      <c r="C90" t="inlineStr">
        <is>
          <t>0318070536</t>
        </is>
      </c>
      <c r="D90" t="inlineStr">
        <is>
          <t>cvjayaindotama@gmail.com</t>
        </is>
      </c>
      <c r="E90" t="inlineStr">
        <is>
          <t>https://lpjk.pu.go.id/search-badan-usaha-detail/UFRZQnpmd0dQc3RRc3VzUnJoZDZFQT09</t>
        </is>
      </c>
      <c r="F90" t="n">
        <v>1</v>
      </c>
      <c r="G90" t="inlineStr">
        <is>
          <t>BG005</t>
        </is>
      </c>
      <c r="H90" t="inlineStr">
        <is>
          <t>5 Oktober 2016</t>
        </is>
      </c>
      <c r="I90" s="2" t="n">
        <v>46327</v>
      </c>
      <c r="J90" t="inlineStr">
        <is>
          <t>Disetujui</t>
        </is>
      </c>
      <c r="K90" t="n">
        <v>90</v>
      </c>
      <c r="L90" t="inlineStr">
        <is>
          <t>1 November 2026</t>
        </is>
      </c>
      <c r="M90" t="inlineStr">
        <is>
          <t>Konstruksi Gedung Kesehatan</t>
        </is>
      </c>
      <c r="N90" t="inlineStr">
        <is>
          <t>K</t>
        </is>
      </c>
      <c r="O90" t="inlineStr">
        <is>
          <t>20231030</t>
        </is>
      </c>
      <c r="P90" t="inlineStr">
        <is>
          <t>Jawa Timur</t>
        </is>
      </c>
      <c r="Q90" t="inlineStr"/>
    </row>
    <row r="91">
      <c r="A91" t="inlineStr">
        <is>
          <t>JAYANARO ABADI</t>
        </is>
      </c>
      <c r="B91" t="inlineStr">
        <is>
          <t>Kota Batam</t>
        </is>
      </c>
      <c r="C91" t="inlineStr">
        <is>
          <t>0812 7094 7556</t>
        </is>
      </c>
      <c r="D91" t="inlineStr">
        <is>
          <t>jayanaroabadi.cv@yahoo.com</t>
        </is>
      </c>
      <c r="E91" t="inlineStr">
        <is>
          <t>https://lpjk.pu.go.id/search-badan-usaha-detail/aGtuRGUxYTZjaWswQzJMWlFzeHhzdz09</t>
        </is>
      </c>
      <c r="F91" t="n">
        <v>1</v>
      </c>
      <c r="G91" t="inlineStr">
        <is>
          <t>BS001</t>
        </is>
      </c>
      <c r="H91" t="inlineStr">
        <is>
          <t>18 Februari 2017</t>
        </is>
      </c>
      <c r="I91" s="2" t="n">
        <v>46327</v>
      </c>
      <c r="J91" t="inlineStr">
        <is>
          <t>Disetujui</t>
        </is>
      </c>
      <c r="K91" t="n">
        <v>90</v>
      </c>
      <c r="L91" t="inlineStr">
        <is>
          <t>1 November 2026</t>
        </is>
      </c>
      <c r="M91" t="inlineStr">
        <is>
          <t>Konstruksi Bangunan Sipil Jalan</t>
        </is>
      </c>
      <c r="N91" t="inlineStr">
        <is>
          <t>K</t>
        </is>
      </c>
      <c r="O91" t="inlineStr">
        <is>
          <t>20231023</t>
        </is>
      </c>
      <c r="P91" t="inlineStr">
        <is>
          <t>Kepulauan Riau</t>
        </is>
      </c>
      <c r="Q91" t="inlineStr"/>
    </row>
    <row r="92">
      <c r="A92" t="inlineStr">
        <is>
          <t>KAMPUNG SUKUN</t>
        </is>
      </c>
      <c r="B92" t="inlineStr">
        <is>
          <t>Kab. Banyuwangi</t>
        </is>
      </c>
      <c r="C92" t="inlineStr">
        <is>
          <t>087851525168</t>
        </is>
      </c>
      <c r="D92" t="inlineStr">
        <is>
          <t>kampungsukun@proton.me</t>
        </is>
      </c>
      <c r="E92" t="inlineStr">
        <is>
          <t>https://lpjk.pu.go.id/search-badan-usaha-detail/NXJrQ3RlWjlXak9QenpaOVlYU3RXdz09</t>
        </is>
      </c>
      <c r="F92" t="n">
        <v>1</v>
      </c>
      <c r="G92" t="inlineStr">
        <is>
          <t>BS001</t>
        </is>
      </c>
      <c r="H92" t="inlineStr">
        <is>
          <t>26 Oktober 2022</t>
        </is>
      </c>
      <c r="I92" s="2" t="n">
        <v>46327</v>
      </c>
      <c r="J92" t="inlineStr">
        <is>
          <t>Disetujui</t>
        </is>
      </c>
      <c r="K92" t="n">
        <v>90</v>
      </c>
      <c r="L92" t="inlineStr">
        <is>
          <t>1 November 2026</t>
        </is>
      </c>
      <c r="M92" t="inlineStr">
        <is>
          <t>Konstruksi Bangunan Sipil Jalan</t>
        </is>
      </c>
      <c r="N92" t="inlineStr">
        <is>
          <t>K</t>
        </is>
      </c>
      <c r="O92" t="inlineStr">
        <is>
          <t>20231031</t>
        </is>
      </c>
      <c r="P92" t="inlineStr">
        <is>
          <t>Jawa Timur</t>
        </is>
      </c>
      <c r="Q92" t="inlineStr"/>
    </row>
    <row r="93">
      <c r="A93" t="inlineStr">
        <is>
          <t>KARYA BERSAMA NUSANTARA</t>
        </is>
      </c>
      <c r="B93" t="inlineStr">
        <is>
          <t>Kota Banjarmasin</t>
        </is>
      </c>
      <c r="C93" t="inlineStr">
        <is>
          <t>05114315017</t>
        </is>
      </c>
      <c r="D93" t="inlineStr">
        <is>
          <t>cv.kbn_bjm@yahoo.ccom</t>
        </is>
      </c>
      <c r="E93" t="inlineStr">
        <is>
          <t>https://lpjk.pu.go.id/search-badan-usaha-detail/SldRYjZwaXpOYWtCZ2Z3NGp5RUhCZz09</t>
        </is>
      </c>
      <c r="F93" t="n">
        <v>1</v>
      </c>
      <c r="G93" t="inlineStr">
        <is>
          <t>BS004</t>
        </is>
      </c>
      <c r="H93" t="inlineStr">
        <is>
          <t>28 Februari 1995</t>
        </is>
      </c>
      <c r="I93" s="2" t="n">
        <v>46327</v>
      </c>
      <c r="J93" t="inlineStr">
        <is>
          <t>Disetujui</t>
        </is>
      </c>
      <c r="K93" t="n">
        <v>90</v>
      </c>
      <c r="L93" t="inlineStr">
        <is>
          <t>1 November 2026</t>
        </is>
      </c>
      <c r="M93" t="inlineStr">
        <is>
          <t>Konstruksi Jaringan Irigasi dan Drainase</t>
        </is>
      </c>
      <c r="N93" t="inlineStr">
        <is>
          <t>K</t>
        </is>
      </c>
      <c r="O93" t="inlineStr">
        <is>
          <t>20231101</t>
        </is>
      </c>
      <c r="P93" t="inlineStr">
        <is>
          <t>Kalimantan Selatan</t>
        </is>
      </c>
      <c r="Q93" t="inlineStr"/>
    </row>
    <row r="94">
      <c r="A94" t="inlineStr">
        <is>
          <t>KARYA MANDIRI</t>
        </is>
      </c>
      <c r="B94" t="inlineStr">
        <is>
          <t>Kab. Magetan</t>
        </is>
      </c>
      <c r="C94" t="inlineStr">
        <is>
          <t>082211222175</t>
        </is>
      </c>
      <c r="D94" t="inlineStr">
        <is>
          <t>mandirikarya155@gmail.com</t>
        </is>
      </c>
      <c r="E94" t="inlineStr">
        <is>
          <t>https://lpjk.pu.go.id/search-badan-usaha-detail/THZxYTIzS29ya3pyZHViSWhqam1Fdz09</t>
        </is>
      </c>
      <c r="F94" t="n">
        <v>1</v>
      </c>
      <c r="G94" t="inlineStr">
        <is>
          <t>BS004</t>
        </is>
      </c>
      <c r="H94" t="inlineStr">
        <is>
          <t>11 April 2008</t>
        </is>
      </c>
      <c r="I94" s="2" t="n">
        <v>46327</v>
      </c>
      <c r="J94" t="inlineStr">
        <is>
          <t>Disetujui</t>
        </is>
      </c>
      <c r="K94" t="n">
        <v>90</v>
      </c>
      <c r="L94" t="inlineStr">
        <is>
          <t>1 November 2026</t>
        </is>
      </c>
      <c r="M94" t="inlineStr">
        <is>
          <t>Konstruksi Jaringan Irigasi dan Drainase</t>
        </is>
      </c>
      <c r="N94" t="inlineStr">
        <is>
          <t>K</t>
        </is>
      </c>
      <c r="O94" t="inlineStr">
        <is>
          <t>20231029</t>
        </is>
      </c>
      <c r="P94" t="inlineStr">
        <is>
          <t>Jawa Timur</t>
        </is>
      </c>
      <c r="Q94" t="inlineStr"/>
    </row>
    <row r="95">
      <c r="A95" t="inlineStr">
        <is>
          <t>KARYA MUCHVI PERSADA</t>
        </is>
      </c>
      <c r="B95" t="inlineStr">
        <is>
          <t>Kota Makassar</t>
        </is>
      </c>
      <c r="C95" t="inlineStr">
        <is>
          <t>0411319174</t>
        </is>
      </c>
      <c r="D95" t="inlineStr">
        <is>
          <t>vetran269@gmail.com</t>
        </is>
      </c>
      <c r="E95" t="inlineStr">
        <is>
          <t>https://lpjk.pu.go.id/search-badan-usaha-detail/dkdMSmtuVHFTT0NRZ0xSMEpVVWQxZz09</t>
        </is>
      </c>
      <c r="F95" t="n">
        <v>3</v>
      </c>
      <c r="G95" t="inlineStr">
        <is>
          <t>BG001, BG006, BG009</t>
        </is>
      </c>
      <c r="H95" t="inlineStr">
        <is>
          <t>17 Januari 2001</t>
        </is>
      </c>
      <c r="I95" s="2" t="n">
        <v>46327</v>
      </c>
      <c r="J95" t="inlineStr">
        <is>
          <t>Disetujui</t>
        </is>
      </c>
      <c r="K95" t="n">
        <v>90</v>
      </c>
      <c r="L95" t="inlineStr">
        <is>
          <t>1 November 2026</t>
        </is>
      </c>
      <c r="M95" t="inlineStr">
        <is>
          <t>Konstruksi Gedung Hunian, Konstruksi Gedung Lainnya, Konstruksi Gedung Pendidikan</t>
        </is>
      </c>
      <c r="N95" t="inlineStr">
        <is>
          <t>K</t>
        </is>
      </c>
      <c r="O95" t="inlineStr">
        <is>
          <t>20231031</t>
        </is>
      </c>
      <c r="P95" t="inlineStr">
        <is>
          <t>Sulawesi Selatan</t>
        </is>
      </c>
      <c r="Q95" t="inlineStr"/>
    </row>
    <row r="96">
      <c r="A96" t="inlineStr">
        <is>
          <t>KARYA RUATA</t>
        </is>
      </c>
      <c r="B96" t="inlineStr">
        <is>
          <t>Kota Ambon</t>
        </is>
      </c>
      <c r="C96" t="inlineStr">
        <is>
          <t>0811477576</t>
        </is>
      </c>
      <c r="D96" t="inlineStr">
        <is>
          <t>karyaruatapt@yahoo.co.id</t>
        </is>
      </c>
      <c r="E96" t="inlineStr">
        <is>
          <t>https://lpjk.pu.go.id/search-badan-usaha-detail/VzEzZ0psUzJtNVZxZWNER3l6L2M3dz09</t>
        </is>
      </c>
      <c r="F96" t="n">
        <v>1</v>
      </c>
      <c r="G96" t="inlineStr">
        <is>
          <t>BS009</t>
        </is>
      </c>
      <c r="H96" t="inlineStr">
        <is>
          <t>7 November 2007</t>
        </is>
      </c>
      <c r="I96" s="2" t="n">
        <v>46327</v>
      </c>
      <c r="J96" t="inlineStr">
        <is>
          <t>Pencabutan</t>
        </is>
      </c>
      <c r="K96" t="n">
        <v>90</v>
      </c>
      <c r="L96" t="inlineStr">
        <is>
          <t>1 November 2026</t>
        </is>
      </c>
      <c r="M96" t="inlineStr">
        <is>
          <t>Konstruksi Sentral Telekomunikasi</t>
        </is>
      </c>
      <c r="N96" t="inlineStr">
        <is>
          <t>K</t>
        </is>
      </c>
      <c r="O96" t="inlineStr">
        <is>
          <t>20231031</t>
        </is>
      </c>
      <c r="P96" t="inlineStr">
        <is>
          <t>Maluku</t>
        </is>
      </c>
      <c r="Q96" t="inlineStr"/>
    </row>
    <row r="97">
      <c r="A97" t="inlineStr">
        <is>
          <t>KARYA VISIONER CONSULTANT</t>
        </is>
      </c>
      <c r="B97" t="inlineStr">
        <is>
          <t>Kab. Gayo Lues</t>
        </is>
      </c>
      <c r="C97" t="inlineStr">
        <is>
          <t>082366555697</t>
        </is>
      </c>
      <c r="D97" t="inlineStr">
        <is>
          <t>karyavisionerconsultant@gmail.com</t>
        </is>
      </c>
      <c r="E97" t="inlineStr">
        <is>
          <t>https://lpjk.pu.go.id/search-badan-usaha-detail/UnpXcmJteUdlVURTdDdOWjBMU3hDQT09</t>
        </is>
      </c>
      <c r="F97" t="n">
        <v>2</v>
      </c>
      <c r="G97" t="inlineStr">
        <is>
          <t>RK001, RK002</t>
        </is>
      </c>
      <c r="H97" t="inlineStr">
        <is>
          <t>8 Desember 2016</t>
        </is>
      </c>
      <c r="I97" s="2" t="n">
        <v>46327</v>
      </c>
      <c r="J97" t="inlineStr">
        <is>
          <t>Disetujui</t>
        </is>
      </c>
      <c r="K97" t="n">
        <v>90</v>
      </c>
      <c r="L97" t="inlineStr">
        <is>
          <t>1 November 2026</t>
        </is>
      </c>
      <c r="M97" t="inlineStr">
        <is>
          <t>Jasa Rekayasa Konstruksi Bangunan Gedung Hunian dan Non Hunian, Jasa Rekayasa Pekerjaan Teknik Sipil Sumber Daya Air</t>
        </is>
      </c>
      <c r="N97" t="inlineStr">
        <is>
          <t>K</t>
        </is>
      </c>
      <c r="O97" t="inlineStr">
        <is>
          <t>20231020</t>
        </is>
      </c>
      <c r="P97" t="inlineStr">
        <is>
          <t>Aceh</t>
        </is>
      </c>
      <c r="Q97" t="inlineStr"/>
    </row>
    <row r="98">
      <c r="A98" t="inlineStr">
        <is>
          <t>KARYASINDO MULTIKREASI UTAMA</t>
        </is>
      </c>
      <c r="B98" t="inlineStr">
        <is>
          <t>Kota Adm. Jakarta Pusat</t>
        </is>
      </c>
      <c r="C98" t="inlineStr">
        <is>
          <t>087782233996</t>
        </is>
      </c>
      <c r="D98" t="inlineStr">
        <is>
          <t>pt.karyasindomultikreasiu@gmail.com</t>
        </is>
      </c>
      <c r="E98" t="inlineStr">
        <is>
          <t>https://lpjk.pu.go.id/search-badan-usaha-detail/UnRaNVkwSjVka1BNRmQ5Mlo0dTNZdz09</t>
        </is>
      </c>
      <c r="F98" t="n">
        <v>3</v>
      </c>
      <c r="G98" t="inlineStr">
        <is>
          <t>BG001, BG003, BG009</t>
        </is>
      </c>
      <c r="H98" t="inlineStr">
        <is>
          <t>6 Januari 2021</t>
        </is>
      </c>
      <c r="I98" s="2" t="n">
        <v>46327</v>
      </c>
      <c r="J98" t="inlineStr">
        <is>
          <t>Disetujui</t>
        </is>
      </c>
      <c r="K98" t="n">
        <v>90</v>
      </c>
      <c r="L98" t="inlineStr">
        <is>
          <t>1 November 2026</t>
        </is>
      </c>
      <c r="M98" t="inlineStr">
        <is>
          <t>Konstruksi Gedung Hunian, Konstruksi Gedung Industri, Konstruksi Gedung Lainnya</t>
        </is>
      </c>
      <c r="N98" t="inlineStr">
        <is>
          <t>K</t>
        </is>
      </c>
      <c r="O98" t="inlineStr">
        <is>
          <t>20231018, 20231031</t>
        </is>
      </c>
      <c r="P98" t="inlineStr">
        <is>
          <t>DKI Jakarta</t>
        </is>
      </c>
      <c r="Q98" t="inlineStr"/>
    </row>
    <row r="99">
      <c r="A99" t="inlineStr">
        <is>
          <t>KMJ MANDIRI</t>
        </is>
      </c>
      <c r="B99" t="inlineStr">
        <is>
          <t>Kab. Garut</t>
        </is>
      </c>
      <c r="C99" t="inlineStr">
        <is>
          <t>085559485026</t>
        </is>
      </c>
      <c r="D99" t="inlineStr">
        <is>
          <t>cvkmjmandiri@gmail.com</t>
        </is>
      </c>
      <c r="E99" t="inlineStr">
        <is>
          <t>https://lpjk.pu.go.id/search-badan-usaha-detail/NjVIMmRWMnlETUIzRU5QU2dmTzJwQT09</t>
        </is>
      </c>
      <c r="F99" t="n">
        <v>1</v>
      </c>
      <c r="G99" t="inlineStr">
        <is>
          <t>BS004</t>
        </is>
      </c>
      <c r="H99" t="inlineStr">
        <is>
          <t>10 Januari 2020</t>
        </is>
      </c>
      <c r="I99" s="2" t="n">
        <v>46327</v>
      </c>
      <c r="J99" t="inlineStr">
        <is>
          <t>Disetujui</t>
        </is>
      </c>
      <c r="K99" t="n">
        <v>90</v>
      </c>
      <c r="L99" t="inlineStr">
        <is>
          <t>1 November 2026</t>
        </is>
      </c>
      <c r="M99" t="inlineStr">
        <is>
          <t>Konstruksi Jaringan Irigasi dan Drainase</t>
        </is>
      </c>
      <c r="N99" t="inlineStr">
        <is>
          <t>K</t>
        </is>
      </c>
      <c r="O99" t="inlineStr">
        <is>
          <t>20231101</t>
        </is>
      </c>
      <c r="P99" t="inlineStr">
        <is>
          <t>Jawa Barat</t>
        </is>
      </c>
      <c r="Q99" t="inlineStr"/>
    </row>
    <row r="100">
      <c r="A100" t="inlineStr">
        <is>
          <t>KUTA BATU</t>
        </is>
      </c>
      <c r="B100" t="inlineStr">
        <is>
          <t>Kab. Kotawaringin Barat</t>
        </is>
      </c>
      <c r="C100" t="inlineStr">
        <is>
          <t>08124878562</t>
        </is>
      </c>
      <c r="D100" t="inlineStr">
        <is>
          <t>kutabatu@yahoo.co.id</t>
        </is>
      </c>
      <c r="E100" t="inlineStr">
        <is>
          <t>https://lpjk.pu.go.id/search-badan-usaha-detail/QS8yb1MwSlZ2QnlhUC8zbksyVURBZz09</t>
        </is>
      </c>
      <c r="F100" t="n">
        <v>1</v>
      </c>
      <c r="G100" t="inlineStr">
        <is>
          <t>BG002</t>
        </is>
      </c>
      <c r="H100" t="inlineStr">
        <is>
          <t>16 November 2005</t>
        </is>
      </c>
      <c r="I100" s="2" t="n">
        <v>46327</v>
      </c>
      <c r="J100" t="inlineStr">
        <is>
          <t>Disetujui</t>
        </is>
      </c>
      <c r="K100" t="n">
        <v>90</v>
      </c>
      <c r="L100" t="inlineStr">
        <is>
          <t>1 November 2026</t>
        </is>
      </c>
      <c r="M100" t="inlineStr">
        <is>
          <t>Konstruksi Gedung Perkantoran</t>
        </is>
      </c>
      <c r="N100" t="inlineStr">
        <is>
          <t>K</t>
        </is>
      </c>
      <c r="O100" t="inlineStr">
        <is>
          <t>20231031</t>
        </is>
      </c>
      <c r="P100" t="inlineStr">
        <is>
          <t>Kalimantan Tengah</t>
        </is>
      </c>
      <c r="Q100" t="inlineStr"/>
    </row>
    <row r="101">
      <c r="A101" t="inlineStr">
        <is>
          <t>MAHESA DWI FAZZA</t>
        </is>
      </c>
      <c r="B101" t="inlineStr">
        <is>
          <t>Kota Padang Sidempuan</t>
        </is>
      </c>
      <c r="C101" t="inlineStr">
        <is>
          <t>082181739593</t>
        </is>
      </c>
      <c r="D101" t="inlineStr">
        <is>
          <t>cvmahesa@gmail.com</t>
        </is>
      </c>
      <c r="E101" t="inlineStr">
        <is>
          <t>https://lpjk.pu.go.id/search-badan-usaha-detail/UWV3Qm5VYUs2eU1yK3NjV0tQOGY2QT09</t>
        </is>
      </c>
      <c r="F101" t="n">
        <v>2</v>
      </c>
      <c r="G101" t="inlineStr">
        <is>
          <t>BS001, BS004</t>
        </is>
      </c>
      <c r="H101" t="inlineStr">
        <is>
          <t>7 September 2023</t>
        </is>
      </c>
      <c r="I101" s="2" t="n">
        <v>46327</v>
      </c>
      <c r="J101" t="inlineStr">
        <is>
          <t>Disetujui</t>
        </is>
      </c>
      <c r="K101" t="n">
        <v>90</v>
      </c>
      <c r="L101" t="inlineStr">
        <is>
          <t>1 November 2026</t>
        </is>
      </c>
      <c r="M101" t="inlineStr">
        <is>
          <t>Konstruksi Bangunan Sipil Jalan, Konstruksi Jaringan Irigasi dan Drainase</t>
        </is>
      </c>
      <c r="N101" t="inlineStr">
        <is>
          <t>K</t>
        </is>
      </c>
      <c r="O101" t="inlineStr">
        <is>
          <t>20231101</t>
        </is>
      </c>
      <c r="P101" t="inlineStr">
        <is>
          <t>Sumatera Utara</t>
        </is>
      </c>
      <c r="Q101" t="inlineStr"/>
    </row>
    <row r="102">
      <c r="A102" t="inlineStr">
        <is>
          <t>MAJU JAYA</t>
        </is>
      </c>
      <c r="B102" t="inlineStr">
        <is>
          <t>Kota Medan</t>
        </is>
      </c>
      <c r="C102" t="inlineStr">
        <is>
          <t>081264787782</t>
        </is>
      </c>
      <c r="D102" t="inlineStr">
        <is>
          <t>cv.majujaya56@gmail.com</t>
        </is>
      </c>
      <c r="E102" t="inlineStr">
        <is>
          <t>https://lpjk.pu.go.id/search-badan-usaha-detail/bWJDdHpxbTZpa0p3bVJweWltbTNOQT09</t>
        </is>
      </c>
      <c r="F102" t="n">
        <v>1</v>
      </c>
      <c r="G102" t="inlineStr">
        <is>
          <t>IN007</t>
        </is>
      </c>
      <c r="H102" t="inlineStr">
        <is>
          <t>25 November 2009</t>
        </is>
      </c>
      <c r="I102" s="2" t="n">
        <v>46327</v>
      </c>
      <c r="J102" t="inlineStr">
        <is>
          <t>Pembekuan</t>
        </is>
      </c>
      <c r="K102" t="n">
        <v>90</v>
      </c>
      <c r="L102" t="inlineStr">
        <is>
          <t>1 November 2026</t>
        </is>
      </c>
      <c r="M102" t="inlineStr">
        <is>
          <t>Instalasi Saluran Air (Plambing)</t>
        </is>
      </c>
      <c r="N102" t="inlineStr">
        <is>
          <t>Spesialis</t>
        </is>
      </c>
      <c r="O102" t="inlineStr">
        <is>
          <t>20231101</t>
        </is>
      </c>
      <c r="P102" t="inlineStr">
        <is>
          <t>Sumatera Utara</t>
        </is>
      </c>
      <c r="Q102" t="inlineStr"/>
    </row>
    <row r="103">
      <c r="A103" t="inlineStr">
        <is>
          <t>MANDALA PUTRA BORNEO</t>
        </is>
      </c>
      <c r="B103" t="inlineStr">
        <is>
          <t>Kota Adm. Jakarta Pusat</t>
        </is>
      </c>
      <c r="C103" t="inlineStr">
        <is>
          <t>08118404448</t>
        </is>
      </c>
      <c r="D103" t="inlineStr">
        <is>
          <t>mandalaputraborneo2@gmail.com</t>
        </is>
      </c>
      <c r="E103" t="inlineStr">
        <is>
          <t>https://lpjk.pu.go.id/search-badan-usaha-detail/Y21TUm1LNldNT0JLK0IySjhyTjlSdz09</t>
        </is>
      </c>
      <c r="F103" t="n">
        <v>2</v>
      </c>
      <c r="G103" t="inlineStr">
        <is>
          <t>BG001</t>
        </is>
      </c>
      <c r="H103" t="inlineStr">
        <is>
          <t>3 April 2023</t>
        </is>
      </c>
      <c r="I103" s="2" t="n">
        <v>46327</v>
      </c>
      <c r="J103" t="inlineStr">
        <is>
          <t>Disetujui</t>
        </is>
      </c>
      <c r="K103" t="n">
        <v>90</v>
      </c>
      <c r="L103" t="inlineStr">
        <is>
          <t>1 November 2026</t>
        </is>
      </c>
      <c r="M103" t="inlineStr">
        <is>
          <t>Konstruksi Gedung Hunian</t>
        </is>
      </c>
      <c r="N103" t="inlineStr">
        <is>
          <t>K</t>
        </is>
      </c>
      <c r="O103" t="inlineStr">
        <is>
          <t>20231101</t>
        </is>
      </c>
      <c r="P103" t="inlineStr">
        <is>
          <t>DKI Jakarta</t>
        </is>
      </c>
      <c r="Q103" t="inlineStr"/>
    </row>
    <row r="104">
      <c r="A104" t="inlineStr">
        <is>
          <t>MANGGALA AGUNG</t>
        </is>
      </c>
      <c r="B104" t="inlineStr">
        <is>
          <t>Kab. Jombang</t>
        </is>
      </c>
      <c r="C104" t="inlineStr">
        <is>
          <t>082245223020</t>
        </is>
      </c>
      <c r="D104" t="inlineStr">
        <is>
          <t>manggalaagung16@gmail.com</t>
        </is>
      </c>
      <c r="E104" t="inlineStr">
        <is>
          <t>https://lpjk.pu.go.id/search-badan-usaha-detail/TGwyU01yWnA0bFM5RTJla0VXU013Zz09</t>
        </is>
      </c>
      <c r="F104" t="n">
        <v>7</v>
      </c>
      <c r="G104" t="inlineStr">
        <is>
          <t>BG002, BG004, BG005, BG006, BG008, BS001, BS004</t>
        </is>
      </c>
      <c r="H104" t="inlineStr">
        <is>
          <t>25 Juli 2022</t>
        </is>
      </c>
      <c r="I104" s="2" t="n">
        <v>46327</v>
      </c>
      <c r="J104" t="inlineStr">
        <is>
          <t>Disetujui</t>
        </is>
      </c>
      <c r="K104" t="n">
        <v>90</v>
      </c>
      <c r="L104" t="inlineStr">
        <is>
          <t>1 November 2026</t>
        </is>
      </c>
      <c r="M104" t="inlineStr">
        <is>
          <t>Konstruksi Bangunan Sipil Jalan, Konstruksi Gedung Kesehatan, Konstruksi Gedung Pendidikan, Konstruksi Gedung Perbelanjaan, Konstruksi Gedung Perkantoran, Konstruksi Gedung Tempat Hiburan dan Olahraga, Konstruksi Jaringan Irigasi dan Drainase</t>
        </is>
      </c>
      <c r="N104" t="inlineStr">
        <is>
          <t>K</t>
        </is>
      </c>
      <c r="O104" t="inlineStr">
        <is>
          <t>20231102</t>
        </is>
      </c>
      <c r="P104" t="inlineStr">
        <is>
          <t>Jawa Timur</t>
        </is>
      </c>
      <c r="Q104" t="inlineStr"/>
    </row>
    <row r="105">
      <c r="A105" t="inlineStr">
        <is>
          <t>MANOLO PUTRA</t>
        </is>
      </c>
      <c r="B105" t="inlineStr">
        <is>
          <t>Kota Bandung</t>
        </is>
      </c>
      <c r="C105" t="inlineStr">
        <is>
          <t>0226016317</t>
        </is>
      </c>
      <c r="D105" t="inlineStr">
        <is>
          <t>manoloputra@yahoo.com</t>
        </is>
      </c>
      <c r="E105" t="inlineStr">
        <is>
          <t>https://lpjk.pu.go.id/search-badan-usaha-detail/bTRsRjdDangvTGdMZW1QT2t6U1ZMUT09</t>
        </is>
      </c>
      <c r="F105" t="n">
        <v>1</v>
      </c>
      <c r="G105" t="inlineStr">
        <is>
          <t>IN004</t>
        </is>
      </c>
      <c r="H105" t="inlineStr">
        <is>
          <t>1 Maret 2011</t>
        </is>
      </c>
      <c r="I105" s="2" t="n">
        <v>46327</v>
      </c>
      <c r="J105" t="inlineStr">
        <is>
          <t>Pembekuan</t>
        </is>
      </c>
      <c r="K105" t="n">
        <v>90</v>
      </c>
      <c r="L105" t="inlineStr">
        <is>
          <t>1 November 2026</t>
        </is>
      </c>
      <c r="M105" t="inlineStr">
        <is>
          <t>Instalasi Minyak dan Gas</t>
        </is>
      </c>
      <c r="N105" t="inlineStr">
        <is>
          <t>Spesialis</t>
        </is>
      </c>
      <c r="O105" t="inlineStr">
        <is>
          <t>20231026</t>
        </is>
      </c>
      <c r="P105" t="inlineStr">
        <is>
          <t>Jawa Barat</t>
        </is>
      </c>
      <c r="Q105" t="inlineStr"/>
    </row>
    <row r="106">
      <c r="A106" t="inlineStr">
        <is>
          <t>MARAMPA SERWAR</t>
        </is>
      </c>
      <c r="B106" t="inlineStr">
        <is>
          <t>Kab. Sarmi</t>
        </is>
      </c>
      <c r="C106" t="inlineStr">
        <is>
          <t>081393514824</t>
        </is>
      </c>
      <c r="D106" t="inlineStr">
        <is>
          <t>cv.marampaserwar@gmail.com</t>
        </is>
      </c>
      <c r="E106" t="inlineStr">
        <is>
          <t>https://lpjk.pu.go.id/search-badan-usaha-detail/ZHRlWUpCcUZ4UGczbW5mOXBkcmFxdz09</t>
        </is>
      </c>
      <c r="F106" t="n">
        <v>1</v>
      </c>
      <c r="G106" t="inlineStr">
        <is>
          <t>BG006</t>
        </is>
      </c>
      <c r="H106" t="inlineStr">
        <is>
          <t>25 Oktober 2023</t>
        </is>
      </c>
      <c r="I106" s="2" t="n">
        <v>46327</v>
      </c>
      <c r="J106" t="inlineStr">
        <is>
          <t>Disetujui</t>
        </is>
      </c>
      <c r="K106" t="n">
        <v>90</v>
      </c>
      <c r="L106" t="inlineStr">
        <is>
          <t>1 November 2026</t>
        </is>
      </c>
      <c r="M106" t="inlineStr">
        <is>
          <t>Konstruksi Gedung Pendidikan</t>
        </is>
      </c>
      <c r="N106" t="inlineStr">
        <is>
          <t>K</t>
        </is>
      </c>
      <c r="O106" t="inlineStr">
        <is>
          <t>20231101</t>
        </is>
      </c>
      <c r="P106" t="inlineStr">
        <is>
          <t>Papua</t>
        </is>
      </c>
      <c r="Q106" t="inlineStr"/>
    </row>
    <row r="107">
      <c r="A107" t="inlineStr">
        <is>
          <t>MARGAHAYU PUTRATAMA TRANSMIX</t>
        </is>
      </c>
      <c r="B107" t="inlineStr">
        <is>
          <t>Kota Surabaya</t>
        </is>
      </c>
      <c r="C107" t="inlineStr">
        <is>
          <t>0318289949</t>
        </is>
      </c>
      <c r="D107" t="inlineStr">
        <is>
          <t>margahayutransmix@gmail.com</t>
        </is>
      </c>
      <c r="E107" t="inlineStr">
        <is>
          <t>https://lpjk.pu.go.id/search-badan-usaha-detail/d0hNRC9tZXlabGVYZjNYT0x0STBIdz09</t>
        </is>
      </c>
      <c r="F107" t="n">
        <v>2</v>
      </c>
      <c r="G107" t="inlineStr">
        <is>
          <t>BS001</t>
        </is>
      </c>
      <c r="H107" t="inlineStr">
        <is>
          <t>23 September 2022</t>
        </is>
      </c>
      <c r="I107" s="2" t="n">
        <v>46327</v>
      </c>
      <c r="J107" t="inlineStr">
        <is>
          <t>Disetujui</t>
        </is>
      </c>
      <c r="K107" t="n">
        <v>90</v>
      </c>
      <c r="L107" t="inlineStr">
        <is>
          <t>1 November 2026</t>
        </is>
      </c>
      <c r="M107" t="inlineStr">
        <is>
          <t>Konstruksi Bangunan Sipil Jalan</t>
        </is>
      </c>
      <c r="N107" t="inlineStr">
        <is>
          <t>K</t>
        </is>
      </c>
      <c r="O107" t="inlineStr">
        <is>
          <t>20231027</t>
        </is>
      </c>
      <c r="P107" t="inlineStr">
        <is>
          <t>Jawa Timur</t>
        </is>
      </c>
      <c r="Q107" t="inlineStr"/>
    </row>
    <row r="108">
      <c r="A108" t="inlineStr">
        <is>
          <t>MAS MUSTIKA ANUGRAH SEJAHTERA</t>
        </is>
      </c>
      <c r="B108" t="inlineStr">
        <is>
          <t>Kota Adm. Jakarta Barat</t>
        </is>
      </c>
      <c r="C108" t="inlineStr">
        <is>
          <t>0215843384</t>
        </is>
      </c>
      <c r="D108" t="inlineStr">
        <is>
          <t>mmusatera@yahoo.com</t>
        </is>
      </c>
      <c r="E108" t="inlineStr">
        <is>
          <t>https://lpjk.pu.go.id/search-badan-usaha-detail/ZnZnbDdBVU5SamM2dmhTMWExWkpwUT09</t>
        </is>
      </c>
      <c r="F108" t="n">
        <v>1</v>
      </c>
      <c r="G108" t="inlineStr">
        <is>
          <t>BG003</t>
        </is>
      </c>
      <c r="H108" t="inlineStr">
        <is>
          <t>18 September 1996</t>
        </is>
      </c>
      <c r="I108" s="2" t="n">
        <v>46327</v>
      </c>
      <c r="J108" t="inlineStr">
        <is>
          <t>Pencabutan</t>
        </is>
      </c>
      <c r="K108" t="n">
        <v>90</v>
      </c>
      <c r="L108" t="inlineStr">
        <is>
          <t>1 November 2026</t>
        </is>
      </c>
      <c r="M108" t="inlineStr">
        <is>
          <t>Konstruksi Gedung Industri</t>
        </is>
      </c>
      <c r="N108" t="inlineStr">
        <is>
          <t>M</t>
        </is>
      </c>
      <c r="O108" t="inlineStr">
        <is>
          <t>20231018</t>
        </is>
      </c>
      <c r="P108" t="inlineStr">
        <is>
          <t>DKI Jakarta</t>
        </is>
      </c>
      <c r="Q108" t="inlineStr"/>
    </row>
    <row r="109">
      <c r="A109" t="inlineStr">
        <is>
          <t>MAS NEGARA CIPTA</t>
        </is>
      </c>
      <c r="B109" t="inlineStr">
        <is>
          <t>Kota Palembang</t>
        </is>
      </c>
      <c r="C109" t="inlineStr">
        <is>
          <t>081377671667</t>
        </is>
      </c>
      <c r="D109" t="inlineStr">
        <is>
          <t>mas.negara.pt@gmail.com</t>
        </is>
      </c>
      <c r="E109" t="inlineStr">
        <is>
          <t>https://lpjk.pu.go.id/search-badan-usaha-detail/UGFxUEN6VU9LZnRiNHpBRXFpck0vZz09</t>
        </is>
      </c>
      <c r="F109" t="n">
        <v>5</v>
      </c>
      <c r="G109" t="inlineStr">
        <is>
          <t>BG001, BG002, BG005, BG006, BG009</t>
        </is>
      </c>
      <c r="H109" t="inlineStr">
        <is>
          <t>8 Maret 2023</t>
        </is>
      </c>
      <c r="I109" s="2" t="n">
        <v>46327</v>
      </c>
      <c r="J109" t="inlineStr">
        <is>
          <t>Pencabutan</t>
        </is>
      </c>
      <c r="K109" t="n">
        <v>90</v>
      </c>
      <c r="L109" t="inlineStr">
        <is>
          <t>1 November 2026</t>
        </is>
      </c>
      <c r="M109" t="inlineStr">
        <is>
          <t>Konstruksi Gedung Hunian, Konstruksi Gedung Kesehatan, Konstruksi Gedung Lainnya, Konstruksi Gedung Pendidikan, Konstruksi Gedung Perkantoran</t>
        </is>
      </c>
      <c r="N109" t="inlineStr">
        <is>
          <t>K</t>
        </is>
      </c>
      <c r="O109" t="inlineStr">
        <is>
          <t>20231101</t>
        </is>
      </c>
      <c r="P109" t="inlineStr">
        <is>
          <t>Sumatera Selatan</t>
        </is>
      </c>
      <c r="Q109" t="inlineStr"/>
    </row>
    <row r="110">
      <c r="A110" t="inlineStr">
        <is>
          <t>MEDIA JASA TEKNIK</t>
        </is>
      </c>
      <c r="B110" t="inlineStr">
        <is>
          <t>Kota Pontianak</t>
        </is>
      </c>
      <c r="C110" t="inlineStr">
        <is>
          <t>0895340600787</t>
        </is>
      </c>
      <c r="D110" t="inlineStr">
        <is>
          <t>media_mjt2012@yahoo.com</t>
        </is>
      </c>
      <c r="E110" t="inlineStr">
        <is>
          <t>https://lpjk.pu.go.id/search-badan-usaha-detail/U1A1UDN1MDBQV1FJcUpCRFM2NUlGZz09</t>
        </is>
      </c>
      <c r="F110" t="n">
        <v>3</v>
      </c>
      <c r="G110" t="inlineStr">
        <is>
          <t>BG009, BS001, BS004</t>
        </is>
      </c>
      <c r="H110" t="inlineStr">
        <is>
          <t>17 Maret 2012</t>
        </is>
      </c>
      <c r="I110" s="2" t="n">
        <v>46327</v>
      </c>
      <c r="J110" t="inlineStr">
        <is>
          <t>Disetujui</t>
        </is>
      </c>
      <c r="K110" t="n">
        <v>90</v>
      </c>
      <c r="L110" t="inlineStr">
        <is>
          <t>1 November 2026</t>
        </is>
      </c>
      <c r="M110" t="inlineStr">
        <is>
          <t>Konstruksi Bangunan Sipil Jalan, Konstruksi Gedung Lainnya, Konstruksi Jaringan Irigasi dan Drainase</t>
        </is>
      </c>
      <c r="N110" t="inlineStr">
        <is>
          <t>K</t>
        </is>
      </c>
      <c r="O110" t="inlineStr">
        <is>
          <t>20231011, 20231031</t>
        </is>
      </c>
      <c r="P110" t="inlineStr">
        <is>
          <t>Kalimantan Barat</t>
        </is>
      </c>
      <c r="Q110" t="inlineStr"/>
    </row>
    <row r="111">
      <c r="A111" t="inlineStr">
        <is>
          <t>MENARA MAS</t>
        </is>
      </c>
      <c r="B111" t="inlineStr">
        <is>
          <t>Kota Tarakan</t>
        </is>
      </c>
      <c r="C111" t="inlineStr">
        <is>
          <t>0811532857</t>
        </is>
      </c>
      <c r="D111" t="inlineStr">
        <is>
          <t>ptmenaramas88@gmail.com</t>
        </is>
      </c>
      <c r="E111" t="inlineStr">
        <is>
          <t>https://lpjk.pu.go.id/search-badan-usaha-detail/VVhpMHdVMG5MZyszTlZDRy9Mei9hQT09</t>
        </is>
      </c>
      <c r="F111" t="n">
        <v>1</v>
      </c>
      <c r="G111" t="inlineStr">
        <is>
          <t>IN001</t>
        </is>
      </c>
      <c r="H111" t="inlineStr">
        <is>
          <t>28 Agustus 2008</t>
        </is>
      </c>
      <c r="I111" s="2" t="n">
        <v>46327</v>
      </c>
      <c r="J111" t="inlineStr">
        <is>
          <t>Disetujui</t>
        </is>
      </c>
      <c r="K111" t="n">
        <v>90</v>
      </c>
      <c r="L111" t="inlineStr">
        <is>
          <t>1 November 2026</t>
        </is>
      </c>
      <c r="M111" t="inlineStr">
        <is>
          <t>Instalasi Mekanikal</t>
        </is>
      </c>
      <c r="N111" t="inlineStr">
        <is>
          <t>Spesialis</t>
        </is>
      </c>
      <c r="O111" t="inlineStr">
        <is>
          <t>20231027</t>
        </is>
      </c>
      <c r="P111" t="inlineStr">
        <is>
          <t>Kalimantan Utara</t>
        </is>
      </c>
      <c r="Q111" t="inlineStr"/>
    </row>
    <row r="112">
      <c r="A112" t="inlineStr">
        <is>
          <t>MIFTAH MULTI DESIGN</t>
        </is>
      </c>
      <c r="B112" t="inlineStr">
        <is>
          <t>Kota Makassar</t>
        </is>
      </c>
      <c r="C112" t="inlineStr">
        <is>
          <t>085298886000</t>
        </is>
      </c>
      <c r="D112" t="inlineStr">
        <is>
          <t>miftahmultidesign@gmail.com</t>
        </is>
      </c>
      <c r="E112" t="inlineStr">
        <is>
          <t>https://lpjk.pu.go.id/search-badan-usaha-detail/M2wwWWYyaVdKQWtIOGNjTUM1QkMvQT09</t>
        </is>
      </c>
      <c r="F112" t="n">
        <v>1</v>
      </c>
      <c r="G112" t="inlineStr">
        <is>
          <t>AR001</t>
        </is>
      </c>
      <c r="H112" t="inlineStr">
        <is>
          <t>21 Maret 2014</t>
        </is>
      </c>
      <c r="I112" s="2" t="n">
        <v>46327</v>
      </c>
      <c r="J112" t="inlineStr">
        <is>
          <t>Disetujui</t>
        </is>
      </c>
      <c r="K112" t="n">
        <v>90</v>
      </c>
      <c r="L112" t="inlineStr">
        <is>
          <t>1 November 2026</t>
        </is>
      </c>
      <c r="M112" t="inlineStr">
        <is>
          <t>Jasa Arsitektural Bangunan Gedung Hunian dan Non Hunian</t>
        </is>
      </c>
      <c r="N112" t="inlineStr">
        <is>
          <t>K</t>
        </is>
      </c>
      <c r="O112" t="inlineStr">
        <is>
          <t>20231024</t>
        </is>
      </c>
      <c r="P112" t="inlineStr">
        <is>
          <t>Sulawesi Selatan</t>
        </is>
      </c>
      <c r="Q112" t="inlineStr"/>
    </row>
    <row r="113">
      <c r="A113" t="inlineStr">
        <is>
          <t>MITRA LIMA DINAMIKA</t>
        </is>
      </c>
      <c r="B113" t="inlineStr">
        <is>
          <t>Kota Samarinda</t>
        </is>
      </c>
      <c r="C113" t="inlineStr">
        <is>
          <t>0541201879</t>
        </is>
      </c>
      <c r="D113" t="inlineStr">
        <is>
          <t>mld.smd.1@gmail.com</t>
        </is>
      </c>
      <c r="E113" t="inlineStr">
        <is>
          <t>https://lpjk.pu.go.id/search-badan-usaha-detail/bFR2UHRIYXlqN1BNdVEwb0svb3g1UT09</t>
        </is>
      </c>
      <c r="F113" t="n">
        <v>4</v>
      </c>
      <c r="G113" t="inlineStr">
        <is>
          <t>RK001, RK002, RK003, RK005</t>
        </is>
      </c>
      <c r="H113" t="inlineStr">
        <is>
          <t>3 Desember 2007</t>
        </is>
      </c>
      <c r="I113" s="2" t="n">
        <v>46327</v>
      </c>
      <c r="J113" t="inlineStr">
        <is>
          <t>Disetujui</t>
        </is>
      </c>
      <c r="K113" t="n">
        <v>90</v>
      </c>
      <c r="L113" t="inlineStr">
        <is>
          <t>1 November 2026</t>
        </is>
      </c>
      <c r="M113" t="inlineStr">
        <is>
          <t>Jasa Rekayasa Konstruksi Bangunan Gedung Hunian dan Non Hunian, Jasa Rekayasa Lainnya, Jasa Rekayasa Pekerjaan Teknik Sipil Sumber Daya Air, Jasa Rekayasa Pekerjaan Teknik Sipil Transportasi</t>
        </is>
      </c>
      <c r="N113" t="inlineStr">
        <is>
          <t>K</t>
        </is>
      </c>
      <c r="O113" t="inlineStr">
        <is>
          <t>20231024</t>
        </is>
      </c>
      <c r="P113" t="inlineStr">
        <is>
          <t>Kalimantan Timur</t>
        </is>
      </c>
      <c r="Q113" t="inlineStr"/>
    </row>
    <row r="114">
      <c r="A114" t="inlineStr">
        <is>
          <t>MULTIDAYA CIPTATAMA</t>
        </is>
      </c>
      <c r="B114" t="inlineStr">
        <is>
          <t>Kab. Bandung</t>
        </is>
      </c>
      <c r="C114" t="inlineStr">
        <is>
          <t>082240005258</t>
        </is>
      </c>
      <c r="D114" t="inlineStr">
        <is>
          <t>multidaya_ciptatama@yahoo.co.id</t>
        </is>
      </c>
      <c r="E114" t="inlineStr">
        <is>
          <t>https://lpjk.pu.go.id/search-badan-usaha-detail/cXlMdk1lU3lrSHVSWmZHTVF3YkQxZz09</t>
        </is>
      </c>
      <c r="F114" t="n">
        <v>3</v>
      </c>
      <c r="G114" t="inlineStr">
        <is>
          <t>BG001, BG006, BS010</t>
        </is>
      </c>
      <c r="H114" t="inlineStr">
        <is>
          <t>7 Juli 2011</t>
        </is>
      </c>
      <c r="I114" s="2" t="n">
        <v>46327</v>
      </c>
      <c r="J114" t="inlineStr">
        <is>
          <t>Disetujui, Pencabutan</t>
        </is>
      </c>
      <c r="K114" t="n">
        <v>90</v>
      </c>
      <c r="L114" t="inlineStr">
        <is>
          <t>1 November 2026</t>
        </is>
      </c>
      <c r="M114" t="inlineStr">
        <is>
          <t>Konstruksi Bangunan Prasarana Sumber Daya Air, Konstruksi Gedung Hunian, Konstruksi Gedung Pendidikan</t>
        </is>
      </c>
      <c r="N114" t="inlineStr">
        <is>
          <t>K</t>
        </is>
      </c>
      <c r="O114" t="inlineStr">
        <is>
          <t>20231101</t>
        </is>
      </c>
      <c r="P114" t="inlineStr">
        <is>
          <t>Jawa Barat</t>
        </is>
      </c>
      <c r="Q114" t="inlineStr"/>
    </row>
    <row r="115">
      <c r="A115" t="inlineStr">
        <is>
          <t>NAROTAMA PERSADA</t>
        </is>
      </c>
      <c r="B115" t="inlineStr">
        <is>
          <t>Kota Palembang</t>
        </is>
      </c>
      <c r="C115" t="inlineStr">
        <is>
          <t>083153897202</t>
        </is>
      </c>
      <c r="D115" t="inlineStr">
        <is>
          <t>narotamapersada25@gmail.com</t>
        </is>
      </c>
      <c r="E115" t="inlineStr">
        <is>
          <t>https://lpjk.pu.go.id/search-badan-usaha-detail/R29VS2tHTkJ2MjN0aGxwNzUzSmc1UT09</t>
        </is>
      </c>
      <c r="F115" t="n">
        <v>1</v>
      </c>
      <c r="G115" t="inlineStr">
        <is>
          <t>BS001</t>
        </is>
      </c>
      <c r="H115" t="inlineStr">
        <is>
          <t>13 Oktober 2023</t>
        </is>
      </c>
      <c r="I115" s="2" t="n">
        <v>46327</v>
      </c>
      <c r="J115" t="inlineStr">
        <is>
          <t>Pencabutan</t>
        </is>
      </c>
      <c r="K115" t="n">
        <v>90</v>
      </c>
      <c r="L115" t="inlineStr">
        <is>
          <t>1 November 2026</t>
        </is>
      </c>
      <c r="M115" t="inlineStr">
        <is>
          <t>Konstruksi Bangunan Sipil Jalan</t>
        </is>
      </c>
      <c r="N115" t="inlineStr">
        <is>
          <t>K</t>
        </is>
      </c>
      <c r="O115" t="inlineStr">
        <is>
          <t>20231101</t>
        </is>
      </c>
      <c r="P115" t="inlineStr">
        <is>
          <t>Sumatera Selatan</t>
        </is>
      </c>
      <c r="Q115" t="inlineStr"/>
    </row>
    <row r="116">
      <c r="A116" t="inlineStr">
        <is>
          <t>NATURAL</t>
        </is>
      </c>
      <c r="B116" t="inlineStr">
        <is>
          <t>Kota Banda Aceh</t>
        </is>
      </c>
      <c r="C116" t="inlineStr">
        <is>
          <t>082288216008</t>
        </is>
      </c>
      <c r="D116" t="inlineStr">
        <is>
          <t>cvnatural.cvn@gmail.com</t>
        </is>
      </c>
      <c r="E116" t="inlineStr">
        <is>
          <t>https://lpjk.pu.go.id/search-badan-usaha-detail/bWZhdVV2QkQzVTQxTU0vM1BUNTRlZz09</t>
        </is>
      </c>
      <c r="F116" t="n">
        <v>1</v>
      </c>
      <c r="G116" t="inlineStr">
        <is>
          <t>BG009</t>
        </is>
      </c>
      <c r="H116" t="inlineStr">
        <is>
          <t>10 Januari 2017</t>
        </is>
      </c>
      <c r="I116" s="2" t="n">
        <v>46327</v>
      </c>
      <c r="J116" t="inlineStr">
        <is>
          <t>Disetujui</t>
        </is>
      </c>
      <c r="K116" t="n">
        <v>90</v>
      </c>
      <c r="L116" t="inlineStr">
        <is>
          <t>1 November 2026</t>
        </is>
      </c>
      <c r="M116" t="inlineStr">
        <is>
          <t>Konstruksi Gedung Lainnya</t>
        </is>
      </c>
      <c r="N116" t="inlineStr">
        <is>
          <t>K</t>
        </is>
      </c>
      <c r="O116" t="inlineStr">
        <is>
          <t>20231101</t>
        </is>
      </c>
      <c r="P116" t="inlineStr">
        <is>
          <t>Aceh</t>
        </is>
      </c>
      <c r="Q116" t="inlineStr"/>
    </row>
    <row r="117">
      <c r="A117" t="inlineStr">
        <is>
          <t>NUSA DINAMIKA SOLUSINDO</t>
        </is>
      </c>
      <c r="B117" t="inlineStr">
        <is>
          <t>Kota Bandung</t>
        </is>
      </c>
      <c r="C117" t="inlineStr">
        <is>
          <t>081294829707</t>
        </is>
      </c>
      <c r="D117" t="inlineStr">
        <is>
          <t>admin@nusa-solusindo.co.id</t>
        </is>
      </c>
      <c r="E117" t="inlineStr">
        <is>
          <t>https://lpjk.pu.go.id/search-badan-usaha-detail/RHhGSCtobm9raDdjdE9uSzJvb1NuUT09</t>
        </is>
      </c>
      <c r="F117" t="n">
        <v>1</v>
      </c>
      <c r="G117" t="inlineStr">
        <is>
          <t>IT001</t>
        </is>
      </c>
      <c r="H117" t="inlineStr">
        <is>
          <t>15 Januari 2016</t>
        </is>
      </c>
      <c r="I117" s="2" t="n">
        <v>46327</v>
      </c>
      <c r="J117" t="inlineStr">
        <is>
          <t>Disetujui</t>
        </is>
      </c>
      <c r="K117" t="n">
        <v>90</v>
      </c>
      <c r="L117" t="inlineStr">
        <is>
          <t>1 November 2026</t>
        </is>
      </c>
      <c r="M117" t="inlineStr">
        <is>
          <t>Jasa Pembuatan Prospektus Geologi dan Geofisika</t>
        </is>
      </c>
      <c r="N117" t="inlineStr">
        <is>
          <t>Spesialis</t>
        </is>
      </c>
      <c r="O117" t="inlineStr">
        <is>
          <t>20231018</t>
        </is>
      </c>
      <c r="P117" t="inlineStr">
        <is>
          <t>Jawa Barat</t>
        </is>
      </c>
      <c r="Q117" t="inlineStr"/>
    </row>
    <row r="118">
      <c r="A118" t="inlineStr">
        <is>
          <t>PAKU BETON PERKASA</t>
        </is>
      </c>
      <c r="B118" t="inlineStr">
        <is>
          <t>Kota Surabaya</t>
        </is>
      </c>
      <c r="C118" t="inlineStr">
        <is>
          <t>0315623866</t>
        </is>
      </c>
      <c r="D118" t="inlineStr">
        <is>
          <t>pbperkasa.sby@gmail.com</t>
        </is>
      </c>
      <c r="E118" t="inlineStr">
        <is>
          <t>https://lpjk.pu.go.id/search-badan-usaha-detail/U3I1VW9qSEtjcXFMWElpVmlIaW15dz09</t>
        </is>
      </c>
      <c r="F118" t="n">
        <v>1</v>
      </c>
      <c r="G118" t="inlineStr">
        <is>
          <t>KK001</t>
        </is>
      </c>
      <c r="H118" t="inlineStr">
        <is>
          <t>11 April 1995</t>
        </is>
      </c>
      <c r="I118" s="2" t="n">
        <v>46327</v>
      </c>
      <c r="J118" t="inlineStr">
        <is>
          <t>Pencabutan</t>
        </is>
      </c>
      <c r="K118" t="n">
        <v>90</v>
      </c>
      <c r="L118" t="inlineStr">
        <is>
          <t>1 November 2026</t>
        </is>
      </c>
      <c r="M118" t="inlineStr">
        <is>
          <t>Pondasi Konstruksi</t>
        </is>
      </c>
      <c r="N118" t="inlineStr">
        <is>
          <t>Spesialis</t>
        </is>
      </c>
      <c r="O118" t="inlineStr">
        <is>
          <t>20231102</t>
        </is>
      </c>
      <c r="P118" t="inlineStr">
        <is>
          <t>Jawa Timur</t>
        </is>
      </c>
      <c r="Q118" t="inlineStr"/>
    </row>
    <row r="119">
      <c r="A119" t="inlineStr">
        <is>
          <t>PERWIRA JAYA SAKTI</t>
        </is>
      </c>
      <c r="B119" t="inlineStr">
        <is>
          <t>Kab. Tuban</t>
        </is>
      </c>
      <c r="C119" t="inlineStr">
        <is>
          <t>085732453166</t>
        </is>
      </c>
      <c r="D119" t="inlineStr">
        <is>
          <t>pt.perwira.js@gmail.com</t>
        </is>
      </c>
      <c r="E119" t="inlineStr">
        <is>
          <t>https://lpjk.pu.go.id/search-badan-usaha-detail/SkJQaVRqbWZwejJiSS92V05mSmNLQT09</t>
        </is>
      </c>
      <c r="F119" t="n">
        <v>1</v>
      </c>
      <c r="G119" t="inlineStr">
        <is>
          <t>IN001</t>
        </is>
      </c>
      <c r="H119" t="inlineStr">
        <is>
          <t>17 Maret 2014</t>
        </is>
      </c>
      <c r="I119" s="2" t="n">
        <v>46327</v>
      </c>
      <c r="J119" t="inlineStr">
        <is>
          <t>Disetujui</t>
        </is>
      </c>
      <c r="K119" t="n">
        <v>90</v>
      </c>
      <c r="L119" t="inlineStr">
        <is>
          <t>1 November 2026</t>
        </is>
      </c>
      <c r="M119" t="inlineStr">
        <is>
          <t>Instalasi Mekanikal</t>
        </is>
      </c>
      <c r="N119" t="inlineStr">
        <is>
          <t>Spesialis</t>
        </is>
      </c>
      <c r="O119" t="inlineStr">
        <is>
          <t>20231029</t>
        </is>
      </c>
      <c r="P119" t="inlineStr">
        <is>
          <t>Jawa Timur</t>
        </is>
      </c>
      <c r="Q119" t="inlineStr"/>
    </row>
    <row r="120">
      <c r="A120" t="inlineStr">
        <is>
          <t>PESONA CAHAYA KEBERUNTUNGAN</t>
        </is>
      </c>
      <c r="B120" t="inlineStr">
        <is>
          <t>Kota Semarang</t>
        </is>
      </c>
      <c r="C120" t="inlineStr">
        <is>
          <t>082137186450</t>
        </is>
      </c>
      <c r="D120" t="inlineStr">
        <is>
          <t>pesonacahaya2023@gmail.com</t>
        </is>
      </c>
      <c r="E120" t="inlineStr">
        <is>
          <t>https://lpjk.pu.go.id/search-badan-usaha-detail/Vmk3SVZhaUxkcy9ramlWQ292Si9UUT09</t>
        </is>
      </c>
      <c r="F120" t="n">
        <v>1</v>
      </c>
      <c r="G120" t="inlineStr">
        <is>
          <t>BG001</t>
        </is>
      </c>
      <c r="H120" t="inlineStr">
        <is>
          <t>18 September 2023</t>
        </is>
      </c>
      <c r="I120" s="2" t="n">
        <v>46327</v>
      </c>
      <c r="J120" t="inlineStr">
        <is>
          <t>Disetujui</t>
        </is>
      </c>
      <c r="K120" t="n">
        <v>90</v>
      </c>
      <c r="L120" t="inlineStr">
        <is>
          <t>1 November 2026</t>
        </is>
      </c>
      <c r="M120" t="inlineStr">
        <is>
          <t>Konstruksi Gedung Hunian</t>
        </is>
      </c>
      <c r="N120" t="inlineStr">
        <is>
          <t>K</t>
        </is>
      </c>
      <c r="O120" t="inlineStr">
        <is>
          <t>20231025</t>
        </is>
      </c>
      <c r="P120" t="inlineStr">
        <is>
          <t>Jawa Tengah</t>
        </is>
      </c>
      <c r="Q120" t="inlineStr"/>
    </row>
    <row r="121">
      <c r="A121" t="inlineStr">
        <is>
          <t>PILAR UTAMA EKOLOGI MABBARAKKA</t>
        </is>
      </c>
      <c r="B121" t="inlineStr">
        <is>
          <t>Kota Batam</t>
        </is>
      </c>
      <c r="C121" t="inlineStr">
        <is>
          <t>08117777397</t>
        </is>
      </c>
      <c r="D121" t="inlineStr">
        <is>
          <t>pilarutamaekologi@gmail.com</t>
        </is>
      </c>
      <c r="E121" t="inlineStr">
        <is>
          <t>https://lpjk.pu.go.id/search-badan-usaha-detail/L0dnVy9zVkR0Vnh3RWhLTlg5Y2NvUT09</t>
        </is>
      </c>
      <c r="F121" t="n">
        <v>1</v>
      </c>
      <c r="G121" t="inlineStr">
        <is>
          <t>RK001</t>
        </is>
      </c>
      <c r="H121" t="inlineStr">
        <is>
          <t>6 April 2018</t>
        </is>
      </c>
      <c r="I121" s="2" t="n">
        <v>46327</v>
      </c>
      <c r="J121" t="inlineStr">
        <is>
          <t>Disetujui</t>
        </is>
      </c>
      <c r="K121" t="n">
        <v>90</v>
      </c>
      <c r="L121" t="inlineStr">
        <is>
          <t>1 November 2026</t>
        </is>
      </c>
      <c r="M121" t="inlineStr">
        <is>
          <t>Jasa Rekayasa Konstruksi Bangunan Gedung Hunian dan Non Hunian</t>
        </is>
      </c>
      <c r="N121" t="inlineStr">
        <is>
          <t>K</t>
        </is>
      </c>
      <c r="O121" t="inlineStr">
        <is>
          <t>20231024</t>
        </is>
      </c>
      <c r="P121" t="inlineStr">
        <is>
          <t>Kepulauan Riau</t>
        </is>
      </c>
      <c r="Q121" t="inlineStr"/>
    </row>
    <row r="122">
      <c r="A122" t="inlineStr">
        <is>
          <t>PRADIPTHA ARGHA CIPTHA</t>
        </is>
      </c>
      <c r="B122" t="inlineStr">
        <is>
          <t>Kota Bandung</t>
        </is>
      </c>
      <c r="C122" t="inlineStr">
        <is>
          <t>02287775289</t>
        </is>
      </c>
      <c r="D122" t="inlineStr">
        <is>
          <t>ptparadiptha@gmail.com</t>
        </is>
      </c>
      <c r="E122" t="inlineStr">
        <is>
          <t>https://lpjk.pu.go.id/search-badan-usaha-detail/OUZzL1pmbDdWUmVSZURVSXd1czJ6dz09</t>
        </is>
      </c>
      <c r="F122" t="n">
        <v>4</v>
      </c>
      <c r="G122" t="inlineStr">
        <is>
          <t>AL001, AL002, AL003, AL004</t>
        </is>
      </c>
      <c r="H122" t="inlineStr">
        <is>
          <t>10 Februari 2018</t>
        </is>
      </c>
      <c r="I122" s="2" t="n">
        <v>46327</v>
      </c>
      <c r="J122" t="inlineStr">
        <is>
          <t>Disetujui</t>
        </is>
      </c>
      <c r="K122" t="n">
        <v>90</v>
      </c>
      <c r="L122" t="inlineStr">
        <is>
          <t>1 November 2026</t>
        </is>
      </c>
      <c r="M122" t="inlineStr">
        <is>
          <t>Jasa Pengembangan Lingkungan Bangunan dan Lanskap, Jasa Pengembangan Pemanfaatan Ruang, Jasa Pengembangan Perkotaan, Jasa Pengembangan Wilayah</t>
        </is>
      </c>
      <c r="N122" t="inlineStr">
        <is>
          <t>K</t>
        </is>
      </c>
      <c r="O122" t="inlineStr">
        <is>
          <t>20230427, 20231019</t>
        </is>
      </c>
      <c r="P122" t="inlineStr">
        <is>
          <t>Jawa Barat</t>
        </is>
      </c>
      <c r="Q122" t="inlineStr"/>
    </row>
    <row r="123">
      <c r="A123" t="inlineStr">
        <is>
          <t>PRATAMA KARYA NUSANTARA</t>
        </is>
      </c>
      <c r="B123" t="inlineStr">
        <is>
          <t>Kab. Labuhanbatu</t>
        </is>
      </c>
      <c r="C123" t="inlineStr">
        <is>
          <t>082298002976</t>
        </is>
      </c>
      <c r="D123" t="inlineStr">
        <is>
          <t>pratamakaryanusantara@gmail.com</t>
        </is>
      </c>
      <c r="E123" t="inlineStr">
        <is>
          <t>https://lpjk.pu.go.id/search-badan-usaha-detail/M1hrdzMveENzYUhVazloU01zSTZDZz09</t>
        </is>
      </c>
      <c r="F123" t="n">
        <v>1</v>
      </c>
      <c r="G123" t="inlineStr">
        <is>
          <t>BG009</t>
        </is>
      </c>
      <c r="H123" t="inlineStr">
        <is>
          <t>21 Januari 2022</t>
        </is>
      </c>
      <c r="I123" s="2" t="n">
        <v>46327</v>
      </c>
      <c r="J123" t="inlineStr">
        <is>
          <t>Disetujui</t>
        </is>
      </c>
      <c r="K123" t="n">
        <v>90</v>
      </c>
      <c r="L123" t="inlineStr">
        <is>
          <t>1 November 2026</t>
        </is>
      </c>
      <c r="M123" t="inlineStr">
        <is>
          <t>Konstruksi Gedung Lainnya</t>
        </is>
      </c>
      <c r="N123" t="inlineStr">
        <is>
          <t>K</t>
        </is>
      </c>
      <c r="O123" t="inlineStr">
        <is>
          <t>20231102</t>
        </is>
      </c>
      <c r="P123" t="inlineStr">
        <is>
          <t>Sumatera Utara</t>
        </is>
      </c>
      <c r="Q123" t="inlineStr"/>
    </row>
    <row r="124">
      <c r="A124" t="inlineStr">
        <is>
          <t>PRATAMA UNGGUL PERKASA</t>
        </is>
      </c>
      <c r="B124" t="inlineStr">
        <is>
          <t>Kab. Karimun</t>
        </is>
      </c>
      <c r="C124" t="inlineStr">
        <is>
          <t>081928919997</t>
        </is>
      </c>
      <c r="D124" t="inlineStr">
        <is>
          <t>cv.pratamaunggulperkasa@gmail.com</t>
        </is>
      </c>
      <c r="E124" t="inlineStr">
        <is>
          <t>https://lpjk.pu.go.id/search-badan-usaha-detail/dVNjWmxtZmNUZzFCbWZTWkVUb2pGZz09</t>
        </is>
      </c>
      <c r="F124" t="n">
        <v>3</v>
      </c>
      <c r="G124" t="inlineStr">
        <is>
          <t>BG006, BG009, BS001</t>
        </is>
      </c>
      <c r="H124" t="inlineStr">
        <is>
          <t>8 Juni 2023</t>
        </is>
      </c>
      <c r="I124" s="2" t="n">
        <v>46327</v>
      </c>
      <c r="J124" t="inlineStr">
        <is>
          <t>Disetujui</t>
        </is>
      </c>
      <c r="K124" t="n">
        <v>90</v>
      </c>
      <c r="L124" t="inlineStr">
        <is>
          <t>1 November 2026</t>
        </is>
      </c>
      <c r="M124" t="inlineStr">
        <is>
          <t>Konstruksi Bangunan Sipil Jalan, Konstruksi Gedung Lainnya, Konstruksi Gedung Pendidikan</t>
        </is>
      </c>
      <c r="N124" t="inlineStr">
        <is>
          <t>K</t>
        </is>
      </c>
      <c r="O124" t="inlineStr">
        <is>
          <t>20231017, 20231102</t>
        </is>
      </c>
      <c r="P124" t="inlineStr">
        <is>
          <t>Kepulauan Riau</t>
        </is>
      </c>
      <c r="Q124" t="inlineStr"/>
    </row>
    <row r="125">
      <c r="A125" t="inlineStr">
        <is>
          <t>PRIMA JAYATAMA SELARAS</t>
        </is>
      </c>
      <c r="B125" t="inlineStr">
        <is>
          <t>Kota Adm. Jakarta Barat</t>
        </is>
      </c>
      <c r="C125" t="inlineStr">
        <is>
          <t>085100090959</t>
        </is>
      </c>
      <c r="D125" t="inlineStr">
        <is>
          <t>primajayatamaselaras.pt@outlook.com</t>
        </is>
      </c>
      <c r="E125" t="inlineStr">
        <is>
          <t>https://lpjk.pu.go.id/search-badan-usaha-detail/WlBQRGR1RlZSNnYvSVhCcEt4bmNrQT09</t>
        </is>
      </c>
      <c r="F125" t="n">
        <v>3</v>
      </c>
      <c r="G125" t="inlineStr">
        <is>
          <t>BG001, BG002, BG009</t>
        </is>
      </c>
      <c r="H125" t="inlineStr">
        <is>
          <t>18 November 2011</t>
        </is>
      </c>
      <c r="I125" s="2" t="n">
        <v>46327</v>
      </c>
      <c r="J125" t="inlineStr">
        <is>
          <t>Disetujui</t>
        </is>
      </c>
      <c r="K125" t="n">
        <v>90</v>
      </c>
      <c r="L125" t="inlineStr">
        <is>
          <t>1 November 2026</t>
        </is>
      </c>
      <c r="M125" t="inlineStr">
        <is>
          <t>Konstruksi Gedung Hunian, Konstruksi Gedung Lainnya, Konstruksi Gedung Perkantoran</t>
        </is>
      </c>
      <c r="N125" t="inlineStr">
        <is>
          <t>K</t>
        </is>
      </c>
      <c r="O125" t="inlineStr">
        <is>
          <t>20231024</t>
        </is>
      </c>
      <c r="P125" t="inlineStr">
        <is>
          <t>DKI Jakarta</t>
        </is>
      </c>
      <c r="Q125" t="inlineStr"/>
    </row>
    <row r="126">
      <c r="A126" t="inlineStr">
        <is>
          <t>PRIMA KARYA</t>
        </is>
      </c>
      <c r="B126" t="inlineStr">
        <is>
          <t>Kota Palembang</t>
        </is>
      </c>
      <c r="C126" t="inlineStr">
        <is>
          <t>08176929684</t>
        </is>
      </c>
      <c r="D126" t="inlineStr">
        <is>
          <t>cvprimakarya19@gmail.com</t>
        </is>
      </c>
      <c r="E126" t="inlineStr">
        <is>
          <t>https://lpjk.pu.go.id/search-badan-usaha-detail/Smhqc0M3N1ErTVVkNklHWG52UzdjUT09</t>
        </is>
      </c>
      <c r="F126" t="n">
        <v>2</v>
      </c>
      <c r="G126" t="inlineStr">
        <is>
          <t>BS001, BS004</t>
        </is>
      </c>
      <c r="H126" t="inlineStr">
        <is>
          <t>23 Januari 2017</t>
        </is>
      </c>
      <c r="I126" s="2" t="n">
        <v>46327</v>
      </c>
      <c r="J126" t="inlineStr">
        <is>
          <t>Disetujui</t>
        </is>
      </c>
      <c r="K126" t="n">
        <v>90</v>
      </c>
      <c r="L126" t="inlineStr">
        <is>
          <t>1 November 2026</t>
        </is>
      </c>
      <c r="M126" t="inlineStr">
        <is>
          <t>Konstruksi Bangunan Sipil Jalan, Konstruksi Jaringan Irigasi dan Drainase</t>
        </is>
      </c>
      <c r="N126" t="inlineStr">
        <is>
          <t>K</t>
        </is>
      </c>
      <c r="O126" t="inlineStr">
        <is>
          <t>20231029</t>
        </is>
      </c>
      <c r="P126" t="inlineStr">
        <is>
          <t>Sumatera Selatan</t>
        </is>
      </c>
      <c r="Q126" t="inlineStr"/>
    </row>
    <row r="127">
      <c r="A127" t="inlineStr">
        <is>
          <t>PUTRA BARUMUN JAYA</t>
        </is>
      </c>
      <c r="B127" t="inlineStr">
        <is>
          <t>Kab. Labuhanbatu</t>
        </is>
      </c>
      <c r="C127" t="inlineStr">
        <is>
          <t>081397430333</t>
        </is>
      </c>
      <c r="D127" t="inlineStr">
        <is>
          <t>putrabarumunjaya2015@gmail.com</t>
        </is>
      </c>
      <c r="E127" t="inlineStr">
        <is>
          <t>https://lpjk.pu.go.id/search-badan-usaha-detail/eG1leWNVZmhaMDA5aGpZalgxWWtVUT09</t>
        </is>
      </c>
      <c r="F127" t="n">
        <v>4</v>
      </c>
      <c r="G127" t="inlineStr">
        <is>
          <t>BG001, BG009, BS001, BS002</t>
        </is>
      </c>
      <c r="H127" t="inlineStr">
        <is>
          <t>1 April 2015</t>
        </is>
      </c>
      <c r="I127" s="2" t="n">
        <v>46327</v>
      </c>
      <c r="J127" t="inlineStr">
        <is>
          <t>Pencabutan</t>
        </is>
      </c>
      <c r="K127" t="n">
        <v>90</v>
      </c>
      <c r="L127" t="inlineStr">
        <is>
          <t>1 November 2026</t>
        </is>
      </c>
      <c r="M127" t="inlineStr">
        <is>
          <t>Bangunan Sipil Jembatan, Jalan Layang, Fly Over, dan Underpass, Konstruksi Bangunan Sipil Jalan, Konstruksi Gedung Hunian, Konstruksi Gedung Lainnya</t>
        </is>
      </c>
      <c r="N127" t="inlineStr">
        <is>
          <t>K</t>
        </is>
      </c>
      <c r="O127" t="inlineStr">
        <is>
          <t>20231031, 20231102</t>
        </is>
      </c>
      <c r="P127" t="inlineStr">
        <is>
          <t>Sumatera Utara</t>
        </is>
      </c>
      <c r="Q127" t="inlineStr"/>
    </row>
    <row r="128">
      <c r="A128" t="inlineStr">
        <is>
          <t>PUTRA PURNAMA MANDIRI</t>
        </is>
      </c>
      <c r="B128" t="inlineStr">
        <is>
          <t>Kota Pasuruan</t>
        </is>
      </c>
      <c r="C128" t="inlineStr">
        <is>
          <t>081336538483</t>
        </is>
      </c>
      <c r="D128" t="inlineStr">
        <is>
          <t>purnamamandiri83@gmail.com</t>
        </is>
      </c>
      <c r="E128" t="inlineStr">
        <is>
          <t>https://lpjk.pu.go.id/search-badan-usaha-detail/dGVoVE1TYW1ITE1aeFJqeHFYdit1dz09</t>
        </is>
      </c>
      <c r="F128" t="n">
        <v>2</v>
      </c>
      <c r="G128" t="inlineStr">
        <is>
          <t>BG003, BG009</t>
        </is>
      </c>
      <c r="H128" t="inlineStr">
        <is>
          <t>13 Agustus 2016</t>
        </is>
      </c>
      <c r="I128" s="2" t="n">
        <v>46327</v>
      </c>
      <c r="J128" t="inlineStr">
        <is>
          <t>Disetujui</t>
        </is>
      </c>
      <c r="K128" t="n">
        <v>90</v>
      </c>
      <c r="L128" t="inlineStr">
        <is>
          <t>1 November 2026</t>
        </is>
      </c>
      <c r="M128" t="inlineStr">
        <is>
          <t>Konstruksi Gedung Industri, Konstruksi Gedung Lainnya</t>
        </is>
      </c>
      <c r="N128" t="inlineStr">
        <is>
          <t>K</t>
        </is>
      </c>
      <c r="O128" t="inlineStr">
        <is>
          <t>20231031</t>
        </is>
      </c>
      <c r="P128" t="inlineStr">
        <is>
          <t>Jawa Timur</t>
        </is>
      </c>
      <c r="Q128" t="inlineStr"/>
    </row>
    <row r="129">
      <c r="A129" t="inlineStr">
        <is>
          <t>PUTRA SANGGUL MAS</t>
        </is>
      </c>
      <c r="B129" t="inlineStr">
        <is>
          <t>Kota Adm. Jakarta Barat</t>
        </is>
      </c>
      <c r="C129" t="inlineStr">
        <is>
          <t>0215800815</t>
        </is>
      </c>
      <c r="D129" t="inlineStr">
        <is>
          <t>putrasanggulmas@yahoo.co.id</t>
        </is>
      </c>
      <c r="E129" t="inlineStr">
        <is>
          <t>https://lpjk.pu.go.id/search-badan-usaha-detail/MXhVRHlFWEV2WU1YZm1saWxCSXJPdz09</t>
        </is>
      </c>
      <c r="F129" t="n">
        <v>1</v>
      </c>
      <c r="G129" t="inlineStr">
        <is>
          <t>BS001</t>
        </is>
      </c>
      <c r="H129" t="inlineStr">
        <is>
          <t>26 Oktober 1985</t>
        </is>
      </c>
      <c r="I129" s="2" t="n">
        <v>46327</v>
      </c>
      <c r="J129" t="inlineStr">
        <is>
          <t>Disetujui</t>
        </is>
      </c>
      <c r="K129" t="n">
        <v>90</v>
      </c>
      <c r="L129" t="inlineStr">
        <is>
          <t>1 November 2026</t>
        </is>
      </c>
      <c r="M129" t="inlineStr">
        <is>
          <t>Konstruksi Bangunan Sipil Jalan</t>
        </is>
      </c>
      <c r="N129" t="inlineStr">
        <is>
          <t>K</t>
        </is>
      </c>
      <c r="O129" t="inlineStr">
        <is>
          <t>20231102</t>
        </is>
      </c>
      <c r="P129" t="inlineStr">
        <is>
          <t>DKI Jakarta</t>
        </is>
      </c>
      <c r="Q129" t="inlineStr"/>
    </row>
    <row r="130">
      <c r="A130" t="inlineStr">
        <is>
          <t>RADEN SALEH</t>
        </is>
      </c>
      <c r="B130" t="inlineStr">
        <is>
          <t>Kota Medan</t>
        </is>
      </c>
      <c r="C130" t="inlineStr">
        <is>
          <t>08116511384</t>
        </is>
      </c>
      <c r="D130" t="inlineStr">
        <is>
          <t>cvradensaleh@gmail.com</t>
        </is>
      </c>
      <c r="E130" t="inlineStr">
        <is>
          <t>https://lpjk.pu.go.id/search-badan-usaha-detail/WVpTSHdjWHc3c2xWV3lUV0pvc1k4UT09</t>
        </is>
      </c>
      <c r="F130" t="n">
        <v>1</v>
      </c>
      <c r="G130" t="inlineStr">
        <is>
          <t>BS001</t>
        </is>
      </c>
      <c r="H130" t="inlineStr">
        <is>
          <t>12 November 2019</t>
        </is>
      </c>
      <c r="I130" s="2" t="n">
        <v>46327</v>
      </c>
      <c r="J130" t="inlineStr">
        <is>
          <t>Pencabutan</t>
        </is>
      </c>
      <c r="K130" t="n">
        <v>90</v>
      </c>
      <c r="L130" t="inlineStr">
        <is>
          <t>1 November 2026</t>
        </is>
      </c>
      <c r="M130" t="inlineStr">
        <is>
          <t>Konstruksi Bangunan Sipil Jalan</t>
        </is>
      </c>
      <c r="N130" t="inlineStr">
        <is>
          <t>K</t>
        </is>
      </c>
      <c r="O130" t="inlineStr">
        <is>
          <t>20231030</t>
        </is>
      </c>
      <c r="P130" t="inlineStr">
        <is>
          <t>Sumatera Utara</t>
        </is>
      </c>
      <c r="Q130" t="inlineStr"/>
    </row>
    <row r="131">
      <c r="A131" t="inlineStr">
        <is>
          <t>RAFKA PRATAMA</t>
        </is>
      </c>
      <c r="B131" t="inlineStr">
        <is>
          <t>Kab. Lombok Timur</t>
        </is>
      </c>
      <c r="C131" t="inlineStr">
        <is>
          <t>08175714557</t>
        </is>
      </c>
      <c r="D131" t="inlineStr">
        <is>
          <t>cvrafkapratama2023@gmail.com</t>
        </is>
      </c>
      <c r="E131" t="inlineStr">
        <is>
          <t>https://lpjk.pu.go.id/search-badan-usaha-detail/OGxJOGZBR3Jia3ZqeW5ObHNXR09NQT09</t>
        </is>
      </c>
      <c r="F131" t="n">
        <v>1</v>
      </c>
      <c r="G131" t="inlineStr">
        <is>
          <t>BG009</t>
        </is>
      </c>
      <c r="H131" t="inlineStr">
        <is>
          <t>27 Agustus 2020</t>
        </is>
      </c>
      <c r="I131" s="2" t="n">
        <v>46327</v>
      </c>
      <c r="J131" t="inlineStr">
        <is>
          <t>Disetujui</t>
        </is>
      </c>
      <c r="K131" t="n">
        <v>90</v>
      </c>
      <c r="L131" t="inlineStr">
        <is>
          <t>1 November 2026</t>
        </is>
      </c>
      <c r="M131" t="inlineStr">
        <is>
          <t>Konstruksi Gedung Lainnya</t>
        </is>
      </c>
      <c r="N131" t="inlineStr">
        <is>
          <t>K</t>
        </is>
      </c>
      <c r="O131" t="inlineStr">
        <is>
          <t>20231031</t>
        </is>
      </c>
      <c r="P131" t="inlineStr">
        <is>
          <t>Nusa Tenggara Barat</t>
        </is>
      </c>
      <c r="Q131" t="inlineStr"/>
    </row>
    <row r="132">
      <c r="A132" t="inlineStr">
        <is>
          <t>RAJAWALI MAS</t>
        </is>
      </c>
      <c r="B132" t="inlineStr">
        <is>
          <t>Kab. Pasaman Barat</t>
        </is>
      </c>
      <c r="C132" t="inlineStr">
        <is>
          <t>081266608066</t>
        </is>
      </c>
      <c r="D132" t="inlineStr">
        <is>
          <t>cv_rajawali_mas@yahoo.co.id</t>
        </is>
      </c>
      <c r="E132" t="inlineStr">
        <is>
          <t>https://lpjk.pu.go.id/search-badan-usaha-detail/ZnZLeHhsWlAzNkIyZGxLckdLaGM4dz09</t>
        </is>
      </c>
      <c r="F132" t="n">
        <v>2</v>
      </c>
      <c r="G132" t="inlineStr">
        <is>
          <t>BG003</t>
        </is>
      </c>
      <c r="H132" t="inlineStr">
        <is>
          <t>9 Oktober 2013</t>
        </is>
      </c>
      <c r="I132" s="2" t="n">
        <v>46327</v>
      </c>
      <c r="J132" t="inlineStr">
        <is>
          <t>Disetujui</t>
        </is>
      </c>
      <c r="K132" t="n">
        <v>90</v>
      </c>
      <c r="L132" t="inlineStr">
        <is>
          <t>1 November 2026</t>
        </is>
      </c>
      <c r="M132" t="inlineStr">
        <is>
          <t>Konstruksi Gedung Industri</t>
        </is>
      </c>
      <c r="N132" t="inlineStr">
        <is>
          <t>K</t>
        </is>
      </c>
      <c r="O132" t="inlineStr">
        <is>
          <t>20231102</t>
        </is>
      </c>
      <c r="P132" t="inlineStr">
        <is>
          <t>Sumatera Barat</t>
        </is>
      </c>
      <c r="Q132" t="inlineStr"/>
    </row>
    <row r="133">
      <c r="A133" t="inlineStr">
        <is>
          <t>RAJAWALI PARAMA KONSTRUKSI</t>
        </is>
      </c>
      <c r="B133" t="inlineStr">
        <is>
          <t>Kota Tangerang Selatan</t>
        </is>
      </c>
      <c r="C133" t="inlineStr">
        <is>
          <t>02153128888</t>
        </is>
      </c>
      <c r="D133" t="inlineStr">
        <is>
          <t>bong_parnoto@rajawaliparama.com</t>
        </is>
      </c>
      <c r="E133" t="inlineStr">
        <is>
          <t>https://lpjk.pu.go.id/search-badan-usaha-detail/c0tkVTVTY1lVajMvaE94V2J6RGswUT09</t>
        </is>
      </c>
      <c r="F133" t="n">
        <v>2</v>
      </c>
      <c r="G133" t="inlineStr">
        <is>
          <t>IN007</t>
        </is>
      </c>
      <c r="H133" t="inlineStr">
        <is>
          <t>8 Februari 2011</t>
        </is>
      </c>
      <c r="I133" s="2" t="n">
        <v>46327</v>
      </c>
      <c r="J133" t="inlineStr">
        <is>
          <t>Pembekuan</t>
        </is>
      </c>
      <c r="K133" t="n">
        <v>90</v>
      </c>
      <c r="L133" t="inlineStr">
        <is>
          <t>1 November 2026</t>
        </is>
      </c>
      <c r="M133" t="inlineStr">
        <is>
          <t>Instalasi Saluran Air (Plambing)</t>
        </is>
      </c>
      <c r="N133" t="inlineStr">
        <is>
          <t>Spesialis</t>
        </is>
      </c>
      <c r="O133" t="inlineStr">
        <is>
          <t>20231029</t>
        </is>
      </c>
      <c r="P133" t="inlineStr">
        <is>
          <t>Banten</t>
        </is>
      </c>
      <c r="Q133" t="inlineStr"/>
    </row>
    <row r="134">
      <c r="A134" t="inlineStr">
        <is>
          <t>REMAJA ARTI KREASI</t>
        </is>
      </c>
      <c r="B134" t="inlineStr">
        <is>
          <t>Kota Metro</t>
        </is>
      </c>
      <c r="C134" t="inlineStr">
        <is>
          <t>082176387927</t>
        </is>
      </c>
      <c r="D134" t="inlineStr">
        <is>
          <t>remajaartikreasicv@gmail.com</t>
        </is>
      </c>
      <c r="E134" t="inlineStr">
        <is>
          <t>https://lpjk.pu.go.id/search-badan-usaha-detail/NTJidzdrTFlyT3BwaXY2Y0NCUUFRdz09</t>
        </is>
      </c>
      <c r="F134" t="n">
        <v>1</v>
      </c>
      <c r="G134" t="inlineStr">
        <is>
          <t>RK003</t>
        </is>
      </c>
      <c r="H134" t="inlineStr">
        <is>
          <t>11 Juli 2017</t>
        </is>
      </c>
      <c r="I134" s="2" t="n">
        <v>46327</v>
      </c>
      <c r="J134" t="inlineStr">
        <is>
          <t>Disetujui</t>
        </is>
      </c>
      <c r="K134" t="n">
        <v>90</v>
      </c>
      <c r="L134" t="inlineStr">
        <is>
          <t>1 November 2026</t>
        </is>
      </c>
      <c r="M134" t="inlineStr">
        <is>
          <t>Jasa Rekayasa Pekerjaan Teknik Sipil Transportasi</t>
        </is>
      </c>
      <c r="N134" t="inlineStr">
        <is>
          <t>K</t>
        </is>
      </c>
      <c r="O134" t="inlineStr">
        <is>
          <t>20231018</t>
        </is>
      </c>
      <c r="P134" t="inlineStr">
        <is>
          <t>Lampung</t>
        </is>
      </c>
      <c r="Q134" t="inlineStr"/>
    </row>
    <row r="135">
      <c r="A135" t="inlineStr">
        <is>
          <t>REVIAMI</t>
        </is>
      </c>
      <c r="B135" t="inlineStr">
        <is>
          <t>Kab. Tanah Laut</t>
        </is>
      </c>
      <c r="C135" t="inlineStr">
        <is>
          <t>082354534422</t>
        </is>
      </c>
      <c r="D135" t="inlineStr">
        <is>
          <t>reviami.cvheldawati@yahoo.co.id</t>
        </is>
      </c>
      <c r="E135" t="inlineStr">
        <is>
          <t>https://lpjk.pu.go.id/search-badan-usaha-detail/NFAySmFzUlpHOW8rejk4NXBnSGVRZz09</t>
        </is>
      </c>
      <c r="F135" t="n">
        <v>1</v>
      </c>
      <c r="G135" t="inlineStr">
        <is>
          <t>BG008</t>
        </is>
      </c>
      <c r="H135" t="inlineStr">
        <is>
          <t>27 Juni 2002</t>
        </is>
      </c>
      <c r="I135" s="2" t="n">
        <v>46327</v>
      </c>
      <c r="J135" t="inlineStr">
        <is>
          <t>Disetujui</t>
        </is>
      </c>
      <c r="K135" t="n">
        <v>90</v>
      </c>
      <c r="L135" t="inlineStr">
        <is>
          <t>1 November 2026</t>
        </is>
      </c>
      <c r="M135" t="inlineStr">
        <is>
          <t>Konstruksi Gedung Tempat Hiburan dan Olahraga</t>
        </is>
      </c>
      <c r="N135" t="inlineStr">
        <is>
          <t>K</t>
        </is>
      </c>
      <c r="O135" t="inlineStr">
        <is>
          <t>20231027</t>
        </is>
      </c>
      <c r="P135" t="inlineStr">
        <is>
          <t>Kalimantan Selatan</t>
        </is>
      </c>
      <c r="Q135" t="inlineStr"/>
    </row>
    <row r="136">
      <c r="A136" t="inlineStr">
        <is>
          <t>RIVA ABADI</t>
        </is>
      </c>
      <c r="B136" t="inlineStr">
        <is>
          <t>Kab. Banyuwangi</t>
        </is>
      </c>
      <c r="C136" t="inlineStr">
        <is>
          <t>081230873905</t>
        </is>
      </c>
      <c r="D136" t="inlineStr">
        <is>
          <t>suniattabik@gmail.com</t>
        </is>
      </c>
      <c r="E136" t="inlineStr">
        <is>
          <t>https://lpjk.pu.go.id/search-badan-usaha-detail/bmVWOGw1dW9qMVRxL0xpdU1xTHpEUT09</t>
        </is>
      </c>
      <c r="F136" t="n">
        <v>3</v>
      </c>
      <c r="G136" t="inlineStr">
        <is>
          <t>BG006, BS001, BS004</t>
        </is>
      </c>
      <c r="H136" t="inlineStr">
        <is>
          <t>26 Januari 2015</t>
        </is>
      </c>
      <c r="I136" s="2" t="n">
        <v>46327</v>
      </c>
      <c r="J136" t="inlineStr">
        <is>
          <t>Disetujui</t>
        </is>
      </c>
      <c r="K136" t="n">
        <v>90</v>
      </c>
      <c r="L136" t="inlineStr">
        <is>
          <t>1 November 2026</t>
        </is>
      </c>
      <c r="M136" t="inlineStr">
        <is>
          <t>Konstruksi Bangunan Sipil Jalan, Konstruksi Gedung Pendidikan, Konstruksi Jaringan Irigasi dan Drainase</t>
        </is>
      </c>
      <c r="N136" t="inlineStr">
        <is>
          <t>K</t>
        </is>
      </c>
      <c r="O136" t="inlineStr">
        <is>
          <t>20231017, 20231024</t>
        </is>
      </c>
      <c r="P136" t="inlineStr">
        <is>
          <t>Jawa Timur</t>
        </is>
      </c>
      <c r="Q136" t="inlineStr"/>
    </row>
    <row r="137">
      <c r="A137" t="inlineStr">
        <is>
          <t>RIZKI GARDA USAHA</t>
        </is>
      </c>
      <c r="B137" t="inlineStr">
        <is>
          <t>Kab. Kubu Raya</t>
        </is>
      </c>
      <c r="C137" t="inlineStr">
        <is>
          <t>082255899966</t>
        </is>
      </c>
      <c r="D137" t="inlineStr">
        <is>
          <t>cvrizkigardausaha@gmail.com</t>
        </is>
      </c>
      <c r="E137" t="inlineStr">
        <is>
          <t>https://lpjk.pu.go.id/search-badan-usaha-detail/SHpGTGwzNWVZOHJYS1VWdEtwbDlUUT09</t>
        </is>
      </c>
      <c r="F137" t="n">
        <v>1</v>
      </c>
      <c r="G137" t="inlineStr">
        <is>
          <t>BG005</t>
        </is>
      </c>
      <c r="H137" t="inlineStr">
        <is>
          <t>29 November 2017</t>
        </is>
      </c>
      <c r="I137" s="2" t="n">
        <v>46327</v>
      </c>
      <c r="J137" t="inlineStr">
        <is>
          <t>Disetujui</t>
        </is>
      </c>
      <c r="K137" t="n">
        <v>90</v>
      </c>
      <c r="L137" t="inlineStr">
        <is>
          <t>1 November 2026</t>
        </is>
      </c>
      <c r="M137" t="inlineStr">
        <is>
          <t>Konstruksi Gedung Kesehatan</t>
        </is>
      </c>
      <c r="N137" t="inlineStr">
        <is>
          <t>K</t>
        </is>
      </c>
      <c r="O137" t="inlineStr">
        <is>
          <t>20231030</t>
        </is>
      </c>
      <c r="P137" t="inlineStr">
        <is>
          <t>Kalimantan Barat</t>
        </is>
      </c>
      <c r="Q137" t="inlineStr"/>
    </row>
    <row r="138">
      <c r="A138" t="inlineStr">
        <is>
          <t>ROYAL FLUSH</t>
        </is>
      </c>
      <c r="B138" t="inlineStr">
        <is>
          <t>Kab. Lampung Barat</t>
        </is>
      </c>
      <c r="C138" t="inlineStr">
        <is>
          <t>085211172019</t>
        </is>
      </c>
      <c r="D138" t="inlineStr">
        <is>
          <t>cvroyalflush99@gmail.com</t>
        </is>
      </c>
      <c r="E138" t="inlineStr">
        <is>
          <t>https://lpjk.pu.go.id/search-badan-usaha-detail/QXRRQTNVU0JCYkh2d1FYSG5ENUNDZz09</t>
        </is>
      </c>
      <c r="F138" t="n">
        <v>1</v>
      </c>
      <c r="G138" t="inlineStr">
        <is>
          <t>BG009</t>
        </is>
      </c>
      <c r="H138" t="inlineStr">
        <is>
          <t>23 Oktober 2020</t>
        </is>
      </c>
      <c r="I138" s="2" t="n">
        <v>46327</v>
      </c>
      <c r="J138" t="inlineStr">
        <is>
          <t>Pencabutan</t>
        </is>
      </c>
      <c r="K138" t="n">
        <v>90</v>
      </c>
      <c r="L138" t="inlineStr">
        <is>
          <t>1 November 2026</t>
        </is>
      </c>
      <c r="M138" t="inlineStr">
        <is>
          <t>Konstruksi Gedung Lainnya</t>
        </is>
      </c>
      <c r="N138" t="inlineStr">
        <is>
          <t>K</t>
        </is>
      </c>
      <c r="O138" t="inlineStr">
        <is>
          <t>20230921</t>
        </is>
      </c>
      <c r="P138" t="inlineStr">
        <is>
          <t>Lampung</t>
        </is>
      </c>
      <c r="Q138" t="inlineStr"/>
    </row>
    <row r="139">
      <c r="A139" t="inlineStr">
        <is>
          <t>SAMADYA PILAR KONSTRUKSI</t>
        </is>
      </c>
      <c r="B139" t="inlineStr">
        <is>
          <t>Kab. Serang</t>
        </is>
      </c>
      <c r="C139" t="inlineStr">
        <is>
          <t>087871024452</t>
        </is>
      </c>
      <c r="D139" t="inlineStr">
        <is>
          <t>Samadyakonstruksi@gmail.com</t>
        </is>
      </c>
      <c r="E139" t="inlineStr">
        <is>
          <t>https://lpjk.pu.go.id/search-badan-usaha-detail/ejRaL0dVY2ZzanhySkxGYkpsYit4UT09</t>
        </is>
      </c>
      <c r="F139" t="n">
        <v>1</v>
      </c>
      <c r="G139" t="inlineStr">
        <is>
          <t>BG006</t>
        </is>
      </c>
      <c r="H139" t="inlineStr">
        <is>
          <t>12 September 2020</t>
        </is>
      </c>
      <c r="I139" s="2" t="n">
        <v>46327</v>
      </c>
      <c r="J139" t="inlineStr">
        <is>
          <t>Disetujui</t>
        </is>
      </c>
      <c r="K139" t="n">
        <v>90</v>
      </c>
      <c r="L139" t="inlineStr">
        <is>
          <t>1 November 2026</t>
        </is>
      </c>
      <c r="M139" t="inlineStr">
        <is>
          <t>Konstruksi Gedung Pendidikan</t>
        </is>
      </c>
      <c r="N139" t="inlineStr">
        <is>
          <t>K</t>
        </is>
      </c>
      <c r="O139" t="inlineStr">
        <is>
          <t>20231024</t>
        </is>
      </c>
      <c r="P139" t="inlineStr">
        <is>
          <t>Banten</t>
        </is>
      </c>
      <c r="Q139" t="inlineStr"/>
    </row>
    <row r="140">
      <c r="A140" t="inlineStr">
        <is>
          <t>SARANA RINTASINDAH</t>
        </is>
      </c>
      <c r="B140" t="inlineStr">
        <is>
          <t>Kota Surabaya</t>
        </is>
      </c>
      <c r="C140" t="inlineStr">
        <is>
          <t>0313291225</t>
        </is>
      </c>
      <c r="D140" t="inlineStr">
        <is>
          <t>saranarintasindah@gmail.com</t>
        </is>
      </c>
      <c r="E140" t="inlineStr">
        <is>
          <t>https://lpjk.pu.go.id/search-badan-usaha-detail/WHd2NjR1YThlMTA4VTFWakxIMDNsUT09</t>
        </is>
      </c>
      <c r="F140" t="n">
        <v>1</v>
      </c>
      <c r="G140" t="inlineStr">
        <is>
          <t>KK001</t>
        </is>
      </c>
      <c r="H140" t="inlineStr">
        <is>
          <t>2 September 1994</t>
        </is>
      </c>
      <c r="I140" s="2" t="n">
        <v>46327</v>
      </c>
      <c r="J140" t="inlineStr">
        <is>
          <t>Pembekuan</t>
        </is>
      </c>
      <c r="K140" t="n">
        <v>90</v>
      </c>
      <c r="L140" t="inlineStr">
        <is>
          <t>1 November 2026</t>
        </is>
      </c>
      <c r="M140" t="inlineStr">
        <is>
          <t>Pondasi Konstruksi</t>
        </is>
      </c>
      <c r="N140" t="inlineStr">
        <is>
          <t>Spesialis</t>
        </is>
      </c>
      <c r="O140" t="inlineStr">
        <is>
          <t>20231101</t>
        </is>
      </c>
      <c r="P140" t="inlineStr">
        <is>
          <t>Jawa Timur</t>
        </is>
      </c>
      <c r="Q140" t="inlineStr"/>
    </row>
    <row r="141">
      <c r="A141" t="inlineStr">
        <is>
          <t>SATRIA MUSTIKA SENTOSA</t>
        </is>
      </c>
      <c r="B141" t="inlineStr">
        <is>
          <t>Kota Surabaya</t>
        </is>
      </c>
      <c r="C141" t="inlineStr">
        <is>
          <t>081216679990</t>
        </is>
      </c>
      <c r="D141" t="inlineStr">
        <is>
          <t>pt.samusa@gmail.com</t>
        </is>
      </c>
      <c r="E141" t="inlineStr">
        <is>
          <t>https://lpjk.pu.go.id/search-badan-usaha-detail/dE55WVcrTVNyZTlObHFEQWFWUmZ3Zz09</t>
        </is>
      </c>
      <c r="F141" t="n">
        <v>1</v>
      </c>
      <c r="G141" t="inlineStr">
        <is>
          <t>BS009</t>
        </is>
      </c>
      <c r="H141" t="inlineStr">
        <is>
          <t>12 Juli 2022</t>
        </is>
      </c>
      <c r="I141" s="2" t="n">
        <v>46327</v>
      </c>
      <c r="J141" t="inlineStr">
        <is>
          <t>Disetujui</t>
        </is>
      </c>
      <c r="K141" t="n">
        <v>90</v>
      </c>
      <c r="L141" t="inlineStr">
        <is>
          <t>1 November 2026</t>
        </is>
      </c>
      <c r="M141" t="inlineStr">
        <is>
          <t>Konstruksi Sentral Telekomunikasi</t>
        </is>
      </c>
      <c r="N141" t="inlineStr">
        <is>
          <t>K</t>
        </is>
      </c>
      <c r="O141" t="inlineStr">
        <is>
          <t>20231031</t>
        </is>
      </c>
      <c r="P141" t="inlineStr">
        <is>
          <t>Jawa Timur</t>
        </is>
      </c>
      <c r="Q141" t="inlineStr"/>
    </row>
    <row r="142">
      <c r="A142" t="inlineStr">
        <is>
          <t>SAUDARA MITRA SEJATI</t>
        </is>
      </c>
      <c r="B142" t="inlineStr">
        <is>
          <t>Kota Tangerang Selatan</t>
        </is>
      </c>
      <c r="C142" t="inlineStr">
        <is>
          <t>087887300555</t>
        </is>
      </c>
      <c r="D142" t="inlineStr">
        <is>
          <t>anna-suhianto@hotmail.com</t>
        </is>
      </c>
      <c r="E142" t="inlineStr">
        <is>
          <t>https://lpjk.pu.go.id/search-badan-usaha-detail/Y0RRdURoTU1qRUx3QlY2M0NnQklTQT09</t>
        </is>
      </c>
      <c r="F142" t="n">
        <v>2</v>
      </c>
      <c r="G142" t="inlineStr">
        <is>
          <t>BG001, BG002</t>
        </is>
      </c>
      <c r="H142" t="inlineStr">
        <is>
          <t>23 Agustus 2005</t>
        </is>
      </c>
      <c r="I142" s="2" t="n">
        <v>46327</v>
      </c>
      <c r="J142" t="inlineStr">
        <is>
          <t>Disetujui</t>
        </is>
      </c>
      <c r="K142" t="n">
        <v>90</v>
      </c>
      <c r="L142" t="inlineStr">
        <is>
          <t>1 November 2026</t>
        </is>
      </c>
      <c r="M142" t="inlineStr">
        <is>
          <t>Konstruksi Gedung Hunian, Konstruksi Gedung Perkantoran</t>
        </is>
      </c>
      <c r="N142" t="inlineStr">
        <is>
          <t>K</t>
        </is>
      </c>
      <c r="O142" t="inlineStr">
        <is>
          <t>20230920, 20231007</t>
        </is>
      </c>
      <c r="P142" t="inlineStr">
        <is>
          <t>Banten</t>
        </is>
      </c>
      <c r="Q142" t="inlineStr"/>
    </row>
    <row r="143">
      <c r="A143" t="inlineStr">
        <is>
          <t>SEKAR KAHURIPAN</t>
        </is>
      </c>
      <c r="B143" t="inlineStr">
        <is>
          <t>Kota Mojokerto</t>
        </is>
      </c>
      <c r="C143" t="inlineStr">
        <is>
          <t>081230280226</t>
        </is>
      </c>
      <c r="D143" t="inlineStr">
        <is>
          <t>sekarkahuripan_cv@yahoo.com</t>
        </is>
      </c>
      <c r="E143" t="inlineStr">
        <is>
          <t>https://lpjk.pu.go.id/search-badan-usaha-detail/eGVZNXp5Z1RhM3FMUnIyRzdqRVJSZz09</t>
        </is>
      </c>
      <c r="F143" t="n">
        <v>2</v>
      </c>
      <c r="G143" t="inlineStr">
        <is>
          <t>BG001</t>
        </is>
      </c>
      <c r="H143" t="inlineStr">
        <is>
          <t>22 Juni 2012</t>
        </is>
      </c>
      <c r="I143" s="2" t="n">
        <v>46327</v>
      </c>
      <c r="J143" t="inlineStr">
        <is>
          <t>Disetujui</t>
        </is>
      </c>
      <c r="K143" t="n">
        <v>90</v>
      </c>
      <c r="L143" t="inlineStr">
        <is>
          <t>1 November 2026</t>
        </is>
      </c>
      <c r="M143" t="inlineStr">
        <is>
          <t>Konstruksi Gedung Hunian</t>
        </is>
      </c>
      <c r="N143" t="inlineStr">
        <is>
          <t>K</t>
        </is>
      </c>
      <c r="O143" t="inlineStr">
        <is>
          <t>20231028</t>
        </is>
      </c>
      <c r="P143" t="inlineStr">
        <is>
          <t>Jawa Timur</t>
        </is>
      </c>
      <c r="Q143" t="inlineStr"/>
    </row>
    <row r="144">
      <c r="A144" t="inlineStr">
        <is>
          <t>SENJA KARYA AMARTA</t>
        </is>
      </c>
      <c r="B144" t="inlineStr">
        <is>
          <t>Kota Blitar</t>
        </is>
      </c>
      <c r="C144" t="inlineStr">
        <is>
          <t>082231159949</t>
        </is>
      </c>
      <c r="D144" t="inlineStr">
        <is>
          <t>senjakaryaamarta@gmail.com</t>
        </is>
      </c>
      <c r="E144" t="inlineStr">
        <is>
          <t>https://lpjk.pu.go.id/search-badan-usaha-detail/WHlSUzgzREVHbS9KNExmbGZwWVNPZz09</t>
        </is>
      </c>
      <c r="F144" t="n">
        <v>1</v>
      </c>
      <c r="G144" t="inlineStr">
        <is>
          <t>BS004</t>
        </is>
      </c>
      <c r="H144" t="inlineStr">
        <is>
          <t>14 Agustus 2023</t>
        </is>
      </c>
      <c r="I144" s="2" t="n">
        <v>46327</v>
      </c>
      <c r="J144" t="inlineStr">
        <is>
          <t>Disetujui</t>
        </is>
      </c>
      <c r="K144" t="n">
        <v>90</v>
      </c>
      <c r="L144" t="inlineStr">
        <is>
          <t>1 November 2026</t>
        </is>
      </c>
      <c r="M144" t="inlineStr">
        <is>
          <t>Konstruksi Jaringan Irigasi dan Drainase</t>
        </is>
      </c>
      <c r="N144" t="inlineStr">
        <is>
          <t>K</t>
        </is>
      </c>
      <c r="O144" t="inlineStr">
        <is>
          <t>20231024</t>
        </is>
      </c>
      <c r="P144" t="inlineStr">
        <is>
          <t>Jawa Timur</t>
        </is>
      </c>
      <c r="Q144" t="inlineStr"/>
    </row>
    <row r="145">
      <c r="A145" t="inlineStr">
        <is>
          <t>SEPULUH SUMBER ANUGERAH</t>
        </is>
      </c>
      <c r="B145" t="inlineStr">
        <is>
          <t>Kab. Serang</t>
        </is>
      </c>
      <c r="C145" t="inlineStr">
        <is>
          <t>(0254) 408947-49</t>
        </is>
      </c>
      <c r="D145" t="inlineStr">
        <is>
          <t>hrd@pt-ssa.co.id</t>
        </is>
      </c>
      <c r="E145" t="inlineStr">
        <is>
          <t>https://lpjk.pu.go.id/search-badan-usaha-detail/NTJTbjVzbTNUTERoQWg1WEdPOFZSQT09</t>
        </is>
      </c>
      <c r="F145" t="n">
        <v>1</v>
      </c>
      <c r="G145" t="inlineStr">
        <is>
          <t>KK008</t>
        </is>
      </c>
      <c r="H145" t="inlineStr">
        <is>
          <t>2 Februari 1996</t>
        </is>
      </c>
      <c r="I145" s="2" t="n">
        <v>46327</v>
      </c>
      <c r="J145" t="inlineStr">
        <is>
          <t>Disetujui</t>
        </is>
      </c>
      <c r="K145" t="n">
        <v>90</v>
      </c>
      <c r="L145" t="inlineStr">
        <is>
          <t>1 November 2026</t>
        </is>
      </c>
      <c r="M145" t="inlineStr">
        <is>
          <t>Perkerasan Aspal</t>
        </is>
      </c>
      <c r="N145" t="inlineStr">
        <is>
          <t>Spesialis</t>
        </is>
      </c>
      <c r="O145" t="inlineStr">
        <is>
          <t>20231027</t>
        </is>
      </c>
      <c r="P145" t="inlineStr">
        <is>
          <t>Banten</t>
        </is>
      </c>
      <c r="Q145" t="inlineStr"/>
    </row>
    <row r="146">
      <c r="A146" t="inlineStr">
        <is>
          <t>SHAFANA BERKARYA</t>
        </is>
      </c>
      <c r="B146" t="inlineStr">
        <is>
          <t>Kota Bandar Lampung</t>
        </is>
      </c>
      <c r="C146" t="inlineStr">
        <is>
          <t>082281346743</t>
        </is>
      </c>
      <c r="D146" t="inlineStr">
        <is>
          <t>shafana.berkarya@gmail.com</t>
        </is>
      </c>
      <c r="E146" t="inlineStr">
        <is>
          <t>https://lpjk.pu.go.id/search-badan-usaha-detail/a1Z5WndDbmJJdEZDZk1GaUh2K0t3QT09</t>
        </is>
      </c>
      <c r="F146" t="n">
        <v>2</v>
      </c>
      <c r="G146" t="inlineStr">
        <is>
          <t>BS001</t>
        </is>
      </c>
      <c r="H146" t="inlineStr">
        <is>
          <t>9 Januari 2020</t>
        </is>
      </c>
      <c r="I146" s="2" t="n">
        <v>46327</v>
      </c>
      <c r="J146" t="inlineStr">
        <is>
          <t>Disetujui</t>
        </is>
      </c>
      <c r="K146" t="n">
        <v>90</v>
      </c>
      <c r="L146" t="inlineStr">
        <is>
          <t>1 November 2026</t>
        </is>
      </c>
      <c r="M146" t="inlineStr">
        <is>
          <t>Konstruksi Bangunan Sipil Jalan</t>
        </is>
      </c>
      <c r="N146" t="inlineStr">
        <is>
          <t>K</t>
        </is>
      </c>
      <c r="O146" t="inlineStr">
        <is>
          <t>20231026</t>
        </is>
      </c>
      <c r="P146" t="inlineStr">
        <is>
          <t>Lampung</t>
        </is>
      </c>
      <c r="Q146" t="inlineStr"/>
    </row>
    <row r="147">
      <c r="A147" t="inlineStr">
        <is>
          <t>SHAKA</t>
        </is>
      </c>
      <c r="B147" t="inlineStr">
        <is>
          <t>Kab. Blitar</t>
        </is>
      </c>
      <c r="C147" t="inlineStr">
        <is>
          <t>085735376299</t>
        </is>
      </c>
      <c r="D147" t="inlineStr">
        <is>
          <t>cvshaka@gmail.com</t>
        </is>
      </c>
      <c r="E147" t="inlineStr">
        <is>
          <t>https://lpjk.pu.go.id/search-badan-usaha-detail/SXlCdHRnYkhkTE85VDlTV0hzdEg0UT09</t>
        </is>
      </c>
      <c r="F147" t="n">
        <v>1</v>
      </c>
      <c r="G147" t="inlineStr">
        <is>
          <t>BS001</t>
        </is>
      </c>
      <c r="H147" t="inlineStr">
        <is>
          <t>6 Januari 2017</t>
        </is>
      </c>
      <c r="I147" s="2" t="n">
        <v>46327</v>
      </c>
      <c r="J147" t="inlineStr">
        <is>
          <t>Pencabutan</t>
        </is>
      </c>
      <c r="K147" t="n">
        <v>90</v>
      </c>
      <c r="L147" t="inlineStr">
        <is>
          <t>1 November 2026</t>
        </is>
      </c>
      <c r="M147" t="inlineStr">
        <is>
          <t>Konstruksi Bangunan Sipil Jalan</t>
        </is>
      </c>
      <c r="N147" t="inlineStr">
        <is>
          <t>K</t>
        </is>
      </c>
      <c r="O147" t="inlineStr">
        <is>
          <t>20231030</t>
        </is>
      </c>
      <c r="P147" t="inlineStr">
        <is>
          <t>Jawa Timur</t>
        </is>
      </c>
      <c r="Q147" t="inlineStr"/>
    </row>
    <row r="148">
      <c r="A148" t="inlineStr">
        <is>
          <t>SIDOMUKTI JAYA PERKASA</t>
        </is>
      </c>
      <c r="B148" t="inlineStr">
        <is>
          <t>Kab. Kebumen</t>
        </is>
      </c>
      <c r="C148" t="inlineStr">
        <is>
          <t>087732533316</t>
        </is>
      </c>
      <c r="D148" t="inlineStr">
        <is>
          <t>cvsidomuktijayaperkasa@gmail.com</t>
        </is>
      </c>
      <c r="E148" t="inlineStr">
        <is>
          <t>https://lpjk.pu.go.id/search-badan-usaha-detail/cVQrQ0RWbEtSZ3I1SHgrRFkzb2N0UT09</t>
        </is>
      </c>
      <c r="F148" t="n">
        <v>2</v>
      </c>
      <c r="G148" t="inlineStr">
        <is>
          <t>BS004</t>
        </is>
      </c>
      <c r="H148" t="inlineStr">
        <is>
          <t>29 Maret 2019</t>
        </is>
      </c>
      <c r="I148" s="2" t="n">
        <v>46327</v>
      </c>
      <c r="J148" t="inlineStr">
        <is>
          <t>Disetujui</t>
        </is>
      </c>
      <c r="K148" t="n">
        <v>90</v>
      </c>
      <c r="L148" t="inlineStr">
        <is>
          <t>1 November 2026</t>
        </is>
      </c>
      <c r="M148" t="inlineStr">
        <is>
          <t>Konstruksi Jaringan Irigasi dan Drainase</t>
        </is>
      </c>
      <c r="N148" t="inlineStr">
        <is>
          <t>K</t>
        </is>
      </c>
      <c r="O148" t="inlineStr">
        <is>
          <t>20231026</t>
        </is>
      </c>
      <c r="P148" t="inlineStr">
        <is>
          <t>Jawa Tengah</t>
        </is>
      </c>
      <c r="Q148" t="inlineStr"/>
    </row>
    <row r="149">
      <c r="A149" t="inlineStr">
        <is>
          <t>SIGMA BANGUN CIPTA</t>
        </is>
      </c>
      <c r="B149" t="inlineStr">
        <is>
          <t>Kota Medan</t>
        </is>
      </c>
      <c r="C149" t="inlineStr">
        <is>
          <t>081270277450</t>
        </is>
      </c>
      <c r="D149" t="inlineStr">
        <is>
          <t>pt.sigmabanguncipta@gmail.com</t>
        </is>
      </c>
      <c r="E149" t="inlineStr">
        <is>
          <t>https://lpjk.pu.go.id/search-badan-usaha-detail/WUlrNkR3eTdxeDBzL2NLMkc2YVdIZz09</t>
        </is>
      </c>
      <c r="F149" t="n">
        <v>2</v>
      </c>
      <c r="G149" t="inlineStr">
        <is>
          <t>BG001</t>
        </is>
      </c>
      <c r="H149" t="inlineStr">
        <is>
          <t>20 Oktober 2023</t>
        </is>
      </c>
      <c r="I149" s="2" t="n">
        <v>46327</v>
      </c>
      <c r="J149" t="inlineStr">
        <is>
          <t>Disetujui</t>
        </is>
      </c>
      <c r="K149" t="n">
        <v>90</v>
      </c>
      <c r="L149" t="inlineStr">
        <is>
          <t>1 November 2026</t>
        </is>
      </c>
      <c r="M149" t="inlineStr">
        <is>
          <t>Konstruksi Gedung Hunian</t>
        </is>
      </c>
      <c r="N149" t="inlineStr">
        <is>
          <t>K</t>
        </is>
      </c>
      <c r="O149" t="inlineStr">
        <is>
          <t>20231027</t>
        </is>
      </c>
      <c r="P149" t="inlineStr">
        <is>
          <t>Sumatera Utara</t>
        </is>
      </c>
      <c r="Q149" t="inlineStr"/>
    </row>
    <row r="150">
      <c r="A150" t="inlineStr">
        <is>
          <t>SINAR MANDIRI SENTOSA</t>
        </is>
      </c>
      <c r="B150" t="inlineStr">
        <is>
          <t>Kab. Sidoarjo</t>
        </is>
      </c>
      <c r="C150" t="inlineStr">
        <is>
          <t>085730741063</t>
        </is>
      </c>
      <c r="D150" t="inlineStr">
        <is>
          <t>sinarmandirisentosa@gmail.com</t>
        </is>
      </c>
      <c r="E150" t="inlineStr">
        <is>
          <t>https://lpjk.pu.go.id/search-badan-usaha-detail/ajhzazkwbUFYU2Q4cnBZLzg5UGtWUT09</t>
        </is>
      </c>
      <c r="F150" t="n">
        <v>1</v>
      </c>
      <c r="G150" t="inlineStr">
        <is>
          <t>BS001</t>
        </is>
      </c>
      <c r="H150" t="inlineStr">
        <is>
          <t>29 Agustus 2009</t>
        </is>
      </c>
      <c r="I150" s="2" t="n">
        <v>46327</v>
      </c>
      <c r="J150" t="inlineStr">
        <is>
          <t>Disetujui</t>
        </is>
      </c>
      <c r="K150" t="n">
        <v>90</v>
      </c>
      <c r="L150" t="inlineStr">
        <is>
          <t>1 November 2026</t>
        </is>
      </c>
      <c r="M150" t="inlineStr">
        <is>
          <t>Konstruksi Bangunan Sipil Jalan</t>
        </is>
      </c>
      <c r="N150" t="inlineStr">
        <is>
          <t>K</t>
        </is>
      </c>
      <c r="O150" t="inlineStr">
        <is>
          <t>20231102</t>
        </is>
      </c>
      <c r="P150" t="inlineStr">
        <is>
          <t>Jawa Timur</t>
        </is>
      </c>
      <c r="Q150" t="inlineStr"/>
    </row>
    <row r="151">
      <c r="A151" t="inlineStr">
        <is>
          <t>SINAR SABAR</t>
        </is>
      </c>
      <c r="B151" t="inlineStr">
        <is>
          <t>Kab. Lamongan</t>
        </is>
      </c>
      <c r="C151" t="inlineStr">
        <is>
          <t>085807173731</t>
        </is>
      </c>
      <c r="D151" t="inlineStr">
        <is>
          <t>cv.sinarsabar@yahoo.com</t>
        </is>
      </c>
      <c r="E151" t="inlineStr">
        <is>
          <t>https://lpjk.pu.go.id/search-badan-usaha-detail/a1EzUElHM3BkdUFodjNFdnNJWE5Edz09</t>
        </is>
      </c>
      <c r="F151" t="n">
        <v>2</v>
      </c>
      <c r="G151" t="inlineStr">
        <is>
          <t>BG005, BG006</t>
        </is>
      </c>
      <c r="H151" t="inlineStr">
        <is>
          <t>4 September 2004</t>
        </is>
      </c>
      <c r="I151" s="2" t="n">
        <v>46327</v>
      </c>
      <c r="J151" t="inlineStr">
        <is>
          <t>Disetujui</t>
        </is>
      </c>
      <c r="K151" t="n">
        <v>90</v>
      </c>
      <c r="L151" t="inlineStr">
        <is>
          <t>1 November 2026</t>
        </is>
      </c>
      <c r="M151" t="inlineStr">
        <is>
          <t>Konstruksi Gedung Kesehatan, Konstruksi Gedung Pendidikan</t>
        </is>
      </c>
      <c r="N151" t="inlineStr">
        <is>
          <t>K</t>
        </is>
      </c>
      <c r="O151" t="inlineStr">
        <is>
          <t>20231020</t>
        </is>
      </c>
      <c r="P151" t="inlineStr">
        <is>
          <t>Jawa Timur</t>
        </is>
      </c>
      <c r="Q151" t="inlineStr"/>
    </row>
    <row r="152">
      <c r="A152" t="inlineStr">
        <is>
          <t>SINAR UTAMA KONSULTAN</t>
        </is>
      </c>
      <c r="B152" t="inlineStr">
        <is>
          <t>Kab. Aceh Utara</t>
        </is>
      </c>
      <c r="C152" t="inlineStr">
        <is>
          <t>0882017237086</t>
        </is>
      </c>
      <c r="D152" t="inlineStr">
        <is>
          <t>sinarutamakonsultan@gmail.com</t>
        </is>
      </c>
      <c r="E152" t="inlineStr">
        <is>
          <t>https://lpjk.pu.go.id/search-badan-usaha-detail/eWJrcmVtbHEzRDN1Y1JQd2lMSDhDQT09</t>
        </is>
      </c>
      <c r="F152" t="n">
        <v>3</v>
      </c>
      <c r="G152" t="inlineStr">
        <is>
          <t>RK001, RK002, RK003</t>
        </is>
      </c>
      <c r="H152" t="inlineStr">
        <is>
          <t>15 September 2023</t>
        </is>
      </c>
      <c r="I152" s="2" t="n">
        <v>46327</v>
      </c>
      <c r="J152" t="inlineStr">
        <is>
          <t>Disetujui</t>
        </is>
      </c>
      <c r="K152" t="n">
        <v>90</v>
      </c>
      <c r="L152" t="inlineStr">
        <is>
          <t>1 November 2026</t>
        </is>
      </c>
      <c r="M152" t="inlineStr">
        <is>
          <t>Jasa Rekayasa Konstruksi Bangunan Gedung Hunian dan Non Hunian, Jasa Rekayasa Pekerjaan Teknik Sipil Sumber Daya Air, Jasa Rekayasa Pekerjaan Teknik Sipil Transportasi</t>
        </is>
      </c>
      <c r="N152" t="inlineStr">
        <is>
          <t>K</t>
        </is>
      </c>
      <c r="O152" t="inlineStr">
        <is>
          <t>20231020</t>
        </is>
      </c>
      <c r="P152" t="inlineStr">
        <is>
          <t>Aceh</t>
        </is>
      </c>
      <c r="Q152" t="inlineStr"/>
    </row>
    <row r="153">
      <c r="A153" t="inlineStr">
        <is>
          <t>SINAR WIJAYA</t>
        </is>
      </c>
      <c r="B153" t="inlineStr">
        <is>
          <t>Kota Semarang</t>
        </is>
      </c>
      <c r="C153" t="inlineStr">
        <is>
          <t>081325657113</t>
        </is>
      </c>
      <c r="D153" t="inlineStr">
        <is>
          <t>sinarwijaya@ymail.com</t>
        </is>
      </c>
      <c r="E153" t="inlineStr">
        <is>
          <t>https://lpjk.pu.go.id/search-badan-usaha-detail/VlA0bnBLSEZaVmdIeFR4Z21KU3pPdz09</t>
        </is>
      </c>
      <c r="F153" t="n">
        <v>1</v>
      </c>
      <c r="G153" t="inlineStr">
        <is>
          <t>BG006</t>
        </is>
      </c>
      <c r="H153" t="inlineStr">
        <is>
          <t>2 September 2003</t>
        </is>
      </c>
      <c r="I153" s="2" t="n">
        <v>46327</v>
      </c>
      <c r="J153" t="inlineStr">
        <is>
          <t>Disetujui</t>
        </is>
      </c>
      <c r="K153" t="n">
        <v>90</v>
      </c>
      <c r="L153" t="inlineStr">
        <is>
          <t>1 November 2026</t>
        </is>
      </c>
      <c r="M153" t="inlineStr">
        <is>
          <t>Konstruksi Gedung Pendidikan</t>
        </is>
      </c>
      <c r="N153" t="inlineStr">
        <is>
          <t>K</t>
        </is>
      </c>
      <c r="O153" t="inlineStr">
        <is>
          <t>20231031</t>
        </is>
      </c>
      <c r="P153" t="inlineStr">
        <is>
          <t>Jawa Tengah</t>
        </is>
      </c>
      <c r="Q153" t="inlineStr"/>
    </row>
    <row r="154">
      <c r="A154" t="inlineStr">
        <is>
          <t>TAMADO JAYA</t>
        </is>
      </c>
      <c r="B154" t="inlineStr">
        <is>
          <t>Kota Adm. Jakarta Selatan</t>
        </is>
      </c>
      <c r="C154" t="inlineStr">
        <is>
          <t>02178816237</t>
        </is>
      </c>
      <c r="D154" t="inlineStr">
        <is>
          <t>tamadojaya@rocketmail.com</t>
        </is>
      </c>
      <c r="E154" t="inlineStr">
        <is>
          <t>https://lpjk.pu.go.id/search-badan-usaha-detail/bEZCMVZWc1diZHEzNGs5N05DQWlDdz09</t>
        </is>
      </c>
      <c r="F154" t="n">
        <v>4</v>
      </c>
      <c r="G154" t="inlineStr">
        <is>
          <t>BG001, BG006, BS001, BS004</t>
        </is>
      </c>
      <c r="H154" t="inlineStr">
        <is>
          <t>9 Januari 2002</t>
        </is>
      </c>
      <c r="I154" s="2" t="n">
        <v>46327</v>
      </c>
      <c r="J154" t="inlineStr">
        <is>
          <t>Disetujui</t>
        </is>
      </c>
      <c r="K154" t="n">
        <v>90</v>
      </c>
      <c r="L154" t="inlineStr">
        <is>
          <t>1 November 2026</t>
        </is>
      </c>
      <c r="M154" t="inlineStr">
        <is>
          <t>Konstruksi Bangunan Sipil Jalan, Konstruksi Gedung Hunian, Konstruksi Gedung Pendidikan, Konstruksi Jaringan Irigasi dan Drainase</t>
        </is>
      </c>
      <c r="N154" t="inlineStr">
        <is>
          <t>K</t>
        </is>
      </c>
      <c r="O154" t="inlineStr">
        <is>
          <t>20231019</t>
        </is>
      </c>
      <c r="P154" t="inlineStr">
        <is>
          <t>DKI Jakarta</t>
        </is>
      </c>
      <c r="Q154" t="inlineStr"/>
    </row>
    <row r="155">
      <c r="A155" t="inlineStr">
        <is>
          <t>TATA INTERINDO ABADI</t>
        </is>
      </c>
      <c r="B155" t="inlineStr">
        <is>
          <t>Kota Adm. Jakarta Barat</t>
        </is>
      </c>
      <c r="C155" t="inlineStr">
        <is>
          <t>08164829745</t>
        </is>
      </c>
      <c r="D155" t="inlineStr">
        <is>
          <t>tatainterindo@centrin.net.id</t>
        </is>
      </c>
      <c r="E155" t="inlineStr">
        <is>
          <t>https://lpjk.pu.go.id/search-badan-usaha-detail/bFdobXlRaGQ1MElaZWtqa0xoVmtHZz09</t>
        </is>
      </c>
      <c r="F155" t="n">
        <v>1</v>
      </c>
      <c r="G155" t="inlineStr">
        <is>
          <t>BG001</t>
        </is>
      </c>
      <c r="H155" t="inlineStr">
        <is>
          <t>22 Maret 2005</t>
        </is>
      </c>
      <c r="I155" s="2" t="n">
        <v>46327</v>
      </c>
      <c r="J155" t="inlineStr">
        <is>
          <t>Disetujui</t>
        </is>
      </c>
      <c r="K155" t="n">
        <v>90</v>
      </c>
      <c r="L155" t="inlineStr">
        <is>
          <t>1 November 2026</t>
        </is>
      </c>
      <c r="M155" t="inlineStr">
        <is>
          <t>Konstruksi Gedung Hunian</t>
        </is>
      </c>
      <c r="N155" t="inlineStr">
        <is>
          <t>K</t>
        </is>
      </c>
      <c r="O155" t="inlineStr">
        <is>
          <t>20231028</t>
        </is>
      </c>
      <c r="P155" t="inlineStr">
        <is>
          <t>DKI Jakarta</t>
        </is>
      </c>
      <c r="Q155" t="inlineStr"/>
    </row>
    <row r="156">
      <c r="A156" t="inlineStr">
        <is>
          <t>TEKNIK OLAH SARANA</t>
        </is>
      </c>
      <c r="B156" t="inlineStr">
        <is>
          <t>Kota Surabaya</t>
        </is>
      </c>
      <c r="C156" t="inlineStr">
        <is>
          <t>0822 1401 4912</t>
        </is>
      </c>
      <c r="D156" t="inlineStr">
        <is>
          <t>cvteknikolahsarana@gmail.com</t>
        </is>
      </c>
      <c r="E156" t="inlineStr">
        <is>
          <t>https://lpjk.pu.go.id/search-badan-usaha-detail/RlhWSU1QTXVSc3dKbksveHpDRHo1Zz09</t>
        </is>
      </c>
      <c r="F156" t="n">
        <v>1</v>
      </c>
      <c r="G156" t="inlineStr">
        <is>
          <t>BG006</t>
        </is>
      </c>
      <c r="H156" t="inlineStr">
        <is>
          <t>19 September 2005</t>
        </is>
      </c>
      <c r="I156" s="2" t="n">
        <v>46327</v>
      </c>
      <c r="J156" t="inlineStr">
        <is>
          <t>Disetujui</t>
        </is>
      </c>
      <c r="K156" t="n">
        <v>90</v>
      </c>
      <c r="L156" t="inlineStr">
        <is>
          <t>1 November 2026</t>
        </is>
      </c>
      <c r="M156" t="inlineStr">
        <is>
          <t>Konstruksi Gedung Pendidikan</t>
        </is>
      </c>
      <c r="N156" t="inlineStr">
        <is>
          <t>K</t>
        </is>
      </c>
      <c r="O156" t="inlineStr">
        <is>
          <t>20231026</t>
        </is>
      </c>
      <c r="P156" t="inlineStr">
        <is>
          <t>Jawa Timur</t>
        </is>
      </c>
      <c r="Q156" t="inlineStr"/>
    </row>
    <row r="157">
      <c r="A157" t="inlineStr">
        <is>
          <t>TIARA DANA</t>
        </is>
      </c>
      <c r="B157" t="inlineStr">
        <is>
          <t>Kab. Kolaka</t>
        </is>
      </c>
      <c r="C157" t="inlineStr">
        <is>
          <t>085241454890</t>
        </is>
      </c>
      <c r="D157" t="inlineStr">
        <is>
          <t>surachmatskc@gmail.com</t>
        </is>
      </c>
      <c r="E157" t="inlineStr">
        <is>
          <t>https://lpjk.pu.go.id/search-badan-usaha-detail/bHRVL3lUeExVYlozZGxXSlo1WTg1UT09</t>
        </is>
      </c>
      <c r="F157" t="n">
        <v>1</v>
      </c>
      <c r="G157" t="inlineStr">
        <is>
          <t>BG005</t>
        </is>
      </c>
      <c r="H157" t="inlineStr">
        <is>
          <t>26 April 1995</t>
        </is>
      </c>
      <c r="I157" s="2" t="n">
        <v>46327</v>
      </c>
      <c r="J157" t="inlineStr">
        <is>
          <t>Pencabutan</t>
        </is>
      </c>
      <c r="K157" t="n">
        <v>90</v>
      </c>
      <c r="L157" t="inlineStr">
        <is>
          <t>1 November 2026</t>
        </is>
      </c>
      <c r="M157" t="inlineStr">
        <is>
          <t>Konstruksi Gedung Kesehatan</t>
        </is>
      </c>
      <c r="N157" t="inlineStr">
        <is>
          <t>K</t>
        </is>
      </c>
      <c r="O157" t="inlineStr">
        <is>
          <t>20231101</t>
        </is>
      </c>
      <c r="P157" t="inlineStr">
        <is>
          <t>Sulawesi Tenggara</t>
        </is>
      </c>
      <c r="Q157" t="inlineStr"/>
    </row>
    <row r="158">
      <c r="A158" t="inlineStr">
        <is>
          <t>TIRTA ADINUGROHO</t>
        </is>
      </c>
      <c r="B158" t="inlineStr">
        <is>
          <t>Kota Malang</t>
        </is>
      </c>
      <c r="C158" t="inlineStr">
        <is>
          <t>081333108467</t>
        </is>
      </c>
      <c r="D158" t="inlineStr">
        <is>
          <t>tirtaadinugroho@gmail.com</t>
        </is>
      </c>
      <c r="E158" t="inlineStr">
        <is>
          <t>https://lpjk.pu.go.id/search-badan-usaha-detail/SGFpckNKWWZrbTVBaXdnck1vOGM5UT09</t>
        </is>
      </c>
      <c r="F158" t="n">
        <v>1</v>
      </c>
      <c r="G158" t="inlineStr">
        <is>
          <t>RK002</t>
        </is>
      </c>
      <c r="H158" t="inlineStr">
        <is>
          <t>7 Februari 2003</t>
        </is>
      </c>
      <c r="I158" s="2" t="n">
        <v>46327</v>
      </c>
      <c r="J158" t="inlineStr">
        <is>
          <t>Disetujui</t>
        </is>
      </c>
      <c r="K158" t="n">
        <v>90</v>
      </c>
      <c r="L158" t="inlineStr">
        <is>
          <t>1 November 2026</t>
        </is>
      </c>
      <c r="M158" t="inlineStr">
        <is>
          <t>Jasa Rekayasa Pekerjaan Teknik Sipil Sumber Daya Air</t>
        </is>
      </c>
      <c r="N158" t="inlineStr">
        <is>
          <t>K</t>
        </is>
      </c>
      <c r="O158" t="inlineStr">
        <is>
          <t>20231006</t>
        </is>
      </c>
      <c r="P158" t="inlineStr">
        <is>
          <t>Jawa Timur</t>
        </is>
      </c>
      <c r="Q158" t="inlineStr"/>
    </row>
    <row r="159">
      <c r="A159" t="inlineStr">
        <is>
          <t>TIRTA ARUM</t>
        </is>
      </c>
      <c r="B159" t="inlineStr">
        <is>
          <t>Kab. Tanjung Jabung Barat</t>
        </is>
      </c>
      <c r="C159" t="inlineStr">
        <is>
          <t>081369542134</t>
        </is>
      </c>
      <c r="D159" t="inlineStr">
        <is>
          <t>zferdi365@gmail.com</t>
        </is>
      </c>
      <c r="E159" t="inlineStr">
        <is>
          <t>https://lpjk.pu.go.id/search-badan-usaha-detail/WnkrQitENXE2Q1FxV1ZNVmlvUmhRdz09</t>
        </is>
      </c>
      <c r="F159" t="n">
        <v>1</v>
      </c>
      <c r="G159" t="inlineStr">
        <is>
          <t>BS001</t>
        </is>
      </c>
      <c r="H159" t="inlineStr">
        <is>
          <t>8 September 2014</t>
        </is>
      </c>
      <c r="I159" s="2" t="n">
        <v>46327</v>
      </c>
      <c r="J159" t="inlineStr">
        <is>
          <t>Disetujui</t>
        </is>
      </c>
      <c r="K159" t="n">
        <v>90</v>
      </c>
      <c r="L159" t="inlineStr">
        <is>
          <t>1 November 2026</t>
        </is>
      </c>
      <c r="M159" t="inlineStr">
        <is>
          <t>Konstruksi Bangunan Sipil Jalan</t>
        </is>
      </c>
      <c r="N159" t="inlineStr">
        <is>
          <t>K</t>
        </is>
      </c>
      <c r="O159" t="inlineStr">
        <is>
          <t>20231102</t>
        </is>
      </c>
      <c r="P159" t="inlineStr">
        <is>
          <t>Jambi</t>
        </is>
      </c>
      <c r="Q159" t="inlineStr"/>
    </row>
    <row r="160">
      <c r="A160" t="inlineStr">
        <is>
          <t>TRACON INDUSTRI</t>
        </is>
      </c>
      <c r="B160" t="inlineStr">
        <is>
          <t>Kota Adm. Jakarta Selatan</t>
        </is>
      </c>
      <c r="C160" t="inlineStr">
        <is>
          <t>0217974367</t>
        </is>
      </c>
      <c r="D160" t="inlineStr">
        <is>
          <t>cslia@tracon.rekayasa.co.id</t>
        </is>
      </c>
      <c r="E160" t="inlineStr">
        <is>
          <t>https://lpjk.pu.go.id/search-badan-usaha-detail/UklzUGJSanVIdjRJa0lVU2ZnWjRDUT09</t>
        </is>
      </c>
      <c r="F160" t="n">
        <v>2</v>
      </c>
      <c r="G160" t="inlineStr">
        <is>
          <t>BG003, BS007</t>
        </is>
      </c>
      <c r="H160" t="inlineStr">
        <is>
          <t>27 Agustus 2001</t>
        </is>
      </c>
      <c r="I160" s="2" t="n">
        <v>46327</v>
      </c>
      <c r="J160" t="inlineStr">
        <is>
          <t>Pencabutan</t>
        </is>
      </c>
      <c r="K160" t="n">
        <v>90</v>
      </c>
      <c r="L160" t="inlineStr">
        <is>
          <t>1 November 2026</t>
        </is>
      </c>
      <c r="M160" t="inlineStr">
        <is>
          <t>Konstruksi Bangunan Sipil Elektrikal, Konstruksi Gedung Industri</t>
        </is>
      </c>
      <c r="N160" t="inlineStr">
        <is>
          <t>K</t>
        </is>
      </c>
      <c r="O160" t="inlineStr">
        <is>
          <t>20231031, 20231102</t>
        </is>
      </c>
      <c r="P160" t="inlineStr">
        <is>
          <t>DKI Jakarta</t>
        </is>
      </c>
      <c r="Q160" t="inlineStr"/>
    </row>
    <row r="161">
      <c r="A161" t="inlineStr">
        <is>
          <t>TRI JAYA TEKNIK KARAWANG</t>
        </is>
      </c>
      <c r="B161" t="inlineStr">
        <is>
          <t>Kab. Karawang</t>
        </is>
      </c>
      <c r="C161" t="inlineStr">
        <is>
          <t>081314491358</t>
        </is>
      </c>
      <c r="D161" t="inlineStr">
        <is>
          <t>pt.tjtk@yahoo.com</t>
        </is>
      </c>
      <c r="E161" t="inlineStr">
        <is>
          <t>https://lpjk.pu.go.id/search-badan-usaha-detail/Lzk1QlFOanpmemNnRU50K3JVdWJHQT09</t>
        </is>
      </c>
      <c r="F161" t="n">
        <v>1</v>
      </c>
      <c r="G161" t="inlineStr">
        <is>
          <t>BS007</t>
        </is>
      </c>
      <c r="H161" t="inlineStr">
        <is>
          <t>23 Desember 2008</t>
        </is>
      </c>
      <c r="I161" s="2" t="n">
        <v>46327</v>
      </c>
      <c r="J161" t="inlineStr">
        <is>
          <t>Disetujui</t>
        </is>
      </c>
      <c r="K161" t="n">
        <v>90</v>
      </c>
      <c r="L161" t="inlineStr">
        <is>
          <t>1 November 2026</t>
        </is>
      </c>
      <c r="M161" t="inlineStr">
        <is>
          <t>Konstruksi Bangunan Sipil Elektrikal</t>
        </is>
      </c>
      <c r="N161" t="inlineStr">
        <is>
          <t>K</t>
        </is>
      </c>
      <c r="O161" t="inlineStr">
        <is>
          <t>20231004</t>
        </is>
      </c>
      <c r="P161" t="inlineStr">
        <is>
          <t>Jawa Barat</t>
        </is>
      </c>
      <c r="Q161" t="inlineStr"/>
    </row>
    <row r="162">
      <c r="A162" t="inlineStr">
        <is>
          <t>TRISMEVIC</t>
        </is>
      </c>
      <c r="B162" t="inlineStr">
        <is>
          <t>Kota Bandung</t>
        </is>
      </c>
      <c r="C162" t="inlineStr">
        <is>
          <t>085860796461</t>
        </is>
      </c>
      <c r="D162" t="inlineStr">
        <is>
          <t>pt.trismevic@gmail.com</t>
        </is>
      </c>
      <c r="E162" t="inlineStr">
        <is>
          <t>https://lpjk.pu.go.id/search-badan-usaha-detail/MkY4V2lFQUh3UXUwZmEvL1J2eE1YZz09</t>
        </is>
      </c>
      <c r="F162" t="n">
        <v>3</v>
      </c>
      <c r="G162" t="inlineStr">
        <is>
          <t>BG009, BS001, BS004</t>
        </is>
      </c>
      <c r="H162" t="inlineStr">
        <is>
          <t>29 Agustus 1987</t>
        </is>
      </c>
      <c r="I162" s="2" t="n">
        <v>46327</v>
      </c>
      <c r="J162" t="inlineStr">
        <is>
          <t>Disetujui</t>
        </is>
      </c>
      <c r="K162" t="n">
        <v>90</v>
      </c>
      <c r="L162" t="inlineStr">
        <is>
          <t>1 November 2026</t>
        </is>
      </c>
      <c r="M162" t="inlineStr">
        <is>
          <t>Konstruksi Bangunan Sipil Jalan, Konstruksi Gedung Lainnya, Konstruksi Jaringan Irigasi dan Drainase</t>
        </is>
      </c>
      <c r="N162" t="inlineStr">
        <is>
          <t>K</t>
        </is>
      </c>
      <c r="O162" t="inlineStr">
        <is>
          <t>20231030, 20231031</t>
        </is>
      </c>
      <c r="P162" t="inlineStr">
        <is>
          <t>Jawa Barat</t>
        </is>
      </c>
      <c r="Q162" t="inlineStr"/>
    </row>
    <row r="163">
      <c r="A163" t="inlineStr">
        <is>
          <t>TUJUH-TUJUH</t>
        </is>
      </c>
      <c r="B163" t="inlineStr">
        <is>
          <t>Kota Metro</t>
        </is>
      </c>
      <c r="C163" t="inlineStr">
        <is>
          <t>081278017591</t>
        </is>
      </c>
      <c r="D163" t="inlineStr">
        <is>
          <t>cvtujuhtujuh687@gmail.com</t>
        </is>
      </c>
      <c r="E163" t="inlineStr">
        <is>
          <t>https://lpjk.pu.go.id/search-badan-usaha-detail/Zi9RM2FNQkozVm9YLy9jd3NlZklvUT09</t>
        </is>
      </c>
      <c r="F163" t="n">
        <v>2</v>
      </c>
      <c r="G163" t="inlineStr">
        <is>
          <t>BG006, BS004</t>
        </is>
      </c>
      <c r="H163" t="inlineStr">
        <is>
          <t>14 Juli 2006</t>
        </is>
      </c>
      <c r="I163" s="2" t="n">
        <v>46327</v>
      </c>
      <c r="J163" t="inlineStr">
        <is>
          <t>Disetujui</t>
        </is>
      </c>
      <c r="K163" t="n">
        <v>90</v>
      </c>
      <c r="L163" t="inlineStr">
        <is>
          <t>1 November 2026</t>
        </is>
      </c>
      <c r="M163" t="inlineStr">
        <is>
          <t>Konstruksi Gedung Pendidikan, Konstruksi Jaringan Irigasi dan Drainase</t>
        </is>
      </c>
      <c r="N163" t="inlineStr">
        <is>
          <t>K</t>
        </is>
      </c>
      <c r="O163" t="inlineStr">
        <is>
          <t>20231101</t>
        </is>
      </c>
      <c r="P163" t="inlineStr">
        <is>
          <t>Lampung</t>
        </is>
      </c>
      <c r="Q163" t="inlineStr"/>
    </row>
    <row r="164">
      <c r="A164" t="inlineStr">
        <is>
          <t>TUNAS JAYA UTAMA</t>
        </is>
      </c>
      <c r="B164" t="inlineStr">
        <is>
          <t>Kab. Berau</t>
        </is>
      </c>
      <c r="C164" t="inlineStr">
        <is>
          <t>081257599988</t>
        </is>
      </c>
      <c r="D164" t="inlineStr">
        <is>
          <t>tunas_jayautama@yahoo.co.id</t>
        </is>
      </c>
      <c r="E164" t="inlineStr">
        <is>
          <t>https://lpjk.pu.go.id/search-badan-usaha-detail/M205Q2hNSnFVb1ovYkxsYk9BSlkwZz09</t>
        </is>
      </c>
      <c r="F164" t="n">
        <v>1</v>
      </c>
      <c r="G164" t="inlineStr">
        <is>
          <t>BS001</t>
        </is>
      </c>
      <c r="H164" t="inlineStr">
        <is>
          <t>22 Juni 2012</t>
        </is>
      </c>
      <c r="I164" s="2" t="n">
        <v>46327</v>
      </c>
      <c r="J164" t="inlineStr">
        <is>
          <t>Pencabutan</t>
        </is>
      </c>
      <c r="K164" t="n">
        <v>90</v>
      </c>
      <c r="L164" t="inlineStr">
        <is>
          <t>1 November 2026</t>
        </is>
      </c>
      <c r="M164" t="inlineStr">
        <is>
          <t>Konstruksi Bangunan Sipil Jalan</t>
        </is>
      </c>
      <c r="N164" t="inlineStr">
        <is>
          <t>K</t>
        </is>
      </c>
      <c r="O164" t="inlineStr">
        <is>
          <t>20231102</t>
        </is>
      </c>
      <c r="P164" t="inlineStr">
        <is>
          <t>Kalimantan Timur</t>
        </is>
      </c>
      <c r="Q164" t="inlineStr"/>
    </row>
    <row r="165">
      <c r="A165" t="inlineStr">
        <is>
          <t>WAHANA GRAND SUMATERA</t>
        </is>
      </c>
      <c r="B165" t="inlineStr">
        <is>
          <t>Kota Medan</t>
        </is>
      </c>
      <c r="C165" t="inlineStr">
        <is>
          <t>085261843561</t>
        </is>
      </c>
      <c r="D165" t="inlineStr">
        <is>
          <t>ptwahanagrandsumatera@gmail.com</t>
        </is>
      </c>
      <c r="E165" t="inlineStr">
        <is>
          <t>https://lpjk.pu.go.id/search-badan-usaha-detail/dHVLN2paYVM2Vk5LRVhSZktJL1VDQT09</t>
        </is>
      </c>
      <c r="F165" t="n">
        <v>1</v>
      </c>
      <c r="G165" t="inlineStr">
        <is>
          <t>BG001</t>
        </is>
      </c>
      <c r="H165" t="inlineStr">
        <is>
          <t>5 Januari 2023</t>
        </is>
      </c>
      <c r="I165" s="2" t="n">
        <v>46327</v>
      </c>
      <c r="J165" t="inlineStr">
        <is>
          <t>Disetujui</t>
        </is>
      </c>
      <c r="K165" t="n">
        <v>90</v>
      </c>
      <c r="L165" t="inlineStr">
        <is>
          <t>1 November 2026</t>
        </is>
      </c>
      <c r="M165" t="inlineStr">
        <is>
          <t>Konstruksi Gedung Hunian</t>
        </is>
      </c>
      <c r="N165" t="inlineStr">
        <is>
          <t>K</t>
        </is>
      </c>
      <c r="O165" t="inlineStr">
        <is>
          <t>20231101</t>
        </is>
      </c>
      <c r="P165" t="inlineStr">
        <is>
          <t>Sumatera Utara</t>
        </is>
      </c>
      <c r="Q165" t="inlineStr"/>
    </row>
    <row r="166">
      <c r="A166" t="inlineStr">
        <is>
          <t>WAHANA IDEA KARYA</t>
        </is>
      </c>
      <c r="B166" t="inlineStr">
        <is>
          <t>Kota Pekalongan</t>
        </is>
      </c>
      <c r="C166" t="inlineStr">
        <is>
          <t>085290066161</t>
        </is>
      </c>
      <c r="D166" t="inlineStr">
        <is>
          <t>wahanaidea.karya@gmail.com</t>
        </is>
      </c>
      <c r="E166" t="inlineStr">
        <is>
          <t>https://lpjk.pu.go.id/search-badan-usaha-detail/WmgvTkh6ZWFEVm5IQ0xGTVpsUFR1Zz09</t>
        </is>
      </c>
      <c r="F166" t="n">
        <v>2</v>
      </c>
      <c r="G166" t="inlineStr">
        <is>
          <t>RK001, RK002</t>
        </is>
      </c>
      <c r="H166" t="inlineStr">
        <is>
          <t>18 Oktober 2019</t>
        </is>
      </c>
      <c r="I166" s="2" t="n">
        <v>46327</v>
      </c>
      <c r="J166" t="inlineStr">
        <is>
          <t>Disetujui</t>
        </is>
      </c>
      <c r="K166" t="n">
        <v>90</v>
      </c>
      <c r="L166" t="inlineStr">
        <is>
          <t>1 November 2026</t>
        </is>
      </c>
      <c r="M166" t="inlineStr">
        <is>
          <t>Jasa Rekayasa Konstruksi Bangunan Gedung Hunian dan Non Hunian, Jasa Rekayasa Pekerjaan Teknik Sipil Sumber Daya Air</t>
        </is>
      </c>
      <c r="N166" t="inlineStr">
        <is>
          <t>K</t>
        </is>
      </c>
      <c r="O166" t="inlineStr">
        <is>
          <t>20231025</t>
        </is>
      </c>
      <c r="P166" t="inlineStr">
        <is>
          <t>Jawa Tengah</t>
        </is>
      </c>
      <c r="Q166" t="inlineStr"/>
    </row>
    <row r="167">
      <c r="A167" t="inlineStr">
        <is>
          <t>WASKITA WISESA KARKASA</t>
        </is>
      </c>
      <c r="B167" t="inlineStr">
        <is>
          <t>Kab. Bondowoso</t>
        </is>
      </c>
      <c r="C167" t="inlineStr">
        <is>
          <t>082335558418</t>
        </is>
      </c>
      <c r="D167" t="inlineStr">
        <is>
          <t>waskitawisesa20@gmail.com</t>
        </is>
      </c>
      <c r="E167" t="inlineStr">
        <is>
          <t>https://lpjk.pu.go.id/search-badan-usaha-detail/TGV2OVFHVklkMnZRS2dSWFhqQjQ0UT09</t>
        </is>
      </c>
      <c r="F167" t="n">
        <v>1</v>
      </c>
      <c r="G167" t="inlineStr">
        <is>
          <t>BS001</t>
        </is>
      </c>
      <c r="H167" t="inlineStr">
        <is>
          <t>8 Januari 2016</t>
        </is>
      </c>
      <c r="I167" s="2" t="n">
        <v>46327</v>
      </c>
      <c r="J167" t="inlineStr">
        <is>
          <t>Pencabutan</t>
        </is>
      </c>
      <c r="K167" t="n">
        <v>90</v>
      </c>
      <c r="L167" t="inlineStr">
        <is>
          <t>1 November 2026</t>
        </is>
      </c>
      <c r="M167" t="inlineStr">
        <is>
          <t>Konstruksi Bangunan Sipil Jalan</t>
        </is>
      </c>
      <c r="N167" t="inlineStr">
        <is>
          <t>K</t>
        </is>
      </c>
      <c r="O167" t="inlineStr">
        <is>
          <t>20231027</t>
        </is>
      </c>
      <c r="P167" t="inlineStr">
        <is>
          <t>Jawa Timur</t>
        </is>
      </c>
      <c r="Q167" t="inlineStr"/>
    </row>
    <row r="168">
      <c r="A168" t="inlineStr">
        <is>
          <t>WULAN</t>
        </is>
      </c>
      <c r="B168" t="inlineStr">
        <is>
          <t>Kab. Tanah Laut</t>
        </is>
      </c>
      <c r="C168" t="inlineStr">
        <is>
          <t>082240349988</t>
        </is>
      </c>
      <c r="D168" t="inlineStr">
        <is>
          <t>cv.wulan@ymail.com</t>
        </is>
      </c>
      <c r="E168" t="inlineStr">
        <is>
          <t>https://lpjk.pu.go.id/search-badan-usaha-detail/VmFTaGkxWDhTS3VwMGRqRXdOZ0FsZz09</t>
        </is>
      </c>
      <c r="F168" t="n">
        <v>1</v>
      </c>
      <c r="G168" t="inlineStr">
        <is>
          <t>BS004</t>
        </is>
      </c>
      <c r="H168" t="inlineStr">
        <is>
          <t>17 Januari 2001</t>
        </is>
      </c>
      <c r="I168" s="2" t="n">
        <v>46327</v>
      </c>
      <c r="J168" t="inlineStr">
        <is>
          <t>Disetujui</t>
        </is>
      </c>
      <c r="K168" t="n">
        <v>90</v>
      </c>
      <c r="L168" t="inlineStr">
        <is>
          <t>1 November 2026</t>
        </is>
      </c>
      <c r="M168" t="inlineStr">
        <is>
          <t>Konstruksi Jaringan Irigasi dan Drainase</t>
        </is>
      </c>
      <c r="N168" t="inlineStr">
        <is>
          <t>K</t>
        </is>
      </c>
      <c r="O168" t="inlineStr">
        <is>
          <t>20231026</t>
        </is>
      </c>
      <c r="P168" t="inlineStr">
        <is>
          <t>Kalimantan Selatan</t>
        </is>
      </c>
      <c r="Q1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33" customWidth="1" min="1" max="1"/>
    <col width="27" customWidth="1" min="2" max="2"/>
    <col width="15" customWidth="1" min="3" max="3"/>
    <col width="42"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ARGAMANIK DUTA ANTARI</t>
        </is>
      </c>
      <c r="B2" t="inlineStr">
        <is>
          <t>Kota Adm. Jakarta Timur</t>
        </is>
      </c>
      <c r="C2" t="inlineStr">
        <is>
          <t>02122867155</t>
        </is>
      </c>
      <c r="D2" t="inlineStr">
        <is>
          <t>argamanik_dutaantari@yahoo.com</t>
        </is>
      </c>
      <c r="E2" t="inlineStr">
        <is>
          <t>https://lpjk.pu.go.id/search-badan-usaha-detail/emJ1MG5Nb21BbURXRHp4MFpYb1BYQT09</t>
        </is>
      </c>
      <c r="F2" t="n">
        <v>1</v>
      </c>
      <c r="G2" t="inlineStr">
        <is>
          <t>IN007</t>
        </is>
      </c>
      <c r="H2" t="inlineStr">
        <is>
          <t>1 Maret 2012</t>
        </is>
      </c>
      <c r="I2" s="2" t="n">
        <v>46297</v>
      </c>
      <c r="J2" t="inlineStr">
        <is>
          <t>Pembekuan</t>
        </is>
      </c>
      <c r="K2" t="n">
        <v>60</v>
      </c>
      <c r="L2" t="inlineStr">
        <is>
          <t>2 Oktober 2026</t>
        </is>
      </c>
      <c r="M2" t="inlineStr">
        <is>
          <t>Instalasi Saluran Air (Plambing)</t>
        </is>
      </c>
      <c r="N2" t="inlineStr">
        <is>
          <t>Spesialis</t>
        </is>
      </c>
      <c r="O2" t="inlineStr">
        <is>
          <t>20230801</t>
        </is>
      </c>
      <c r="P2" t="inlineStr">
        <is>
          <t>DKI Jakarta</t>
        </is>
      </c>
      <c r="Q2" t="inlineStr"/>
    </row>
    <row r="3">
      <c r="A3" t="inlineStr">
        <is>
          <t>BANGUN SUKSES BERKEMBANG</t>
        </is>
      </c>
      <c r="B3" t="inlineStr">
        <is>
          <t>Kab. Bekasi</t>
        </is>
      </c>
      <c r="C3" t="inlineStr">
        <is>
          <t>081386206879</t>
        </is>
      </c>
      <c r="D3" t="inlineStr">
        <is>
          <t>cvbangunsuksesberkembang@gmail.com</t>
        </is>
      </c>
      <c r="E3" t="inlineStr">
        <is>
          <t>https://lpjk.pu.go.id/search-badan-usaha-detail/VmF5QllQemJLK0pTSzhQNDB3cnJLZz09</t>
        </is>
      </c>
      <c r="F3" t="n">
        <v>2</v>
      </c>
      <c r="G3" t="inlineStr">
        <is>
          <t>BS001, BS004</t>
        </is>
      </c>
      <c r="H3" t="inlineStr">
        <is>
          <t>6 September 2023</t>
        </is>
      </c>
      <c r="I3" s="2" t="n">
        <v>46297</v>
      </c>
      <c r="J3" t="inlineStr">
        <is>
          <t>Disetujui</t>
        </is>
      </c>
      <c r="K3" t="n">
        <v>60</v>
      </c>
      <c r="L3" t="inlineStr">
        <is>
          <t>2 Oktober 2026</t>
        </is>
      </c>
      <c r="M3" t="inlineStr">
        <is>
          <t>Konstruksi Bangunan Sipil Jalan, Konstruksi Jaringan Irigasi dan Drainase</t>
        </is>
      </c>
      <c r="N3" t="inlineStr">
        <is>
          <t>K</t>
        </is>
      </c>
      <c r="O3" t="inlineStr">
        <is>
          <t>20230929</t>
        </is>
      </c>
      <c r="P3" t="inlineStr">
        <is>
          <t>Jawa Barat</t>
        </is>
      </c>
      <c r="Q3" s="3">
        <f>HYPERLINK("https://wa.me/6281386206879?text=*[PENGINGAT MASA BERLAKU SBU BANGUN SUKSES BERKEMBANG]*%0A%0AYth. Pimpinan BANGUN SUKSES BERKEMBANG,%0AMohon izin menginformasikan status SBU Anda di sistem LPJK:%0A%0A📄 SBU: BS001, BS004%0A📅 Expired: 2 Oktober 2026 (60 Hari Lagi)%0A%0AKami tim PT. ESDEA Assistance Management siap men-support proses perpanjangan segera agar administrasi proyek tidak terhambat%0A%0AApakah boleh saya bantu siapkan estimasi biaya dan waktu pengerjaannya?.", "Hubungi")</f>
        <v/>
      </c>
    </row>
    <row r="4">
      <c r="A4" t="inlineStr">
        <is>
          <t>CAHAYA FAJAR MITRANIAGA</t>
        </is>
      </c>
      <c r="B4" t="inlineStr">
        <is>
          <t>Kota Bogor</t>
        </is>
      </c>
      <c r="C4" t="inlineStr">
        <is>
          <t>02518625962</t>
        </is>
      </c>
      <c r="D4" t="inlineStr">
        <is>
          <t>cahayafajarmitraniaga@gmail.com</t>
        </is>
      </c>
      <c r="E4" t="inlineStr">
        <is>
          <t>https://lpjk.pu.go.id/search-badan-usaha-detail/M0o2MGRQcTRRVXpZdk5JOWVMaUkrUT09</t>
        </is>
      </c>
      <c r="F4" t="n">
        <v>2</v>
      </c>
      <c r="G4" t="inlineStr">
        <is>
          <t>BS004, BS005</t>
        </is>
      </c>
      <c r="H4" t="inlineStr">
        <is>
          <t>6 Maret 2023</t>
        </is>
      </c>
      <c r="I4" s="2" t="n">
        <v>46297</v>
      </c>
      <c r="J4" t="inlineStr">
        <is>
          <t>Disetujui</t>
        </is>
      </c>
      <c r="K4" t="n">
        <v>60</v>
      </c>
      <c r="L4" t="inlineStr">
        <is>
          <t>2 Oktober 2026</t>
        </is>
      </c>
      <c r="M4" t="inlineStr">
        <is>
          <t>Konstruksi Bangunan Sipil Pengolahan Air Bersih, Konstruksi Jaringan Irigasi dan Drainase</t>
        </is>
      </c>
      <c r="N4" t="inlineStr">
        <is>
          <t>K</t>
        </is>
      </c>
      <c r="O4" t="inlineStr">
        <is>
          <t>20230827, 20230909</t>
        </is>
      </c>
      <c r="P4" t="inlineStr">
        <is>
          <t>Jawa Barat</t>
        </is>
      </c>
      <c r="Q4" s="3">
        <f>HYPERLINK("https://wa.me/622518625962?text=*[PENGINGAT MASA BERLAKU SBU CAHAYA FAJAR MITRANIAGA]*%0A%0AYth. Pimpinan CAHAYA FAJAR MITRANIAGA,%0AMohon izin menginformasikan status SBU Anda di sistem LPJK:%0A%0A📄 SBU: BS004, BS005%0A📅 Expired: 2 Oktober 2026 (60 Hari Lagi)%0A%0AKami tim PT. ESDEA Assistance Management siap men-support proses perpanjangan segera agar administrasi proyek tidak terhambat%0A%0AApakah boleh saya bantu siapkan estimasi biaya dan waktu pengerjaannya?.", "Hubungi")</f>
        <v/>
      </c>
    </row>
    <row r="5">
      <c r="A5" t="inlineStr">
        <is>
          <t>GELORA GEMILANG</t>
        </is>
      </c>
      <c r="B5" t="inlineStr">
        <is>
          <t>Kota Bekasi</t>
        </is>
      </c>
      <c r="C5" t="inlineStr">
        <is>
          <t>0218657222</t>
        </is>
      </c>
      <c r="D5" t="inlineStr">
        <is>
          <t>gelora.finance@gmail.com</t>
        </is>
      </c>
      <c r="E5" t="inlineStr">
        <is>
          <t>https://lpjk.pu.go.id/search-badan-usaha-detail/WkhtQlpkblhjN2dab3ZuZ0VNMjdodz09</t>
        </is>
      </c>
      <c r="F5" t="n">
        <v>2</v>
      </c>
      <c r="G5" t="inlineStr">
        <is>
          <t>BG003, BG009</t>
        </is>
      </c>
      <c r="H5" t="inlineStr">
        <is>
          <t>28 Januari 2004</t>
        </is>
      </c>
      <c r="I5" s="2" t="n">
        <v>46297</v>
      </c>
      <c r="J5" t="inlineStr">
        <is>
          <t>Disetujui</t>
        </is>
      </c>
      <c r="K5" t="n">
        <v>60</v>
      </c>
      <c r="L5" t="inlineStr">
        <is>
          <t>2 Oktober 2026</t>
        </is>
      </c>
      <c r="M5" t="inlineStr">
        <is>
          <t>Konstruksi Gedung Industri, Konstruksi Gedung Lainnya</t>
        </is>
      </c>
      <c r="N5" t="inlineStr">
        <is>
          <t>K</t>
        </is>
      </c>
      <c r="O5" t="inlineStr">
        <is>
          <t>20230914</t>
        </is>
      </c>
      <c r="P5" t="inlineStr">
        <is>
          <t>Jawa Barat</t>
        </is>
      </c>
      <c r="Q5" t="inlineStr"/>
    </row>
    <row r="6">
      <c r="A6" t="inlineStr">
        <is>
          <t>HASEA BENEDICT</t>
        </is>
      </c>
      <c r="B6" t="inlineStr">
        <is>
          <t>Kota Bekasi</t>
        </is>
      </c>
      <c r="C6" t="inlineStr">
        <is>
          <t>081314592913</t>
        </is>
      </c>
      <c r="D6" t="inlineStr">
        <is>
          <t>haseabenedict@gmail.com</t>
        </is>
      </c>
      <c r="E6" t="inlineStr">
        <is>
          <t>https://lpjk.pu.go.id/search-badan-usaha-detail/SlZwSXhFb3h3QnVRVVJVRWp5emxiQT09</t>
        </is>
      </c>
      <c r="F6" t="n">
        <v>1</v>
      </c>
      <c r="G6" t="inlineStr">
        <is>
          <t>BG009</t>
        </is>
      </c>
      <c r="H6" t="inlineStr">
        <is>
          <t>5 September 2022</t>
        </is>
      </c>
      <c r="I6" s="2" t="n">
        <v>46297</v>
      </c>
      <c r="J6" t="inlineStr">
        <is>
          <t>Disetujui</t>
        </is>
      </c>
      <c r="K6" t="n">
        <v>60</v>
      </c>
      <c r="L6" t="inlineStr">
        <is>
          <t>2 Oktober 2026</t>
        </is>
      </c>
      <c r="M6" t="inlineStr">
        <is>
          <t>Konstruksi Gedung Lainnya</t>
        </is>
      </c>
      <c r="N6" t="inlineStr">
        <is>
          <t>K</t>
        </is>
      </c>
      <c r="O6" t="inlineStr">
        <is>
          <t>20230607</t>
        </is>
      </c>
      <c r="P6" t="inlineStr">
        <is>
          <t>Jawa Barat</t>
        </is>
      </c>
      <c r="Q6" s="3">
        <f>HYPERLINK("https://wa.me/6281314592913?text=*[PENGINGAT MASA BERLAKU SBU HASEA BENEDICT]*%0A%0AYth. Pimpinan HASEA BENEDICT,%0AMohon izin menginformasikan status SBU Anda di sistem LPJK:%0A%0A📄 SBU: BG009%0A📅 Expired: 2 Oktober 2026 (60 Hari Lagi)%0A%0AKami tim PT. ESDEA Assistance Management siap men-support proses perpanjangan segera agar administrasi proyek tidak terhambat%0A%0AApakah boleh saya bantu siapkan estimasi biaya dan waktu pengerjaannya?.", "Hubungi")</f>
        <v/>
      </c>
    </row>
    <row r="7">
      <c r="A7" t="inlineStr">
        <is>
          <t>KINARYA MAESTRO NUSANTARA</t>
        </is>
      </c>
      <c r="B7" t="inlineStr">
        <is>
          <t>Kota Depok</t>
        </is>
      </c>
      <c r="C7" t="inlineStr">
        <is>
          <t>087878000786</t>
        </is>
      </c>
      <c r="D7" t="inlineStr">
        <is>
          <t>kinaryamaestronusantara@gmail.com</t>
        </is>
      </c>
      <c r="E7" t="inlineStr">
        <is>
          <t>https://lpjk.pu.go.id/search-badan-usaha-detail/aHF0cWQxUEJmZnJ5dFZ5NUJGaTFkZz09</t>
        </is>
      </c>
      <c r="F7" t="n">
        <v>4</v>
      </c>
      <c r="G7" t="inlineStr">
        <is>
          <t>BG004, BG009</t>
        </is>
      </c>
      <c r="H7" t="inlineStr">
        <is>
          <t>29 Agustus 2023</t>
        </is>
      </c>
      <c r="I7" s="2" t="n">
        <v>46297</v>
      </c>
      <c r="J7" t="inlineStr">
        <is>
          <t>Disetujui</t>
        </is>
      </c>
      <c r="K7" t="n">
        <v>60</v>
      </c>
      <c r="L7" t="inlineStr">
        <is>
          <t>2 Oktober 2026</t>
        </is>
      </c>
      <c r="M7" t="inlineStr">
        <is>
          <t>Konstruksi Gedung Lainnya, Konstruksi Gedung Perbelanjaan</t>
        </is>
      </c>
      <c r="N7" t="inlineStr">
        <is>
          <t>M</t>
        </is>
      </c>
      <c r="O7" t="inlineStr">
        <is>
          <t>20230930</t>
        </is>
      </c>
      <c r="P7" t="inlineStr">
        <is>
          <t>Jawa Barat</t>
        </is>
      </c>
      <c r="Q7" s="3">
        <f>HYPERLINK("https://wa.me/6287878000786?text=*[PENGINGAT MASA BERLAKU SBU KINARYA MAESTRO NUSANTARA]*%0A%0AYth. Pimpinan KINARYA MAESTRO NUSANTARA,%0AMohon izin menginformasikan status SBU Anda di sistem LPJK:%0A%0A📄 SBU: BG004, BG009%0A📅 Expired: 2 Oktober 2026 (60 Hari Lagi)%0A%0AKami tim PT. ESDEA Assistance Management siap men-support proses perpanjangan segera agar administrasi proyek tidak terhambat%0A%0AApakah boleh saya bantu siapkan estimasi biaya dan waktu pengerjaannya?.", "Hubungi")</f>
        <v/>
      </c>
    </row>
    <row r="8">
      <c r="A8" t="inlineStr">
        <is>
          <t>LAUTAN ANUGERAH ABADI</t>
        </is>
      </c>
      <c r="B8" t="inlineStr">
        <is>
          <t>Kota Bekasi</t>
        </is>
      </c>
      <c r="C8" t="inlineStr">
        <is>
          <t>021-22437352</t>
        </is>
      </c>
      <c r="D8" t="inlineStr">
        <is>
          <t>labadi.underwater@yahoo.com</t>
        </is>
      </c>
      <c r="E8" t="inlineStr">
        <is>
          <t>https://lpjk.pu.go.id/search-badan-usaha-detail/Q0NjZlpzKzdYQUpZVExoUTBNVTRYQT09</t>
        </is>
      </c>
      <c r="F8" t="n">
        <v>2</v>
      </c>
      <c r="G8" t="inlineStr">
        <is>
          <t>BS001</t>
        </is>
      </c>
      <c r="H8" t="inlineStr">
        <is>
          <t>14 Maret 2012</t>
        </is>
      </c>
      <c r="I8" s="2" t="n">
        <v>46297</v>
      </c>
      <c r="J8" t="inlineStr">
        <is>
          <t>Disetujui</t>
        </is>
      </c>
      <c r="K8" t="n">
        <v>60</v>
      </c>
      <c r="L8" t="inlineStr">
        <is>
          <t>2 Oktober 2026</t>
        </is>
      </c>
      <c r="M8" t="inlineStr">
        <is>
          <t>Konstruksi Bangunan Sipil Jalan</t>
        </is>
      </c>
      <c r="N8" t="inlineStr">
        <is>
          <t>K</t>
        </is>
      </c>
      <c r="O8" t="inlineStr">
        <is>
          <t>20230927</t>
        </is>
      </c>
      <c r="P8" t="inlineStr">
        <is>
          <t>Jawa Barat</t>
        </is>
      </c>
      <c r="Q8" t="inlineStr"/>
    </row>
    <row r="9">
      <c r="A9" t="inlineStr">
        <is>
          <t>REKAKOVA</t>
        </is>
      </c>
      <c r="B9" t="inlineStr">
        <is>
          <t>Kab. Bogor</t>
        </is>
      </c>
      <c r="C9" t="inlineStr">
        <is>
          <t>082124825653</t>
        </is>
      </c>
      <c r="D9" t="inlineStr">
        <is>
          <t>cvrekakova@gmail.com</t>
        </is>
      </c>
      <c r="E9" t="inlineStr">
        <is>
          <t>https://lpjk.pu.go.id/search-badan-usaha-detail/eDdhVTVTQWdCclNucFRkMm0wZ0EvQT09</t>
        </is>
      </c>
      <c r="F9" t="n">
        <v>2</v>
      </c>
      <c r="G9" t="inlineStr">
        <is>
          <t>BS005</t>
        </is>
      </c>
      <c r="H9" t="inlineStr">
        <is>
          <t>23 April 2016</t>
        </is>
      </c>
      <c r="I9" s="2" t="n">
        <v>46297</v>
      </c>
      <c r="J9" t="inlineStr">
        <is>
          <t>Disetujui</t>
        </is>
      </c>
      <c r="K9" t="n">
        <v>60</v>
      </c>
      <c r="L9" t="inlineStr">
        <is>
          <t>2 Oktober 2026</t>
        </is>
      </c>
      <c r="M9" t="inlineStr">
        <is>
          <t>Konstruksi Bangunan Sipil Pengolahan Air Bersih</t>
        </is>
      </c>
      <c r="N9" t="inlineStr">
        <is>
          <t>K</t>
        </is>
      </c>
      <c r="O9" t="inlineStr">
        <is>
          <t>20231002</t>
        </is>
      </c>
      <c r="P9" t="inlineStr">
        <is>
          <t>Jawa Barat</t>
        </is>
      </c>
      <c r="Q9" s="3">
        <f>HYPERLINK("https://wa.me/6282124825653?text=*[PENGINGAT MASA BERLAKU SBU REKAKOVA]*%0A%0AYth. Pimpinan REKAKOVA,%0AMohon izin menginformasikan status SBU Anda di sistem LPJK:%0A%0A📄 SBU: BS005%0A📅 Expired: 2 Oktober 2026 (60 Hari Lagi)%0A%0AKami tim PT. ESDEA Assistance Management siap men-support proses perpanjangan segera agar administrasi proyek tidak terhambat%0A%0AApakah boleh saya bantu siapkan estimasi biaya dan waktu pengerjaannya?.", "Hubungi")</f>
        <v/>
      </c>
    </row>
    <row r="10">
      <c r="A10" t="inlineStr">
        <is>
          <t>SAMUEL HARTANTA JAYA</t>
        </is>
      </c>
      <c r="B10" t="inlineStr">
        <is>
          <t>Kota Adm. Jakarta Timur</t>
        </is>
      </c>
      <c r="C10" t="inlineStr">
        <is>
          <t>081219073150</t>
        </is>
      </c>
      <c r="D10" t="inlineStr">
        <is>
          <t>pt.samuelhartanta766@gmail.com</t>
        </is>
      </c>
      <c r="E10" t="inlineStr">
        <is>
          <t>https://lpjk.pu.go.id/search-badan-usaha-detail/RzQrMjZrZzFRblRTbzU0S2FSL0g0UT09</t>
        </is>
      </c>
      <c r="F10" t="n">
        <v>1</v>
      </c>
      <c r="G10" t="inlineStr">
        <is>
          <t>BS010</t>
        </is>
      </c>
      <c r="H10" t="inlineStr">
        <is>
          <t>9 Maret 2023</t>
        </is>
      </c>
      <c r="I10" s="2" t="n">
        <v>46297</v>
      </c>
      <c r="J10" t="inlineStr">
        <is>
          <t>Disetujui</t>
        </is>
      </c>
      <c r="K10" t="n">
        <v>60</v>
      </c>
      <c r="L10" t="inlineStr">
        <is>
          <t>2 Oktober 2026</t>
        </is>
      </c>
      <c r="M10" t="inlineStr">
        <is>
          <t>Konstruksi Bangunan Prasarana Sumber Daya Air</t>
        </is>
      </c>
      <c r="N10" t="inlineStr">
        <is>
          <t>K</t>
        </is>
      </c>
      <c r="O10" t="inlineStr">
        <is>
          <t>20231001</t>
        </is>
      </c>
      <c r="P10" t="inlineStr">
        <is>
          <t>DKI Jakarta</t>
        </is>
      </c>
      <c r="Q10" s="3">
        <f>HYPERLINK("https://wa.me/6281219073150?text=*[PENGINGAT MASA BERLAKU SBU SAMUEL HARTANTA JAYA]*%0A%0AYth. Pimpinan SAMUEL HARTANTA JAYA,%0AMohon izin menginformasikan status SBU Anda di sistem LPJK:%0A%0A📄 SBU: BS010%0A📅 Expired: 2 Oktober 2026 (60 Hari Lagi)%0A%0AKami tim PT. ESDEA Assistance Management siap men-support proses perpanjangan segera agar administrasi proyek tidak terhambat%0A%0AApakah boleh saya bantu siapkan estimasi biaya dan waktu pengerjaannya?.", "Hubungi")</f>
        <v/>
      </c>
    </row>
    <row r="11">
      <c r="A11" t="inlineStr">
        <is>
          <t>TAPAK BIMO ROSO</t>
        </is>
      </c>
      <c r="B11" t="inlineStr">
        <is>
          <t>Kota Bekasi</t>
        </is>
      </c>
      <c r="C11" t="inlineStr">
        <is>
          <t>02189453368</t>
        </is>
      </c>
      <c r="D11" t="inlineStr">
        <is>
          <t>tapakbimoroso@gmail.com</t>
        </is>
      </c>
      <c r="E11" t="inlineStr">
        <is>
          <t>https://lpjk.pu.go.id/search-badan-usaha-detail/MU04cnZncW1yZiswVnYzWEJTVUpkdz09</t>
        </is>
      </c>
      <c r="F11" t="n">
        <v>1</v>
      </c>
      <c r="G11" t="inlineStr">
        <is>
          <t>IN001</t>
        </is>
      </c>
      <c r="H11" t="inlineStr">
        <is>
          <t>11 Juni 2015</t>
        </is>
      </c>
      <c r="I11" s="2" t="n">
        <v>46297</v>
      </c>
      <c r="J11" t="inlineStr">
        <is>
          <t>Disetujui</t>
        </is>
      </c>
      <c r="K11" t="n">
        <v>60</v>
      </c>
      <c r="L11" t="inlineStr">
        <is>
          <t>2 Oktober 2026</t>
        </is>
      </c>
      <c r="M11" t="inlineStr">
        <is>
          <t>Instalasi Mekanikal</t>
        </is>
      </c>
      <c r="N11" t="inlineStr">
        <is>
          <t>Spesialis</t>
        </is>
      </c>
      <c r="O11" t="inlineStr">
        <is>
          <t>20230929</t>
        </is>
      </c>
      <c r="P11" t="inlineStr">
        <is>
          <t>Jawa Barat</t>
        </is>
      </c>
      <c r="Q11" t="inlineStr"/>
    </row>
    <row r="12">
      <c r="A12" t="inlineStr">
        <is>
          <t>TIRTAKREASI MANDIRI SEJAHTERA</t>
        </is>
      </c>
      <c r="B12" t="inlineStr">
        <is>
          <t>Kab. Bogor</t>
        </is>
      </c>
      <c r="C12" t="inlineStr">
        <is>
          <t>082113797765</t>
        </is>
      </c>
      <c r="D12" t="inlineStr">
        <is>
          <t>pttirtakreasimandirisejahtera@gmail.com</t>
        </is>
      </c>
      <c r="E12" t="inlineStr">
        <is>
          <t>https://lpjk.pu.go.id/search-badan-usaha-detail/Y2VHcmY3aCsyUC90T0ZxN0UrNHFLUT09</t>
        </is>
      </c>
      <c r="F12" t="n">
        <v>2</v>
      </c>
      <c r="G12" t="inlineStr">
        <is>
          <t>BG009</t>
        </is>
      </c>
      <c r="H12" t="inlineStr">
        <is>
          <t>27 September 2023</t>
        </is>
      </c>
      <c r="I12" s="2" t="n">
        <v>46297</v>
      </c>
      <c r="J12" t="inlineStr">
        <is>
          <t>Disetujui</t>
        </is>
      </c>
      <c r="K12" t="n">
        <v>60</v>
      </c>
      <c r="L12" t="inlineStr">
        <is>
          <t>2 Oktober 2026</t>
        </is>
      </c>
      <c r="M12" t="inlineStr">
        <is>
          <t>Konstruksi Gedung Lainnya</t>
        </is>
      </c>
      <c r="N12" t="inlineStr">
        <is>
          <t>K</t>
        </is>
      </c>
      <c r="O12" t="inlineStr">
        <is>
          <t>20230930</t>
        </is>
      </c>
      <c r="P12" t="inlineStr">
        <is>
          <t>Jawa Barat</t>
        </is>
      </c>
      <c r="Q12" s="3">
        <f>HYPERLINK("https://wa.me/6282113797765?text=*[PENGINGAT MASA BERLAKU SBU TIRTAKREASI MANDIRI SEJAHTERA]*%0A%0AYth. Pimpinan TIRTAKREASI MANDIRI SEJAHTERA,%0AMohon izin menginformasikan status SBU Anda di sistem LPJK:%0A%0A📄 SBU: BG009%0A📅 Expired: 2 Oktober 2026 (60 Hari Lagi)%0A%0AKami tim PT. ESDEA Assistance Management siap men-support proses perpanjangan segera agar administrasi proyek tidak terhambat%0A%0AApakah boleh saya bantu siapkan estimasi biaya dan waktu pengerjaannya?.", "Hubungi")</f>
        <v/>
      </c>
    </row>
    <row r="13">
      <c r="A13" t="inlineStr">
        <is>
          <t>WULAN AKBAR KONSTRUKSI</t>
        </is>
      </c>
      <c r="B13" t="inlineStr">
        <is>
          <t>Kota Depok</t>
        </is>
      </c>
      <c r="C13" t="inlineStr">
        <is>
          <t>081315685855</t>
        </is>
      </c>
      <c r="D13" t="inlineStr">
        <is>
          <t>wulanakbarkonstruksi@gmail.com</t>
        </is>
      </c>
      <c r="E13" t="inlineStr">
        <is>
          <t>https://lpjk.pu.go.id/search-badan-usaha-detail/WWRSTFBidGFYT090eGdzNmhmMEp3UT09</t>
        </is>
      </c>
      <c r="F13" t="n">
        <v>1</v>
      </c>
      <c r="G13" t="inlineStr">
        <is>
          <t>BG001</t>
        </is>
      </c>
      <c r="H13" t="inlineStr">
        <is>
          <t>18 Juni 2021</t>
        </is>
      </c>
      <c r="I13" s="2" t="n">
        <v>46297</v>
      </c>
      <c r="J13" t="inlineStr">
        <is>
          <t>Disetujui</t>
        </is>
      </c>
      <c r="K13" t="n">
        <v>60</v>
      </c>
      <c r="L13" t="inlineStr">
        <is>
          <t>2 Oktober 2026</t>
        </is>
      </c>
      <c r="M13" t="inlineStr">
        <is>
          <t>Konstruksi Gedung Hunian</t>
        </is>
      </c>
      <c r="N13" t="inlineStr">
        <is>
          <t>K</t>
        </is>
      </c>
      <c r="O13" t="inlineStr">
        <is>
          <t>20231003</t>
        </is>
      </c>
      <c r="P13" t="inlineStr">
        <is>
          <t>Jawa Barat</t>
        </is>
      </c>
      <c r="Q13" s="3">
        <f>HYPERLINK("https://wa.me/6281315685855?text=*[PENGINGAT MASA BERLAKU SBU WULAN AKBAR KONSTRUKSI]*%0A%0AYth. Pimpinan WULAN AKBAR KONSTRUKSI,%0AMohon izin menginformasikan status SBU Anda di sistem LPJK:%0A%0A📄 SBU: BG001%0A📅 Expired: 2 Oktober 2026 (60 Hari Lagi)%0A%0AKami tim PT. ESDEA Assistance Management siap men-support proses perpanjangan segera agar administrasi proyek tidak terhambat%0A%0AApakah boleh saya bantu siapkan estimasi biaya dan waktu pengerjaannya?.", "Hubungi")</f>
        <v/>
      </c>
    </row>
    <row r="14">
      <c r="A14" t="inlineStr">
        <is>
          <t>ABDI KARYA</t>
        </is>
      </c>
      <c r="B14" t="inlineStr">
        <is>
          <t>Kab. Dairi</t>
        </is>
      </c>
      <c r="C14" t="inlineStr">
        <is>
          <t>082274867628</t>
        </is>
      </c>
      <c r="D14" t="inlineStr">
        <is>
          <t>abdi.sihombing@yahoo.com</t>
        </is>
      </c>
      <c r="E14" t="inlineStr">
        <is>
          <t>https://lpjk.pu.go.id/search-badan-usaha-detail/TzBxaldPcWFHazcrZzQyNlN1eHdrUT09</t>
        </is>
      </c>
      <c r="F14" t="n">
        <v>1</v>
      </c>
      <c r="G14" t="inlineStr">
        <is>
          <t>BS004</t>
        </is>
      </c>
      <c r="H14" t="inlineStr">
        <is>
          <t>17 Januari 2020</t>
        </is>
      </c>
      <c r="I14" s="2" t="n">
        <v>46297</v>
      </c>
      <c r="J14" t="inlineStr">
        <is>
          <t>Disetujui</t>
        </is>
      </c>
      <c r="K14" t="n">
        <v>60</v>
      </c>
      <c r="L14" t="inlineStr">
        <is>
          <t>2 Oktober 2026</t>
        </is>
      </c>
      <c r="M14" t="inlineStr">
        <is>
          <t>Konstruksi Jaringan Irigasi dan Drainase</t>
        </is>
      </c>
      <c r="N14" t="inlineStr">
        <is>
          <t>K</t>
        </is>
      </c>
      <c r="O14" t="inlineStr">
        <is>
          <t>20230928</t>
        </is>
      </c>
      <c r="P14" t="inlineStr">
        <is>
          <t>Sumatera Utara</t>
        </is>
      </c>
      <c r="Q14" t="inlineStr"/>
    </row>
    <row r="15">
      <c r="A15" t="inlineStr">
        <is>
          <t>ADE MITRA PRIMAH JAYA</t>
        </is>
      </c>
      <c r="B15" t="inlineStr">
        <is>
          <t>Kab. Pelalawan</t>
        </is>
      </c>
      <c r="C15" t="inlineStr">
        <is>
          <t>081363858101</t>
        </is>
      </c>
      <c r="D15" t="inlineStr">
        <is>
          <t>ptademitraprimahjaya@gmail.com</t>
        </is>
      </c>
      <c r="E15" t="inlineStr">
        <is>
          <t>https://lpjk.pu.go.id/search-badan-usaha-detail/YU9jVDRGaTR2eHFtcHZvdm9QTlU1Zz09</t>
        </is>
      </c>
      <c r="F15" t="n">
        <v>1</v>
      </c>
      <c r="G15" t="inlineStr">
        <is>
          <t>PL001</t>
        </is>
      </c>
      <c r="H15" t="inlineStr">
        <is>
          <t>9 Agustus 2021</t>
        </is>
      </c>
      <c r="I15" s="2" t="n">
        <v>46297</v>
      </c>
      <c r="J15" t="inlineStr">
        <is>
          <t>Pencabutan</t>
        </is>
      </c>
      <c r="K15" t="n">
        <v>60</v>
      </c>
      <c r="L15" t="inlineStr">
        <is>
          <t>2 Oktober 2026</t>
        </is>
      </c>
      <c r="M15" t="inlineStr">
        <is>
          <t>Pembongkaran Bangunan</t>
        </is>
      </c>
      <c r="N15" t="inlineStr">
        <is>
          <t>Spesialis</t>
        </is>
      </c>
      <c r="O15" t="inlineStr">
        <is>
          <t>20230921</t>
        </is>
      </c>
      <c r="P15" t="inlineStr">
        <is>
          <t>Riau</t>
        </is>
      </c>
      <c r="Q15" t="inlineStr"/>
    </row>
    <row r="16">
      <c r="A16" t="inlineStr">
        <is>
          <t>ADIDAYA PRATAMA JOMANTARA</t>
        </is>
      </c>
      <c r="B16" t="inlineStr">
        <is>
          <t>Kab. Purwakarta</t>
        </is>
      </c>
      <c r="C16" t="inlineStr">
        <is>
          <t>081289158754</t>
        </is>
      </c>
      <c r="D16" t="inlineStr">
        <is>
          <t>pt.adidayapratamajomantara@gmail.com</t>
        </is>
      </c>
      <c r="E16" t="inlineStr">
        <is>
          <t>https://lpjk.pu.go.id/search-badan-usaha-detail/Yk9sbm44UnhNaUlOQjBmMnprQTBzcytxYTVDbGRWNmlrWHloVUFCdnEvND0</t>
        </is>
      </c>
      <c r="F16" t="n">
        <v>1</v>
      </c>
      <c r="G16" t="inlineStr">
        <is>
          <t>BG009</t>
        </is>
      </c>
      <c r="H16" t="inlineStr">
        <is>
          <t>21 April 2025</t>
        </is>
      </c>
      <c r="I16" s="2" t="n">
        <v>46297</v>
      </c>
      <c r="J16" t="inlineStr">
        <is>
          <t>Disetujui</t>
        </is>
      </c>
      <c r="K16" t="n">
        <v>60</v>
      </c>
      <c r="L16" t="inlineStr">
        <is>
          <t>2 Oktober 2026</t>
        </is>
      </c>
      <c r="M16" t="inlineStr">
        <is>
          <t>Konstruksi Gedung Lainnya</t>
        </is>
      </c>
      <c r="N16" t="inlineStr">
        <is>
          <t>K</t>
        </is>
      </c>
      <c r="O16" t="inlineStr">
        <is>
          <t>20230925</t>
        </is>
      </c>
      <c r="P16" t="inlineStr">
        <is>
          <t>Jawa Barat</t>
        </is>
      </c>
      <c r="Q16" t="inlineStr"/>
    </row>
    <row r="17">
      <c r="A17" t="inlineStr">
        <is>
          <t>ADY JAYA MUKTI</t>
        </is>
      </c>
      <c r="B17" t="inlineStr">
        <is>
          <t>Kab. Tasikmalaya</t>
        </is>
      </c>
      <c r="C17" t="inlineStr">
        <is>
          <t>082115272392</t>
        </is>
      </c>
      <c r="D17" t="inlineStr">
        <is>
          <t>adyjayamukti2021@gmail.com</t>
        </is>
      </c>
      <c r="E17" t="inlineStr">
        <is>
          <t>https://lpjk.pu.go.id/search-badan-usaha-detail/c2tDU3pXSndvQ1hpdXF1RUpnOHZNUT09</t>
        </is>
      </c>
      <c r="F17" t="n">
        <v>1</v>
      </c>
      <c r="G17" t="inlineStr">
        <is>
          <t>BG006</t>
        </is>
      </c>
      <c r="H17" t="inlineStr">
        <is>
          <t>2 Maret 2009</t>
        </is>
      </c>
      <c r="I17" s="2" t="n">
        <v>46297</v>
      </c>
      <c r="J17" t="inlineStr">
        <is>
          <t>Disetujui</t>
        </is>
      </c>
      <c r="K17" t="n">
        <v>60</v>
      </c>
      <c r="L17" t="inlineStr">
        <is>
          <t>2 Oktober 2026</t>
        </is>
      </c>
      <c r="M17" t="inlineStr">
        <is>
          <t>Konstruksi Gedung Pendidikan</t>
        </is>
      </c>
      <c r="N17" t="inlineStr">
        <is>
          <t>K</t>
        </is>
      </c>
      <c r="O17" t="inlineStr">
        <is>
          <t>20231002</t>
        </is>
      </c>
      <c r="P17" t="inlineStr">
        <is>
          <t>Jawa Barat</t>
        </is>
      </c>
      <c r="Q17" t="inlineStr"/>
    </row>
    <row r="18">
      <c r="A18" t="inlineStr">
        <is>
          <t>ADYA JAYA ABADI</t>
        </is>
      </c>
      <c r="B18" t="inlineStr">
        <is>
          <t>Kab. Merauke</t>
        </is>
      </c>
      <c r="C18" t="inlineStr">
        <is>
          <t>081313365940</t>
        </is>
      </c>
      <c r="D18" t="inlineStr">
        <is>
          <t>adyajayaabadi@gmail.com</t>
        </is>
      </c>
      <c r="E18" t="inlineStr">
        <is>
          <t>https://lpjk.pu.go.id/search-badan-usaha-detail/aFlOZjZ0NkVEUk5QNEUzRjZYT2hMZz09</t>
        </is>
      </c>
      <c r="F18" t="n">
        <v>1</v>
      </c>
      <c r="G18" t="inlineStr">
        <is>
          <t>BS004</t>
        </is>
      </c>
      <c r="H18" t="inlineStr">
        <is>
          <t>1 Oktober 2022</t>
        </is>
      </c>
      <c r="I18" s="2" t="n">
        <v>46297</v>
      </c>
      <c r="J18" t="inlineStr">
        <is>
          <t>Disetujui</t>
        </is>
      </c>
      <c r="K18" t="n">
        <v>60</v>
      </c>
      <c r="L18" t="inlineStr">
        <is>
          <t>2 Oktober 2026</t>
        </is>
      </c>
      <c r="M18" t="inlineStr">
        <is>
          <t>Konstruksi Jaringan Irigasi dan Drainase</t>
        </is>
      </c>
      <c r="N18" t="inlineStr">
        <is>
          <t>K</t>
        </is>
      </c>
      <c r="O18" t="inlineStr">
        <is>
          <t>20230901</t>
        </is>
      </c>
      <c r="P18" t="inlineStr">
        <is>
          <t>Papua Selatan</t>
        </is>
      </c>
      <c r="Q18" t="inlineStr"/>
    </row>
    <row r="19">
      <c r="A19" t="inlineStr">
        <is>
          <t>AKASIA LIGAR MANDIRI</t>
        </is>
      </c>
      <c r="B19" t="inlineStr">
        <is>
          <t>Kab. Tasikmalaya</t>
        </is>
      </c>
      <c r="C19" t="inlineStr">
        <is>
          <t>081321650650</t>
        </is>
      </c>
      <c r="D19" t="inlineStr">
        <is>
          <t>cvakasialigarmandiri@gmail.com</t>
        </is>
      </c>
      <c r="E19" t="inlineStr">
        <is>
          <t>https://lpjk.pu.go.id/search-badan-usaha-detail/S281aVh0aTlVYWhacjdNSVhINGxlQT09</t>
        </is>
      </c>
      <c r="F19" t="n">
        <v>2</v>
      </c>
      <c r="G19" t="inlineStr">
        <is>
          <t>BS004</t>
        </is>
      </c>
      <c r="H19" t="inlineStr">
        <is>
          <t>24 Juli 2023</t>
        </is>
      </c>
      <c r="I19" s="2" t="n">
        <v>46297</v>
      </c>
      <c r="J19" t="inlineStr">
        <is>
          <t>Disetujui</t>
        </is>
      </c>
      <c r="K19" t="n">
        <v>60</v>
      </c>
      <c r="L19" t="inlineStr">
        <is>
          <t>2 Oktober 2026</t>
        </is>
      </c>
      <c r="M19" t="inlineStr">
        <is>
          <t>Konstruksi Jaringan Irigasi dan Drainase</t>
        </is>
      </c>
      <c r="N19" t="inlineStr">
        <is>
          <t>K</t>
        </is>
      </c>
      <c r="O19" t="inlineStr">
        <is>
          <t>20230913</t>
        </is>
      </c>
      <c r="P19" t="inlineStr">
        <is>
          <t>Jawa Barat</t>
        </is>
      </c>
      <c r="Q19" t="inlineStr"/>
    </row>
    <row r="20">
      <c r="A20" t="inlineStr">
        <is>
          <t>AKBAR MAULANA ABADI</t>
        </is>
      </c>
      <c r="B20" t="inlineStr">
        <is>
          <t>Kota Surabaya</t>
        </is>
      </c>
      <c r="C20" t="inlineStr">
        <is>
          <t>03185589743</t>
        </is>
      </c>
      <c r="D20" t="inlineStr">
        <is>
          <t>akbar.maulanaabadi@yahoo.com</t>
        </is>
      </c>
      <c r="E20" t="inlineStr">
        <is>
          <t>https://lpjk.pu.go.id/search-badan-usaha-detail/Z1FXK2E4YXVNd0M5RENVUEM1M25Ndz09</t>
        </is>
      </c>
      <c r="F20" t="n">
        <v>1</v>
      </c>
      <c r="G20" t="inlineStr">
        <is>
          <t>IN007</t>
        </is>
      </c>
      <c r="H20" t="inlineStr">
        <is>
          <t>1 Agustus 2007</t>
        </is>
      </c>
      <c r="I20" s="2" t="n">
        <v>46297</v>
      </c>
      <c r="J20" t="inlineStr">
        <is>
          <t>Pembekuan</t>
        </is>
      </c>
      <c r="K20" t="n">
        <v>60</v>
      </c>
      <c r="L20" t="inlineStr">
        <is>
          <t>2 Oktober 2026</t>
        </is>
      </c>
      <c r="M20" t="inlineStr">
        <is>
          <t>Instalasi Saluran Air (Plambing)</t>
        </is>
      </c>
      <c r="N20" t="inlineStr">
        <is>
          <t>Spesialis</t>
        </is>
      </c>
      <c r="O20" t="inlineStr">
        <is>
          <t>20231001</t>
        </is>
      </c>
      <c r="P20" t="inlineStr">
        <is>
          <t>Jawa Timur</t>
        </is>
      </c>
      <c r="Q20" t="inlineStr"/>
    </row>
    <row r="21">
      <c r="A21" t="inlineStr">
        <is>
          <t>ANINDO KARYA</t>
        </is>
      </c>
      <c r="B21" t="inlineStr">
        <is>
          <t>Kota Palu</t>
        </is>
      </c>
      <c r="C21" t="inlineStr">
        <is>
          <t>082110474396</t>
        </is>
      </c>
      <c r="D21" t="inlineStr">
        <is>
          <t>anindo.karya@gmail.com</t>
        </is>
      </c>
      <c r="E21" t="inlineStr">
        <is>
          <t>https://lpjk.pu.go.id/search-badan-usaha-detail/Mm9xL3ppUFB4NVhZTnVEQVhadVd1dz09</t>
        </is>
      </c>
      <c r="F21" t="n">
        <v>1</v>
      </c>
      <c r="G21" t="inlineStr">
        <is>
          <t>BG006</t>
        </is>
      </c>
      <c r="H21" t="inlineStr">
        <is>
          <t>30 Desember 2019</t>
        </is>
      </c>
      <c r="I21" s="2" t="n">
        <v>46297</v>
      </c>
      <c r="J21" t="inlineStr">
        <is>
          <t>Dokumen Lengkap</t>
        </is>
      </c>
      <c r="K21" t="n">
        <v>60</v>
      </c>
      <c r="L21" t="inlineStr">
        <is>
          <t>2 Oktober 2026</t>
        </is>
      </c>
      <c r="M21" t="inlineStr">
        <is>
          <t>Konstruksi Gedung Pendidikan</t>
        </is>
      </c>
      <c r="N21" t="inlineStr">
        <is>
          <t>K</t>
        </is>
      </c>
      <c r="O21" t="inlineStr">
        <is>
          <t>20230103</t>
        </is>
      </c>
      <c r="P21" t="inlineStr">
        <is>
          <t>Sulawesi Tengah</t>
        </is>
      </c>
      <c r="Q21" t="inlineStr"/>
    </row>
    <row r="22">
      <c r="A22" t="inlineStr">
        <is>
          <t>ANUGRAH MAHA KARYA PERSADA</t>
        </is>
      </c>
      <c r="B22" t="inlineStr">
        <is>
          <t>Kab. Tuban</t>
        </is>
      </c>
      <c r="C22" t="inlineStr">
        <is>
          <t>082143196801</t>
        </is>
      </c>
      <c r="D22" t="inlineStr">
        <is>
          <t>pt.amkpersada@gmail.com</t>
        </is>
      </c>
      <c r="E22" t="inlineStr">
        <is>
          <t>https://lpjk.pu.go.id/search-badan-usaha-detail/WWtvUElndjdnNGNDbXdOUiswalhhZz09</t>
        </is>
      </c>
      <c r="F22" t="n">
        <v>4</v>
      </c>
      <c r="G22" t="inlineStr">
        <is>
          <t>BG006</t>
        </is>
      </c>
      <c r="H22" t="inlineStr">
        <is>
          <t>11 Maret 2020</t>
        </is>
      </c>
      <c r="I22" s="2" t="n">
        <v>46297</v>
      </c>
      <c r="J22" t="inlineStr">
        <is>
          <t>Disetujui</t>
        </is>
      </c>
      <c r="K22" t="n">
        <v>60</v>
      </c>
      <c r="L22" t="inlineStr">
        <is>
          <t>2 Oktober 2026</t>
        </is>
      </c>
      <c r="M22" t="inlineStr">
        <is>
          <t>Konstruksi Gedung Pendidikan</t>
        </is>
      </c>
      <c r="N22" t="inlineStr">
        <is>
          <t>K</t>
        </is>
      </c>
      <c r="O22" t="inlineStr">
        <is>
          <t>20230930</t>
        </is>
      </c>
      <c r="P22" t="inlineStr">
        <is>
          <t>Jawa Timur</t>
        </is>
      </c>
      <c r="Q22" t="inlineStr"/>
    </row>
    <row r="23">
      <c r="A23" t="inlineStr">
        <is>
          <t>ARGATAMA</t>
        </is>
      </c>
      <c r="B23" t="inlineStr">
        <is>
          <t>Kab. Jember</t>
        </is>
      </c>
      <c r="C23" t="inlineStr">
        <is>
          <t>085236887000</t>
        </is>
      </c>
      <c r="D23" t="inlineStr">
        <is>
          <t>cvargatamajbr@gmail.com</t>
        </is>
      </c>
      <c r="E23" t="inlineStr">
        <is>
          <t>https://lpjk.pu.go.id/search-badan-usaha-detail/eitYOU9oeDZwMEJrd013TW1tWTBuZz09</t>
        </is>
      </c>
      <c r="F23" t="n">
        <v>2</v>
      </c>
      <c r="G23" t="inlineStr">
        <is>
          <t>BS001</t>
        </is>
      </c>
      <c r="H23" t="inlineStr">
        <is>
          <t>22 Januari 1982</t>
        </is>
      </c>
      <c r="I23" s="2" t="n">
        <v>46297</v>
      </c>
      <c r="J23" t="inlineStr">
        <is>
          <t>Disetujui</t>
        </is>
      </c>
      <c r="K23" t="n">
        <v>60</v>
      </c>
      <c r="L23" t="inlineStr">
        <is>
          <t>2 Oktober 2026</t>
        </is>
      </c>
      <c r="M23" t="inlineStr">
        <is>
          <t>Konstruksi Bangunan Sipil Jalan</t>
        </is>
      </c>
      <c r="N23" t="inlineStr">
        <is>
          <t>K</t>
        </is>
      </c>
      <c r="O23" t="inlineStr">
        <is>
          <t>20230925</t>
        </is>
      </c>
      <c r="P23" t="inlineStr">
        <is>
          <t>Jawa Timur</t>
        </is>
      </c>
      <c r="Q23" t="inlineStr"/>
    </row>
    <row r="24">
      <c r="A24" t="inlineStr">
        <is>
          <t>ARSHAKA KARYA GEMILANG</t>
        </is>
      </c>
      <c r="B24" t="inlineStr">
        <is>
          <t>Kota Balikpapan</t>
        </is>
      </c>
      <c r="C24" t="inlineStr">
        <is>
          <t>081333130927</t>
        </is>
      </c>
      <c r="D24" t="inlineStr">
        <is>
          <t>arshaka.kg89@gmail.com</t>
        </is>
      </c>
      <c r="E24" t="inlineStr">
        <is>
          <t>https://lpjk.pu.go.id/search-badan-usaha-detail/UmY5T29wOGl0Z0NadXdKd1BObEt4dz09</t>
        </is>
      </c>
      <c r="F24" t="n">
        <v>2</v>
      </c>
      <c r="G24" t="inlineStr">
        <is>
          <t>BG009</t>
        </is>
      </c>
      <c r="H24" t="inlineStr">
        <is>
          <t>20 Januari 2023</t>
        </is>
      </c>
      <c r="I24" s="2" t="n">
        <v>46297</v>
      </c>
      <c r="J24" t="inlineStr">
        <is>
          <t>Disetujui</t>
        </is>
      </c>
      <c r="K24" t="n">
        <v>60</v>
      </c>
      <c r="L24" t="inlineStr">
        <is>
          <t>2 Oktober 2026</t>
        </is>
      </c>
      <c r="M24" t="inlineStr">
        <is>
          <t>Konstruksi Gedung Lainnya</t>
        </is>
      </c>
      <c r="N24" t="inlineStr">
        <is>
          <t>K</t>
        </is>
      </c>
      <c r="O24" t="inlineStr">
        <is>
          <t>20231002</t>
        </is>
      </c>
      <c r="P24" t="inlineStr">
        <is>
          <t>Kalimantan Timur</t>
        </is>
      </c>
      <c r="Q24" t="inlineStr"/>
    </row>
    <row r="25">
      <c r="A25" t="inlineStr">
        <is>
          <t>ARTA PRAKARSA</t>
        </is>
      </c>
      <c r="B25" t="inlineStr">
        <is>
          <t>Kab. Ngada</t>
        </is>
      </c>
      <c r="C25" t="inlineStr">
        <is>
          <t>081261257828</t>
        </is>
      </c>
      <c r="D25" t="inlineStr">
        <is>
          <t>artaprakarsa2019@gmail.com</t>
        </is>
      </c>
      <c r="E25" t="inlineStr">
        <is>
          <t>https://lpjk.pu.go.id/search-badan-usaha-detail/RWJpTjd5ZnRmcWxxT3Q0TkNQM3ladz09</t>
        </is>
      </c>
      <c r="F25" t="n">
        <v>1</v>
      </c>
      <c r="G25" t="inlineStr">
        <is>
          <t>BS001</t>
        </is>
      </c>
      <c r="H25" t="inlineStr">
        <is>
          <t>5 Januari 2015</t>
        </is>
      </c>
      <c r="I25" s="2" t="n">
        <v>46297</v>
      </c>
      <c r="J25" t="inlineStr">
        <is>
          <t>Disetujui</t>
        </is>
      </c>
      <c r="K25" t="n">
        <v>60</v>
      </c>
      <c r="L25" t="inlineStr">
        <is>
          <t>2 Oktober 2026</t>
        </is>
      </c>
      <c r="M25" t="inlineStr">
        <is>
          <t>Konstruksi Bangunan Sipil Jalan</t>
        </is>
      </c>
      <c r="N25" t="inlineStr">
        <is>
          <t>K</t>
        </is>
      </c>
      <c r="O25" t="inlineStr">
        <is>
          <t>20230929</t>
        </is>
      </c>
      <c r="P25" t="inlineStr">
        <is>
          <t>Nusa Tenggara Timur</t>
        </is>
      </c>
      <c r="Q25" t="inlineStr"/>
    </row>
    <row r="26">
      <c r="A26" t="inlineStr">
        <is>
          <t>ARTHA DAYA COALINDO</t>
        </is>
      </c>
      <c r="B26" t="inlineStr">
        <is>
          <t>Kota Adm. Jakarta Selatan</t>
        </is>
      </c>
      <c r="C26" t="inlineStr">
        <is>
          <t>87888743920</t>
        </is>
      </c>
      <c r="D26" t="inlineStr">
        <is>
          <t>support@arthadayacoalindo.co.id</t>
        </is>
      </c>
      <c r="E26" t="inlineStr">
        <is>
          <t>https://lpjk.pu.go.id/search-badan-usaha-detail/NnRlN1h3amw4NHhFZ00rNW1RZmJodz09</t>
        </is>
      </c>
      <c r="F26" t="n">
        <v>1</v>
      </c>
      <c r="G26" t="inlineStr">
        <is>
          <t>IN005</t>
        </is>
      </c>
      <c r="H26" t="inlineStr">
        <is>
          <t>21 Oktober 1997</t>
        </is>
      </c>
      <c r="I26" s="2" t="n">
        <v>46297</v>
      </c>
      <c r="J26" t="inlineStr">
        <is>
          <t>Pembekuan</t>
        </is>
      </c>
      <c r="K26" t="n">
        <v>60</v>
      </c>
      <c r="L26" t="inlineStr">
        <is>
          <t>2 Oktober 2026</t>
        </is>
      </c>
      <c r="M26" t="inlineStr">
        <is>
          <t>Instalasi Konstruksi Navigasi Laut, Sungai, dan Udara</t>
        </is>
      </c>
      <c r="N26" t="inlineStr">
        <is>
          <t>Spesialis</t>
        </is>
      </c>
      <c r="O26" t="inlineStr">
        <is>
          <t>20230927</t>
        </is>
      </c>
      <c r="P26" t="inlineStr">
        <is>
          <t>DKI Jakarta</t>
        </is>
      </c>
      <c r="Q26" t="inlineStr"/>
    </row>
    <row r="27">
      <c r="A27" t="inlineStr">
        <is>
          <t>ARTHA RAHMA PANGESTU</t>
        </is>
      </c>
      <c r="B27" t="inlineStr">
        <is>
          <t>Kota Surabaya</t>
        </is>
      </c>
      <c r="C27" t="inlineStr">
        <is>
          <t>087711555359</t>
        </is>
      </c>
      <c r="D27" t="inlineStr">
        <is>
          <t>arp.official5379@gmail.com</t>
        </is>
      </c>
      <c r="E27" t="inlineStr">
        <is>
          <t>https://lpjk.pu.go.id/search-badan-usaha-detail/ZmRRZ0tINWRtNkNoMktUTGtNN056dz09</t>
        </is>
      </c>
      <c r="F27" t="n">
        <v>2</v>
      </c>
      <c r="G27" t="inlineStr">
        <is>
          <t>BG002, BG009</t>
        </is>
      </c>
      <c r="H27" t="inlineStr">
        <is>
          <t>21 November 2022</t>
        </is>
      </c>
      <c r="I27" s="2" t="n">
        <v>46297</v>
      </c>
      <c r="J27" t="inlineStr">
        <is>
          <t>Disetujui</t>
        </is>
      </c>
      <c r="K27" t="n">
        <v>60</v>
      </c>
      <c r="L27" t="inlineStr">
        <is>
          <t>2 Oktober 2026</t>
        </is>
      </c>
      <c r="M27" t="inlineStr">
        <is>
          <t>Konstruksi Gedung Lainnya, Konstruksi Gedung Perkantoran</t>
        </is>
      </c>
      <c r="N27" t="inlineStr">
        <is>
          <t>K</t>
        </is>
      </c>
      <c r="O27" t="inlineStr">
        <is>
          <t>20230926, 20231002</t>
        </is>
      </c>
      <c r="P27" t="inlineStr">
        <is>
          <t>Jawa Timur</t>
        </is>
      </c>
      <c r="Q27" t="inlineStr"/>
    </row>
    <row r="28">
      <c r="A28" t="inlineStr">
        <is>
          <t>ARUM BERKAH LESTARI</t>
        </is>
      </c>
      <c r="B28" t="inlineStr">
        <is>
          <t>Kota Cilegon</t>
        </is>
      </c>
      <c r="C28" t="inlineStr">
        <is>
          <t>082110348610</t>
        </is>
      </c>
      <c r="D28" t="inlineStr">
        <is>
          <t>cvarumberkahlestari@gmail.com</t>
        </is>
      </c>
      <c r="E28" t="inlineStr">
        <is>
          <t>https://lpjk.pu.go.id/search-badan-usaha-detail/OXJFWDNGZlVPMDNtUkpTVXZKeitOUT09</t>
        </is>
      </c>
      <c r="F28" t="n">
        <v>2</v>
      </c>
      <c r="G28" t="inlineStr">
        <is>
          <t>BG002, BG009</t>
        </is>
      </c>
      <c r="H28" t="inlineStr">
        <is>
          <t>23 Februari 2022</t>
        </is>
      </c>
      <c r="I28" s="2" t="n">
        <v>46297</v>
      </c>
      <c r="J28" t="inlineStr">
        <is>
          <t>Disetujui</t>
        </is>
      </c>
      <c r="K28" t="n">
        <v>60</v>
      </c>
      <c r="L28" t="inlineStr">
        <is>
          <t>2 Oktober 2026</t>
        </is>
      </c>
      <c r="M28" t="inlineStr">
        <is>
          <t>Konstruksi Gedung Lainnya, Konstruksi Gedung Perkantoran</t>
        </is>
      </c>
      <c r="N28" t="inlineStr">
        <is>
          <t>K</t>
        </is>
      </c>
      <c r="O28" t="inlineStr">
        <is>
          <t>20230926</t>
        </is>
      </c>
      <c r="P28" t="inlineStr">
        <is>
          <t>Banten</t>
        </is>
      </c>
      <c r="Q28" t="inlineStr"/>
    </row>
    <row r="29">
      <c r="A29" t="inlineStr">
        <is>
          <t>ASRI MULYA SENTOSA</t>
        </is>
      </c>
      <c r="B29" t="inlineStr">
        <is>
          <t>Kab. Cilacap</t>
        </is>
      </c>
      <c r="C29" t="inlineStr">
        <is>
          <t>081328738734</t>
        </is>
      </c>
      <c r="D29" t="inlineStr">
        <is>
          <t>asri.mulya@ymail.com</t>
        </is>
      </c>
      <c r="E29" t="inlineStr">
        <is>
          <t>https://lpjk.pu.go.id/search-badan-usaha-detail/QVQ4eGl1b09SRzMwckhuby9uNWxRdz09</t>
        </is>
      </c>
      <c r="F29" t="n">
        <v>1</v>
      </c>
      <c r="G29" t="inlineStr">
        <is>
          <t>BG001</t>
        </is>
      </c>
      <c r="H29" t="inlineStr">
        <is>
          <t>22 Juni 2012</t>
        </is>
      </c>
      <c r="I29" s="2" t="n">
        <v>46297</v>
      </c>
      <c r="J29" t="inlineStr">
        <is>
          <t>Pencabutan</t>
        </is>
      </c>
      <c r="K29" t="n">
        <v>60</v>
      </c>
      <c r="L29" t="inlineStr">
        <is>
          <t>2 Oktober 2026</t>
        </is>
      </c>
      <c r="M29" t="inlineStr">
        <is>
          <t>Konstruksi Gedung Hunian</t>
        </is>
      </c>
      <c r="N29" t="inlineStr">
        <is>
          <t>K</t>
        </is>
      </c>
      <c r="O29" t="inlineStr">
        <is>
          <t>20231003</t>
        </is>
      </c>
      <c r="P29" t="inlineStr">
        <is>
          <t>Jawa Tengah</t>
        </is>
      </c>
      <c r="Q29" t="inlineStr"/>
    </row>
    <row r="30">
      <c r="A30" t="inlineStr">
        <is>
          <t>AURA JONG CELEBES</t>
        </is>
      </c>
      <c r="B30" t="inlineStr">
        <is>
          <t>Kab. Bondowoso</t>
        </is>
      </c>
      <c r="C30" t="inlineStr">
        <is>
          <t>082234224303</t>
        </is>
      </c>
      <c r="D30" t="inlineStr">
        <is>
          <t>aurajongcelebes@gmail.com</t>
        </is>
      </c>
      <c r="E30" t="inlineStr">
        <is>
          <t>https://lpjk.pu.go.id/search-badan-usaha-detail/d1JoYjN3Sm4xSStXWG9pNDViMVRRdz09</t>
        </is>
      </c>
      <c r="F30" t="n">
        <v>2</v>
      </c>
      <c r="G30" t="inlineStr">
        <is>
          <t>BS004, BS005</t>
        </is>
      </c>
      <c r="H30" t="inlineStr">
        <is>
          <t>7 April 2015</t>
        </is>
      </c>
      <c r="I30" s="2" t="n">
        <v>46297</v>
      </c>
      <c r="J30" t="inlineStr">
        <is>
          <t>Disetujui</t>
        </is>
      </c>
      <c r="K30" t="n">
        <v>60</v>
      </c>
      <c r="L30" t="inlineStr">
        <is>
          <t>2 Oktober 2026</t>
        </is>
      </c>
      <c r="M30" t="inlineStr">
        <is>
          <t>Konstruksi Bangunan Sipil Pengolahan Air Bersih, Konstruksi Jaringan Irigasi dan Drainase</t>
        </is>
      </c>
      <c r="N30" t="inlineStr">
        <is>
          <t>K</t>
        </is>
      </c>
      <c r="O30" t="inlineStr">
        <is>
          <t>20230926</t>
        </is>
      </c>
      <c r="P30" t="inlineStr">
        <is>
          <t>Jawa Timur</t>
        </is>
      </c>
      <c r="Q30" t="inlineStr"/>
    </row>
    <row r="31">
      <c r="A31" t="inlineStr">
        <is>
          <t>AZIZA</t>
        </is>
      </c>
      <c r="B31" t="inlineStr">
        <is>
          <t>Kab. Kolaka Timur</t>
        </is>
      </c>
      <c r="C31" t="inlineStr">
        <is>
          <t>085222201457</t>
        </is>
      </c>
      <c r="D31" t="inlineStr">
        <is>
          <t>azizaasman@gmail.com</t>
        </is>
      </c>
      <c r="E31" t="inlineStr">
        <is>
          <t>https://lpjk.pu.go.id/search-badan-usaha-detail/bW9mWVNIRzdXeXExc05MRWcrbU5Ydz09</t>
        </is>
      </c>
      <c r="F31" t="n">
        <v>6</v>
      </c>
      <c r="G31" t="inlineStr">
        <is>
          <t>BG002</t>
        </is>
      </c>
      <c r="H31" t="inlineStr">
        <is>
          <t>20 Januari 2014</t>
        </is>
      </c>
      <c r="I31" s="2" t="n">
        <v>46297</v>
      </c>
      <c r="J31" t="inlineStr">
        <is>
          <t>Disetujui</t>
        </is>
      </c>
      <c r="K31" t="n">
        <v>60</v>
      </c>
      <c r="L31" t="inlineStr">
        <is>
          <t>2 Oktober 2026</t>
        </is>
      </c>
      <c r="M31" t="inlineStr">
        <is>
          <t>Konstruksi Gedung Perkantoran</t>
        </is>
      </c>
      <c r="N31" t="inlineStr">
        <is>
          <t>K</t>
        </is>
      </c>
      <c r="O31" t="inlineStr">
        <is>
          <t>20230929</t>
        </is>
      </c>
      <c r="P31" t="inlineStr">
        <is>
          <t>Sulawesi Tenggara</t>
        </is>
      </c>
      <c r="Q31" t="inlineStr"/>
    </row>
    <row r="32">
      <c r="A32" t="inlineStr">
        <is>
          <t>AZKIA BERKATAMA</t>
        </is>
      </c>
      <c r="B32" t="inlineStr">
        <is>
          <t>Kab. Banyumas</t>
        </is>
      </c>
      <c r="C32" t="inlineStr">
        <is>
          <t>08157979181</t>
        </is>
      </c>
      <c r="D32" t="inlineStr">
        <is>
          <t>cvazkiaberkatama@gmail.com</t>
        </is>
      </c>
      <c r="E32" t="inlineStr">
        <is>
          <t>https://lpjk.pu.go.id/search-badan-usaha-detail/ZVZpVzNGMHFsKzRreGNMR3dmZ3NoZz09</t>
        </is>
      </c>
      <c r="F32" t="n">
        <v>1</v>
      </c>
      <c r="G32" t="inlineStr">
        <is>
          <t>BG006</t>
        </is>
      </c>
      <c r="H32" t="inlineStr">
        <is>
          <t>9 Oktober 2014</t>
        </is>
      </c>
      <c r="I32" s="2" t="n">
        <v>46297</v>
      </c>
      <c r="J32" t="inlineStr">
        <is>
          <t>Disetujui</t>
        </is>
      </c>
      <c r="K32" t="n">
        <v>60</v>
      </c>
      <c r="L32" t="inlineStr">
        <is>
          <t>2 Oktober 2026</t>
        </is>
      </c>
      <c r="M32" t="inlineStr">
        <is>
          <t>Konstruksi Gedung Pendidikan</t>
        </is>
      </c>
      <c r="N32" t="inlineStr">
        <is>
          <t>K</t>
        </is>
      </c>
      <c r="O32" t="inlineStr">
        <is>
          <t>20230927</t>
        </is>
      </c>
      <c r="P32" t="inlineStr">
        <is>
          <t>Jawa Tengah</t>
        </is>
      </c>
      <c r="Q32" t="inlineStr"/>
    </row>
    <row r="33">
      <c r="A33" t="inlineStr">
        <is>
          <t>BAHANA TOTALINDO TEKNIK</t>
        </is>
      </c>
      <c r="B33" t="inlineStr">
        <is>
          <t>Kota Adm. Jakarta Pusat</t>
        </is>
      </c>
      <c r="C33" t="inlineStr">
        <is>
          <t>0215733007</t>
        </is>
      </c>
      <c r="D33" t="inlineStr">
        <is>
          <t>bahanatotalindoteknik@gmail.com</t>
        </is>
      </c>
      <c r="E33" t="inlineStr">
        <is>
          <t>https://lpjk.pu.go.id/search-badan-usaha-detail/bnZ3aWEvOUlVbC9yQmlUSXNGMTMzZz09</t>
        </is>
      </c>
      <c r="F33" t="n">
        <v>1</v>
      </c>
      <c r="G33" t="inlineStr">
        <is>
          <t>BG005</t>
        </is>
      </c>
      <c r="H33" t="inlineStr">
        <is>
          <t>4 Januari 2019</t>
        </is>
      </c>
      <c r="I33" s="2" t="n">
        <v>46297</v>
      </c>
      <c r="J33" t="inlineStr">
        <is>
          <t>Disetujui</t>
        </is>
      </c>
      <c r="K33" t="n">
        <v>60</v>
      </c>
      <c r="L33" t="inlineStr">
        <is>
          <t>2 Oktober 2026</t>
        </is>
      </c>
      <c r="M33" t="inlineStr">
        <is>
          <t>Konstruksi Gedung Kesehatan</t>
        </is>
      </c>
      <c r="N33" t="inlineStr">
        <is>
          <t>K</t>
        </is>
      </c>
      <c r="O33" t="inlineStr">
        <is>
          <t>20231001</t>
        </is>
      </c>
      <c r="P33" t="inlineStr">
        <is>
          <t>DKI Jakarta</t>
        </is>
      </c>
      <c r="Q33" t="inlineStr"/>
    </row>
    <row r="34">
      <c r="A34" t="inlineStr">
        <is>
          <t>BANGUN KELOLA SWADAYA</t>
        </is>
      </c>
      <c r="B34" t="inlineStr">
        <is>
          <t>Kota Adm. Jakarta Selatan</t>
        </is>
      </c>
      <c r="C34" t="inlineStr">
        <is>
          <t>0217261310</t>
        </is>
      </c>
      <c r="D34" t="inlineStr">
        <is>
          <t>legal.ptbks@gmail.com</t>
        </is>
      </c>
      <c r="E34" t="inlineStr">
        <is>
          <t>https://lpjk.pu.go.id/search-badan-usaha-detail/bFdEN0laZGNhSU5IRi83RFo3RW9uUT09</t>
        </is>
      </c>
      <c r="F34" t="n">
        <v>1</v>
      </c>
      <c r="G34" t="inlineStr">
        <is>
          <t>BS009</t>
        </is>
      </c>
      <c r="H34" t="inlineStr">
        <is>
          <t>25 Mei 2016</t>
        </is>
      </c>
      <c r="I34" s="2" t="n">
        <v>46297</v>
      </c>
      <c r="J34" t="inlineStr">
        <is>
          <t>Disetujui</t>
        </is>
      </c>
      <c r="K34" t="n">
        <v>60</v>
      </c>
      <c r="L34" t="inlineStr">
        <is>
          <t>2 Oktober 2026</t>
        </is>
      </c>
      <c r="M34" t="inlineStr">
        <is>
          <t>Konstruksi Sentral Telekomunikasi</t>
        </is>
      </c>
      <c r="N34" t="inlineStr">
        <is>
          <t>M</t>
        </is>
      </c>
      <c r="O34" t="inlineStr">
        <is>
          <t>20230926</t>
        </is>
      </c>
      <c r="P34" t="inlineStr">
        <is>
          <t>DKI Jakarta</t>
        </is>
      </c>
      <c r="Q34" t="inlineStr"/>
    </row>
    <row r="35">
      <c r="A35" t="inlineStr">
        <is>
          <t>BANGUN SERASI</t>
        </is>
      </c>
      <c r="B35" t="inlineStr">
        <is>
          <t>Kab. Semarang</t>
        </is>
      </c>
      <c r="C35" t="inlineStr">
        <is>
          <t>0298522361</t>
        </is>
      </c>
      <c r="D35" t="inlineStr">
        <is>
          <t>bgn_serasi@yahoo.co.id</t>
        </is>
      </c>
      <c r="E35" t="inlineStr">
        <is>
          <t>https://lpjk.pu.go.id/search-badan-usaha-detail/Tmd0VStlVUZUZTV5UFBveTNFZWxLZz09</t>
        </is>
      </c>
      <c r="F35" t="n">
        <v>4</v>
      </c>
      <c r="G35" t="inlineStr">
        <is>
          <t>BG002, BG003, BG005, BG006</t>
        </is>
      </c>
      <c r="H35" t="inlineStr">
        <is>
          <t>28 Oktober 1991</t>
        </is>
      </c>
      <c r="I35" s="2" t="n">
        <v>46297</v>
      </c>
      <c r="J35" t="inlineStr">
        <is>
          <t>Pencabutan</t>
        </is>
      </c>
      <c r="K35" t="n">
        <v>60</v>
      </c>
      <c r="L35" t="inlineStr">
        <is>
          <t>2 Oktober 2026</t>
        </is>
      </c>
      <c r="M35" t="inlineStr">
        <is>
          <t>Konstruksi Gedung Industri, Konstruksi Gedung Kesehatan, Konstruksi Gedung Pendidikan, Konstruksi Gedung Perkantoran</t>
        </is>
      </c>
      <c r="N35" t="inlineStr">
        <is>
          <t>K</t>
        </is>
      </c>
      <c r="O35" t="inlineStr">
        <is>
          <t>20230926</t>
        </is>
      </c>
      <c r="P35" t="inlineStr">
        <is>
          <t>Jawa Tengah</t>
        </is>
      </c>
      <c r="Q35" t="inlineStr"/>
    </row>
    <row r="36">
      <c r="A36" t="inlineStr">
        <is>
          <t>BAROKAT ALAM LESTARI</t>
        </is>
      </c>
      <c r="B36" t="inlineStr">
        <is>
          <t>Kab. Deli Serdang</t>
        </is>
      </c>
      <c r="C36" t="inlineStr">
        <is>
          <t>082165571075</t>
        </is>
      </c>
      <c r="D36" t="inlineStr">
        <is>
          <t>barokatalamlestari@gmail.com</t>
        </is>
      </c>
      <c r="E36" t="inlineStr">
        <is>
          <t>https://lpjk.pu.go.id/search-badan-usaha-detail/azF6bU1ya1FRcll6eUlVZ2IyYWI5dz09</t>
        </is>
      </c>
      <c r="F36" t="n">
        <v>2</v>
      </c>
      <c r="G36" t="inlineStr">
        <is>
          <t>BS001</t>
        </is>
      </c>
      <c r="H36" t="inlineStr">
        <is>
          <t>1 Desember 2020</t>
        </is>
      </c>
      <c r="I36" s="2" t="n">
        <v>46297</v>
      </c>
      <c r="J36" t="inlineStr">
        <is>
          <t>Disetujui</t>
        </is>
      </c>
      <c r="K36" t="n">
        <v>60</v>
      </c>
      <c r="L36" t="inlineStr">
        <is>
          <t>2 Oktober 2026</t>
        </is>
      </c>
      <c r="M36" t="inlineStr">
        <is>
          <t>Konstruksi Bangunan Sipil Jalan</t>
        </is>
      </c>
      <c r="N36" t="inlineStr">
        <is>
          <t>K</t>
        </is>
      </c>
      <c r="O36" t="inlineStr">
        <is>
          <t>20231002</t>
        </is>
      </c>
      <c r="P36" t="inlineStr">
        <is>
          <t>Sumatera Utara</t>
        </is>
      </c>
      <c r="Q36" t="inlineStr"/>
    </row>
    <row r="37">
      <c r="A37" t="inlineStr">
        <is>
          <t>BAYU PUTRA PERDANA</t>
        </is>
      </c>
      <c r="B37" t="inlineStr">
        <is>
          <t>Kab. Tulungagung</t>
        </is>
      </c>
      <c r="C37" t="inlineStr">
        <is>
          <t>081216227549</t>
        </is>
      </c>
      <c r="D37" t="inlineStr">
        <is>
          <t>bison.fighter@yahoo.com</t>
        </is>
      </c>
      <c r="E37" t="inlineStr">
        <is>
          <t>https://lpjk.pu.go.id/search-badan-usaha-detail/T3dLTGtYc3E3QkE4NnNoSHd2QmtiUT09</t>
        </is>
      </c>
      <c r="F37" t="n">
        <v>1</v>
      </c>
      <c r="G37" t="inlineStr">
        <is>
          <t>BG009</t>
        </is>
      </c>
      <c r="H37" t="inlineStr">
        <is>
          <t>7 September 2009</t>
        </is>
      </c>
      <c r="I37" s="2" t="n">
        <v>46297</v>
      </c>
      <c r="J37" t="inlineStr">
        <is>
          <t>Disetujui</t>
        </is>
      </c>
      <c r="K37" t="n">
        <v>60</v>
      </c>
      <c r="L37" t="inlineStr">
        <is>
          <t>2 Oktober 2026</t>
        </is>
      </c>
      <c r="M37" t="inlineStr">
        <is>
          <t>Konstruksi Gedung Lainnya</t>
        </is>
      </c>
      <c r="N37" t="inlineStr">
        <is>
          <t>K</t>
        </is>
      </c>
      <c r="O37" t="inlineStr">
        <is>
          <t>20230929</t>
        </is>
      </c>
      <c r="P37" t="inlineStr">
        <is>
          <t>Jawa Timur</t>
        </is>
      </c>
      <c r="Q37" t="inlineStr"/>
    </row>
    <row r="38">
      <c r="A38" t="inlineStr">
        <is>
          <t>BERKAH JAYA HARUM</t>
        </is>
      </c>
      <c r="B38" t="inlineStr">
        <is>
          <t>Kab. Banyuwangi</t>
        </is>
      </c>
      <c r="C38" t="inlineStr">
        <is>
          <t>081336161357</t>
        </is>
      </c>
      <c r="D38" t="inlineStr">
        <is>
          <t>cvberkahjayaharum@gmail.com</t>
        </is>
      </c>
      <c r="E38" t="inlineStr">
        <is>
          <t>https://lpjk.pu.go.id/search-badan-usaha-detail/WGdTTnB3eTRneUtIZDUrWmh1NzdtQT09</t>
        </is>
      </c>
      <c r="F38" t="n">
        <v>6</v>
      </c>
      <c r="G38" t="inlineStr">
        <is>
          <t>BG006, BS001, BS004</t>
        </is>
      </c>
      <c r="H38" t="inlineStr">
        <is>
          <t>7 Januari 2020</t>
        </is>
      </c>
      <c r="I38" s="2" t="n">
        <v>46297</v>
      </c>
      <c r="J38" t="inlineStr">
        <is>
          <t>Disetujui</t>
        </is>
      </c>
      <c r="K38" t="n">
        <v>60</v>
      </c>
      <c r="L38" t="inlineStr">
        <is>
          <t>2 Oktober 2026</t>
        </is>
      </c>
      <c r="M38" t="inlineStr">
        <is>
          <t>Konstruksi Bangunan Sipil Jalan, Konstruksi Gedung Pendidikan, Konstruksi Jaringan Irigasi dan Drainase</t>
        </is>
      </c>
      <c r="N38" t="inlineStr">
        <is>
          <t>K</t>
        </is>
      </c>
      <c r="O38" t="inlineStr">
        <is>
          <t>20230831, 20230905</t>
        </is>
      </c>
      <c r="P38" t="inlineStr">
        <is>
          <t>Jawa Timur</t>
        </is>
      </c>
      <c r="Q38" t="inlineStr"/>
    </row>
    <row r="39">
      <c r="A39" t="inlineStr">
        <is>
          <t>BERKAH JAYA SENTOSA</t>
        </is>
      </c>
      <c r="B39" t="inlineStr">
        <is>
          <t>Kab. Kampar</t>
        </is>
      </c>
      <c r="C39" t="inlineStr">
        <is>
          <t>081260199262</t>
        </is>
      </c>
      <c r="D39" t="inlineStr">
        <is>
          <t>cv.berkahjayasentos4@gmail.com</t>
        </is>
      </c>
      <c r="E39" t="inlineStr">
        <is>
          <t>https://lpjk.pu.go.id/search-badan-usaha-detail/RmowRkk1bklrZVJLWHBFaUh3emdOUT09</t>
        </is>
      </c>
      <c r="F39" t="n">
        <v>2</v>
      </c>
      <c r="G39" t="inlineStr">
        <is>
          <t>BS004</t>
        </is>
      </c>
      <c r="H39" t="inlineStr">
        <is>
          <t>23 April 2018</t>
        </is>
      </c>
      <c r="I39" s="2" t="n">
        <v>46297</v>
      </c>
      <c r="J39" t="inlineStr">
        <is>
          <t>Disetujui</t>
        </is>
      </c>
      <c r="K39" t="n">
        <v>60</v>
      </c>
      <c r="L39" t="inlineStr">
        <is>
          <t>2 Oktober 2026</t>
        </is>
      </c>
      <c r="M39" t="inlineStr">
        <is>
          <t>Konstruksi Jaringan Irigasi dan Drainase</t>
        </is>
      </c>
      <c r="N39" t="inlineStr">
        <is>
          <t>K</t>
        </is>
      </c>
      <c r="O39" t="inlineStr">
        <is>
          <t>20230929</t>
        </is>
      </c>
      <c r="P39" t="inlineStr">
        <is>
          <t>Riau</t>
        </is>
      </c>
      <c r="Q39" t="inlineStr"/>
    </row>
    <row r="40">
      <c r="A40" t="inlineStr">
        <is>
          <t>BIMA BERKAH MANDIRI</t>
        </is>
      </c>
      <c r="B40" t="inlineStr">
        <is>
          <t>Kab. Tuban</t>
        </is>
      </c>
      <c r="C40" t="inlineStr">
        <is>
          <t>081230942781</t>
        </is>
      </c>
      <c r="D40" t="inlineStr">
        <is>
          <t>wahyuanitasari68@gmail.com</t>
        </is>
      </c>
      <c r="E40" t="inlineStr">
        <is>
          <t>https://lpjk.pu.go.id/search-badan-usaha-detail/WUd0QWd3Q0pSbkVURnlHZ3ZNSjhGQT09</t>
        </is>
      </c>
      <c r="F40" t="n">
        <v>1</v>
      </c>
      <c r="G40" t="inlineStr">
        <is>
          <t>BG009</t>
        </is>
      </c>
      <c r="H40" t="inlineStr">
        <is>
          <t>22 Oktober 2014</t>
        </is>
      </c>
      <c r="I40" s="2" t="n">
        <v>46297</v>
      </c>
      <c r="J40" t="inlineStr">
        <is>
          <t>Disetujui</t>
        </is>
      </c>
      <c r="K40" t="n">
        <v>60</v>
      </c>
      <c r="L40" t="inlineStr">
        <is>
          <t>2 Oktober 2026</t>
        </is>
      </c>
      <c r="M40" t="inlineStr">
        <is>
          <t>Konstruksi Gedung Lainnya</t>
        </is>
      </c>
      <c r="N40" t="inlineStr">
        <is>
          <t>K</t>
        </is>
      </c>
      <c r="O40" t="inlineStr">
        <is>
          <t>20230930</t>
        </is>
      </c>
      <c r="P40" t="inlineStr">
        <is>
          <t>Jawa Timur</t>
        </is>
      </c>
      <c r="Q40" t="inlineStr"/>
    </row>
    <row r="41">
      <c r="A41" t="inlineStr">
        <is>
          <t>BINA KENCANA</t>
        </is>
      </c>
      <c r="B41" t="inlineStr">
        <is>
          <t>Kota Banjarbaru</t>
        </is>
      </c>
      <c r="C41" t="inlineStr">
        <is>
          <t>05114773880</t>
        </is>
      </c>
      <c r="D41" t="inlineStr">
        <is>
          <t>cv.bina_kencana13@yahoo.co.id</t>
        </is>
      </c>
      <c r="E41" t="inlineStr">
        <is>
          <t>https://lpjk.pu.go.id/search-badan-usaha-detail/ZXNpcXVCcGh2ODI0dTU0aXQ2aG5jdz09</t>
        </is>
      </c>
      <c r="F41" t="n">
        <v>2</v>
      </c>
      <c r="G41" t="inlineStr">
        <is>
          <t>BS004, BS005</t>
        </is>
      </c>
      <c r="H41" t="inlineStr">
        <is>
          <t>3 Mei 1982</t>
        </is>
      </c>
      <c r="I41" s="2" t="n">
        <v>46297</v>
      </c>
      <c r="J41" t="inlineStr">
        <is>
          <t>Disetujui</t>
        </is>
      </c>
      <c r="K41" t="n">
        <v>60</v>
      </c>
      <c r="L41" t="inlineStr">
        <is>
          <t>2 Oktober 2026</t>
        </is>
      </c>
      <c r="M41" t="inlineStr">
        <is>
          <t>Konstruksi Bangunan Sipil Pengolahan Air Bersih, Konstruksi Jaringan Irigasi dan Drainase</t>
        </is>
      </c>
      <c r="N41" t="inlineStr">
        <is>
          <t>K</t>
        </is>
      </c>
      <c r="O41" t="inlineStr">
        <is>
          <t>20230925</t>
        </is>
      </c>
      <c r="P41" t="inlineStr">
        <is>
          <t>Kalimantan Selatan</t>
        </is>
      </c>
      <c r="Q41" t="inlineStr"/>
    </row>
    <row r="42">
      <c r="A42" t="inlineStr">
        <is>
          <t>BINTANG INDONESIA SENTOSA</t>
        </is>
      </c>
      <c r="B42" t="inlineStr">
        <is>
          <t>Kab. Lumajang</t>
        </is>
      </c>
      <c r="C42" t="inlineStr">
        <is>
          <t>082139169369</t>
        </is>
      </c>
      <c r="D42" t="inlineStr">
        <is>
          <t>bisentosa73@gmail.com</t>
        </is>
      </c>
      <c r="E42" t="inlineStr">
        <is>
          <t>https://lpjk.pu.go.id/search-badan-usaha-detail/eU9SN2xmcFBnRkRjWHJ2ek12NjJmdz09</t>
        </is>
      </c>
      <c r="F42" t="n">
        <v>4</v>
      </c>
      <c r="G42" t="inlineStr">
        <is>
          <t>BG001</t>
        </is>
      </c>
      <c r="H42" t="inlineStr">
        <is>
          <t>25 April 2022</t>
        </is>
      </c>
      <c r="I42" s="2" t="n">
        <v>46297</v>
      </c>
      <c r="J42" t="inlineStr">
        <is>
          <t>Disetujui</t>
        </is>
      </c>
      <c r="K42" t="n">
        <v>60</v>
      </c>
      <c r="L42" t="inlineStr">
        <is>
          <t>2 Oktober 2026</t>
        </is>
      </c>
      <c r="M42" t="inlineStr">
        <is>
          <t>Konstruksi Gedung Hunian</t>
        </is>
      </c>
      <c r="N42" t="inlineStr">
        <is>
          <t>K</t>
        </is>
      </c>
      <c r="O42" t="inlineStr">
        <is>
          <t>20230922</t>
        </is>
      </c>
      <c r="P42" t="inlineStr">
        <is>
          <t>Jawa Timur</t>
        </is>
      </c>
      <c r="Q42" t="inlineStr"/>
    </row>
    <row r="43">
      <c r="A43" t="inlineStr">
        <is>
          <t>BINTANG MARAGA LINTAS MEDIA</t>
        </is>
      </c>
      <c r="B43" t="inlineStr">
        <is>
          <t>Kota Tangerang</t>
        </is>
      </c>
      <c r="C43" t="inlineStr">
        <is>
          <t>0816905771</t>
        </is>
      </c>
      <c r="D43" t="inlineStr">
        <is>
          <t>julians_wijaya@yahoo.co.id</t>
        </is>
      </c>
      <c r="E43" t="inlineStr">
        <is>
          <t>https://lpjk.pu.go.id/search-badan-usaha-detail/bU5HVElrWXJscm9ZZmxma3NTTUZhdz09</t>
        </is>
      </c>
      <c r="F43" t="n">
        <v>2</v>
      </c>
      <c r="G43" t="inlineStr">
        <is>
          <t>BS008</t>
        </is>
      </c>
      <c r="H43" t="inlineStr">
        <is>
          <t>27 Oktober 2009</t>
        </is>
      </c>
      <c r="I43" s="2" t="n">
        <v>46297</v>
      </c>
      <c r="J43" t="inlineStr">
        <is>
          <t>Disetujui</t>
        </is>
      </c>
      <c r="K43" t="n">
        <v>60</v>
      </c>
      <c r="L43" t="inlineStr">
        <is>
          <t>2 Oktober 2026</t>
        </is>
      </c>
      <c r="M43" t="inlineStr">
        <is>
          <t>Konstruksi Bangunan Sipil Telekomunikasi untuk Prasarana Transportasi</t>
        </is>
      </c>
      <c r="N43" t="inlineStr">
        <is>
          <t>K</t>
        </is>
      </c>
      <c r="O43" t="inlineStr">
        <is>
          <t>20230925</t>
        </is>
      </c>
      <c r="P43" t="inlineStr">
        <is>
          <t>Banten</t>
        </is>
      </c>
      <c r="Q43" t="inlineStr"/>
    </row>
    <row r="44">
      <c r="A44" t="inlineStr">
        <is>
          <t>BIRU</t>
        </is>
      </c>
      <c r="B44" t="inlineStr">
        <is>
          <t>Kab. Sigi</t>
        </is>
      </c>
      <c r="C44" t="inlineStr">
        <is>
          <t>08113589437</t>
        </is>
      </c>
      <c r="D44" t="inlineStr">
        <is>
          <t>biru_cv55@yahoo.com</t>
        </is>
      </c>
      <c r="E44" t="inlineStr">
        <is>
          <t>https://lpjk.pu.go.id/search-badan-usaha-detail/MHdtOEhaQ1lQZ2ZHMEw4dzJJY0VNdz09</t>
        </is>
      </c>
      <c r="F44" t="n">
        <v>3</v>
      </c>
      <c r="G44" t="inlineStr">
        <is>
          <t>BG006, BG009, BS001</t>
        </is>
      </c>
      <c r="H44" t="inlineStr">
        <is>
          <t>21 Desember 2001</t>
        </is>
      </c>
      <c r="I44" s="2" t="n">
        <v>46297</v>
      </c>
      <c r="J44" t="inlineStr">
        <is>
          <t>Disetujui</t>
        </is>
      </c>
      <c r="K44" t="n">
        <v>60</v>
      </c>
      <c r="L44" t="inlineStr">
        <is>
          <t>2 Oktober 2026</t>
        </is>
      </c>
      <c r="M44" t="inlineStr">
        <is>
          <t>Konstruksi Bangunan Sipil Jalan, Konstruksi Gedung Lainnya, Konstruksi Gedung Pendidikan</t>
        </is>
      </c>
      <c r="N44" t="inlineStr">
        <is>
          <t>K</t>
        </is>
      </c>
      <c r="O44" t="inlineStr">
        <is>
          <t>20230910</t>
        </is>
      </c>
      <c r="P44" t="inlineStr">
        <is>
          <t>Sulawesi Tengah</t>
        </is>
      </c>
      <c r="Q44" t="inlineStr"/>
    </row>
    <row r="45">
      <c r="A45" t="inlineStr">
        <is>
          <t>BONANZA</t>
        </is>
      </c>
      <c r="B45" t="inlineStr">
        <is>
          <t>Kab. Sumenep</t>
        </is>
      </c>
      <c r="C45" t="inlineStr">
        <is>
          <t>082324393030</t>
        </is>
      </c>
      <c r="D45" t="inlineStr">
        <is>
          <t>mohsyafii1207@gmail.com</t>
        </is>
      </c>
      <c r="E45" t="inlineStr">
        <is>
          <t>https://lpjk.pu.go.id/search-badan-usaha-detail/WC9Na0tzRXdqcVhBQWhUbk9SbWkvUT09</t>
        </is>
      </c>
      <c r="F45" t="n">
        <v>4</v>
      </c>
      <c r="G45" t="inlineStr">
        <is>
          <t>BS001, BS004</t>
        </is>
      </c>
      <c r="H45" t="inlineStr">
        <is>
          <t>23 Desember 2016</t>
        </is>
      </c>
      <c r="I45" s="2" t="n">
        <v>46297</v>
      </c>
      <c r="J45" t="inlineStr">
        <is>
          <t>Disetujui</t>
        </is>
      </c>
      <c r="K45" t="n">
        <v>60</v>
      </c>
      <c r="L45" t="inlineStr">
        <is>
          <t>2 Oktober 2026</t>
        </is>
      </c>
      <c r="M45" t="inlineStr">
        <is>
          <t>Konstruksi Bangunan Sipil Jalan, Konstruksi Jaringan Irigasi dan Drainase</t>
        </is>
      </c>
      <c r="N45" t="inlineStr">
        <is>
          <t>K</t>
        </is>
      </c>
      <c r="O45" t="inlineStr">
        <is>
          <t>20230926, 20230927</t>
        </is>
      </c>
      <c r="P45" t="inlineStr">
        <is>
          <t>Jawa Timur</t>
        </is>
      </c>
      <c r="Q45" t="inlineStr"/>
    </row>
    <row r="46">
      <c r="A46" t="inlineStr">
        <is>
          <t>BUANA BAHARI</t>
        </is>
      </c>
      <c r="B46" t="inlineStr">
        <is>
          <t>Kota Pare Pare</t>
        </is>
      </c>
      <c r="C46" t="inlineStr">
        <is>
          <t>085230797947</t>
        </is>
      </c>
      <c r="D46" t="inlineStr">
        <is>
          <t>junawing68@gmail.com</t>
        </is>
      </c>
      <c r="E46" t="inlineStr">
        <is>
          <t>https://lpjk.pu.go.id/search-badan-usaha-detail/ZlgrTmZIck5hVG80STRSa1h1MXR3UT09</t>
        </is>
      </c>
      <c r="F46" t="n">
        <v>1</v>
      </c>
      <c r="G46" t="inlineStr">
        <is>
          <t>BG005</t>
        </is>
      </c>
      <c r="H46" t="inlineStr">
        <is>
          <t>30 Mei 2006</t>
        </is>
      </c>
      <c r="I46" s="2" t="n">
        <v>46297</v>
      </c>
      <c r="J46" t="inlineStr">
        <is>
          <t>Disetujui</t>
        </is>
      </c>
      <c r="K46" t="n">
        <v>60</v>
      </c>
      <c r="L46" t="inlineStr">
        <is>
          <t>2 Oktober 2026</t>
        </is>
      </c>
      <c r="M46" t="inlineStr">
        <is>
          <t>Konstruksi Gedung Kesehatan</t>
        </is>
      </c>
      <c r="N46" t="inlineStr">
        <is>
          <t>K</t>
        </is>
      </c>
      <c r="O46" t="inlineStr">
        <is>
          <t>20231002</t>
        </is>
      </c>
      <c r="P46" t="inlineStr">
        <is>
          <t>Sulawesi Selatan</t>
        </is>
      </c>
      <c r="Q46" t="inlineStr"/>
    </row>
    <row r="47">
      <c r="A47" t="inlineStr">
        <is>
          <t>BUKIT SION</t>
        </is>
      </c>
      <c r="B47" t="inlineStr">
        <is>
          <t>Kota Pematangsiantar</t>
        </is>
      </c>
      <c r="C47" t="inlineStr">
        <is>
          <t>82272271005</t>
        </is>
      </c>
      <c r="D47" t="inlineStr">
        <is>
          <t>ud_filbertjaya@yahoo.com</t>
        </is>
      </c>
      <c r="E47" t="inlineStr">
        <is>
          <t>https://lpjk.pu.go.id/search-badan-usaha-detail/Vk9JYyt3cHhldEF6VFA3QUdVWjgzUT09</t>
        </is>
      </c>
      <c r="F47" t="n">
        <v>1</v>
      </c>
      <c r="G47" t="inlineStr">
        <is>
          <t>BG006</t>
        </is>
      </c>
      <c r="H47" t="inlineStr">
        <is>
          <t>30 Juli 2020</t>
        </is>
      </c>
      <c r="I47" s="2" t="n">
        <v>46297</v>
      </c>
      <c r="J47" t="inlineStr">
        <is>
          <t>Disetujui</t>
        </is>
      </c>
      <c r="K47" t="n">
        <v>60</v>
      </c>
      <c r="L47" t="inlineStr">
        <is>
          <t>2 Oktober 2026</t>
        </is>
      </c>
      <c r="M47" t="inlineStr">
        <is>
          <t>Konstruksi Gedung Pendidikan</t>
        </is>
      </c>
      <c r="N47" t="inlineStr">
        <is>
          <t>K</t>
        </is>
      </c>
      <c r="O47" t="inlineStr">
        <is>
          <t>20230926</t>
        </is>
      </c>
      <c r="P47" t="inlineStr">
        <is>
          <t>Sumatera Utara</t>
        </is>
      </c>
      <c r="Q47" t="inlineStr"/>
    </row>
    <row r="48">
      <c r="A48" t="inlineStr">
        <is>
          <t>BUMI PADJAJARAN</t>
        </is>
      </c>
      <c r="B48" t="inlineStr">
        <is>
          <t>Kota Sukabumi</t>
        </is>
      </c>
      <c r="C48" t="inlineStr">
        <is>
          <t>082262161985</t>
        </is>
      </c>
      <c r="D48" t="inlineStr">
        <is>
          <t>padjajaran.cv@gmail.com</t>
        </is>
      </c>
      <c r="E48" t="inlineStr">
        <is>
          <t>https://lpjk.pu.go.id/search-badan-usaha-detail/bFhXTjBBcWc2Q3BZSlJRKzY0VjF3dz09</t>
        </is>
      </c>
      <c r="F48" t="n">
        <v>1</v>
      </c>
      <c r="G48" t="inlineStr">
        <is>
          <t>BS004</t>
        </is>
      </c>
      <c r="H48" t="inlineStr">
        <is>
          <t>13 Februari 2014</t>
        </is>
      </c>
      <c r="I48" s="2" t="n">
        <v>46297</v>
      </c>
      <c r="J48" t="inlineStr">
        <is>
          <t>Disetujui</t>
        </is>
      </c>
      <c r="K48" t="n">
        <v>60</v>
      </c>
      <c r="L48" t="inlineStr">
        <is>
          <t>2 Oktober 2026</t>
        </is>
      </c>
      <c r="M48" t="inlineStr">
        <is>
          <t>Konstruksi Jaringan Irigasi dan Drainase</t>
        </is>
      </c>
      <c r="N48" t="inlineStr">
        <is>
          <t>K</t>
        </is>
      </c>
      <c r="O48" t="inlineStr">
        <is>
          <t>20230920</t>
        </is>
      </c>
      <c r="P48" t="inlineStr">
        <is>
          <t>Jawa Barat</t>
        </is>
      </c>
      <c r="Q48" t="inlineStr"/>
    </row>
    <row r="49">
      <c r="A49" t="inlineStr">
        <is>
          <t>BUMI SAMPIRAN</t>
        </is>
      </c>
      <c r="B49" t="inlineStr">
        <is>
          <t>Kab. Serang</t>
        </is>
      </c>
      <c r="C49" t="inlineStr">
        <is>
          <t>087771258117</t>
        </is>
      </c>
      <c r="D49" t="inlineStr">
        <is>
          <t>bumisampiran_Pt1@yahoo.com</t>
        </is>
      </c>
      <c r="E49" t="inlineStr">
        <is>
          <t>https://lpjk.pu.go.id/search-badan-usaha-detail/VXpmQy8wa24ram5XOGc2bEd2U3lqUT09</t>
        </is>
      </c>
      <c r="F49" t="n">
        <v>1</v>
      </c>
      <c r="G49" t="inlineStr">
        <is>
          <t>BS001</t>
        </is>
      </c>
      <c r="H49" t="inlineStr">
        <is>
          <t>28 April 2009</t>
        </is>
      </c>
      <c r="I49" s="2" t="n">
        <v>46297</v>
      </c>
      <c r="J49" t="inlineStr">
        <is>
          <t>Disetujui</t>
        </is>
      </c>
      <c r="K49" t="n">
        <v>60</v>
      </c>
      <c r="L49" t="inlineStr">
        <is>
          <t>2 Oktober 2026</t>
        </is>
      </c>
      <c r="M49" t="inlineStr">
        <is>
          <t>Konstruksi Bangunan Sipil Jalan</t>
        </is>
      </c>
      <c r="N49" t="inlineStr">
        <is>
          <t>K</t>
        </is>
      </c>
      <c r="O49" t="inlineStr">
        <is>
          <t>20221103</t>
        </is>
      </c>
      <c r="P49" t="inlineStr">
        <is>
          <t>Banten</t>
        </is>
      </c>
      <c r="Q49" t="inlineStr"/>
    </row>
    <row r="50">
      <c r="A50" t="inlineStr">
        <is>
          <t>CAHAYA ALAM JAYA MAKMUR</t>
        </is>
      </c>
      <c r="B50" t="inlineStr">
        <is>
          <t>Kota Bandar Lampung</t>
        </is>
      </c>
      <c r="C50" t="inlineStr">
        <is>
          <t>081369168686</t>
        </is>
      </c>
      <c r="D50" t="inlineStr">
        <is>
          <t>cvcahayaalamjayamakmur@gmail.com</t>
        </is>
      </c>
      <c r="E50" t="inlineStr">
        <is>
          <t>https://lpjk.pu.go.id/search-badan-usaha-detail/RGcxa3JyUGpVaGZmcmwrUDIyT3Jrdz09</t>
        </is>
      </c>
      <c r="F50" t="n">
        <v>2</v>
      </c>
      <c r="G50" t="inlineStr">
        <is>
          <t>BG002, BS004</t>
        </is>
      </c>
      <c r="H50" t="inlineStr">
        <is>
          <t>18 September 2023</t>
        </is>
      </c>
      <c r="I50" s="2" t="n">
        <v>46297</v>
      </c>
      <c r="J50" t="inlineStr">
        <is>
          <t>Disetujui</t>
        </is>
      </c>
      <c r="K50" t="n">
        <v>60</v>
      </c>
      <c r="L50" t="inlineStr">
        <is>
          <t>2 Oktober 2026</t>
        </is>
      </c>
      <c r="M50" t="inlineStr">
        <is>
          <t>Konstruksi Gedung Perkantoran, Konstruksi Jaringan Irigasi dan Drainase</t>
        </is>
      </c>
      <c r="N50" t="inlineStr">
        <is>
          <t>K</t>
        </is>
      </c>
      <c r="O50" t="inlineStr">
        <is>
          <t>20230919, 20230930</t>
        </is>
      </c>
      <c r="P50" t="inlineStr">
        <is>
          <t>Lampung</t>
        </is>
      </c>
      <c r="Q50" t="inlineStr"/>
    </row>
    <row r="51">
      <c r="A51" t="inlineStr">
        <is>
          <t>CAHAYA GEMILANG</t>
        </is>
      </c>
      <c r="B51" t="inlineStr">
        <is>
          <t>Kab. Lombok Barat</t>
        </is>
      </c>
      <c r="C51" t="inlineStr">
        <is>
          <t>081933151274</t>
        </is>
      </c>
      <c r="D51" t="inlineStr">
        <is>
          <t>cvcahayagemilang09@gmail.com</t>
        </is>
      </c>
      <c r="E51" t="inlineStr">
        <is>
          <t>https://lpjk.pu.go.id/search-badan-usaha-detail/U0h2WXZZQlhHR1pkQzR3QlIzM1F5dz09</t>
        </is>
      </c>
      <c r="F51" t="n">
        <v>2</v>
      </c>
      <c r="G51" t="inlineStr">
        <is>
          <t>BG001, BG009</t>
        </is>
      </c>
      <c r="H51" t="inlineStr">
        <is>
          <t>6 September 2023</t>
        </is>
      </c>
      <c r="I51" s="2" t="n">
        <v>46297</v>
      </c>
      <c r="J51" t="inlineStr">
        <is>
          <t>Disetujui</t>
        </is>
      </c>
      <c r="K51" t="n">
        <v>60</v>
      </c>
      <c r="L51" t="inlineStr">
        <is>
          <t>2 Oktober 2026</t>
        </is>
      </c>
      <c r="M51" t="inlineStr">
        <is>
          <t>Konstruksi Gedung Hunian, Konstruksi Gedung Lainnya</t>
        </is>
      </c>
      <c r="N51" t="inlineStr">
        <is>
          <t>K</t>
        </is>
      </c>
      <c r="O51" t="inlineStr">
        <is>
          <t>20230921, 20230925</t>
        </is>
      </c>
      <c r="P51" t="inlineStr">
        <is>
          <t>Nusa Tenggara Barat</t>
        </is>
      </c>
      <c r="Q51" t="inlineStr"/>
    </row>
    <row r="52">
      <c r="A52" t="inlineStr">
        <is>
          <t>CAHAYA SURYA</t>
        </is>
      </c>
      <c r="B52" t="inlineStr">
        <is>
          <t>Kab. Majene</t>
        </is>
      </c>
      <c r="C52" t="inlineStr">
        <is>
          <t>082182367979</t>
        </is>
      </c>
      <c r="D52" t="inlineStr">
        <is>
          <t>ilhamlaode1986@gmail.com</t>
        </is>
      </c>
      <c r="E52" t="inlineStr">
        <is>
          <t>https://lpjk.pu.go.id/search-badan-usaha-detail/Sm1nQTl4dlZNRUhsaWFCSXFvOG4rdz09</t>
        </is>
      </c>
      <c r="F52" t="n">
        <v>1</v>
      </c>
      <c r="G52" t="inlineStr">
        <is>
          <t>BS016</t>
        </is>
      </c>
      <c r="H52" t="inlineStr">
        <is>
          <t>18 November 1993</t>
        </is>
      </c>
      <c r="I52" s="2" t="n">
        <v>46297</v>
      </c>
      <c r="J52" t="inlineStr">
        <is>
          <t>Pencabutan</t>
        </is>
      </c>
      <c r="K52" t="n">
        <v>60</v>
      </c>
      <c r="L52" t="inlineStr">
        <is>
          <t>2 Oktober 2026</t>
        </is>
      </c>
      <c r="M52" t="inlineStr">
        <is>
          <t>Konstruksi Bangunan Sipil Fasilitas Olah Raga</t>
        </is>
      </c>
      <c r="N52" t="inlineStr">
        <is>
          <t>K</t>
        </is>
      </c>
      <c r="O52" t="inlineStr">
        <is>
          <t>20230930</t>
        </is>
      </c>
      <c r="P52" t="inlineStr">
        <is>
          <t>Sulawesi Barat</t>
        </is>
      </c>
      <c r="Q52" t="inlineStr"/>
    </row>
    <row r="53">
      <c r="A53" t="inlineStr">
        <is>
          <t>CAKRAWALA</t>
        </is>
      </c>
      <c r="B53" t="inlineStr">
        <is>
          <t>Kab. Tuban</t>
        </is>
      </c>
      <c r="C53" t="inlineStr">
        <is>
          <t>N/A</t>
        </is>
      </c>
      <c r="D53" t="inlineStr">
        <is>
          <t>N/A</t>
        </is>
      </c>
      <c r="E53" t="inlineStr">
        <is>
          <t>https://lpjk.pu.go.id/search-badan-usaha-detail/QTVXckNCOTlNY0VIWk5jTUgyYXg3QT09</t>
        </is>
      </c>
      <c r="F53" t="n">
        <v>1</v>
      </c>
      <c r="G53" t="inlineStr">
        <is>
          <t>BG001</t>
        </is>
      </c>
      <c r="H53" t="inlineStr"/>
      <c r="I53" s="2" t="n">
        <v>46297</v>
      </c>
      <c r="J53" t="inlineStr">
        <is>
          <t>Disetujui</t>
        </is>
      </c>
      <c r="K53" t="n">
        <v>60</v>
      </c>
      <c r="L53" t="inlineStr">
        <is>
          <t>2 Oktober 2026</t>
        </is>
      </c>
      <c r="M53" t="inlineStr">
        <is>
          <t>Konstruksi Gedung Hunian</t>
        </is>
      </c>
      <c r="N53" t="inlineStr">
        <is>
          <t>K</t>
        </is>
      </c>
      <c r="O53" t="inlineStr">
        <is>
          <t>20230927</t>
        </is>
      </c>
      <c r="P53" t="inlineStr">
        <is>
          <t>Jawa Timur</t>
        </is>
      </c>
      <c r="Q53" t="inlineStr"/>
    </row>
    <row r="54">
      <c r="A54" t="inlineStr">
        <is>
          <t>CITRA PERKASA</t>
        </is>
      </c>
      <c r="B54" t="inlineStr">
        <is>
          <t>Kab. Kulon Progo</t>
        </is>
      </c>
      <c r="C54" t="inlineStr">
        <is>
          <t>081215540298</t>
        </is>
      </c>
      <c r="D54" t="inlineStr">
        <is>
          <t>ervinsofiana77@gmail.com</t>
        </is>
      </c>
      <c r="E54" t="inlineStr">
        <is>
          <t>https://lpjk.pu.go.id/search-badan-usaha-detail/UHo2VlkwazIvRkJCTFBNclpjOFYwQT09</t>
        </is>
      </c>
      <c r="F54" t="n">
        <v>3</v>
      </c>
      <c r="G54" t="inlineStr">
        <is>
          <t>BS001</t>
        </is>
      </c>
      <c r="H54" t="inlineStr">
        <is>
          <t>22 Juni 2011</t>
        </is>
      </c>
      <c r="I54" s="2" t="n">
        <v>46297</v>
      </c>
      <c r="J54" t="inlineStr">
        <is>
          <t>Disetujui</t>
        </is>
      </c>
      <c r="K54" t="n">
        <v>60</v>
      </c>
      <c r="L54" t="inlineStr">
        <is>
          <t>2 Oktober 2026</t>
        </is>
      </c>
      <c r="M54" t="inlineStr">
        <is>
          <t>Konstruksi Bangunan Sipil Jalan</t>
        </is>
      </c>
      <c r="N54" t="inlineStr">
        <is>
          <t>K</t>
        </is>
      </c>
      <c r="O54" t="inlineStr">
        <is>
          <t>20231002</t>
        </is>
      </c>
      <c r="P54" t="inlineStr">
        <is>
          <t>DI Yogyakarta</t>
        </is>
      </c>
      <c r="Q54" t="inlineStr"/>
    </row>
    <row r="55">
      <c r="A55" t="inlineStr">
        <is>
          <t>CITRA PESONA</t>
        </is>
      </c>
      <c r="B55" t="inlineStr">
        <is>
          <t>Kota Semarang</t>
        </is>
      </c>
      <c r="C55" t="inlineStr">
        <is>
          <t>08112919796</t>
        </is>
      </c>
      <c r="D55" t="inlineStr">
        <is>
          <t>cv.citra.pesona789@gmail.com</t>
        </is>
      </c>
      <c r="E55" t="inlineStr">
        <is>
          <t>https://lpjk.pu.go.id/search-badan-usaha-detail/dHNUMlZEbG96NERuMFJUZUFrYmJqQT09</t>
        </is>
      </c>
      <c r="F55" t="n">
        <v>3</v>
      </c>
      <c r="G55" t="inlineStr">
        <is>
          <t>BG002, BG006, BG009</t>
        </is>
      </c>
      <c r="H55" t="inlineStr">
        <is>
          <t>4 Mei 2011</t>
        </is>
      </c>
      <c r="I55" s="2" t="n">
        <v>46297</v>
      </c>
      <c r="J55" t="inlineStr">
        <is>
          <t>Disetujui</t>
        </is>
      </c>
      <c r="K55" t="n">
        <v>60</v>
      </c>
      <c r="L55" t="inlineStr">
        <is>
          <t>2 Oktober 2026</t>
        </is>
      </c>
      <c r="M55" t="inlineStr">
        <is>
          <t>Konstruksi Gedung Lainnya, Konstruksi Gedung Pendidikan, Konstruksi Gedung Perkantoran</t>
        </is>
      </c>
      <c r="N55" t="inlineStr">
        <is>
          <t>K</t>
        </is>
      </c>
      <c r="O55" t="inlineStr">
        <is>
          <t>20230930</t>
        </is>
      </c>
      <c r="P55" t="inlineStr">
        <is>
          <t>Jawa Tengah</t>
        </is>
      </c>
      <c r="Q55" t="inlineStr"/>
    </row>
    <row r="56">
      <c r="A56" t="inlineStr">
        <is>
          <t>CITRA PRIMA</t>
        </is>
      </c>
      <c r="B56" t="inlineStr">
        <is>
          <t>Kab. Majene</t>
        </is>
      </c>
      <c r="C56" t="inlineStr">
        <is>
          <t>085824213201</t>
        </is>
      </c>
      <c r="D56" t="inlineStr">
        <is>
          <t>cvcitraprima616@gmail.com</t>
        </is>
      </c>
      <c r="E56" t="inlineStr">
        <is>
          <t>https://lpjk.pu.go.id/search-badan-usaha-detail/NGFWL05hSVV1ZGdtNHlzYTFCd1FLQT09</t>
        </is>
      </c>
      <c r="F56" t="n">
        <v>4</v>
      </c>
      <c r="G56" t="inlineStr">
        <is>
          <t>BG002, BG006, BS005, BS010</t>
        </is>
      </c>
      <c r="H56" t="inlineStr">
        <is>
          <t>17 Juli 2002</t>
        </is>
      </c>
      <c r="I56" s="2" t="n">
        <v>46297</v>
      </c>
      <c r="J56" t="inlineStr">
        <is>
          <t>Pencabutan</t>
        </is>
      </c>
      <c r="K56" t="n">
        <v>60</v>
      </c>
      <c r="L56" t="inlineStr">
        <is>
          <t>2 Oktober 2026</t>
        </is>
      </c>
      <c r="M56" t="inlineStr">
        <is>
          <t>Konstruksi Bangunan Prasarana Sumber Daya Air, Konstruksi Bangunan Sipil Pengolahan Air Bersih, Konstruksi Gedung Pendidikan, Konstruksi Gedung Perkantoran</t>
        </is>
      </c>
      <c r="N56" t="inlineStr">
        <is>
          <t>K</t>
        </is>
      </c>
      <c r="O56" t="inlineStr">
        <is>
          <t>20230929</t>
        </is>
      </c>
      <c r="P56" t="inlineStr">
        <is>
          <t>Sulawesi Barat</t>
        </is>
      </c>
      <c r="Q56" t="inlineStr"/>
    </row>
    <row r="57">
      <c r="A57" t="inlineStr">
        <is>
          <t>CITRA WANA ABADI</t>
        </is>
      </c>
      <c r="B57" t="inlineStr">
        <is>
          <t>Kab. Barito Kuala</t>
        </is>
      </c>
      <c r="C57" t="inlineStr">
        <is>
          <t>081348090410</t>
        </is>
      </c>
      <c r="D57" t="inlineStr">
        <is>
          <t>cvcitrawanaabadi@gmail.com</t>
        </is>
      </c>
      <c r="E57" t="inlineStr">
        <is>
          <t>https://lpjk.pu.go.id/search-badan-usaha-detail/dXk5bnRYWlpjS2VrRS95L1NUSEhKdz09</t>
        </is>
      </c>
      <c r="F57" t="n">
        <v>3</v>
      </c>
      <c r="G57" t="inlineStr">
        <is>
          <t>BS001, BS004</t>
        </is>
      </c>
      <c r="H57" t="inlineStr">
        <is>
          <t>9 Agustus 2023</t>
        </is>
      </c>
      <c r="I57" s="2" t="n">
        <v>46297</v>
      </c>
      <c r="J57" t="inlineStr">
        <is>
          <t>Disetujui</t>
        </is>
      </c>
      <c r="K57" t="n">
        <v>60</v>
      </c>
      <c r="L57" t="inlineStr">
        <is>
          <t>2 Oktober 2026</t>
        </is>
      </c>
      <c r="M57" t="inlineStr">
        <is>
          <t>Konstruksi Bangunan Sipil Jalan, Konstruksi Jaringan Irigasi dan Drainase</t>
        </is>
      </c>
      <c r="N57" t="inlineStr">
        <is>
          <t>K</t>
        </is>
      </c>
      <c r="O57" t="inlineStr">
        <is>
          <t>20230920, 20231002</t>
        </is>
      </c>
      <c r="P57" t="inlineStr">
        <is>
          <t>Kalimantan Selatan</t>
        </is>
      </c>
      <c r="Q57" t="inlineStr"/>
    </row>
    <row r="58">
      <c r="A58" t="inlineStr">
        <is>
          <t>DANATHREE JAYA</t>
        </is>
      </c>
      <c r="B58" t="inlineStr">
        <is>
          <t>Kab. Muara Enim</t>
        </is>
      </c>
      <c r="C58" t="inlineStr">
        <is>
          <t>085268022560</t>
        </is>
      </c>
      <c r="D58" t="inlineStr">
        <is>
          <t>danathreejaya@gmail.com</t>
        </is>
      </c>
      <c r="E58" t="inlineStr">
        <is>
          <t>https://lpjk.pu.go.id/search-badan-usaha-detail/VlpTSWFIaW5HSVhLQWNwcXZsZXBBdz09</t>
        </is>
      </c>
      <c r="F58" t="n">
        <v>3</v>
      </c>
      <c r="G58" t="inlineStr">
        <is>
          <t>BG006, BS001, BS004</t>
        </is>
      </c>
      <c r="H58" t="inlineStr">
        <is>
          <t>13 Agustus 2020</t>
        </is>
      </c>
      <c r="I58" s="2" t="n">
        <v>46297</v>
      </c>
      <c r="J58" t="inlineStr">
        <is>
          <t>Disetujui</t>
        </is>
      </c>
      <c r="K58" t="n">
        <v>60</v>
      </c>
      <c r="L58" t="inlineStr">
        <is>
          <t>2 Oktober 2026</t>
        </is>
      </c>
      <c r="M58" t="inlineStr">
        <is>
          <t>Konstruksi Bangunan Sipil Jalan, Konstruksi Gedung Pendidikan, Konstruksi Jaringan Irigasi dan Drainase</t>
        </is>
      </c>
      <c r="N58" t="inlineStr">
        <is>
          <t>K</t>
        </is>
      </c>
      <c r="O58" t="inlineStr">
        <is>
          <t>20230930</t>
        </is>
      </c>
      <c r="P58" t="inlineStr">
        <is>
          <t>Sumatera Selatan</t>
        </is>
      </c>
      <c r="Q58" t="inlineStr"/>
    </row>
    <row r="59">
      <c r="A59" t="inlineStr">
        <is>
          <t>DEKA JAYA SEJAHTERA</t>
        </is>
      </c>
      <c r="B59" t="inlineStr">
        <is>
          <t>Kab. Sidoarjo</t>
        </is>
      </c>
      <c r="C59" t="inlineStr">
        <is>
          <t>0317885720</t>
        </is>
      </c>
      <c r="D59" t="inlineStr">
        <is>
          <t>dekajayasejahtera@yahoo.com</t>
        </is>
      </c>
      <c r="E59" t="inlineStr">
        <is>
          <t>https://lpjk.pu.go.id/search-badan-usaha-detail/clJnMEpsZkZzR1RzWVE0K1ZMRUg1UT09</t>
        </is>
      </c>
      <c r="F59" t="n">
        <v>1</v>
      </c>
      <c r="G59" t="inlineStr">
        <is>
          <t>BG003</t>
        </is>
      </c>
      <c r="H59" t="inlineStr">
        <is>
          <t>5 April 2013</t>
        </is>
      </c>
      <c r="I59" s="2" t="n">
        <v>46297</v>
      </c>
      <c r="J59" t="inlineStr">
        <is>
          <t>Disetujui</t>
        </is>
      </c>
      <c r="K59" t="n">
        <v>60</v>
      </c>
      <c r="L59" t="inlineStr">
        <is>
          <t>2 Oktober 2026</t>
        </is>
      </c>
      <c r="M59" t="inlineStr">
        <is>
          <t>Konstruksi Gedung Industri</t>
        </is>
      </c>
      <c r="N59" t="inlineStr">
        <is>
          <t>K</t>
        </is>
      </c>
      <c r="O59" t="inlineStr">
        <is>
          <t>20230828</t>
        </is>
      </c>
      <c r="P59" t="inlineStr">
        <is>
          <t>Jawa Timur</t>
        </is>
      </c>
      <c r="Q59" t="inlineStr"/>
    </row>
    <row r="60">
      <c r="A60" t="inlineStr">
        <is>
          <t>DEWANTO CIPTA PRATAMA</t>
        </is>
      </c>
      <c r="B60" t="inlineStr">
        <is>
          <t>Kota Adm. Jakarta Pusat</t>
        </is>
      </c>
      <c r="C60" t="inlineStr">
        <is>
          <t>02142883114</t>
        </is>
      </c>
      <c r="D60" t="inlineStr">
        <is>
          <t>dewantocipta_pratama@yahoo.co.id</t>
        </is>
      </c>
      <c r="E60" t="inlineStr">
        <is>
          <t>https://lpjk.pu.go.id/search-badan-usaha-detail/ZEdzSnlnMTVaMVlZMTlTV2owNmpCUT09</t>
        </is>
      </c>
      <c r="F60" t="n">
        <v>1</v>
      </c>
      <c r="G60" t="inlineStr">
        <is>
          <t>BS001</t>
        </is>
      </c>
      <c r="H60" t="inlineStr">
        <is>
          <t>30 April 1997</t>
        </is>
      </c>
      <c r="I60" s="2" t="n">
        <v>46297</v>
      </c>
      <c r="J60" t="inlineStr">
        <is>
          <t>Pencabutan</t>
        </is>
      </c>
      <c r="K60" t="n">
        <v>60</v>
      </c>
      <c r="L60" t="inlineStr">
        <is>
          <t>2 Oktober 2026</t>
        </is>
      </c>
      <c r="M60" t="inlineStr">
        <is>
          <t>Konstruksi Bangunan Sipil Jalan</t>
        </is>
      </c>
      <c r="N60" t="inlineStr">
        <is>
          <t>B</t>
        </is>
      </c>
      <c r="O60" t="inlineStr">
        <is>
          <t>20230927</t>
        </is>
      </c>
      <c r="P60" t="inlineStr">
        <is>
          <t>DKI Jakarta</t>
        </is>
      </c>
      <c r="Q60" t="inlineStr"/>
    </row>
    <row r="61">
      <c r="A61" t="inlineStr">
        <is>
          <t>DEWATA KARYA</t>
        </is>
      </c>
      <c r="B61" t="inlineStr">
        <is>
          <t>Kab. Buleleng</t>
        </is>
      </c>
      <c r="C61" t="inlineStr">
        <is>
          <t>081337156165</t>
        </is>
      </c>
      <c r="D61" t="inlineStr">
        <is>
          <t>dewata_karya@yahoo.co.id</t>
        </is>
      </c>
      <c r="E61" t="inlineStr">
        <is>
          <t>https://lpjk.pu.go.id/search-badan-usaha-detail/WHV2OGhLT2M1T1N6bm5iNjV2aHBSdz09</t>
        </is>
      </c>
      <c r="F61" t="n">
        <v>2</v>
      </c>
      <c r="G61" t="inlineStr">
        <is>
          <t>BS001</t>
        </is>
      </c>
      <c r="H61" t="inlineStr">
        <is>
          <t>21 September 2007</t>
        </is>
      </c>
      <c r="I61" s="2" t="n">
        <v>46297</v>
      </c>
      <c r="J61" t="inlineStr">
        <is>
          <t>Disetujui</t>
        </is>
      </c>
      <c r="K61" t="n">
        <v>60</v>
      </c>
      <c r="L61" t="inlineStr">
        <is>
          <t>2 Oktober 2026</t>
        </is>
      </c>
      <c r="M61" t="inlineStr">
        <is>
          <t>Konstruksi Bangunan Sipil Jalan</t>
        </is>
      </c>
      <c r="N61" t="inlineStr">
        <is>
          <t>K</t>
        </is>
      </c>
      <c r="O61" t="inlineStr">
        <is>
          <t>20230921</t>
        </is>
      </c>
      <c r="P61" t="inlineStr">
        <is>
          <t>Bali</t>
        </is>
      </c>
      <c r="Q61" t="inlineStr"/>
    </row>
    <row r="62">
      <c r="A62" t="inlineStr">
        <is>
          <t>DIGDAYA KARYA MANDIRI</t>
        </is>
      </c>
      <c r="B62" t="inlineStr">
        <is>
          <t>Kota Adm. Jakarta Selatan</t>
        </is>
      </c>
      <c r="C62" t="inlineStr">
        <is>
          <t>087870118009</t>
        </is>
      </c>
      <c r="D62" t="inlineStr">
        <is>
          <t>digkarmandiri@gmail.com</t>
        </is>
      </c>
      <c r="E62" t="inlineStr">
        <is>
          <t>https://lpjk.pu.go.id/search-badan-usaha-detail/VTB5R2xGL1I1QUpCR1p5RkxTR0xBdz09</t>
        </is>
      </c>
      <c r="F62" t="n">
        <v>1</v>
      </c>
      <c r="G62" t="inlineStr">
        <is>
          <t>BG009</t>
        </is>
      </c>
      <c r="H62" t="inlineStr">
        <is>
          <t>22 Februari 2023</t>
        </is>
      </c>
      <c r="I62" s="2" t="n">
        <v>46297</v>
      </c>
      <c r="J62" t="inlineStr">
        <is>
          <t>Disetujui</t>
        </is>
      </c>
      <c r="K62" t="n">
        <v>60</v>
      </c>
      <c r="L62" t="inlineStr">
        <is>
          <t>2 Oktober 2026</t>
        </is>
      </c>
      <c r="M62" t="inlineStr">
        <is>
          <t>Konstruksi Gedung Lainnya</t>
        </is>
      </c>
      <c r="N62" t="inlineStr">
        <is>
          <t>K</t>
        </is>
      </c>
      <c r="O62" t="inlineStr">
        <is>
          <t>20230405</t>
        </is>
      </c>
      <c r="P62" t="inlineStr">
        <is>
          <t>DKI Jakarta</t>
        </is>
      </c>
      <c r="Q62" t="inlineStr"/>
    </row>
    <row r="63">
      <c r="A63" t="inlineStr">
        <is>
          <t>DIKA BERSAUDARA</t>
        </is>
      </c>
      <c r="B63" t="inlineStr">
        <is>
          <t>Kab. Bojonegoro</t>
        </is>
      </c>
      <c r="C63" t="inlineStr">
        <is>
          <t>082223719260</t>
        </is>
      </c>
      <c r="D63" t="inlineStr">
        <is>
          <t>dikabersaudara442@gmail.com</t>
        </is>
      </c>
      <c r="E63" t="inlineStr">
        <is>
          <t>https://lpjk.pu.go.id/search-badan-usaha-detail/UHI4Tk1LeUl1M2RJak96YjZyc0Z2UT09</t>
        </is>
      </c>
      <c r="F63" t="n">
        <v>1</v>
      </c>
      <c r="G63" t="inlineStr">
        <is>
          <t>BS002</t>
        </is>
      </c>
      <c r="H63" t="inlineStr">
        <is>
          <t>8 September 2022</t>
        </is>
      </c>
      <c r="I63" s="2" t="n">
        <v>46297</v>
      </c>
      <c r="J63" t="inlineStr">
        <is>
          <t>Disetujui</t>
        </is>
      </c>
      <c r="K63" t="n">
        <v>60</v>
      </c>
      <c r="L63" t="inlineStr">
        <is>
          <t>2 Oktober 2026</t>
        </is>
      </c>
      <c r="M63" t="inlineStr">
        <is>
          <t>Bangunan Sipil Jembatan, Jalan Layang, Fly Over, dan Underpass</t>
        </is>
      </c>
      <c r="N63" t="inlineStr">
        <is>
          <t>K</t>
        </is>
      </c>
      <c r="O63" t="inlineStr">
        <is>
          <t>20231003</t>
        </is>
      </c>
      <c r="P63" t="inlineStr">
        <is>
          <t>Jawa Timur</t>
        </is>
      </c>
      <c r="Q63" t="inlineStr"/>
    </row>
    <row r="64">
      <c r="A64" t="inlineStr">
        <is>
          <t>DUA PUTRA BELAYAN</t>
        </is>
      </c>
      <c r="B64" t="inlineStr">
        <is>
          <t>Kab. Kutai Kartanegara</t>
        </is>
      </c>
      <c r="C64" t="inlineStr">
        <is>
          <t>085210742563</t>
        </is>
      </c>
      <c r="D64" t="inlineStr">
        <is>
          <t>duaputrabelayan@gmail.com</t>
        </is>
      </c>
      <c r="E64" t="inlineStr">
        <is>
          <t>https://lpjk.pu.go.id/search-badan-usaha-detail/R2Fxa3hPS20xV3FHU1hNd0RoOGQrQT09</t>
        </is>
      </c>
      <c r="F64" t="n">
        <v>1</v>
      </c>
      <c r="G64" t="inlineStr">
        <is>
          <t>BS001</t>
        </is>
      </c>
      <c r="H64" t="inlineStr">
        <is>
          <t>3 Juli 2023</t>
        </is>
      </c>
      <c r="I64" s="2" t="n">
        <v>46297</v>
      </c>
      <c r="J64" t="inlineStr">
        <is>
          <t>Pencabutan</t>
        </is>
      </c>
      <c r="K64" t="n">
        <v>60</v>
      </c>
      <c r="L64" t="inlineStr">
        <is>
          <t>2 Oktober 2026</t>
        </is>
      </c>
      <c r="M64" t="inlineStr">
        <is>
          <t>Konstruksi Bangunan Sipil Jalan</t>
        </is>
      </c>
      <c r="N64" t="inlineStr">
        <is>
          <t>K</t>
        </is>
      </c>
      <c r="O64" t="inlineStr">
        <is>
          <t>20231002</t>
        </is>
      </c>
      <c r="P64" t="inlineStr">
        <is>
          <t>Kalimantan Timur</t>
        </is>
      </c>
      <c r="Q64" t="inlineStr"/>
    </row>
    <row r="65">
      <c r="A65" t="inlineStr">
        <is>
          <t>DUA SATU PRATAMA</t>
        </is>
      </c>
      <c r="B65" t="inlineStr">
        <is>
          <t>Kab. Hulu Sungai Selatan</t>
        </is>
      </c>
      <c r="C65" t="inlineStr">
        <is>
          <t>051721341</t>
        </is>
      </c>
      <c r="D65" t="inlineStr">
        <is>
          <t>duasatupratama1@gmail.com</t>
        </is>
      </c>
      <c r="E65" t="inlineStr">
        <is>
          <t>https://lpjk.pu.go.id/search-badan-usaha-detail/Q0ptQlovSStKbWp5c2czTkVyUTJhUT09</t>
        </is>
      </c>
      <c r="F65" t="n">
        <v>2</v>
      </c>
      <c r="G65" t="inlineStr">
        <is>
          <t>BG002, BG009</t>
        </is>
      </c>
      <c r="H65" t="inlineStr">
        <is>
          <t>9 Maret 2023</t>
        </is>
      </c>
      <c r="I65" s="2" t="n">
        <v>46297</v>
      </c>
      <c r="J65" t="inlineStr">
        <is>
          <t>Disetujui</t>
        </is>
      </c>
      <c r="K65" t="n">
        <v>60</v>
      </c>
      <c r="L65" t="inlineStr">
        <is>
          <t>2 Oktober 2026</t>
        </is>
      </c>
      <c r="M65" t="inlineStr">
        <is>
          <t>Konstruksi Gedung Lainnya, Konstruksi Gedung Perkantoran</t>
        </is>
      </c>
      <c r="N65" t="inlineStr">
        <is>
          <t>K</t>
        </is>
      </c>
      <c r="O65" t="inlineStr">
        <is>
          <t>20231001</t>
        </is>
      </c>
      <c r="P65" t="inlineStr">
        <is>
          <t>Kalimantan Selatan</t>
        </is>
      </c>
      <c r="Q65" t="inlineStr"/>
    </row>
    <row r="66">
      <c r="A66" t="inlineStr">
        <is>
          <t>DUTA CHAMPION UTAMA</t>
        </is>
      </c>
      <c r="B66" t="inlineStr">
        <is>
          <t>Kota Adm. Jakarta Pusat</t>
        </is>
      </c>
      <c r="C66" t="inlineStr">
        <is>
          <t>08161877589</t>
        </is>
      </c>
      <c r="D66" t="inlineStr">
        <is>
          <t>ctsh777@gmail.com</t>
        </is>
      </c>
      <c r="E66" t="inlineStr">
        <is>
          <t>https://lpjk.pu.go.id/search-badan-usaha-detail/Qm9EbUI0WEhoZlRpWVNJQkh3bFdsdz09</t>
        </is>
      </c>
      <c r="F66" t="n">
        <v>1</v>
      </c>
      <c r="G66" t="inlineStr">
        <is>
          <t>IN004</t>
        </is>
      </c>
      <c r="H66" t="inlineStr">
        <is>
          <t>3 Januari 2000</t>
        </is>
      </c>
      <c r="I66" s="2" t="n">
        <v>46297</v>
      </c>
      <c r="J66" t="inlineStr">
        <is>
          <t>Pembekuan</t>
        </is>
      </c>
      <c r="K66" t="n">
        <v>60</v>
      </c>
      <c r="L66" t="inlineStr">
        <is>
          <t>2 Oktober 2026</t>
        </is>
      </c>
      <c r="M66" t="inlineStr">
        <is>
          <t>Instalasi Minyak dan Gas</t>
        </is>
      </c>
      <c r="N66" t="inlineStr">
        <is>
          <t>Spesialis</t>
        </is>
      </c>
      <c r="O66" t="inlineStr">
        <is>
          <t>20230808</t>
        </is>
      </c>
      <c r="P66" t="inlineStr">
        <is>
          <t>DKI Jakarta</t>
        </is>
      </c>
      <c r="Q66" t="inlineStr"/>
    </row>
    <row r="67">
      <c r="A67" t="inlineStr">
        <is>
          <t>EKA CIPTA PERKASA</t>
        </is>
      </c>
      <c r="B67" t="inlineStr">
        <is>
          <t>Kota Pekalongan</t>
        </is>
      </c>
      <c r="C67" t="inlineStr">
        <is>
          <t>0816692255</t>
        </is>
      </c>
      <c r="D67" t="inlineStr">
        <is>
          <t>ekaciptaperkasacv@gmail.com</t>
        </is>
      </c>
      <c r="E67" t="inlineStr">
        <is>
          <t>https://lpjk.pu.go.id/search-badan-usaha-detail/KzZ5SmtOOS9SYzB5SEx4MFZ4b09OQT09</t>
        </is>
      </c>
      <c r="F67" t="n">
        <v>1</v>
      </c>
      <c r="G67" t="inlineStr">
        <is>
          <t>BG006</t>
        </is>
      </c>
      <c r="H67" t="inlineStr">
        <is>
          <t>12 Februari 2020</t>
        </is>
      </c>
      <c r="I67" s="2" t="n">
        <v>46297</v>
      </c>
      <c r="J67" t="inlineStr">
        <is>
          <t>Disetujui</t>
        </is>
      </c>
      <c r="K67" t="n">
        <v>60</v>
      </c>
      <c r="L67" t="inlineStr">
        <is>
          <t>2 Oktober 2026</t>
        </is>
      </c>
      <c r="M67" t="inlineStr">
        <is>
          <t>Konstruksi Gedung Pendidikan</t>
        </is>
      </c>
      <c r="N67" t="inlineStr">
        <is>
          <t>K</t>
        </is>
      </c>
      <c r="O67" t="inlineStr">
        <is>
          <t>20231003</t>
        </is>
      </c>
      <c r="P67" t="inlineStr">
        <is>
          <t>Jawa Tengah</t>
        </is>
      </c>
      <c r="Q67" t="inlineStr"/>
    </row>
    <row r="68">
      <c r="A68" t="inlineStr">
        <is>
          <t>EKA JAYA BAROKAH</t>
        </is>
      </c>
      <c r="B68" t="inlineStr">
        <is>
          <t>Kab. Klaten</t>
        </is>
      </c>
      <c r="C68" t="inlineStr">
        <is>
          <t>085842788879</t>
        </is>
      </c>
      <c r="D68" t="inlineStr">
        <is>
          <t>haribrijo123@gmail.com</t>
        </is>
      </c>
      <c r="E68" t="inlineStr">
        <is>
          <t>https://lpjk.pu.go.id/search-badan-usaha-detail/elkveC9BRUQzdXNvbFkvRHFVdXI3QT09</t>
        </is>
      </c>
      <c r="F68" t="n">
        <v>1</v>
      </c>
      <c r="G68" t="inlineStr">
        <is>
          <t>BG002</t>
        </is>
      </c>
      <c r="H68" t="inlineStr">
        <is>
          <t>31 Juli 2007</t>
        </is>
      </c>
      <c r="I68" s="2" t="n">
        <v>46297</v>
      </c>
      <c r="J68" t="inlineStr">
        <is>
          <t>Disetujui</t>
        </is>
      </c>
      <c r="K68" t="n">
        <v>60</v>
      </c>
      <c r="L68" t="inlineStr">
        <is>
          <t>2 Oktober 2026</t>
        </is>
      </c>
      <c r="M68" t="inlineStr">
        <is>
          <t>Konstruksi Gedung Perkantoran</t>
        </is>
      </c>
      <c r="N68" t="inlineStr">
        <is>
          <t>K</t>
        </is>
      </c>
      <c r="O68" t="inlineStr">
        <is>
          <t>20230929</t>
        </is>
      </c>
      <c r="P68" t="inlineStr">
        <is>
          <t>Jawa Tengah</t>
        </is>
      </c>
      <c r="Q68" t="inlineStr"/>
    </row>
    <row r="69">
      <c r="A69" t="inlineStr">
        <is>
          <t>EKO JAYA MAKMUR</t>
        </is>
      </c>
      <c r="B69" t="inlineStr">
        <is>
          <t>Kota Surabaya</t>
        </is>
      </c>
      <c r="C69" t="inlineStr">
        <is>
          <t>081357976444</t>
        </is>
      </c>
      <c r="D69" t="inlineStr">
        <is>
          <t>ekojayamakmursby@gmail.com</t>
        </is>
      </c>
      <c r="E69" t="inlineStr">
        <is>
          <t>https://lpjk.pu.go.id/search-badan-usaha-detail/TTZsRXNiTzhBV3NBM09tK2oxcC92dz09</t>
        </is>
      </c>
      <c r="F69" t="n">
        <v>1</v>
      </c>
      <c r="G69" t="inlineStr">
        <is>
          <t>BS001</t>
        </is>
      </c>
      <c r="H69" t="inlineStr">
        <is>
          <t>20 September 2023</t>
        </is>
      </c>
      <c r="I69" s="2" t="n">
        <v>46297</v>
      </c>
      <c r="J69" t="inlineStr">
        <is>
          <t>Disetujui</t>
        </is>
      </c>
      <c r="K69" t="n">
        <v>60</v>
      </c>
      <c r="L69" t="inlineStr">
        <is>
          <t>2 Oktober 2026</t>
        </is>
      </c>
      <c r="M69" t="inlineStr">
        <is>
          <t>Konstruksi Bangunan Sipil Jalan</t>
        </is>
      </c>
      <c r="N69" t="inlineStr">
        <is>
          <t>K</t>
        </is>
      </c>
      <c r="O69" t="inlineStr">
        <is>
          <t>20230930</t>
        </is>
      </c>
      <c r="P69" t="inlineStr">
        <is>
          <t>Jawa Timur</t>
        </is>
      </c>
      <c r="Q69" t="inlineStr"/>
    </row>
    <row r="70">
      <c r="A70" t="inlineStr">
        <is>
          <t>ESTU RAMA ABDI</t>
        </is>
      </c>
      <c r="B70" t="inlineStr">
        <is>
          <t>Kab. Mempawah</t>
        </is>
      </c>
      <c r="C70" t="inlineStr">
        <is>
          <t>085245548811</t>
        </is>
      </c>
      <c r="D70" t="inlineStr">
        <is>
          <t>esturamaabdi77@gmail.com</t>
        </is>
      </c>
      <c r="E70" t="inlineStr">
        <is>
          <t>https://lpjk.pu.go.id/search-badan-usaha-detail/ZEpabllqMTZFNTZJQnMvU2t5a0I5dz09</t>
        </is>
      </c>
      <c r="F70" t="n">
        <v>2</v>
      </c>
      <c r="G70" t="inlineStr">
        <is>
          <t>BG001, BG003</t>
        </is>
      </c>
      <c r="H70" t="inlineStr">
        <is>
          <t>26 Februari 2002</t>
        </is>
      </c>
      <c r="I70" s="2" t="n">
        <v>46297</v>
      </c>
      <c r="J70" t="inlineStr">
        <is>
          <t>Disetujui</t>
        </is>
      </c>
      <c r="K70" t="n">
        <v>60</v>
      </c>
      <c r="L70" t="inlineStr">
        <is>
          <t>2 Oktober 2026</t>
        </is>
      </c>
      <c r="M70" t="inlineStr">
        <is>
          <t>Konstruksi Gedung Hunian, Konstruksi Gedung Industri</t>
        </is>
      </c>
      <c r="N70" t="inlineStr">
        <is>
          <t>K</t>
        </is>
      </c>
      <c r="O70" t="inlineStr">
        <is>
          <t>20231003</t>
        </is>
      </c>
      <c r="P70" t="inlineStr">
        <is>
          <t>Kalimantan Barat</t>
        </is>
      </c>
      <c r="Q70" t="inlineStr"/>
    </row>
    <row r="71">
      <c r="A71" t="inlineStr">
        <is>
          <t>FAJAR</t>
        </is>
      </c>
      <c r="B71" t="inlineStr">
        <is>
          <t>Kab. Magetan</t>
        </is>
      </c>
      <c r="C71" t="inlineStr">
        <is>
          <t>081359909180</t>
        </is>
      </c>
      <c r="D71" t="inlineStr">
        <is>
          <t>selorejofajar15@gmail.com</t>
        </is>
      </c>
      <c r="E71" t="inlineStr">
        <is>
          <t>https://lpjk.pu.go.id/search-badan-usaha-detail/Nnc5MlNyRjU1RHpxQ05JSzFuQS9mdz09</t>
        </is>
      </c>
      <c r="F71" t="n">
        <v>2</v>
      </c>
      <c r="G71" t="inlineStr">
        <is>
          <t>BS001, BS004</t>
        </is>
      </c>
      <c r="H71" t="inlineStr">
        <is>
          <t>22 Juni 2012</t>
        </is>
      </c>
      <c r="I71" s="2" t="n">
        <v>46297</v>
      </c>
      <c r="J71" t="inlineStr">
        <is>
          <t>Disetujui</t>
        </is>
      </c>
      <c r="K71" t="n">
        <v>60</v>
      </c>
      <c r="L71" t="inlineStr">
        <is>
          <t>2 Oktober 2026</t>
        </is>
      </c>
      <c r="M71" t="inlineStr">
        <is>
          <t>Konstruksi Bangunan Sipil Jalan, Konstruksi Jaringan Irigasi dan Drainase</t>
        </is>
      </c>
      <c r="N71" t="inlineStr">
        <is>
          <t>K</t>
        </is>
      </c>
      <c r="O71" t="inlineStr">
        <is>
          <t>20230930</t>
        </is>
      </c>
      <c r="P71" t="inlineStr">
        <is>
          <t>Jawa Timur</t>
        </is>
      </c>
      <c r="Q71" t="inlineStr"/>
    </row>
    <row r="72">
      <c r="A72" t="inlineStr">
        <is>
          <t>FAJAR MULIA</t>
        </is>
      </c>
      <c r="B72" t="inlineStr">
        <is>
          <t>Kab. Tuban</t>
        </is>
      </c>
      <c r="C72" t="inlineStr">
        <is>
          <t>082234222576</t>
        </is>
      </c>
      <c r="D72" t="inlineStr">
        <is>
          <t>fajarmuliatbn.baru@gmail.com</t>
        </is>
      </c>
      <c r="E72" t="inlineStr">
        <is>
          <t>https://lpjk.pu.go.id/search-badan-usaha-detail/WmxMMGJ3RysrUlBkRkllUGNRUlhvZz09</t>
        </is>
      </c>
      <c r="F72" t="n">
        <v>1</v>
      </c>
      <c r="G72" t="inlineStr">
        <is>
          <t>BS002</t>
        </is>
      </c>
      <c r="H72" t="inlineStr">
        <is>
          <t>2 Februari 2012</t>
        </is>
      </c>
      <c r="I72" s="2" t="n">
        <v>46297</v>
      </c>
      <c r="J72" t="inlineStr">
        <is>
          <t>Pencabutan</t>
        </is>
      </c>
      <c r="K72" t="n">
        <v>60</v>
      </c>
      <c r="L72" t="inlineStr">
        <is>
          <t>2 Oktober 2026</t>
        </is>
      </c>
      <c r="M72" t="inlineStr">
        <is>
          <t>Bangunan Sipil Jembatan, Jalan Layang, Fly Over, dan Underpass</t>
        </is>
      </c>
      <c r="N72" t="inlineStr">
        <is>
          <t>K</t>
        </is>
      </c>
      <c r="O72" t="inlineStr">
        <is>
          <t>20230927</t>
        </is>
      </c>
      <c r="P72" t="inlineStr">
        <is>
          <t>Jawa Timur</t>
        </is>
      </c>
      <c r="Q72" t="inlineStr"/>
    </row>
    <row r="73">
      <c r="A73" t="inlineStr">
        <is>
          <t>FARIS CIPTA RAJASA</t>
        </is>
      </c>
      <c r="B73" t="inlineStr">
        <is>
          <t>Kab. Tangerang</t>
        </is>
      </c>
      <c r="C73" t="inlineStr">
        <is>
          <t>08128147613</t>
        </is>
      </c>
      <c r="D73" t="inlineStr">
        <is>
          <t>farisciptarajasa@gmail.com</t>
        </is>
      </c>
      <c r="E73" t="inlineStr">
        <is>
          <t>https://lpjk.pu.go.id/search-badan-usaha-detail/TnlBNTdBYXZlQW1VakJpMTEvNHR6QT09</t>
        </is>
      </c>
      <c r="F73" t="n">
        <v>2</v>
      </c>
      <c r="G73" t="inlineStr">
        <is>
          <t>BG002, BG005</t>
        </is>
      </c>
      <c r="H73" t="inlineStr">
        <is>
          <t>28 Januari 2015</t>
        </is>
      </c>
      <c r="I73" s="2" t="n">
        <v>46297</v>
      </c>
      <c r="J73" t="inlineStr">
        <is>
          <t>Disetujui</t>
        </is>
      </c>
      <c r="K73" t="n">
        <v>60</v>
      </c>
      <c r="L73" t="inlineStr">
        <is>
          <t>2 Oktober 2026</t>
        </is>
      </c>
      <c r="M73" t="inlineStr">
        <is>
          <t>Konstruksi Gedung Kesehatan, Konstruksi Gedung Perkantoran</t>
        </is>
      </c>
      <c r="N73" t="inlineStr">
        <is>
          <t>K</t>
        </is>
      </c>
      <c r="O73" t="inlineStr">
        <is>
          <t>20230930</t>
        </is>
      </c>
      <c r="P73" t="inlineStr">
        <is>
          <t>Banten</t>
        </is>
      </c>
      <c r="Q73" t="inlineStr"/>
    </row>
    <row r="74">
      <c r="A74" t="inlineStr">
        <is>
          <t>GAPURA ASTANA BATARA</t>
        </is>
      </c>
      <c r="B74" t="inlineStr">
        <is>
          <t>Kab. Maros</t>
        </is>
      </c>
      <c r="C74" t="inlineStr">
        <is>
          <t>085299149915</t>
        </is>
      </c>
      <c r="D74" t="inlineStr">
        <is>
          <t>cv.gapuraastanabatara@yahoo.co.id</t>
        </is>
      </c>
      <c r="E74" t="inlineStr">
        <is>
          <t>https://lpjk.pu.go.id/search-badan-usaha-detail/TVFmSEhrS0NwenRDQ0RvZ2crbWVxZz09</t>
        </is>
      </c>
      <c r="F74" t="n">
        <v>3</v>
      </c>
      <c r="G74" t="inlineStr">
        <is>
          <t>BG005, BG006, BG008</t>
        </is>
      </c>
      <c r="H74" t="inlineStr">
        <is>
          <t>12 April 2021</t>
        </is>
      </c>
      <c r="I74" s="2" t="n">
        <v>46297</v>
      </c>
      <c r="J74" t="inlineStr">
        <is>
          <t>Pencabutan</t>
        </is>
      </c>
      <c r="K74" t="n">
        <v>60</v>
      </c>
      <c r="L74" t="inlineStr">
        <is>
          <t>2 Oktober 2026</t>
        </is>
      </c>
      <c r="M74" t="inlineStr">
        <is>
          <t>Konstruksi Gedung Kesehatan, Konstruksi Gedung Pendidikan, Konstruksi Gedung Tempat Hiburan dan Olahraga</t>
        </is>
      </c>
      <c r="N74" t="inlineStr">
        <is>
          <t>K</t>
        </is>
      </c>
      <c r="O74" t="inlineStr">
        <is>
          <t>20230918</t>
        </is>
      </c>
      <c r="P74" t="inlineStr">
        <is>
          <t>Sulawesi Selatan</t>
        </is>
      </c>
      <c r="Q74" t="inlineStr"/>
    </row>
    <row r="75">
      <c r="A75" t="inlineStr">
        <is>
          <t>GELANTER GROUP</t>
        </is>
      </c>
      <c r="B75" t="inlineStr">
        <is>
          <t>Kab. Asahan</t>
        </is>
      </c>
      <c r="C75" t="inlineStr">
        <is>
          <t>08116712306</t>
        </is>
      </c>
      <c r="D75" t="inlineStr">
        <is>
          <t>cvgelantergroup@gmail.com</t>
        </is>
      </c>
      <c r="E75" t="inlineStr">
        <is>
          <t>https://lpjk.pu.go.id/search-badan-usaha-detail/OXVGZXMvd3VTbmp1R252a0E2dnZhdz09</t>
        </is>
      </c>
      <c r="F75" t="n">
        <v>1</v>
      </c>
      <c r="G75" t="inlineStr">
        <is>
          <t>BS004</t>
        </is>
      </c>
      <c r="H75" t="inlineStr">
        <is>
          <t>3 April 2023</t>
        </is>
      </c>
      <c r="I75" s="2" t="n">
        <v>46297</v>
      </c>
      <c r="J75" t="inlineStr">
        <is>
          <t>Pencabutan</t>
        </is>
      </c>
      <c r="K75" t="n">
        <v>60</v>
      </c>
      <c r="L75" t="inlineStr">
        <is>
          <t>2 Oktober 2026</t>
        </is>
      </c>
      <c r="M75" t="inlineStr">
        <is>
          <t>Konstruksi Jaringan Irigasi dan Drainase</t>
        </is>
      </c>
      <c r="N75" t="inlineStr">
        <is>
          <t>K</t>
        </is>
      </c>
      <c r="O75" t="inlineStr">
        <is>
          <t>20230928</t>
        </is>
      </c>
      <c r="P75" t="inlineStr">
        <is>
          <t>Sumatera Utara</t>
        </is>
      </c>
      <c r="Q75" t="inlineStr"/>
    </row>
    <row r="76">
      <c r="A76" t="inlineStr">
        <is>
          <t>GEOTECHNICAL SYSTEMINDO</t>
        </is>
      </c>
      <c r="B76" t="inlineStr">
        <is>
          <t>Kota Adm. Jakarta Selatan</t>
        </is>
      </c>
      <c r="C76" t="inlineStr">
        <is>
          <t>02183782609</t>
        </is>
      </c>
      <c r="D76" t="inlineStr">
        <is>
          <t>ga@ptgsi.com</t>
        </is>
      </c>
      <c r="E76" t="inlineStr">
        <is>
          <t>https://lpjk.pu.go.id/search-badan-usaha-detail/Mks1RVdwVUpZMnFiR1lnOHhpNkExdz09</t>
        </is>
      </c>
      <c r="F76" t="n">
        <v>1</v>
      </c>
      <c r="G76" t="inlineStr">
        <is>
          <t>BS004</t>
        </is>
      </c>
      <c r="H76" t="inlineStr">
        <is>
          <t>7 Oktober 2006</t>
        </is>
      </c>
      <c r="I76" s="2" t="n">
        <v>46297</v>
      </c>
      <c r="J76" t="inlineStr">
        <is>
          <t>Disetujui</t>
        </is>
      </c>
      <c r="K76" t="n">
        <v>60</v>
      </c>
      <c r="L76" t="inlineStr">
        <is>
          <t>2 Oktober 2026</t>
        </is>
      </c>
      <c r="M76" t="inlineStr">
        <is>
          <t>Konstruksi Jaringan Irigasi dan Drainase</t>
        </is>
      </c>
      <c r="N76" t="inlineStr">
        <is>
          <t>K</t>
        </is>
      </c>
      <c r="O76" t="inlineStr">
        <is>
          <t>20231003</t>
        </is>
      </c>
      <c r="P76" t="inlineStr">
        <is>
          <t>DKI Jakarta</t>
        </is>
      </c>
      <c r="Q76" t="inlineStr"/>
    </row>
    <row r="77">
      <c r="A77" t="inlineStr">
        <is>
          <t>GIRIMIYO</t>
        </is>
      </c>
      <c r="B77" t="inlineStr">
        <is>
          <t>Kab. Mappi</t>
        </is>
      </c>
      <c r="C77" t="inlineStr">
        <is>
          <t>082291190897</t>
        </is>
      </c>
      <c r="D77" t="inlineStr">
        <is>
          <t>girimiyocv@gmail.com</t>
        </is>
      </c>
      <c r="E77" t="inlineStr">
        <is>
          <t>https://lpjk.pu.go.id/search-badan-usaha-detail/Vys4YkU5UWsvRVBMT2d2aThOajRxUT09</t>
        </is>
      </c>
      <c r="F77" t="n">
        <v>1</v>
      </c>
      <c r="G77" t="inlineStr">
        <is>
          <t>BS001</t>
        </is>
      </c>
      <c r="H77" t="inlineStr">
        <is>
          <t>19 Maret 2021</t>
        </is>
      </c>
      <c r="I77" s="2" t="n">
        <v>46297</v>
      </c>
      <c r="J77" t="inlineStr">
        <is>
          <t>Disetujui</t>
        </is>
      </c>
      <c r="K77" t="n">
        <v>60</v>
      </c>
      <c r="L77" t="inlineStr">
        <is>
          <t>2 Oktober 2026</t>
        </is>
      </c>
      <c r="M77" t="inlineStr">
        <is>
          <t>Konstruksi Bangunan Sipil Jalan</t>
        </is>
      </c>
      <c r="N77" t="inlineStr">
        <is>
          <t>K</t>
        </is>
      </c>
      <c r="O77" t="inlineStr">
        <is>
          <t>20230907</t>
        </is>
      </c>
      <c r="P77" t="inlineStr">
        <is>
          <t>Papua</t>
        </is>
      </c>
      <c r="Q77" t="inlineStr"/>
    </row>
    <row r="78">
      <c r="A78" t="inlineStr">
        <is>
          <t>GLOBALINDO LINTAS SELARAS</t>
        </is>
      </c>
      <c r="B78" t="inlineStr">
        <is>
          <t>Kab. Sidoarjo</t>
        </is>
      </c>
      <c r="C78" t="inlineStr">
        <is>
          <t>082119227107</t>
        </is>
      </c>
      <c r="D78" t="inlineStr">
        <is>
          <t>globalindo.lintasselaras@gmail.com</t>
        </is>
      </c>
      <c r="E78" t="inlineStr">
        <is>
          <t>https://lpjk.pu.go.id/search-badan-usaha-detail/ZU1Leld4d0dTbldNL2JNRUZCZ1Q2dz09</t>
        </is>
      </c>
      <c r="F78" t="n">
        <v>2</v>
      </c>
      <c r="G78" t="inlineStr">
        <is>
          <t>BS009</t>
        </is>
      </c>
      <c r="H78" t="inlineStr">
        <is>
          <t>19 Februari 2019</t>
        </is>
      </c>
      <c r="I78" s="2" t="n">
        <v>46297</v>
      </c>
      <c r="J78" t="inlineStr">
        <is>
          <t>Disetujui</t>
        </is>
      </c>
      <c r="K78" t="n">
        <v>60</v>
      </c>
      <c r="L78" t="inlineStr">
        <is>
          <t>2 Oktober 2026</t>
        </is>
      </c>
      <c r="M78" t="inlineStr">
        <is>
          <t>Konstruksi Sentral Telekomunikasi</t>
        </is>
      </c>
      <c r="N78" t="inlineStr">
        <is>
          <t>K</t>
        </is>
      </c>
      <c r="O78" t="inlineStr">
        <is>
          <t>20230929</t>
        </is>
      </c>
      <c r="P78" t="inlineStr">
        <is>
          <t>Jawa Timur</t>
        </is>
      </c>
      <c r="Q78" t="inlineStr"/>
    </row>
    <row r="79">
      <c r="A79" t="inlineStr">
        <is>
          <t>GRAHA INTI KREASINDO</t>
        </is>
      </c>
      <c r="B79" t="inlineStr">
        <is>
          <t>Kota Adm. Jakarta Selatan</t>
        </is>
      </c>
      <c r="C79" t="inlineStr">
        <is>
          <t>02182850398</t>
        </is>
      </c>
      <c r="D79" t="inlineStr">
        <is>
          <t>grahaintikreasindo@gmail.com</t>
        </is>
      </c>
      <c r="E79" t="inlineStr">
        <is>
          <t>https://lpjk.pu.go.id/search-badan-usaha-detail/c1NRRHJPRFlLUzgyQjJXUFNLSm9YUT09</t>
        </is>
      </c>
      <c r="F79" t="n">
        <v>1</v>
      </c>
      <c r="G79" t="inlineStr">
        <is>
          <t>IN008</t>
        </is>
      </c>
      <c r="H79" t="inlineStr">
        <is>
          <t>30 Oktober 2013</t>
        </is>
      </c>
      <c r="I79" s="2" t="n">
        <v>46297</v>
      </c>
      <c r="J79" t="inlineStr">
        <is>
          <t>Disetujui</t>
        </is>
      </c>
      <c r="K79" t="n">
        <v>60</v>
      </c>
      <c r="L79" t="inlineStr">
        <is>
          <t>2 Oktober 2026</t>
        </is>
      </c>
      <c r="M79" t="inlineStr">
        <is>
          <t>Instalasi Pendingin Dan Ventilasi Udara</t>
        </is>
      </c>
      <c r="N79" t="inlineStr">
        <is>
          <t>Spesialis</t>
        </is>
      </c>
      <c r="O79" t="inlineStr">
        <is>
          <t>20230525</t>
        </is>
      </c>
      <c r="P79" t="inlineStr">
        <is>
          <t>DKI Jakarta</t>
        </is>
      </c>
      <c r="Q79" t="inlineStr"/>
    </row>
    <row r="80">
      <c r="A80" t="inlineStr">
        <is>
          <t>GRAHASINDO PRATAMA</t>
        </is>
      </c>
      <c r="B80" t="inlineStr">
        <is>
          <t>Kab. Bondowoso</t>
        </is>
      </c>
      <c r="C80" t="inlineStr">
        <is>
          <t>082228783413</t>
        </is>
      </c>
      <c r="D80" t="inlineStr">
        <is>
          <t>grahasindopratama@yahoo.com</t>
        </is>
      </c>
      <c r="E80" t="inlineStr">
        <is>
          <t>https://lpjk.pu.go.id/search-badan-usaha-detail/aEJkbFFlTXplQzBtN1VuZGhvbDNPQT09</t>
        </is>
      </c>
      <c r="F80" t="n">
        <v>5</v>
      </c>
      <c r="G80" t="inlineStr">
        <is>
          <t>BG002, BG005, BG006, BG008, BG009</t>
        </is>
      </c>
      <c r="H80" t="inlineStr">
        <is>
          <t>18 Oktober 2002</t>
        </is>
      </c>
      <c r="I80" s="2" t="n">
        <v>46297</v>
      </c>
      <c r="J80" t="inlineStr">
        <is>
          <t>Disetujui</t>
        </is>
      </c>
      <c r="K80" t="n">
        <v>60</v>
      </c>
      <c r="L80" t="inlineStr">
        <is>
          <t>2 Oktober 2026</t>
        </is>
      </c>
      <c r="M80" t="inlineStr">
        <is>
          <t>Konstruksi Gedung Kesehatan, Konstruksi Gedung Lainnya, Konstruksi Gedung Pendidikan, Konstruksi Gedung Perkantoran, Konstruksi Gedung Tempat Hiburan dan Olahraga</t>
        </is>
      </c>
      <c r="N80" t="inlineStr">
        <is>
          <t>K</t>
        </is>
      </c>
      <c r="O80" t="inlineStr">
        <is>
          <t>20231002</t>
        </is>
      </c>
      <c r="P80" t="inlineStr">
        <is>
          <t>Jawa Timur</t>
        </is>
      </c>
      <c r="Q80" t="inlineStr"/>
    </row>
    <row r="81">
      <c r="A81" t="inlineStr">
        <is>
          <t>GRHA BINTANG UTAMA</t>
        </is>
      </c>
      <c r="B81" t="inlineStr">
        <is>
          <t>Kota Adm. Jakarta Selatan</t>
        </is>
      </c>
      <c r="C81" t="inlineStr">
        <is>
          <t>02127098347</t>
        </is>
      </c>
      <c r="D81" t="inlineStr">
        <is>
          <t>pt.grhabintangutama@gmail.com</t>
        </is>
      </c>
      <c r="E81" t="inlineStr">
        <is>
          <t>https://lpjk.pu.go.id/search-badan-usaha-detail/cHFuT0doRXJFQStybmJBUEMwdGNGQT09</t>
        </is>
      </c>
      <c r="F81" t="n">
        <v>2</v>
      </c>
      <c r="G81" t="inlineStr">
        <is>
          <t>BS007, BS009</t>
        </is>
      </c>
      <c r="H81" t="inlineStr">
        <is>
          <t>5 Juni 2023</t>
        </is>
      </c>
      <c r="I81" s="2" t="n">
        <v>46297</v>
      </c>
      <c r="J81" t="inlineStr">
        <is>
          <t>Disetujui, Pencabutan</t>
        </is>
      </c>
      <c r="K81" t="n">
        <v>60</v>
      </c>
      <c r="L81" t="inlineStr">
        <is>
          <t>2 Oktober 2026</t>
        </is>
      </c>
      <c r="M81" t="inlineStr">
        <is>
          <t>Konstruksi Bangunan Sipil Elektrikal, Konstruksi Sentral Telekomunikasi</t>
        </is>
      </c>
      <c r="N81" t="inlineStr">
        <is>
          <t>K</t>
        </is>
      </c>
      <c r="O81" t="inlineStr">
        <is>
          <t>20230926</t>
        </is>
      </c>
      <c r="P81" t="inlineStr">
        <is>
          <t>DKI Jakarta</t>
        </is>
      </c>
      <c r="Q81" t="inlineStr"/>
    </row>
    <row r="82">
      <c r="A82" t="inlineStr">
        <is>
          <t>HADI JAYA</t>
        </is>
      </c>
      <c r="B82" t="inlineStr">
        <is>
          <t>Kab. Langkat</t>
        </is>
      </c>
      <c r="C82" t="inlineStr">
        <is>
          <t>081000000</t>
        </is>
      </c>
      <c r="D82" t="inlineStr">
        <is>
          <t>cv.hadijaya@yahoo.com</t>
        </is>
      </c>
      <c r="E82" t="inlineStr">
        <is>
          <t>https://lpjk.pu.go.id/search-badan-usaha-detail/eUkycXZzdFdtVHpXUzVxR3ZyNkVzUT09</t>
        </is>
      </c>
      <c r="F82" t="n">
        <v>1</v>
      </c>
      <c r="G82" t="inlineStr">
        <is>
          <t>BS001</t>
        </is>
      </c>
      <c r="H82" t="inlineStr">
        <is>
          <t>1 Februari 2010</t>
        </is>
      </c>
      <c r="I82" s="2" t="n">
        <v>46297</v>
      </c>
      <c r="J82" t="inlineStr">
        <is>
          <t>Disetujui</t>
        </is>
      </c>
      <c r="K82" t="n">
        <v>60</v>
      </c>
      <c r="L82" t="inlineStr">
        <is>
          <t>2 Oktober 2026</t>
        </is>
      </c>
      <c r="M82" t="inlineStr">
        <is>
          <t>Konstruksi Bangunan Sipil Jalan</t>
        </is>
      </c>
      <c r="N82" t="inlineStr">
        <is>
          <t>K</t>
        </is>
      </c>
      <c r="O82" t="inlineStr">
        <is>
          <t>20230930</t>
        </is>
      </c>
      <c r="P82" t="inlineStr">
        <is>
          <t>Sumatera Utara</t>
        </is>
      </c>
      <c r="Q82" t="inlineStr"/>
    </row>
    <row r="83">
      <c r="A83" t="inlineStr">
        <is>
          <t>HAMARAYA</t>
        </is>
      </c>
      <c r="B83" t="inlineStr">
        <is>
          <t>Kab. Bandung</t>
        </is>
      </c>
      <c r="C83" t="inlineStr">
        <is>
          <t>081214945339</t>
        </is>
      </c>
      <c r="D83" t="inlineStr">
        <is>
          <t>hamaraya@yahoo.com</t>
        </is>
      </c>
      <c r="E83" t="inlineStr">
        <is>
          <t>https://lpjk.pu.go.id/search-badan-usaha-detail/aTNjWDBrWEpEdU5nRVJUSmxEZ202QT09</t>
        </is>
      </c>
      <c r="F83" t="n">
        <v>3</v>
      </c>
      <c r="G83" t="inlineStr">
        <is>
          <t>BG006, BS005</t>
        </is>
      </c>
      <c r="H83" t="inlineStr">
        <is>
          <t>24 Januari 2020</t>
        </is>
      </c>
      <c r="I83" s="2" t="n">
        <v>46297</v>
      </c>
      <c r="J83" t="inlineStr">
        <is>
          <t>Disetujui</t>
        </is>
      </c>
      <c r="K83" t="n">
        <v>60</v>
      </c>
      <c r="L83" t="inlineStr">
        <is>
          <t>2 Oktober 2026</t>
        </is>
      </c>
      <c r="M83" t="inlineStr">
        <is>
          <t>Konstruksi Bangunan Sipil Pengolahan Air Bersih, Konstruksi Gedung Pendidikan</t>
        </is>
      </c>
      <c r="N83" t="inlineStr">
        <is>
          <t>K</t>
        </is>
      </c>
      <c r="O83" t="inlineStr">
        <is>
          <t>20231003</t>
        </is>
      </c>
      <c r="P83" t="inlineStr">
        <is>
          <t>Jawa Barat</t>
        </is>
      </c>
      <c r="Q83" t="inlineStr"/>
    </row>
    <row r="84">
      <c r="A84" t="inlineStr">
        <is>
          <t>INDO SUPLAI SENTOSA</t>
        </is>
      </c>
      <c r="B84" t="inlineStr">
        <is>
          <t>Kota Bandung</t>
        </is>
      </c>
      <c r="C84" t="inlineStr">
        <is>
          <t>082115500333</t>
        </is>
      </c>
      <c r="D84" t="inlineStr">
        <is>
          <t>indosuplaisentosa3@gmail.com</t>
        </is>
      </c>
      <c r="E84" t="inlineStr">
        <is>
          <t>https://lpjk.pu.go.id/search-badan-usaha-detail/WDN6VytzNERDemRaZ1lzcU9UL3V2dz09</t>
        </is>
      </c>
      <c r="F84" t="n">
        <v>2</v>
      </c>
      <c r="G84" t="inlineStr">
        <is>
          <t>BS001, BS004</t>
        </is>
      </c>
      <c r="H84" t="inlineStr">
        <is>
          <t>19 Agustus 2019</t>
        </is>
      </c>
      <c r="I84" s="2" t="n">
        <v>46297</v>
      </c>
      <c r="J84" t="inlineStr">
        <is>
          <t>Disetujui</t>
        </is>
      </c>
      <c r="K84" t="n">
        <v>60</v>
      </c>
      <c r="L84" t="inlineStr">
        <is>
          <t>2 Oktober 2026</t>
        </is>
      </c>
      <c r="M84" t="inlineStr">
        <is>
          <t>Konstruksi Bangunan Sipil Jalan, Konstruksi Jaringan Irigasi dan Drainase</t>
        </is>
      </c>
      <c r="N84" t="inlineStr">
        <is>
          <t>K</t>
        </is>
      </c>
      <c r="O84" t="inlineStr">
        <is>
          <t>20230929, 20230930</t>
        </is>
      </c>
      <c r="P84" t="inlineStr">
        <is>
          <t>Jawa Barat</t>
        </is>
      </c>
      <c r="Q84" t="inlineStr"/>
    </row>
    <row r="85">
      <c r="A85" t="inlineStr">
        <is>
          <t>INFRA SAHABAT SEJAHTERA</t>
        </is>
      </c>
      <c r="B85" t="inlineStr">
        <is>
          <t>Kota Medan</t>
        </is>
      </c>
      <c r="C85" t="inlineStr">
        <is>
          <t>081396464613</t>
        </is>
      </c>
      <c r="D85" t="inlineStr">
        <is>
          <t>infrasahabatsejahtera@gmail.com</t>
        </is>
      </c>
      <c r="E85" t="inlineStr">
        <is>
          <t>https://lpjk.pu.go.id/search-badan-usaha-detail/TTJIMGRNOWZ3MTRRZFM3MWtDU3hHdz09</t>
        </is>
      </c>
      <c r="F85" t="n">
        <v>2</v>
      </c>
      <c r="G85" t="inlineStr">
        <is>
          <t>BG001, BG006</t>
        </is>
      </c>
      <c r="H85" t="inlineStr">
        <is>
          <t>10 Februari 2022</t>
        </is>
      </c>
      <c r="I85" s="2" t="n">
        <v>46297</v>
      </c>
      <c r="J85" t="inlineStr">
        <is>
          <t>Disetujui</t>
        </is>
      </c>
      <c r="K85" t="n">
        <v>60</v>
      </c>
      <c r="L85" t="inlineStr">
        <is>
          <t>2 Oktober 2026</t>
        </is>
      </c>
      <c r="M85" t="inlineStr">
        <is>
          <t>Konstruksi Gedung Hunian, Konstruksi Gedung Pendidikan</t>
        </is>
      </c>
      <c r="N85" t="inlineStr">
        <is>
          <t>K</t>
        </is>
      </c>
      <c r="O85" t="inlineStr">
        <is>
          <t>20230920</t>
        </is>
      </c>
      <c r="P85" t="inlineStr">
        <is>
          <t>Sumatera Utara</t>
        </is>
      </c>
      <c r="Q85" t="inlineStr"/>
    </row>
    <row r="86">
      <c r="A86" t="inlineStr">
        <is>
          <t>INSANI ABADI</t>
        </is>
      </c>
      <c r="B86" t="inlineStr">
        <is>
          <t>Kota Tanjung Pinang</t>
        </is>
      </c>
      <c r="C86" t="inlineStr">
        <is>
          <t>085264492352</t>
        </is>
      </c>
      <c r="D86" t="inlineStr">
        <is>
          <t>insaniabadi@yahoo.co.id</t>
        </is>
      </c>
      <c r="E86" t="inlineStr">
        <is>
          <t>https://lpjk.pu.go.id/search-badan-usaha-detail/aUpNd0xrZGx2U2kxVElaaGd4TjhWQT09</t>
        </is>
      </c>
      <c r="F86" t="n">
        <v>2</v>
      </c>
      <c r="G86" t="inlineStr">
        <is>
          <t>BS001</t>
        </is>
      </c>
      <c r="H86" t="inlineStr">
        <is>
          <t>18 Februari 2003</t>
        </is>
      </c>
      <c r="I86" s="2" t="n">
        <v>46297</v>
      </c>
      <c r="J86" t="inlineStr">
        <is>
          <t>Disetujui</t>
        </is>
      </c>
      <c r="K86" t="n">
        <v>60</v>
      </c>
      <c r="L86" t="inlineStr">
        <is>
          <t>2 Oktober 2026</t>
        </is>
      </c>
      <c r="M86" t="inlineStr">
        <is>
          <t>Konstruksi Bangunan Sipil Jalan</t>
        </is>
      </c>
      <c r="N86" t="inlineStr">
        <is>
          <t>K</t>
        </is>
      </c>
      <c r="O86" t="inlineStr">
        <is>
          <t>20230927</t>
        </is>
      </c>
      <c r="P86" t="inlineStr">
        <is>
          <t>Kepulauan Riau</t>
        </is>
      </c>
      <c r="Q86" t="inlineStr"/>
    </row>
    <row r="87">
      <c r="A87" t="inlineStr">
        <is>
          <t>INTAN KARYA MANDIRI</t>
        </is>
      </c>
      <c r="B87" t="inlineStr">
        <is>
          <t>Kab. Jember</t>
        </is>
      </c>
      <c r="C87" t="inlineStr">
        <is>
          <t>0331486640</t>
        </is>
      </c>
      <c r="D87" t="inlineStr">
        <is>
          <t>ikm.indonesia@yahoo.co.id</t>
        </is>
      </c>
      <c r="E87" t="inlineStr">
        <is>
          <t>https://lpjk.pu.go.id/search-badan-usaha-detail/QWN6MEdsKytPL2FuZGtBZlUxVmxXUT09</t>
        </is>
      </c>
      <c r="F87" t="n">
        <v>1</v>
      </c>
      <c r="G87" t="inlineStr">
        <is>
          <t>BS002</t>
        </is>
      </c>
      <c r="H87" t="inlineStr">
        <is>
          <t>6 Januari 2007</t>
        </is>
      </c>
      <c r="I87" s="2" t="n">
        <v>46297</v>
      </c>
      <c r="J87" t="inlineStr">
        <is>
          <t>Disetujui</t>
        </is>
      </c>
      <c r="K87" t="n">
        <v>60</v>
      </c>
      <c r="L87" t="inlineStr">
        <is>
          <t>2 Oktober 2026</t>
        </is>
      </c>
      <c r="M87" t="inlineStr">
        <is>
          <t>Bangunan Sipil Jembatan, Jalan Layang, Fly Over, dan Underpass</t>
        </is>
      </c>
      <c r="N87" t="inlineStr">
        <is>
          <t>K</t>
        </is>
      </c>
      <c r="O87" t="inlineStr">
        <is>
          <t>20230927</t>
        </is>
      </c>
      <c r="P87" t="inlineStr">
        <is>
          <t>Jawa Timur</t>
        </is>
      </c>
      <c r="Q87" t="inlineStr"/>
    </row>
    <row r="88">
      <c r="A88" t="inlineStr">
        <is>
          <t>IRSAN</t>
        </is>
      </c>
      <c r="B88" t="inlineStr">
        <is>
          <t>Kab. Kulon Progo</t>
        </is>
      </c>
      <c r="C88" t="inlineStr">
        <is>
          <t>0274775286</t>
        </is>
      </c>
      <c r="D88" t="inlineStr">
        <is>
          <t>cv.irsan@gmail.com</t>
        </is>
      </c>
      <c r="E88" t="inlineStr">
        <is>
          <t>https://lpjk.pu.go.id/search-badan-usaha-detail/Q05HT0JNTFNVaEpkcFBUckczYVltUT09</t>
        </is>
      </c>
      <c r="F88" t="n">
        <v>1</v>
      </c>
      <c r="G88" t="inlineStr">
        <is>
          <t>BS001</t>
        </is>
      </c>
      <c r="H88" t="inlineStr">
        <is>
          <t>16 Juli 1997</t>
        </is>
      </c>
      <c r="I88" s="2" t="n">
        <v>46297</v>
      </c>
      <c r="J88" t="inlineStr">
        <is>
          <t>Disetujui</t>
        </is>
      </c>
      <c r="K88" t="n">
        <v>60</v>
      </c>
      <c r="L88" t="inlineStr">
        <is>
          <t>2 Oktober 2026</t>
        </is>
      </c>
      <c r="M88" t="inlineStr">
        <is>
          <t>Konstruksi Bangunan Sipil Jalan</t>
        </is>
      </c>
      <c r="N88" t="inlineStr">
        <is>
          <t>K</t>
        </is>
      </c>
      <c r="O88" t="inlineStr">
        <is>
          <t>20230911</t>
        </is>
      </c>
      <c r="P88" t="inlineStr">
        <is>
          <t>DI Yogyakarta</t>
        </is>
      </c>
      <c r="Q88" t="inlineStr"/>
    </row>
    <row r="89">
      <c r="A89" t="inlineStr">
        <is>
          <t>JAYA SAMPURNA ABADI</t>
        </is>
      </c>
      <c r="B89" t="inlineStr">
        <is>
          <t>Kota Palembang</t>
        </is>
      </c>
      <c r="C89" t="inlineStr">
        <is>
          <t>082183966766</t>
        </is>
      </c>
      <c r="D89" t="inlineStr">
        <is>
          <t>jayasampurnabadi@yahoo.com</t>
        </is>
      </c>
      <c r="E89" t="inlineStr">
        <is>
          <t>https://lpjk.pu.go.id/search-badan-usaha-detail/a3pHL2pkNXlpdzhWM1ZWaTdEdXd1dz09</t>
        </is>
      </c>
      <c r="F89" t="n">
        <v>1</v>
      </c>
      <c r="G89" t="inlineStr">
        <is>
          <t>BS001</t>
        </is>
      </c>
      <c r="H89" t="inlineStr">
        <is>
          <t>27 Juli 2016</t>
        </is>
      </c>
      <c r="I89" s="2" t="n">
        <v>46297</v>
      </c>
      <c r="J89" t="inlineStr">
        <is>
          <t>Pencabutan</t>
        </is>
      </c>
      <c r="K89" t="n">
        <v>60</v>
      </c>
      <c r="L89" t="inlineStr">
        <is>
          <t>2 Oktober 2026</t>
        </is>
      </c>
      <c r="M89" t="inlineStr">
        <is>
          <t>Konstruksi Bangunan Sipil Jalan</t>
        </is>
      </c>
      <c r="N89" t="inlineStr">
        <is>
          <t>K</t>
        </is>
      </c>
      <c r="O89" t="inlineStr">
        <is>
          <t>20230928</t>
        </is>
      </c>
      <c r="P89" t="inlineStr">
        <is>
          <t>Sumatera Selatan</t>
        </is>
      </c>
      <c r="Q89" t="inlineStr"/>
    </row>
    <row r="90">
      <c r="A90" t="inlineStr">
        <is>
          <t>KALIMANTAN AGUNG PERKASA</t>
        </is>
      </c>
      <c r="B90" t="inlineStr">
        <is>
          <t>Kota Bontang</t>
        </is>
      </c>
      <c r="C90" t="inlineStr">
        <is>
          <t>0811580797</t>
        </is>
      </c>
      <c r="D90" t="inlineStr">
        <is>
          <t>cvkalimantanintiteknik@gmail.com</t>
        </is>
      </c>
      <c r="E90" t="inlineStr">
        <is>
          <t>https://lpjk.pu.go.id/search-badan-usaha-detail/WllOaUtsbmdEaGQwcFgzNEx4RU5Ddz09</t>
        </is>
      </c>
      <c r="F90" t="n">
        <v>2</v>
      </c>
      <c r="G90" t="inlineStr">
        <is>
          <t>BG009</t>
        </is>
      </c>
      <c r="H90" t="inlineStr">
        <is>
          <t>21 September 2006</t>
        </is>
      </c>
      <c r="I90" s="2" t="n">
        <v>46297</v>
      </c>
      <c r="J90" t="inlineStr">
        <is>
          <t>Disetujui</t>
        </is>
      </c>
      <c r="K90" t="n">
        <v>60</v>
      </c>
      <c r="L90" t="inlineStr">
        <is>
          <t>2 Oktober 2026</t>
        </is>
      </c>
      <c r="M90" t="inlineStr">
        <is>
          <t>Konstruksi Gedung Lainnya</t>
        </is>
      </c>
      <c r="N90" t="inlineStr">
        <is>
          <t>K</t>
        </is>
      </c>
      <c r="O90" t="inlineStr">
        <is>
          <t>20230926</t>
        </is>
      </c>
      <c r="P90" t="inlineStr">
        <is>
          <t>Kalimantan Timur</t>
        </is>
      </c>
      <c r="Q90" t="inlineStr"/>
    </row>
    <row r="91">
      <c r="A91" t="inlineStr">
        <is>
          <t>KALIMUTU MITRA PERKASA</t>
        </is>
      </c>
      <c r="B91" t="inlineStr">
        <is>
          <t>Kota Adm. Jakarta Barat</t>
        </is>
      </c>
      <c r="C91" t="inlineStr">
        <is>
          <t>02156960197</t>
        </is>
      </c>
      <c r="D91" t="inlineStr">
        <is>
          <t>sales@kalimutu.com</t>
        </is>
      </c>
      <c r="E91" t="inlineStr">
        <is>
          <t>https://lpjk.pu.go.id/search-badan-usaha-detail/dUVDT1hGS2RxWWIya0p1VndXS3Vrdz09</t>
        </is>
      </c>
      <c r="F91" t="n">
        <v>1</v>
      </c>
      <c r="G91" t="inlineStr">
        <is>
          <t>BG001</t>
        </is>
      </c>
      <c r="H91" t="inlineStr">
        <is>
          <t>2 April 2007</t>
        </is>
      </c>
      <c r="I91" s="2" t="n">
        <v>46297</v>
      </c>
      <c r="J91" t="inlineStr">
        <is>
          <t>Disetujui</t>
        </is>
      </c>
      <c r="K91" t="n">
        <v>60</v>
      </c>
      <c r="L91" t="inlineStr">
        <is>
          <t>2 Oktober 2026</t>
        </is>
      </c>
      <c r="M91" t="inlineStr">
        <is>
          <t>Konstruksi Gedung Hunian</t>
        </is>
      </c>
      <c r="N91" t="inlineStr">
        <is>
          <t>K</t>
        </is>
      </c>
      <c r="O91" t="inlineStr">
        <is>
          <t>20230825</t>
        </is>
      </c>
      <c r="P91" t="inlineStr">
        <is>
          <t>DKI Jakarta</t>
        </is>
      </c>
      <c r="Q91" t="inlineStr"/>
    </row>
    <row r="92">
      <c r="A92" t="inlineStr">
        <is>
          <t>KARYA LANGGENG</t>
        </is>
      </c>
      <c r="B92" t="inlineStr">
        <is>
          <t>Kab. Mojokerto</t>
        </is>
      </c>
      <c r="C92" t="inlineStr">
        <is>
          <t>082151691480</t>
        </is>
      </c>
      <c r="D92" t="inlineStr">
        <is>
          <t>arissafirotulf.ks115@gmail.com</t>
        </is>
      </c>
      <c r="E92" t="inlineStr">
        <is>
          <t>https://lpjk.pu.go.id/search-badan-usaha-detail/SEI4dmpCQ0NUck5kV3pPaUdIZzc5UT09</t>
        </is>
      </c>
      <c r="F92" t="n">
        <v>1</v>
      </c>
      <c r="G92" t="inlineStr">
        <is>
          <t>BG009</t>
        </is>
      </c>
      <c r="H92" t="inlineStr">
        <is>
          <t>4 Agustus 2012</t>
        </is>
      </c>
      <c r="I92" s="2" t="n">
        <v>46297</v>
      </c>
      <c r="J92" t="inlineStr">
        <is>
          <t>Disetujui</t>
        </is>
      </c>
      <c r="K92" t="n">
        <v>60</v>
      </c>
      <c r="L92" t="inlineStr">
        <is>
          <t>2 Oktober 2026</t>
        </is>
      </c>
      <c r="M92" t="inlineStr">
        <is>
          <t>Konstruksi Gedung Lainnya</t>
        </is>
      </c>
      <c r="N92" t="inlineStr">
        <is>
          <t>K</t>
        </is>
      </c>
      <c r="O92" t="inlineStr">
        <is>
          <t>20230929</t>
        </is>
      </c>
      <c r="P92" t="inlineStr">
        <is>
          <t>Jawa Timur</t>
        </is>
      </c>
      <c r="Q92" t="inlineStr"/>
    </row>
    <row r="93">
      <c r="A93" t="inlineStr">
        <is>
          <t>KARYA MANDIRI KONTRUKSI</t>
        </is>
      </c>
      <c r="B93" t="inlineStr">
        <is>
          <t>Kota Padang</t>
        </is>
      </c>
      <c r="C93" t="inlineStr">
        <is>
          <t>081363141712</t>
        </is>
      </c>
      <c r="D93" t="inlineStr">
        <is>
          <t>ptkaryamandirikontruksi@gmail.com</t>
        </is>
      </c>
      <c r="E93" t="inlineStr">
        <is>
          <t>https://lpjk.pu.go.id/search-badan-usaha-detail/cnJLUW9LTWt5SFdBblBHRS9uKzVDUT09</t>
        </is>
      </c>
      <c r="F93" t="n">
        <v>1</v>
      </c>
      <c r="G93" t="inlineStr">
        <is>
          <t>BG005</t>
        </is>
      </c>
      <c r="H93" t="inlineStr">
        <is>
          <t>18 Juli 2023</t>
        </is>
      </c>
      <c r="I93" s="2" t="n">
        <v>46297</v>
      </c>
      <c r="J93" t="inlineStr">
        <is>
          <t>Disetujui</t>
        </is>
      </c>
      <c r="K93" t="n">
        <v>60</v>
      </c>
      <c r="L93" t="inlineStr">
        <is>
          <t>2 Oktober 2026</t>
        </is>
      </c>
      <c r="M93" t="inlineStr">
        <is>
          <t>Konstruksi Gedung Kesehatan</t>
        </is>
      </c>
      <c r="N93" t="inlineStr">
        <is>
          <t>K</t>
        </is>
      </c>
      <c r="O93" t="inlineStr">
        <is>
          <t>20230922</t>
        </is>
      </c>
      <c r="P93" t="inlineStr">
        <is>
          <t>Sumatera Barat</t>
        </is>
      </c>
      <c r="Q93" t="inlineStr"/>
    </row>
    <row r="94">
      <c r="A94" t="inlineStr">
        <is>
          <t>KARYA PENA MAS</t>
        </is>
      </c>
      <c r="B94" t="inlineStr">
        <is>
          <t>Kab. Labuhanbatu</t>
        </is>
      </c>
      <c r="C94" t="inlineStr">
        <is>
          <t>081362434007</t>
        </is>
      </c>
      <c r="D94" t="inlineStr">
        <is>
          <t>ttony7204@gmail.com</t>
        </is>
      </c>
      <c r="E94" t="inlineStr">
        <is>
          <t>https://lpjk.pu.go.id/search-badan-usaha-detail/ODVia2Ivanp2dHZidnlzUUJWc0FBdz09</t>
        </is>
      </c>
      <c r="F94" t="n">
        <v>1</v>
      </c>
      <c r="G94" t="inlineStr">
        <is>
          <t>BG001</t>
        </is>
      </c>
      <c r="H94" t="inlineStr">
        <is>
          <t>26 Mei 2003</t>
        </is>
      </c>
      <c r="I94" s="2" t="n">
        <v>46297</v>
      </c>
      <c r="J94" t="inlineStr">
        <is>
          <t>Disetujui</t>
        </is>
      </c>
      <c r="K94" t="n">
        <v>60</v>
      </c>
      <c r="L94" t="inlineStr">
        <is>
          <t>2 Oktober 2026</t>
        </is>
      </c>
      <c r="M94" t="inlineStr">
        <is>
          <t>Konstruksi Gedung Hunian</t>
        </is>
      </c>
      <c r="N94" t="inlineStr">
        <is>
          <t>K</t>
        </is>
      </c>
      <c r="O94" t="inlineStr">
        <is>
          <t>20230929</t>
        </is>
      </c>
      <c r="P94" t="inlineStr">
        <is>
          <t>Sumatera Utara</t>
        </is>
      </c>
      <c r="Q94" t="inlineStr"/>
    </row>
    <row r="95">
      <c r="A95" t="inlineStr">
        <is>
          <t>KARYA SEJATI MANDIRI</t>
        </is>
      </c>
      <c r="B95" t="inlineStr">
        <is>
          <t>Kab. Gresik</t>
        </is>
      </c>
      <c r="C95" t="inlineStr">
        <is>
          <t>081331902478</t>
        </is>
      </c>
      <c r="D95" t="inlineStr">
        <is>
          <t>karyasm_cv@yahoo.com</t>
        </is>
      </c>
      <c r="E95" t="inlineStr">
        <is>
          <t>https://lpjk.pu.go.id/search-badan-usaha-detail/bi9RRzhSbEJ6MkpjdGpPMjkvU0ZQQT09</t>
        </is>
      </c>
      <c r="F95" t="n">
        <v>1</v>
      </c>
      <c r="G95" t="inlineStr">
        <is>
          <t>BS001</t>
        </is>
      </c>
      <c r="H95" t="inlineStr">
        <is>
          <t>10 Juni 2020</t>
        </is>
      </c>
      <c r="I95" s="2" t="n">
        <v>46297</v>
      </c>
      <c r="J95" t="inlineStr">
        <is>
          <t>Pencabutan</t>
        </is>
      </c>
      <c r="K95" t="n">
        <v>60</v>
      </c>
      <c r="L95" t="inlineStr">
        <is>
          <t>2 Oktober 2026</t>
        </is>
      </c>
      <c r="M95" t="inlineStr">
        <is>
          <t>Konstruksi Bangunan Sipil Jalan</t>
        </is>
      </c>
      <c r="N95" t="inlineStr">
        <is>
          <t>K</t>
        </is>
      </c>
      <c r="O95" t="inlineStr">
        <is>
          <t>20230830</t>
        </is>
      </c>
      <c r="P95" t="inlineStr">
        <is>
          <t>Jawa Timur</t>
        </is>
      </c>
      <c r="Q95" t="inlineStr"/>
    </row>
    <row r="96">
      <c r="A96" t="inlineStr">
        <is>
          <t>KARYA SOLUSI CONSULTANT</t>
        </is>
      </c>
      <c r="B96" t="inlineStr">
        <is>
          <t>Kota Bontang</t>
        </is>
      </c>
      <c r="C96" t="inlineStr">
        <is>
          <t>05483552017</t>
        </is>
      </c>
      <c r="D96" t="inlineStr">
        <is>
          <t>ksc.karyamandiri@gmail.com</t>
        </is>
      </c>
      <c r="E96" t="inlineStr">
        <is>
          <t>https://lpjk.pu.go.id/search-badan-usaha-detail/MlNFek83Mkk4cDJTMHFOa25kVTh4Zz09</t>
        </is>
      </c>
      <c r="F96" t="n">
        <v>3</v>
      </c>
      <c r="G96" t="inlineStr">
        <is>
          <t>RK001, RK002, RK003</t>
        </is>
      </c>
      <c r="H96" t="inlineStr">
        <is>
          <t>29 Januari 2020</t>
        </is>
      </c>
      <c r="I96" s="2" t="n">
        <v>46297</v>
      </c>
      <c r="J96" t="inlineStr">
        <is>
          <t>Disetujui</t>
        </is>
      </c>
      <c r="K96" t="n">
        <v>60</v>
      </c>
      <c r="L96" t="inlineStr">
        <is>
          <t>2 Oktober 2026</t>
        </is>
      </c>
      <c r="M96" t="inlineStr">
        <is>
          <t>Jasa Rekayasa Konstruksi Bangunan Gedung Hunian dan Non Hunian, Jasa Rekayasa Pekerjaan Teknik Sipil Sumber Daya Air, Jasa Rekayasa Pekerjaan Teknik Sipil Transportasi</t>
        </is>
      </c>
      <c r="N96" t="inlineStr">
        <is>
          <t>K</t>
        </is>
      </c>
      <c r="O96" t="inlineStr">
        <is>
          <t>20230920</t>
        </is>
      </c>
      <c r="P96" t="inlineStr">
        <is>
          <t>Kalimantan Timur</t>
        </is>
      </c>
      <c r="Q96" t="inlineStr"/>
    </row>
    <row r="97">
      <c r="A97" t="inlineStr">
        <is>
          <t>KARYA SUKSES PERSADA</t>
        </is>
      </c>
      <c r="B97" t="inlineStr">
        <is>
          <t>Kab. Ketapang</t>
        </is>
      </c>
      <c r="C97" t="inlineStr">
        <is>
          <t>081347443392</t>
        </is>
      </c>
      <c r="D97" t="inlineStr">
        <is>
          <t>persadakaryasukses@gmail.com</t>
        </is>
      </c>
      <c r="E97" t="inlineStr">
        <is>
          <t>https://lpjk.pu.go.id/search-badan-usaha-detail/M25OSFdGOTZpSGhSbUJwdnNjN043dz09</t>
        </is>
      </c>
      <c r="F97" t="n">
        <v>1</v>
      </c>
      <c r="G97" t="inlineStr">
        <is>
          <t>BS001</t>
        </is>
      </c>
      <c r="H97" t="inlineStr">
        <is>
          <t>4 Februari 2025</t>
        </is>
      </c>
      <c r="I97" s="2" t="n">
        <v>46297</v>
      </c>
      <c r="J97" t="inlineStr">
        <is>
          <t>Disetujui</t>
        </is>
      </c>
      <c r="K97" t="n">
        <v>60</v>
      </c>
      <c r="L97" t="inlineStr">
        <is>
          <t>2 Oktober 2026</t>
        </is>
      </c>
      <c r="M97" t="inlineStr">
        <is>
          <t>Konstruksi Bangunan Sipil Jalan</t>
        </is>
      </c>
      <c r="N97" t="inlineStr">
        <is>
          <t>K</t>
        </is>
      </c>
      <c r="O97" t="inlineStr">
        <is>
          <t>20231002</t>
        </is>
      </c>
      <c r="P97" t="inlineStr">
        <is>
          <t>Kalimantan Barat</t>
        </is>
      </c>
      <c r="Q97" t="inlineStr"/>
    </row>
    <row r="98">
      <c r="A98" t="inlineStr">
        <is>
          <t>KARYA UTAMA</t>
        </is>
      </c>
      <c r="B98" t="inlineStr">
        <is>
          <t>Kab. Bulungan</t>
        </is>
      </c>
      <c r="C98" t="inlineStr">
        <is>
          <t>08125408320</t>
        </is>
      </c>
      <c r="D98" t="inlineStr">
        <is>
          <t>KARYA8UTAMA@GMAIL.COM</t>
        </is>
      </c>
      <c r="E98" t="inlineStr">
        <is>
          <t>https://lpjk.pu.go.id/search-badan-usaha-detail/ZFgrYnIwUXpGS0RhU2RxcFc4QVRYdz09</t>
        </is>
      </c>
      <c r="F98" t="n">
        <v>1</v>
      </c>
      <c r="G98" t="inlineStr">
        <is>
          <t>BG006</t>
        </is>
      </c>
      <c r="H98" t="inlineStr">
        <is>
          <t>21 Desember 2002</t>
        </is>
      </c>
      <c r="I98" s="2" t="n">
        <v>46297</v>
      </c>
      <c r="J98" t="inlineStr">
        <is>
          <t>Disetujui</t>
        </is>
      </c>
      <c r="K98" t="n">
        <v>60</v>
      </c>
      <c r="L98" t="inlineStr">
        <is>
          <t>2 Oktober 2026</t>
        </is>
      </c>
      <c r="M98" t="inlineStr">
        <is>
          <t>Konstruksi Gedung Pendidikan</t>
        </is>
      </c>
      <c r="N98" t="inlineStr">
        <is>
          <t>K</t>
        </is>
      </c>
      <c r="O98" t="inlineStr">
        <is>
          <t>20230201</t>
        </is>
      </c>
      <c r="P98" t="inlineStr">
        <is>
          <t>Kalimantan Utara</t>
        </is>
      </c>
      <c r="Q98" t="inlineStr"/>
    </row>
    <row r="99">
      <c r="A99" t="inlineStr">
        <is>
          <t>KEMBANG NAILA PRATAMA</t>
        </is>
      </c>
      <c r="B99" t="inlineStr">
        <is>
          <t>Kota Pontianak</t>
        </is>
      </c>
      <c r="C99" t="inlineStr">
        <is>
          <t>081345221409</t>
        </is>
      </c>
      <c r="D99" t="inlineStr">
        <is>
          <t>kembangnailapratama46@gmail.com</t>
        </is>
      </c>
      <c r="E99" t="inlineStr">
        <is>
          <t>https://lpjk.pu.go.id/search-badan-usaha-detail/Z3pjcWVmNmordm9oM1NHSThCdjJiZz09</t>
        </is>
      </c>
      <c r="F99" t="n">
        <v>4</v>
      </c>
      <c r="G99" t="inlineStr">
        <is>
          <t>BG002, BG005, BG006, BS001</t>
        </is>
      </c>
      <c r="H99" t="inlineStr">
        <is>
          <t>31 Oktober 2008</t>
        </is>
      </c>
      <c r="I99" s="2" t="n">
        <v>46297</v>
      </c>
      <c r="J99" t="inlineStr">
        <is>
          <t>Disetujui</t>
        </is>
      </c>
      <c r="K99" t="n">
        <v>60</v>
      </c>
      <c r="L99" t="inlineStr">
        <is>
          <t>2 Oktober 2026</t>
        </is>
      </c>
      <c r="M99" t="inlineStr">
        <is>
          <t>Konstruksi Bangunan Sipil Jalan, Konstruksi Gedung Kesehatan, Konstruksi Gedung Pendidikan, Konstruksi Gedung Perkantoran</t>
        </is>
      </c>
      <c r="N99" t="inlineStr">
        <is>
          <t>K</t>
        </is>
      </c>
      <c r="O99" t="inlineStr">
        <is>
          <t>20230927</t>
        </is>
      </c>
      <c r="P99" t="inlineStr">
        <is>
          <t>Kalimantan Barat</t>
        </is>
      </c>
      <c r="Q99" t="inlineStr"/>
    </row>
    <row r="100">
      <c r="A100" t="inlineStr">
        <is>
          <t>KOLEGA EKSTERIOR INTERIOR</t>
        </is>
      </c>
      <c r="B100" t="inlineStr">
        <is>
          <t>Kab. Paser</t>
        </is>
      </c>
      <c r="C100" t="inlineStr">
        <is>
          <t>085248841018</t>
        </is>
      </c>
      <c r="D100" t="inlineStr">
        <is>
          <t>kolegaeksteriorinterior@gmail.com</t>
        </is>
      </c>
      <c r="E100" t="inlineStr">
        <is>
          <t>https://lpjk.pu.go.id/search-badan-usaha-detail/NFI5UHNERjdwUDg2ZG1oQzNOc1RxUT09</t>
        </is>
      </c>
      <c r="F100" t="n">
        <v>1</v>
      </c>
      <c r="G100" t="inlineStr">
        <is>
          <t>PB004</t>
        </is>
      </c>
      <c r="H100" t="inlineStr">
        <is>
          <t>15 September 2023</t>
        </is>
      </c>
      <c r="I100" s="2" t="n">
        <v>46297</v>
      </c>
      <c r="J100" t="inlineStr">
        <is>
          <t>Pembekuan</t>
        </is>
      </c>
      <c r="K100" t="n">
        <v>60</v>
      </c>
      <c r="L100" t="inlineStr">
        <is>
          <t>2 Oktober 2026</t>
        </is>
      </c>
      <c r="M100" t="inlineStr">
        <is>
          <t>Dekorasi Interior</t>
        </is>
      </c>
      <c r="N100" t="inlineStr">
        <is>
          <t>Spesialis</t>
        </is>
      </c>
      <c r="O100" t="inlineStr">
        <is>
          <t>20231003</t>
        </is>
      </c>
      <c r="P100" t="inlineStr">
        <is>
          <t>Kalimantan Timur</t>
        </is>
      </c>
      <c r="Q100" t="inlineStr"/>
    </row>
    <row r="101">
      <c r="A101" t="inlineStr">
        <is>
          <t>KRISNA SURYA KALIMANTAN</t>
        </is>
      </c>
      <c r="B101" t="inlineStr">
        <is>
          <t>Kota Palangkaraya</t>
        </is>
      </c>
      <c r="C101" t="inlineStr">
        <is>
          <t>085252841563</t>
        </is>
      </c>
      <c r="D101" t="inlineStr">
        <is>
          <t>krisnasuryakalimantan@gmail.com</t>
        </is>
      </c>
      <c r="E101" t="inlineStr">
        <is>
          <t>https://lpjk.pu.go.id/search-badan-usaha-detail/N25SZXNWekZEb2MrQmI1d3RJQThaUT09</t>
        </is>
      </c>
      <c r="F101" t="n">
        <v>6</v>
      </c>
      <c r="G101" t="inlineStr">
        <is>
          <t>BG001, BG002, BG005, BG006, BG009, BS004</t>
        </is>
      </c>
      <c r="H101" t="inlineStr">
        <is>
          <t>22 Mei 2023</t>
        </is>
      </c>
      <c r="I101" s="2" t="n">
        <v>46297</v>
      </c>
      <c r="J101" t="inlineStr">
        <is>
          <t>Disetujui</t>
        </is>
      </c>
      <c r="K101" t="n">
        <v>60</v>
      </c>
      <c r="L101" t="inlineStr">
        <is>
          <t>2 Oktober 2026</t>
        </is>
      </c>
      <c r="M101" t="inlineStr">
        <is>
          <t>Konstruksi Gedung Hunian, Konstruksi Gedung Kesehatan, Konstruksi Gedung Lainnya, Konstruksi Gedung Pendidikan, Konstruksi Gedung Perkantoran, Konstruksi Jaringan Irigasi dan Drainase</t>
        </is>
      </c>
      <c r="N101" t="inlineStr">
        <is>
          <t>K</t>
        </is>
      </c>
      <c r="O101" t="inlineStr">
        <is>
          <t>20230929</t>
        </is>
      </c>
      <c r="P101" t="inlineStr">
        <is>
          <t>Kalimantan Tengah</t>
        </is>
      </c>
      <c r="Q101" t="inlineStr"/>
    </row>
    <row r="102">
      <c r="A102" t="inlineStr">
        <is>
          <t>LANGGENG JAYA</t>
        </is>
      </c>
      <c r="B102" t="inlineStr">
        <is>
          <t>Kota Magelang</t>
        </is>
      </c>
      <c r="C102" t="inlineStr">
        <is>
          <t>N/A</t>
        </is>
      </c>
      <c r="D102" t="inlineStr">
        <is>
          <t>N/A</t>
        </is>
      </c>
      <c r="E102" t="inlineStr">
        <is>
          <t>https://lpjk.pu.go.id/search-badan-usaha-detail/eWtIODgvYmltOHpodUQyalN4SGhpZz09</t>
        </is>
      </c>
      <c r="F102" t="n">
        <v>1</v>
      </c>
      <c r="G102" t="inlineStr">
        <is>
          <t>BS004</t>
        </is>
      </c>
      <c r="H102" t="inlineStr"/>
      <c r="I102" s="2" t="n">
        <v>46297</v>
      </c>
      <c r="J102" t="inlineStr">
        <is>
          <t>Disetujui</t>
        </is>
      </c>
      <c r="K102" t="n">
        <v>60</v>
      </c>
      <c r="L102" t="inlineStr">
        <is>
          <t>2 Oktober 2026</t>
        </is>
      </c>
      <c r="M102" t="inlineStr">
        <is>
          <t>Konstruksi Jaringan Irigasi dan Drainase</t>
        </is>
      </c>
      <c r="N102" t="inlineStr">
        <is>
          <t>K</t>
        </is>
      </c>
      <c r="O102" t="inlineStr">
        <is>
          <t>20230929</t>
        </is>
      </c>
      <c r="P102" t="inlineStr">
        <is>
          <t>Jawa Tengah</t>
        </is>
      </c>
      <c r="Q102" t="inlineStr"/>
    </row>
    <row r="103">
      <c r="A103" t="inlineStr">
        <is>
          <t>LINGGAJATI</t>
        </is>
      </c>
      <c r="B103" t="inlineStr">
        <is>
          <t>Kota Malang</t>
        </is>
      </c>
      <c r="C103" t="inlineStr">
        <is>
          <t>085790950955</t>
        </is>
      </c>
      <c r="D103" t="inlineStr">
        <is>
          <t>linggajaticonstruction@gmail.com</t>
        </is>
      </c>
      <c r="E103" t="inlineStr">
        <is>
          <t>https://lpjk.pu.go.id/search-badan-usaha-detail/bCtJRDJmcXBaT1Z0TzV5cmRmUVQrdz09</t>
        </is>
      </c>
      <c r="F103" t="n">
        <v>1</v>
      </c>
      <c r="G103" t="inlineStr">
        <is>
          <t>BS005</t>
        </is>
      </c>
      <c r="H103" t="inlineStr">
        <is>
          <t>30 Agustus 2023</t>
        </is>
      </c>
      <c r="I103" s="2" t="n">
        <v>46297</v>
      </c>
      <c r="J103" t="inlineStr">
        <is>
          <t>Disetujui</t>
        </is>
      </c>
      <c r="K103" t="n">
        <v>60</v>
      </c>
      <c r="L103" t="inlineStr">
        <is>
          <t>2 Oktober 2026</t>
        </is>
      </c>
      <c r="M103" t="inlineStr">
        <is>
          <t>Konstruksi Bangunan Sipil Pengolahan Air Bersih</t>
        </is>
      </c>
      <c r="N103" t="inlineStr">
        <is>
          <t>K</t>
        </is>
      </c>
      <c r="O103" t="inlineStr">
        <is>
          <t>20231002</t>
        </is>
      </c>
      <c r="P103" t="inlineStr">
        <is>
          <t>Jawa Timur</t>
        </is>
      </c>
      <c r="Q103" t="inlineStr"/>
    </row>
    <row r="104">
      <c r="A104" t="inlineStr">
        <is>
          <t>LINTANG MURIA</t>
        </is>
      </c>
      <c r="B104" t="inlineStr">
        <is>
          <t>Kab. Kudus</t>
        </is>
      </c>
      <c r="C104" t="inlineStr">
        <is>
          <t>081226982824</t>
        </is>
      </c>
      <c r="D104" t="inlineStr">
        <is>
          <t>cv.lintangmuria@gmail.com</t>
        </is>
      </c>
      <c r="E104" t="inlineStr">
        <is>
          <t>https://lpjk.pu.go.id/search-badan-usaha-detail/c3dHa1RlNFJkK3p3U2h6dU9VNWM5bm9xYkhHbFU1QTdiYTZMOWRFVER1ND0</t>
        </is>
      </c>
      <c r="F104" t="n">
        <v>2</v>
      </c>
      <c r="G104" t="inlineStr">
        <is>
          <t>BS004</t>
        </is>
      </c>
      <c r="H104" t="inlineStr">
        <is>
          <t>4 Oktober 2024</t>
        </is>
      </c>
      <c r="I104" s="2" t="n">
        <v>46297</v>
      </c>
      <c r="J104" t="inlineStr">
        <is>
          <t>Pencabutan</t>
        </is>
      </c>
      <c r="K104" t="n">
        <v>60</v>
      </c>
      <c r="L104" t="inlineStr">
        <is>
          <t>2 Oktober 2026</t>
        </is>
      </c>
      <c r="M104" t="inlineStr">
        <is>
          <t>Konstruksi Jaringan Irigasi dan Drainase</t>
        </is>
      </c>
      <c r="N104" t="inlineStr">
        <is>
          <t>K</t>
        </is>
      </c>
      <c r="O104" t="inlineStr">
        <is>
          <t>20231002</t>
        </is>
      </c>
      <c r="P104" t="inlineStr">
        <is>
          <t>Jawa Tengah</t>
        </is>
      </c>
      <c r="Q104" t="inlineStr"/>
    </row>
    <row r="105">
      <c r="A105" t="inlineStr">
        <is>
          <t>LINTAS BUPOLO MANDIRI</t>
        </is>
      </c>
      <c r="B105" t="inlineStr">
        <is>
          <t>Kab. Buru</t>
        </is>
      </c>
      <c r="C105" t="inlineStr">
        <is>
          <t>0811478123</t>
        </is>
      </c>
      <c r="D105" t="inlineStr">
        <is>
          <t>lintasbupolomandiri@gmail.com</t>
        </is>
      </c>
      <c r="E105" t="inlineStr">
        <is>
          <t>https://lpjk.pu.go.id/search-badan-usaha-detail/WFZSRW5nb3REcWRlNVhmRjdDb3lrQT09</t>
        </is>
      </c>
      <c r="F105" t="n">
        <v>1</v>
      </c>
      <c r="G105" t="inlineStr">
        <is>
          <t>BS002</t>
        </is>
      </c>
      <c r="H105" t="inlineStr">
        <is>
          <t>29 Juli 2019</t>
        </is>
      </c>
      <c r="I105" s="2" t="n">
        <v>46297</v>
      </c>
      <c r="J105" t="inlineStr">
        <is>
          <t>Disetujui</t>
        </is>
      </c>
      <c r="K105" t="n">
        <v>60</v>
      </c>
      <c r="L105" t="inlineStr">
        <is>
          <t>2 Oktober 2026</t>
        </is>
      </c>
      <c r="M105" t="inlineStr">
        <is>
          <t>Bangunan Sipil Jembatan, Jalan Layang, Fly Over, dan Underpass</t>
        </is>
      </c>
      <c r="N105" t="inlineStr">
        <is>
          <t>K</t>
        </is>
      </c>
      <c r="O105" t="inlineStr">
        <is>
          <t>20230930</t>
        </is>
      </c>
      <c r="P105" t="inlineStr">
        <is>
          <t>Maluku</t>
        </is>
      </c>
      <c r="Q105" t="inlineStr"/>
    </row>
    <row r="106">
      <c r="A106" t="inlineStr">
        <is>
          <t>LUTFI BANGUN PERSADA</t>
        </is>
      </c>
      <c r="B106" t="inlineStr">
        <is>
          <t>Kab. Sidoarjo</t>
        </is>
      </c>
      <c r="C106" t="inlineStr">
        <is>
          <t>082139838992</t>
        </is>
      </c>
      <c r="D106" t="inlineStr">
        <is>
          <t>lb.persada@gmail.com</t>
        </is>
      </c>
      <c r="E106" t="inlineStr">
        <is>
          <t>https://lpjk.pu.go.id/search-badan-usaha-detail/WVc2Y3VaQytOMUFMWXpxemttQzNJQT09</t>
        </is>
      </c>
      <c r="F106" t="n">
        <v>1</v>
      </c>
      <c r="G106" t="inlineStr">
        <is>
          <t>BS004</t>
        </is>
      </c>
      <c r="H106" t="inlineStr">
        <is>
          <t>2 September 2006</t>
        </is>
      </c>
      <c r="I106" s="2" t="n">
        <v>46297</v>
      </c>
      <c r="J106" t="inlineStr">
        <is>
          <t>Disetujui</t>
        </is>
      </c>
      <c r="K106" t="n">
        <v>60</v>
      </c>
      <c r="L106" t="inlineStr">
        <is>
          <t>2 Oktober 2026</t>
        </is>
      </c>
      <c r="M106" t="inlineStr">
        <is>
          <t>Konstruksi Jaringan Irigasi dan Drainase</t>
        </is>
      </c>
      <c r="N106" t="inlineStr">
        <is>
          <t>K</t>
        </is>
      </c>
      <c r="O106" t="inlineStr">
        <is>
          <t>20230921</t>
        </is>
      </c>
      <c r="P106" t="inlineStr">
        <is>
          <t>Jawa Timur</t>
        </is>
      </c>
      <c r="Q106" t="inlineStr"/>
    </row>
    <row r="107">
      <c r="A107" t="inlineStr">
        <is>
          <t>MAHAKAM CITRA NUSANTARA</t>
        </is>
      </c>
      <c r="B107" t="inlineStr">
        <is>
          <t>Kota Samarinda</t>
        </is>
      </c>
      <c r="C107" t="inlineStr">
        <is>
          <t>085249946413</t>
        </is>
      </c>
      <c r="D107" t="inlineStr">
        <is>
          <t>cv_mcn@yahoo.co.id</t>
        </is>
      </c>
      <c r="E107" t="inlineStr">
        <is>
          <t>https://lpjk.pu.go.id/search-badan-usaha-detail/YmJwK2J5Ym5TemxCNndGQStUVWVHdz09</t>
        </is>
      </c>
      <c r="F107" t="n">
        <v>2</v>
      </c>
      <c r="G107" t="inlineStr">
        <is>
          <t>BG006</t>
        </is>
      </c>
      <c r="H107" t="inlineStr">
        <is>
          <t>17 Desember 2021</t>
        </is>
      </c>
      <c r="I107" s="2" t="n">
        <v>46297</v>
      </c>
      <c r="J107" t="inlineStr">
        <is>
          <t>Pencabutan</t>
        </is>
      </c>
      <c r="K107" t="n">
        <v>60</v>
      </c>
      <c r="L107" t="inlineStr">
        <is>
          <t>2 Oktober 2026</t>
        </is>
      </c>
      <c r="M107" t="inlineStr">
        <is>
          <t>Konstruksi Gedung Pendidikan</t>
        </is>
      </c>
      <c r="N107" t="inlineStr">
        <is>
          <t>K</t>
        </is>
      </c>
      <c r="O107" t="inlineStr">
        <is>
          <t>20230730</t>
        </is>
      </c>
      <c r="P107" t="inlineStr">
        <is>
          <t>Kalimantan Timur</t>
        </is>
      </c>
      <c r="Q107" t="inlineStr"/>
    </row>
    <row r="108">
      <c r="A108" t="inlineStr">
        <is>
          <t>MANDIRI JAYA MOK</t>
        </is>
      </c>
      <c r="B108" t="inlineStr">
        <is>
          <t>Kota Palembang</t>
        </is>
      </c>
      <c r="C108" t="inlineStr">
        <is>
          <t>0711710859</t>
        </is>
      </c>
      <c r="D108" t="inlineStr">
        <is>
          <t>mandirijayamok@yahoo.com</t>
        </is>
      </c>
      <c r="E108" t="inlineStr">
        <is>
          <t>https://lpjk.pu.go.id/search-badan-usaha-detail/bjNtV3FPWlJFb0JqcURmTkdEUXhndz09</t>
        </is>
      </c>
      <c r="F108" t="n">
        <v>1</v>
      </c>
      <c r="G108" t="inlineStr">
        <is>
          <t>BG009</t>
        </is>
      </c>
      <c r="H108" t="inlineStr">
        <is>
          <t>9 September 2008</t>
        </is>
      </c>
      <c r="I108" s="2" t="n">
        <v>46297</v>
      </c>
      <c r="J108" t="inlineStr">
        <is>
          <t>Disetujui</t>
        </is>
      </c>
      <c r="K108" t="n">
        <v>60</v>
      </c>
      <c r="L108" t="inlineStr">
        <is>
          <t>2 Oktober 2026</t>
        </is>
      </c>
      <c r="M108" t="inlineStr">
        <is>
          <t>Konstruksi Gedung Lainnya</t>
        </is>
      </c>
      <c r="N108" t="inlineStr">
        <is>
          <t>K</t>
        </is>
      </c>
      <c r="O108" t="inlineStr">
        <is>
          <t>20230930</t>
        </is>
      </c>
      <c r="P108" t="inlineStr">
        <is>
          <t>Sumatera Selatan</t>
        </is>
      </c>
      <c r="Q108" t="inlineStr"/>
    </row>
    <row r="109">
      <c r="A109" t="inlineStr">
        <is>
          <t>MANGGALA KARYA NUSANTARA</t>
        </is>
      </c>
      <c r="B109" t="inlineStr">
        <is>
          <t>Kab. Boyolali</t>
        </is>
      </c>
      <c r="C109" t="inlineStr">
        <is>
          <t>082151152377</t>
        </is>
      </c>
      <c r="D109" t="inlineStr">
        <is>
          <t>ptmanggalakaryanusantara@gmail.com</t>
        </is>
      </c>
      <c r="E109" t="inlineStr">
        <is>
          <t>https://lpjk.pu.go.id/search-badan-usaha-detail/VzlSUGFiR2U2c1hyeG5ndXVPMmk1UT09</t>
        </is>
      </c>
      <c r="F109" t="n">
        <v>1</v>
      </c>
      <c r="G109" t="inlineStr">
        <is>
          <t>BS001</t>
        </is>
      </c>
      <c r="H109" t="inlineStr">
        <is>
          <t>12 September 2023</t>
        </is>
      </c>
      <c r="I109" s="2" t="n">
        <v>46297</v>
      </c>
      <c r="J109" t="inlineStr">
        <is>
          <t>Pencabutan</t>
        </is>
      </c>
      <c r="K109" t="n">
        <v>60</v>
      </c>
      <c r="L109" t="inlineStr">
        <is>
          <t>2 Oktober 2026</t>
        </is>
      </c>
      <c r="M109" t="inlineStr">
        <is>
          <t>Konstruksi Bangunan Sipil Jalan</t>
        </is>
      </c>
      <c r="N109" t="inlineStr">
        <is>
          <t>K</t>
        </is>
      </c>
      <c r="O109" t="inlineStr">
        <is>
          <t>20230926</t>
        </is>
      </c>
      <c r="P109" t="inlineStr">
        <is>
          <t>Jawa Tengah</t>
        </is>
      </c>
      <c r="Q109" t="inlineStr"/>
    </row>
    <row r="110">
      <c r="A110" t="inlineStr">
        <is>
          <t>MAYA GROUP</t>
        </is>
      </c>
      <c r="B110" t="inlineStr">
        <is>
          <t>Kab. Pasaman Barat</t>
        </is>
      </c>
      <c r="C110" t="inlineStr">
        <is>
          <t>081270379540</t>
        </is>
      </c>
      <c r="D110" t="inlineStr">
        <is>
          <t>rahmanmayagroup@gmail.com</t>
        </is>
      </c>
      <c r="E110" t="inlineStr">
        <is>
          <t>https://lpjk.pu.go.id/search-badan-usaha-detail/UE5KZ2ZmU2pBNlh4TVcwR0lKdnVndz09</t>
        </is>
      </c>
      <c r="F110" t="n">
        <v>1</v>
      </c>
      <c r="G110" t="inlineStr">
        <is>
          <t>BS002</t>
        </is>
      </c>
      <c r="H110" t="inlineStr">
        <is>
          <t>23 Mei 2013</t>
        </is>
      </c>
      <c r="I110" s="2" t="n">
        <v>46297</v>
      </c>
      <c r="J110" t="inlineStr">
        <is>
          <t>Disetujui</t>
        </is>
      </c>
      <c r="K110" t="n">
        <v>60</v>
      </c>
      <c r="L110" t="inlineStr">
        <is>
          <t>2 Oktober 2026</t>
        </is>
      </c>
      <c r="M110" t="inlineStr">
        <is>
          <t>Bangunan Sipil Jembatan, Jalan Layang, Fly Over, dan Underpass</t>
        </is>
      </c>
      <c r="N110" t="inlineStr">
        <is>
          <t>K</t>
        </is>
      </c>
      <c r="O110" t="inlineStr">
        <is>
          <t>20230926</t>
        </is>
      </c>
      <c r="P110" t="inlineStr">
        <is>
          <t>Sumatera Barat</t>
        </is>
      </c>
      <c r="Q110" t="inlineStr"/>
    </row>
    <row r="111">
      <c r="A111" t="inlineStr">
        <is>
          <t>MITRA CIPTA BANGUN</t>
        </is>
      </c>
      <c r="B111" t="inlineStr">
        <is>
          <t>Kab. Sidoarjo</t>
        </is>
      </c>
      <c r="C111" t="inlineStr">
        <is>
          <t>082232053861</t>
        </is>
      </c>
      <c r="D111" t="inlineStr">
        <is>
          <t>mitra.cipta.bangun.indonesia@gmail.com</t>
        </is>
      </c>
      <c r="E111" t="inlineStr">
        <is>
          <t>https://lpjk.pu.go.id/search-badan-usaha-detail/S0NGVTJadVc0Q3R4WXN2a0ZualV4Zz09</t>
        </is>
      </c>
      <c r="F111" t="n">
        <v>1</v>
      </c>
      <c r="G111" t="inlineStr">
        <is>
          <t>BG009</t>
        </is>
      </c>
      <c r="H111" t="inlineStr">
        <is>
          <t>8 Februari 2014</t>
        </is>
      </c>
      <c r="I111" s="2" t="n">
        <v>46297</v>
      </c>
      <c r="J111" t="inlineStr">
        <is>
          <t>Disetujui</t>
        </is>
      </c>
      <c r="K111" t="n">
        <v>60</v>
      </c>
      <c r="L111" t="inlineStr">
        <is>
          <t>2 Oktober 2026</t>
        </is>
      </c>
      <c r="M111" t="inlineStr">
        <is>
          <t>Konstruksi Gedung Lainnya</t>
        </is>
      </c>
      <c r="N111" t="inlineStr">
        <is>
          <t>K</t>
        </is>
      </c>
      <c r="O111" t="inlineStr">
        <is>
          <t>20230929</t>
        </is>
      </c>
      <c r="P111" t="inlineStr">
        <is>
          <t>Jawa Timur</t>
        </is>
      </c>
      <c r="Q111" t="inlineStr"/>
    </row>
    <row r="112">
      <c r="A112" t="inlineStr">
        <is>
          <t>MITRA PRINTIS</t>
        </is>
      </c>
      <c r="B112" t="inlineStr">
        <is>
          <t>Kab. Banyuasin</t>
        </is>
      </c>
      <c r="C112" t="inlineStr">
        <is>
          <t>081361513133</t>
        </is>
      </c>
      <c r="D112" t="inlineStr">
        <is>
          <t>mitraperintis.cv@gmail.com</t>
        </is>
      </c>
      <c r="E112" t="inlineStr">
        <is>
          <t>https://lpjk.pu.go.id/search-badan-usaha-detail/dU1JVUtWNWZCa3dONXNLanJCa1RwZz09</t>
        </is>
      </c>
      <c r="F112" t="n">
        <v>1</v>
      </c>
      <c r="G112" t="inlineStr">
        <is>
          <t>BG006</t>
        </is>
      </c>
      <c r="H112" t="inlineStr">
        <is>
          <t>19 Januari 2015</t>
        </is>
      </c>
      <c r="I112" s="2" t="n">
        <v>46297</v>
      </c>
      <c r="J112" t="inlineStr">
        <is>
          <t>Disetujui</t>
        </is>
      </c>
      <c r="K112" t="n">
        <v>60</v>
      </c>
      <c r="L112" t="inlineStr">
        <is>
          <t>2 Oktober 2026</t>
        </is>
      </c>
      <c r="M112" t="inlineStr">
        <is>
          <t>Konstruksi Gedung Pendidikan</t>
        </is>
      </c>
      <c r="N112" t="inlineStr">
        <is>
          <t>K</t>
        </is>
      </c>
      <c r="O112" t="inlineStr">
        <is>
          <t>20230915</t>
        </is>
      </c>
      <c r="P112" t="inlineStr">
        <is>
          <t>Sumatera Selatan</t>
        </is>
      </c>
      <c r="Q112" t="inlineStr"/>
    </row>
    <row r="113">
      <c r="A113" t="inlineStr">
        <is>
          <t>MITRA PUTRA AULIA</t>
        </is>
      </c>
      <c r="B113" t="inlineStr">
        <is>
          <t>Kota Medan</t>
        </is>
      </c>
      <c r="C113" t="inlineStr">
        <is>
          <t>08116144060</t>
        </is>
      </c>
      <c r="D113" t="inlineStr">
        <is>
          <t>ptmitraputraaulia@gmail.com</t>
        </is>
      </c>
      <c r="E113" t="inlineStr">
        <is>
          <t>https://lpjk.pu.go.id/search-badan-usaha-detail/bldCZ2dzQzYrdUljNHNVcHBvZ2J2QT09</t>
        </is>
      </c>
      <c r="F113" t="n">
        <v>1</v>
      </c>
      <c r="G113" t="inlineStr">
        <is>
          <t>BG002</t>
        </is>
      </c>
      <c r="H113" t="inlineStr">
        <is>
          <t>7 September 2023</t>
        </is>
      </c>
      <c r="I113" s="2" t="n">
        <v>46297</v>
      </c>
      <c r="J113" t="inlineStr">
        <is>
          <t>Disetujui</t>
        </is>
      </c>
      <c r="K113" t="n">
        <v>60</v>
      </c>
      <c r="L113" t="inlineStr">
        <is>
          <t>2 Oktober 2026</t>
        </is>
      </c>
      <c r="M113" t="inlineStr">
        <is>
          <t>Konstruksi Gedung Perkantoran</t>
        </is>
      </c>
      <c r="N113" t="inlineStr">
        <is>
          <t>K</t>
        </is>
      </c>
      <c r="O113" t="inlineStr">
        <is>
          <t>20230922</t>
        </is>
      </c>
      <c r="P113" t="inlineStr">
        <is>
          <t>Sumatera Utara</t>
        </is>
      </c>
      <c r="Q113" t="inlineStr"/>
    </row>
    <row r="114">
      <c r="A114" t="inlineStr">
        <is>
          <t>MUGI KARYA PERSADA</t>
        </is>
      </c>
      <c r="B114" t="inlineStr">
        <is>
          <t>Kab. Agam</t>
        </is>
      </c>
      <c r="C114" t="inlineStr">
        <is>
          <t>081372720393</t>
        </is>
      </c>
      <c r="D114" t="inlineStr">
        <is>
          <t>mugikaryapersada@gmail.com</t>
        </is>
      </c>
      <c r="E114" t="inlineStr">
        <is>
          <t>https://lpjk.pu.go.id/search-badan-usaha-detail/Q0hyS0NUaVZCcGhrNjQ5Rk9UcktrZz09</t>
        </is>
      </c>
      <c r="F114" t="n">
        <v>4</v>
      </c>
      <c r="G114" t="inlineStr">
        <is>
          <t>BG001, BG002, BG004, BG007</t>
        </is>
      </c>
      <c r="H114" t="inlineStr">
        <is>
          <t>10 Desember 2020</t>
        </is>
      </c>
      <c r="I114" s="2" t="n">
        <v>46297</v>
      </c>
      <c r="J114" t="inlineStr">
        <is>
          <t>Disetujui</t>
        </is>
      </c>
      <c r="K114" t="n">
        <v>60</v>
      </c>
      <c r="L114" t="inlineStr">
        <is>
          <t>2 Oktober 2026</t>
        </is>
      </c>
      <c r="M114" t="inlineStr">
        <is>
          <t>Konstruksi Gedung Hunian, Konstruksi Gedung Penginapan, Konstruksi Gedung Perbelanjaan, Konstruksi Gedung Perkantoran</t>
        </is>
      </c>
      <c r="N114" t="inlineStr">
        <is>
          <t>K</t>
        </is>
      </c>
      <c r="O114" t="inlineStr">
        <is>
          <t>20231002</t>
        </is>
      </c>
      <c r="P114" t="inlineStr">
        <is>
          <t>Sumatera Barat</t>
        </is>
      </c>
      <c r="Q114" t="inlineStr"/>
    </row>
    <row r="115">
      <c r="A115" t="inlineStr">
        <is>
          <t>MULTI JAYA TEKNIK</t>
        </is>
      </c>
      <c r="B115" t="inlineStr">
        <is>
          <t>Kab. Batu Bara</t>
        </is>
      </c>
      <c r="C115" t="inlineStr">
        <is>
          <t>082165242348</t>
        </is>
      </c>
      <c r="D115" t="inlineStr">
        <is>
          <t>multijayateknik.pt@gmail.com</t>
        </is>
      </c>
      <c r="E115" t="inlineStr">
        <is>
          <t>https://lpjk.pu.go.id/search-badan-usaha-detail/b2creUZheEdvN2Vzc2gvdThPVDV1Zz09</t>
        </is>
      </c>
      <c r="F115" t="n">
        <v>1</v>
      </c>
      <c r="G115" t="inlineStr">
        <is>
          <t>BS007</t>
        </is>
      </c>
      <c r="H115" t="inlineStr">
        <is>
          <t>14 September 2023</t>
        </is>
      </c>
      <c r="I115" s="2" t="n">
        <v>46297</v>
      </c>
      <c r="J115" t="inlineStr">
        <is>
          <t>Pencabutan</t>
        </is>
      </c>
      <c r="K115" t="n">
        <v>60</v>
      </c>
      <c r="L115" t="inlineStr">
        <is>
          <t>2 Oktober 2026</t>
        </is>
      </c>
      <c r="M115" t="inlineStr">
        <is>
          <t>Konstruksi Bangunan Sipil Elektrikal</t>
        </is>
      </c>
      <c r="N115" t="inlineStr">
        <is>
          <t>K</t>
        </is>
      </c>
      <c r="O115" t="inlineStr">
        <is>
          <t>20230929</t>
        </is>
      </c>
      <c r="P115" t="inlineStr">
        <is>
          <t>Sumatera Utara</t>
        </is>
      </c>
      <c r="Q115" t="inlineStr"/>
    </row>
    <row r="116">
      <c r="A116" t="inlineStr">
        <is>
          <t>MULTI PERSADA INTERNUSA</t>
        </is>
      </c>
      <c r="B116" t="inlineStr">
        <is>
          <t>Kota Bandung</t>
        </is>
      </c>
      <c r="C116" t="inlineStr">
        <is>
          <t>-</t>
        </is>
      </c>
      <c r="D116" t="inlineStr">
        <is>
          <t>multipersadainternusa25@gmail.com</t>
        </is>
      </c>
      <c r="E116" t="inlineStr">
        <is>
          <t>https://lpjk.pu.go.id/search-badan-usaha-detail/aFJxZTNsRURZMHVzSnpaSlFEdlNUUT09</t>
        </is>
      </c>
      <c r="F116" t="n">
        <v>1</v>
      </c>
      <c r="G116" t="inlineStr">
        <is>
          <t>BS001</t>
        </is>
      </c>
      <c r="H116" t="inlineStr">
        <is>
          <t>24 April 1997</t>
        </is>
      </c>
      <c r="I116" s="2" t="n">
        <v>46297</v>
      </c>
      <c r="J116" t="inlineStr">
        <is>
          <t>Disetujui</t>
        </is>
      </c>
      <c r="K116" t="n">
        <v>60</v>
      </c>
      <c r="L116" t="inlineStr">
        <is>
          <t>2 Oktober 2026</t>
        </is>
      </c>
      <c r="M116" t="inlineStr">
        <is>
          <t>Konstruksi Bangunan Sipil Jalan</t>
        </is>
      </c>
      <c r="N116" t="inlineStr">
        <is>
          <t>K</t>
        </is>
      </c>
      <c r="O116" t="inlineStr">
        <is>
          <t>20231002</t>
        </is>
      </c>
      <c r="P116" t="inlineStr">
        <is>
          <t>Jawa Barat</t>
        </is>
      </c>
      <c r="Q116" t="inlineStr"/>
    </row>
    <row r="117">
      <c r="A117" t="inlineStr">
        <is>
          <t>MUTIARA AZKA</t>
        </is>
      </c>
      <c r="B117" t="inlineStr">
        <is>
          <t>Kota Semarang</t>
        </is>
      </c>
      <c r="C117" t="inlineStr">
        <is>
          <t>085865000779</t>
        </is>
      </c>
      <c r="D117" t="inlineStr">
        <is>
          <t>mutiara_azka@ymail.com</t>
        </is>
      </c>
      <c r="E117" t="inlineStr">
        <is>
          <t>https://lpjk.pu.go.id/search-badan-usaha-detail/a25Cb2xudm9rRkQxN2lZaitNdmxyQT09</t>
        </is>
      </c>
      <c r="F117" t="n">
        <v>2</v>
      </c>
      <c r="G117" t="inlineStr">
        <is>
          <t>BG006, BS004</t>
        </is>
      </c>
      <c r="H117" t="inlineStr">
        <is>
          <t>8 April 2011</t>
        </is>
      </c>
      <c r="I117" s="2" t="n">
        <v>46297</v>
      </c>
      <c r="J117" t="inlineStr">
        <is>
          <t>Disetujui, Pencabutan</t>
        </is>
      </c>
      <c r="K117" t="n">
        <v>60</v>
      </c>
      <c r="L117" t="inlineStr">
        <is>
          <t>2 Oktober 2026</t>
        </is>
      </c>
      <c r="M117" t="inlineStr">
        <is>
          <t>Konstruksi Gedung Pendidikan, Konstruksi Jaringan Irigasi dan Drainase</t>
        </is>
      </c>
      <c r="N117" t="inlineStr">
        <is>
          <t>K</t>
        </is>
      </c>
      <c r="O117" t="inlineStr">
        <is>
          <t>20230831, 20230913</t>
        </is>
      </c>
      <c r="P117" t="inlineStr">
        <is>
          <t>Jawa Tengah</t>
        </is>
      </c>
      <c r="Q117" t="inlineStr"/>
    </row>
    <row r="118">
      <c r="A118" t="inlineStr">
        <is>
          <t>MUTIARA CISADANE</t>
        </is>
      </c>
      <c r="B118" t="inlineStr">
        <is>
          <t>Kab. Tangerang</t>
        </is>
      </c>
      <c r="C118" t="inlineStr">
        <is>
          <t>02159370924</t>
        </is>
      </c>
      <c r="D118" t="inlineStr">
        <is>
          <t>mutiaracisadane.office@gmail.com</t>
        </is>
      </c>
      <c r="E118" t="inlineStr">
        <is>
          <t>https://lpjk.pu.go.id/search-badan-usaha-detail/cVc1VVY4d0hvdWpWQ3VEclk3UnlYUT09</t>
        </is>
      </c>
      <c r="F118" t="n">
        <v>2</v>
      </c>
      <c r="G118" t="inlineStr">
        <is>
          <t>BS010</t>
        </is>
      </c>
      <c r="H118" t="inlineStr">
        <is>
          <t>20 Desember 2004</t>
        </is>
      </c>
      <c r="I118" s="2" t="n">
        <v>46297</v>
      </c>
      <c r="J118" t="inlineStr">
        <is>
          <t>Disetujui</t>
        </is>
      </c>
      <c r="K118" t="n">
        <v>60</v>
      </c>
      <c r="L118" t="inlineStr">
        <is>
          <t>2 Oktober 2026</t>
        </is>
      </c>
      <c r="M118" t="inlineStr">
        <is>
          <t>Konstruksi Bangunan Prasarana Sumber Daya Air</t>
        </is>
      </c>
      <c r="N118" t="inlineStr">
        <is>
          <t>K</t>
        </is>
      </c>
      <c r="O118" t="inlineStr">
        <is>
          <t>20230911</t>
        </is>
      </c>
      <c r="P118" t="inlineStr">
        <is>
          <t>Banten</t>
        </is>
      </c>
      <c r="Q118" t="inlineStr"/>
    </row>
    <row r="119">
      <c r="A119" t="inlineStr">
        <is>
          <t>NATAMA KARYA JAYA</t>
        </is>
      </c>
      <c r="B119" t="inlineStr">
        <is>
          <t>Kota Medan</t>
        </is>
      </c>
      <c r="C119" t="inlineStr">
        <is>
          <t>0617861651</t>
        </is>
      </c>
      <c r="D119" t="inlineStr">
        <is>
          <t>natamakaryajaya@gmail.com</t>
        </is>
      </c>
      <c r="E119" t="inlineStr">
        <is>
          <t>https://lpjk.pu.go.id/search-badan-usaha-detail/V2d0N2RnZGp4U3AvR1kxMFBFSFZYUT09</t>
        </is>
      </c>
      <c r="F119" t="n">
        <v>2</v>
      </c>
      <c r="G119" t="inlineStr">
        <is>
          <t>IN002</t>
        </is>
      </c>
      <c r="H119" t="inlineStr">
        <is>
          <t>13 April 2007</t>
        </is>
      </c>
      <c r="I119" s="2" t="n">
        <v>46297</v>
      </c>
      <c r="J119" t="inlineStr">
        <is>
          <t>Pembekuan</t>
        </is>
      </c>
      <c r="K119" t="n">
        <v>60</v>
      </c>
      <c r="L119" t="inlineStr">
        <is>
          <t>2 Oktober 2026</t>
        </is>
      </c>
      <c r="M119" t="inlineStr">
        <is>
          <t>Instalasi Telekomunikasi</t>
        </is>
      </c>
      <c r="N119" t="inlineStr">
        <is>
          <t>Spesialis</t>
        </is>
      </c>
      <c r="O119" t="inlineStr">
        <is>
          <t>20230927</t>
        </is>
      </c>
      <c r="P119" t="inlineStr">
        <is>
          <t>Sumatera Utara</t>
        </is>
      </c>
      <c r="Q119" t="inlineStr"/>
    </row>
    <row r="120">
      <c r="A120" t="inlineStr">
        <is>
          <t>NAUFAL PRATAMA</t>
        </is>
      </c>
      <c r="B120" t="inlineStr">
        <is>
          <t>Kab. Jember</t>
        </is>
      </c>
      <c r="C120" t="inlineStr">
        <is>
          <t>082331757483</t>
        </is>
      </c>
      <c r="D120" t="inlineStr">
        <is>
          <t>cvnaufalpratama01@gmail.com</t>
        </is>
      </c>
      <c r="E120" t="inlineStr">
        <is>
          <t>https://lpjk.pu.go.id/search-badan-usaha-detail/VUJPTUw4ekkxT04vZ2R1V0dROGVudz09</t>
        </is>
      </c>
      <c r="F120" t="n">
        <v>1</v>
      </c>
      <c r="G120" t="inlineStr">
        <is>
          <t>BG009</t>
        </is>
      </c>
      <c r="H120" t="inlineStr">
        <is>
          <t>30 Januari 2017</t>
        </is>
      </c>
      <c r="I120" s="2" t="n">
        <v>46297</v>
      </c>
      <c r="J120" t="inlineStr">
        <is>
          <t>Pencabutan</t>
        </is>
      </c>
      <c r="K120" t="n">
        <v>60</v>
      </c>
      <c r="L120" t="inlineStr">
        <is>
          <t>2 Oktober 2026</t>
        </is>
      </c>
      <c r="M120" t="inlineStr">
        <is>
          <t>Konstruksi Gedung Lainnya</t>
        </is>
      </c>
      <c r="N120" t="inlineStr">
        <is>
          <t>K</t>
        </is>
      </c>
      <c r="O120" t="inlineStr">
        <is>
          <t>20230926</t>
        </is>
      </c>
      <c r="P120" t="inlineStr">
        <is>
          <t>Jawa Timur</t>
        </is>
      </c>
      <c r="Q120" t="inlineStr"/>
    </row>
    <row r="121">
      <c r="A121" t="inlineStr">
        <is>
          <t>NUR AINI</t>
        </is>
      </c>
      <c r="B121" t="inlineStr">
        <is>
          <t>Kab. Kediri</t>
        </is>
      </c>
      <c r="C121" t="inlineStr">
        <is>
          <t>085733237617</t>
        </is>
      </c>
      <c r="D121" t="inlineStr">
        <is>
          <t>nuraini_cv@yahoo.com</t>
        </is>
      </c>
      <c r="E121" t="inlineStr">
        <is>
          <t>https://lpjk.pu.go.id/search-badan-usaha-detail/NWxRT25vOWhJcFRueTNpaWdmWUZNQT09</t>
        </is>
      </c>
      <c r="F121" t="n">
        <v>1</v>
      </c>
      <c r="G121" t="inlineStr">
        <is>
          <t>BG009</t>
        </is>
      </c>
      <c r="H121" t="inlineStr">
        <is>
          <t>5 Juli 2007</t>
        </is>
      </c>
      <c r="I121" s="2" t="n">
        <v>46297</v>
      </c>
      <c r="J121" t="inlineStr">
        <is>
          <t>Disetujui</t>
        </is>
      </c>
      <c r="K121" t="n">
        <v>60</v>
      </c>
      <c r="L121" t="inlineStr">
        <is>
          <t>2 Oktober 2026</t>
        </is>
      </c>
      <c r="M121" t="inlineStr">
        <is>
          <t>Konstruksi Gedung Lainnya</t>
        </is>
      </c>
      <c r="N121" t="inlineStr">
        <is>
          <t>K</t>
        </is>
      </c>
      <c r="O121" t="inlineStr">
        <is>
          <t>20230922</t>
        </is>
      </c>
      <c r="P121" t="inlineStr">
        <is>
          <t>Jawa Timur</t>
        </is>
      </c>
      <c r="Q121" t="inlineStr"/>
    </row>
    <row r="122">
      <c r="A122" t="inlineStr">
        <is>
          <t>NUSA INDAH RAYA</t>
        </is>
      </c>
      <c r="B122" t="inlineStr">
        <is>
          <t>Kota Banjarmasin</t>
        </is>
      </c>
      <c r="C122" t="inlineStr">
        <is>
          <t>081251994739</t>
        </is>
      </c>
      <c r="D122" t="inlineStr">
        <is>
          <t>cv_nusaindahraya@yahoo.com</t>
        </is>
      </c>
      <c r="E122" t="inlineStr">
        <is>
          <t>https://lpjk.pu.go.id/search-badan-usaha-detail/SkJqSTVVZG1iUytIeEg0WlBNOFp5UT09</t>
        </is>
      </c>
      <c r="F122" t="n">
        <v>1</v>
      </c>
      <c r="G122" t="inlineStr">
        <is>
          <t>BG005</t>
        </is>
      </c>
      <c r="H122" t="inlineStr">
        <is>
          <t>18 Desember 2000</t>
        </is>
      </c>
      <c r="I122" s="2" t="n">
        <v>46297</v>
      </c>
      <c r="J122" t="inlineStr">
        <is>
          <t>Disetujui</t>
        </is>
      </c>
      <c r="K122" t="n">
        <v>60</v>
      </c>
      <c r="L122" t="inlineStr">
        <is>
          <t>2 Oktober 2026</t>
        </is>
      </c>
      <c r="M122" t="inlineStr">
        <is>
          <t>Konstruksi Gedung Kesehatan</t>
        </is>
      </c>
      <c r="N122" t="inlineStr">
        <is>
          <t>K</t>
        </is>
      </c>
      <c r="O122" t="inlineStr">
        <is>
          <t>20231001</t>
        </is>
      </c>
      <c r="P122" t="inlineStr">
        <is>
          <t>Kalimantan Selatan</t>
        </is>
      </c>
      <c r="Q122" t="inlineStr"/>
    </row>
    <row r="123">
      <c r="A123" t="inlineStr">
        <is>
          <t>PANCA INDAH JAYAMAHE</t>
        </is>
      </c>
      <c r="B123" t="inlineStr">
        <is>
          <t>Kota Surabaya</t>
        </is>
      </c>
      <c r="C123" t="inlineStr">
        <is>
          <t>0318291317</t>
        </is>
      </c>
      <c r="D123" t="inlineStr">
        <is>
          <t>pancaindahjayamahe.pt@gmail.com</t>
        </is>
      </c>
      <c r="E123" t="inlineStr">
        <is>
          <t>https://lpjk.pu.go.id/search-badan-usaha-detail/T0diRHNLL1B6RHg3NkhwWVFkYklUdz09</t>
        </is>
      </c>
      <c r="F123" t="n">
        <v>1</v>
      </c>
      <c r="G123" t="inlineStr">
        <is>
          <t>IN004</t>
        </is>
      </c>
      <c r="H123" t="inlineStr">
        <is>
          <t>31 Januari 2008</t>
        </is>
      </c>
      <c r="I123" s="2" t="n">
        <v>46297</v>
      </c>
      <c r="J123" t="inlineStr">
        <is>
          <t>Disetujui</t>
        </is>
      </c>
      <c r="K123" t="n">
        <v>60</v>
      </c>
      <c r="L123" t="inlineStr">
        <is>
          <t>2 Oktober 2026</t>
        </is>
      </c>
      <c r="M123" t="inlineStr">
        <is>
          <t>Instalasi Minyak dan Gas</t>
        </is>
      </c>
      <c r="N123" t="inlineStr">
        <is>
          <t>Spesialis</t>
        </is>
      </c>
      <c r="O123" t="inlineStr">
        <is>
          <t>20220413</t>
        </is>
      </c>
      <c r="P123" t="inlineStr">
        <is>
          <t>Jawa Timur</t>
        </is>
      </c>
      <c r="Q123" t="inlineStr"/>
    </row>
    <row r="124">
      <c r="A124" t="inlineStr">
        <is>
          <t>PARSAMEAN UTAMA</t>
        </is>
      </c>
      <c r="B124" t="inlineStr">
        <is>
          <t>Kota Medan</t>
        </is>
      </c>
      <c r="C124" t="inlineStr">
        <is>
          <t>082276421290</t>
        </is>
      </c>
      <c r="D124" t="inlineStr">
        <is>
          <t>parsameanutamaeducation@gmail.com</t>
        </is>
      </c>
      <c r="E124" t="inlineStr">
        <is>
          <t>https://lpjk.pu.go.id/search-badan-usaha-detail/cFRrZVlGS2lzQVViUnErNnFsOFRyZz09</t>
        </is>
      </c>
      <c r="F124" t="n">
        <v>1</v>
      </c>
      <c r="G124" t="inlineStr">
        <is>
          <t>BG002</t>
        </is>
      </c>
      <c r="H124" t="inlineStr">
        <is>
          <t>28 Januari 2010</t>
        </is>
      </c>
      <c r="I124" s="2" t="n">
        <v>46297</v>
      </c>
      <c r="J124" t="inlineStr">
        <is>
          <t>Disetujui</t>
        </is>
      </c>
      <c r="K124" t="n">
        <v>60</v>
      </c>
      <c r="L124" t="inlineStr">
        <is>
          <t>2 Oktober 2026</t>
        </is>
      </c>
      <c r="M124" t="inlineStr">
        <is>
          <t>Konstruksi Gedung Perkantoran</t>
        </is>
      </c>
      <c r="N124" t="inlineStr">
        <is>
          <t>K</t>
        </is>
      </c>
      <c r="O124" t="inlineStr">
        <is>
          <t>20230930</t>
        </is>
      </c>
      <c r="P124" t="inlineStr">
        <is>
          <t>Sumatera Utara</t>
        </is>
      </c>
      <c r="Q124" t="inlineStr"/>
    </row>
    <row r="125">
      <c r="A125" t="inlineStr">
        <is>
          <t>PERINTIS PROTEKSI SEJAHTERA</t>
        </is>
      </c>
      <c r="B125" t="inlineStr">
        <is>
          <t>Kota Adm. Jakarta Utara</t>
        </is>
      </c>
      <c r="C125" t="inlineStr">
        <is>
          <t>0216400751</t>
        </is>
      </c>
      <c r="D125" t="inlineStr">
        <is>
          <t>perintisproteksisejahtera91@gmail.com</t>
        </is>
      </c>
      <c r="E125" t="inlineStr">
        <is>
          <t>https://lpjk.pu.go.id/search-badan-usaha-detail/QVJsQzV1SXpqTllnYUF1dHRIc3JFUT09</t>
        </is>
      </c>
      <c r="F125" t="n">
        <v>1</v>
      </c>
      <c r="G125" t="inlineStr">
        <is>
          <t>BS011</t>
        </is>
      </c>
      <c r="H125" t="inlineStr">
        <is>
          <t>9 Desember 1991</t>
        </is>
      </c>
      <c r="I125" s="2" t="n">
        <v>46297</v>
      </c>
      <c r="J125" t="inlineStr">
        <is>
          <t>Disetujui</t>
        </is>
      </c>
      <c r="K125" t="n">
        <v>60</v>
      </c>
      <c r="L125" t="inlineStr">
        <is>
          <t>2 Oktober 2026</t>
        </is>
      </c>
      <c r="M125" t="inlineStr">
        <is>
          <t>Konstruksi Bangunan Pelabuhan Bukan Perikanan</t>
        </is>
      </c>
      <c r="N125" t="inlineStr">
        <is>
          <t>M</t>
        </is>
      </c>
      <c r="O125" t="inlineStr">
        <is>
          <t>20230925</t>
        </is>
      </c>
      <c r="P125" t="inlineStr">
        <is>
          <t>DKI Jakarta</t>
        </is>
      </c>
      <c r="Q125" t="inlineStr"/>
    </row>
    <row r="126">
      <c r="A126" t="inlineStr">
        <is>
          <t>PILAR MAS</t>
        </is>
      </c>
      <c r="B126" t="inlineStr">
        <is>
          <t>Kab. Blitar</t>
        </is>
      </c>
      <c r="C126" t="inlineStr">
        <is>
          <t>081556596825</t>
        </is>
      </c>
      <c r="D126" t="inlineStr">
        <is>
          <t>pilar_masblitar@yahoo.co.id</t>
        </is>
      </c>
      <c r="E126" t="inlineStr">
        <is>
          <t>https://lpjk.pu.go.id/search-badan-usaha-detail/QU1LenRQcXNOdWVMZC80UVNxUDQzQT09</t>
        </is>
      </c>
      <c r="F126" t="n">
        <v>3</v>
      </c>
      <c r="G126" t="inlineStr">
        <is>
          <t>BG005, BG006, BG009</t>
        </is>
      </c>
      <c r="H126" t="inlineStr">
        <is>
          <t>12 April 2006</t>
        </is>
      </c>
      <c r="I126" s="2" t="n">
        <v>46297</v>
      </c>
      <c r="J126" t="inlineStr">
        <is>
          <t>Disetujui</t>
        </is>
      </c>
      <c r="K126" t="n">
        <v>60</v>
      </c>
      <c r="L126" t="inlineStr">
        <is>
          <t>2 Oktober 2026</t>
        </is>
      </c>
      <c r="M126" t="inlineStr">
        <is>
          <t>Konstruksi Gedung Kesehatan, Konstruksi Gedung Lainnya, Konstruksi Gedung Pendidikan</t>
        </is>
      </c>
      <c r="N126" t="inlineStr">
        <is>
          <t>K</t>
        </is>
      </c>
      <c r="O126" t="inlineStr">
        <is>
          <t>20230927</t>
        </is>
      </c>
      <c r="P126" t="inlineStr">
        <is>
          <t>Jawa Timur</t>
        </is>
      </c>
      <c r="Q126" t="inlineStr"/>
    </row>
    <row r="127">
      <c r="A127" t="inlineStr">
        <is>
          <t>PRADANA ISHWARI JAYA</t>
        </is>
      </c>
      <c r="B127" t="inlineStr">
        <is>
          <t>Kab. Cilacap</t>
        </is>
      </c>
      <c r="C127" t="inlineStr">
        <is>
          <t>085647628886</t>
        </is>
      </c>
      <c r="D127" t="inlineStr">
        <is>
          <t>pradanaishwari@gmail.com</t>
        </is>
      </c>
      <c r="E127" t="inlineStr">
        <is>
          <t>https://lpjk.pu.go.id/search-badan-usaha-detail/YlZkcFMzWlYyQ1d3Z09Lb2RmM09tZz09</t>
        </is>
      </c>
      <c r="F127" t="n">
        <v>1</v>
      </c>
      <c r="G127" t="inlineStr">
        <is>
          <t>BS001</t>
        </is>
      </c>
      <c r="H127" t="inlineStr">
        <is>
          <t>2 Februari 2023</t>
        </is>
      </c>
      <c r="I127" s="2" t="n">
        <v>46297</v>
      </c>
      <c r="J127" t="inlineStr">
        <is>
          <t>Pencabutan</t>
        </is>
      </c>
      <c r="K127" t="n">
        <v>60</v>
      </c>
      <c r="L127" t="inlineStr">
        <is>
          <t>2 Oktober 2026</t>
        </is>
      </c>
      <c r="M127" t="inlineStr">
        <is>
          <t>Konstruksi Bangunan Sipil Jalan</t>
        </is>
      </c>
      <c r="N127" t="inlineStr">
        <is>
          <t>K</t>
        </is>
      </c>
      <c r="O127" t="inlineStr">
        <is>
          <t>20230928</t>
        </is>
      </c>
      <c r="P127" t="inlineStr">
        <is>
          <t>Jawa Tengah</t>
        </is>
      </c>
      <c r="Q127" t="inlineStr"/>
    </row>
    <row r="128">
      <c r="A128" t="inlineStr">
        <is>
          <t>PRIMA GLOBAL TECHNIC</t>
        </is>
      </c>
      <c r="B128" t="inlineStr">
        <is>
          <t>Kota Balikpapan</t>
        </is>
      </c>
      <c r="C128" t="inlineStr">
        <is>
          <t>082150223255</t>
        </is>
      </c>
      <c r="D128" t="inlineStr">
        <is>
          <t>pgt.bpn@gmail.com</t>
        </is>
      </c>
      <c r="E128" t="inlineStr">
        <is>
          <t>https://lpjk.pu.go.id/search-badan-usaha-detail/Zm5BQWdCbnEvZUJEWUg5dk41eXR0Zz09</t>
        </is>
      </c>
      <c r="F128" t="n">
        <v>1</v>
      </c>
      <c r="G128" t="inlineStr">
        <is>
          <t>BG001</t>
        </is>
      </c>
      <c r="H128" t="inlineStr">
        <is>
          <t>19 September 2015</t>
        </is>
      </c>
      <c r="I128" s="2" t="n">
        <v>46297</v>
      </c>
      <c r="J128" t="inlineStr">
        <is>
          <t>Disetujui</t>
        </is>
      </c>
      <c r="K128" t="n">
        <v>60</v>
      </c>
      <c r="L128" t="inlineStr">
        <is>
          <t>2 Oktober 2026</t>
        </is>
      </c>
      <c r="M128" t="inlineStr">
        <is>
          <t>Konstruksi Gedung Hunian</t>
        </is>
      </c>
      <c r="N128" t="inlineStr">
        <is>
          <t>K</t>
        </is>
      </c>
      <c r="O128" t="inlineStr">
        <is>
          <t>20230608</t>
        </is>
      </c>
      <c r="P128" t="inlineStr">
        <is>
          <t>Kalimantan Timur</t>
        </is>
      </c>
      <c r="Q128" t="inlineStr"/>
    </row>
    <row r="129">
      <c r="A129" t="inlineStr">
        <is>
          <t>PRIMA MEGAH IRSA</t>
        </is>
      </c>
      <c r="B129" t="inlineStr">
        <is>
          <t>Kab. Gresik</t>
        </is>
      </c>
      <c r="C129" t="inlineStr">
        <is>
          <t>0811125585</t>
        </is>
      </c>
      <c r="D129" t="inlineStr">
        <is>
          <t>makhrudy@yahoo.com</t>
        </is>
      </c>
      <c r="E129" t="inlineStr">
        <is>
          <t>https://lpjk.pu.go.id/search-badan-usaha-detail/VkFUdXhMSVY4R2VyVk43SUhzbkFoUT09</t>
        </is>
      </c>
      <c r="F129" t="n">
        <v>1</v>
      </c>
      <c r="G129" t="inlineStr">
        <is>
          <t>BG009</t>
        </is>
      </c>
      <c r="H129" t="inlineStr">
        <is>
          <t>13 Maret 2010</t>
        </is>
      </c>
      <c r="I129" s="2" t="n">
        <v>46297</v>
      </c>
      <c r="J129" t="inlineStr">
        <is>
          <t>Disetujui</t>
        </is>
      </c>
      <c r="K129" t="n">
        <v>60</v>
      </c>
      <c r="L129" t="inlineStr">
        <is>
          <t>2 Oktober 2026</t>
        </is>
      </c>
      <c r="M129" t="inlineStr">
        <is>
          <t>Konstruksi Gedung Lainnya</t>
        </is>
      </c>
      <c r="N129" t="inlineStr">
        <is>
          <t>M</t>
        </is>
      </c>
      <c r="O129" t="inlineStr">
        <is>
          <t>20230919</t>
        </is>
      </c>
      <c r="P129" t="inlineStr">
        <is>
          <t>Jawa Timur</t>
        </is>
      </c>
      <c r="Q129" t="inlineStr"/>
    </row>
    <row r="130">
      <c r="A130" t="inlineStr">
        <is>
          <t>PURNAMA INSAN GLOBAL</t>
        </is>
      </c>
      <c r="B130" t="inlineStr">
        <is>
          <t>Kota Adm. Jakarta Pusat</t>
        </is>
      </c>
      <c r="C130" t="inlineStr">
        <is>
          <t>0213511698</t>
        </is>
      </c>
      <c r="D130" t="inlineStr">
        <is>
          <t>purnamaiglobal@gmail.com</t>
        </is>
      </c>
      <c r="E130" t="inlineStr">
        <is>
          <t>https://lpjk.pu.go.id/search-badan-usaha-detail/bVJDNGRNcWhSc05wOGQrNUlYWXVCQT09</t>
        </is>
      </c>
      <c r="F130" t="n">
        <v>2</v>
      </c>
      <c r="G130" t="inlineStr">
        <is>
          <t>BS009</t>
        </is>
      </c>
      <c r="H130" t="inlineStr">
        <is>
          <t>20 November 2021</t>
        </is>
      </c>
      <c r="I130" s="2" t="n">
        <v>46297</v>
      </c>
      <c r="J130" t="inlineStr">
        <is>
          <t>Pencabutan</t>
        </is>
      </c>
      <c r="K130" t="n">
        <v>60</v>
      </c>
      <c r="L130" t="inlineStr">
        <is>
          <t>2 Oktober 2026</t>
        </is>
      </c>
      <c r="M130" t="inlineStr">
        <is>
          <t>Konstruksi Sentral Telekomunikasi</t>
        </is>
      </c>
      <c r="N130" t="inlineStr">
        <is>
          <t>K</t>
        </is>
      </c>
      <c r="O130" t="inlineStr">
        <is>
          <t>20230928</t>
        </is>
      </c>
      <c r="P130" t="inlineStr">
        <is>
          <t>DKI Jakarta</t>
        </is>
      </c>
      <c r="Q130" t="inlineStr"/>
    </row>
    <row r="131">
      <c r="A131" t="inlineStr">
        <is>
          <t>PUTRA BATAM MANDIRI</t>
        </is>
      </c>
      <c r="B131" t="inlineStr">
        <is>
          <t>Kota Batam</t>
        </is>
      </c>
      <c r="C131" t="inlineStr">
        <is>
          <t>0778455327</t>
        </is>
      </c>
      <c r="D131" t="inlineStr">
        <is>
          <t>pbm@jeniputra.com</t>
        </is>
      </c>
      <c r="E131" t="inlineStr">
        <is>
          <t>https://lpjk.pu.go.id/search-badan-usaha-detail/SCszU2JTVUhZUnQyUTBsZjdEQjk0QT09</t>
        </is>
      </c>
      <c r="F131" t="n">
        <v>2</v>
      </c>
      <c r="G131" t="inlineStr">
        <is>
          <t>BS001, BS004</t>
        </is>
      </c>
      <c r="H131" t="inlineStr">
        <is>
          <t>11 November 2014</t>
        </is>
      </c>
      <c r="I131" s="2" t="n">
        <v>46297</v>
      </c>
      <c r="J131" t="inlineStr">
        <is>
          <t>Pencabutan</t>
        </is>
      </c>
      <c r="K131" t="n">
        <v>60</v>
      </c>
      <c r="L131" t="inlineStr">
        <is>
          <t>2 Oktober 2026</t>
        </is>
      </c>
      <c r="M131" t="inlineStr">
        <is>
          <t>Konstruksi Bangunan Sipil Jalan, Konstruksi Jaringan Irigasi dan Drainase</t>
        </is>
      </c>
      <c r="N131" t="inlineStr">
        <is>
          <t>K</t>
        </is>
      </c>
      <c r="O131" t="inlineStr">
        <is>
          <t>20230929</t>
        </is>
      </c>
      <c r="P131" t="inlineStr">
        <is>
          <t>Kepulauan Riau</t>
        </is>
      </c>
      <c r="Q131" t="inlineStr"/>
    </row>
    <row r="132">
      <c r="A132" t="inlineStr">
        <is>
          <t>PUTRA NIJEJE WETASBER PUTRA</t>
        </is>
      </c>
      <c r="B132" t="inlineStr">
        <is>
          <t>Kab. Jayawijaya</t>
        </is>
      </c>
      <c r="C132" t="inlineStr">
        <is>
          <t>0895801273819</t>
        </is>
      </c>
      <c r="D132" t="inlineStr">
        <is>
          <t>cvputranijejewetasberputra@gmail.com</t>
        </is>
      </c>
      <c r="E132" t="inlineStr">
        <is>
          <t>https://lpjk.pu.go.id/search-badan-usaha-detail/Z2MyNU9aV2ozSlBMSERZNTBxMlN6dz09</t>
        </is>
      </c>
      <c r="F132" t="n">
        <v>1</v>
      </c>
      <c r="G132" t="inlineStr">
        <is>
          <t>BS001</t>
        </is>
      </c>
      <c r="H132" t="inlineStr">
        <is>
          <t>29 September 2023</t>
        </is>
      </c>
      <c r="I132" s="2" t="n">
        <v>46297</v>
      </c>
      <c r="J132" t="inlineStr">
        <is>
          <t>Disetujui</t>
        </is>
      </c>
      <c r="K132" t="n">
        <v>60</v>
      </c>
      <c r="L132" t="inlineStr">
        <is>
          <t>2 Oktober 2026</t>
        </is>
      </c>
      <c r="M132" t="inlineStr">
        <is>
          <t>Konstruksi Bangunan Sipil Jalan</t>
        </is>
      </c>
      <c r="N132" t="inlineStr">
        <is>
          <t>K</t>
        </is>
      </c>
      <c r="O132" t="inlineStr">
        <is>
          <t>20231001</t>
        </is>
      </c>
      <c r="P132" t="inlineStr">
        <is>
          <t>Papua</t>
        </is>
      </c>
      <c r="Q132" t="inlineStr"/>
    </row>
    <row r="133">
      <c r="A133" t="inlineStr">
        <is>
          <t>PUTRA PURNAWARMAN SELATAN</t>
        </is>
      </c>
      <c r="B133" t="inlineStr">
        <is>
          <t>Kab. Purwakarta</t>
        </is>
      </c>
      <c r="C133" t="inlineStr">
        <is>
          <t>081804072473</t>
        </is>
      </c>
      <c r="D133" t="inlineStr">
        <is>
          <t>cv.putrapurnawarmanselatan@gmail.com</t>
        </is>
      </c>
      <c r="E133" t="inlineStr">
        <is>
          <t>https://lpjk.pu.go.id/search-badan-usaha-detail/SkpTRmJQd1M4UnR5dlNpTnhsTDJDUT09</t>
        </is>
      </c>
      <c r="F133" t="n">
        <v>1</v>
      </c>
      <c r="G133" t="inlineStr">
        <is>
          <t>BS004</t>
        </is>
      </c>
      <c r="H133" t="inlineStr">
        <is>
          <t>21 Agustus 2023</t>
        </is>
      </c>
      <c r="I133" s="2" t="n">
        <v>46297</v>
      </c>
      <c r="J133" t="inlineStr">
        <is>
          <t>Disetujui</t>
        </is>
      </c>
      <c r="K133" t="n">
        <v>60</v>
      </c>
      <c r="L133" t="inlineStr">
        <is>
          <t>2 Oktober 2026</t>
        </is>
      </c>
      <c r="M133" t="inlineStr">
        <is>
          <t>Konstruksi Jaringan Irigasi dan Drainase</t>
        </is>
      </c>
      <c r="N133" t="inlineStr">
        <is>
          <t>K</t>
        </is>
      </c>
      <c r="O133" t="inlineStr">
        <is>
          <t>20230925</t>
        </is>
      </c>
      <c r="P133" t="inlineStr">
        <is>
          <t>Jawa Barat</t>
        </is>
      </c>
      <c r="Q133" t="inlineStr"/>
    </row>
    <row r="134">
      <c r="A134" t="inlineStr">
        <is>
          <t>PUTRA SULTAN GEMILANG</t>
        </is>
      </c>
      <c r="B134" t="inlineStr">
        <is>
          <t>Kota Banda Aceh</t>
        </is>
      </c>
      <c r="C134" t="inlineStr">
        <is>
          <t>082363848767</t>
        </is>
      </c>
      <c r="D134" t="inlineStr">
        <is>
          <t>putrasultangemilang@gmail.com</t>
        </is>
      </c>
      <c r="E134" t="inlineStr">
        <is>
          <t>https://lpjk.pu.go.id/search-badan-usaha-detail/K1E5Uk5MdldKbXBkUnB4QzBxVDJSdz09</t>
        </is>
      </c>
      <c r="F134" t="n">
        <v>1</v>
      </c>
      <c r="G134" t="inlineStr">
        <is>
          <t>BS002</t>
        </is>
      </c>
      <c r="H134" t="inlineStr">
        <is>
          <t>7 Januari 2021</t>
        </is>
      </c>
      <c r="I134" s="2" t="n">
        <v>46297</v>
      </c>
      <c r="J134" t="inlineStr">
        <is>
          <t>Disetujui</t>
        </is>
      </c>
      <c r="K134" t="n">
        <v>60</v>
      </c>
      <c r="L134" t="inlineStr">
        <is>
          <t>2 Oktober 2026</t>
        </is>
      </c>
      <c r="M134" t="inlineStr">
        <is>
          <t>Bangunan Sipil Jembatan, Jalan Layang, Fly Over, dan Underpass</t>
        </is>
      </c>
      <c r="N134" t="inlineStr">
        <is>
          <t>K</t>
        </is>
      </c>
      <c r="O134" t="inlineStr">
        <is>
          <t>20230926</t>
        </is>
      </c>
      <c r="P134" t="inlineStr">
        <is>
          <t>Aceh</t>
        </is>
      </c>
      <c r="Q134" t="inlineStr"/>
    </row>
    <row r="135">
      <c r="A135" t="inlineStr">
        <is>
          <t>PUTRA SUSESUBA SUKSES</t>
        </is>
      </c>
      <c r="B135" t="inlineStr">
        <is>
          <t>Kota Batam</t>
        </is>
      </c>
      <c r="C135" t="inlineStr">
        <is>
          <t>082172720679</t>
        </is>
      </c>
      <c r="D135" t="inlineStr">
        <is>
          <t>putrasusesubasukses@yahoo.com</t>
        </is>
      </c>
      <c r="E135" t="inlineStr">
        <is>
          <t>https://lpjk.pu.go.id/search-badan-usaha-detail/TXZvUzVUWmd5U1lIbGtRZWErdnFwUT09</t>
        </is>
      </c>
      <c r="F135" t="n">
        <v>1</v>
      </c>
      <c r="G135" t="inlineStr">
        <is>
          <t>BS001</t>
        </is>
      </c>
      <c r="H135" t="inlineStr">
        <is>
          <t>4 Oktober 2016</t>
        </is>
      </c>
      <c r="I135" s="2" t="n">
        <v>46297</v>
      </c>
      <c r="J135" t="inlineStr">
        <is>
          <t>Disetujui</t>
        </is>
      </c>
      <c r="K135" t="n">
        <v>60</v>
      </c>
      <c r="L135" t="inlineStr">
        <is>
          <t>2 Oktober 2026</t>
        </is>
      </c>
      <c r="M135" t="inlineStr">
        <is>
          <t>Konstruksi Bangunan Sipil Jalan</t>
        </is>
      </c>
      <c r="N135" t="inlineStr">
        <is>
          <t>K</t>
        </is>
      </c>
      <c r="O135" t="inlineStr">
        <is>
          <t>20231002</t>
        </is>
      </c>
      <c r="P135" t="inlineStr">
        <is>
          <t>Kepulauan Riau</t>
        </is>
      </c>
      <c r="Q135" t="inlineStr"/>
    </row>
    <row r="136">
      <c r="A136" t="inlineStr">
        <is>
          <t>PUTRA TELADAN</t>
        </is>
      </c>
      <c r="B136" t="inlineStr">
        <is>
          <t>Kab. Trenggalek</t>
        </is>
      </c>
      <c r="C136" t="inlineStr">
        <is>
          <t>085334044881</t>
        </is>
      </c>
      <c r="D136" t="inlineStr">
        <is>
          <t>cvputrateladan@gmail.com</t>
        </is>
      </c>
      <c r="E136" t="inlineStr">
        <is>
          <t>https://lpjk.pu.go.id/search-badan-usaha-detail/ZWpzT1E0QWRaSW9vU3NoRzFCWUhXQT09</t>
        </is>
      </c>
      <c r="F136" t="n">
        <v>1</v>
      </c>
      <c r="G136" t="inlineStr">
        <is>
          <t>BS004</t>
        </is>
      </c>
      <c r="H136" t="inlineStr">
        <is>
          <t>26 Februari 2020</t>
        </is>
      </c>
      <c r="I136" s="2" t="n">
        <v>46297</v>
      </c>
      <c r="J136" t="inlineStr">
        <is>
          <t>Disetujui</t>
        </is>
      </c>
      <c r="K136" t="n">
        <v>60</v>
      </c>
      <c r="L136" t="inlineStr">
        <is>
          <t>2 Oktober 2026</t>
        </is>
      </c>
      <c r="M136" t="inlineStr">
        <is>
          <t>Konstruksi Jaringan Irigasi dan Drainase</t>
        </is>
      </c>
      <c r="N136" t="inlineStr">
        <is>
          <t>K</t>
        </is>
      </c>
      <c r="O136" t="inlineStr">
        <is>
          <t>20230927</t>
        </is>
      </c>
      <c r="P136" t="inlineStr">
        <is>
          <t>Jawa Timur</t>
        </is>
      </c>
      <c r="Q136" t="inlineStr"/>
    </row>
    <row r="137">
      <c r="A137" t="inlineStr">
        <is>
          <t>PUTRI DALILAH</t>
        </is>
      </c>
      <c r="B137" t="inlineStr">
        <is>
          <t>Kota Bima</t>
        </is>
      </c>
      <c r="C137" t="inlineStr">
        <is>
          <t>085337997838</t>
        </is>
      </c>
      <c r="D137" t="inlineStr">
        <is>
          <t>putridalilah93@yahoo.com</t>
        </is>
      </c>
      <c r="E137" t="inlineStr">
        <is>
          <t>https://lpjk.pu.go.id/search-badan-usaha-detail/K1lmb2ZnQW43UmF1SFJ1ekk0QXR6Zz09</t>
        </is>
      </c>
      <c r="F137" t="n">
        <v>2</v>
      </c>
      <c r="G137" t="inlineStr">
        <is>
          <t>BG005, BS004</t>
        </is>
      </c>
      <c r="H137" t="inlineStr">
        <is>
          <t>22 Desember 2001</t>
        </is>
      </c>
      <c r="I137" s="2" t="n">
        <v>46297</v>
      </c>
      <c r="J137" t="inlineStr">
        <is>
          <t>Disetujui</t>
        </is>
      </c>
      <c r="K137" t="n">
        <v>60</v>
      </c>
      <c r="L137" t="inlineStr">
        <is>
          <t>2 Oktober 2026</t>
        </is>
      </c>
      <c r="M137" t="inlineStr">
        <is>
          <t>Konstruksi Gedung Kesehatan, Konstruksi Jaringan Irigasi dan Drainase</t>
        </is>
      </c>
      <c r="N137" t="inlineStr">
        <is>
          <t>K</t>
        </is>
      </c>
      <c r="O137" t="inlineStr">
        <is>
          <t>20231002</t>
        </is>
      </c>
      <c r="P137" t="inlineStr">
        <is>
          <t>Nusa Tenggara Barat</t>
        </is>
      </c>
      <c r="Q137" t="inlineStr"/>
    </row>
    <row r="138">
      <c r="A138" t="inlineStr">
        <is>
          <t>RAFFA HELICAL BRONZE</t>
        </is>
      </c>
      <c r="B138" t="inlineStr">
        <is>
          <t>Kota Cilegon</t>
        </is>
      </c>
      <c r="C138" t="inlineStr">
        <is>
          <t>0254398388</t>
        </is>
      </c>
      <c r="D138" t="inlineStr">
        <is>
          <t>pt.raffahelical@yahoo.co.id</t>
        </is>
      </c>
      <c r="E138" t="inlineStr">
        <is>
          <t>https://lpjk.pu.go.id/search-badan-usaha-detail/cGZZSE9lTUxuNW5FMk9SRWI0cldBUT09</t>
        </is>
      </c>
      <c r="F138" t="n">
        <v>2</v>
      </c>
      <c r="G138" t="inlineStr">
        <is>
          <t>BS009</t>
        </is>
      </c>
      <c r="H138" t="inlineStr">
        <is>
          <t>19 Mei 2010</t>
        </is>
      </c>
      <c r="I138" s="2" t="n">
        <v>46297</v>
      </c>
      <c r="J138" t="inlineStr">
        <is>
          <t>Disetujui</t>
        </is>
      </c>
      <c r="K138" t="n">
        <v>60</v>
      </c>
      <c r="L138" t="inlineStr">
        <is>
          <t>2 Oktober 2026</t>
        </is>
      </c>
      <c r="M138" t="inlineStr">
        <is>
          <t>Konstruksi Sentral Telekomunikasi</t>
        </is>
      </c>
      <c r="N138" t="inlineStr">
        <is>
          <t>K</t>
        </is>
      </c>
      <c r="O138" t="inlineStr">
        <is>
          <t>20231002</t>
        </is>
      </c>
      <c r="P138" t="inlineStr">
        <is>
          <t>Banten</t>
        </is>
      </c>
      <c r="Q138" t="inlineStr"/>
    </row>
    <row r="139">
      <c r="A139" t="inlineStr">
        <is>
          <t>RATU SOLIHIN</t>
        </is>
      </c>
      <c r="B139" t="inlineStr">
        <is>
          <t>Kota Palembang</t>
        </is>
      </c>
      <c r="C139" t="inlineStr">
        <is>
          <t>0711542548</t>
        </is>
      </c>
      <c r="D139" t="inlineStr">
        <is>
          <t>ratusolihin01@gmail.com</t>
        </is>
      </c>
      <c r="E139" t="inlineStr">
        <is>
          <t>https://lpjk.pu.go.id/search-badan-usaha-detail/S1RtWXh3VWY0Y1lDRk1BUE44RDVuZz09</t>
        </is>
      </c>
      <c r="F139" t="n">
        <v>1</v>
      </c>
      <c r="G139" t="inlineStr">
        <is>
          <t>BS002</t>
        </is>
      </c>
      <c r="H139" t="inlineStr">
        <is>
          <t>9 Oktober 2001</t>
        </is>
      </c>
      <c r="I139" s="2" t="n">
        <v>46297</v>
      </c>
      <c r="J139" t="inlineStr">
        <is>
          <t>Disetujui</t>
        </is>
      </c>
      <c r="K139" t="n">
        <v>60</v>
      </c>
      <c r="L139" t="inlineStr">
        <is>
          <t>2 Oktober 2026</t>
        </is>
      </c>
      <c r="M139" t="inlineStr">
        <is>
          <t>Bangunan Sipil Jembatan, Jalan Layang, Fly Over, dan Underpass</t>
        </is>
      </c>
      <c r="N139" t="inlineStr">
        <is>
          <t>K</t>
        </is>
      </c>
      <c r="O139" t="inlineStr">
        <is>
          <t>20230929</t>
        </is>
      </c>
      <c r="P139" t="inlineStr">
        <is>
          <t>Sumatera Selatan</t>
        </is>
      </c>
      <c r="Q139" t="inlineStr"/>
    </row>
    <row r="140">
      <c r="A140" t="inlineStr">
        <is>
          <t>RENDJANA HARSA KARYA</t>
        </is>
      </c>
      <c r="B140" t="inlineStr">
        <is>
          <t>Kota Bandung</t>
        </is>
      </c>
      <c r="C140" t="inlineStr">
        <is>
          <t>082240247588</t>
        </is>
      </c>
      <c r="D140" t="inlineStr">
        <is>
          <t>karyarendjanaharsa@gmail.com</t>
        </is>
      </c>
      <c r="E140" t="inlineStr">
        <is>
          <t>https://lpjk.pu.go.id/search-badan-usaha-detail/R2xGejZURWNBWGw1UTFQdmJGanYvUT09</t>
        </is>
      </c>
      <c r="F140" t="n">
        <v>6</v>
      </c>
      <c r="G140" t="inlineStr">
        <is>
          <t>BG001, BG009, BS001</t>
        </is>
      </c>
      <c r="H140" t="inlineStr">
        <is>
          <t>28 Agustus 2023</t>
        </is>
      </c>
      <c r="I140" s="2" t="n">
        <v>46297</v>
      </c>
      <c r="J140" t="inlineStr">
        <is>
          <t>Disetujui</t>
        </is>
      </c>
      <c r="K140" t="n">
        <v>60</v>
      </c>
      <c r="L140" t="inlineStr">
        <is>
          <t>2 Oktober 2026</t>
        </is>
      </c>
      <c r="M140" t="inlineStr">
        <is>
          <t>Konstruksi Bangunan Sipil Jalan, Konstruksi Gedung Hunian, Konstruksi Gedung Lainnya</t>
        </is>
      </c>
      <c r="N140" t="inlineStr">
        <is>
          <t>K</t>
        </is>
      </c>
      <c r="O140" t="inlineStr">
        <is>
          <t>20231002</t>
        </is>
      </c>
      <c r="P140" t="inlineStr">
        <is>
          <t>Jawa Barat</t>
        </is>
      </c>
      <c r="Q140" t="inlineStr"/>
    </row>
    <row r="141">
      <c r="A141" t="inlineStr">
        <is>
          <t>REZKANA CIPTA KONSTRUKSI</t>
        </is>
      </c>
      <c r="B141" t="inlineStr">
        <is>
          <t>Kab. Sumbawa Barat</t>
        </is>
      </c>
      <c r="C141" t="inlineStr">
        <is>
          <t>082339383964</t>
        </is>
      </c>
      <c r="D141" t="inlineStr">
        <is>
          <t>rezkananciptakonstruksi@gmail.com</t>
        </is>
      </c>
      <c r="E141" t="inlineStr">
        <is>
          <t>https://lpjk.pu.go.id/search-badan-usaha-detail/bUxkQnVQYlFpdGhLdjFOWWVrN09aZz09</t>
        </is>
      </c>
      <c r="F141" t="n">
        <v>6</v>
      </c>
      <c r="G141" t="inlineStr">
        <is>
          <t>BG002, BG004, BG005, BG006, BG009</t>
        </is>
      </c>
      <c r="H141" t="inlineStr">
        <is>
          <t>23 November 2020</t>
        </is>
      </c>
      <c r="I141" s="2" t="n">
        <v>46297</v>
      </c>
      <c r="J141" t="inlineStr">
        <is>
          <t>Disetujui, Pencabutan</t>
        </is>
      </c>
      <c r="K141" t="n">
        <v>60</v>
      </c>
      <c r="L141" t="inlineStr">
        <is>
          <t>2 Oktober 2026</t>
        </is>
      </c>
      <c r="M141" t="inlineStr">
        <is>
          <t>Konstruksi Gedung Kesehatan, Konstruksi Gedung Lainnya, Konstruksi Gedung Pendidikan, Konstruksi Gedung Perbelanjaan, Konstruksi Gedung Perkantoran</t>
        </is>
      </c>
      <c r="N141" t="inlineStr">
        <is>
          <t>K</t>
        </is>
      </c>
      <c r="O141" t="inlineStr">
        <is>
          <t>20230315, 20231002, 20231003</t>
        </is>
      </c>
      <c r="P141" t="inlineStr">
        <is>
          <t>Nusa Tenggara Barat</t>
        </is>
      </c>
      <c r="Q141" t="inlineStr"/>
    </row>
    <row r="142">
      <c r="A142" t="inlineStr">
        <is>
          <t>RHACINDO ADI PERSADA</t>
        </is>
      </c>
      <c r="B142" t="inlineStr">
        <is>
          <t>Kab. Bandung</t>
        </is>
      </c>
      <c r="C142" t="inlineStr">
        <is>
          <t>0225947463</t>
        </is>
      </c>
      <c r="D142" t="inlineStr">
        <is>
          <t>rhacindoadi@gmail.com</t>
        </is>
      </c>
      <c r="E142" t="inlineStr">
        <is>
          <t>https://lpjk.pu.go.id/search-badan-usaha-detail/TWFUeVkxQmYyQVlITWJUcWVkRmxQUT09</t>
        </is>
      </c>
      <c r="F142" t="n">
        <v>3</v>
      </c>
      <c r="G142" t="inlineStr">
        <is>
          <t>BS001, BS002, BS004</t>
        </is>
      </c>
      <c r="H142" t="inlineStr">
        <is>
          <t>3 Maret 2001</t>
        </is>
      </c>
      <c r="I142" s="2" t="n">
        <v>46297</v>
      </c>
      <c r="J142" t="inlineStr">
        <is>
          <t>Disetujui</t>
        </is>
      </c>
      <c r="K142" t="n">
        <v>60</v>
      </c>
      <c r="L142" t="inlineStr">
        <is>
          <t>2 Oktober 2026</t>
        </is>
      </c>
      <c r="M142" t="inlineStr">
        <is>
          <t>Bangunan Sipil Jembatan, Jalan Layang, Fly Over, dan Underpass, Konstruksi Bangunan Sipil Jalan, Konstruksi Jaringan Irigasi dan Drainase</t>
        </is>
      </c>
      <c r="N142" t="inlineStr">
        <is>
          <t>K</t>
        </is>
      </c>
      <c r="O142" t="inlineStr">
        <is>
          <t>20230929, 20231003</t>
        </is>
      </c>
      <c r="P142" t="inlineStr">
        <is>
          <t>Jawa Barat</t>
        </is>
      </c>
      <c r="Q142" t="inlineStr"/>
    </row>
    <row r="143">
      <c r="A143" t="inlineStr">
        <is>
          <t>RIDO UTAMA</t>
        </is>
      </c>
      <c r="B143" t="inlineStr">
        <is>
          <t>Kab. Majalengka</t>
        </is>
      </c>
      <c r="C143" t="inlineStr">
        <is>
          <t>082130448345</t>
        </is>
      </c>
      <c r="D143" t="inlineStr">
        <is>
          <t>ridoutama135@gmail.com</t>
        </is>
      </c>
      <c r="E143" t="inlineStr">
        <is>
          <t>https://lpjk.pu.go.id/search-badan-usaha-detail/alI1N0NmWkZ4eEZpbStjcklDMHdmZz09</t>
        </is>
      </c>
      <c r="F143" t="n">
        <v>2</v>
      </c>
      <c r="G143" t="inlineStr">
        <is>
          <t>BS001, BS004</t>
        </is>
      </c>
      <c r="H143" t="inlineStr">
        <is>
          <t>3 September 2018</t>
        </is>
      </c>
      <c r="I143" s="2" t="n">
        <v>46297</v>
      </c>
      <c r="J143" t="inlineStr">
        <is>
          <t>Disetujui</t>
        </is>
      </c>
      <c r="K143" t="n">
        <v>60</v>
      </c>
      <c r="L143" t="inlineStr">
        <is>
          <t>2 Oktober 2026</t>
        </is>
      </c>
      <c r="M143" t="inlineStr">
        <is>
          <t>Konstruksi Bangunan Sipil Jalan, Konstruksi Jaringan Irigasi dan Drainase</t>
        </is>
      </c>
      <c r="N143" t="inlineStr">
        <is>
          <t>K</t>
        </is>
      </c>
      <c r="O143" t="inlineStr">
        <is>
          <t>20231002</t>
        </is>
      </c>
      <c r="P143" t="inlineStr">
        <is>
          <t>Jawa Barat</t>
        </is>
      </c>
      <c r="Q143" t="inlineStr"/>
    </row>
    <row r="144">
      <c r="A144" t="inlineStr">
        <is>
          <t>SABA BONAJAYA</t>
        </is>
      </c>
      <c r="B144" t="inlineStr">
        <is>
          <t>Kota Adm. Jakarta Barat</t>
        </is>
      </c>
      <c r="C144" t="inlineStr">
        <is>
          <t>081297817909</t>
        </is>
      </c>
      <c r="D144" t="inlineStr">
        <is>
          <t>sababonajaya@yahoo.com</t>
        </is>
      </c>
      <c r="E144" t="inlineStr">
        <is>
          <t>https://lpjk.pu.go.id/search-badan-usaha-detail/ZGx3K0Z4SkpoTVFQRTk0RVlnV1crQT09</t>
        </is>
      </c>
      <c r="F144" t="n">
        <v>1</v>
      </c>
      <c r="G144" t="inlineStr">
        <is>
          <t>BS001</t>
        </is>
      </c>
      <c r="H144" t="inlineStr">
        <is>
          <t>15 Februari 2008</t>
        </is>
      </c>
      <c r="I144" s="2" t="n">
        <v>46297</v>
      </c>
      <c r="J144" t="inlineStr">
        <is>
          <t>Disetujui</t>
        </is>
      </c>
      <c r="K144" t="n">
        <v>60</v>
      </c>
      <c r="L144" t="inlineStr">
        <is>
          <t>2 Oktober 2026</t>
        </is>
      </c>
      <c r="M144" t="inlineStr">
        <is>
          <t>Konstruksi Bangunan Sipil Jalan</t>
        </is>
      </c>
      <c r="N144" t="inlineStr">
        <is>
          <t>K</t>
        </is>
      </c>
      <c r="O144" t="inlineStr">
        <is>
          <t>20230928</t>
        </is>
      </c>
      <c r="P144" t="inlineStr">
        <is>
          <t>DKI Jakarta</t>
        </is>
      </c>
      <c r="Q144" t="inlineStr"/>
    </row>
    <row r="145">
      <c r="A145" t="inlineStr">
        <is>
          <t>SAHAT ALIKAYA</t>
        </is>
      </c>
      <c r="B145" t="inlineStr">
        <is>
          <t>Kab. Tuban</t>
        </is>
      </c>
      <c r="C145" t="inlineStr">
        <is>
          <t>081216738376</t>
        </is>
      </c>
      <c r="D145" t="inlineStr">
        <is>
          <t>cvsahatalikaya@gmail.com</t>
        </is>
      </c>
      <c r="E145" t="inlineStr">
        <is>
          <t>https://lpjk.pu.go.id/search-badan-usaha-detail/MkhVYTNRSklaeCtBWm5kb0g0UVRqUT09</t>
        </is>
      </c>
      <c r="F145" t="n">
        <v>1</v>
      </c>
      <c r="G145" t="inlineStr">
        <is>
          <t>BG006</t>
        </is>
      </c>
      <c r="H145" t="inlineStr">
        <is>
          <t>29 Juli 2023</t>
        </is>
      </c>
      <c r="I145" s="2" t="n">
        <v>46297</v>
      </c>
      <c r="J145" t="inlineStr">
        <is>
          <t>Disetujui</t>
        </is>
      </c>
      <c r="K145" t="n">
        <v>60</v>
      </c>
      <c r="L145" t="inlineStr">
        <is>
          <t>2 Oktober 2026</t>
        </is>
      </c>
      <c r="M145" t="inlineStr">
        <is>
          <t>Konstruksi Gedung Pendidikan</t>
        </is>
      </c>
      <c r="N145" t="inlineStr">
        <is>
          <t>K</t>
        </is>
      </c>
      <c r="O145" t="inlineStr">
        <is>
          <t>20231002</t>
        </is>
      </c>
      <c r="P145" t="inlineStr">
        <is>
          <t>Jawa Timur</t>
        </is>
      </c>
      <c r="Q145" t="inlineStr"/>
    </row>
    <row r="146">
      <c r="A146" t="inlineStr">
        <is>
          <t>SAMOFA JAYA</t>
        </is>
      </c>
      <c r="B146" t="inlineStr">
        <is>
          <t>Kab. Tojo Una Una</t>
        </is>
      </c>
      <c r="C146" t="inlineStr">
        <is>
          <t>081356503165</t>
        </is>
      </c>
      <c r="D146" t="inlineStr">
        <is>
          <t>samofa_jaya@yahoo.com</t>
        </is>
      </c>
      <c r="E146" t="inlineStr">
        <is>
          <t>https://lpjk.pu.go.id/search-badan-usaha-detail/MStYQWJxdXppcXhrbUVhSWFNS29RZz09</t>
        </is>
      </c>
      <c r="F146" t="n">
        <v>1</v>
      </c>
      <c r="G146" t="inlineStr">
        <is>
          <t>BS005</t>
        </is>
      </c>
      <c r="H146" t="inlineStr">
        <is>
          <t>10 Februari 2012</t>
        </is>
      </c>
      <c r="I146" s="2" t="n">
        <v>46297</v>
      </c>
      <c r="J146" t="inlineStr">
        <is>
          <t>Disetujui</t>
        </is>
      </c>
      <c r="K146" t="n">
        <v>60</v>
      </c>
      <c r="L146" t="inlineStr">
        <is>
          <t>2 Oktober 2026</t>
        </is>
      </c>
      <c r="M146" t="inlineStr">
        <is>
          <t>Konstruksi Bangunan Sipil Pengolahan Air Bersih</t>
        </is>
      </c>
      <c r="N146" t="inlineStr">
        <is>
          <t>K</t>
        </is>
      </c>
      <c r="O146" t="inlineStr">
        <is>
          <t>20231002</t>
        </is>
      </c>
      <c r="P146" t="inlineStr">
        <is>
          <t>Sulawesi Tengah</t>
        </is>
      </c>
      <c r="Q146" t="inlineStr"/>
    </row>
    <row r="147">
      <c r="A147" t="inlineStr">
        <is>
          <t>SANGKAREANG KARYATAMA SEJAHTERA</t>
        </is>
      </c>
      <c r="B147" t="inlineStr">
        <is>
          <t>Kota Mataram</t>
        </is>
      </c>
      <c r="C147" t="inlineStr">
        <is>
          <t>082341868967</t>
        </is>
      </c>
      <c r="D147" t="inlineStr">
        <is>
          <t>sangkareang.pt@gmail.com</t>
        </is>
      </c>
      <c r="E147" t="inlineStr">
        <is>
          <t>https://lpjk.pu.go.id/search-badan-usaha-detail/R05OcHd6SHRkZ3VyU2tXOCt1Si96Zz09</t>
        </is>
      </c>
      <c r="F147" t="n">
        <v>1</v>
      </c>
      <c r="G147" t="inlineStr">
        <is>
          <t>BG003</t>
        </is>
      </c>
      <c r="H147" t="inlineStr">
        <is>
          <t>21 Desember 2015</t>
        </is>
      </c>
      <c r="I147" s="2" t="n">
        <v>46297</v>
      </c>
      <c r="J147" t="inlineStr">
        <is>
          <t>Pencabutan</t>
        </is>
      </c>
      <c r="K147" t="n">
        <v>60</v>
      </c>
      <c r="L147" t="inlineStr">
        <is>
          <t>2 Oktober 2026</t>
        </is>
      </c>
      <c r="M147" t="inlineStr">
        <is>
          <t>Konstruksi Gedung Industri</t>
        </is>
      </c>
      <c r="N147" t="inlineStr">
        <is>
          <t>K</t>
        </is>
      </c>
      <c r="O147" t="inlineStr">
        <is>
          <t>20230927</t>
        </is>
      </c>
      <c r="P147" t="inlineStr">
        <is>
          <t>Nusa Tenggara Barat</t>
        </is>
      </c>
      <c r="Q147" t="inlineStr"/>
    </row>
    <row r="148">
      <c r="A148" t="inlineStr">
        <is>
          <t>SANSKARA SANJAYA ANANTA</t>
        </is>
      </c>
      <c r="B148" t="inlineStr">
        <is>
          <t>Kota Adm. Jakarta Selatan</t>
        </is>
      </c>
      <c r="C148" t="inlineStr">
        <is>
          <t>081296292738</t>
        </is>
      </c>
      <c r="D148" t="inlineStr">
        <is>
          <t>sanskarageneralcontractor@gmail.com</t>
        </is>
      </c>
      <c r="E148" t="inlineStr">
        <is>
          <t>https://lpjk.pu.go.id/search-badan-usaha-detail/Um5HSklVV2E4blV2aFloK2JtSmNldz09</t>
        </is>
      </c>
      <c r="F148" t="n">
        <v>1</v>
      </c>
      <c r="G148" t="inlineStr">
        <is>
          <t>BG006</t>
        </is>
      </c>
      <c r="H148" t="inlineStr">
        <is>
          <t>1 September 2022</t>
        </is>
      </c>
      <c r="I148" s="2" t="n">
        <v>46297</v>
      </c>
      <c r="J148" t="inlineStr">
        <is>
          <t>Disetujui</t>
        </is>
      </c>
      <c r="K148" t="n">
        <v>60</v>
      </c>
      <c r="L148" t="inlineStr">
        <is>
          <t>2 Oktober 2026</t>
        </is>
      </c>
      <c r="M148" t="inlineStr">
        <is>
          <t>Konstruksi Gedung Pendidikan</t>
        </is>
      </c>
      <c r="N148" t="inlineStr">
        <is>
          <t>K</t>
        </is>
      </c>
      <c r="O148" t="inlineStr">
        <is>
          <t>20230927</t>
        </is>
      </c>
      <c r="P148" t="inlineStr">
        <is>
          <t>DKI Jakarta</t>
        </is>
      </c>
      <c r="Q148" t="inlineStr"/>
    </row>
    <row r="149">
      <c r="A149" t="inlineStr">
        <is>
          <t>SARANA MANDIRI SUKSES</t>
        </is>
      </c>
      <c r="B149" t="inlineStr">
        <is>
          <t>Kab. Banjar</t>
        </is>
      </c>
      <c r="C149" t="inlineStr">
        <is>
          <t>08125025848</t>
        </is>
      </c>
      <c r="D149" t="inlineStr">
        <is>
          <t>saranamandirisukses4@gmail.com</t>
        </is>
      </c>
      <c r="E149" t="inlineStr">
        <is>
          <t>https://lpjk.pu.go.id/search-badan-usaha-detail/THJzSXIraHg3c3Y2VzlsNEpQOWlodz09</t>
        </is>
      </c>
      <c r="F149" t="n">
        <v>2</v>
      </c>
      <c r="G149" t="inlineStr">
        <is>
          <t>BG006, BG009</t>
        </is>
      </c>
      <c r="H149" t="inlineStr">
        <is>
          <t>4 Agustus 2003</t>
        </is>
      </c>
      <c r="I149" s="2" t="n">
        <v>46297</v>
      </c>
      <c r="J149" t="inlineStr">
        <is>
          <t>Disetujui</t>
        </is>
      </c>
      <c r="K149" t="n">
        <v>60</v>
      </c>
      <c r="L149" t="inlineStr">
        <is>
          <t>2 Oktober 2026</t>
        </is>
      </c>
      <c r="M149" t="inlineStr">
        <is>
          <t>Konstruksi Gedung Lainnya, Konstruksi Gedung Pendidikan</t>
        </is>
      </c>
      <c r="N149" t="inlineStr">
        <is>
          <t>K</t>
        </is>
      </c>
      <c r="O149" t="inlineStr">
        <is>
          <t>20230926</t>
        </is>
      </c>
      <c r="P149" t="inlineStr">
        <is>
          <t>Kalimantan Selatan</t>
        </is>
      </c>
      <c r="Q149" t="inlineStr"/>
    </row>
    <row r="150">
      <c r="A150" t="inlineStr">
        <is>
          <t>SATRIA UTAMA</t>
        </is>
      </c>
      <c r="B150" t="inlineStr">
        <is>
          <t>Kab. Karanganyar</t>
        </is>
      </c>
      <c r="C150" t="inlineStr">
        <is>
          <t>082134387811</t>
        </is>
      </c>
      <c r="D150" t="inlineStr">
        <is>
          <t>satriautama1974@yahoo.co.id</t>
        </is>
      </c>
      <c r="E150" t="inlineStr">
        <is>
          <t>https://lpjk.pu.go.id/search-badan-usaha-detail/SC9sbTFZMG54VmVDb0xyR0xxZ01tZz09</t>
        </is>
      </c>
      <c r="F150" t="n">
        <v>2</v>
      </c>
      <c r="G150" t="inlineStr">
        <is>
          <t>BG009, BS004</t>
        </is>
      </c>
      <c r="H150" t="inlineStr">
        <is>
          <t>19 Juni 2004</t>
        </is>
      </c>
      <c r="I150" s="2" t="n">
        <v>46297</v>
      </c>
      <c r="J150" t="inlineStr">
        <is>
          <t>Disetujui</t>
        </is>
      </c>
      <c r="K150" t="n">
        <v>60</v>
      </c>
      <c r="L150" t="inlineStr">
        <is>
          <t>2 Oktober 2026</t>
        </is>
      </c>
      <c r="M150" t="inlineStr">
        <is>
          <t>Konstruksi Gedung Lainnya, Konstruksi Jaringan Irigasi dan Drainase</t>
        </is>
      </c>
      <c r="N150" t="inlineStr">
        <is>
          <t>K</t>
        </is>
      </c>
      <c r="O150" t="inlineStr">
        <is>
          <t>20230904, 20230927</t>
        </is>
      </c>
      <c r="P150" t="inlineStr">
        <is>
          <t>Jawa Tengah</t>
        </is>
      </c>
      <c r="Q150" t="inlineStr"/>
    </row>
    <row r="151">
      <c r="A151" t="inlineStr">
        <is>
          <t>SHAKA ARKATAMA</t>
        </is>
      </c>
      <c r="B151" t="inlineStr">
        <is>
          <t>Kab. Jember</t>
        </is>
      </c>
      <c r="C151" t="inlineStr">
        <is>
          <t>082336452301</t>
        </is>
      </c>
      <c r="D151" t="inlineStr">
        <is>
          <t>shakaarkatama.cv@gmail.com</t>
        </is>
      </c>
      <c r="E151" t="inlineStr">
        <is>
          <t>https://lpjk.pu.go.id/search-badan-usaha-detail/bnp2RlU4U0pZUXprcmg3MGx4SWthUT09</t>
        </is>
      </c>
      <c r="F151" t="n">
        <v>1</v>
      </c>
      <c r="G151" t="inlineStr">
        <is>
          <t>BS004</t>
        </is>
      </c>
      <c r="H151" t="inlineStr">
        <is>
          <t>24 Februari 2021</t>
        </is>
      </c>
      <c r="I151" s="2" t="n">
        <v>46297</v>
      </c>
      <c r="J151" t="inlineStr">
        <is>
          <t>Disetujui</t>
        </is>
      </c>
      <c r="K151" t="n">
        <v>60</v>
      </c>
      <c r="L151" t="inlineStr">
        <is>
          <t>2 Oktober 2026</t>
        </is>
      </c>
      <c r="M151" t="inlineStr">
        <is>
          <t>Konstruksi Jaringan Irigasi dan Drainase</t>
        </is>
      </c>
      <c r="N151" t="inlineStr">
        <is>
          <t>K</t>
        </is>
      </c>
      <c r="O151" t="inlineStr">
        <is>
          <t>20230926</t>
        </is>
      </c>
      <c r="P151" t="inlineStr">
        <is>
          <t>Jawa Timur</t>
        </is>
      </c>
      <c r="Q151" t="inlineStr"/>
    </row>
    <row r="152">
      <c r="A152" t="inlineStr">
        <is>
          <t>SHAKA PRIMA UTAMA</t>
        </is>
      </c>
      <c r="B152" t="inlineStr">
        <is>
          <t>Kota Pangkal Pinang</t>
        </is>
      </c>
      <c r="C152" t="inlineStr">
        <is>
          <t>081271910220</t>
        </is>
      </c>
      <c r="D152" t="inlineStr">
        <is>
          <t>cvshakaprimautama@gmail.com</t>
        </is>
      </c>
      <c r="E152" t="inlineStr">
        <is>
          <t>https://lpjk.pu.go.id/search-badan-usaha-detail/aGJDeHJqazBtZ3dqUnlYZ0o4a0VHZz09</t>
        </is>
      </c>
      <c r="F152" t="n">
        <v>1</v>
      </c>
      <c r="G152" t="inlineStr">
        <is>
          <t>BS001</t>
        </is>
      </c>
      <c r="H152" t="inlineStr">
        <is>
          <t>31 Juli 2023</t>
        </is>
      </c>
      <c r="I152" s="2" t="n">
        <v>46297</v>
      </c>
      <c r="J152" t="inlineStr">
        <is>
          <t>Disetujui</t>
        </is>
      </c>
      <c r="K152" t="n">
        <v>60</v>
      </c>
      <c r="L152" t="inlineStr">
        <is>
          <t>2 Oktober 2026</t>
        </is>
      </c>
      <c r="M152" t="inlineStr">
        <is>
          <t>Konstruksi Bangunan Sipil Jalan</t>
        </is>
      </c>
      <c r="N152" t="inlineStr">
        <is>
          <t>K</t>
        </is>
      </c>
      <c r="O152" t="inlineStr">
        <is>
          <t>20230927</t>
        </is>
      </c>
      <c r="P152" t="inlineStr">
        <is>
          <t>Kepulauan Bangka Belitung</t>
        </is>
      </c>
      <c r="Q152" t="inlineStr"/>
    </row>
    <row r="153">
      <c r="A153" t="inlineStr">
        <is>
          <t>SHANGHAI BAOYE GROUP CORP., LTD</t>
        </is>
      </c>
      <c r="B153" t="inlineStr">
        <is>
          <t>Kota Adm. Jakarta Pusat</t>
        </is>
      </c>
      <c r="C153" t="inlineStr">
        <is>
          <t>081315335078</t>
        </is>
      </c>
      <c r="D153" t="inlineStr">
        <is>
          <t>shanghaibaoye49@gmail.com</t>
        </is>
      </c>
      <c r="E153" t="inlineStr">
        <is>
          <t>https://lpjk.pu.go.id/search-badan-usaha-detail/N0RCNnJGSDNEazR6WWNoQmp4UHd4QT09</t>
        </is>
      </c>
      <c r="F153" t="n">
        <v>1</v>
      </c>
      <c r="G153" t="inlineStr">
        <is>
          <t>BS002</t>
        </is>
      </c>
      <c r="H153" t="inlineStr">
        <is>
          <t>24 Juni 2022</t>
        </is>
      </c>
      <c r="I153" s="2" t="n">
        <v>46297</v>
      </c>
      <c r="J153" t="inlineStr">
        <is>
          <t>Disetujui</t>
        </is>
      </c>
      <c r="K153" t="n">
        <v>60</v>
      </c>
      <c r="L153" t="inlineStr">
        <is>
          <t>2 Oktober 2026</t>
        </is>
      </c>
      <c r="M153" t="inlineStr">
        <is>
          <t>Bangunan Sipil Jembatan, Jalan Layang, Fly Over, dan Underpass</t>
        </is>
      </c>
      <c r="N153" t="inlineStr">
        <is>
          <t>B</t>
        </is>
      </c>
      <c r="O153" t="inlineStr">
        <is>
          <t>20230925</t>
        </is>
      </c>
      <c r="P153" t="inlineStr">
        <is>
          <t>DKI Jakarta</t>
        </is>
      </c>
      <c r="Q153" t="inlineStr"/>
    </row>
    <row r="154">
      <c r="A154" t="inlineStr">
        <is>
          <t>SINAR JAYA</t>
        </is>
      </c>
      <c r="B154" t="inlineStr">
        <is>
          <t>Kab. Dompu</t>
        </is>
      </c>
      <c r="C154" t="inlineStr">
        <is>
          <t>08192299923</t>
        </is>
      </c>
      <c r="D154" t="inlineStr">
        <is>
          <t>cv.sinarjaya888@ymail.com</t>
        </is>
      </c>
      <c r="E154" t="inlineStr">
        <is>
          <t>https://lpjk.pu.go.id/search-badan-usaha-detail/RENZcjcwUThPZmQvSHd1SE41NkJMZz09</t>
        </is>
      </c>
      <c r="F154" t="n">
        <v>1</v>
      </c>
      <c r="G154" t="inlineStr">
        <is>
          <t>BS002</t>
        </is>
      </c>
      <c r="H154" t="inlineStr">
        <is>
          <t>27 Desember 1974</t>
        </is>
      </c>
      <c r="I154" s="2" t="n">
        <v>46297</v>
      </c>
      <c r="J154" t="inlineStr">
        <is>
          <t>Disetujui</t>
        </is>
      </c>
      <c r="K154" t="n">
        <v>60</v>
      </c>
      <c r="L154" t="inlineStr">
        <is>
          <t>2 Oktober 2026</t>
        </is>
      </c>
      <c r="M154" t="inlineStr">
        <is>
          <t>Bangunan Sipil Jembatan, Jalan Layang, Fly Over, dan Underpass</t>
        </is>
      </c>
      <c r="N154" t="inlineStr">
        <is>
          <t>K</t>
        </is>
      </c>
      <c r="O154" t="inlineStr">
        <is>
          <t>20230930</t>
        </is>
      </c>
      <c r="P154" t="inlineStr">
        <is>
          <t>Nusa Tenggara Barat</t>
        </is>
      </c>
      <c r="Q154" t="inlineStr"/>
    </row>
    <row r="155">
      <c r="A155" t="inlineStr">
        <is>
          <t>SINAR MEKAR JAYA</t>
        </is>
      </c>
      <c r="B155" t="inlineStr">
        <is>
          <t>Kab. Bandung</t>
        </is>
      </c>
      <c r="C155" t="inlineStr">
        <is>
          <t>02287833646</t>
        </is>
      </c>
      <c r="D155" t="inlineStr">
        <is>
          <t>pt.sinar_mekarjaya@yahoo.com</t>
        </is>
      </c>
      <c r="E155" t="inlineStr">
        <is>
          <t>https://lpjk.pu.go.id/search-badan-usaha-detail/VWRXcVlxZEQ2MGROTTZRVVBqa0NXUT09</t>
        </is>
      </c>
      <c r="F155" t="n">
        <v>1</v>
      </c>
      <c r="G155" t="inlineStr">
        <is>
          <t>BG003</t>
        </is>
      </c>
      <c r="H155" t="inlineStr">
        <is>
          <t>20 Januari 2017</t>
        </is>
      </c>
      <c r="I155" s="2" t="n">
        <v>46297</v>
      </c>
      <c r="J155" t="inlineStr">
        <is>
          <t>Pencabutan</t>
        </is>
      </c>
      <c r="K155" t="n">
        <v>60</v>
      </c>
      <c r="L155" t="inlineStr">
        <is>
          <t>2 Oktober 2026</t>
        </is>
      </c>
      <c r="M155" t="inlineStr">
        <is>
          <t>Konstruksi Gedung Industri</t>
        </is>
      </c>
      <c r="N155" t="inlineStr">
        <is>
          <t>B</t>
        </is>
      </c>
      <c r="O155" t="inlineStr">
        <is>
          <t>20230824</t>
        </is>
      </c>
      <c r="P155" t="inlineStr">
        <is>
          <t>Jawa Barat</t>
        </is>
      </c>
      <c r="Q155" t="inlineStr"/>
    </row>
    <row r="156">
      <c r="A156" t="inlineStr">
        <is>
          <t>SINAR PAPUA PIYAIYE</t>
        </is>
      </c>
      <c r="B156" t="inlineStr">
        <is>
          <t>Kab. Nabire</t>
        </is>
      </c>
      <c r="C156" t="inlineStr">
        <is>
          <t>081247747728</t>
        </is>
      </c>
      <c r="D156" t="inlineStr">
        <is>
          <t>sinarpiyaiye@gmail.com</t>
        </is>
      </c>
      <c r="E156" t="inlineStr">
        <is>
          <t>https://lpjk.pu.go.id/search-badan-usaha-detail/cWVOL1RWN0VDOEJkZ1lqL0J1cllFZz09</t>
        </is>
      </c>
      <c r="F156" t="n">
        <v>2</v>
      </c>
      <c r="G156" t="inlineStr">
        <is>
          <t>BG001, BS001</t>
        </is>
      </c>
      <c r="H156" t="inlineStr">
        <is>
          <t>9 Desember 2016</t>
        </is>
      </c>
      <c r="I156" s="2" t="n">
        <v>46297</v>
      </c>
      <c r="J156" t="inlineStr">
        <is>
          <t>Disetujui</t>
        </is>
      </c>
      <c r="K156" t="n">
        <v>60</v>
      </c>
      <c r="L156" t="inlineStr">
        <is>
          <t>2 Oktober 2026</t>
        </is>
      </c>
      <c r="M156" t="inlineStr">
        <is>
          <t>Konstruksi Bangunan Sipil Jalan, Konstruksi Gedung Hunian</t>
        </is>
      </c>
      <c r="N156" t="inlineStr">
        <is>
          <t>K</t>
        </is>
      </c>
      <c r="O156" t="inlineStr">
        <is>
          <t>20231002</t>
        </is>
      </c>
      <c r="P156" t="inlineStr">
        <is>
          <t>Papua</t>
        </is>
      </c>
      <c r="Q156" t="inlineStr"/>
    </row>
    <row r="157">
      <c r="A157" t="inlineStr">
        <is>
          <t>SINAR SALWA PERSADA</t>
        </is>
      </c>
      <c r="B157" t="inlineStr">
        <is>
          <t>Kota Bengkulu</t>
        </is>
      </c>
      <c r="C157" t="inlineStr">
        <is>
          <t>081368189253</t>
        </is>
      </c>
      <c r="D157" t="inlineStr">
        <is>
          <t>sinarsalwapersada@gmail.com</t>
        </is>
      </c>
      <c r="E157" t="inlineStr">
        <is>
          <t>https://lpjk.pu.go.id/search-badan-usaha-detail/Yiszclo1bmd0U2x2TEl6SlYrVVhPQT09</t>
        </is>
      </c>
      <c r="F157" t="n">
        <v>8</v>
      </c>
      <c r="G157" t="inlineStr">
        <is>
          <t>BG001, BG002, BG004, BG005, BG006, BS001, BS002, BS005</t>
        </is>
      </c>
      <c r="H157" t="inlineStr">
        <is>
          <t>20 September 2023</t>
        </is>
      </c>
      <c r="I157" s="2" t="n">
        <v>46297</v>
      </c>
      <c r="J157" t="inlineStr">
        <is>
          <t>Disetujui</t>
        </is>
      </c>
      <c r="K157" t="n">
        <v>60</v>
      </c>
      <c r="L157" t="inlineStr">
        <is>
          <t>2 Oktober 2026</t>
        </is>
      </c>
      <c r="M157" t="inlineStr">
        <is>
          <t>Bangunan Sipil Jembatan, Jalan Layang, Fly Over, dan Underpass, Konstruksi Bangunan Sipil Jalan, Konstruksi Bangunan Sipil Pengolahan Air Bersih, Konstruksi Gedung Hunian, Konstruksi Gedung Kesehatan, Konstruksi Gedung Pendidikan, Konstruksi Gedung Perbelanjaan, Konstruksi Gedung Perkantoran</t>
        </is>
      </c>
      <c r="N157" t="inlineStr">
        <is>
          <t>K</t>
        </is>
      </c>
      <c r="O157" t="inlineStr">
        <is>
          <t>20230929</t>
        </is>
      </c>
      <c r="P157" t="inlineStr">
        <is>
          <t>Bengkulu</t>
        </is>
      </c>
      <c r="Q157" t="inlineStr"/>
    </row>
    <row r="158">
      <c r="A158" t="inlineStr">
        <is>
          <t>SULTAN BUMI PERKASA</t>
        </is>
      </c>
      <c r="B158" t="inlineStr">
        <is>
          <t>Kab. Kepulauan Meranti</t>
        </is>
      </c>
      <c r="C158" t="inlineStr">
        <is>
          <t>081261098873</t>
        </is>
      </c>
      <c r="D158" t="inlineStr">
        <is>
          <t>sultanbumiperkasa2022@gmail.com</t>
        </is>
      </c>
      <c r="E158" t="inlineStr">
        <is>
          <t>https://lpjk.pu.go.id/search-badan-usaha-detail/M0Q3YXhzWkVKQzlZTXUxdHAyV05QQT09</t>
        </is>
      </c>
      <c r="F158" t="n">
        <v>1</v>
      </c>
      <c r="G158" t="inlineStr">
        <is>
          <t>BS004</t>
        </is>
      </c>
      <c r="H158" t="inlineStr">
        <is>
          <t>12 September 2022</t>
        </is>
      </c>
      <c r="I158" s="2" t="n">
        <v>46297</v>
      </c>
      <c r="J158" t="inlineStr">
        <is>
          <t>Disetujui</t>
        </is>
      </c>
      <c r="K158" t="n">
        <v>60</v>
      </c>
      <c r="L158" t="inlineStr">
        <is>
          <t>2 Oktober 2026</t>
        </is>
      </c>
      <c r="M158" t="inlineStr">
        <is>
          <t>Konstruksi Jaringan Irigasi dan Drainase</t>
        </is>
      </c>
      <c r="N158" t="inlineStr">
        <is>
          <t>K</t>
        </is>
      </c>
      <c r="O158" t="inlineStr">
        <is>
          <t>20230929</t>
        </is>
      </c>
      <c r="P158" t="inlineStr">
        <is>
          <t>Riau</t>
        </is>
      </c>
      <c r="Q158" t="inlineStr"/>
    </row>
    <row r="159">
      <c r="A159" t="inlineStr">
        <is>
          <t>SUMBER ANUGRAH MANDIRI</t>
        </is>
      </c>
      <c r="B159" t="inlineStr">
        <is>
          <t>Kab. Magetan</t>
        </is>
      </c>
      <c r="C159" t="inlineStr">
        <is>
          <t>081235598057</t>
        </is>
      </c>
      <c r="D159" t="inlineStr">
        <is>
          <t>cv.sumberanugrahmandiri@gmail.com</t>
        </is>
      </c>
      <c r="E159" t="inlineStr">
        <is>
          <t>https://lpjk.pu.go.id/search-badan-usaha-detail/SXhnOWFNVnByeXFqWXMrYllsbE90QT09</t>
        </is>
      </c>
      <c r="F159" t="n">
        <v>1</v>
      </c>
      <c r="G159" t="inlineStr">
        <is>
          <t>BS001</t>
        </is>
      </c>
      <c r="H159" t="inlineStr">
        <is>
          <t>15 Juli 2011</t>
        </is>
      </c>
      <c r="I159" s="2" t="n">
        <v>46297</v>
      </c>
      <c r="J159" t="inlineStr">
        <is>
          <t>Pencabutan</t>
        </is>
      </c>
      <c r="K159" t="n">
        <v>60</v>
      </c>
      <c r="L159" t="inlineStr">
        <is>
          <t>2 Oktober 2026</t>
        </is>
      </c>
      <c r="M159" t="inlineStr">
        <is>
          <t>Konstruksi Bangunan Sipil Jalan</t>
        </is>
      </c>
      <c r="N159" t="inlineStr">
        <is>
          <t>K</t>
        </is>
      </c>
      <c r="O159" t="inlineStr">
        <is>
          <t>20231002</t>
        </is>
      </c>
      <c r="P159" t="inlineStr">
        <is>
          <t>Jawa Timur</t>
        </is>
      </c>
      <c r="Q159" t="inlineStr"/>
    </row>
    <row r="160">
      <c r="A160" t="inlineStr">
        <is>
          <t>SUMBER BERKAH PERKASA</t>
        </is>
      </c>
      <c r="B160" t="inlineStr">
        <is>
          <t>Kab. Jayapura</t>
        </is>
      </c>
      <c r="C160" t="inlineStr">
        <is>
          <t>085254849353</t>
        </is>
      </c>
      <c r="D160" t="inlineStr">
        <is>
          <t>muhammadrojiqin@gmail.com</t>
        </is>
      </c>
      <c r="E160" t="inlineStr">
        <is>
          <t>https://lpjk.pu.go.id/search-badan-usaha-detail/OGNJeFdaTndOY25INE9IZThsNStkZz09</t>
        </is>
      </c>
      <c r="F160" t="n">
        <v>1</v>
      </c>
      <c r="G160" t="inlineStr">
        <is>
          <t>PL005</t>
        </is>
      </c>
      <c r="H160" t="inlineStr">
        <is>
          <t>8 April 2021</t>
        </is>
      </c>
      <c r="I160" s="2" t="n">
        <v>46297</v>
      </c>
      <c r="J160" t="inlineStr">
        <is>
          <t>Pembekuan</t>
        </is>
      </c>
      <c r="K160" t="n">
        <v>60</v>
      </c>
      <c r="L160" t="inlineStr">
        <is>
          <t>2 Oktober 2026</t>
        </is>
      </c>
      <c r="M160" t="inlineStr">
        <is>
          <t>Pembuatan/Pengeboran Sumur Air Tanah</t>
        </is>
      </c>
      <c r="N160" t="inlineStr">
        <is>
          <t>Spesialis</t>
        </is>
      </c>
      <c r="O160" t="inlineStr">
        <is>
          <t>20230928</t>
        </is>
      </c>
      <c r="P160" t="inlineStr">
        <is>
          <t>Papua</t>
        </is>
      </c>
      <c r="Q160" t="inlineStr"/>
    </row>
    <row r="161">
      <c r="A161" t="inlineStr">
        <is>
          <t>SUMBER INDAH YESIVIR</t>
        </is>
      </c>
      <c r="B161" t="inlineStr">
        <is>
          <t>Kab. Mimika</t>
        </is>
      </c>
      <c r="C161" t="inlineStr">
        <is>
          <t>0813467104477</t>
        </is>
      </c>
      <c r="D161" t="inlineStr">
        <is>
          <t>kogoyayerince05@gmail.com</t>
        </is>
      </c>
      <c r="E161" t="inlineStr">
        <is>
          <t>https://lpjk.pu.go.id/search-badan-usaha-detail/UXdsSHBGRHArYy82Vk1hOHE5K1RsQT09</t>
        </is>
      </c>
      <c r="F161" t="n">
        <v>1</v>
      </c>
      <c r="G161" t="inlineStr">
        <is>
          <t>BS001</t>
        </is>
      </c>
      <c r="H161" t="inlineStr">
        <is>
          <t>27 April 2015</t>
        </is>
      </c>
      <c r="I161" s="2" t="n">
        <v>46297</v>
      </c>
      <c r="J161" t="inlineStr">
        <is>
          <t>Disetujui</t>
        </is>
      </c>
      <c r="K161" t="n">
        <v>60</v>
      </c>
      <c r="L161" t="inlineStr">
        <is>
          <t>2 Oktober 2026</t>
        </is>
      </c>
      <c r="M161" t="inlineStr">
        <is>
          <t>Konstruksi Bangunan Sipil Jalan</t>
        </is>
      </c>
      <c r="N161" t="inlineStr">
        <is>
          <t>K</t>
        </is>
      </c>
      <c r="O161" t="inlineStr">
        <is>
          <t>20230927</t>
        </is>
      </c>
      <c r="P161" t="inlineStr">
        <is>
          <t>Papua</t>
        </is>
      </c>
      <c r="Q161" t="inlineStr"/>
    </row>
    <row r="162">
      <c r="A162" t="inlineStr">
        <is>
          <t>SWADAYA BHAKTI GUNA</t>
        </is>
      </c>
      <c r="B162" t="inlineStr">
        <is>
          <t>Kota Samarinda</t>
        </is>
      </c>
      <c r="C162" t="inlineStr">
        <is>
          <t>0811552914</t>
        </is>
      </c>
      <c r="D162" t="inlineStr">
        <is>
          <t>swadaya.bhaktiguna77@gmail.com</t>
        </is>
      </c>
      <c r="E162" t="inlineStr">
        <is>
          <t>https://lpjk.pu.go.id/search-badan-usaha-detail/RTN6Y3dYYUNiODZVTXIxbElCYkw0QT09</t>
        </is>
      </c>
      <c r="F162" t="n">
        <v>3</v>
      </c>
      <c r="G162" t="inlineStr">
        <is>
          <t>BG006, BG009, BS001</t>
        </is>
      </c>
      <c r="H162" t="inlineStr">
        <is>
          <t>17 Februari 2007</t>
        </is>
      </c>
      <c r="I162" s="2" t="n">
        <v>46297</v>
      </c>
      <c r="J162" t="inlineStr">
        <is>
          <t>Disetujui</t>
        </is>
      </c>
      <c r="K162" t="n">
        <v>60</v>
      </c>
      <c r="L162" t="inlineStr">
        <is>
          <t>2 Oktober 2026</t>
        </is>
      </c>
      <c r="M162" t="inlineStr">
        <is>
          <t>Konstruksi Bangunan Sipil Jalan, Konstruksi Gedung Lainnya, Konstruksi Gedung Pendidikan</t>
        </is>
      </c>
      <c r="N162" t="inlineStr">
        <is>
          <t>K, M</t>
        </is>
      </c>
      <c r="O162" t="inlineStr">
        <is>
          <t>20230929</t>
        </is>
      </c>
      <c r="P162" t="inlineStr">
        <is>
          <t>Kalimantan Timur</t>
        </is>
      </c>
      <c r="Q162" t="inlineStr"/>
    </row>
    <row r="163">
      <c r="A163" t="inlineStr">
        <is>
          <t>SWADAYA GRAHA</t>
        </is>
      </c>
      <c r="B163" t="inlineStr">
        <is>
          <t>Kab. Gresik</t>
        </is>
      </c>
      <c r="C163" t="inlineStr">
        <is>
          <t>031394477</t>
        </is>
      </c>
      <c r="D163" t="inlineStr">
        <is>
          <t>contact@swadayagraha.com</t>
        </is>
      </c>
      <c r="E163" t="inlineStr">
        <is>
          <t>https://lpjk.pu.go.id/search-badan-usaha-detail/bjkvUU5VeXZQMFlZSUZZK0lnOUt3Zz09</t>
        </is>
      </c>
      <c r="F163" t="n">
        <v>1</v>
      </c>
      <c r="G163" t="inlineStr">
        <is>
          <t>IN001</t>
        </is>
      </c>
      <c r="H163" t="inlineStr">
        <is>
          <t>11 November 1985</t>
        </is>
      </c>
      <c r="I163" s="2" t="n">
        <v>46297</v>
      </c>
      <c r="J163" t="inlineStr">
        <is>
          <t>Pencabutan</t>
        </is>
      </c>
      <c r="K163" t="n">
        <v>60</v>
      </c>
      <c r="L163" t="inlineStr">
        <is>
          <t>2 Oktober 2026</t>
        </is>
      </c>
      <c r="M163" t="inlineStr">
        <is>
          <t>Instalasi Mekanikal</t>
        </is>
      </c>
      <c r="N163" t="inlineStr">
        <is>
          <t>Spesialis</t>
        </is>
      </c>
      <c r="O163" t="inlineStr">
        <is>
          <t>20230926</t>
        </is>
      </c>
      <c r="P163" t="inlineStr">
        <is>
          <t>Jawa Timur</t>
        </is>
      </c>
      <c r="Q163" t="inlineStr"/>
    </row>
    <row r="164">
      <c r="A164" t="inlineStr">
        <is>
          <t>TABINA JAYA MANDIRI</t>
        </is>
      </c>
      <c r="B164" t="inlineStr">
        <is>
          <t>Kota Banda Aceh</t>
        </is>
      </c>
      <c r="C164" t="inlineStr">
        <is>
          <t>082363848767</t>
        </is>
      </c>
      <c r="D164" t="inlineStr">
        <is>
          <t>tabinajayamandiri@gmail.com</t>
        </is>
      </c>
      <c r="E164" t="inlineStr">
        <is>
          <t>https://lpjk.pu.go.id/search-badan-usaha-detail/SEdRamlTeHdkRmJNenM2eTNPeEo5QT09</t>
        </is>
      </c>
      <c r="F164" t="n">
        <v>1</v>
      </c>
      <c r="G164" t="inlineStr">
        <is>
          <t>PB009</t>
        </is>
      </c>
      <c r="H164" t="inlineStr">
        <is>
          <t>7 September 2023</t>
        </is>
      </c>
      <c r="I164" s="2" t="n">
        <v>46297</v>
      </c>
      <c r="J164" t="inlineStr">
        <is>
          <t>Disetujui</t>
        </is>
      </c>
      <c r="K164" t="n">
        <v>60</v>
      </c>
      <c r="L164" t="inlineStr">
        <is>
          <t>2 Oktober 2026</t>
        </is>
      </c>
      <c r="M164" t="inlineStr">
        <is>
          <t>Pembersihan dan Perapihan Bangunan Gedung dan/atau Bangunan Sipil</t>
        </is>
      </c>
      <c r="N164" t="inlineStr">
        <is>
          <t>Spesialis</t>
        </is>
      </c>
      <c r="O164" t="inlineStr">
        <is>
          <t>20230922</t>
        </is>
      </c>
      <c r="P164" t="inlineStr">
        <is>
          <t>Aceh</t>
        </is>
      </c>
      <c r="Q164" t="inlineStr"/>
    </row>
    <row r="165">
      <c r="A165" t="inlineStr">
        <is>
          <t>TANGGUL JAYA</t>
        </is>
      </c>
      <c r="B165" t="inlineStr">
        <is>
          <t>Kota Surakarta</t>
        </is>
      </c>
      <c r="C165" t="inlineStr">
        <is>
          <t>0271654341</t>
        </is>
      </c>
      <c r="D165" t="inlineStr">
        <is>
          <t>tangguljaya83@yahoo.com</t>
        </is>
      </c>
      <c r="E165" t="inlineStr">
        <is>
          <t>https://lpjk.pu.go.id/search-badan-usaha-detail/VzBuVmJNOUJadWx4RUQ2QzkzN3ZIZz09</t>
        </is>
      </c>
      <c r="F165" t="n">
        <v>1</v>
      </c>
      <c r="G165" t="inlineStr">
        <is>
          <t>BS001</t>
        </is>
      </c>
      <c r="H165" t="inlineStr">
        <is>
          <t>7 Februari 1983</t>
        </is>
      </c>
      <c r="I165" s="2" t="n">
        <v>46297</v>
      </c>
      <c r="J165" t="inlineStr">
        <is>
          <t>Disetujui</t>
        </is>
      </c>
      <c r="K165" t="n">
        <v>60</v>
      </c>
      <c r="L165" t="inlineStr">
        <is>
          <t>2 Oktober 2026</t>
        </is>
      </c>
      <c r="M165" t="inlineStr">
        <is>
          <t>Konstruksi Bangunan Sipil Jalan</t>
        </is>
      </c>
      <c r="N165" t="inlineStr">
        <is>
          <t>M</t>
        </is>
      </c>
      <c r="O165" t="inlineStr">
        <is>
          <t>20230918</t>
        </is>
      </c>
      <c r="P165" t="inlineStr">
        <is>
          <t>Jawa Tengah</t>
        </is>
      </c>
      <c r="Q165" t="inlineStr"/>
    </row>
    <row r="166">
      <c r="A166" t="inlineStr">
        <is>
          <t>TANI HARAPAN</t>
        </is>
      </c>
      <c r="B166" t="inlineStr">
        <is>
          <t>Kab. Langkat</t>
        </is>
      </c>
      <c r="C166" t="inlineStr">
        <is>
          <t>081263097766</t>
        </is>
      </c>
      <c r="D166" t="inlineStr">
        <is>
          <t>cv.taniharapan@yahoo.com</t>
        </is>
      </c>
      <c r="E166" t="inlineStr">
        <is>
          <t>https://lpjk.pu.go.id/search-badan-usaha-detail/N05TaDNxSjF2UFkxWC9RcEpQa2x6dz09</t>
        </is>
      </c>
      <c r="F166" t="n">
        <v>1</v>
      </c>
      <c r="G166" t="inlineStr">
        <is>
          <t>BG009</t>
        </is>
      </c>
      <c r="H166" t="inlineStr">
        <is>
          <t>27 Juni 2007</t>
        </is>
      </c>
      <c r="I166" s="2" t="n">
        <v>46297</v>
      </c>
      <c r="J166" t="inlineStr">
        <is>
          <t>Disetujui</t>
        </is>
      </c>
      <c r="K166" t="n">
        <v>60</v>
      </c>
      <c r="L166" t="inlineStr">
        <is>
          <t>2 Oktober 2026</t>
        </is>
      </c>
      <c r="M166" t="inlineStr">
        <is>
          <t>Konstruksi Gedung Lainnya</t>
        </is>
      </c>
      <c r="N166" t="inlineStr">
        <is>
          <t>K</t>
        </is>
      </c>
      <c r="O166" t="inlineStr">
        <is>
          <t>20231002</t>
        </is>
      </c>
      <c r="P166" t="inlineStr">
        <is>
          <t>Sumatera Utara</t>
        </is>
      </c>
      <c r="Q166" t="inlineStr"/>
    </row>
    <row r="167">
      <c r="A167" t="inlineStr">
        <is>
          <t>TATA BANGUN PRESISI</t>
        </is>
      </c>
      <c r="B167" t="inlineStr">
        <is>
          <t>Kab. Gowa</t>
        </is>
      </c>
      <c r="C167" t="inlineStr">
        <is>
          <t>081298879988</t>
        </is>
      </c>
      <c r="D167" t="inlineStr">
        <is>
          <t>tatabangunpresisi@gmail.com</t>
        </is>
      </c>
      <c r="E167" t="inlineStr">
        <is>
          <t>https://lpjk.pu.go.id/search-badan-usaha-detail/SWpGY21EUVh5cTNGQ3czSEw5akxKZz09</t>
        </is>
      </c>
      <c r="F167" t="n">
        <v>1</v>
      </c>
      <c r="G167" t="inlineStr">
        <is>
          <t>BG001</t>
        </is>
      </c>
      <c r="H167" t="inlineStr">
        <is>
          <t>6 Juli 2023</t>
        </is>
      </c>
      <c r="I167" s="2" t="n">
        <v>46297</v>
      </c>
      <c r="J167" t="inlineStr">
        <is>
          <t>Disetujui</t>
        </is>
      </c>
      <c r="K167" t="n">
        <v>60</v>
      </c>
      <c r="L167" t="inlineStr">
        <is>
          <t>2 Oktober 2026</t>
        </is>
      </c>
      <c r="M167" t="inlineStr">
        <is>
          <t>Konstruksi Gedung Hunian</t>
        </is>
      </c>
      <c r="N167" t="inlineStr">
        <is>
          <t>K</t>
        </is>
      </c>
      <c r="O167" t="inlineStr">
        <is>
          <t>20230930</t>
        </is>
      </c>
      <c r="P167" t="inlineStr">
        <is>
          <t>Sulawesi Selatan</t>
        </is>
      </c>
      <c r="Q167" t="inlineStr"/>
    </row>
    <row r="168">
      <c r="A168" t="inlineStr">
        <is>
          <t>TEGAR RAJAWALI PERKASA</t>
        </is>
      </c>
      <c r="B168" t="inlineStr">
        <is>
          <t>Kab. Landak</t>
        </is>
      </c>
      <c r="C168" t="inlineStr">
        <is>
          <t>082270223137</t>
        </is>
      </c>
      <c r="D168" t="inlineStr">
        <is>
          <t>pt.tegarrajawali137@gmail.com</t>
        </is>
      </c>
      <c r="E168" t="inlineStr">
        <is>
          <t>https://lpjk.pu.go.id/search-badan-usaha-detail/MGl1c3E3WmtGbHpPaVc2UWVpbG8xdz09</t>
        </is>
      </c>
      <c r="F168" t="n">
        <v>2</v>
      </c>
      <c r="G168" t="inlineStr">
        <is>
          <t>BS001, BS002</t>
        </is>
      </c>
      <c r="H168" t="inlineStr">
        <is>
          <t>1 April 2006</t>
        </is>
      </c>
      <c r="I168" s="2" t="n">
        <v>46297</v>
      </c>
      <c r="J168" t="inlineStr">
        <is>
          <t>Disetujui</t>
        </is>
      </c>
      <c r="K168" t="n">
        <v>60</v>
      </c>
      <c r="L168" t="inlineStr">
        <is>
          <t>2 Oktober 2026</t>
        </is>
      </c>
      <c r="M168" t="inlineStr">
        <is>
          <t>Bangunan Sipil Jembatan, Jalan Layang, Fly Over, dan Underpass, Konstruksi Bangunan Sipil Jalan</t>
        </is>
      </c>
      <c r="N168" t="inlineStr">
        <is>
          <t>K</t>
        </is>
      </c>
      <c r="O168" t="inlineStr">
        <is>
          <t>20230927</t>
        </is>
      </c>
      <c r="P168" t="inlineStr">
        <is>
          <t>Kalimantan Barat</t>
        </is>
      </c>
      <c r="Q168" t="inlineStr"/>
    </row>
    <row r="169">
      <c r="A169" t="inlineStr">
        <is>
          <t>TIRTA KENCANA SELARAS</t>
        </is>
      </c>
      <c r="B169" t="inlineStr">
        <is>
          <t>Kota Tangerang Selatan</t>
        </is>
      </c>
      <c r="C169" t="inlineStr">
        <is>
          <t>0212915569</t>
        </is>
      </c>
      <c r="D169" t="inlineStr">
        <is>
          <t>tirtaselaras@gmail.com</t>
        </is>
      </c>
      <c r="E169" t="inlineStr">
        <is>
          <t>https://lpjk.pu.go.id/search-badan-usaha-detail/ZFJRQ0ZUUUNFSkpOK0VsZFlreE5IUT09</t>
        </is>
      </c>
      <c r="F169" t="n">
        <v>2</v>
      </c>
      <c r="G169" t="inlineStr">
        <is>
          <t>BG003, BG009</t>
        </is>
      </c>
      <c r="H169" t="inlineStr">
        <is>
          <t>25 November 2010</t>
        </is>
      </c>
      <c r="I169" s="2" t="n">
        <v>46297</v>
      </c>
      <c r="J169" t="inlineStr">
        <is>
          <t>Disetujui, Pencabutan</t>
        </is>
      </c>
      <c r="K169" t="n">
        <v>60</v>
      </c>
      <c r="L169" t="inlineStr">
        <is>
          <t>2 Oktober 2026</t>
        </is>
      </c>
      <c r="M169" t="inlineStr">
        <is>
          <t>Konstruksi Gedung Industri, Konstruksi Gedung Lainnya</t>
        </is>
      </c>
      <c r="N169" t="inlineStr">
        <is>
          <t>K</t>
        </is>
      </c>
      <c r="O169" t="inlineStr">
        <is>
          <t>20230622, 20231001</t>
        </is>
      </c>
      <c r="P169" t="inlineStr">
        <is>
          <t>Banten</t>
        </is>
      </c>
      <c r="Q169" t="inlineStr"/>
    </row>
    <row r="170">
      <c r="A170" t="inlineStr">
        <is>
          <t>TRI DARMA JAYA</t>
        </is>
      </c>
      <c r="B170" t="inlineStr">
        <is>
          <t>Kota Samarinda</t>
        </is>
      </c>
      <c r="C170" t="inlineStr">
        <is>
          <t>081242095333</t>
        </is>
      </c>
      <c r="D170" t="inlineStr">
        <is>
          <t>tridarmajaya@yahoo.com</t>
        </is>
      </c>
      <c r="E170" t="inlineStr">
        <is>
          <t>https://lpjk.pu.go.id/search-badan-usaha-detail/U2VsVHFhUkRnczdYR0xzL0VTT0dHQT09</t>
        </is>
      </c>
      <c r="F170" t="n">
        <v>2</v>
      </c>
      <c r="G170" t="inlineStr">
        <is>
          <t>BS001, BS004</t>
        </is>
      </c>
      <c r="H170" t="inlineStr">
        <is>
          <t>1 April 2020</t>
        </is>
      </c>
      <c r="I170" s="2" t="n">
        <v>46297</v>
      </c>
      <c r="J170" t="inlineStr">
        <is>
          <t>Disetujui</t>
        </is>
      </c>
      <c r="K170" t="n">
        <v>60</v>
      </c>
      <c r="L170" t="inlineStr">
        <is>
          <t>2 Oktober 2026</t>
        </is>
      </c>
      <c r="M170" t="inlineStr">
        <is>
          <t>Konstruksi Bangunan Sipil Jalan, Konstruksi Jaringan Irigasi dan Drainase</t>
        </is>
      </c>
      <c r="N170" t="inlineStr">
        <is>
          <t>K</t>
        </is>
      </c>
      <c r="O170" t="inlineStr">
        <is>
          <t>20230926</t>
        </is>
      </c>
      <c r="P170" t="inlineStr">
        <is>
          <t>Kalimantan Timur</t>
        </is>
      </c>
      <c r="Q170" t="inlineStr"/>
    </row>
    <row r="171">
      <c r="A171" t="inlineStr">
        <is>
          <t>TRI KARTIKA SARI</t>
        </is>
      </c>
      <c r="B171" t="inlineStr">
        <is>
          <t>Kab. Muaro Jambi</t>
        </is>
      </c>
      <c r="C171" t="inlineStr">
        <is>
          <t>085288942160</t>
        </is>
      </c>
      <c r="D171" t="inlineStr">
        <is>
          <t>cvkartikasari2023@gmail.com</t>
        </is>
      </c>
      <c r="E171" t="inlineStr">
        <is>
          <t>https://lpjk.pu.go.id/search-badan-usaha-detail/OVZWc1NBQlFyWUd5VGpXcGFlSU9oQT09</t>
        </is>
      </c>
      <c r="F171" t="n">
        <v>1</v>
      </c>
      <c r="G171" t="inlineStr">
        <is>
          <t>BS001</t>
        </is>
      </c>
      <c r="H171" t="inlineStr">
        <is>
          <t>31 Juli 2023</t>
        </is>
      </c>
      <c r="I171" s="2" t="n">
        <v>46297</v>
      </c>
      <c r="J171" t="inlineStr">
        <is>
          <t>Disetujui</t>
        </is>
      </c>
      <c r="K171" t="n">
        <v>60</v>
      </c>
      <c r="L171" t="inlineStr">
        <is>
          <t>2 Oktober 2026</t>
        </is>
      </c>
      <c r="M171" t="inlineStr">
        <is>
          <t>Konstruksi Bangunan Sipil Jalan</t>
        </is>
      </c>
      <c r="N171" t="inlineStr">
        <is>
          <t>K</t>
        </is>
      </c>
      <c r="O171" t="inlineStr">
        <is>
          <t>20230929</t>
        </is>
      </c>
      <c r="P171" t="inlineStr">
        <is>
          <t>Jambi</t>
        </is>
      </c>
      <c r="Q171" t="inlineStr"/>
    </row>
    <row r="172">
      <c r="A172" t="inlineStr">
        <is>
          <t>TRI UTAMA</t>
        </is>
      </c>
      <c r="B172" t="inlineStr">
        <is>
          <t>Kab. Bandung</t>
        </is>
      </c>
      <c r="C172" t="inlineStr">
        <is>
          <t>082121450500</t>
        </is>
      </c>
      <c r="D172" t="inlineStr">
        <is>
          <t>cv.tri.utama15@gmail.com</t>
        </is>
      </c>
      <c r="E172" t="inlineStr">
        <is>
          <t>https://lpjk.pu.go.id/search-badan-usaha-detail/WklQN3ZiemxYdkU2cU9VUUsyN2VMZz09</t>
        </is>
      </c>
      <c r="F172" t="n">
        <v>4</v>
      </c>
      <c r="G172" t="inlineStr">
        <is>
          <t>BG009, BS001, BS004, BS005</t>
        </is>
      </c>
      <c r="H172" t="inlineStr">
        <is>
          <t>8 Oktober 2003</t>
        </is>
      </c>
      <c r="I172" s="2" t="n">
        <v>46297</v>
      </c>
      <c r="J172" t="inlineStr">
        <is>
          <t>Disetujui</t>
        </is>
      </c>
      <c r="K172" t="n">
        <v>60</v>
      </c>
      <c r="L172" t="inlineStr">
        <is>
          <t>2 Oktober 2026</t>
        </is>
      </c>
      <c r="M172" t="inlineStr">
        <is>
          <t>Konstruksi Bangunan Sipil Jalan, Konstruksi Bangunan Sipil Pengolahan Air Bersih, Konstruksi Gedung Lainnya, Konstruksi Jaringan Irigasi dan Drainase</t>
        </is>
      </c>
      <c r="N172" t="inlineStr">
        <is>
          <t>K</t>
        </is>
      </c>
      <c r="O172" t="inlineStr">
        <is>
          <t>20230927, 20231002</t>
        </is>
      </c>
      <c r="P172" t="inlineStr">
        <is>
          <t>Jawa Barat</t>
        </is>
      </c>
      <c r="Q172" t="inlineStr"/>
    </row>
    <row r="173">
      <c r="A173" t="inlineStr">
        <is>
          <t>TRIAS MANUNGGAL</t>
        </is>
      </c>
      <c r="B173" t="inlineStr">
        <is>
          <t>Kota Bandung</t>
        </is>
      </c>
      <c r="C173" t="inlineStr">
        <is>
          <t>0227273832</t>
        </is>
      </c>
      <c r="D173" t="inlineStr">
        <is>
          <t>triasman@yahoo.co.id</t>
        </is>
      </c>
      <c r="E173" t="inlineStr">
        <is>
          <t>https://lpjk.pu.go.id/search-badan-usaha-detail/R2c0a0xKR2RYTzNQTGJGSVQxdEtwQT09</t>
        </is>
      </c>
      <c r="F173" t="n">
        <v>2</v>
      </c>
      <c r="G173" t="inlineStr">
        <is>
          <t>BG006</t>
        </is>
      </c>
      <c r="H173" t="inlineStr">
        <is>
          <t>19 Juli 1999</t>
        </is>
      </c>
      <c r="I173" s="2" t="n">
        <v>46297</v>
      </c>
      <c r="J173" t="inlineStr">
        <is>
          <t>Disetujui</t>
        </is>
      </c>
      <c r="K173" t="n">
        <v>60</v>
      </c>
      <c r="L173" t="inlineStr">
        <is>
          <t>2 Oktober 2026</t>
        </is>
      </c>
      <c r="M173" t="inlineStr">
        <is>
          <t>Konstruksi Gedung Pendidikan</t>
        </is>
      </c>
      <c r="N173" t="inlineStr">
        <is>
          <t>K</t>
        </is>
      </c>
      <c r="O173" t="inlineStr">
        <is>
          <t>20230930</t>
        </is>
      </c>
      <c r="P173" t="inlineStr">
        <is>
          <t>Jawa Barat</t>
        </is>
      </c>
      <c r="Q173" t="inlineStr"/>
    </row>
    <row r="174">
      <c r="A174" t="inlineStr">
        <is>
          <t>TRIASA MANDIRI</t>
        </is>
      </c>
      <c r="B174" t="inlineStr">
        <is>
          <t>Kota Ambon</t>
        </is>
      </c>
      <c r="C174" t="inlineStr">
        <is>
          <t>08114782328</t>
        </is>
      </c>
      <c r="D174" t="inlineStr">
        <is>
          <t>abdulw871@gmail.com</t>
        </is>
      </c>
      <c r="E174" t="inlineStr">
        <is>
          <t>https://lpjk.pu.go.id/search-badan-usaha-detail/NHhucFp4WHlXTmdlNWVpRkMzT25jUT09</t>
        </is>
      </c>
      <c r="F174" t="n">
        <v>3</v>
      </c>
      <c r="G174" t="inlineStr">
        <is>
          <t>BG001</t>
        </is>
      </c>
      <c r="H174" t="inlineStr">
        <is>
          <t>29 Agustus 2019</t>
        </is>
      </c>
      <c r="I174" s="2" t="n">
        <v>46297</v>
      </c>
      <c r="J174" t="inlineStr">
        <is>
          <t>Disetujui</t>
        </is>
      </c>
      <c r="K174" t="n">
        <v>60</v>
      </c>
      <c r="L174" t="inlineStr">
        <is>
          <t>2 Oktober 2026</t>
        </is>
      </c>
      <c r="M174" t="inlineStr">
        <is>
          <t>Konstruksi Gedung Hunian</t>
        </is>
      </c>
      <c r="N174" t="inlineStr">
        <is>
          <t>K</t>
        </is>
      </c>
      <c r="O174" t="inlineStr">
        <is>
          <t>20230924</t>
        </is>
      </c>
      <c r="P174" t="inlineStr">
        <is>
          <t>Maluku</t>
        </is>
      </c>
      <c r="Q174" t="inlineStr"/>
    </row>
    <row r="175">
      <c r="A175" t="inlineStr">
        <is>
          <t>TRIASINDOMIX</t>
        </is>
      </c>
      <c r="B175" t="inlineStr">
        <is>
          <t>Kab. Sidoarjo</t>
        </is>
      </c>
      <c r="C175" t="inlineStr">
        <is>
          <t>081330788592</t>
        </is>
      </c>
      <c r="D175" t="inlineStr">
        <is>
          <t>mixtriasindo@gmail.com</t>
        </is>
      </c>
      <c r="E175" t="inlineStr">
        <is>
          <t>https://lpjk.pu.go.id/search-badan-usaha-detail/Sys2OVJjZEVqSWV1YzF1NG1qYytoUT09</t>
        </is>
      </c>
      <c r="F175" t="n">
        <v>2</v>
      </c>
      <c r="G175" t="inlineStr">
        <is>
          <t>KK008, PL003</t>
        </is>
      </c>
      <c r="H175" t="inlineStr">
        <is>
          <t>20 Maret 2010</t>
        </is>
      </c>
      <c r="I175" s="2" t="n">
        <v>46297</v>
      </c>
      <c r="J175" t="inlineStr">
        <is>
          <t>Pembekuan</t>
        </is>
      </c>
      <c r="K175" t="n">
        <v>60</v>
      </c>
      <c r="L175" t="inlineStr">
        <is>
          <t>2 Oktober 2026</t>
        </is>
      </c>
      <c r="M175" t="inlineStr">
        <is>
          <t>Penyiapan Lahan Konstruksi, Perkerasan Aspal</t>
        </is>
      </c>
      <c r="N175" t="inlineStr">
        <is>
          <t>Spesialis</t>
        </is>
      </c>
      <c r="O175" t="inlineStr">
        <is>
          <t>20230927, 20230930</t>
        </is>
      </c>
      <c r="P175" t="inlineStr">
        <is>
          <t>Jawa Timur</t>
        </is>
      </c>
      <c r="Q175" t="inlineStr"/>
    </row>
    <row r="176">
      <c r="A176" t="inlineStr">
        <is>
          <t>TRIATMA TRUNTUM KONSTRUKSINDO</t>
        </is>
      </c>
      <c r="B176" t="inlineStr">
        <is>
          <t>Kota Adm. Jakarta Barat</t>
        </is>
      </c>
      <c r="C176" t="inlineStr">
        <is>
          <t>02129866319</t>
        </is>
      </c>
      <c r="D176" t="inlineStr">
        <is>
          <t>pt.triatmatruntumkonstruksindo@gmail.com</t>
        </is>
      </c>
      <c r="E176" t="inlineStr">
        <is>
          <t>https://lpjk.pu.go.id/search-badan-usaha-detail/QVBhOU5FSjB2RU1wTFhmYTJRRWhpZz09</t>
        </is>
      </c>
      <c r="F176" t="n">
        <v>1</v>
      </c>
      <c r="G176" t="inlineStr">
        <is>
          <t>AR001</t>
        </is>
      </c>
      <c r="H176" t="inlineStr">
        <is>
          <t>13 September 2019</t>
        </is>
      </c>
      <c r="I176" s="2" t="n">
        <v>46297</v>
      </c>
      <c r="J176" t="inlineStr">
        <is>
          <t>Disetujui</t>
        </is>
      </c>
      <c r="K176" t="n">
        <v>60</v>
      </c>
      <c r="L176" t="inlineStr">
        <is>
          <t>2 Oktober 2026</t>
        </is>
      </c>
      <c r="M176" t="inlineStr">
        <is>
          <t>Jasa Arsitektural Bangunan Gedung Hunian dan Non Hunian</t>
        </is>
      </c>
      <c r="N176" t="inlineStr">
        <is>
          <t>K</t>
        </is>
      </c>
      <c r="O176" t="inlineStr">
        <is>
          <t>20230926</t>
        </is>
      </c>
      <c r="P176" t="inlineStr">
        <is>
          <t>DKI Jakarta</t>
        </is>
      </c>
      <c r="Q176" t="inlineStr"/>
    </row>
    <row r="177">
      <c r="A177" t="inlineStr">
        <is>
          <t>TRIKASARI MAKMUR JAYA</t>
        </is>
      </c>
      <c r="B177" t="inlineStr">
        <is>
          <t>Kab. Boyolali</t>
        </is>
      </c>
      <c r="C177" t="inlineStr">
        <is>
          <t>085156420965</t>
        </is>
      </c>
      <c r="D177" t="inlineStr">
        <is>
          <t>trikasarimakmurjaya@gmail.com</t>
        </is>
      </c>
      <c r="E177" t="inlineStr">
        <is>
          <t>https://lpjk.pu.go.id/search-badan-usaha-detail/cnY0N0hKamhmL2ZkUXBRMk9GZi9TZz09</t>
        </is>
      </c>
      <c r="F177" t="n">
        <v>1</v>
      </c>
      <c r="G177" t="inlineStr">
        <is>
          <t>BG006</t>
        </is>
      </c>
      <c r="H177" t="inlineStr">
        <is>
          <t>20 Mei 2023</t>
        </is>
      </c>
      <c r="I177" s="2" t="n">
        <v>46297</v>
      </c>
      <c r="J177" t="inlineStr">
        <is>
          <t>Pencabutan</t>
        </is>
      </c>
      <c r="K177" t="n">
        <v>60</v>
      </c>
      <c r="L177" t="inlineStr">
        <is>
          <t>2 Oktober 2026</t>
        </is>
      </c>
      <c r="M177" t="inlineStr">
        <is>
          <t>Konstruksi Gedung Pendidikan</t>
        </is>
      </c>
      <c r="N177" t="inlineStr">
        <is>
          <t>K</t>
        </is>
      </c>
      <c r="O177" t="inlineStr">
        <is>
          <t>20230608</t>
        </is>
      </c>
      <c r="P177" t="inlineStr">
        <is>
          <t>Jawa Tengah</t>
        </is>
      </c>
      <c r="Q177" t="inlineStr"/>
    </row>
    <row r="178">
      <c r="A178" t="inlineStr">
        <is>
          <t>TRISTAR JAYA PERKASA</t>
        </is>
      </c>
      <c r="B178" t="inlineStr">
        <is>
          <t>Kab. Parigi Moutong</t>
        </is>
      </c>
      <c r="C178" t="inlineStr">
        <is>
          <t>0811456708</t>
        </is>
      </c>
      <c r="D178" t="inlineStr">
        <is>
          <t>jtr.tristar@gmail.com</t>
        </is>
      </c>
      <c r="E178" t="inlineStr">
        <is>
          <t>https://lpjk.pu.go.id/search-badan-usaha-detail/MFpCWDRYbGhvYitjMDJqbkpaQ3czUT09</t>
        </is>
      </c>
      <c r="F178" t="n">
        <v>3</v>
      </c>
      <c r="G178" t="inlineStr">
        <is>
          <t>BG009</t>
        </is>
      </c>
      <c r="H178" t="inlineStr">
        <is>
          <t>29 Maret 2021</t>
        </is>
      </c>
      <c r="I178" s="2" t="n">
        <v>46297</v>
      </c>
      <c r="J178" t="inlineStr">
        <is>
          <t>Disetujui</t>
        </is>
      </c>
      <c r="K178" t="n">
        <v>60</v>
      </c>
      <c r="L178" t="inlineStr">
        <is>
          <t>2 Oktober 2026</t>
        </is>
      </c>
      <c r="M178" t="inlineStr">
        <is>
          <t>Konstruksi Gedung Lainnya</t>
        </is>
      </c>
      <c r="N178" t="inlineStr">
        <is>
          <t>K</t>
        </is>
      </c>
      <c r="O178" t="inlineStr">
        <is>
          <t>20231002</t>
        </is>
      </c>
      <c r="P178" t="inlineStr">
        <is>
          <t>Sulawesi Tengah</t>
        </is>
      </c>
      <c r="Q178" t="inlineStr"/>
    </row>
    <row r="179">
      <c r="A179" t="inlineStr">
        <is>
          <t>TUNAS INDAH JAYA BETON</t>
        </is>
      </c>
      <c r="B179" t="inlineStr">
        <is>
          <t>Kab. Banyuwangi</t>
        </is>
      </c>
      <c r="C179" t="inlineStr">
        <is>
          <t>082231419600</t>
        </is>
      </c>
      <c r="D179" t="inlineStr">
        <is>
          <t>jayabeton.bwi@gmail.com</t>
        </is>
      </c>
      <c r="E179" t="inlineStr">
        <is>
          <t>https://lpjk.pu.go.id/search-badan-usaha-detail/QXNPdUR4UEVmVjhYbDJzS1JHblBFQT09</t>
        </is>
      </c>
      <c r="F179" t="n">
        <v>1</v>
      </c>
      <c r="G179" t="inlineStr">
        <is>
          <t>BS001</t>
        </is>
      </c>
      <c r="H179" t="inlineStr">
        <is>
          <t>24 Januari 2023</t>
        </is>
      </c>
      <c r="I179" s="2" t="n">
        <v>46297</v>
      </c>
      <c r="J179" t="inlineStr">
        <is>
          <t>Disetujui</t>
        </is>
      </c>
      <c r="K179" t="n">
        <v>60</v>
      </c>
      <c r="L179" t="inlineStr">
        <is>
          <t>2 Oktober 2026</t>
        </is>
      </c>
      <c r="M179" t="inlineStr">
        <is>
          <t>Konstruksi Bangunan Sipil Jalan</t>
        </is>
      </c>
      <c r="N179" t="inlineStr">
        <is>
          <t>K</t>
        </is>
      </c>
      <c r="O179" t="inlineStr">
        <is>
          <t>20230927</t>
        </is>
      </c>
      <c r="P179" t="inlineStr">
        <is>
          <t>Jawa Timur</t>
        </is>
      </c>
      <c r="Q179" t="inlineStr"/>
    </row>
    <row r="180">
      <c r="A180" t="inlineStr">
        <is>
          <t>TUNAS KONSTRUKSI MANDIRI</t>
        </is>
      </c>
      <c r="B180" t="inlineStr">
        <is>
          <t>Kota Padang</t>
        </is>
      </c>
      <c r="C180" t="inlineStr">
        <is>
          <t>0811762235</t>
        </is>
      </c>
      <c r="D180" t="inlineStr">
        <is>
          <t>tunaskonstruksimandiri@gmail.com</t>
        </is>
      </c>
      <c r="E180" t="inlineStr">
        <is>
          <t>https://lpjk.pu.go.id/search-badan-usaha-detail/SmJMTFZJK3Uva3BVVnM0WUpkZnprZz09</t>
        </is>
      </c>
      <c r="F180" t="n">
        <v>1</v>
      </c>
      <c r="G180" t="inlineStr">
        <is>
          <t>BG009</t>
        </is>
      </c>
      <c r="H180" t="inlineStr">
        <is>
          <t>24 Januari 2020</t>
        </is>
      </c>
      <c r="I180" s="2" t="n">
        <v>46297</v>
      </c>
      <c r="J180" t="inlineStr">
        <is>
          <t>Disetujui</t>
        </is>
      </c>
      <c r="K180" t="n">
        <v>60</v>
      </c>
      <c r="L180" t="inlineStr">
        <is>
          <t>2 Oktober 2026</t>
        </is>
      </c>
      <c r="M180" t="inlineStr">
        <is>
          <t>Konstruksi Gedung Lainnya</t>
        </is>
      </c>
      <c r="N180" t="inlineStr">
        <is>
          <t>M</t>
        </is>
      </c>
      <c r="O180" t="inlineStr">
        <is>
          <t>20230923</t>
        </is>
      </c>
      <c r="P180" t="inlineStr">
        <is>
          <t>Sumatera Barat</t>
        </is>
      </c>
      <c r="Q180" t="inlineStr"/>
    </row>
    <row r="181">
      <c r="A181" t="inlineStr">
        <is>
          <t>ULFA FAJRUL MUSTANIR</t>
        </is>
      </c>
      <c r="B181" t="inlineStr">
        <is>
          <t>Kab. Aceh Selatan</t>
        </is>
      </c>
      <c r="C181" t="inlineStr">
        <is>
          <t>085260840034</t>
        </is>
      </c>
      <c r="D181" t="inlineStr">
        <is>
          <t>cv.ulfafajrul@gmail.com</t>
        </is>
      </c>
      <c r="E181" t="inlineStr">
        <is>
          <t>https://lpjk.pu.go.id/search-badan-usaha-detail/YnJoZ2YxWDYxa0c2bnRQdXUzdEpaUT09</t>
        </is>
      </c>
      <c r="F181" t="n">
        <v>1</v>
      </c>
      <c r="G181" t="inlineStr">
        <is>
          <t>BS001</t>
        </is>
      </c>
      <c r="H181" t="inlineStr">
        <is>
          <t>15 Mei 2020</t>
        </is>
      </c>
      <c r="I181" s="2" t="n">
        <v>46297</v>
      </c>
      <c r="J181" t="inlineStr">
        <is>
          <t>Disetujui</t>
        </is>
      </c>
      <c r="K181" t="n">
        <v>60</v>
      </c>
      <c r="L181" t="inlineStr">
        <is>
          <t>2 Oktober 2026</t>
        </is>
      </c>
      <c r="M181" t="inlineStr">
        <is>
          <t>Konstruksi Bangunan Sipil Jalan</t>
        </is>
      </c>
      <c r="N181" t="inlineStr">
        <is>
          <t>K</t>
        </is>
      </c>
      <c r="O181" t="inlineStr">
        <is>
          <t>20230927</t>
        </is>
      </c>
      <c r="P181" t="inlineStr">
        <is>
          <t>Aceh</t>
        </is>
      </c>
      <c r="Q181" t="inlineStr"/>
    </row>
    <row r="182">
      <c r="A182" t="inlineStr">
        <is>
          <t>USAHA JAYA ANUGERAH</t>
        </is>
      </c>
      <c r="B182" t="inlineStr">
        <is>
          <t>Kab. Ogan Komering Ulu</t>
        </is>
      </c>
      <c r="C182" t="inlineStr">
        <is>
          <t>085366002355</t>
        </is>
      </c>
      <c r="D182" t="inlineStr">
        <is>
          <t>usahajayaanugerah2023@gmail.com</t>
        </is>
      </c>
      <c r="E182" t="inlineStr">
        <is>
          <t>https://lpjk.pu.go.id/search-badan-usaha-detail/MnF5Q3cva01NVVI5bkRjem5GUnJ5dz09</t>
        </is>
      </c>
      <c r="F182" t="n">
        <v>2</v>
      </c>
      <c r="G182" t="inlineStr">
        <is>
          <t>BG002, BG005</t>
        </is>
      </c>
      <c r="H182" t="inlineStr">
        <is>
          <t>9 September 2023</t>
        </is>
      </c>
      <c r="I182" s="2" t="n">
        <v>46297</v>
      </c>
      <c r="J182" t="inlineStr">
        <is>
          <t>Disetujui</t>
        </is>
      </c>
      <c r="K182" t="n">
        <v>60</v>
      </c>
      <c r="L182" t="inlineStr">
        <is>
          <t>2 Oktober 2026</t>
        </is>
      </c>
      <c r="M182" t="inlineStr">
        <is>
          <t>Konstruksi Gedung Kesehatan, Konstruksi Gedung Perkantoran</t>
        </is>
      </c>
      <c r="N182" t="inlineStr">
        <is>
          <t>K</t>
        </is>
      </c>
      <c r="O182" t="inlineStr">
        <is>
          <t>20230929</t>
        </is>
      </c>
      <c r="P182" t="inlineStr">
        <is>
          <t>Sumatera Selatan</t>
        </is>
      </c>
      <c r="Q182" t="inlineStr"/>
    </row>
    <row r="183">
      <c r="A183" t="inlineStr">
        <is>
          <t>UTAMA KARYA MANDIRI</t>
        </is>
      </c>
      <c r="B183" t="inlineStr">
        <is>
          <t>Kab. Kulon Progo</t>
        </is>
      </c>
      <c r="C183" t="inlineStr">
        <is>
          <t>081904172263</t>
        </is>
      </c>
      <c r="D183" t="inlineStr">
        <is>
          <t>z.arifin.iping@gmail.com</t>
        </is>
      </c>
      <c r="E183" t="inlineStr">
        <is>
          <t>https://lpjk.pu.go.id/search-badan-usaha-detail/SXRKVTZlY2IyUk4rdER3S0w0V1dCZz09</t>
        </is>
      </c>
      <c r="F183" t="n">
        <v>1</v>
      </c>
      <c r="G183" t="inlineStr">
        <is>
          <t>PL003</t>
        </is>
      </c>
      <c r="H183" t="inlineStr">
        <is>
          <t>19 Oktober 2015</t>
        </is>
      </c>
      <c r="I183" s="2" t="n">
        <v>46297</v>
      </c>
      <c r="J183" t="inlineStr">
        <is>
          <t>Pencabutan</t>
        </is>
      </c>
      <c r="K183" t="n">
        <v>60</v>
      </c>
      <c r="L183" t="inlineStr">
        <is>
          <t>2 Oktober 2026</t>
        </is>
      </c>
      <c r="M183" t="inlineStr">
        <is>
          <t>Penyiapan Lahan Konstruksi</t>
        </is>
      </c>
      <c r="N183" t="inlineStr">
        <is>
          <t>Spesialis</t>
        </is>
      </c>
      <c r="O183" t="inlineStr">
        <is>
          <t>20230926</t>
        </is>
      </c>
      <c r="P183" t="inlineStr">
        <is>
          <t>DI Yogyakarta</t>
        </is>
      </c>
      <c r="Q183" t="inlineStr"/>
    </row>
    <row r="184">
      <c r="A184" t="inlineStr">
        <is>
          <t>WAHYU RIZKI</t>
        </is>
      </c>
      <c r="B184" t="inlineStr">
        <is>
          <t>Kab. Banyumas</t>
        </is>
      </c>
      <c r="C184" t="inlineStr">
        <is>
          <t>081392533998</t>
        </is>
      </c>
      <c r="D184" t="inlineStr">
        <is>
          <t>wahyurizki.cv@gmail.com</t>
        </is>
      </c>
      <c r="E184" t="inlineStr">
        <is>
          <t>https://lpjk.pu.go.id/search-badan-usaha-detail/aVBXc0x3U3QyZGwzNGROYkVIOU10Zz09</t>
        </is>
      </c>
      <c r="F184" t="n">
        <v>1</v>
      </c>
      <c r="G184" t="inlineStr">
        <is>
          <t>BG006</t>
        </is>
      </c>
      <c r="H184" t="inlineStr">
        <is>
          <t>27 Juli 2022</t>
        </is>
      </c>
      <c r="I184" s="2" t="n">
        <v>46297</v>
      </c>
      <c r="J184" t="inlineStr">
        <is>
          <t>Disetujui</t>
        </is>
      </c>
      <c r="K184" t="n">
        <v>60</v>
      </c>
      <c r="L184" t="inlineStr">
        <is>
          <t>2 Oktober 2026</t>
        </is>
      </c>
      <c r="M184" t="inlineStr">
        <is>
          <t>Konstruksi Gedung Pendidikan</t>
        </is>
      </c>
      <c r="N184" t="inlineStr">
        <is>
          <t>K</t>
        </is>
      </c>
      <c r="O184" t="inlineStr">
        <is>
          <t>20230928</t>
        </is>
      </c>
      <c r="P184" t="inlineStr">
        <is>
          <t>Jawa Tengah</t>
        </is>
      </c>
      <c r="Q184" t="inlineStr"/>
    </row>
    <row r="185">
      <c r="A185" t="inlineStr">
        <is>
          <t>WIJAYA</t>
        </is>
      </c>
      <c r="B185" t="inlineStr">
        <is>
          <t>Kab. Brebes</t>
        </is>
      </c>
      <c r="C185" t="inlineStr">
        <is>
          <t>0289432405</t>
        </is>
      </c>
      <c r="D185" t="inlineStr">
        <is>
          <t>cvwijaya86@gmail.com</t>
        </is>
      </c>
      <c r="E185" t="inlineStr">
        <is>
          <t>https://lpjk.pu.go.id/search-badan-usaha-detail/a0FoUkFrUjZFUTV6cFJhVmNFYkR0UT09</t>
        </is>
      </c>
      <c r="F185" t="n">
        <v>1</v>
      </c>
      <c r="G185" t="inlineStr">
        <is>
          <t>BS004</t>
        </is>
      </c>
      <c r="H185" t="inlineStr">
        <is>
          <t>18 Juli 2001</t>
        </is>
      </c>
      <c r="I185" s="2" t="n">
        <v>46297</v>
      </c>
      <c r="J185" t="inlineStr">
        <is>
          <t>Disetujui</t>
        </is>
      </c>
      <c r="K185" t="n">
        <v>60</v>
      </c>
      <c r="L185" t="inlineStr">
        <is>
          <t>2 Oktober 2026</t>
        </is>
      </c>
      <c r="M185" t="inlineStr">
        <is>
          <t>Konstruksi Jaringan Irigasi dan Drainase</t>
        </is>
      </c>
      <c r="N185" t="inlineStr">
        <is>
          <t>K</t>
        </is>
      </c>
      <c r="O185" t="inlineStr">
        <is>
          <t>20230926</t>
        </is>
      </c>
      <c r="P185" t="inlineStr">
        <is>
          <t>Jawa Tengah</t>
        </is>
      </c>
      <c r="Q185" t="inlineStr"/>
    </row>
    <row r="186">
      <c r="A186" t="inlineStr">
        <is>
          <t>WIRA DARMA NUSA</t>
        </is>
      </c>
      <c r="B186" t="inlineStr">
        <is>
          <t>Kab. Sleman</t>
        </is>
      </c>
      <c r="C186" t="inlineStr">
        <is>
          <t>0274418255</t>
        </is>
      </c>
      <c r="D186" t="inlineStr">
        <is>
          <t>wiradarmanusa@gmail.com</t>
        </is>
      </c>
      <c r="E186" t="inlineStr">
        <is>
          <t>https://lpjk.pu.go.id/search-badan-usaha-detail/RGRhYlBjdWl5UElmWGhnVytIMU5TNEhPWWdTSklWcitFQy9zbGNzVW5Xaz0</t>
        </is>
      </c>
      <c r="F186" t="n">
        <v>2</v>
      </c>
      <c r="G186" t="inlineStr">
        <is>
          <t>RK001, RK003</t>
        </is>
      </c>
      <c r="H186" t="inlineStr">
        <is>
          <t>24 April 2019</t>
        </is>
      </c>
      <c r="I186" s="2" t="n">
        <v>46297</v>
      </c>
      <c r="J186" t="inlineStr">
        <is>
          <t>Disetujui</t>
        </is>
      </c>
      <c r="K186" t="n">
        <v>60</v>
      </c>
      <c r="L186" t="inlineStr">
        <is>
          <t>2 Oktober 2026</t>
        </is>
      </c>
      <c r="M186" t="inlineStr">
        <is>
          <t>Jasa Rekayasa Konstruksi Bangunan Gedung Hunian dan Non Hunian, Jasa Rekayasa Pekerjaan Teknik Sipil Transportasi</t>
        </is>
      </c>
      <c r="N186" t="inlineStr">
        <is>
          <t>K</t>
        </is>
      </c>
      <c r="O186" t="inlineStr">
        <is>
          <t>20230908</t>
        </is>
      </c>
      <c r="P186" t="inlineStr">
        <is>
          <t>DI Yogyakarta</t>
        </is>
      </c>
      <c r="Q18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2" customWidth="1" min="1" max="1"/>
    <col width="24" customWidth="1" min="2" max="2"/>
    <col width="14" customWidth="1" min="3" max="3"/>
    <col width="42"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ANGKASA SURYA DUTA</t>
        </is>
      </c>
      <c r="B2" t="inlineStr">
        <is>
          <t>Kab. Bogor</t>
        </is>
      </c>
      <c r="C2" t="inlineStr">
        <is>
          <t>081284823701</t>
        </is>
      </c>
      <c r="D2" t="inlineStr">
        <is>
          <t>angkasasuryaduta@gmail.com</t>
        </is>
      </c>
      <c r="E2" t="inlineStr">
        <is>
          <t>https://lpjk.pu.go.id/search-badan-usaha-detail/UlFpKzFTUW0zc214Z1VkNUROZlhRZz09</t>
        </is>
      </c>
      <c r="F2" t="n">
        <v>10</v>
      </c>
      <c r="G2" t="inlineStr">
        <is>
          <t>BG001, BG002, BG004, BG006, BG009</t>
        </is>
      </c>
      <c r="H2" t="inlineStr">
        <is>
          <t>28 November 2022</t>
        </is>
      </c>
      <c r="I2" s="2" t="n">
        <v>46267</v>
      </c>
      <c r="J2" t="inlineStr">
        <is>
          <t>Disetujui</t>
        </is>
      </c>
      <c r="K2" t="n">
        <v>30</v>
      </c>
      <c r="L2" t="inlineStr">
        <is>
          <t>2 September 2026</t>
        </is>
      </c>
      <c r="M2" t="inlineStr">
        <is>
          <t>Konstruksi Gedung Hunian, Konstruksi Gedung Lainnya, Konstruksi Gedung Pendidikan, Konstruksi Gedung Perbelanjaan, Konstruksi Gedung Perkantoran</t>
        </is>
      </c>
      <c r="N2" t="inlineStr">
        <is>
          <t>K</t>
        </is>
      </c>
      <c r="O2" t="inlineStr">
        <is>
          <t>20230214, 20230215, 20230902</t>
        </is>
      </c>
      <c r="P2" t="inlineStr">
        <is>
          <t>Jawa Barat</t>
        </is>
      </c>
      <c r="Q2" s="3">
        <f>HYPERLINK("https://wa.me/6281284823701?text=*[Pengingat Masa Berlaku SBU ANGKASA SURYA DUTA]*%0A%0AYth. Pimpinan ANGKASA SURYA DUTA,%0AMohon izin menginformasikan status SBU Anda:%0A%0A📄 SBU: BG001, BG002, BG004, BG006, BG009%0A📅 Expired: 2 September 2026 (30 Hari Lagi)%0A%0AKami tim PT. ESDEA Assistance Management siap men-support proses perpanjangan segera agar administrasi proyek tidak terhambat%0A%0AApakah boleh saya bantu siapkan estimasi biaya dan waktu pengerjaannya?.", "Hubungi")</f>
        <v/>
      </c>
    </row>
    <row r="3">
      <c r="A3" t="inlineStr">
        <is>
          <t>DOE BARA UTAMA</t>
        </is>
      </c>
      <c r="B3" t="inlineStr">
        <is>
          <t>Kota Depok</t>
        </is>
      </c>
      <c r="C3" t="inlineStr">
        <is>
          <t>085771714750</t>
        </is>
      </c>
      <c r="D3" t="inlineStr">
        <is>
          <t>nardy.patih10@gmail.com</t>
        </is>
      </c>
      <c r="E3" t="inlineStr">
        <is>
          <t>https://lpjk.pu.go.id/search-badan-usaha-detail/dkpvU3pQQ20wQ3g5SzNwWjZhVVVnQT09</t>
        </is>
      </c>
      <c r="F3" t="n">
        <v>4</v>
      </c>
      <c r="G3" t="inlineStr">
        <is>
          <t>BG005, BG006, BG007, BG009</t>
        </is>
      </c>
      <c r="H3" t="inlineStr">
        <is>
          <t>14 Juli 2023</t>
        </is>
      </c>
      <c r="I3" s="2" t="n">
        <v>46267</v>
      </c>
      <c r="J3" t="inlineStr">
        <is>
          <t>Disetujui</t>
        </is>
      </c>
      <c r="K3" t="n">
        <v>30</v>
      </c>
      <c r="L3" t="inlineStr">
        <is>
          <t>2 September 2026</t>
        </is>
      </c>
      <c r="M3" t="inlineStr">
        <is>
          <t>Konstruksi Gedung Kesehatan, Konstruksi Gedung Lainnya, Konstruksi Gedung Pendidikan, Konstruksi Gedung Penginapan</t>
        </is>
      </c>
      <c r="N3" t="inlineStr">
        <is>
          <t>K</t>
        </is>
      </c>
      <c r="O3" t="inlineStr">
        <is>
          <t>20230902</t>
        </is>
      </c>
      <c r="P3" t="inlineStr">
        <is>
          <t>Jawa Barat</t>
        </is>
      </c>
      <c r="Q3" s="3">
        <f>HYPERLINK("https://wa.me/6285771714750?text=*[Pengingat Masa Berlaku SBU DOE BARA UTAMA]*%0A%0AYth. Pimpinan DOE BARA UTAMA,%0AMohon izin menginformasikan status SBU Anda:%0A%0A📄 SBU: BG005, BG006, BG007, BG009%0A📅 Expired: 2 September 2026 (30 Hari Lagi)%0A%0AKami tim PT. ESDEA Assistance Management siap men-support proses perpanjangan segera agar administrasi proyek tidak terhambat%0A%0AApakah boleh saya bantu siapkan estimasi biaya dan waktu pengerjaannya?.", "Hubungi")</f>
        <v/>
      </c>
    </row>
    <row r="4">
      <c r="A4" t="inlineStr">
        <is>
          <t>ADHIPRAMANA DIMITRA SURYA</t>
        </is>
      </c>
      <c r="B4" t="inlineStr">
        <is>
          <t>Kab. Kapuas Hulu</t>
        </is>
      </c>
      <c r="C4" t="inlineStr">
        <is>
          <t>082159873508</t>
        </is>
      </c>
      <c r="D4" t="inlineStr">
        <is>
          <t>Adhipramanadimitrasurya@gmail.com</t>
        </is>
      </c>
      <c r="E4" t="inlineStr">
        <is>
          <t>https://lpjk.pu.go.id/search-badan-usaha-detail/bkRBRFFjQWJHbUYwUmVXbitoN0RQdz09</t>
        </is>
      </c>
      <c r="F4" t="n">
        <v>1</v>
      </c>
      <c r="G4" t="inlineStr">
        <is>
          <t>BS002</t>
        </is>
      </c>
      <c r="H4" t="inlineStr">
        <is>
          <t>3 Juli 2020</t>
        </is>
      </c>
      <c r="I4" s="2" t="n">
        <v>46267</v>
      </c>
      <c r="J4" t="inlineStr">
        <is>
          <t>Disetujui</t>
        </is>
      </c>
      <c r="K4" t="n">
        <v>30</v>
      </c>
      <c r="L4" t="inlineStr">
        <is>
          <t>2 September 2026</t>
        </is>
      </c>
      <c r="M4" t="inlineStr">
        <is>
          <t>Bangunan Sipil Jembatan, Jalan Layang, Fly Over, dan Underpass</t>
        </is>
      </c>
      <c r="N4" t="inlineStr">
        <is>
          <t>K</t>
        </is>
      </c>
      <c r="O4" t="inlineStr">
        <is>
          <t>20230831</t>
        </is>
      </c>
      <c r="P4" t="inlineStr">
        <is>
          <t>Kalimantan Barat</t>
        </is>
      </c>
      <c r="Q4" t="inlineStr"/>
    </row>
    <row r="5">
      <c r="A5" t="inlineStr">
        <is>
          <t>ALIANSI BUMI SILAMPARI</t>
        </is>
      </c>
      <c r="B5" t="inlineStr">
        <is>
          <t>Kota Lubuk Linggau</t>
        </is>
      </c>
      <c r="C5" t="inlineStr">
        <is>
          <t>081271693399</t>
        </is>
      </c>
      <c r="D5" t="inlineStr">
        <is>
          <t>aliansibumisilampari34@yahoo.com</t>
        </is>
      </c>
      <c r="E5" t="inlineStr">
        <is>
          <t>https://lpjk.pu.go.id/search-badan-usaha-detail/aTNocldPMGZWZW9WbERVWTZqOGdHdz09</t>
        </is>
      </c>
      <c r="F5" t="n">
        <v>4</v>
      </c>
      <c r="G5" t="inlineStr">
        <is>
          <t>BG005, BG006, BS001, BS004</t>
        </is>
      </c>
      <c r="H5" t="inlineStr">
        <is>
          <t>24 Januari 2017</t>
        </is>
      </c>
      <c r="I5" s="2" t="n">
        <v>46267</v>
      </c>
      <c r="J5" t="inlineStr">
        <is>
          <t>Disetujui</t>
        </is>
      </c>
      <c r="K5" t="n">
        <v>30</v>
      </c>
      <c r="L5" t="inlineStr">
        <is>
          <t>2 September 2026</t>
        </is>
      </c>
      <c r="M5" t="inlineStr">
        <is>
          <t>Konstruksi Bangunan Sipil Jalan, Konstruksi Gedung Kesehatan, Konstruksi Gedung Pendidikan, Konstruksi Jaringan Irigasi dan Drainase</t>
        </is>
      </c>
      <c r="N5" t="inlineStr">
        <is>
          <t>K</t>
        </is>
      </c>
      <c r="O5" t="inlineStr">
        <is>
          <t>20230826, 20230830</t>
        </is>
      </c>
      <c r="P5" t="inlineStr">
        <is>
          <t>Sumatera Selatan</t>
        </is>
      </c>
      <c r="Q5" t="inlineStr"/>
    </row>
    <row r="6">
      <c r="A6" t="inlineStr">
        <is>
          <t>ANUGERAH BINTANG PERKASA</t>
        </is>
      </c>
      <c r="B6" t="inlineStr">
        <is>
          <t>Kab. Sidoarjo</t>
        </is>
      </c>
      <c r="C6" t="inlineStr">
        <is>
          <t>085856187262</t>
        </is>
      </c>
      <c r="D6" t="inlineStr">
        <is>
          <t>cv.anugerahbintangperkasa@gmail.com</t>
        </is>
      </c>
      <c r="E6" t="inlineStr">
        <is>
          <t>https://lpjk.pu.go.id/search-badan-usaha-detail/cDhkZ1JPWFF5ek9IU2grc05rYUdJUT09</t>
        </is>
      </c>
      <c r="F6" t="n">
        <v>1</v>
      </c>
      <c r="G6" t="inlineStr">
        <is>
          <t>BS001</t>
        </is>
      </c>
      <c r="H6" t="inlineStr">
        <is>
          <t>9 Februari 2017</t>
        </is>
      </c>
      <c r="I6" s="2" t="n">
        <v>46267</v>
      </c>
      <c r="J6" t="inlineStr">
        <is>
          <t>Disetujui</t>
        </is>
      </c>
      <c r="K6" t="n">
        <v>30</v>
      </c>
      <c r="L6" t="inlineStr">
        <is>
          <t>2 September 2026</t>
        </is>
      </c>
      <c r="M6" t="inlineStr">
        <is>
          <t>Konstruksi Bangunan Sipil Jalan</t>
        </is>
      </c>
      <c r="N6" t="inlineStr">
        <is>
          <t>K</t>
        </is>
      </c>
      <c r="O6" t="inlineStr">
        <is>
          <t>20230902</t>
        </is>
      </c>
      <c r="P6" t="inlineStr">
        <is>
          <t>Jawa Timur</t>
        </is>
      </c>
      <c r="Q6" t="inlineStr"/>
    </row>
    <row r="7">
      <c r="A7" t="inlineStr">
        <is>
          <t>ANUGRAH PAKUAN MANDIRI</t>
        </is>
      </c>
      <c r="B7" t="inlineStr">
        <is>
          <t>Kab. Cianjur</t>
        </is>
      </c>
      <c r="C7" t="inlineStr">
        <is>
          <t>087820201175</t>
        </is>
      </c>
      <c r="D7" t="inlineStr">
        <is>
          <t>anugrahpakuanmandiri@gmail.com</t>
        </is>
      </c>
      <c r="E7" t="inlineStr">
        <is>
          <t>https://lpjk.pu.go.id/search-badan-usaha-detail/dXJ4bUJJeWRPdGdEeVhzdENuZXJPdz09</t>
        </is>
      </c>
      <c r="F7" t="n">
        <v>2</v>
      </c>
      <c r="G7" t="inlineStr">
        <is>
          <t>BS001</t>
        </is>
      </c>
      <c r="H7" t="inlineStr">
        <is>
          <t>11 April 2019</t>
        </is>
      </c>
      <c r="I7" s="2" t="n">
        <v>46267</v>
      </c>
      <c r="J7" t="inlineStr">
        <is>
          <t>Disetujui</t>
        </is>
      </c>
      <c r="K7" t="n">
        <v>30</v>
      </c>
      <c r="L7" t="inlineStr">
        <is>
          <t>2 September 2026</t>
        </is>
      </c>
      <c r="M7" t="inlineStr">
        <is>
          <t>Konstruksi Bangunan Sipil Jalan</t>
        </is>
      </c>
      <c r="N7" t="inlineStr">
        <is>
          <t>K</t>
        </is>
      </c>
      <c r="O7" t="inlineStr">
        <is>
          <t>20230901</t>
        </is>
      </c>
      <c r="P7" t="inlineStr">
        <is>
          <t>Jawa Barat</t>
        </is>
      </c>
      <c r="Q7" t="inlineStr"/>
    </row>
    <row r="8">
      <c r="A8" t="inlineStr">
        <is>
          <t>BERKAH GAWI ABADI</t>
        </is>
      </c>
      <c r="B8" t="inlineStr">
        <is>
          <t>Kab. Barito Kuala</t>
        </is>
      </c>
      <c r="C8" t="inlineStr">
        <is>
          <t>081351357099</t>
        </is>
      </c>
      <c r="D8" t="inlineStr">
        <is>
          <t>abd.berkahgawi@yahoo.com</t>
        </is>
      </c>
      <c r="E8" t="inlineStr">
        <is>
          <t>https://lpjk.pu.go.id/search-badan-usaha-detail/WkNLNk5OaDVtK3dRb2dheGFnS0F3QT09</t>
        </is>
      </c>
      <c r="F8" t="n">
        <v>2</v>
      </c>
      <c r="G8" t="inlineStr">
        <is>
          <t>BS004</t>
        </is>
      </c>
      <c r="H8" t="inlineStr">
        <is>
          <t>1 September 2023</t>
        </is>
      </c>
      <c r="I8" s="2" t="n">
        <v>46267</v>
      </c>
      <c r="J8" t="inlineStr">
        <is>
          <t>Pencabutan</t>
        </is>
      </c>
      <c r="K8" t="n">
        <v>30</v>
      </c>
      <c r="L8" t="inlineStr">
        <is>
          <t>2 September 2026</t>
        </is>
      </c>
      <c r="M8" t="inlineStr">
        <is>
          <t>Konstruksi Jaringan Irigasi dan Drainase</t>
        </is>
      </c>
      <c r="N8" t="inlineStr">
        <is>
          <t>K</t>
        </is>
      </c>
      <c r="O8" t="inlineStr">
        <is>
          <t>20230902</t>
        </is>
      </c>
      <c r="P8" t="inlineStr">
        <is>
          <t>Kalimantan Selatan</t>
        </is>
      </c>
      <c r="Q8" t="inlineStr"/>
    </row>
    <row r="9">
      <c r="A9" t="inlineStr">
        <is>
          <t>BIMA CAHAYA SAKTI</t>
        </is>
      </c>
      <c r="B9" t="inlineStr">
        <is>
          <t>Kota Manado</t>
        </is>
      </c>
      <c r="C9" t="inlineStr">
        <is>
          <t>081295960009</t>
        </is>
      </c>
      <c r="D9" t="inlineStr">
        <is>
          <t>bimacahayasakti@gmail.com</t>
        </is>
      </c>
      <c r="E9" t="inlineStr">
        <is>
          <t>https://lpjk.pu.go.id/search-badan-usaha-detail/Qkp0d3AydDRramJMQTNOb1lMd1NUUT09</t>
        </is>
      </c>
      <c r="F9" t="n">
        <v>1</v>
      </c>
      <c r="G9" t="inlineStr">
        <is>
          <t>BG001</t>
        </is>
      </c>
      <c r="H9" t="inlineStr">
        <is>
          <t>17 Februari 2022</t>
        </is>
      </c>
      <c r="I9" s="2" t="n">
        <v>46267</v>
      </c>
      <c r="J9" t="inlineStr">
        <is>
          <t>Pencabutan</t>
        </is>
      </c>
      <c r="K9" t="n">
        <v>30</v>
      </c>
      <c r="L9" t="inlineStr">
        <is>
          <t>2 September 2026</t>
        </is>
      </c>
      <c r="M9" t="inlineStr">
        <is>
          <t>Konstruksi Gedung Hunian</t>
        </is>
      </c>
      <c r="N9" t="inlineStr">
        <is>
          <t>K</t>
        </is>
      </c>
      <c r="O9" t="inlineStr">
        <is>
          <t>20230831</t>
        </is>
      </c>
      <c r="P9" t="inlineStr">
        <is>
          <t>Sulawesi Utara</t>
        </is>
      </c>
      <c r="Q9" t="inlineStr"/>
    </row>
    <row r="10">
      <c r="A10" t="inlineStr">
        <is>
          <t>BINTANG MULIATAMA PROPERTINDO</t>
        </is>
      </c>
      <c r="B10" t="inlineStr">
        <is>
          <t>Kota Surakarta</t>
        </is>
      </c>
      <c r="C10" t="inlineStr">
        <is>
          <t>081215075588</t>
        </is>
      </c>
      <c r="D10" t="inlineStr">
        <is>
          <t>ptbintangmuliatamapropertindo@gmail.com</t>
        </is>
      </c>
      <c r="E10" t="inlineStr">
        <is>
          <t>https://lpjk.pu.go.id/search-badan-usaha-detail/cmJ6c1RNSUx4UFE0bDY1WHNPL2tlUT09</t>
        </is>
      </c>
      <c r="F10" t="n">
        <v>2</v>
      </c>
      <c r="G10" t="inlineStr">
        <is>
          <t>BG001</t>
        </is>
      </c>
      <c r="H10" t="inlineStr">
        <is>
          <t>29 Maret 2023</t>
        </is>
      </c>
      <c r="I10" s="2" t="n">
        <v>46267</v>
      </c>
      <c r="J10" t="inlineStr">
        <is>
          <t>Disetujui</t>
        </is>
      </c>
      <c r="K10" t="n">
        <v>30</v>
      </c>
      <c r="L10" t="inlineStr">
        <is>
          <t>2 September 2026</t>
        </is>
      </c>
      <c r="M10" t="inlineStr">
        <is>
          <t>Konstruksi Gedung Hunian</t>
        </is>
      </c>
      <c r="N10" t="inlineStr">
        <is>
          <t>K</t>
        </is>
      </c>
      <c r="O10" t="inlineStr">
        <is>
          <t>20230902</t>
        </is>
      </c>
      <c r="P10" t="inlineStr">
        <is>
          <t>Jawa Tengah</t>
        </is>
      </c>
      <c r="Q10" t="inlineStr"/>
    </row>
    <row r="11">
      <c r="A11" t="inlineStr">
        <is>
          <t>CAHAYA INDAH</t>
        </is>
      </c>
      <c r="B11" t="inlineStr">
        <is>
          <t>Kota Bitung</t>
        </is>
      </c>
      <c r="C11" t="inlineStr">
        <is>
          <t>085399900048</t>
        </is>
      </c>
      <c r="D11" t="inlineStr">
        <is>
          <t>poppietangkilisan@gmail.com</t>
        </is>
      </c>
      <c r="E11" t="inlineStr">
        <is>
          <t>https://lpjk.pu.go.id/search-badan-usaha-detail/WkdLazAzbHN4dE5ZUFNQOW5KdTZ2UT09</t>
        </is>
      </c>
      <c r="F11" t="n">
        <v>1</v>
      </c>
      <c r="G11" t="inlineStr">
        <is>
          <t>BG006</t>
        </is>
      </c>
      <c r="H11" t="inlineStr">
        <is>
          <t>8 Juli 2023</t>
        </is>
      </c>
      <c r="I11" s="2" t="n">
        <v>46267</v>
      </c>
      <c r="J11" t="inlineStr">
        <is>
          <t>Disetujui</t>
        </is>
      </c>
      <c r="K11" t="n">
        <v>30</v>
      </c>
      <c r="L11" t="inlineStr">
        <is>
          <t>2 September 2026</t>
        </is>
      </c>
      <c r="M11" t="inlineStr">
        <is>
          <t>Konstruksi Gedung Pendidikan</t>
        </is>
      </c>
      <c r="N11" t="inlineStr">
        <is>
          <t>K</t>
        </is>
      </c>
      <c r="O11" t="inlineStr">
        <is>
          <t>20230831</t>
        </is>
      </c>
      <c r="P11" t="inlineStr">
        <is>
          <t>Sulawesi Utara</t>
        </is>
      </c>
      <c r="Q11" t="inlineStr"/>
    </row>
    <row r="12">
      <c r="A12" t="inlineStr">
        <is>
          <t>CAHAYA PRATAMA</t>
        </is>
      </c>
      <c r="B12" t="inlineStr">
        <is>
          <t>Kota Ambon</t>
        </is>
      </c>
      <c r="C12" t="inlineStr">
        <is>
          <t>085326601104</t>
        </is>
      </c>
      <c r="D12" t="inlineStr">
        <is>
          <t>cahayapratama.oss@gmail.com</t>
        </is>
      </c>
      <c r="E12" t="inlineStr">
        <is>
          <t>https://lpjk.pu.go.id/search-badan-usaha-detail/Ri9rVDBRcGp3dlpDRDc1aTltZTcxdz09</t>
        </is>
      </c>
      <c r="F12" t="n">
        <v>1</v>
      </c>
      <c r="G12" t="inlineStr">
        <is>
          <t>BS010</t>
        </is>
      </c>
      <c r="H12" t="inlineStr">
        <is>
          <t>12 Desember 2008</t>
        </is>
      </c>
      <c r="I12" s="2" t="n">
        <v>46267</v>
      </c>
      <c r="J12" t="inlineStr">
        <is>
          <t>Disetujui</t>
        </is>
      </c>
      <c r="K12" t="n">
        <v>30</v>
      </c>
      <c r="L12" t="inlineStr">
        <is>
          <t>2 September 2026</t>
        </is>
      </c>
      <c r="M12" t="inlineStr">
        <is>
          <t>Konstruksi Bangunan Prasarana Sumber Daya Air</t>
        </is>
      </c>
      <c r="N12" t="inlineStr">
        <is>
          <t>K</t>
        </is>
      </c>
      <c r="O12" t="inlineStr">
        <is>
          <t>20230621</t>
        </is>
      </c>
      <c r="P12" t="inlineStr">
        <is>
          <t>Maluku</t>
        </is>
      </c>
      <c r="Q12" t="inlineStr"/>
    </row>
    <row r="13">
      <c r="A13" t="inlineStr">
        <is>
          <t>DAFFA JAYA MANDIRI</t>
        </is>
      </c>
      <c r="B13" t="inlineStr">
        <is>
          <t>Kota Singkawang</t>
        </is>
      </c>
      <c r="C13" t="inlineStr">
        <is>
          <t>085245900091</t>
        </is>
      </c>
      <c r="D13" t="inlineStr">
        <is>
          <t>daffajayamandiri16@gmail.com</t>
        </is>
      </c>
      <c r="E13" t="inlineStr">
        <is>
          <t>https://lpjk.pu.go.id/search-badan-usaha-detail/dk5ZdkpxMVpJbE5NRkZKU0hkZXh2Zz09</t>
        </is>
      </c>
      <c r="F13" t="n">
        <v>2</v>
      </c>
      <c r="G13" t="inlineStr">
        <is>
          <t>BG002</t>
        </is>
      </c>
      <c r="H13" t="inlineStr">
        <is>
          <t>28 Januari 2016</t>
        </is>
      </c>
      <c r="I13" s="2" t="n">
        <v>46267</v>
      </c>
      <c r="J13" t="inlineStr">
        <is>
          <t>Disetujui</t>
        </is>
      </c>
      <c r="K13" t="n">
        <v>30</v>
      </c>
      <c r="L13" t="inlineStr">
        <is>
          <t>2 September 2026</t>
        </is>
      </c>
      <c r="M13" t="inlineStr">
        <is>
          <t>Konstruksi Gedung Perkantoran</t>
        </is>
      </c>
      <c r="N13" t="inlineStr">
        <is>
          <t>K</t>
        </is>
      </c>
      <c r="O13" t="inlineStr">
        <is>
          <t>20230902</t>
        </is>
      </c>
      <c r="P13" t="inlineStr">
        <is>
          <t>Kalimantan Barat</t>
        </is>
      </c>
      <c r="Q13" t="inlineStr"/>
    </row>
    <row r="14">
      <c r="A14" t="inlineStr">
        <is>
          <t>DUTA PUTRA MAS</t>
        </is>
      </c>
      <c r="B14" t="inlineStr">
        <is>
          <t>Kab. Ogan Komering Ulu</t>
        </is>
      </c>
      <c r="C14" t="inlineStr">
        <is>
          <t>085380057585</t>
        </is>
      </c>
      <c r="D14" t="inlineStr">
        <is>
          <t>masdutaputra@gmail.com</t>
        </is>
      </c>
      <c r="E14" t="inlineStr">
        <is>
          <t>https://lpjk.pu.go.id/search-badan-usaha-detail/OHpBaFQvQTZyeUptb2d6bGIwMjhkdz09</t>
        </is>
      </c>
      <c r="F14" t="n">
        <v>1</v>
      </c>
      <c r="G14" t="inlineStr">
        <is>
          <t>BS016</t>
        </is>
      </c>
      <c r="H14" t="inlineStr">
        <is>
          <t>14 Februari 2002</t>
        </is>
      </c>
      <c r="I14" s="2" t="n">
        <v>46267</v>
      </c>
      <c r="J14" t="inlineStr">
        <is>
          <t>Disetujui</t>
        </is>
      </c>
      <c r="K14" t="n">
        <v>30</v>
      </c>
      <c r="L14" t="inlineStr">
        <is>
          <t>2 September 2026</t>
        </is>
      </c>
      <c r="M14" t="inlineStr">
        <is>
          <t>Konstruksi Bangunan Sipil Fasilitas Olah Raga</t>
        </is>
      </c>
      <c r="N14" t="inlineStr">
        <is>
          <t>K</t>
        </is>
      </c>
      <c r="O14" t="inlineStr">
        <is>
          <t>20230831</t>
        </is>
      </c>
      <c r="P14" t="inlineStr">
        <is>
          <t>Sumatera Selatan</t>
        </is>
      </c>
      <c r="Q14" t="inlineStr"/>
    </row>
    <row r="15">
      <c r="A15" t="inlineStr">
        <is>
          <t>FAUZAN ZEE ROKS</t>
        </is>
      </c>
      <c r="B15" t="inlineStr">
        <is>
          <t>Kab. Sijunjung</t>
        </is>
      </c>
      <c r="C15" t="inlineStr">
        <is>
          <t>082387428619</t>
        </is>
      </c>
      <c r="D15" t="inlineStr">
        <is>
          <t>avraamazis@gmail.com</t>
        </is>
      </c>
      <c r="E15" t="inlineStr">
        <is>
          <t>https://lpjk.pu.go.id/search-badan-usaha-detail/RVdIWGJrTXlqNXRNMlRmME5OTTJzdz09</t>
        </is>
      </c>
      <c r="F15" t="n">
        <v>2</v>
      </c>
      <c r="G15" t="inlineStr">
        <is>
          <t>BS001</t>
        </is>
      </c>
      <c r="H15" t="inlineStr">
        <is>
          <t>31 Januari 2025</t>
        </is>
      </c>
      <c r="I15" s="2" t="n">
        <v>46267</v>
      </c>
      <c r="J15" t="inlineStr">
        <is>
          <t>Disetujui</t>
        </is>
      </c>
      <c r="K15" t="n">
        <v>30</v>
      </c>
      <c r="L15" t="inlineStr">
        <is>
          <t>2 September 2026</t>
        </is>
      </c>
      <c r="M15" t="inlineStr">
        <is>
          <t>Konstruksi Bangunan Sipil Jalan</t>
        </is>
      </c>
      <c r="N15" t="inlineStr">
        <is>
          <t>K</t>
        </is>
      </c>
      <c r="O15" t="inlineStr">
        <is>
          <t>20230825</t>
        </is>
      </c>
      <c r="P15" t="inlineStr">
        <is>
          <t>Sumatera Barat</t>
        </is>
      </c>
      <c r="Q15" t="inlineStr"/>
    </row>
    <row r="16">
      <c r="A16" t="inlineStr">
        <is>
          <t>IDE KONSTRUKSI</t>
        </is>
      </c>
      <c r="B16" t="inlineStr">
        <is>
          <t>Kab. Malang</t>
        </is>
      </c>
      <c r="C16" t="inlineStr">
        <is>
          <t>087847077264</t>
        </is>
      </c>
      <c r="D16" t="inlineStr">
        <is>
          <t>cv.idekonstruksi23@gmail.com</t>
        </is>
      </c>
      <c r="E16" t="inlineStr">
        <is>
          <t>https://lpjk.pu.go.id/search-badan-usaha-detail/Yk1hbUE0WkYrRkVxZ1g2cWlCdWdzUT09</t>
        </is>
      </c>
      <c r="F16" t="n">
        <v>1</v>
      </c>
      <c r="G16" t="inlineStr">
        <is>
          <t>BS001</t>
        </is>
      </c>
      <c r="H16" t="inlineStr">
        <is>
          <t>16 Agustus 2023</t>
        </is>
      </c>
      <c r="I16" s="2" t="n">
        <v>46267</v>
      </c>
      <c r="J16" t="inlineStr">
        <is>
          <t>Disetujui</t>
        </is>
      </c>
      <c r="K16" t="n">
        <v>30</v>
      </c>
      <c r="L16" t="inlineStr">
        <is>
          <t>2 September 2026</t>
        </is>
      </c>
      <c r="M16" t="inlineStr">
        <is>
          <t>Konstruksi Bangunan Sipil Jalan</t>
        </is>
      </c>
      <c r="N16" t="inlineStr">
        <is>
          <t>K</t>
        </is>
      </c>
      <c r="O16" t="inlineStr">
        <is>
          <t>20230901</t>
        </is>
      </c>
      <c r="P16" t="inlineStr">
        <is>
          <t>Jawa Timur</t>
        </is>
      </c>
      <c r="Q16" t="inlineStr"/>
    </row>
    <row r="17">
      <c r="A17" t="inlineStr">
        <is>
          <t>INDOBANGUN MEGATAMA</t>
        </is>
      </c>
      <c r="B17" t="inlineStr">
        <is>
          <t>Kota Padang</t>
        </is>
      </c>
      <c r="C17" t="inlineStr">
        <is>
          <t>082362246467</t>
        </is>
      </c>
      <c r="D17" t="inlineStr">
        <is>
          <t>indobangunmegatama46@gmail.com</t>
        </is>
      </c>
      <c r="E17" t="inlineStr">
        <is>
          <t>https://lpjk.pu.go.id/search-badan-usaha-detail/U0N5a0FqTW0vMlpsTlRQem5kOCtJUT09</t>
        </is>
      </c>
      <c r="F17" t="n">
        <v>1</v>
      </c>
      <c r="G17" t="inlineStr">
        <is>
          <t>BS006</t>
        </is>
      </c>
      <c r="H17" t="inlineStr">
        <is>
          <t>28 Juli 1993</t>
        </is>
      </c>
      <c r="I17" s="2" t="n">
        <v>46267</v>
      </c>
      <c r="J17" t="inlineStr">
        <is>
          <t>Disetujui</t>
        </is>
      </c>
      <c r="K17" t="n">
        <v>30</v>
      </c>
      <c r="L17" t="inlineStr">
        <is>
          <t>2 September 2026</t>
        </is>
      </c>
      <c r="M17" t="inlineStr">
        <is>
          <t>Konstruksi Bangunan Sipil Prasarana dan Sarana Sistem Pengolahan Limbah Padat, Cair, dan Gas</t>
        </is>
      </c>
      <c r="N17" t="inlineStr">
        <is>
          <t>B</t>
        </is>
      </c>
      <c r="O17" t="inlineStr">
        <is>
          <t>20230728</t>
        </is>
      </c>
      <c r="P17" t="inlineStr">
        <is>
          <t>Sumatera Barat</t>
        </is>
      </c>
      <c r="Q17" t="inlineStr"/>
    </row>
    <row r="18">
      <c r="A18" t="inlineStr">
        <is>
          <t>KARYA SEJAHTERA MAKMUR MANDIRI</t>
        </is>
      </c>
      <c r="B18" t="inlineStr">
        <is>
          <t>Kab. Bengkalis</t>
        </is>
      </c>
      <c r="C18" t="inlineStr">
        <is>
          <t>08127507886</t>
        </is>
      </c>
      <c r="D18" t="inlineStr">
        <is>
          <t>karya.sejahtera.makmur.mandiri@gmail.com</t>
        </is>
      </c>
      <c r="E18" t="inlineStr">
        <is>
          <t>https://lpjk.pu.go.id/search-badan-usaha-detail/R3JHQ3ZMRVFOMnVleWZtNHl6dndMUT09</t>
        </is>
      </c>
      <c r="F18" t="n">
        <v>1</v>
      </c>
      <c r="G18" t="inlineStr">
        <is>
          <t>BG009</t>
        </is>
      </c>
      <c r="H18" t="inlineStr">
        <is>
          <t>16 Oktober 2013</t>
        </is>
      </c>
      <c r="I18" s="2" t="n">
        <v>46267</v>
      </c>
      <c r="J18" t="inlineStr">
        <is>
          <t>Disetujui</t>
        </is>
      </c>
      <c r="K18" t="n">
        <v>30</v>
      </c>
      <c r="L18" t="inlineStr">
        <is>
          <t>2 September 2026</t>
        </is>
      </c>
      <c r="M18" t="inlineStr">
        <is>
          <t>Konstruksi Gedung Lainnya</t>
        </is>
      </c>
      <c r="N18" t="inlineStr">
        <is>
          <t>K</t>
        </is>
      </c>
      <c r="O18" t="inlineStr">
        <is>
          <t>20230902</t>
        </is>
      </c>
      <c r="P18" t="inlineStr">
        <is>
          <t>Riau</t>
        </is>
      </c>
      <c r="Q18" t="inlineStr"/>
    </row>
    <row r="19">
      <c r="A19" t="inlineStr">
        <is>
          <t>MATTASINDO</t>
        </is>
      </c>
      <c r="B19" t="inlineStr">
        <is>
          <t>Kota Makassar</t>
        </is>
      </c>
      <c r="C19" t="inlineStr">
        <is>
          <t>08114206969</t>
        </is>
      </c>
      <c r="D19" t="inlineStr">
        <is>
          <t>mattasindojaya777@gmail.com</t>
        </is>
      </c>
      <c r="E19" t="inlineStr">
        <is>
          <t>https://lpjk.pu.go.id/search-badan-usaha-detail/NnVqSlJvY0w3dUVBZTlxZTdtTjQzdz09</t>
        </is>
      </c>
      <c r="F19" t="n">
        <v>1</v>
      </c>
      <c r="G19" t="inlineStr">
        <is>
          <t>BS016</t>
        </is>
      </c>
      <c r="H19" t="inlineStr">
        <is>
          <t>11 Februari 2020</t>
        </is>
      </c>
      <c r="I19" s="2" t="n">
        <v>46267</v>
      </c>
      <c r="J19" t="inlineStr">
        <is>
          <t>Disetujui</t>
        </is>
      </c>
      <c r="K19" t="n">
        <v>30</v>
      </c>
      <c r="L19" t="inlineStr">
        <is>
          <t>2 September 2026</t>
        </is>
      </c>
      <c r="M19" t="inlineStr">
        <is>
          <t>Konstruksi Bangunan Sipil Fasilitas Olah Raga</t>
        </is>
      </c>
      <c r="N19" t="inlineStr">
        <is>
          <t>K</t>
        </is>
      </c>
      <c r="O19" t="inlineStr">
        <is>
          <t>20230902</t>
        </is>
      </c>
      <c r="P19" t="inlineStr">
        <is>
          <t>Sulawesi Selatan</t>
        </is>
      </c>
      <c r="Q19" t="inlineStr"/>
    </row>
    <row r="20">
      <c r="A20" t="inlineStr">
        <is>
          <t>MEDIA SURYA FELIXINDO</t>
        </is>
      </c>
      <c r="B20" t="inlineStr">
        <is>
          <t>Kab. Asahan</t>
        </is>
      </c>
      <c r="C20" t="inlineStr">
        <is>
          <t>081375115652</t>
        </is>
      </c>
      <c r="D20" t="inlineStr">
        <is>
          <t>pt.msf20@gmail.com</t>
        </is>
      </c>
      <c r="E20" t="inlineStr">
        <is>
          <t>https://lpjk.pu.go.id/search-badan-usaha-detail/Y212VGtTMWVzdTVPNlBUYXRLZ3Urdz09</t>
        </is>
      </c>
      <c r="F20" t="n">
        <v>2</v>
      </c>
      <c r="G20" t="inlineStr">
        <is>
          <t>BG005, BG006</t>
        </is>
      </c>
      <c r="H20" t="inlineStr">
        <is>
          <t>30 Maret 2020</t>
        </is>
      </c>
      <c r="I20" s="2" t="n">
        <v>46267</v>
      </c>
      <c r="J20" t="inlineStr">
        <is>
          <t>Disetujui</t>
        </is>
      </c>
      <c r="K20" t="n">
        <v>30</v>
      </c>
      <c r="L20" t="inlineStr">
        <is>
          <t>2 September 2026</t>
        </is>
      </c>
      <c r="M20" t="inlineStr">
        <is>
          <t>Konstruksi Gedung Kesehatan, Konstruksi Gedung Pendidikan</t>
        </is>
      </c>
      <c r="N20" t="inlineStr">
        <is>
          <t>K</t>
        </is>
      </c>
      <c r="O20" t="inlineStr">
        <is>
          <t>20230902</t>
        </is>
      </c>
      <c r="P20" t="inlineStr">
        <is>
          <t>Sumatera Utara</t>
        </is>
      </c>
      <c r="Q20" t="inlineStr"/>
    </row>
    <row r="21">
      <c r="A21" t="inlineStr">
        <is>
          <t>MEKAR ABADI SUKSES</t>
        </is>
      </c>
      <c r="B21" t="inlineStr">
        <is>
          <t>Kota Tanjung Pinang</t>
        </is>
      </c>
      <c r="C21" t="inlineStr">
        <is>
          <t>082284192733</t>
        </is>
      </c>
      <c r="D21" t="inlineStr">
        <is>
          <t>ptmastpi@yahoo.com</t>
        </is>
      </c>
      <c r="E21" t="inlineStr">
        <is>
          <t>https://lpjk.pu.go.id/search-badan-usaha-detail/VDBjc0xmdEdYZW1hbkxCT244ejJCdz09</t>
        </is>
      </c>
      <c r="F21" t="n">
        <v>2</v>
      </c>
      <c r="G21" t="inlineStr">
        <is>
          <t>BS002</t>
        </is>
      </c>
      <c r="H21" t="inlineStr">
        <is>
          <t>30 Mei 2013</t>
        </is>
      </c>
      <c r="I21" s="2" t="n">
        <v>46267</v>
      </c>
      <c r="J21" t="inlineStr">
        <is>
          <t>Pencabutan</t>
        </is>
      </c>
      <c r="K21" t="n">
        <v>30</v>
      </c>
      <c r="L21" t="inlineStr">
        <is>
          <t>2 September 2026</t>
        </is>
      </c>
      <c r="M21" t="inlineStr">
        <is>
          <t>Bangunan Sipil Jembatan, Jalan Layang, Fly Over, dan Underpass</t>
        </is>
      </c>
      <c r="N21" t="inlineStr">
        <is>
          <t>M</t>
        </is>
      </c>
      <c r="O21" t="inlineStr">
        <is>
          <t>20230828</t>
        </is>
      </c>
      <c r="P21" t="inlineStr">
        <is>
          <t>Kepulauan Riau</t>
        </is>
      </c>
      <c r="Q21" t="inlineStr"/>
    </row>
    <row r="22">
      <c r="A22" t="inlineStr">
        <is>
          <t>MUTIARA KARYA FAMILY</t>
        </is>
      </c>
      <c r="B22" t="inlineStr">
        <is>
          <t>Kab. Maluku Tengah</t>
        </is>
      </c>
      <c r="C22" t="inlineStr">
        <is>
          <t>85236145324</t>
        </is>
      </c>
      <c r="D22" t="inlineStr">
        <is>
          <t>mutiaraalyacv@gmail.com</t>
        </is>
      </c>
      <c r="E22" t="inlineStr">
        <is>
          <t>https://lpjk.pu.go.id/search-badan-usaha-detail/Y1lWVTRUZVNPYWRoblhsUXJxVklzUT09</t>
        </is>
      </c>
      <c r="F22" t="n">
        <v>4</v>
      </c>
      <c r="G22" t="inlineStr">
        <is>
          <t>BS005, BS010</t>
        </is>
      </c>
      <c r="H22" t="inlineStr">
        <is>
          <t>21 Agustus 2023</t>
        </is>
      </c>
      <c r="I22" s="2" t="n">
        <v>46267</v>
      </c>
      <c r="J22" t="inlineStr">
        <is>
          <t>Disetujui</t>
        </is>
      </c>
      <c r="K22" t="n">
        <v>30</v>
      </c>
      <c r="L22" t="inlineStr">
        <is>
          <t>2 September 2026</t>
        </is>
      </c>
      <c r="M22" t="inlineStr">
        <is>
          <t>Konstruksi Bangunan Prasarana Sumber Daya Air, Konstruksi Bangunan Sipil Pengolahan Air Bersih</t>
        </is>
      </c>
      <c r="N22" t="inlineStr">
        <is>
          <t>K</t>
        </is>
      </c>
      <c r="O22" t="inlineStr">
        <is>
          <t>20230901, 20230902</t>
        </is>
      </c>
      <c r="P22" t="inlineStr">
        <is>
          <t>Maluku</t>
        </is>
      </c>
      <c r="Q22" t="inlineStr"/>
    </row>
    <row r="23">
      <c r="A23" t="inlineStr">
        <is>
          <t>PANCASAKTI GEMILANG</t>
        </is>
      </c>
      <c r="B23" t="inlineStr">
        <is>
          <t>Kab. Kendal</t>
        </is>
      </c>
      <c r="C23" t="inlineStr">
        <is>
          <t>085328835602</t>
        </is>
      </c>
      <c r="D23" t="inlineStr">
        <is>
          <t>CVPANCASAKTIGEMILANG@GMAIL.COM</t>
        </is>
      </c>
      <c r="E23" t="inlineStr">
        <is>
          <t>https://lpjk.pu.go.id/search-badan-usaha-detail/V2haNHJaY3dkTlF4SkYvK2xIcFc5UT09</t>
        </is>
      </c>
      <c r="F23" t="n">
        <v>1</v>
      </c>
      <c r="G23" t="inlineStr">
        <is>
          <t>BS002</t>
        </is>
      </c>
      <c r="H23" t="inlineStr">
        <is>
          <t>8 April 2023</t>
        </is>
      </c>
      <c r="I23" s="2" t="n">
        <v>46267</v>
      </c>
      <c r="J23" t="inlineStr">
        <is>
          <t>Disetujui</t>
        </is>
      </c>
      <c r="K23" t="n">
        <v>30</v>
      </c>
      <c r="L23" t="inlineStr">
        <is>
          <t>2 September 2026</t>
        </is>
      </c>
      <c r="M23" t="inlineStr">
        <is>
          <t>Bangunan Sipil Jembatan, Jalan Layang, Fly Over, dan Underpass</t>
        </is>
      </c>
      <c r="N23" t="inlineStr">
        <is>
          <t>K</t>
        </is>
      </c>
      <c r="O23" t="inlineStr">
        <is>
          <t>20230902</t>
        </is>
      </c>
      <c r="P23" t="inlineStr">
        <is>
          <t>Jawa Tengah</t>
        </is>
      </c>
      <c r="Q23" t="inlineStr"/>
    </row>
    <row r="24">
      <c r="A24" t="inlineStr">
        <is>
          <t>PANEN AGRO PRATAMA</t>
        </is>
      </c>
      <c r="B24" t="inlineStr">
        <is>
          <t>Kab. Solok Selatan</t>
        </is>
      </c>
      <c r="C24" t="inlineStr">
        <is>
          <t>08128664143</t>
        </is>
      </c>
      <c r="D24" t="inlineStr">
        <is>
          <t>panenagropratama@gmail.com</t>
        </is>
      </c>
      <c r="E24" t="inlineStr">
        <is>
          <t>https://lpjk.pu.go.id/search-badan-usaha-detail/YWtFMWRDUEZ0MjF6UGZFT1RWVnpQdz09</t>
        </is>
      </c>
      <c r="F24" t="n">
        <v>1</v>
      </c>
      <c r="G24" t="inlineStr">
        <is>
          <t>BS010</t>
        </is>
      </c>
      <c r="H24" t="inlineStr">
        <is>
          <t>14 Maret 2018</t>
        </is>
      </c>
      <c r="I24" s="2" t="n">
        <v>46267</v>
      </c>
      <c r="J24" t="inlineStr">
        <is>
          <t>Disetujui</t>
        </is>
      </c>
      <c r="K24" t="n">
        <v>30</v>
      </c>
      <c r="L24" t="inlineStr">
        <is>
          <t>2 September 2026</t>
        </is>
      </c>
      <c r="M24" t="inlineStr">
        <is>
          <t>Konstruksi Bangunan Prasarana Sumber Daya Air</t>
        </is>
      </c>
      <c r="N24" t="inlineStr">
        <is>
          <t>K</t>
        </is>
      </c>
      <c r="O24" t="inlineStr">
        <is>
          <t>20230902</t>
        </is>
      </c>
      <c r="P24" t="inlineStr">
        <is>
          <t>Sumatera Barat</t>
        </is>
      </c>
      <c r="Q24" t="inlineStr"/>
    </row>
    <row r="25">
      <c r="A25" t="inlineStr">
        <is>
          <t>PUJI AGUNG</t>
        </is>
      </c>
      <c r="B25" t="inlineStr">
        <is>
          <t>Kab. Bojonegoro</t>
        </is>
      </c>
      <c r="C25" t="inlineStr">
        <is>
          <t>085232132882</t>
        </is>
      </c>
      <c r="D25" t="inlineStr">
        <is>
          <t>cvpujiagung11@gmail.com</t>
        </is>
      </c>
      <c r="E25" t="inlineStr">
        <is>
          <t>https://lpjk.pu.go.id/search-badan-usaha-detail/VDM3OTIyOEVUdHp3QlpEMzU5NzB2dz09</t>
        </is>
      </c>
      <c r="F25" t="n">
        <v>1</v>
      </c>
      <c r="G25" t="inlineStr">
        <is>
          <t>BS001</t>
        </is>
      </c>
      <c r="H25" t="inlineStr">
        <is>
          <t>20 Juni 2016</t>
        </is>
      </c>
      <c r="I25" s="2" t="n">
        <v>46267</v>
      </c>
      <c r="J25" t="inlineStr">
        <is>
          <t>Disetujui</t>
        </is>
      </c>
      <c r="K25" t="n">
        <v>30</v>
      </c>
      <c r="L25" t="inlineStr">
        <is>
          <t>2 September 2026</t>
        </is>
      </c>
      <c r="M25" t="inlineStr">
        <is>
          <t>Konstruksi Bangunan Sipil Jalan</t>
        </is>
      </c>
      <c r="N25" t="inlineStr">
        <is>
          <t>K</t>
        </is>
      </c>
      <c r="O25" t="inlineStr">
        <is>
          <t>20230901</t>
        </is>
      </c>
      <c r="P25" t="inlineStr">
        <is>
          <t>Jawa Timur</t>
        </is>
      </c>
      <c r="Q25" t="inlineStr"/>
    </row>
    <row r="26">
      <c r="A26" t="inlineStr">
        <is>
          <t>PUTRA SAYUTI PROPERTINDO</t>
        </is>
      </c>
      <c r="B26" t="inlineStr">
        <is>
          <t>Kab. Sarolangun</t>
        </is>
      </c>
      <c r="C26" t="inlineStr">
        <is>
          <t>085220956000</t>
        </is>
      </c>
      <c r="D26" t="inlineStr">
        <is>
          <t>sayutipropertindo@gmail.com</t>
        </is>
      </c>
      <c r="E26" t="inlineStr">
        <is>
          <t>https://lpjk.pu.go.id/search-badan-usaha-detail/eXRMOUZvTytCUWtHdFJtdlR5TTNuQT09</t>
        </is>
      </c>
      <c r="F26" t="n">
        <v>1</v>
      </c>
      <c r="G26" t="inlineStr">
        <is>
          <t>BS001</t>
        </is>
      </c>
      <c r="H26" t="inlineStr">
        <is>
          <t>3 Mei 2018</t>
        </is>
      </c>
      <c r="I26" s="2" t="n">
        <v>46267</v>
      </c>
      <c r="J26" t="inlineStr">
        <is>
          <t>Disetujui</t>
        </is>
      </c>
      <c r="K26" t="n">
        <v>30</v>
      </c>
      <c r="L26" t="inlineStr">
        <is>
          <t>2 September 2026</t>
        </is>
      </c>
      <c r="M26" t="inlineStr">
        <is>
          <t>Konstruksi Bangunan Sipil Jalan</t>
        </is>
      </c>
      <c r="N26" t="inlineStr">
        <is>
          <t>K</t>
        </is>
      </c>
      <c r="O26" t="inlineStr">
        <is>
          <t>20230901</t>
        </is>
      </c>
      <c r="P26" t="inlineStr">
        <is>
          <t>Jambi</t>
        </is>
      </c>
      <c r="Q26" t="inlineStr"/>
    </row>
    <row r="27">
      <c r="A27" t="inlineStr">
        <is>
          <t>PUTRI KEDIRI</t>
        </is>
      </c>
      <c r="B27" t="inlineStr">
        <is>
          <t>Kab. Berau</t>
        </is>
      </c>
      <c r="C27" t="inlineStr">
        <is>
          <t>085327377789</t>
        </is>
      </c>
      <c r="D27" t="inlineStr">
        <is>
          <t>cvputrikediri@gmail.com</t>
        </is>
      </c>
      <c r="E27" t="inlineStr">
        <is>
          <t>https://lpjk.pu.go.id/search-badan-usaha-detail/bXk2MWpsNHJXeVNPVThxaU1PdW5PQT09</t>
        </is>
      </c>
      <c r="F27" t="n">
        <v>2</v>
      </c>
      <c r="G27" t="inlineStr">
        <is>
          <t>BS001, BS004</t>
        </is>
      </c>
      <c r="H27" t="inlineStr">
        <is>
          <t>26 Oktober 2016</t>
        </is>
      </c>
      <c r="I27" s="2" t="n">
        <v>46267</v>
      </c>
      <c r="J27" t="inlineStr">
        <is>
          <t>Disetujui</t>
        </is>
      </c>
      <c r="K27" t="n">
        <v>30</v>
      </c>
      <c r="L27" t="inlineStr">
        <is>
          <t>2 September 2026</t>
        </is>
      </c>
      <c r="M27" t="inlineStr">
        <is>
          <t>Konstruksi Bangunan Sipil Jalan, Konstruksi Jaringan Irigasi dan Drainase</t>
        </is>
      </c>
      <c r="N27" t="inlineStr">
        <is>
          <t>K</t>
        </is>
      </c>
      <c r="O27" t="inlineStr">
        <is>
          <t>20230902</t>
        </is>
      </c>
      <c r="P27" t="inlineStr">
        <is>
          <t>Kalimantan Timur</t>
        </is>
      </c>
      <c r="Q27" t="inlineStr"/>
    </row>
    <row r="28">
      <c r="A28" t="inlineStr">
        <is>
          <t>RADEN GALUH</t>
        </is>
      </c>
      <c r="B28" t="inlineStr">
        <is>
          <t>Kota Bandar Lampung</t>
        </is>
      </c>
      <c r="C28" t="inlineStr">
        <is>
          <t>-</t>
        </is>
      </c>
      <c r="D28" t="inlineStr">
        <is>
          <t>-</t>
        </is>
      </c>
      <c r="E28" t="inlineStr">
        <is>
          <t>https://lpjk.pu.go.id/search-badan-usaha-detail/MXBJSG1VemNzQndCRTFsWVJyQklodz09</t>
        </is>
      </c>
      <c r="F28" t="n">
        <v>2</v>
      </c>
      <c r="G28" t="inlineStr">
        <is>
          <t>BS001, BS010</t>
        </is>
      </c>
      <c r="H28" t="inlineStr">
        <is>
          <t>27 Desember 2013</t>
        </is>
      </c>
      <c r="I28" s="2" t="n">
        <v>46267</v>
      </c>
      <c r="J28" t="inlineStr">
        <is>
          <t>Disetujui</t>
        </is>
      </c>
      <c r="K28" t="n">
        <v>30</v>
      </c>
      <c r="L28" t="inlineStr">
        <is>
          <t>2 September 2026</t>
        </is>
      </c>
      <c r="M28" t="inlineStr">
        <is>
          <t>Konstruksi Bangunan Prasarana Sumber Daya Air, Konstruksi Bangunan Sipil Jalan</t>
        </is>
      </c>
      <c r="N28" t="inlineStr">
        <is>
          <t>K</t>
        </is>
      </c>
      <c r="O28" t="inlineStr">
        <is>
          <t>20230902</t>
        </is>
      </c>
      <c r="P28" t="inlineStr">
        <is>
          <t>Lampung</t>
        </is>
      </c>
      <c r="Q28" t="inlineStr"/>
    </row>
    <row r="29">
      <c r="A29" t="inlineStr">
        <is>
          <t>RAGITA PRAKASA ISTIMEWA</t>
        </is>
      </c>
      <c r="B29" t="inlineStr">
        <is>
          <t>Kab. Purwakarta</t>
        </is>
      </c>
      <c r="C29" t="inlineStr">
        <is>
          <t>0817204980</t>
        </is>
      </c>
      <c r="D29" t="inlineStr">
        <is>
          <t>ragitaprakasaistimewa12@gmail.com</t>
        </is>
      </c>
      <c r="E29" t="inlineStr">
        <is>
          <t>https://lpjk.pu.go.id/search-badan-usaha-detail/M0xLRzU2ZXZ5N2RIRlRrWCtZWTVHdz09</t>
        </is>
      </c>
      <c r="F29" t="n">
        <v>1</v>
      </c>
      <c r="G29" t="inlineStr">
        <is>
          <t>BG006</t>
        </is>
      </c>
      <c r="H29" t="inlineStr">
        <is>
          <t>26 Februari 2025</t>
        </is>
      </c>
      <c r="I29" s="2" t="n">
        <v>46267</v>
      </c>
      <c r="J29" t="inlineStr">
        <is>
          <t>Disetujui</t>
        </is>
      </c>
      <c r="K29" t="n">
        <v>30</v>
      </c>
      <c r="L29" t="inlineStr">
        <is>
          <t>2 September 2026</t>
        </is>
      </c>
      <c r="M29" t="inlineStr">
        <is>
          <t>Konstruksi Gedung Pendidikan</t>
        </is>
      </c>
      <c r="N29" t="inlineStr">
        <is>
          <t>K</t>
        </is>
      </c>
      <c r="O29" t="inlineStr">
        <is>
          <t>20230902</t>
        </is>
      </c>
      <c r="P29" t="inlineStr">
        <is>
          <t>Jawa Barat</t>
        </is>
      </c>
      <c r="Q29" t="inlineStr"/>
    </row>
    <row r="30">
      <c r="A30" t="inlineStr">
        <is>
          <t>RIZKY NAULI</t>
        </is>
      </c>
      <c r="B30" t="inlineStr">
        <is>
          <t>Kota Medan</t>
        </is>
      </c>
      <c r="C30" t="inlineStr">
        <is>
          <t>08126404355</t>
        </is>
      </c>
      <c r="D30" t="inlineStr">
        <is>
          <t>cv.rizky_nauli@yahoo.com</t>
        </is>
      </c>
      <c r="E30" t="inlineStr">
        <is>
          <t>https://lpjk.pu.go.id/search-badan-usaha-detail/U2FYME9YOEVGakxKaGhRYy9CanV4QT09</t>
        </is>
      </c>
      <c r="F30" t="n">
        <v>1</v>
      </c>
      <c r="G30" t="inlineStr">
        <is>
          <t>BS001</t>
        </is>
      </c>
      <c r="H30" t="inlineStr">
        <is>
          <t>26 Mei 2005</t>
        </is>
      </c>
      <c r="I30" s="2" t="n">
        <v>46267</v>
      </c>
      <c r="J30" t="inlineStr">
        <is>
          <t>Disetujui</t>
        </is>
      </c>
      <c r="K30" t="n">
        <v>30</v>
      </c>
      <c r="L30" t="inlineStr">
        <is>
          <t>2 September 2026</t>
        </is>
      </c>
      <c r="M30" t="inlineStr">
        <is>
          <t>Konstruksi Bangunan Sipil Jalan</t>
        </is>
      </c>
      <c r="N30" t="inlineStr">
        <is>
          <t>K</t>
        </is>
      </c>
      <c r="O30" t="inlineStr">
        <is>
          <t>20230831</t>
        </is>
      </c>
      <c r="P30" t="inlineStr">
        <is>
          <t>Sumatera Utara</t>
        </is>
      </c>
      <c r="Q30" t="inlineStr"/>
    </row>
    <row r="31">
      <c r="A31" t="inlineStr">
        <is>
          <t>SIGMA</t>
        </is>
      </c>
      <c r="B31" t="inlineStr">
        <is>
          <t>Kab. Bangkalan</t>
        </is>
      </c>
      <c r="C31" t="inlineStr">
        <is>
          <t>82333644451</t>
        </is>
      </c>
      <c r="D31" t="inlineStr">
        <is>
          <t>sigmacv_endang@yahoo.com</t>
        </is>
      </c>
      <c r="E31" t="inlineStr">
        <is>
          <t>https://lpjk.pu.go.id/search-badan-usaha-detail/MGxyV1k4V1hHV2NJZFN4NlE3NTcyUT09</t>
        </is>
      </c>
      <c r="F31" t="n">
        <v>2</v>
      </c>
      <c r="G31" t="inlineStr">
        <is>
          <t>BS004</t>
        </is>
      </c>
      <c r="H31" t="inlineStr">
        <is>
          <t>26 Januari 1982</t>
        </is>
      </c>
      <c r="I31" s="2" t="n">
        <v>46267</v>
      </c>
      <c r="J31" t="inlineStr">
        <is>
          <t>Pencabutan</t>
        </is>
      </c>
      <c r="K31" t="n">
        <v>30</v>
      </c>
      <c r="L31" t="inlineStr">
        <is>
          <t>2 September 2026</t>
        </is>
      </c>
      <c r="M31" t="inlineStr">
        <is>
          <t>Konstruksi Jaringan Irigasi dan Drainase</t>
        </is>
      </c>
      <c r="N31" t="inlineStr">
        <is>
          <t>K</t>
        </is>
      </c>
      <c r="O31" t="inlineStr">
        <is>
          <t>20230831</t>
        </is>
      </c>
      <c r="P31" t="inlineStr">
        <is>
          <t>Jawa Timur</t>
        </is>
      </c>
      <c r="Q31" t="inlineStr"/>
    </row>
    <row r="32">
      <c r="A32" t="inlineStr">
        <is>
          <t>UTAMA ANDRY SARANA PERKASA</t>
        </is>
      </c>
      <c r="B32" t="inlineStr">
        <is>
          <t>Kab. Bulungan</t>
        </is>
      </c>
      <c r="C32" t="inlineStr">
        <is>
          <t>082153270159</t>
        </is>
      </c>
      <c r="D32" t="inlineStr">
        <is>
          <t>cvutamaandrysaranaperkasa@gmail.com</t>
        </is>
      </c>
      <c r="E32" t="inlineStr">
        <is>
          <t>https://lpjk.pu.go.id/search-badan-usaha-detail/OXZRVUhMdGJFaXZmRlJWUlFEaURZZz09</t>
        </is>
      </c>
      <c r="F32" t="n">
        <v>2</v>
      </c>
      <c r="G32" t="inlineStr">
        <is>
          <t>BG006, BS001</t>
        </is>
      </c>
      <c r="H32" t="inlineStr">
        <is>
          <t>11 Juli 2023</t>
        </is>
      </c>
      <c r="I32" s="2" t="n">
        <v>46267</v>
      </c>
      <c r="J32" t="inlineStr">
        <is>
          <t>Disetujui</t>
        </is>
      </c>
      <c r="K32" t="n">
        <v>30</v>
      </c>
      <c r="L32" t="inlineStr">
        <is>
          <t>2 September 2026</t>
        </is>
      </c>
      <c r="M32" t="inlineStr">
        <is>
          <t>Konstruksi Bangunan Sipil Jalan, Konstruksi Gedung Pendidikan</t>
        </is>
      </c>
      <c r="N32" t="inlineStr">
        <is>
          <t>K</t>
        </is>
      </c>
      <c r="O32" t="inlineStr">
        <is>
          <t>20230831, 20230902</t>
        </is>
      </c>
      <c r="P32" t="inlineStr">
        <is>
          <t>Kalimantan Utara</t>
        </is>
      </c>
      <c r="Q32" t="inlineStr"/>
    </row>
    <row r="33">
      <c r="A33" t="inlineStr">
        <is>
          <t>WIJAYA MEGAH UTAMA</t>
        </is>
      </c>
      <c r="B33" t="inlineStr">
        <is>
          <t>Kab. Majalengka</t>
        </is>
      </c>
      <c r="C33" t="inlineStr">
        <is>
          <t>081220517500</t>
        </is>
      </c>
      <c r="D33" t="inlineStr">
        <is>
          <t>cvwijayamegahutama@gmail.com</t>
        </is>
      </c>
      <c r="E33" t="inlineStr">
        <is>
          <t>https://lpjk.pu.go.id/search-badan-usaha-detail/OFdIMExMVXAwMmU1NVZEWGdmUy95Zz09</t>
        </is>
      </c>
      <c r="F33" t="n">
        <v>6</v>
      </c>
      <c r="G33" t="inlineStr">
        <is>
          <t>BG009, BS001, BS004</t>
        </is>
      </c>
      <c r="H33" t="inlineStr">
        <is>
          <t>24 Agustus 2011</t>
        </is>
      </c>
      <c r="I33" s="2" t="n">
        <v>46267</v>
      </c>
      <c r="J33" t="inlineStr">
        <is>
          <t>Disetujui</t>
        </is>
      </c>
      <c r="K33" t="n">
        <v>30</v>
      </c>
      <c r="L33" t="inlineStr">
        <is>
          <t>2 September 2026</t>
        </is>
      </c>
      <c r="M33" t="inlineStr">
        <is>
          <t>Konstruksi Bangunan Sipil Jalan, Konstruksi Gedung Lainnya, Konstruksi Jaringan Irigasi dan Drainase</t>
        </is>
      </c>
      <c r="N33" t="inlineStr">
        <is>
          <t>K</t>
        </is>
      </c>
      <c r="O33" t="inlineStr">
        <is>
          <t>20230901, 20230902</t>
        </is>
      </c>
      <c r="P33" t="inlineStr">
        <is>
          <t>Jawa Barat</t>
        </is>
      </c>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2026-08-03T05:03:31Z</dcterms:created>
  <dcterms:modified xsi:type="dcterms:W3CDTF">2026-08-03T05:03:31Z</dcterms:modified>
</cp:coreProperties>
</file>