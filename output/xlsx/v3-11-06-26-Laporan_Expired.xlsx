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31" customWidth="1" min="1" max="1"/>
    <col width="25" customWidth="1" min="2" max="2"/>
    <col width="14" customWidth="1" min="3" max="3"/>
    <col width="37"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30" customWidth="1" min="15" max="15"/>
    <col width="18"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GRIYA GUNA SANTOSA</t>
        </is>
      </c>
      <c r="B2" t="inlineStr">
        <is>
          <t>Kota Adm. Jakarta Timur</t>
        </is>
      </c>
      <c r="C2" t="inlineStr">
        <is>
          <t>0818743560</t>
        </is>
      </c>
      <c r="D2" t="inlineStr">
        <is>
          <t>griya.guna.santosa@gmail.com</t>
        </is>
      </c>
      <c r="E2" t="inlineStr">
        <is>
          <t>https://lpjk.pu.go.id/search-badan-usaha-detail/YkxVL0FQQTNDdFoxY25vdUNaaEpPdz09</t>
        </is>
      </c>
      <c r="F2" t="n">
        <v>3</v>
      </c>
      <c r="G2" t="inlineStr">
        <is>
          <t>BG001, BG002, BG006</t>
        </is>
      </c>
      <c r="H2" t="inlineStr">
        <is>
          <t>26 November 2018</t>
        </is>
      </c>
      <c r="I2" s="2" t="n">
        <v>46274</v>
      </c>
      <c r="J2" t="inlineStr">
        <is>
          <t>Disetujui</t>
        </is>
      </c>
      <c r="K2" t="n">
        <v>90</v>
      </c>
      <c r="L2" t="inlineStr">
        <is>
          <t>9 September 2026</t>
        </is>
      </c>
      <c r="M2" t="inlineStr">
        <is>
          <t>Konstruksi Gedung Hunian, Konstruksi Gedung Pendidikan, Konstruksi Gedung Perkantoran</t>
        </is>
      </c>
      <c r="N2" t="inlineStr">
        <is>
          <t>M</t>
        </is>
      </c>
      <c r="O2" t="inlineStr">
        <is>
          <t>20230727</t>
        </is>
      </c>
      <c r="P2" t="inlineStr">
        <is>
          <t>DKI Jakarta</t>
        </is>
      </c>
      <c r="Q2" s="3">
        <f>HYPERLINK("https://wa.me/62818743560?text=Selamat siang Bapak/Ibu pimpinan GRIYA GUNA SANTOSA,%0A%0ASemoga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PESONA ANJANI SARI</t>
        </is>
      </c>
      <c r="B3" t="inlineStr">
        <is>
          <t>Kota Bekasi</t>
        </is>
      </c>
      <c r="C3" t="inlineStr">
        <is>
          <t>087788143213</t>
        </is>
      </c>
      <c r="D3" t="inlineStr">
        <is>
          <t>pesonaanjanisari@gmail.com</t>
        </is>
      </c>
      <c r="E3" t="inlineStr">
        <is>
          <t>https://lpjk.pu.go.id/search-badan-usaha-detail/dDkxKytqd21waDYxVG02bXo4czBsZz09</t>
        </is>
      </c>
      <c r="F3" t="n">
        <v>1</v>
      </c>
      <c r="G3" t="inlineStr">
        <is>
          <t>BG001</t>
        </is>
      </c>
      <c r="H3" t="inlineStr">
        <is>
          <t>9 September 2022</t>
        </is>
      </c>
      <c r="I3" s="2" t="n">
        <v>46274</v>
      </c>
      <c r="J3" t="inlineStr">
        <is>
          <t>Disetujui</t>
        </is>
      </c>
      <c r="K3" t="n">
        <v>90</v>
      </c>
      <c r="L3" t="inlineStr">
        <is>
          <t>9 September 2026</t>
        </is>
      </c>
      <c r="M3" t="inlineStr">
        <is>
          <t>Konstruksi Gedung Hunian</t>
        </is>
      </c>
      <c r="N3" t="inlineStr">
        <is>
          <t>K</t>
        </is>
      </c>
      <c r="O3" t="inlineStr">
        <is>
          <t>20230907</t>
        </is>
      </c>
      <c r="P3" t="inlineStr">
        <is>
          <t>Jawa Barat</t>
        </is>
      </c>
      <c r="Q3" s="3">
        <f>HYPERLINK("https://wa.me/6287788143213?text=Selamat siang Bapak/Ibu pimpinan PESONA ANJANI SARI,%0A%0ASemoga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ADI KARYA KONSTRUKSI</t>
        </is>
      </c>
      <c r="B4" t="inlineStr">
        <is>
          <t>Kab. Lampung Tengah</t>
        </is>
      </c>
      <c r="C4" t="inlineStr">
        <is>
          <t>081271646099</t>
        </is>
      </c>
      <c r="D4" t="inlineStr">
        <is>
          <t>adikaryakonstruksi.indo@gmail.com</t>
        </is>
      </c>
      <c r="E4" t="inlineStr">
        <is>
          <t>https://lpjk.pu.go.id/search-badan-usaha-detail/MW9ja3g2OVhubTQ1bzE1YmJtZ2JNZz09</t>
        </is>
      </c>
      <c r="F4" t="n">
        <v>1</v>
      </c>
      <c r="G4" t="inlineStr">
        <is>
          <t>BG003</t>
        </is>
      </c>
      <c r="H4" t="inlineStr">
        <is>
          <t>15 Juli 2019</t>
        </is>
      </c>
      <c r="I4" s="2" t="n">
        <v>46274</v>
      </c>
      <c r="J4" t="inlineStr">
        <is>
          <t>Disetujui</t>
        </is>
      </c>
      <c r="K4" t="n">
        <v>90</v>
      </c>
      <c r="L4" t="inlineStr">
        <is>
          <t>9 September 2026</t>
        </is>
      </c>
      <c r="M4" t="inlineStr">
        <is>
          <t>Konstruksi Gedung Industri</t>
        </is>
      </c>
      <c r="N4" t="inlineStr">
        <is>
          <t>K</t>
        </is>
      </c>
      <c r="O4" t="inlineStr">
        <is>
          <t>20230908</t>
        </is>
      </c>
      <c r="P4" t="inlineStr">
        <is>
          <t>Lampung</t>
        </is>
      </c>
      <c r="Q4" t="inlineStr"/>
    </row>
    <row r="5">
      <c r="A5" t="inlineStr">
        <is>
          <t>BANGUN MEGA UTAMA</t>
        </is>
      </c>
      <c r="B5" t="inlineStr">
        <is>
          <t>Kota Bengkulu</t>
        </is>
      </c>
      <c r="C5" t="inlineStr">
        <is>
          <t>082177719991</t>
        </is>
      </c>
      <c r="D5" t="inlineStr">
        <is>
          <t>cvbangunmegautama@gmail.com</t>
        </is>
      </c>
      <c r="E5" t="inlineStr">
        <is>
          <t>https://lpjk.pu.go.id/search-badan-usaha-detail/SCtmMDJQN0JPVFdEWjZQYWtnSk5xZz09</t>
        </is>
      </c>
      <c r="F5" t="n">
        <v>5</v>
      </c>
      <c r="G5" t="inlineStr">
        <is>
          <t>BG002, BG005, BG006, BG008, BG009</t>
        </is>
      </c>
      <c r="H5" t="inlineStr">
        <is>
          <t>28 Agustus 2023</t>
        </is>
      </c>
      <c r="I5" s="2" t="n">
        <v>46274</v>
      </c>
      <c r="J5" t="inlineStr">
        <is>
          <t>Disetujui</t>
        </is>
      </c>
      <c r="K5" t="n">
        <v>90</v>
      </c>
      <c r="L5" t="inlineStr">
        <is>
          <t>9 September 2026</t>
        </is>
      </c>
      <c r="M5" t="inlineStr">
        <is>
          <t>Konstruksi Gedung Kesehatan, Konstruksi Gedung Lainnya, Konstruksi Gedung Pendidikan, Konstruksi Gedung Perkantoran, Konstruksi Gedung Tempat Hiburan dan Olahraga</t>
        </is>
      </c>
      <c r="N5" t="inlineStr">
        <is>
          <t>K</t>
        </is>
      </c>
      <c r="O5" t="inlineStr">
        <is>
          <t>20230908</t>
        </is>
      </c>
      <c r="P5" t="inlineStr">
        <is>
          <t>Bengkulu</t>
        </is>
      </c>
      <c r="Q5" t="inlineStr"/>
    </row>
    <row r="6">
      <c r="A6" t="inlineStr">
        <is>
          <t>BARAKAS KARYA ABADI</t>
        </is>
      </c>
      <c r="B6" t="inlineStr">
        <is>
          <t>Kab. Mimika</t>
        </is>
      </c>
      <c r="C6" t="inlineStr">
        <is>
          <t>081311030780</t>
        </is>
      </c>
      <c r="D6" t="inlineStr">
        <is>
          <t>cvbarakaskaryaabadi@gmail.com</t>
        </is>
      </c>
      <c r="E6" t="inlineStr">
        <is>
          <t>https://lpjk.pu.go.id/search-badan-usaha-detail/aCtPYmJXR3NSa29TUkRyUzYzU1Vxdz09</t>
        </is>
      </c>
      <c r="F6" t="n">
        <v>4</v>
      </c>
      <c r="G6" t="inlineStr">
        <is>
          <t>BG001, BG009</t>
        </is>
      </c>
      <c r="H6" t="inlineStr">
        <is>
          <t>18 Agustus 2023</t>
        </is>
      </c>
      <c r="I6" s="2" t="n">
        <v>46274</v>
      </c>
      <c r="J6" t="inlineStr">
        <is>
          <t>Pencabutan</t>
        </is>
      </c>
      <c r="K6" t="n">
        <v>90</v>
      </c>
      <c r="L6" t="inlineStr">
        <is>
          <t>9 September 2026</t>
        </is>
      </c>
      <c r="M6" t="inlineStr">
        <is>
          <t>Konstruksi Gedung Hunian, Konstruksi Gedung Lainnya</t>
        </is>
      </c>
      <c r="N6" t="inlineStr">
        <is>
          <t>K</t>
        </is>
      </c>
      <c r="O6" t="inlineStr">
        <is>
          <t>20230908</t>
        </is>
      </c>
      <c r="P6" t="inlineStr">
        <is>
          <t>Papua</t>
        </is>
      </c>
      <c r="Q6" t="inlineStr"/>
    </row>
    <row r="7">
      <c r="A7" t="inlineStr">
        <is>
          <t>CAHAYA KARYA MANDIRI</t>
        </is>
      </c>
      <c r="B7" t="inlineStr">
        <is>
          <t>Kota Semarang</t>
        </is>
      </c>
      <c r="C7" t="inlineStr">
        <is>
          <t>082225261280</t>
        </is>
      </c>
      <c r="D7" t="inlineStr">
        <is>
          <t>afifcahya77@gmail.com</t>
        </is>
      </c>
      <c r="E7" t="inlineStr">
        <is>
          <t>https://lpjk.pu.go.id/search-badan-usaha-detail/OVphdkRlZzZUeTdJOUtzK0xiOWhOQT09</t>
        </is>
      </c>
      <c r="F7" t="n">
        <v>2</v>
      </c>
      <c r="G7" t="inlineStr">
        <is>
          <t>BG002, BS004</t>
        </is>
      </c>
      <c r="H7" t="inlineStr">
        <is>
          <t>21 Januari 2019</t>
        </is>
      </c>
      <c r="I7" s="2" t="n">
        <v>46274</v>
      </c>
      <c r="J7" t="inlineStr">
        <is>
          <t>Disetujui</t>
        </is>
      </c>
      <c r="K7" t="n">
        <v>90</v>
      </c>
      <c r="L7" t="inlineStr">
        <is>
          <t>9 September 2026</t>
        </is>
      </c>
      <c r="M7" t="inlineStr">
        <is>
          <t>Konstruksi Gedung Perkantoran, Konstruksi Jaringan Irigasi dan Drainase</t>
        </is>
      </c>
      <c r="N7" t="inlineStr">
        <is>
          <t>K</t>
        </is>
      </c>
      <c r="O7" t="inlineStr">
        <is>
          <t>20230908</t>
        </is>
      </c>
      <c r="P7" t="inlineStr">
        <is>
          <t>Jawa Tengah</t>
        </is>
      </c>
      <c r="Q7" t="inlineStr"/>
    </row>
    <row r="8">
      <c r="A8" t="inlineStr">
        <is>
          <t>GRAHA INDO INSANI</t>
        </is>
      </c>
      <c r="B8" t="inlineStr">
        <is>
          <t>Kota Serang</t>
        </is>
      </c>
      <c r="C8" t="inlineStr">
        <is>
          <t>02548483607</t>
        </is>
      </c>
      <c r="D8" t="inlineStr">
        <is>
          <t>grahaindoinsani@gmail.com</t>
        </is>
      </c>
      <c r="E8" t="inlineStr">
        <is>
          <t>https://lpjk.pu.go.id/search-badan-usaha-detail/eVM2NlpZaDlqek12Sm9VV3o4RW01QT09</t>
        </is>
      </c>
      <c r="F8" t="n">
        <v>1</v>
      </c>
      <c r="G8" t="inlineStr">
        <is>
          <t>BS001</t>
        </is>
      </c>
      <c r="H8" t="inlineStr">
        <is>
          <t>23 Januari 2020</t>
        </is>
      </c>
      <c r="I8" s="2" t="n">
        <v>46274</v>
      </c>
      <c r="J8" t="inlineStr">
        <is>
          <t>Disetujui</t>
        </is>
      </c>
      <c r="K8" t="n">
        <v>90</v>
      </c>
      <c r="L8" t="inlineStr">
        <is>
          <t>9 September 2026</t>
        </is>
      </c>
      <c r="M8" t="inlineStr">
        <is>
          <t>Konstruksi Bangunan Sipil Jalan</t>
        </is>
      </c>
      <c r="N8" t="inlineStr">
        <is>
          <t>K</t>
        </is>
      </c>
      <c r="O8" t="inlineStr">
        <is>
          <t>20230310</t>
        </is>
      </c>
      <c r="P8" t="inlineStr">
        <is>
          <t>Banten</t>
        </is>
      </c>
      <c r="Q8" t="inlineStr"/>
    </row>
    <row r="9">
      <c r="A9" t="inlineStr">
        <is>
          <t>GRAND ABADI GEMILANG</t>
        </is>
      </c>
      <c r="B9" t="inlineStr">
        <is>
          <t>Kab. Maros</t>
        </is>
      </c>
      <c r="C9" t="inlineStr">
        <is>
          <t>081242800767</t>
        </is>
      </c>
      <c r="D9" t="inlineStr">
        <is>
          <t>cv.grandabadigemilang77@gmail.com</t>
        </is>
      </c>
      <c r="E9" t="inlineStr">
        <is>
          <t>https://lpjk.pu.go.id/search-badan-usaha-detail/d2NieGVLM1NUOWdLYzMva0lmWkJRZz09</t>
        </is>
      </c>
      <c r="F9" t="n">
        <v>1</v>
      </c>
      <c r="G9" t="inlineStr">
        <is>
          <t>BG002</t>
        </is>
      </c>
      <c r="H9" t="inlineStr">
        <is>
          <t>3 Februari 2023</t>
        </is>
      </c>
      <c r="I9" s="2" t="n">
        <v>46274</v>
      </c>
      <c r="J9" t="inlineStr">
        <is>
          <t>Disetujui</t>
        </is>
      </c>
      <c r="K9" t="n">
        <v>90</v>
      </c>
      <c r="L9" t="inlineStr">
        <is>
          <t>9 September 2026</t>
        </is>
      </c>
      <c r="M9" t="inlineStr">
        <is>
          <t>Konstruksi Gedung Perkantoran</t>
        </is>
      </c>
      <c r="N9" t="inlineStr">
        <is>
          <t>K</t>
        </is>
      </c>
      <c r="O9" t="inlineStr">
        <is>
          <t>20230909</t>
        </is>
      </c>
      <c r="P9" t="inlineStr">
        <is>
          <t>Sulawesi Selatan</t>
        </is>
      </c>
      <c r="Q9" t="inlineStr"/>
    </row>
    <row r="10">
      <c r="A10" t="inlineStr">
        <is>
          <t>JAYA ACHEVA MANDIRI</t>
        </is>
      </c>
      <c r="B10" t="inlineStr">
        <is>
          <t>Kota Pekanbaru</t>
        </is>
      </c>
      <c r="C10" t="inlineStr">
        <is>
          <t>082143363567</t>
        </is>
      </c>
      <c r="D10" t="inlineStr">
        <is>
          <t>jayaachevamandiri@gmail.com</t>
        </is>
      </c>
      <c r="E10" t="inlineStr">
        <is>
          <t>https://lpjk.pu.go.id/search-badan-usaha-detail/N3JoeUFLdmRqREg4ZTNYbXRTNDNyUT09</t>
        </is>
      </c>
      <c r="F10" t="n">
        <v>1</v>
      </c>
      <c r="G10" t="inlineStr">
        <is>
          <t>BS001</t>
        </is>
      </c>
      <c r="H10" t="inlineStr">
        <is>
          <t>5 Mei 2023</t>
        </is>
      </c>
      <c r="I10" s="2" t="n">
        <v>46274</v>
      </c>
      <c r="J10" t="inlineStr">
        <is>
          <t>Disetujui</t>
        </is>
      </c>
      <c r="K10" t="n">
        <v>90</v>
      </c>
      <c r="L10" t="inlineStr">
        <is>
          <t>9 September 2026</t>
        </is>
      </c>
      <c r="M10" t="inlineStr">
        <is>
          <t>Konstruksi Bangunan Sipil Jalan</t>
        </is>
      </c>
      <c r="N10" t="inlineStr">
        <is>
          <t>K</t>
        </is>
      </c>
      <c r="O10" t="inlineStr">
        <is>
          <t>20230909</t>
        </is>
      </c>
      <c r="P10" t="inlineStr">
        <is>
          <t>Riau</t>
        </is>
      </c>
      <c r="Q10" t="inlineStr"/>
    </row>
    <row r="11">
      <c r="A11" t="inlineStr">
        <is>
          <t>KAMILA KARYA</t>
        </is>
      </c>
      <c r="B11" t="inlineStr">
        <is>
          <t>Kota Pekanbaru</t>
        </is>
      </c>
      <c r="C11" t="inlineStr">
        <is>
          <t>085265935558</t>
        </is>
      </c>
      <c r="D11" t="inlineStr">
        <is>
          <t>kamilakarya.kk@gmail.com</t>
        </is>
      </c>
      <c r="E11" t="inlineStr">
        <is>
          <t>https://lpjk.pu.go.id/search-badan-usaha-detail/d0RRWHJFS2tkMlR1ekpRUWtoVlM1QT09</t>
        </is>
      </c>
      <c r="F11" t="n">
        <v>1</v>
      </c>
      <c r="G11" t="inlineStr">
        <is>
          <t>BS001</t>
        </is>
      </c>
      <c r="H11" t="inlineStr">
        <is>
          <t>8 Juni 2023</t>
        </is>
      </c>
      <c r="I11" s="2" t="n">
        <v>46274</v>
      </c>
      <c r="J11" t="inlineStr">
        <is>
          <t>Disetujui</t>
        </is>
      </c>
      <c r="K11" t="n">
        <v>90</v>
      </c>
      <c r="L11" t="inlineStr">
        <is>
          <t>9 September 2026</t>
        </is>
      </c>
      <c r="M11" t="inlineStr">
        <is>
          <t>Konstruksi Bangunan Sipil Jalan</t>
        </is>
      </c>
      <c r="N11" t="inlineStr">
        <is>
          <t>K</t>
        </is>
      </c>
      <c r="O11" t="inlineStr">
        <is>
          <t>20230904</t>
        </is>
      </c>
      <c r="P11" t="inlineStr">
        <is>
          <t>Riau</t>
        </is>
      </c>
      <c r="Q11" t="inlineStr"/>
    </row>
    <row r="12">
      <c r="A12" t="inlineStr">
        <is>
          <t>KARYA ANUGERAH BERSAMA PERMAI</t>
        </is>
      </c>
      <c r="B12" t="inlineStr">
        <is>
          <t>Kab. Humbang Hasundutan</t>
        </is>
      </c>
      <c r="C12" t="inlineStr">
        <is>
          <t>081370652707</t>
        </is>
      </c>
      <c r="D12" t="inlineStr">
        <is>
          <t>Karyaanugrahbersamapermai@gmail.com</t>
        </is>
      </c>
      <c r="E12" t="inlineStr">
        <is>
          <t>https://lpjk.pu.go.id/search-badan-usaha-detail/UWE0ZCtCY0hYa3hzVDhkemxicG45UT09</t>
        </is>
      </c>
      <c r="F12" t="n">
        <v>1</v>
      </c>
      <c r="G12" t="inlineStr">
        <is>
          <t>BS001</t>
        </is>
      </c>
      <c r="H12" t="inlineStr">
        <is>
          <t>4 November 2016</t>
        </is>
      </c>
      <c r="I12" s="2" t="n">
        <v>46274</v>
      </c>
      <c r="J12" t="inlineStr">
        <is>
          <t>Pembekuan</t>
        </is>
      </c>
      <c r="K12" t="n">
        <v>90</v>
      </c>
      <c r="L12" t="inlineStr">
        <is>
          <t>9 September 2026</t>
        </is>
      </c>
      <c r="M12" t="inlineStr">
        <is>
          <t>Konstruksi Bangunan Sipil Jalan</t>
        </is>
      </c>
      <c r="N12" t="inlineStr">
        <is>
          <t>M</t>
        </is>
      </c>
      <c r="O12" t="inlineStr">
        <is>
          <t>20230904</t>
        </is>
      </c>
      <c r="P12" t="inlineStr">
        <is>
          <t>Sumatera Utara</t>
        </is>
      </c>
      <c r="Q12" t="inlineStr"/>
    </row>
    <row r="13">
      <c r="A13" t="inlineStr">
        <is>
          <t>KARYA SENTOSA</t>
        </is>
      </c>
      <c r="B13" t="inlineStr">
        <is>
          <t>Kab. Wonosobo</t>
        </is>
      </c>
      <c r="C13" t="inlineStr">
        <is>
          <t>081226710240</t>
        </is>
      </c>
      <c r="D13" t="inlineStr">
        <is>
          <t>karyasentosacv@gmail.com</t>
        </is>
      </c>
      <c r="E13" t="inlineStr">
        <is>
          <t>https://lpjk.pu.go.id/search-badan-usaha-detail/dlhtakNoT3hXenU2djlQbmtnWE1NZz09</t>
        </is>
      </c>
      <c r="F13" t="n">
        <v>1</v>
      </c>
      <c r="G13" t="inlineStr">
        <is>
          <t>BG002</t>
        </is>
      </c>
      <c r="H13" t="inlineStr">
        <is>
          <t>31 Desember 2007</t>
        </is>
      </c>
      <c r="I13" s="2" t="n">
        <v>46274</v>
      </c>
      <c r="J13" t="inlineStr">
        <is>
          <t>Pencabutan</t>
        </is>
      </c>
      <c r="K13" t="n">
        <v>90</v>
      </c>
      <c r="L13" t="inlineStr">
        <is>
          <t>9 September 2026</t>
        </is>
      </c>
      <c r="M13" t="inlineStr">
        <is>
          <t>Konstruksi Gedung Perkantoran</t>
        </is>
      </c>
      <c r="N13" t="inlineStr">
        <is>
          <t>K</t>
        </is>
      </c>
      <c r="O13" t="inlineStr">
        <is>
          <t>20230909</t>
        </is>
      </c>
      <c r="P13" t="inlineStr">
        <is>
          <t>Jawa Tengah</t>
        </is>
      </c>
      <c r="Q13" t="inlineStr"/>
    </row>
    <row r="14">
      <c r="A14" t="inlineStr">
        <is>
          <t>KIBAR KARYA KONSTRUKSI</t>
        </is>
      </c>
      <c r="B14" t="inlineStr">
        <is>
          <t>Kota Bengkulu</t>
        </is>
      </c>
      <c r="C14" t="inlineStr">
        <is>
          <t>081390465145</t>
        </is>
      </c>
      <c r="D14" t="inlineStr">
        <is>
          <t>cvkibarkaryakonstruksi@gmail.com</t>
        </is>
      </c>
      <c r="E14" t="inlineStr">
        <is>
          <t>https://lpjk.pu.go.id/search-badan-usaha-detail/UmE3bGlpTmR1d1ZYenpEQytHU2U3UT09</t>
        </is>
      </c>
      <c r="F14" t="n">
        <v>5</v>
      </c>
      <c r="G14" t="inlineStr">
        <is>
          <t>BG001, BG002, BG006, BG008, BG009</t>
        </is>
      </c>
      <c r="H14" t="inlineStr">
        <is>
          <t>28 Agustus 2023</t>
        </is>
      </c>
      <c r="I14" s="2" t="n">
        <v>46274</v>
      </c>
      <c r="J14" t="inlineStr">
        <is>
          <t>Disetujui</t>
        </is>
      </c>
      <c r="K14" t="n">
        <v>90</v>
      </c>
      <c r="L14" t="inlineStr">
        <is>
          <t>9 September 2026</t>
        </is>
      </c>
      <c r="M14" t="inlineStr">
        <is>
          <t>Konstruksi Gedung Hunian, Konstruksi Gedung Lainnya, Konstruksi Gedung Pendidikan, Konstruksi Gedung Perkantoran, Konstruksi Gedung Tempat Hiburan dan Olahraga</t>
        </is>
      </c>
      <c r="N14" t="inlineStr">
        <is>
          <t>K</t>
        </is>
      </c>
      <c r="O14" t="inlineStr">
        <is>
          <t>20230908</t>
        </is>
      </c>
      <c r="P14" t="inlineStr">
        <is>
          <t>Bengkulu</t>
        </is>
      </c>
      <c r="Q14" t="inlineStr"/>
    </row>
    <row r="15">
      <c r="A15" t="inlineStr">
        <is>
          <t>LANGIT JAYA NUSANTARA</t>
        </is>
      </c>
      <c r="B15" t="inlineStr">
        <is>
          <t>Kota Samarinda</t>
        </is>
      </c>
      <c r="C15" t="inlineStr">
        <is>
          <t>08125343993</t>
        </is>
      </c>
      <c r="D15" t="inlineStr">
        <is>
          <t>cv.langitjayanusantara@gmail.com</t>
        </is>
      </c>
      <c r="E15" t="inlineStr">
        <is>
          <t>https://lpjk.pu.go.id/search-badan-usaha-detail/VlM5Mmw0ZEJyNWdiV2ZhUUQ1eEhnUT09</t>
        </is>
      </c>
      <c r="F15" t="n">
        <v>1</v>
      </c>
      <c r="G15" t="inlineStr">
        <is>
          <t>BS005</t>
        </is>
      </c>
      <c r="H15" t="inlineStr">
        <is>
          <t>10 Maret 2021</t>
        </is>
      </c>
      <c r="I15" s="2" t="n">
        <v>46274</v>
      </c>
      <c r="J15" t="inlineStr">
        <is>
          <t>Disetujui</t>
        </is>
      </c>
      <c r="K15" t="n">
        <v>90</v>
      </c>
      <c r="L15" t="inlineStr">
        <is>
          <t>9 September 2026</t>
        </is>
      </c>
      <c r="M15" t="inlineStr">
        <is>
          <t>Konstruksi Bangunan Sipil Pengolahan Air Bersih</t>
        </is>
      </c>
      <c r="N15" t="inlineStr">
        <is>
          <t>K</t>
        </is>
      </c>
      <c r="O15" t="inlineStr">
        <is>
          <t>20230907</t>
        </is>
      </c>
      <c r="P15" t="inlineStr">
        <is>
          <t>Kalimantan Timur</t>
        </is>
      </c>
      <c r="Q15" t="inlineStr"/>
    </row>
    <row r="16">
      <c r="A16" t="inlineStr">
        <is>
          <t>LENTERA KARYA PERSADA</t>
        </is>
      </c>
      <c r="B16" t="inlineStr">
        <is>
          <t>Kota Surabaya</t>
        </is>
      </c>
      <c r="C16" t="inlineStr">
        <is>
          <t>081252313158</t>
        </is>
      </c>
      <c r="D16" t="inlineStr">
        <is>
          <t>lenterakaryapersada@gmail.com</t>
        </is>
      </c>
      <c r="E16" t="inlineStr">
        <is>
          <t>https://lpjk.pu.go.id/search-badan-usaha-detail/WmE3Z0dGUGtBeWxkMGcyaTlLREN0Zz09</t>
        </is>
      </c>
      <c r="F16" t="n">
        <v>1</v>
      </c>
      <c r="G16" t="inlineStr">
        <is>
          <t>BS001</t>
        </is>
      </c>
      <c r="H16" t="inlineStr">
        <is>
          <t>21 Desember 2018</t>
        </is>
      </c>
      <c r="I16" s="2" t="n">
        <v>46274</v>
      </c>
      <c r="J16" t="inlineStr">
        <is>
          <t>Disetujui</t>
        </is>
      </c>
      <c r="K16" t="n">
        <v>90</v>
      </c>
      <c r="L16" t="inlineStr">
        <is>
          <t>9 September 2026</t>
        </is>
      </c>
      <c r="M16" t="inlineStr">
        <is>
          <t>Konstruksi Bangunan Sipil Jalan</t>
        </is>
      </c>
      <c r="N16" t="inlineStr">
        <is>
          <t>K</t>
        </is>
      </c>
      <c r="O16" t="inlineStr">
        <is>
          <t>20230908</t>
        </is>
      </c>
      <c r="P16" t="inlineStr">
        <is>
          <t>Jawa Timur</t>
        </is>
      </c>
      <c r="Q16" t="inlineStr"/>
    </row>
    <row r="17">
      <c r="A17" t="inlineStr">
        <is>
          <t>MAHA AKBAR SEJAHTERA</t>
        </is>
      </c>
      <c r="B17" t="inlineStr">
        <is>
          <t>Kota Medan</t>
        </is>
      </c>
      <c r="C17" t="inlineStr">
        <is>
          <t>06142784599</t>
        </is>
      </c>
      <c r="D17" t="inlineStr">
        <is>
          <t>admin@mahasejahtera.com</t>
        </is>
      </c>
      <c r="E17" t="inlineStr">
        <is>
          <t>https://lpjk.pu.go.id/search-badan-usaha-detail/enBJQkRBK0hoWXdEblNOeUxUMThGZz09</t>
        </is>
      </c>
      <c r="F17" t="n">
        <v>1</v>
      </c>
      <c r="G17" t="inlineStr">
        <is>
          <t>BG002</t>
        </is>
      </c>
      <c r="H17" t="inlineStr">
        <is>
          <t>16 Januari 2019</t>
        </is>
      </c>
      <c r="I17" s="2" t="n">
        <v>46274</v>
      </c>
      <c r="J17" t="inlineStr">
        <is>
          <t>Disetujui</t>
        </is>
      </c>
      <c r="K17" t="n">
        <v>90</v>
      </c>
      <c r="L17" t="inlineStr">
        <is>
          <t>9 September 2026</t>
        </is>
      </c>
      <c r="M17" t="inlineStr">
        <is>
          <t>Konstruksi Gedung Perkantoran</t>
        </is>
      </c>
      <c r="N17" t="inlineStr">
        <is>
          <t>M</t>
        </is>
      </c>
      <c r="O17" t="inlineStr">
        <is>
          <t>20230427</t>
        </is>
      </c>
      <c r="P17" t="inlineStr">
        <is>
          <t>Sumatera Utara</t>
        </is>
      </c>
      <c r="Q17" t="inlineStr"/>
    </row>
    <row r="18">
      <c r="A18" t="inlineStr">
        <is>
          <t>PERMATA LESTARI KONSTRUKSI</t>
        </is>
      </c>
      <c r="B18" t="inlineStr">
        <is>
          <t>Kab. Sintang</t>
        </is>
      </c>
      <c r="C18" t="inlineStr">
        <is>
          <t>081258544889</t>
        </is>
      </c>
      <c r="D18" t="inlineStr">
        <is>
          <t>permatalestari69@yahoo.com</t>
        </is>
      </c>
      <c r="E18" t="inlineStr">
        <is>
          <t>https://lpjk.pu.go.id/search-badan-usaha-detail/TFc3dG1YWWx1cnpkOEp1KzFkSXRkdz09</t>
        </is>
      </c>
      <c r="F18" t="n">
        <v>1</v>
      </c>
      <c r="G18" t="inlineStr">
        <is>
          <t>BG006</t>
        </is>
      </c>
      <c r="H18" t="inlineStr">
        <is>
          <t>4 September 2023</t>
        </is>
      </c>
      <c r="I18" s="2" t="n">
        <v>46274</v>
      </c>
      <c r="J18" t="inlineStr">
        <is>
          <t>Disetujui</t>
        </is>
      </c>
      <c r="K18" t="n">
        <v>90</v>
      </c>
      <c r="L18" t="inlineStr">
        <is>
          <t>9 September 2026</t>
        </is>
      </c>
      <c r="M18" t="inlineStr">
        <is>
          <t>Konstruksi Gedung Pendidikan</t>
        </is>
      </c>
      <c r="N18" t="inlineStr">
        <is>
          <t>K</t>
        </is>
      </c>
      <c r="O18" t="inlineStr">
        <is>
          <t>20230909</t>
        </is>
      </c>
      <c r="P18" t="inlineStr">
        <is>
          <t>Kalimantan Barat</t>
        </is>
      </c>
      <c r="Q18" t="inlineStr"/>
    </row>
    <row r="19">
      <c r="A19" t="inlineStr">
        <is>
          <t>PUSAKA BATARA KARANG</t>
        </is>
      </c>
      <c r="B19" t="inlineStr">
        <is>
          <t>Kota Tangerang</t>
        </is>
      </c>
      <c r="C19" t="inlineStr">
        <is>
          <t>087774812898</t>
        </is>
      </c>
      <c r="D19" t="inlineStr">
        <is>
          <t>usahabatarapusaka@gmail.com</t>
        </is>
      </c>
      <c r="E19" t="inlineStr">
        <is>
          <t>https://lpjk.pu.go.id/search-badan-usaha-detail/REFmQzQ3OXNFSHpTRkdVaWFwenltUT09</t>
        </is>
      </c>
      <c r="F19" t="n">
        <v>1</v>
      </c>
      <c r="G19" t="inlineStr">
        <is>
          <t>BS010</t>
        </is>
      </c>
      <c r="H19" t="inlineStr">
        <is>
          <t>25 Januari 2023</t>
        </is>
      </c>
      <c r="I19" s="2" t="n">
        <v>46274</v>
      </c>
      <c r="J19" t="inlineStr">
        <is>
          <t>Disetujui</t>
        </is>
      </c>
      <c r="K19" t="n">
        <v>90</v>
      </c>
      <c r="L19" t="inlineStr">
        <is>
          <t>9 September 2026</t>
        </is>
      </c>
      <c r="M19" t="inlineStr">
        <is>
          <t>Konstruksi Bangunan Prasarana Sumber Daya Air</t>
        </is>
      </c>
      <c r="N19" t="inlineStr">
        <is>
          <t>K</t>
        </is>
      </c>
      <c r="O19" t="inlineStr">
        <is>
          <t>20230909</t>
        </is>
      </c>
      <c r="P19" t="inlineStr">
        <is>
          <t>Banten</t>
        </is>
      </c>
      <c r="Q19" t="inlineStr"/>
    </row>
    <row r="20">
      <c r="A20" t="inlineStr">
        <is>
          <t>PUSPA JAYA</t>
        </is>
      </c>
      <c r="B20" t="inlineStr">
        <is>
          <t>Kab. Demak</t>
        </is>
      </c>
      <c r="C20" t="inlineStr">
        <is>
          <t>085292257813</t>
        </is>
      </c>
      <c r="D20" t="inlineStr">
        <is>
          <t>cv.puspajaya@yahoo.co.id</t>
        </is>
      </c>
      <c r="E20" t="inlineStr">
        <is>
          <t>https://lpjk.pu.go.id/search-badan-usaha-detail/cEJWeWszNVZxM1RxQ1hkTnBLOEJIZz09</t>
        </is>
      </c>
      <c r="F20" t="n">
        <v>2</v>
      </c>
      <c r="G20" t="inlineStr">
        <is>
          <t>BS001, BS004</t>
        </is>
      </c>
      <c r="H20" t="inlineStr">
        <is>
          <t>10 Januari 2007</t>
        </is>
      </c>
      <c r="I20" s="2" t="n">
        <v>46274</v>
      </c>
      <c r="J20" t="inlineStr">
        <is>
          <t>Disetujui</t>
        </is>
      </c>
      <c r="K20" t="n">
        <v>90</v>
      </c>
      <c r="L20" t="inlineStr">
        <is>
          <t>9 September 2026</t>
        </is>
      </c>
      <c r="M20" t="inlineStr">
        <is>
          <t>Konstruksi Bangunan Sipil Jalan, Konstruksi Jaringan Irigasi dan Drainase</t>
        </is>
      </c>
      <c r="N20" t="inlineStr">
        <is>
          <t>K</t>
        </is>
      </c>
      <c r="O20" t="inlineStr">
        <is>
          <t>20230903</t>
        </is>
      </c>
      <c r="P20" t="inlineStr">
        <is>
          <t>Jawa Tengah</t>
        </is>
      </c>
      <c r="Q20" t="inlineStr"/>
    </row>
    <row r="21">
      <c r="A21" t="inlineStr">
        <is>
          <t>RAJA GENTHA</t>
        </is>
      </c>
      <c r="B21" t="inlineStr">
        <is>
          <t>Kab. Jember</t>
        </is>
      </c>
      <c r="C21" t="inlineStr">
        <is>
          <t>081227370223</t>
        </is>
      </c>
      <c r="D21" t="inlineStr">
        <is>
          <t>rajagentha@gmail.com</t>
        </is>
      </c>
      <c r="E21" t="inlineStr">
        <is>
          <t>https://lpjk.pu.go.id/search-badan-usaha-detail/ZGQvYVQ5L0FzVFU5QUVvRXlLRDlDdz09</t>
        </is>
      </c>
      <c r="F21" t="n">
        <v>1</v>
      </c>
      <c r="G21" t="inlineStr">
        <is>
          <t>BG006</t>
        </is>
      </c>
      <c r="H21" t="inlineStr">
        <is>
          <t>9 Juni 2023</t>
        </is>
      </c>
      <c r="I21" s="2" t="n">
        <v>46274</v>
      </c>
      <c r="J21" t="inlineStr">
        <is>
          <t>Disetujui</t>
        </is>
      </c>
      <c r="K21" t="n">
        <v>90</v>
      </c>
      <c r="L21" t="inlineStr">
        <is>
          <t>9 September 2026</t>
        </is>
      </c>
      <c r="M21" t="inlineStr">
        <is>
          <t>Konstruksi Gedung Pendidikan</t>
        </is>
      </c>
      <c r="N21" t="inlineStr">
        <is>
          <t>K</t>
        </is>
      </c>
      <c r="O21" t="inlineStr">
        <is>
          <t>20230901</t>
        </is>
      </c>
      <c r="P21" t="inlineStr">
        <is>
          <t>Jawa Timur</t>
        </is>
      </c>
      <c r="Q21" t="inlineStr"/>
    </row>
    <row r="22">
      <c r="A22" t="inlineStr">
        <is>
          <t>RAJA PRATAMA KONSTRUKSI</t>
        </is>
      </c>
      <c r="B22" t="inlineStr">
        <is>
          <t>Kab. Landak</t>
        </is>
      </c>
      <c r="C22" t="inlineStr">
        <is>
          <t>085390226666</t>
        </is>
      </c>
      <c r="D22" t="inlineStr">
        <is>
          <t>rajapratamakonstruksi@gmail.com</t>
        </is>
      </c>
      <c r="E22" t="inlineStr">
        <is>
          <t>https://lpjk.pu.go.id/search-badan-usaha-detail/d1pQOENCUExEdUdUVWpKUlZPYnB2Zz09</t>
        </is>
      </c>
      <c r="F22" t="n">
        <v>1</v>
      </c>
      <c r="G22" t="inlineStr">
        <is>
          <t>BS004</t>
        </is>
      </c>
      <c r="H22" t="inlineStr">
        <is>
          <t>9 Agustus 2023</t>
        </is>
      </c>
      <c r="I22" s="2" t="n">
        <v>46274</v>
      </c>
      <c r="J22" t="inlineStr">
        <is>
          <t>Disetujui</t>
        </is>
      </c>
      <c r="K22" t="n">
        <v>90</v>
      </c>
      <c r="L22" t="inlineStr">
        <is>
          <t>9 September 2026</t>
        </is>
      </c>
      <c r="M22" t="inlineStr">
        <is>
          <t>Konstruksi Jaringan Irigasi dan Drainase</t>
        </is>
      </c>
      <c r="N22" t="inlineStr">
        <is>
          <t>K</t>
        </is>
      </c>
      <c r="O22" t="inlineStr">
        <is>
          <t>20230909</t>
        </is>
      </c>
      <c r="P22" t="inlineStr">
        <is>
          <t>Kalimantan Barat</t>
        </is>
      </c>
      <c r="Q22" t="inlineStr"/>
    </row>
    <row r="23">
      <c r="A23" t="inlineStr">
        <is>
          <t>RAJAWALI BERSAUDARA</t>
        </is>
      </c>
      <c r="B23" t="inlineStr">
        <is>
          <t>Kab. Kutai Timur</t>
        </is>
      </c>
      <c r="C23" t="inlineStr">
        <is>
          <t>082157241893</t>
        </is>
      </c>
      <c r="D23" t="inlineStr">
        <is>
          <t>cv.rajawalibersaudara@gmail.com</t>
        </is>
      </c>
      <c r="E23" t="inlineStr">
        <is>
          <t>https://lpjk.pu.go.id/search-badan-usaha-detail/VWtIQy9KMGNqZ2g3K1Nqd0tZaDNsdz09</t>
        </is>
      </c>
      <c r="F23" t="n">
        <v>2</v>
      </c>
      <c r="G23" t="inlineStr">
        <is>
          <t>BS004</t>
        </is>
      </c>
      <c r="H23" t="inlineStr">
        <is>
          <t>9 Februari 2023</t>
        </is>
      </c>
      <c r="I23" s="2" t="n">
        <v>46274</v>
      </c>
      <c r="J23" t="inlineStr">
        <is>
          <t>Disetujui</t>
        </is>
      </c>
      <c r="K23" t="n">
        <v>90</v>
      </c>
      <c r="L23" t="inlineStr">
        <is>
          <t>9 September 2026</t>
        </is>
      </c>
      <c r="M23" t="inlineStr">
        <is>
          <t>Konstruksi Jaringan Irigasi dan Drainase</t>
        </is>
      </c>
      <c r="N23" t="inlineStr">
        <is>
          <t>K</t>
        </is>
      </c>
      <c r="O23" t="inlineStr">
        <is>
          <t>20230908</t>
        </is>
      </c>
      <c r="P23" t="inlineStr">
        <is>
          <t>Kalimantan Timur</t>
        </is>
      </c>
      <c r="Q23" t="inlineStr"/>
    </row>
    <row r="24">
      <c r="A24" t="inlineStr">
        <is>
          <t>SAMARA MAJU SEJAHTERA</t>
        </is>
      </c>
      <c r="B24" t="inlineStr">
        <is>
          <t>Kab. Demak</t>
        </is>
      </c>
      <c r="C24" t="inlineStr">
        <is>
          <t>082134657342</t>
        </is>
      </c>
      <c r="D24" t="inlineStr">
        <is>
          <t>cvsamara287@gmail.com</t>
        </is>
      </c>
      <c r="E24" t="inlineStr">
        <is>
          <t>https://lpjk.pu.go.id/search-badan-usaha-detail/dUNXemxoVVptTDRPZjYxdVVzMHIrdz09</t>
        </is>
      </c>
      <c r="F24" t="n">
        <v>4</v>
      </c>
      <c r="G24" t="inlineStr">
        <is>
          <t>BG005, BG009</t>
        </is>
      </c>
      <c r="H24" t="inlineStr">
        <is>
          <t>27 Juni 2023</t>
        </is>
      </c>
      <c r="I24" s="2" t="n">
        <v>46274</v>
      </c>
      <c r="J24" t="inlineStr">
        <is>
          <t>Pencabutan</t>
        </is>
      </c>
      <c r="K24" t="n">
        <v>90</v>
      </c>
      <c r="L24" t="inlineStr">
        <is>
          <t>9 September 2026</t>
        </is>
      </c>
      <c r="M24" t="inlineStr">
        <is>
          <t>Konstruksi Gedung Kesehatan, Konstruksi Gedung Lainnya</t>
        </is>
      </c>
      <c r="N24" t="inlineStr">
        <is>
          <t>K</t>
        </is>
      </c>
      <c r="O24" t="inlineStr">
        <is>
          <t>20230904, 20230908</t>
        </is>
      </c>
      <c r="P24" t="inlineStr">
        <is>
          <t>Jawa Tengah</t>
        </is>
      </c>
      <c r="Q24" t="inlineStr"/>
    </row>
    <row r="25">
      <c r="A25" t="inlineStr">
        <is>
          <t>SIGARUNTANG JAYA KONTRAKTOR</t>
        </is>
      </c>
      <c r="B25" t="inlineStr">
        <is>
          <t>Kab. Indragiri Hilir</t>
        </is>
      </c>
      <c r="C25" t="inlineStr">
        <is>
          <t>082382250528</t>
        </is>
      </c>
      <c r="D25" t="inlineStr">
        <is>
          <t>-</t>
        </is>
      </c>
      <c r="E25" t="inlineStr">
        <is>
          <t>https://lpjk.pu.go.id/search-badan-usaha-detail/ek9PdzZ1NU01WkI4akJCWGxaTlJPdz09</t>
        </is>
      </c>
      <c r="F25" t="n">
        <v>2</v>
      </c>
      <c r="G25" t="inlineStr">
        <is>
          <t>BG008, BS001</t>
        </is>
      </c>
      <c r="H25" t="inlineStr">
        <is>
          <t>28 Februari 2017</t>
        </is>
      </c>
      <c r="I25" s="2" t="n">
        <v>46274</v>
      </c>
      <c r="J25" t="inlineStr">
        <is>
          <t>Disetujui</t>
        </is>
      </c>
      <c r="K25" t="n">
        <v>90</v>
      </c>
      <c r="L25" t="inlineStr">
        <is>
          <t>9 September 2026</t>
        </is>
      </c>
      <c r="M25" t="inlineStr">
        <is>
          <t>Konstruksi Bangunan Sipil Jalan, Konstruksi Gedung Tempat Hiburan dan Olahraga</t>
        </is>
      </c>
      <c r="N25" t="inlineStr">
        <is>
          <t>K</t>
        </is>
      </c>
      <c r="O25" t="inlineStr">
        <is>
          <t>20230907, 20230908</t>
        </is>
      </c>
      <c r="P25" t="inlineStr">
        <is>
          <t>Riau</t>
        </is>
      </c>
      <c r="Q25" t="inlineStr"/>
    </row>
    <row r="26">
      <c r="A26" t="inlineStr">
        <is>
          <t>SUNDAWA KARYA</t>
        </is>
      </c>
      <c r="B26" t="inlineStr">
        <is>
          <t>Kab. Purbalingga</t>
        </is>
      </c>
      <c r="C26" t="inlineStr">
        <is>
          <t>081391302799</t>
        </is>
      </c>
      <c r="D26" t="inlineStr">
        <is>
          <t>cv.sundawakarya@gmail.com</t>
        </is>
      </c>
      <c r="E26" t="inlineStr">
        <is>
          <t>https://lpjk.pu.go.id/search-badan-usaha-detail/MzIvWVpQMStLT2NuWGRnc0FoOUFJQT09</t>
        </is>
      </c>
      <c r="F26" t="n">
        <v>2</v>
      </c>
      <c r="G26" t="inlineStr">
        <is>
          <t>BG005</t>
        </is>
      </c>
      <c r="H26" t="inlineStr">
        <is>
          <t>10 Agustus 2020</t>
        </is>
      </c>
      <c r="I26" s="2" t="n">
        <v>46274</v>
      </c>
      <c r="J26" t="inlineStr">
        <is>
          <t>Disetujui</t>
        </is>
      </c>
      <c r="K26" t="n">
        <v>90</v>
      </c>
      <c r="L26" t="inlineStr">
        <is>
          <t>9 September 2026</t>
        </is>
      </c>
      <c r="M26" t="inlineStr">
        <is>
          <t>Konstruksi Gedung Kesehatan</t>
        </is>
      </c>
      <c r="N26" t="inlineStr">
        <is>
          <t>K</t>
        </is>
      </c>
      <c r="O26" t="inlineStr">
        <is>
          <t>20230909</t>
        </is>
      </c>
      <c r="P26" t="inlineStr">
        <is>
          <t>Jawa Tengah</t>
        </is>
      </c>
      <c r="Q26" t="inlineStr"/>
    </row>
    <row r="27">
      <c r="A27" t="inlineStr">
        <is>
          <t>ZAKI PUTRA TEKNIK</t>
        </is>
      </c>
      <c r="B27" t="inlineStr">
        <is>
          <t>Kota Bandar Lampung</t>
        </is>
      </c>
      <c r="C27" t="inlineStr">
        <is>
          <t>083149141288</t>
        </is>
      </c>
      <c r="D27" t="inlineStr">
        <is>
          <t>muzaharyosep67@gmail.com</t>
        </is>
      </c>
      <c r="E27" t="inlineStr">
        <is>
          <t>https://lpjk.pu.go.id/search-badan-usaha-detail/ZGcwajFBWmVQRjV6cnZ2N1hBelVrdz09</t>
        </is>
      </c>
      <c r="F27" t="n">
        <v>3</v>
      </c>
      <c r="G27" t="inlineStr">
        <is>
          <t>BG002, BG006, BG009</t>
        </is>
      </c>
      <c r="H27" t="inlineStr">
        <is>
          <t>3 Februari 2010</t>
        </is>
      </c>
      <c r="I27" s="2" t="n">
        <v>46274</v>
      </c>
      <c r="J27" t="inlineStr">
        <is>
          <t>Disetujui</t>
        </is>
      </c>
      <c r="K27" t="n">
        <v>90</v>
      </c>
      <c r="L27" t="inlineStr">
        <is>
          <t>9 September 2026</t>
        </is>
      </c>
      <c r="M27" t="inlineStr">
        <is>
          <t>Konstruksi Gedung Lainnya, Konstruksi Gedung Pendidikan, Konstruksi Gedung Perkantoran</t>
        </is>
      </c>
      <c r="N27" t="inlineStr">
        <is>
          <t>K</t>
        </is>
      </c>
      <c r="O27" t="inlineStr">
        <is>
          <t>20230904, 20230906, 20230907</t>
        </is>
      </c>
      <c r="P27" t="inlineStr">
        <is>
          <t>Lampung</t>
        </is>
      </c>
      <c r="Q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cols>
    <col width="36" customWidth="1" min="1" max="1"/>
    <col width="27" customWidth="1" min="2" max="2"/>
    <col width="16" customWidth="1" min="3" max="3"/>
    <col width="42" customWidth="1" min="4" max="4"/>
    <col width="50" customWidth="1" min="5" max="5"/>
    <col width="18" customWidth="1" min="6" max="6"/>
    <col width="50" customWidth="1" min="7" max="7"/>
    <col width="20" customWidth="1" min="8" max="8"/>
    <col width="28" customWidth="1" min="9" max="9"/>
    <col width="25"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ABDULMUHYI ARCHITECTS</t>
        </is>
      </c>
      <c r="B2" t="inlineStr">
        <is>
          <t>Kab. Bogor</t>
        </is>
      </c>
      <c r="C2" t="inlineStr">
        <is>
          <t>08111132222</t>
        </is>
      </c>
      <c r="D2" t="inlineStr">
        <is>
          <t>abdulmuhyi.arc@gmail.com</t>
        </is>
      </c>
      <c r="E2" t="inlineStr">
        <is>
          <t>https://lpjk.pu.go.id/search-badan-usaha-detail/cXA0ODM3ZXNyblp3RW1ENnN4OVdwdz09</t>
        </is>
      </c>
      <c r="F2" t="n">
        <v>2</v>
      </c>
      <c r="G2" t="inlineStr">
        <is>
          <t>AR002</t>
        </is>
      </c>
      <c r="H2" t="inlineStr">
        <is>
          <t>29 Desember 2017</t>
        </is>
      </c>
      <c r="I2" s="2" t="n">
        <v>46244</v>
      </c>
      <c r="J2" t="inlineStr">
        <is>
          <t>Disetujui</t>
        </is>
      </c>
      <c r="K2" t="n">
        <v>60</v>
      </c>
      <c r="L2" t="inlineStr">
        <is>
          <t>10 Agustus 2026</t>
        </is>
      </c>
      <c r="M2" t="inlineStr">
        <is>
          <t>Jasa Arsitektural Lainnya</t>
        </is>
      </c>
      <c r="N2" t="inlineStr">
        <is>
          <t>K</t>
        </is>
      </c>
      <c r="O2" t="inlineStr">
        <is>
          <t>20230727</t>
        </is>
      </c>
      <c r="P2" t="inlineStr">
        <is>
          <t>Jawa Barat</t>
        </is>
      </c>
      <c r="Q2" s="3">
        <f>HYPERLINK("https://wa.me/628111132222?text=*[PENGINGAT MASA BERLAKU SBU ABDULMUHYI ARCHITECTS]*%0A%0AYth. Pimpinan ABDULMUHYI ARCHITECTS,%0AMohon izin menginformasikan status SBU Anda di sistem LPJK:%0A%0A📄 SBU: AR002%0A📅 Expired: 10 Agustus 2026 (60 Hari Lagi)%0A%0AKami tim PT. ESDEA Assistance Management siap men-support proses perpanjangan segera agar administrasi proyek tidak terhambat%0A%0AApakah boleh saya bantu siapkan estimasi biaya dan waktu pengerjaannya?.", "Hubungi")</f>
        <v/>
      </c>
    </row>
    <row r="3">
      <c r="A3" t="inlineStr">
        <is>
          <t>BINTANG TIMUR MARPA</t>
        </is>
      </c>
      <c r="B3" t="inlineStr">
        <is>
          <t>Kota Adm. Jakarta Timur</t>
        </is>
      </c>
      <c r="C3" t="inlineStr">
        <is>
          <t>081380036919</t>
        </is>
      </c>
      <c r="D3" t="inlineStr">
        <is>
          <t>ptbintangtimurmarpa@hotmail.com</t>
        </is>
      </c>
      <c r="E3" t="inlineStr">
        <is>
          <t>https://lpjk.pu.go.id/search-badan-usaha-detail/OUVPSVNhZXd1S1ZhbU5vdGc0MVFjZz09</t>
        </is>
      </c>
      <c r="F3" t="n">
        <v>2</v>
      </c>
      <c r="G3" t="inlineStr">
        <is>
          <t>BG004</t>
        </is>
      </c>
      <c r="H3" t="inlineStr">
        <is>
          <t>11 Juli 2023</t>
        </is>
      </c>
      <c r="I3" s="2" t="n">
        <v>46244</v>
      </c>
      <c r="J3" t="inlineStr">
        <is>
          <t>Disetujui</t>
        </is>
      </c>
      <c r="K3" t="n">
        <v>60</v>
      </c>
      <c r="L3" t="inlineStr">
        <is>
          <t>10 Agustus 2026</t>
        </is>
      </c>
      <c r="M3" t="inlineStr">
        <is>
          <t>Konstruksi Gedung Perbelanjaan</t>
        </is>
      </c>
      <c r="N3" t="inlineStr">
        <is>
          <t>K</t>
        </is>
      </c>
      <c r="O3" t="inlineStr">
        <is>
          <t>20230806</t>
        </is>
      </c>
      <c r="P3" t="inlineStr">
        <is>
          <t>DKI Jakarta</t>
        </is>
      </c>
      <c r="Q3" s="3">
        <f>HYPERLINK("https://wa.me/6281380036919?text=*[PENGINGAT MASA BERLAKU SBU BINTANG TIMUR MARPA]*%0A%0AYth. Pimpinan BINTANG TIMUR MARPA,%0AMohon izin menginformasikan status SBU Anda di sistem LPJK:%0A%0A📄 SBU: BG004%0A📅 Expired: 10 Agustus 2026 (60 Hari Lagi)%0A%0AKami tim PT. ESDEA Assistance Management siap men-support proses perpanjangan segera agar administrasi proyek tidak terhambat%0A%0AApakah boleh saya bantu siapkan estimasi biaya dan waktu pengerjaannya?.", "Hubungi")</f>
        <v/>
      </c>
    </row>
    <row r="4">
      <c r="A4" t="inlineStr">
        <is>
          <t>HEKSAGA TREDIV KONSULTAN</t>
        </is>
      </c>
      <c r="B4" t="inlineStr">
        <is>
          <t>Kota Depok</t>
        </is>
      </c>
      <c r="C4" t="inlineStr">
        <is>
          <t>081383186266</t>
        </is>
      </c>
      <c r="D4" t="inlineStr">
        <is>
          <t>heksaga.trediv@gmail.com</t>
        </is>
      </c>
      <c r="E4" t="inlineStr">
        <is>
          <t>https://lpjk.pu.go.id/search-badan-usaha-detail/MksxbjZYYnJKUXl0bEF5ZUNVdmtiZz09</t>
        </is>
      </c>
      <c r="F4" t="n">
        <v>6</v>
      </c>
      <c r="G4" t="inlineStr">
        <is>
          <t>RK001, RK002, RK003</t>
        </is>
      </c>
      <c r="H4" t="inlineStr">
        <is>
          <t>17 Februari 2020</t>
        </is>
      </c>
      <c r="I4" s="2" t="n">
        <v>46244</v>
      </c>
      <c r="J4" t="inlineStr">
        <is>
          <t>Disetujui</t>
        </is>
      </c>
      <c r="K4" t="n">
        <v>60</v>
      </c>
      <c r="L4" t="inlineStr">
        <is>
          <t>10 Agustus 2026</t>
        </is>
      </c>
      <c r="M4" t="inlineStr">
        <is>
          <t>Jasa Rekayasa Konstruksi Bangunan Gedung Hunian dan Non Hunian, Jasa Rekayasa Pekerjaan Teknik Sipil Sumber Daya Air, Jasa Rekayasa Pekerjaan Teknik Sipil Transportasi</t>
        </is>
      </c>
      <c r="N4" t="inlineStr">
        <is>
          <t>K</t>
        </is>
      </c>
      <c r="O4" t="inlineStr">
        <is>
          <t>20230801</t>
        </is>
      </c>
      <c r="P4" t="inlineStr">
        <is>
          <t>Jawa Barat</t>
        </is>
      </c>
      <c r="Q4" s="3">
        <f>HYPERLINK("https://wa.me/6281383186266?text=*[PENGINGAT MASA BERLAKU SBU HEKSAGA TREDIV KONSULTAN]*%0A%0AYth. Pimpinan HEKSAGA TREDIV KONSULTAN,%0AMohon izin menginformasikan status SBU Anda di sistem LPJK:%0A%0A📄 SBU: RK001, RK002, RK003%0A📅 Expired: 10 Agustus 2026 (60 Hari Lagi)%0A%0AKami tim PT. ESDEA Assistance Management siap men-support proses perpanjangan segera agar administrasi proyek tidak terhambat%0A%0AApakah boleh saya bantu siapkan estimasi biaya dan waktu pengerjaannya?.", "Hubungi")</f>
        <v/>
      </c>
    </row>
    <row r="5">
      <c r="A5" t="inlineStr">
        <is>
          <t>HOBASHITA FUJITAMA</t>
        </is>
      </c>
      <c r="B5" t="inlineStr">
        <is>
          <t>Kota Adm. Jakarta Timur</t>
        </is>
      </c>
      <c r="C5" t="inlineStr">
        <is>
          <t>02184345066</t>
        </is>
      </c>
      <c r="D5" t="inlineStr">
        <is>
          <t>hobashita_fujitama@yahoo.com</t>
        </is>
      </c>
      <c r="E5" t="inlineStr">
        <is>
          <t>https://lpjk.pu.go.id/search-badan-usaha-detail/b1RnRGtLalFHek9UUWMxS3pYaG9Rdz09</t>
        </is>
      </c>
      <c r="F5" t="n">
        <v>1</v>
      </c>
      <c r="G5" t="inlineStr">
        <is>
          <t>BS006</t>
        </is>
      </c>
      <c r="H5" t="inlineStr">
        <is>
          <t>2 Juli 2013</t>
        </is>
      </c>
      <c r="I5" s="2" t="n">
        <v>46244</v>
      </c>
      <c r="J5" t="inlineStr">
        <is>
          <t>Disetujui</t>
        </is>
      </c>
      <c r="K5" t="n">
        <v>60</v>
      </c>
      <c r="L5" t="inlineStr">
        <is>
          <t>10 Agustus 2026</t>
        </is>
      </c>
      <c r="M5" t="inlineStr">
        <is>
          <t>Konstruksi Bangunan Sipil Prasarana dan Sarana Sistem Pengolahan Limbah Padat, Cair, dan Gas</t>
        </is>
      </c>
      <c r="N5" t="inlineStr">
        <is>
          <t>K</t>
        </is>
      </c>
      <c r="O5" t="inlineStr">
        <is>
          <t>20230409</t>
        </is>
      </c>
      <c r="P5" t="inlineStr">
        <is>
          <t>DKI Jakarta</t>
        </is>
      </c>
      <c r="Q5" t="inlineStr"/>
    </row>
    <row r="6">
      <c r="A6" t="inlineStr">
        <is>
          <t>INDOPORT PRIMA</t>
        </is>
      </c>
      <c r="B6" t="inlineStr">
        <is>
          <t>Kota Adm. Jakarta Timur</t>
        </is>
      </c>
      <c r="C6" t="inlineStr">
        <is>
          <t>02129575186</t>
        </is>
      </c>
      <c r="D6" t="inlineStr">
        <is>
          <t>indoport.prima90e@gmail.com</t>
        </is>
      </c>
      <c r="E6" t="inlineStr">
        <is>
          <t>https://lpjk.pu.go.id/search-badan-usaha-detail/YWMyUFcyVW9IVEFydUxOOUR5ai9QZz09</t>
        </is>
      </c>
      <c r="F6" t="n">
        <v>1</v>
      </c>
      <c r="G6" t="inlineStr">
        <is>
          <t>BG009</t>
        </is>
      </c>
      <c r="H6" t="inlineStr">
        <is>
          <t>24 April 2012</t>
        </is>
      </c>
      <c r="I6" s="2" t="n">
        <v>46244</v>
      </c>
      <c r="J6" t="inlineStr">
        <is>
          <t>Pencabutan</t>
        </is>
      </c>
      <c r="K6" t="n">
        <v>60</v>
      </c>
      <c r="L6" t="inlineStr">
        <is>
          <t>10 Agustus 2026</t>
        </is>
      </c>
      <c r="M6" t="inlineStr">
        <is>
          <t>Konstruksi Gedung Lainnya</t>
        </is>
      </c>
      <c r="N6" t="inlineStr">
        <is>
          <t>K</t>
        </is>
      </c>
      <c r="O6" t="inlineStr">
        <is>
          <t>20230810</t>
        </is>
      </c>
      <c r="P6" t="inlineStr">
        <is>
          <t>DKI Jakarta</t>
        </is>
      </c>
      <c r="Q6" t="inlineStr"/>
    </row>
    <row r="7">
      <c r="A7" t="inlineStr">
        <is>
          <t>KATALO BANGUNGRIYA</t>
        </is>
      </c>
      <c r="B7" t="inlineStr">
        <is>
          <t>Kota Bekasi</t>
        </is>
      </c>
      <c r="C7" t="inlineStr">
        <is>
          <t>02188955784</t>
        </is>
      </c>
      <c r="D7" t="inlineStr">
        <is>
          <t>katalobg1968@gmail.com</t>
        </is>
      </c>
      <c r="E7" t="inlineStr">
        <is>
          <t>https://lpjk.pu.go.id/search-badan-usaha-detail/ZzBjYSt0dUFQQmRaeGxFKyt3TkdQZz09</t>
        </is>
      </c>
      <c r="F7" t="n">
        <v>1</v>
      </c>
      <c r="G7" t="inlineStr">
        <is>
          <t>BG003</t>
        </is>
      </c>
      <c r="H7" t="inlineStr">
        <is>
          <t>24 Mei 1995</t>
        </is>
      </c>
      <c r="I7" s="2" t="n">
        <v>46244</v>
      </c>
      <c r="J7" t="inlineStr">
        <is>
          <t>Disetujui</t>
        </is>
      </c>
      <c r="K7" t="n">
        <v>60</v>
      </c>
      <c r="L7" t="inlineStr">
        <is>
          <t>10 Agustus 2026</t>
        </is>
      </c>
      <c r="M7" t="inlineStr">
        <is>
          <t>Konstruksi Gedung Industri</t>
        </is>
      </c>
      <c r="N7" t="inlineStr">
        <is>
          <t>M</t>
        </is>
      </c>
      <c r="O7" t="inlineStr">
        <is>
          <t>20230807</t>
        </is>
      </c>
      <c r="P7" t="inlineStr">
        <is>
          <t>Jawa Barat</t>
        </is>
      </c>
      <c r="Q7" t="inlineStr"/>
    </row>
    <row r="8">
      <c r="A8" t="inlineStr">
        <is>
          <t>KLABADI MEGAH PRATAMA</t>
        </is>
      </c>
      <c r="B8" t="inlineStr">
        <is>
          <t>Kota Bekasi</t>
        </is>
      </c>
      <c r="C8" t="inlineStr">
        <is>
          <t>02188962729</t>
        </is>
      </c>
      <c r="D8" t="inlineStr">
        <is>
          <t>kmegahpratama@gmail.com</t>
        </is>
      </c>
      <c r="E8" t="inlineStr">
        <is>
          <t>https://lpjk.pu.go.id/search-badan-usaha-detail/Q21QcjRvdHo4cDdwSkpuYzRHSDVhQT09</t>
        </is>
      </c>
      <c r="F8" t="n">
        <v>1</v>
      </c>
      <c r="G8" t="inlineStr">
        <is>
          <t>PL002</t>
        </is>
      </c>
      <c r="H8" t="inlineStr">
        <is>
          <t>10 Juni 2009</t>
        </is>
      </c>
      <c r="I8" s="2" t="n">
        <v>46244</v>
      </c>
      <c r="J8" t="inlineStr">
        <is>
          <t>Disetujui</t>
        </is>
      </c>
      <c r="K8" t="n">
        <v>60</v>
      </c>
      <c r="L8" t="inlineStr">
        <is>
          <t>10 Agustus 2026</t>
        </is>
      </c>
      <c r="M8" t="inlineStr">
        <is>
          <t>Pengerukan</t>
        </is>
      </c>
      <c r="N8" t="inlineStr">
        <is>
          <t>Spesialis</t>
        </is>
      </c>
      <c r="O8" t="inlineStr">
        <is>
          <t>20230809</t>
        </is>
      </c>
      <c r="P8" t="inlineStr">
        <is>
          <t>Jawa Barat</t>
        </is>
      </c>
      <c r="Q8" t="inlineStr"/>
    </row>
    <row r="9">
      <c r="A9" t="inlineStr">
        <is>
          <t>MANGGALA VIRIYA PRAKARSA</t>
        </is>
      </c>
      <c r="B9" t="inlineStr">
        <is>
          <t>Kota Bekasi</t>
        </is>
      </c>
      <c r="C9" t="inlineStr">
        <is>
          <t>02122163672</t>
        </is>
      </c>
      <c r="D9" t="inlineStr">
        <is>
          <t>manggalavp@gmail.com</t>
        </is>
      </c>
      <c r="E9" t="inlineStr">
        <is>
          <t>https://lpjk.pu.go.id/search-badan-usaha-detail/R2VFaVVIMmxNajlLRjlseG1xQW1Sdz09</t>
        </is>
      </c>
      <c r="F9" t="n">
        <v>2</v>
      </c>
      <c r="G9" t="inlineStr">
        <is>
          <t>BG001, BG003</t>
        </is>
      </c>
      <c r="H9" t="inlineStr">
        <is>
          <t>12 November 2015</t>
        </is>
      </c>
      <c r="I9" s="2" t="n">
        <v>46244</v>
      </c>
      <c r="J9" t="inlineStr">
        <is>
          <t>Disetujui</t>
        </is>
      </c>
      <c r="K9" t="n">
        <v>60</v>
      </c>
      <c r="L9" t="inlineStr">
        <is>
          <t>10 Agustus 2026</t>
        </is>
      </c>
      <c r="M9" t="inlineStr">
        <is>
          <t>Konstruksi Gedung Hunian, Konstruksi Gedung Industri</t>
        </is>
      </c>
      <c r="N9" t="inlineStr">
        <is>
          <t>K</t>
        </is>
      </c>
      <c r="O9" t="inlineStr">
        <is>
          <t>20230807</t>
        </is>
      </c>
      <c r="P9" t="inlineStr">
        <is>
          <t>Jawa Barat</t>
        </is>
      </c>
      <c r="Q9" t="inlineStr"/>
    </row>
    <row r="10">
      <c r="A10" t="inlineStr">
        <is>
          <t>MATAHARI TIMUR</t>
        </is>
      </c>
      <c r="B10" t="inlineStr">
        <is>
          <t>Kab. Bogor</t>
        </is>
      </c>
      <c r="C10" t="inlineStr">
        <is>
          <t>081398272836</t>
        </is>
      </c>
      <c r="D10" t="inlineStr">
        <is>
          <t>mataharitimurcv@gmail.com</t>
        </is>
      </c>
      <c r="E10" t="inlineStr">
        <is>
          <t>https://lpjk.pu.go.id/search-badan-usaha-detail/REg2R09NL3pXYTIzdUIxeDdVeUNpdz09</t>
        </is>
      </c>
      <c r="F10" t="n">
        <v>4</v>
      </c>
      <c r="G10" t="inlineStr">
        <is>
          <t>BG006, BS005</t>
        </is>
      </c>
      <c r="H10" t="inlineStr">
        <is>
          <t>9 Maret 2013</t>
        </is>
      </c>
      <c r="I10" s="2" t="n">
        <v>46244</v>
      </c>
      <c r="J10" t="inlineStr">
        <is>
          <t>Disetujui</t>
        </is>
      </c>
      <c r="K10" t="n">
        <v>60</v>
      </c>
      <c r="L10" t="inlineStr">
        <is>
          <t>10 Agustus 2026</t>
        </is>
      </c>
      <c r="M10" t="inlineStr">
        <is>
          <t>Konstruksi Bangunan Sipil Pengolahan Air Bersih, Konstruksi Gedung Pendidikan</t>
        </is>
      </c>
      <c r="N10" t="inlineStr">
        <is>
          <t>K</t>
        </is>
      </c>
      <c r="O10" t="inlineStr">
        <is>
          <t>20230804</t>
        </is>
      </c>
      <c r="P10" t="inlineStr">
        <is>
          <t>Jawa Barat</t>
        </is>
      </c>
      <c r="Q10" s="3">
        <f>HYPERLINK("https://wa.me/6281398272836?text=*[PENGINGAT MASA BERLAKU SBU MATAHARI TIMUR]*%0A%0AYth. Pimpinan MATAHARI TIMUR,%0AMohon izin menginformasikan status SBU Anda di sistem LPJK:%0A%0A📄 SBU: BG006, BS005%0A📅 Expired: 10 Agustus 2026 (60 Hari Lagi)%0A%0AKami tim PT. ESDEA Assistance Management siap men-support proses perpanjangan segera agar administrasi proyek tidak terhambat%0A%0AApakah boleh saya bantu siapkan estimasi biaya dan waktu pengerjaannya?.", "Hubungi")</f>
        <v/>
      </c>
    </row>
    <row r="11">
      <c r="A11" t="inlineStr">
        <is>
          <t>METRO INDO KARYA</t>
        </is>
      </c>
      <c r="B11" t="inlineStr">
        <is>
          <t>Kota Depok</t>
        </is>
      </c>
      <c r="C11" t="inlineStr">
        <is>
          <t>0217780164</t>
        </is>
      </c>
      <c r="D11" t="inlineStr">
        <is>
          <t>metroindo.karya@yahoo.com</t>
        </is>
      </c>
      <c r="E11" t="inlineStr">
        <is>
          <t>https://lpjk.pu.go.id/search-badan-usaha-detail/S0E5WVZDME45RWUwSGZiQ1pmeCthZz09</t>
        </is>
      </c>
      <c r="F11" t="n">
        <v>2</v>
      </c>
      <c r="G11" t="inlineStr">
        <is>
          <t>BG002, BG008</t>
        </is>
      </c>
      <c r="H11" t="inlineStr">
        <is>
          <t>6 Januari 2015</t>
        </is>
      </c>
      <c r="I11" s="2" t="n">
        <v>46244</v>
      </c>
      <c r="J11" t="inlineStr">
        <is>
          <t>Disetujui</t>
        </is>
      </c>
      <c r="K11" t="n">
        <v>60</v>
      </c>
      <c r="L11" t="inlineStr">
        <is>
          <t>10 Agustus 2026</t>
        </is>
      </c>
      <c r="M11" t="inlineStr">
        <is>
          <t>Konstruksi Gedung Perkantoran, Konstruksi Gedung Tempat Hiburan dan Olahraga</t>
        </is>
      </c>
      <c r="N11" t="inlineStr">
        <is>
          <t>K</t>
        </is>
      </c>
      <c r="O11" t="inlineStr">
        <is>
          <t>20230803, 20230810</t>
        </is>
      </c>
      <c r="P11" t="inlineStr">
        <is>
          <t>Jawa Barat</t>
        </is>
      </c>
      <c r="Q11" t="inlineStr"/>
    </row>
    <row r="12">
      <c r="A12" t="inlineStr">
        <is>
          <t>RYANIZ JAYA PERSADA</t>
        </is>
      </c>
      <c r="B12" t="inlineStr">
        <is>
          <t>Kota Adm. Jakarta Timur</t>
        </is>
      </c>
      <c r="C12" t="inlineStr">
        <is>
          <t>0214801304</t>
        </is>
      </c>
      <c r="D12" t="inlineStr">
        <is>
          <t>ryanizjp@gmail.com</t>
        </is>
      </c>
      <c r="E12" t="inlineStr">
        <is>
          <t>https://lpjk.pu.go.id/search-badan-usaha-detail/VERRRlNHS3RTb0FXZWs4VlZzeFZadz09</t>
        </is>
      </c>
      <c r="F12" t="n">
        <v>1</v>
      </c>
      <c r="G12" t="inlineStr">
        <is>
          <t>BG005</t>
        </is>
      </c>
      <c r="H12" t="inlineStr">
        <is>
          <t>23 Oktober 2013</t>
        </is>
      </c>
      <c r="I12" s="2" t="n">
        <v>46244</v>
      </c>
      <c r="J12" t="inlineStr">
        <is>
          <t>Disetujui</t>
        </is>
      </c>
      <c r="K12" t="n">
        <v>60</v>
      </c>
      <c r="L12" t="inlineStr">
        <is>
          <t>10 Agustus 2026</t>
        </is>
      </c>
      <c r="M12" t="inlineStr">
        <is>
          <t>Konstruksi Gedung Kesehatan</t>
        </is>
      </c>
      <c r="N12" t="inlineStr">
        <is>
          <t>K</t>
        </is>
      </c>
      <c r="O12" t="inlineStr">
        <is>
          <t>20230808</t>
        </is>
      </c>
      <c r="P12" t="inlineStr">
        <is>
          <t>DKI Jakarta</t>
        </is>
      </c>
      <c r="Q12" t="inlineStr"/>
    </row>
    <row r="13">
      <c r="A13" t="inlineStr">
        <is>
          <t>TORANG MULTI INDO</t>
        </is>
      </c>
      <c r="B13" t="inlineStr">
        <is>
          <t>Kota Adm. Jakarta Timur</t>
        </is>
      </c>
      <c r="C13" t="inlineStr">
        <is>
          <t>0218609842</t>
        </is>
      </c>
      <c r="D13" t="inlineStr">
        <is>
          <t>torangmultiindo@gmail.com</t>
        </is>
      </c>
      <c r="E13" t="inlineStr">
        <is>
          <t>https://lpjk.pu.go.id/search-badan-usaha-detail/L1Vtdk9zSytBQTUwVHZGWUVLdmx3Zz09</t>
        </is>
      </c>
      <c r="F13" t="n">
        <v>1</v>
      </c>
      <c r="G13" t="inlineStr">
        <is>
          <t>BS001</t>
        </is>
      </c>
      <c r="H13" t="inlineStr">
        <is>
          <t>13 November 2018</t>
        </is>
      </c>
      <c r="I13" s="2" t="n">
        <v>46244</v>
      </c>
      <c r="J13" t="inlineStr">
        <is>
          <t>Pencabutan</t>
        </is>
      </c>
      <c r="K13" t="n">
        <v>60</v>
      </c>
      <c r="L13" t="inlineStr">
        <is>
          <t>10 Agustus 2026</t>
        </is>
      </c>
      <c r="M13" t="inlineStr">
        <is>
          <t>Konstruksi Bangunan Sipil Jalan</t>
        </is>
      </c>
      <c r="N13" t="inlineStr">
        <is>
          <t>K</t>
        </is>
      </c>
      <c r="O13" t="inlineStr">
        <is>
          <t>20230726</t>
        </is>
      </c>
      <c r="P13" t="inlineStr">
        <is>
          <t>DKI Jakarta</t>
        </is>
      </c>
      <c r="Q13" t="inlineStr"/>
    </row>
    <row r="14">
      <c r="A14" t="inlineStr">
        <is>
          <t>UNGGUL CIPTA DESIGN SARANA</t>
        </is>
      </c>
      <c r="B14" t="inlineStr">
        <is>
          <t>Kab. Bogor</t>
        </is>
      </c>
      <c r="C14" t="inlineStr">
        <is>
          <t>081218876888</t>
        </is>
      </c>
      <c r="D14" t="inlineStr">
        <is>
          <t>designsarana@gmail.com</t>
        </is>
      </c>
      <c r="E14" t="inlineStr">
        <is>
          <t>https://lpjk.pu.go.id/search-badan-usaha-detail/OFVDRFZ6TFo2MGVjaVlBUGVpWE1QUT09</t>
        </is>
      </c>
      <c r="F14" t="n">
        <v>1</v>
      </c>
      <c r="G14" t="inlineStr">
        <is>
          <t>BG009</t>
        </is>
      </c>
      <c r="H14" t="inlineStr">
        <is>
          <t>1 Agustus 2002</t>
        </is>
      </c>
      <c r="I14" s="2" t="n">
        <v>46244</v>
      </c>
      <c r="J14" t="inlineStr">
        <is>
          <t>Disetujui</t>
        </is>
      </c>
      <c r="K14" t="n">
        <v>60</v>
      </c>
      <c r="L14" t="inlineStr">
        <is>
          <t>10 Agustus 2026</t>
        </is>
      </c>
      <c r="M14" t="inlineStr">
        <is>
          <t>Konstruksi Gedung Lainnya</t>
        </is>
      </c>
      <c r="N14" t="inlineStr">
        <is>
          <t>K</t>
        </is>
      </c>
      <c r="O14" t="inlineStr">
        <is>
          <t>20230807</t>
        </is>
      </c>
      <c r="P14" t="inlineStr">
        <is>
          <t>Jawa Barat</t>
        </is>
      </c>
      <c r="Q14" s="3">
        <f>HYPERLINK("https://wa.me/6281218876888?text=*[PENGINGAT MASA BERLAKU SBU UNGGUL CIPTA DESIGN SARANA]*%0A%0AYth. Pimpinan UNGGUL CIPTA DESIGN SARANA,%0AMohon izin menginformasikan status SBU Anda di sistem LPJK:%0A%0A📄 SBU: BG009%0A📅 Expired: 10 Agustus 2026 (60 Hari Lagi)%0A%0AKami tim PT. ESDEA Assistance Management siap men-support proses perpanjangan segera agar administrasi proyek tidak terhambat%0A%0AApakah boleh saya bantu siapkan estimasi biaya dan waktu pengerjaannya?.", "Hubungi")</f>
        <v/>
      </c>
    </row>
    <row r="15">
      <c r="A15" t="inlineStr">
        <is>
          <t>ABAH RAI JAYA</t>
        </is>
      </c>
      <c r="B15" t="inlineStr">
        <is>
          <t>Kab. Aceh Tamiang</t>
        </is>
      </c>
      <c r="C15" t="inlineStr">
        <is>
          <t>082363636864</t>
        </is>
      </c>
      <c r="D15" t="inlineStr">
        <is>
          <t>abahrayjaya@gmail.com</t>
        </is>
      </c>
      <c r="E15" t="inlineStr">
        <is>
          <t>https://lpjk.pu.go.id/search-badan-usaha-detail/USsveWVNTTlNMmx4TGg1VW8xODZiUT09</t>
        </is>
      </c>
      <c r="F15" t="n">
        <v>2</v>
      </c>
      <c r="G15" t="inlineStr">
        <is>
          <t>BG005, BG009</t>
        </is>
      </c>
      <c r="H15" t="inlineStr">
        <is>
          <t>5 Desember 2018</t>
        </is>
      </c>
      <c r="I15" s="2" t="n">
        <v>46244</v>
      </c>
      <c r="J15" t="inlineStr">
        <is>
          <t>Disetujui</t>
        </is>
      </c>
      <c r="K15" t="n">
        <v>60</v>
      </c>
      <c r="L15" t="inlineStr">
        <is>
          <t>10 Agustus 2026</t>
        </is>
      </c>
      <c r="M15" t="inlineStr">
        <is>
          <t>Konstruksi Gedung Kesehatan, Konstruksi Gedung Lainnya</t>
        </is>
      </c>
      <c r="N15" t="inlineStr">
        <is>
          <t>K</t>
        </is>
      </c>
      <c r="O15" t="inlineStr">
        <is>
          <t>20230809</t>
        </is>
      </c>
      <c r="P15" t="inlineStr">
        <is>
          <t>Aceh</t>
        </is>
      </c>
      <c r="Q15" t="inlineStr"/>
    </row>
    <row r="16">
      <c r="A16" t="inlineStr">
        <is>
          <t>ABDI JAYA UTAMA</t>
        </is>
      </c>
      <c r="B16" t="inlineStr">
        <is>
          <t>Kab. Lebak</t>
        </is>
      </c>
      <c r="C16" t="inlineStr">
        <is>
          <t>083125321190</t>
        </is>
      </c>
      <c r="D16" t="inlineStr">
        <is>
          <t>abdijayautama2020@gmail.com</t>
        </is>
      </c>
      <c r="E16" t="inlineStr">
        <is>
          <t>https://lpjk.pu.go.id/search-badan-usaha-detail/dG1mT0xBdWtlZW5oSlhaTlNRdzlOQT09</t>
        </is>
      </c>
      <c r="F16" t="n">
        <v>2</v>
      </c>
      <c r="G16" t="inlineStr">
        <is>
          <t>BG006, BS005</t>
        </is>
      </c>
      <c r="H16" t="inlineStr">
        <is>
          <t>9 Maret 2020</t>
        </is>
      </c>
      <c r="I16" s="2" t="n">
        <v>46244</v>
      </c>
      <c r="J16" t="inlineStr">
        <is>
          <t>Disetujui</t>
        </is>
      </c>
      <c r="K16" t="n">
        <v>60</v>
      </c>
      <c r="L16" t="inlineStr">
        <is>
          <t>10 Agustus 2026</t>
        </is>
      </c>
      <c r="M16" t="inlineStr">
        <is>
          <t>Konstruksi Bangunan Sipil Pengolahan Air Bersih, Konstruksi Gedung Pendidikan</t>
        </is>
      </c>
      <c r="N16" t="inlineStr">
        <is>
          <t>K</t>
        </is>
      </c>
      <c r="O16" t="inlineStr">
        <is>
          <t>20230808, 20230810</t>
        </is>
      </c>
      <c r="P16" t="inlineStr">
        <is>
          <t>Banten</t>
        </is>
      </c>
      <c r="Q16" t="inlineStr"/>
    </row>
    <row r="17">
      <c r="A17" t="inlineStr">
        <is>
          <t>ABDIRAYA MITRA PERDANA</t>
        </is>
      </c>
      <c r="B17" t="inlineStr">
        <is>
          <t>Kota Makassar</t>
        </is>
      </c>
      <c r="C17" t="inlineStr">
        <is>
          <t>04118982857</t>
        </is>
      </c>
      <c r="D17" t="inlineStr">
        <is>
          <t>abuan_borneo@yahoo.co.id</t>
        </is>
      </c>
      <c r="E17" t="inlineStr">
        <is>
          <t>https://lpjk.pu.go.id/search-badan-usaha-detail/TmJibm1DVXFpNXkySFNhZVZCcWcwZz09</t>
        </is>
      </c>
      <c r="F17" t="n">
        <v>1</v>
      </c>
      <c r="G17" t="inlineStr">
        <is>
          <t>BG004</t>
        </is>
      </c>
      <c r="H17" t="inlineStr">
        <is>
          <t>12 Mei 1999</t>
        </is>
      </c>
      <c r="I17" s="2" t="n">
        <v>46244</v>
      </c>
      <c r="J17" t="inlineStr">
        <is>
          <t>Disetujui</t>
        </is>
      </c>
      <c r="K17" t="n">
        <v>60</v>
      </c>
      <c r="L17" t="inlineStr">
        <is>
          <t>10 Agustus 2026</t>
        </is>
      </c>
      <c r="M17" t="inlineStr">
        <is>
          <t>Konstruksi Gedung Perbelanjaan</t>
        </is>
      </c>
      <c r="N17" t="inlineStr">
        <is>
          <t>K</t>
        </is>
      </c>
      <c r="O17" t="inlineStr">
        <is>
          <t>20230804</t>
        </is>
      </c>
      <c r="P17" t="inlineStr">
        <is>
          <t>Sulawesi Selatan</t>
        </is>
      </c>
      <c r="Q17" t="inlineStr"/>
    </row>
    <row r="18">
      <c r="A18" t="inlineStr">
        <is>
          <t>ABYUDAYA BERKAH SOLUSITAMA</t>
        </is>
      </c>
      <c r="B18" t="inlineStr">
        <is>
          <t>Kota Adm. Jakarta Selatan</t>
        </is>
      </c>
      <c r="C18" t="inlineStr">
        <is>
          <t>08568511300</t>
        </is>
      </c>
      <c r="D18" t="inlineStr">
        <is>
          <t>adw@absolutama.com</t>
        </is>
      </c>
      <c r="E18" t="inlineStr">
        <is>
          <t>https://lpjk.pu.go.id/search-badan-usaha-detail/dWRvQUEweHo5ZnZScmtzMHplRkFrZz09</t>
        </is>
      </c>
      <c r="F18" t="n">
        <v>1</v>
      </c>
      <c r="G18" t="inlineStr">
        <is>
          <t>BS009</t>
        </is>
      </c>
      <c r="H18" t="inlineStr">
        <is>
          <t>1 Agustus 2019</t>
        </is>
      </c>
      <c r="I18" s="2" t="n">
        <v>46244</v>
      </c>
      <c r="J18" t="inlineStr">
        <is>
          <t>Disetujui</t>
        </is>
      </c>
      <c r="K18" t="n">
        <v>60</v>
      </c>
      <c r="L18" t="inlineStr">
        <is>
          <t>10 Agustus 2026</t>
        </is>
      </c>
      <c r="M18" t="inlineStr">
        <is>
          <t>Konstruksi Sentral Telekomunikasi</t>
        </is>
      </c>
      <c r="N18" t="inlineStr">
        <is>
          <t>K</t>
        </is>
      </c>
      <c r="O18" t="inlineStr">
        <is>
          <t>20230810</t>
        </is>
      </c>
      <c r="P18" t="inlineStr">
        <is>
          <t>DKI Jakarta</t>
        </is>
      </c>
      <c r="Q18" t="inlineStr"/>
    </row>
    <row r="19">
      <c r="A19" t="inlineStr">
        <is>
          <t>ADHI RAJASA MANDIRI</t>
        </is>
      </c>
      <c r="B19" t="inlineStr">
        <is>
          <t>Kota Makassar</t>
        </is>
      </c>
      <c r="C19" t="inlineStr">
        <is>
          <t>085397105635</t>
        </is>
      </c>
      <c r="D19" t="inlineStr">
        <is>
          <t>adhirajasamandiri@gmail.com</t>
        </is>
      </c>
      <c r="E19" t="inlineStr">
        <is>
          <t>https://lpjk.pu.go.id/search-badan-usaha-detail/YzR1WkRwUGx3N21tTm4zVkoxOXlqUT09</t>
        </is>
      </c>
      <c r="F19" t="n">
        <v>1</v>
      </c>
      <c r="G19" t="inlineStr">
        <is>
          <t>BG005</t>
        </is>
      </c>
      <c r="H19" t="inlineStr">
        <is>
          <t>21 Juni 2021</t>
        </is>
      </c>
      <c r="I19" s="2" t="n">
        <v>46244</v>
      </c>
      <c r="J19" t="inlineStr">
        <is>
          <t>Disetujui</t>
        </is>
      </c>
      <c r="K19" t="n">
        <v>60</v>
      </c>
      <c r="L19" t="inlineStr">
        <is>
          <t>10 Agustus 2026</t>
        </is>
      </c>
      <c r="M19" t="inlineStr">
        <is>
          <t>Konstruksi Gedung Kesehatan</t>
        </is>
      </c>
      <c r="N19" t="inlineStr">
        <is>
          <t>K</t>
        </is>
      </c>
      <c r="O19" t="inlineStr">
        <is>
          <t>20230805</t>
        </is>
      </c>
      <c r="P19" t="inlineStr">
        <is>
          <t>Sulawesi Selatan</t>
        </is>
      </c>
      <c r="Q19" t="inlineStr"/>
    </row>
    <row r="20">
      <c r="A20" t="inlineStr">
        <is>
          <t>AKBAR YES</t>
        </is>
      </c>
      <c r="B20" t="inlineStr">
        <is>
          <t>Kab. Bengkalis</t>
        </is>
      </c>
      <c r="C20" t="inlineStr">
        <is>
          <t>08126842287</t>
        </is>
      </c>
      <c r="D20" t="inlineStr">
        <is>
          <t>cvyesakbar2101@gmail.com</t>
        </is>
      </c>
      <c r="E20" t="inlineStr">
        <is>
          <t>https://lpjk.pu.go.id/search-badan-usaha-detail/Z002ckcxUU5aaCtjU2N1R1o5K0ZNdz09</t>
        </is>
      </c>
      <c r="F20" t="n">
        <v>1</v>
      </c>
      <c r="G20" t="inlineStr">
        <is>
          <t>BG006</t>
        </is>
      </c>
      <c r="H20" t="inlineStr">
        <is>
          <t>24 Februari 2014</t>
        </is>
      </c>
      <c r="I20" s="2" t="n">
        <v>46244</v>
      </c>
      <c r="J20" t="inlineStr">
        <is>
          <t>Disetujui</t>
        </is>
      </c>
      <c r="K20" t="n">
        <v>60</v>
      </c>
      <c r="L20" t="inlineStr">
        <is>
          <t>10 Agustus 2026</t>
        </is>
      </c>
      <c r="M20" t="inlineStr">
        <is>
          <t>Konstruksi Gedung Pendidikan</t>
        </is>
      </c>
      <c r="N20" t="inlineStr">
        <is>
          <t>K</t>
        </is>
      </c>
      <c r="O20" t="inlineStr">
        <is>
          <t>20230808</t>
        </is>
      </c>
      <c r="P20" t="inlineStr">
        <is>
          <t>Riau</t>
        </is>
      </c>
      <c r="Q20" t="inlineStr"/>
    </row>
    <row r="21">
      <c r="A21" t="inlineStr">
        <is>
          <t>ALAM PERSADA CONSULTANT</t>
        </is>
      </c>
      <c r="B21" t="inlineStr">
        <is>
          <t>Kab. Probolinggo</t>
        </is>
      </c>
      <c r="C21" t="inlineStr">
        <is>
          <t>081336925850</t>
        </is>
      </c>
      <c r="D21" t="inlineStr">
        <is>
          <t>alampersada13@yahoo.com</t>
        </is>
      </c>
      <c r="E21" t="inlineStr">
        <is>
          <t>https://lpjk.pu.go.id/search-badan-usaha-detail/TDRObGpkWDN4MXl1ekRTMjJiVHhndz09</t>
        </is>
      </c>
      <c r="F21" t="n">
        <v>1</v>
      </c>
      <c r="G21" t="inlineStr">
        <is>
          <t>RK001</t>
        </is>
      </c>
      <c r="H21" t="inlineStr">
        <is>
          <t>22 Juni 2012</t>
        </is>
      </c>
      <c r="I21" s="2" t="n">
        <v>46244</v>
      </c>
      <c r="J21" t="inlineStr">
        <is>
          <t>Disetujui</t>
        </is>
      </c>
      <c r="K21" t="n">
        <v>60</v>
      </c>
      <c r="L21" t="inlineStr">
        <is>
          <t>10 Agustus 2026</t>
        </is>
      </c>
      <c r="M21" t="inlineStr">
        <is>
          <t>Jasa Rekayasa Konstruksi Bangunan Gedung Hunian dan Non Hunian</t>
        </is>
      </c>
      <c r="N21" t="inlineStr">
        <is>
          <t>K</t>
        </is>
      </c>
      <c r="O21" t="inlineStr">
        <is>
          <t>20230803</t>
        </is>
      </c>
      <c r="P21" t="inlineStr">
        <is>
          <t>Jawa Timur</t>
        </is>
      </c>
      <c r="Q21" t="inlineStr"/>
    </row>
    <row r="22">
      <c r="A22" t="inlineStr">
        <is>
          <t>ALFA MEMBANGUN PAPUA</t>
        </is>
      </c>
      <c r="B22" t="inlineStr">
        <is>
          <t>Kab. Sorong</t>
        </is>
      </c>
      <c r="C22" t="inlineStr">
        <is>
          <t>081352683935</t>
        </is>
      </c>
      <c r="D22" t="inlineStr">
        <is>
          <t>alung.khavechi89@gmail.com</t>
        </is>
      </c>
      <c r="E22" t="inlineStr">
        <is>
          <t>https://lpjk.pu.go.id/search-badan-usaha-detail/MjlmK3ZDb2s3R0QyaDExZFJLMGtwZz09</t>
        </is>
      </c>
      <c r="F22" t="n">
        <v>1</v>
      </c>
      <c r="G22" t="inlineStr">
        <is>
          <t>BS001</t>
        </is>
      </c>
      <c r="H22" t="inlineStr">
        <is>
          <t>7 Januari 2020</t>
        </is>
      </c>
      <c r="I22" s="2" t="n">
        <v>46244</v>
      </c>
      <c r="J22" t="inlineStr">
        <is>
          <t>Disetujui</t>
        </is>
      </c>
      <c r="K22" t="n">
        <v>60</v>
      </c>
      <c r="L22" t="inlineStr">
        <is>
          <t>10 Agustus 2026</t>
        </is>
      </c>
      <c r="M22" t="inlineStr">
        <is>
          <t>Konstruksi Bangunan Sipil Jalan</t>
        </is>
      </c>
      <c r="N22" t="inlineStr">
        <is>
          <t>K</t>
        </is>
      </c>
      <c r="O22" t="inlineStr">
        <is>
          <t>20230726</t>
        </is>
      </c>
      <c r="P22" t="inlineStr">
        <is>
          <t>Papua Barat</t>
        </is>
      </c>
      <c r="Q22" t="inlineStr"/>
    </row>
    <row r="23">
      <c r="A23" t="inlineStr">
        <is>
          <t>ALFARAYA</t>
        </is>
      </c>
      <c r="B23" t="inlineStr">
        <is>
          <t>Kota Jayapura</t>
        </is>
      </c>
      <c r="C23" t="inlineStr">
        <is>
          <t>081290906693</t>
        </is>
      </c>
      <c r="D23" t="inlineStr">
        <is>
          <t>cv.alfaraya@gmail.com</t>
        </is>
      </c>
      <c r="E23" t="inlineStr">
        <is>
          <t>https://lpjk.pu.go.id/search-badan-usaha-detail/OFoxZmhkTjFRbHU4Rmgrd25CSWVGUT09</t>
        </is>
      </c>
      <c r="F23" t="n">
        <v>1</v>
      </c>
      <c r="G23" t="inlineStr">
        <is>
          <t>BS005</t>
        </is>
      </c>
      <c r="H23" t="inlineStr">
        <is>
          <t>4 Desember 2019</t>
        </is>
      </c>
      <c r="I23" s="2" t="n">
        <v>46244</v>
      </c>
      <c r="J23" t="inlineStr">
        <is>
          <t>Pencabutan</t>
        </is>
      </c>
      <c r="K23" t="n">
        <v>60</v>
      </c>
      <c r="L23" t="inlineStr">
        <is>
          <t>10 Agustus 2026</t>
        </is>
      </c>
      <c r="M23" t="inlineStr">
        <is>
          <t>Konstruksi Bangunan Sipil Pengolahan Air Bersih</t>
        </is>
      </c>
      <c r="N23" t="inlineStr">
        <is>
          <t>K</t>
        </is>
      </c>
      <c r="O23" t="inlineStr">
        <is>
          <t>20230811</t>
        </is>
      </c>
      <c r="P23" t="inlineStr">
        <is>
          <t>Papua</t>
        </is>
      </c>
      <c r="Q23" t="inlineStr"/>
    </row>
    <row r="24">
      <c r="A24" t="inlineStr">
        <is>
          <t>ALI ASSHAFWA</t>
        </is>
      </c>
      <c r="B24" t="inlineStr">
        <is>
          <t>Kota Makassar</t>
        </is>
      </c>
      <c r="C24" t="inlineStr">
        <is>
          <t>082189554554</t>
        </is>
      </c>
      <c r="D24" t="inlineStr">
        <is>
          <t>cv.aliasshafwa@gmail.com</t>
        </is>
      </c>
      <c r="E24" t="inlineStr">
        <is>
          <t>https://lpjk.pu.go.id/search-badan-usaha-detail/cngzQ3dPSEEyRG1pK21wVE9POEdtZz09</t>
        </is>
      </c>
      <c r="F24" t="n">
        <v>2</v>
      </c>
      <c r="G24" t="inlineStr">
        <is>
          <t>BG001, BG005</t>
        </is>
      </c>
      <c r="H24" t="inlineStr">
        <is>
          <t>3 November 2016</t>
        </is>
      </c>
      <c r="I24" s="2" t="n">
        <v>46244</v>
      </c>
      <c r="J24" t="inlineStr">
        <is>
          <t>Disetujui</t>
        </is>
      </c>
      <c r="K24" t="n">
        <v>60</v>
      </c>
      <c r="L24" t="inlineStr">
        <is>
          <t>10 Agustus 2026</t>
        </is>
      </c>
      <c r="M24" t="inlineStr">
        <is>
          <t>Konstruksi Gedung Hunian, Konstruksi Gedung Kesehatan</t>
        </is>
      </c>
      <c r="N24" t="inlineStr">
        <is>
          <t>K</t>
        </is>
      </c>
      <c r="O24" t="inlineStr">
        <is>
          <t>20230811</t>
        </is>
      </c>
      <c r="P24" t="inlineStr">
        <is>
          <t>Sulawesi Selatan</t>
        </is>
      </c>
      <c r="Q24" t="inlineStr"/>
    </row>
    <row r="25">
      <c r="A25" t="inlineStr">
        <is>
          <t>ALIF KARYA KONSULINDO</t>
        </is>
      </c>
      <c r="B25" t="inlineStr">
        <is>
          <t>Kab. Kutai Timur</t>
        </is>
      </c>
      <c r="C25" t="inlineStr">
        <is>
          <t>08115830622</t>
        </is>
      </c>
      <c r="D25" t="inlineStr">
        <is>
          <t>alifkaryakonsulindo@gmail.com</t>
        </is>
      </c>
      <c r="E25" t="inlineStr">
        <is>
          <t>https://lpjk.pu.go.id/search-badan-usaha-detail/bWlBWkxxMUk0SERWVXBNdWFXamxsQT09</t>
        </is>
      </c>
      <c r="F25" t="n">
        <v>1</v>
      </c>
      <c r="G25" t="inlineStr">
        <is>
          <t>RK001</t>
        </is>
      </c>
      <c r="H25" t="inlineStr">
        <is>
          <t>4 April 2014</t>
        </is>
      </c>
      <c r="I25" s="2" t="n">
        <v>46244</v>
      </c>
      <c r="J25" t="inlineStr">
        <is>
          <t>Pencabutan</t>
        </is>
      </c>
      <c r="K25" t="n">
        <v>60</v>
      </c>
      <c r="L25" t="inlineStr">
        <is>
          <t>10 Agustus 2026</t>
        </is>
      </c>
      <c r="M25" t="inlineStr">
        <is>
          <t>Jasa Rekayasa Konstruksi Bangunan Gedung Hunian dan Non Hunian</t>
        </is>
      </c>
      <c r="N25" t="inlineStr">
        <is>
          <t>K</t>
        </is>
      </c>
      <c r="O25" t="inlineStr">
        <is>
          <t>20230805</t>
        </is>
      </c>
      <c r="P25" t="inlineStr">
        <is>
          <t>Kalimantan Timur</t>
        </is>
      </c>
      <c r="Q25" t="inlineStr"/>
    </row>
    <row r="26">
      <c r="A26" t="inlineStr">
        <is>
          <t>AMANDI KARYA</t>
        </is>
      </c>
      <c r="B26" t="inlineStr">
        <is>
          <t>Kota Pontianak</t>
        </is>
      </c>
      <c r="C26" t="inlineStr">
        <is>
          <t>085252765177</t>
        </is>
      </c>
      <c r="D26" t="inlineStr">
        <is>
          <t>amandikarya@gmail.com</t>
        </is>
      </c>
      <c r="E26" t="inlineStr">
        <is>
          <t>https://lpjk.pu.go.id/search-badan-usaha-detail/TDlzbzJzKzBKNkJyWDdTeENlWGcyUT09</t>
        </is>
      </c>
      <c r="F26" t="n">
        <v>1</v>
      </c>
      <c r="G26" t="inlineStr">
        <is>
          <t>BG006</t>
        </is>
      </c>
      <c r="H26" t="inlineStr">
        <is>
          <t>18 Juli 2023</t>
        </is>
      </c>
      <c r="I26" s="2" t="n">
        <v>46244</v>
      </c>
      <c r="J26" t="inlineStr">
        <is>
          <t>Disetujui</t>
        </is>
      </c>
      <c r="K26" t="n">
        <v>60</v>
      </c>
      <c r="L26" t="inlineStr">
        <is>
          <t>10 Agustus 2026</t>
        </is>
      </c>
      <c r="M26" t="inlineStr">
        <is>
          <t>Konstruksi Gedung Pendidikan</t>
        </is>
      </c>
      <c r="N26" t="inlineStr">
        <is>
          <t>K</t>
        </is>
      </c>
      <c r="O26" t="inlineStr">
        <is>
          <t>20230807</t>
        </is>
      </c>
      <c r="P26" t="inlineStr">
        <is>
          <t>Kalimantan Barat</t>
        </is>
      </c>
      <c r="Q26" t="inlineStr"/>
    </row>
    <row r="27">
      <c r="A27" t="inlineStr">
        <is>
          <t>ANA CENDRAWASIH PERMAI</t>
        </is>
      </c>
      <c r="B27" t="inlineStr">
        <is>
          <t>Kab. Kaimana</t>
        </is>
      </c>
      <c r="C27" t="inlineStr">
        <is>
          <t>085213055840</t>
        </is>
      </c>
      <c r="D27" t="inlineStr">
        <is>
          <t>anacendrawasihpermai@gmail.com</t>
        </is>
      </c>
      <c r="E27" t="inlineStr">
        <is>
          <t>https://lpjk.pu.go.id/search-badan-usaha-detail/QXBnNzBMbTFsQXIvanlrWUtIbHIyUT09</t>
        </is>
      </c>
      <c r="F27" t="n">
        <v>1</v>
      </c>
      <c r="G27" t="inlineStr">
        <is>
          <t>BS002</t>
        </is>
      </c>
      <c r="H27" t="inlineStr">
        <is>
          <t>7 November 2016</t>
        </is>
      </c>
      <c r="I27" s="2" t="n">
        <v>46244</v>
      </c>
      <c r="J27" t="inlineStr">
        <is>
          <t>Disetujui</t>
        </is>
      </c>
      <c r="K27" t="n">
        <v>60</v>
      </c>
      <c r="L27" t="inlineStr">
        <is>
          <t>10 Agustus 2026</t>
        </is>
      </c>
      <c r="M27" t="inlineStr">
        <is>
          <t>Bangunan Sipil Jembatan, Jalan Layang, Fly Over, dan Underpass</t>
        </is>
      </c>
      <c r="N27" t="inlineStr">
        <is>
          <t>K</t>
        </is>
      </c>
      <c r="O27" t="inlineStr">
        <is>
          <t>20230808</t>
        </is>
      </c>
      <c r="P27" t="inlineStr">
        <is>
          <t>Papua Barat</t>
        </is>
      </c>
      <c r="Q27" t="inlineStr"/>
    </row>
    <row r="28">
      <c r="A28" t="inlineStr">
        <is>
          <t>ANGKASA JAYA</t>
        </is>
      </c>
      <c r="B28" t="inlineStr">
        <is>
          <t>Kab. Sanggau</t>
        </is>
      </c>
      <c r="C28" t="inlineStr">
        <is>
          <t>082251244888</t>
        </is>
      </c>
      <c r="D28" t="inlineStr">
        <is>
          <t>angkasajaya046@gmail.com</t>
        </is>
      </c>
      <c r="E28" t="inlineStr">
        <is>
          <t>https://lpjk.pu.go.id/search-badan-usaha-detail/bEZGMGVZbUNQdjhoSTRmZ2tLMTRVUT09</t>
        </is>
      </c>
      <c r="F28" t="n">
        <v>2</v>
      </c>
      <c r="G28" t="inlineStr">
        <is>
          <t>PB004</t>
        </is>
      </c>
      <c r="H28" t="inlineStr">
        <is>
          <t>1 September 2015</t>
        </is>
      </c>
      <c r="I28" s="2" t="n">
        <v>46244</v>
      </c>
      <c r="J28" t="inlineStr">
        <is>
          <t>Pembekuan</t>
        </is>
      </c>
      <c r="K28" t="n">
        <v>60</v>
      </c>
      <c r="L28" t="inlineStr">
        <is>
          <t>10 Agustus 2026</t>
        </is>
      </c>
      <c r="M28" t="inlineStr">
        <is>
          <t>Dekorasi Interior</t>
        </is>
      </c>
      <c r="N28" t="inlineStr">
        <is>
          <t>Spesialis</t>
        </is>
      </c>
      <c r="O28" t="inlineStr">
        <is>
          <t>20230811</t>
        </is>
      </c>
      <c r="P28" t="inlineStr">
        <is>
          <t>Kalimantan Barat</t>
        </is>
      </c>
      <c r="Q28" t="inlineStr"/>
    </row>
    <row r="29">
      <c r="A29" t="inlineStr">
        <is>
          <t>ANGKASA PRABASWARA JAYA</t>
        </is>
      </c>
      <c r="B29" t="inlineStr">
        <is>
          <t>Kab. Sidoarjo</t>
        </is>
      </c>
      <c r="C29" t="inlineStr">
        <is>
          <t>082131984049</t>
        </is>
      </c>
      <c r="D29" t="inlineStr">
        <is>
          <t>bangunimpian@ankgasaprasbawarajaya.com</t>
        </is>
      </c>
      <c r="E29" t="inlineStr">
        <is>
          <t>https://lpjk.pu.go.id/search-badan-usaha-detail/SjhnczZyWkRmQkt3aGhQVndnazN4QT09</t>
        </is>
      </c>
      <c r="F29" t="n">
        <v>6</v>
      </c>
      <c r="G29" t="inlineStr">
        <is>
          <t>BG002, BG006, BG008</t>
        </is>
      </c>
      <c r="H29" t="inlineStr">
        <is>
          <t>10 Mei 2023</t>
        </is>
      </c>
      <c r="I29" s="2" t="n">
        <v>46244</v>
      </c>
      <c r="J29" t="inlineStr">
        <is>
          <t>Disetujui</t>
        </is>
      </c>
      <c r="K29" t="n">
        <v>60</v>
      </c>
      <c r="L29" t="inlineStr">
        <is>
          <t>10 Agustus 2026</t>
        </is>
      </c>
      <c r="M29" t="inlineStr">
        <is>
          <t>Konstruksi Gedung Pendidikan, Konstruksi Gedung Perkantoran, Konstruksi Gedung Tempat Hiburan dan Olahraga</t>
        </is>
      </c>
      <c r="N29" t="inlineStr">
        <is>
          <t>K</t>
        </is>
      </c>
      <c r="O29" t="inlineStr">
        <is>
          <t>20230731, 20230810, 20230811</t>
        </is>
      </c>
      <c r="P29" t="inlineStr">
        <is>
          <t>Jawa Timur</t>
        </is>
      </c>
      <c r="Q29" t="inlineStr"/>
    </row>
    <row r="30">
      <c r="A30" t="inlineStr">
        <is>
          <t>ANINDYA NAYYARA</t>
        </is>
      </c>
      <c r="B30" t="inlineStr">
        <is>
          <t>Kota Padang Sidempuan</t>
        </is>
      </c>
      <c r="C30" t="inlineStr">
        <is>
          <t>081376992356</t>
        </is>
      </c>
      <c r="D30" t="inlineStr">
        <is>
          <t>cvanindyanayyaraa@gmail.com</t>
        </is>
      </c>
      <c r="E30" t="inlineStr">
        <is>
          <t>https://lpjk.pu.go.id/search-badan-usaha-detail/WU14ZGdkZENLTDhRL1hoRXRaN2I0UT09</t>
        </is>
      </c>
      <c r="F30" t="n">
        <v>4</v>
      </c>
      <c r="G30" t="inlineStr">
        <is>
          <t>BS001, BS004</t>
        </is>
      </c>
      <c r="H30" t="inlineStr">
        <is>
          <t>26 Juli 2023</t>
        </is>
      </c>
      <c r="I30" s="2" t="n">
        <v>46244</v>
      </c>
      <c r="J30" t="inlineStr">
        <is>
          <t>Disetujui</t>
        </is>
      </c>
      <c r="K30" t="n">
        <v>60</v>
      </c>
      <c r="L30" t="inlineStr">
        <is>
          <t>10 Agustus 2026</t>
        </is>
      </c>
      <c r="M30" t="inlineStr">
        <is>
          <t>Konstruksi Bangunan Sipil Jalan, Konstruksi Jaringan Irigasi dan Drainase</t>
        </is>
      </c>
      <c r="N30" t="inlineStr">
        <is>
          <t>K</t>
        </is>
      </c>
      <c r="O30" t="inlineStr">
        <is>
          <t>20230810</t>
        </is>
      </c>
      <c r="P30" t="inlineStr">
        <is>
          <t>Sumatera Utara</t>
        </is>
      </c>
      <c r="Q30" t="inlineStr"/>
    </row>
    <row r="31">
      <c r="A31" t="inlineStr">
        <is>
          <t>ANUGERAH AGUNG DAMAI</t>
        </is>
      </c>
      <c r="B31" t="inlineStr">
        <is>
          <t>Kab. Lombok Timur</t>
        </is>
      </c>
      <c r="C31" t="inlineStr">
        <is>
          <t>081997771119</t>
        </is>
      </c>
      <c r="D31" t="inlineStr">
        <is>
          <t>agungdamai58@gmail.com</t>
        </is>
      </c>
      <c r="E31" t="inlineStr">
        <is>
          <t>https://lpjk.pu.go.id/search-badan-usaha-detail/ZmdnMnl4TkNwSWlnNmlVRlFYUEh6Zz09</t>
        </is>
      </c>
      <c r="F31" t="n">
        <v>2</v>
      </c>
      <c r="G31" t="inlineStr">
        <is>
          <t>BS002, BS005</t>
        </is>
      </c>
      <c r="H31" t="inlineStr">
        <is>
          <t>12 Februari 2020</t>
        </is>
      </c>
      <c r="I31" s="2" t="n">
        <v>46244</v>
      </c>
      <c r="J31" t="inlineStr">
        <is>
          <t>Pencabutan</t>
        </is>
      </c>
      <c r="K31" t="n">
        <v>60</v>
      </c>
      <c r="L31" t="inlineStr">
        <is>
          <t>10 Agustus 2026</t>
        </is>
      </c>
      <c r="M31" t="inlineStr">
        <is>
          <t>Bangunan Sipil Jembatan, Jalan Layang, Fly Over, dan Underpass, Konstruksi Bangunan Sipil Pengolahan Air Bersih</t>
        </is>
      </c>
      <c r="N31" t="inlineStr">
        <is>
          <t>K</t>
        </is>
      </c>
      <c r="O31" t="inlineStr">
        <is>
          <t>20230808</t>
        </is>
      </c>
      <c r="P31" t="inlineStr">
        <is>
          <t>Nusa Tenggara Barat</t>
        </is>
      </c>
      <c r="Q31" t="inlineStr"/>
    </row>
    <row r="32">
      <c r="A32" t="inlineStr">
        <is>
          <t>ARGUYANI</t>
        </is>
      </c>
      <c r="B32" t="inlineStr">
        <is>
          <t>Kota Bandung</t>
        </is>
      </c>
      <c r="C32" t="inlineStr">
        <is>
          <t>081321523737</t>
        </is>
      </c>
      <c r="D32" t="inlineStr">
        <is>
          <t>arguyani@gmail.com</t>
        </is>
      </c>
      <c r="E32" t="inlineStr">
        <is>
          <t>https://lpjk.pu.go.id/search-badan-usaha-detail/SzhvSkNMaUtKSEJPYTRBNHFmNjZKZz09</t>
        </is>
      </c>
      <c r="F32" t="n">
        <v>2</v>
      </c>
      <c r="G32" t="inlineStr">
        <is>
          <t>BG001, BG002</t>
        </is>
      </c>
      <c r="H32" t="inlineStr">
        <is>
          <t>18 Januari 2006</t>
        </is>
      </c>
      <c r="I32" s="2" t="n">
        <v>46244</v>
      </c>
      <c r="J32" t="inlineStr">
        <is>
          <t>Disetujui</t>
        </is>
      </c>
      <c r="K32" t="n">
        <v>60</v>
      </c>
      <c r="L32" t="inlineStr">
        <is>
          <t>10 Agustus 2026</t>
        </is>
      </c>
      <c r="M32" t="inlineStr">
        <is>
          <t>Konstruksi Gedung Hunian, Konstruksi Gedung Perkantoran</t>
        </is>
      </c>
      <c r="N32" t="inlineStr">
        <is>
          <t>K</t>
        </is>
      </c>
      <c r="O32" t="inlineStr">
        <is>
          <t>20230616, 20230811</t>
        </is>
      </c>
      <c r="P32" t="inlineStr">
        <is>
          <t>Jawa Barat</t>
        </is>
      </c>
      <c r="Q32" t="inlineStr"/>
    </row>
    <row r="33">
      <c r="A33" t="inlineStr">
        <is>
          <t>ARTHA JAYA KONSTRUKSI</t>
        </is>
      </c>
      <c r="B33" t="inlineStr">
        <is>
          <t>Kab. Luwu Timur</t>
        </is>
      </c>
      <c r="C33" t="inlineStr">
        <is>
          <t>082347032784</t>
        </is>
      </c>
      <c r="D33" t="inlineStr">
        <is>
          <t>jayakonstruksi22@gmail.com</t>
        </is>
      </c>
      <c r="E33" t="inlineStr">
        <is>
          <t>https://lpjk.pu.go.id/search-badan-usaha-detail/VmdIbC8rQ1JVMS83NmRLU1lHVGlBUT09</t>
        </is>
      </c>
      <c r="F33" t="n">
        <v>2</v>
      </c>
      <c r="G33" t="inlineStr">
        <is>
          <t>BG005, BG006</t>
        </is>
      </c>
      <c r="H33" t="inlineStr">
        <is>
          <t>14 Maret 2012</t>
        </is>
      </c>
      <c r="I33" s="2" t="n">
        <v>46244</v>
      </c>
      <c r="J33" t="inlineStr">
        <is>
          <t>Disetujui</t>
        </is>
      </c>
      <c r="K33" t="n">
        <v>60</v>
      </c>
      <c r="L33" t="inlineStr">
        <is>
          <t>10 Agustus 2026</t>
        </is>
      </c>
      <c r="M33" t="inlineStr">
        <is>
          <t>Konstruksi Gedung Kesehatan, Konstruksi Gedung Pendidikan</t>
        </is>
      </c>
      <c r="N33" t="inlineStr">
        <is>
          <t>K</t>
        </is>
      </c>
      <c r="O33" t="inlineStr">
        <is>
          <t>20230811</t>
        </is>
      </c>
      <c r="P33" t="inlineStr">
        <is>
          <t>Sulawesi Selatan</t>
        </is>
      </c>
      <c r="Q33" t="inlineStr"/>
    </row>
    <row r="34">
      <c r="A34" t="inlineStr">
        <is>
          <t>ARTHA KARYA</t>
        </is>
      </c>
      <c r="B34" t="inlineStr">
        <is>
          <t>Kab. Pasaman Barat</t>
        </is>
      </c>
      <c r="C34" t="inlineStr">
        <is>
          <t>081268130209</t>
        </is>
      </c>
      <c r="D34" t="inlineStr">
        <is>
          <t>arthakarya.yusuf@gmail.com</t>
        </is>
      </c>
      <c r="E34" t="inlineStr">
        <is>
          <t>https://lpjk.pu.go.id/search-badan-usaha-detail/dUV2WjVUZm1RT29tZ3NzNHNUeHVvdz09</t>
        </is>
      </c>
      <c r="F34" t="n">
        <v>1</v>
      </c>
      <c r="G34" t="inlineStr">
        <is>
          <t>BS004</t>
        </is>
      </c>
      <c r="H34" t="inlineStr">
        <is>
          <t>20 Februari 2007</t>
        </is>
      </c>
      <c r="I34" s="2" t="n">
        <v>46244</v>
      </c>
      <c r="J34" t="inlineStr">
        <is>
          <t>Disetujui</t>
        </is>
      </c>
      <c r="K34" t="n">
        <v>60</v>
      </c>
      <c r="L34" t="inlineStr">
        <is>
          <t>10 Agustus 2026</t>
        </is>
      </c>
      <c r="M34" t="inlineStr">
        <is>
          <t>Konstruksi Jaringan Irigasi dan Drainase</t>
        </is>
      </c>
      <c r="N34" t="inlineStr">
        <is>
          <t>K</t>
        </is>
      </c>
      <c r="O34" t="inlineStr">
        <is>
          <t>20221124</t>
        </is>
      </c>
      <c r="P34" t="inlineStr">
        <is>
          <t>Sumatera Barat</t>
        </is>
      </c>
      <c r="Q34" t="inlineStr"/>
    </row>
    <row r="35">
      <c r="A35" t="inlineStr">
        <is>
          <t>ARTHA MEGAH PERKASA</t>
        </is>
      </c>
      <c r="B35" t="inlineStr">
        <is>
          <t>Kota Pontianak</t>
        </is>
      </c>
      <c r="C35" t="inlineStr">
        <is>
          <t>089647519535</t>
        </is>
      </c>
      <c r="D35" t="inlineStr">
        <is>
          <t>artha.mp2023@gmail.com</t>
        </is>
      </c>
      <c r="E35" t="inlineStr">
        <is>
          <t>https://lpjk.pu.go.id/search-badan-usaha-detail/M3NHbVBUNjdpdkJMdVYxZ1lGUFhhUT09</t>
        </is>
      </c>
      <c r="F35" t="n">
        <v>1</v>
      </c>
      <c r="G35" t="inlineStr">
        <is>
          <t>BG005</t>
        </is>
      </c>
      <c r="H35" t="inlineStr">
        <is>
          <t>14 Maret 2023</t>
        </is>
      </c>
      <c r="I35" s="2" t="n">
        <v>46244</v>
      </c>
      <c r="J35" t="inlineStr">
        <is>
          <t>Disetujui</t>
        </is>
      </c>
      <c r="K35" t="n">
        <v>60</v>
      </c>
      <c r="L35" t="inlineStr">
        <is>
          <t>10 Agustus 2026</t>
        </is>
      </c>
      <c r="M35" t="inlineStr">
        <is>
          <t>Konstruksi Gedung Kesehatan</t>
        </is>
      </c>
      <c r="N35" t="inlineStr">
        <is>
          <t>K</t>
        </is>
      </c>
      <c r="O35" t="inlineStr">
        <is>
          <t>20230810</t>
        </is>
      </c>
      <c r="P35" t="inlineStr">
        <is>
          <t>Kalimantan Barat</t>
        </is>
      </c>
      <c r="Q35" t="inlineStr"/>
    </row>
    <row r="36">
      <c r="A36" t="inlineStr">
        <is>
          <t>ASASTA GRAHA</t>
        </is>
      </c>
      <c r="B36" t="inlineStr">
        <is>
          <t>Kota Malang</t>
        </is>
      </c>
      <c r="C36" t="inlineStr">
        <is>
          <t>081233997180</t>
        </is>
      </c>
      <c r="D36" t="inlineStr">
        <is>
          <t>asastagraha@gmail.com</t>
        </is>
      </c>
      <c r="E36" t="inlineStr">
        <is>
          <t>https://lpjk.pu.go.id/search-badan-usaha-detail/U1Mrc2hWcW1WNTlPTDFJYVBzSVk2Zz09</t>
        </is>
      </c>
      <c r="F36" t="n">
        <v>1</v>
      </c>
      <c r="G36" t="inlineStr">
        <is>
          <t>BG005</t>
        </is>
      </c>
      <c r="H36" t="inlineStr">
        <is>
          <t>11 Juni 2018</t>
        </is>
      </c>
      <c r="I36" s="2" t="n">
        <v>46244</v>
      </c>
      <c r="J36" t="inlineStr">
        <is>
          <t>Disetujui</t>
        </is>
      </c>
      <c r="K36" t="n">
        <v>60</v>
      </c>
      <c r="L36" t="inlineStr">
        <is>
          <t>10 Agustus 2026</t>
        </is>
      </c>
      <c r="M36" t="inlineStr">
        <is>
          <t>Konstruksi Gedung Kesehatan</t>
        </is>
      </c>
      <c r="N36" t="inlineStr">
        <is>
          <t>K</t>
        </is>
      </c>
      <c r="O36" t="inlineStr">
        <is>
          <t>20230802</t>
        </is>
      </c>
      <c r="P36" t="inlineStr">
        <is>
          <t>Jawa Timur</t>
        </is>
      </c>
      <c r="Q36" t="inlineStr"/>
    </row>
    <row r="37">
      <c r="A37" t="inlineStr">
        <is>
          <t>ASTA TIGA</t>
        </is>
      </c>
      <c r="B37" t="inlineStr">
        <is>
          <t>Kab. Sidoarjo</t>
        </is>
      </c>
      <c r="C37" t="inlineStr">
        <is>
          <t>0318075498</t>
        </is>
      </c>
      <c r="D37" t="inlineStr">
        <is>
          <t>astatiga_sidoarjo@yahoo.com</t>
        </is>
      </c>
      <c r="E37" t="inlineStr">
        <is>
          <t>https://lpjk.pu.go.id/search-badan-usaha-detail/V2hIMlZ5RlJKNDFpazFFMlh0L1Njdz09</t>
        </is>
      </c>
      <c r="F37" t="n">
        <v>1</v>
      </c>
      <c r="G37" t="inlineStr">
        <is>
          <t>RK005</t>
        </is>
      </c>
      <c r="H37" t="inlineStr">
        <is>
          <t>17 Maret 1992</t>
        </is>
      </c>
      <c r="I37" s="2" t="n">
        <v>46244</v>
      </c>
      <c r="J37" t="inlineStr">
        <is>
          <t>Disetujui</t>
        </is>
      </c>
      <c r="K37" t="n">
        <v>60</v>
      </c>
      <c r="L37" t="inlineStr">
        <is>
          <t>10 Agustus 2026</t>
        </is>
      </c>
      <c r="M37" t="inlineStr">
        <is>
          <t>Jasa Rekayasa Lainnya</t>
        </is>
      </c>
      <c r="N37" t="inlineStr">
        <is>
          <t>K</t>
        </is>
      </c>
      <c r="O37" t="inlineStr">
        <is>
          <t>20230803</t>
        </is>
      </c>
      <c r="P37" t="inlineStr">
        <is>
          <t>Jawa Timur</t>
        </is>
      </c>
      <c r="Q37" t="inlineStr"/>
    </row>
    <row r="38">
      <c r="A38" t="inlineStr">
        <is>
          <t>AURA NABIL PRATAMA</t>
        </is>
      </c>
      <c r="B38" t="inlineStr">
        <is>
          <t>Kota Serang</t>
        </is>
      </c>
      <c r="C38" t="inlineStr">
        <is>
          <t>081808174888</t>
        </is>
      </c>
      <c r="D38" t="inlineStr">
        <is>
          <t>auranabilpratama@gmail.com</t>
        </is>
      </c>
      <c r="E38" t="inlineStr">
        <is>
          <t>https://lpjk.pu.go.id/search-badan-usaha-detail/UUIvTTdvWFBVK09LeEtvSngycCtzZz09</t>
        </is>
      </c>
      <c r="F38" t="n">
        <v>1</v>
      </c>
      <c r="G38" t="inlineStr">
        <is>
          <t>BS004</t>
        </is>
      </c>
      <c r="H38" t="inlineStr">
        <is>
          <t>21 April 2016</t>
        </is>
      </c>
      <c r="I38" s="2" t="n">
        <v>46244</v>
      </c>
      <c r="J38" t="inlineStr">
        <is>
          <t>Disetujui</t>
        </is>
      </c>
      <c r="K38" t="n">
        <v>60</v>
      </c>
      <c r="L38" t="inlineStr">
        <is>
          <t>10 Agustus 2026</t>
        </is>
      </c>
      <c r="M38" t="inlineStr">
        <is>
          <t>Konstruksi Jaringan Irigasi dan Drainase</t>
        </is>
      </c>
      <c r="N38" t="inlineStr">
        <is>
          <t>K</t>
        </is>
      </c>
      <c r="O38" t="inlineStr">
        <is>
          <t>20230809</t>
        </is>
      </c>
      <c r="P38" t="inlineStr">
        <is>
          <t>Banten</t>
        </is>
      </c>
      <c r="Q38" t="inlineStr"/>
    </row>
    <row r="39">
      <c r="A39" t="inlineStr">
        <is>
          <t>AZIZIYAH</t>
        </is>
      </c>
      <c r="B39" t="inlineStr">
        <is>
          <t>Kota Tasikmalaya</t>
        </is>
      </c>
      <c r="C39" t="inlineStr">
        <is>
          <t>082218561716</t>
        </is>
      </c>
      <c r="D39" t="inlineStr">
        <is>
          <t>cv.aziziyah26@gmail.com</t>
        </is>
      </c>
      <c r="E39" t="inlineStr">
        <is>
          <t>https://lpjk.pu.go.id/search-badan-usaha-detail/amxkQVZkZ0pybVBaOVEvbjduZjNGQT09</t>
        </is>
      </c>
      <c r="F39" t="n">
        <v>3</v>
      </c>
      <c r="G39" t="inlineStr">
        <is>
          <t>BS005</t>
        </is>
      </c>
      <c r="H39" t="inlineStr">
        <is>
          <t>22 September 2020</t>
        </is>
      </c>
      <c r="I39" s="2" t="n">
        <v>46244</v>
      </c>
      <c r="J39" t="inlineStr">
        <is>
          <t>Disetujui</t>
        </is>
      </c>
      <c r="K39" t="n">
        <v>60</v>
      </c>
      <c r="L39" t="inlineStr">
        <is>
          <t>10 Agustus 2026</t>
        </is>
      </c>
      <c r="M39" t="inlineStr">
        <is>
          <t>Konstruksi Bangunan Sipil Pengolahan Air Bersih</t>
        </is>
      </c>
      <c r="N39" t="inlineStr">
        <is>
          <t>K</t>
        </is>
      </c>
      <c r="O39" t="inlineStr">
        <is>
          <t>20230726</t>
        </is>
      </c>
      <c r="P39" t="inlineStr">
        <is>
          <t>Jawa Barat</t>
        </is>
      </c>
      <c r="Q39" t="inlineStr"/>
    </row>
    <row r="40">
      <c r="A40" t="inlineStr">
        <is>
          <t>BADIARI MITRA SARANA</t>
        </is>
      </c>
      <c r="B40" t="inlineStr">
        <is>
          <t>Kota Adm. Jakarta Pusat</t>
        </is>
      </c>
      <c r="C40" t="inlineStr">
        <is>
          <t>08212424403</t>
        </is>
      </c>
      <c r="D40" t="inlineStr">
        <is>
          <t>badiarimitrasarana@gmail.com</t>
        </is>
      </c>
      <c r="E40" t="inlineStr">
        <is>
          <t>https://lpjk.pu.go.id/search-badan-usaha-detail/ZEFoK2FOL1RPaWtUZStNN3NGU0VmQT09</t>
        </is>
      </c>
      <c r="F40" t="n">
        <v>1</v>
      </c>
      <c r="G40" t="inlineStr">
        <is>
          <t>BG009</t>
        </is>
      </c>
      <c r="H40" t="inlineStr">
        <is>
          <t>11 Oktober 2010</t>
        </is>
      </c>
      <c r="I40" s="2" t="n">
        <v>46244</v>
      </c>
      <c r="J40" t="inlineStr">
        <is>
          <t>Pencabutan</t>
        </is>
      </c>
      <c r="K40" t="n">
        <v>60</v>
      </c>
      <c r="L40" t="inlineStr">
        <is>
          <t>10 Agustus 2026</t>
        </is>
      </c>
      <c r="M40" t="inlineStr">
        <is>
          <t>Konstruksi Gedung Lainnya</t>
        </is>
      </c>
      <c r="N40" t="inlineStr">
        <is>
          <t>K</t>
        </is>
      </c>
      <c r="O40" t="inlineStr">
        <is>
          <t>20230804</t>
        </is>
      </c>
      <c r="P40" t="inlineStr">
        <is>
          <t>DKI Jakarta</t>
        </is>
      </c>
      <c r="Q40" t="inlineStr"/>
    </row>
    <row r="41">
      <c r="A41" t="inlineStr">
        <is>
          <t>BAHARI</t>
        </is>
      </c>
      <c r="B41" t="inlineStr">
        <is>
          <t>Kab. Jember</t>
        </is>
      </c>
      <c r="C41" t="inlineStr">
        <is>
          <t>08123464362</t>
        </is>
      </c>
      <c r="D41" t="inlineStr">
        <is>
          <t>baharijember@gmail.com</t>
        </is>
      </c>
      <c r="E41" t="inlineStr">
        <is>
          <t>https://lpjk.pu.go.id/search-badan-usaha-detail/akZ4N2w5c09hVFB1WGh0Z21zdUpLQT09</t>
        </is>
      </c>
      <c r="F41" t="n">
        <v>1</v>
      </c>
      <c r="G41" t="inlineStr">
        <is>
          <t>BG002</t>
        </is>
      </c>
      <c r="H41" t="inlineStr">
        <is>
          <t>11 Juli 2005</t>
        </is>
      </c>
      <c r="I41" s="2" t="n">
        <v>46244</v>
      </c>
      <c r="J41" t="inlineStr">
        <is>
          <t>Disetujui</t>
        </is>
      </c>
      <c r="K41" t="n">
        <v>60</v>
      </c>
      <c r="L41" t="inlineStr">
        <is>
          <t>10 Agustus 2026</t>
        </is>
      </c>
      <c r="M41" t="inlineStr">
        <is>
          <t>Konstruksi Gedung Perkantoran</t>
        </is>
      </c>
      <c r="N41" t="inlineStr">
        <is>
          <t>K</t>
        </is>
      </c>
      <c r="O41" t="inlineStr">
        <is>
          <t>20230810</t>
        </is>
      </c>
      <c r="P41" t="inlineStr">
        <is>
          <t>Jawa Timur</t>
        </is>
      </c>
      <c r="Q41" t="inlineStr"/>
    </row>
    <row r="42">
      <c r="A42" t="inlineStr">
        <is>
          <t>BALADEWA CIPTA KREASI</t>
        </is>
      </c>
      <c r="B42" t="inlineStr">
        <is>
          <t>Kota Adm. Jakarta Selatan</t>
        </is>
      </c>
      <c r="C42" t="inlineStr">
        <is>
          <t>081320460848</t>
        </is>
      </c>
      <c r="D42" t="inlineStr">
        <is>
          <t>baladewaciptakreasi@gmail.com</t>
        </is>
      </c>
      <c r="E42" t="inlineStr">
        <is>
          <t>https://lpjk.pu.go.id/search-badan-usaha-detail/dlFHVzhMNmFuQ2ZUK2VSdk9OL2grZz09</t>
        </is>
      </c>
      <c r="F42" t="n">
        <v>4</v>
      </c>
      <c r="G42" t="inlineStr">
        <is>
          <t>AR001, AR002</t>
        </is>
      </c>
      <c r="H42" t="inlineStr">
        <is>
          <t>15 November 2022</t>
        </is>
      </c>
      <c r="I42" s="2" t="n">
        <v>46244</v>
      </c>
      <c r="J42" t="inlineStr">
        <is>
          <t>Disetujui</t>
        </is>
      </c>
      <c r="K42" t="n">
        <v>60</v>
      </c>
      <c r="L42" t="inlineStr">
        <is>
          <t>10 Agustus 2026</t>
        </is>
      </c>
      <c r="M42" t="inlineStr">
        <is>
          <t>Jasa Arsitektural Bangunan Gedung Hunian dan Non Hunian, Jasa Arsitektural Lainnya</t>
        </is>
      </c>
      <c r="N42" t="inlineStr">
        <is>
          <t>K</t>
        </is>
      </c>
      <c r="O42" t="inlineStr">
        <is>
          <t>20230803</t>
        </is>
      </c>
      <c r="P42" t="inlineStr">
        <is>
          <t>DKI Jakarta</t>
        </is>
      </c>
      <c r="Q42" t="inlineStr"/>
    </row>
    <row r="43">
      <c r="A43" t="inlineStr">
        <is>
          <t>BALANGA PERSADA UTAMA</t>
        </is>
      </c>
      <c r="B43" t="inlineStr">
        <is>
          <t>Kab. Katingan</t>
        </is>
      </c>
      <c r="C43" t="inlineStr">
        <is>
          <t>085250434956</t>
        </is>
      </c>
      <c r="D43" t="inlineStr">
        <is>
          <t>cv.balangapersadautama@yahoo.com</t>
        </is>
      </c>
      <c r="E43" t="inlineStr">
        <is>
          <t>https://lpjk.pu.go.id/search-badan-usaha-detail/TXJnQ0FtaDlNOWxNdGNMQjhnZU5Vdz09</t>
        </is>
      </c>
      <c r="F43" t="n">
        <v>2</v>
      </c>
      <c r="G43" t="inlineStr">
        <is>
          <t>BG006, BG009</t>
        </is>
      </c>
      <c r="H43" t="inlineStr">
        <is>
          <t>31 Juli 2023</t>
        </is>
      </c>
      <c r="I43" s="2" t="n">
        <v>46244</v>
      </c>
      <c r="J43" t="inlineStr">
        <is>
          <t>Disetujui</t>
        </is>
      </c>
      <c r="K43" t="n">
        <v>60</v>
      </c>
      <c r="L43" t="inlineStr">
        <is>
          <t>10 Agustus 2026</t>
        </is>
      </c>
      <c r="M43" t="inlineStr">
        <is>
          <t>Konstruksi Gedung Lainnya, Konstruksi Gedung Pendidikan</t>
        </is>
      </c>
      <c r="N43" t="inlineStr">
        <is>
          <t>K</t>
        </is>
      </c>
      <c r="O43" t="inlineStr">
        <is>
          <t>20230810</t>
        </is>
      </c>
      <c r="P43" t="inlineStr">
        <is>
          <t>Kalimantan Tengah</t>
        </is>
      </c>
      <c r="Q43" t="inlineStr"/>
    </row>
    <row r="44">
      <c r="A44" t="inlineStr">
        <is>
          <t>BANGUN MITRA ANUGERAH LESTARI</t>
        </is>
      </c>
      <c r="B44" t="inlineStr">
        <is>
          <t>Kab. Sumbawa</t>
        </is>
      </c>
      <c r="C44" t="inlineStr">
        <is>
          <t>081907142990</t>
        </is>
      </c>
      <c r="D44" t="inlineStr">
        <is>
          <t>bahagiagroup11@gmail.com</t>
        </is>
      </c>
      <c r="E44" t="inlineStr">
        <is>
          <t>https://lpjk.pu.go.id/search-badan-usaha-detail/WG1mckI1dGN4MC9DZ1ZRT2dVN2tNQT09</t>
        </is>
      </c>
      <c r="F44" t="n">
        <v>3</v>
      </c>
      <c r="G44" t="inlineStr">
        <is>
          <t>BS001, BS004, BS010</t>
        </is>
      </c>
      <c r="H44" t="inlineStr">
        <is>
          <t>7 November 2007</t>
        </is>
      </c>
      <c r="I44" s="2" t="n">
        <v>46244</v>
      </c>
      <c r="J44" t="inlineStr">
        <is>
          <t>Disetujui</t>
        </is>
      </c>
      <c r="K44" t="n">
        <v>60</v>
      </c>
      <c r="L44" t="inlineStr">
        <is>
          <t>10 Agustus 2026</t>
        </is>
      </c>
      <c r="M44" t="inlineStr">
        <is>
          <t>Konstruksi Bangunan Prasarana Sumber Daya Air, Konstruksi Bangunan Sipil Jalan, Konstruksi Jaringan Irigasi dan Drainase</t>
        </is>
      </c>
      <c r="N44" t="inlineStr">
        <is>
          <t>M</t>
        </is>
      </c>
      <c r="O44" t="inlineStr">
        <is>
          <t>20230717</t>
        </is>
      </c>
      <c r="P44" t="inlineStr">
        <is>
          <t>Nusa Tenggara Barat</t>
        </is>
      </c>
      <c r="Q44" t="inlineStr"/>
    </row>
    <row r="45">
      <c r="A45" t="inlineStr">
        <is>
          <t>BAROKAH MAKMUR ABADI</t>
        </is>
      </c>
      <c r="B45" t="inlineStr">
        <is>
          <t>Kota Medan</t>
        </is>
      </c>
      <c r="C45" t="inlineStr">
        <is>
          <t>082273708929</t>
        </is>
      </c>
      <c r="D45" t="inlineStr">
        <is>
          <t>abadibarokahmakmur@gmail.com</t>
        </is>
      </c>
      <c r="E45" t="inlineStr">
        <is>
          <t>https://lpjk.pu.go.id/search-badan-usaha-detail/bDFrU0Zza1lRQ0NDenpaeUdZTFdIUT09</t>
        </is>
      </c>
      <c r="F45" t="n">
        <v>4</v>
      </c>
      <c r="G45" t="inlineStr">
        <is>
          <t>BS001, BS004</t>
        </is>
      </c>
      <c r="H45" t="inlineStr">
        <is>
          <t>16 November 2011</t>
        </is>
      </c>
      <c r="I45" s="2" t="n">
        <v>46244</v>
      </c>
      <c r="J45" t="inlineStr">
        <is>
          <t>Disetujui</t>
        </is>
      </c>
      <c r="K45" t="n">
        <v>60</v>
      </c>
      <c r="L45" t="inlineStr">
        <is>
          <t>10 Agustus 2026</t>
        </is>
      </c>
      <c r="M45" t="inlineStr">
        <is>
          <t>Konstruksi Bangunan Sipil Jalan, Konstruksi Jaringan Irigasi dan Drainase</t>
        </is>
      </c>
      <c r="N45" t="inlineStr">
        <is>
          <t>K</t>
        </is>
      </c>
      <c r="O45" t="inlineStr">
        <is>
          <t>20230809</t>
        </is>
      </c>
      <c r="P45" t="inlineStr">
        <is>
          <t>Sumatera Utara</t>
        </is>
      </c>
      <c r="Q45" t="inlineStr"/>
    </row>
    <row r="46">
      <c r="A46" t="inlineStr">
        <is>
          <t>BERKAH KARYA JAYA MAKMUR</t>
        </is>
      </c>
      <c r="B46" t="inlineStr">
        <is>
          <t>Kab. Jember</t>
        </is>
      </c>
      <c r="C46" t="inlineStr">
        <is>
          <t>085334831231</t>
        </is>
      </c>
      <c r="D46" t="inlineStr">
        <is>
          <t>berkahkaryajayamakmur46@gmail.com</t>
        </is>
      </c>
      <c r="E46" t="inlineStr">
        <is>
          <t>https://lpjk.pu.go.id/search-badan-usaha-detail/NWNNamphQVhkSlBLSWNrTDRrY09Odz09</t>
        </is>
      </c>
      <c r="F46" t="n">
        <v>2</v>
      </c>
      <c r="G46" t="inlineStr">
        <is>
          <t>BS001</t>
        </is>
      </c>
      <c r="H46" t="inlineStr">
        <is>
          <t>13 Maret 2023</t>
        </is>
      </c>
      <c r="I46" s="2" t="n">
        <v>46244</v>
      </c>
      <c r="J46" t="inlineStr">
        <is>
          <t>Disetujui</t>
        </is>
      </c>
      <c r="K46" t="n">
        <v>60</v>
      </c>
      <c r="L46" t="inlineStr">
        <is>
          <t>10 Agustus 2026</t>
        </is>
      </c>
      <c r="M46" t="inlineStr">
        <is>
          <t>Konstruksi Bangunan Sipil Jalan</t>
        </is>
      </c>
      <c r="N46" t="inlineStr">
        <is>
          <t>K</t>
        </is>
      </c>
      <c r="O46" t="inlineStr">
        <is>
          <t>20230808</t>
        </is>
      </c>
      <c r="P46" t="inlineStr">
        <is>
          <t>Jawa Timur</t>
        </is>
      </c>
      <c r="Q46" t="inlineStr"/>
    </row>
    <row r="47">
      <c r="A47" t="inlineStr">
        <is>
          <t>BERLIAN CEMERLANG</t>
        </is>
      </c>
      <c r="B47" t="inlineStr">
        <is>
          <t>Kota Surabaya</t>
        </is>
      </c>
      <c r="C47" t="inlineStr">
        <is>
          <t>-</t>
        </is>
      </c>
      <c r="D47" t="inlineStr">
        <is>
          <t>cvberliancemerlang01@gmail.com</t>
        </is>
      </c>
      <c r="E47" t="inlineStr">
        <is>
          <t>https://lpjk.pu.go.id/search-badan-usaha-detail/ZXcrQzZ6aHlaQ2JlSzAzZ0ROMmlGUT09</t>
        </is>
      </c>
      <c r="F47" t="n">
        <v>2</v>
      </c>
      <c r="G47" t="inlineStr">
        <is>
          <t>RK002, RK003</t>
        </is>
      </c>
      <c r="H47" t="inlineStr">
        <is>
          <t>25 April 2012</t>
        </is>
      </c>
      <c r="I47" s="2" t="n">
        <v>46244</v>
      </c>
      <c r="J47" t="inlineStr">
        <is>
          <t>Disetujui</t>
        </is>
      </c>
      <c r="K47" t="n">
        <v>60</v>
      </c>
      <c r="L47" t="inlineStr">
        <is>
          <t>10 Agustus 2026</t>
        </is>
      </c>
      <c r="M47" t="inlineStr">
        <is>
          <t>Jasa Rekayasa Pekerjaan Teknik Sipil Sumber Daya Air, Jasa Rekayasa Pekerjaan Teknik Sipil Transportasi</t>
        </is>
      </c>
      <c r="N47" t="inlineStr">
        <is>
          <t>K</t>
        </is>
      </c>
      <c r="O47" t="inlineStr">
        <is>
          <t>20230802</t>
        </is>
      </c>
      <c r="P47" t="inlineStr">
        <is>
          <t>Jawa Timur</t>
        </is>
      </c>
      <c r="Q47" t="inlineStr"/>
    </row>
    <row r="48">
      <c r="A48" t="inlineStr">
        <is>
          <t>BIMA PUTRA</t>
        </is>
      </c>
      <c r="B48" t="inlineStr">
        <is>
          <t>Kab. Jember</t>
        </is>
      </c>
      <c r="C48" t="inlineStr">
        <is>
          <t>082139558339</t>
        </is>
      </c>
      <c r="D48" t="inlineStr">
        <is>
          <t>bimaputra_bp@yahoo.com</t>
        </is>
      </c>
      <c r="E48" t="inlineStr">
        <is>
          <t>https://lpjk.pu.go.id/search-badan-usaha-detail/TkZiNHRsdXp3QjNibG9XQmZYU21NZz09</t>
        </is>
      </c>
      <c r="F48" t="n">
        <v>1</v>
      </c>
      <c r="G48" t="inlineStr">
        <is>
          <t>BG002</t>
        </is>
      </c>
      <c r="H48" t="inlineStr">
        <is>
          <t>22 November 2006</t>
        </is>
      </c>
      <c r="I48" s="2" t="n">
        <v>46244</v>
      </c>
      <c r="J48" t="inlineStr">
        <is>
          <t>Pencabutan</t>
        </is>
      </c>
      <c r="K48" t="n">
        <v>60</v>
      </c>
      <c r="L48" t="inlineStr">
        <is>
          <t>10 Agustus 2026</t>
        </is>
      </c>
      <c r="M48" t="inlineStr">
        <is>
          <t>Konstruksi Gedung Perkantoran</t>
        </is>
      </c>
      <c r="N48" t="inlineStr">
        <is>
          <t>K</t>
        </is>
      </c>
      <c r="O48" t="inlineStr">
        <is>
          <t>20230810</t>
        </is>
      </c>
      <c r="P48" t="inlineStr">
        <is>
          <t>Jawa Timur</t>
        </is>
      </c>
      <c r="Q48" t="inlineStr"/>
    </row>
    <row r="49">
      <c r="A49" t="inlineStr">
        <is>
          <t>BINANGKIT BAGJA RAHAYU</t>
        </is>
      </c>
      <c r="B49" t="inlineStr">
        <is>
          <t>Kota Banjar</t>
        </is>
      </c>
      <c r="C49" t="inlineStr">
        <is>
          <t>081310737984</t>
        </is>
      </c>
      <c r="D49" t="inlineStr">
        <is>
          <t>cvbinangkitbagjarahayu@gmail.com</t>
        </is>
      </c>
      <c r="E49" t="inlineStr">
        <is>
          <t>https://lpjk.pu.go.id/search-badan-usaha-detail/Qy9hb2ZWdXdES3Y0em1oazZUelA2UT09</t>
        </is>
      </c>
      <c r="F49" t="n">
        <v>2</v>
      </c>
      <c r="G49" t="inlineStr">
        <is>
          <t>BS002</t>
        </is>
      </c>
      <c r="H49" t="inlineStr">
        <is>
          <t>25 Januari 2023</t>
        </is>
      </c>
      <c r="I49" s="2" t="n">
        <v>46244</v>
      </c>
      <c r="J49" t="inlineStr">
        <is>
          <t>Disetujui</t>
        </is>
      </c>
      <c r="K49" t="n">
        <v>60</v>
      </c>
      <c r="L49" t="inlineStr">
        <is>
          <t>10 Agustus 2026</t>
        </is>
      </c>
      <c r="M49" t="inlineStr">
        <is>
          <t>Bangunan Sipil Jembatan, Jalan Layang, Fly Over, dan Underpass</t>
        </is>
      </c>
      <c r="N49" t="inlineStr">
        <is>
          <t>K</t>
        </is>
      </c>
      <c r="O49" t="inlineStr">
        <is>
          <t>20230807</t>
        </is>
      </c>
      <c r="P49" t="inlineStr">
        <is>
          <t>Jawa Barat</t>
        </is>
      </c>
      <c r="Q49" t="inlineStr"/>
    </row>
    <row r="50">
      <c r="A50" t="inlineStr">
        <is>
          <t>BINTANG SINAR BERKAH</t>
        </is>
      </c>
      <c r="B50" t="inlineStr">
        <is>
          <t>Kota Pangkal Pinang</t>
        </is>
      </c>
      <c r="C50" t="inlineStr">
        <is>
          <t>081368333843</t>
        </is>
      </c>
      <c r="D50" t="inlineStr">
        <is>
          <t>bintangberkah283@gmail.com</t>
        </is>
      </c>
      <c r="E50" t="inlineStr">
        <is>
          <t>https://lpjk.pu.go.id/search-badan-usaha-detail/YktrNFpPSjRrL1BnaDRwTzRKRG1vK21Ld3A3RmJqTmNrVjVYNVN0Q2R5RT0</t>
        </is>
      </c>
      <c r="F50" t="n">
        <v>2</v>
      </c>
      <c r="G50" t="inlineStr">
        <is>
          <t>BG001, BG006</t>
        </is>
      </c>
      <c r="H50" t="inlineStr">
        <is>
          <t>4 Mei 2023</t>
        </is>
      </c>
      <c r="I50" s="2" t="n">
        <v>46244</v>
      </c>
      <c r="J50" t="inlineStr">
        <is>
          <t>Disetujui</t>
        </is>
      </c>
      <c r="K50" t="n">
        <v>60</v>
      </c>
      <c r="L50" t="inlineStr">
        <is>
          <t>10 Agustus 2026</t>
        </is>
      </c>
      <c r="M50" t="inlineStr">
        <is>
          <t>Konstruksi Gedung Hunian, Konstruksi Gedung Pendidikan</t>
        </is>
      </c>
      <c r="N50" t="inlineStr">
        <is>
          <t>K</t>
        </is>
      </c>
      <c r="O50" t="inlineStr">
        <is>
          <t>20230810</t>
        </is>
      </c>
      <c r="P50" t="inlineStr">
        <is>
          <t>Kepulauan Bangka Belitung</t>
        </is>
      </c>
      <c r="Q50" t="inlineStr"/>
    </row>
    <row r="51">
      <c r="A51" t="inlineStr">
        <is>
          <t>BINTANG UTARA MANDIRI</t>
        </is>
      </c>
      <c r="B51" t="inlineStr">
        <is>
          <t>Kota Tarakan</t>
        </is>
      </c>
      <c r="C51" t="inlineStr">
        <is>
          <t>082250550899</t>
        </is>
      </c>
      <c r="D51" t="inlineStr">
        <is>
          <t>bintangutaramandiri007@gmail.com</t>
        </is>
      </c>
      <c r="E51" t="inlineStr">
        <is>
          <t>https://lpjk.pu.go.id/search-badan-usaha-detail/RFdvRXBsWTFoRWlqaHNLNzAwRXB2UT09</t>
        </is>
      </c>
      <c r="F51" t="n">
        <v>4</v>
      </c>
      <c r="G51" t="inlineStr">
        <is>
          <t>BG006, BG009</t>
        </is>
      </c>
      <c r="H51" t="inlineStr">
        <is>
          <t>4 September 2019</t>
        </is>
      </c>
      <c r="I51" s="2" t="n">
        <v>46244</v>
      </c>
      <c r="J51" t="inlineStr">
        <is>
          <t>Disetujui</t>
        </is>
      </c>
      <c r="K51" t="n">
        <v>60</v>
      </c>
      <c r="L51" t="inlineStr">
        <is>
          <t>10 Agustus 2026</t>
        </is>
      </c>
      <c r="M51" t="inlineStr">
        <is>
          <t>Konstruksi Gedung Lainnya, Konstruksi Gedung Pendidikan</t>
        </is>
      </c>
      <c r="N51" t="inlineStr">
        <is>
          <t>K</t>
        </is>
      </c>
      <c r="O51" t="inlineStr">
        <is>
          <t>20230804</t>
        </is>
      </c>
      <c r="P51" t="inlineStr">
        <is>
          <t>Kalimantan Utara</t>
        </is>
      </c>
      <c r="Q51" t="inlineStr"/>
    </row>
    <row r="52">
      <c r="A52" t="inlineStr">
        <is>
          <t>BORNEO MITRA KONSTRUKSI</t>
        </is>
      </c>
      <c r="B52" t="inlineStr">
        <is>
          <t>Kota Pontianak</t>
        </is>
      </c>
      <c r="C52" t="inlineStr">
        <is>
          <t>082214333555</t>
        </is>
      </c>
      <c r="D52" t="inlineStr">
        <is>
          <t>bmbersama88@gmail.com</t>
        </is>
      </c>
      <c r="E52" t="inlineStr">
        <is>
          <t>https://lpjk.pu.go.id/search-badan-usaha-detail/aW5ocTB4TjI2ODJzOXUzeTZnMUMxQT09</t>
        </is>
      </c>
      <c r="F52" t="n">
        <v>1</v>
      </c>
      <c r="G52" t="inlineStr">
        <is>
          <t>BG009</t>
        </is>
      </c>
      <c r="H52" t="inlineStr">
        <is>
          <t>28 Juni 2014</t>
        </is>
      </c>
      <c r="I52" s="2" t="n">
        <v>46244</v>
      </c>
      <c r="J52" t="inlineStr">
        <is>
          <t>Disetujui</t>
        </is>
      </c>
      <c r="K52" t="n">
        <v>60</v>
      </c>
      <c r="L52" t="inlineStr">
        <is>
          <t>10 Agustus 2026</t>
        </is>
      </c>
      <c r="M52" t="inlineStr">
        <is>
          <t>Konstruksi Gedung Lainnya</t>
        </is>
      </c>
      <c r="N52" t="inlineStr">
        <is>
          <t>K</t>
        </is>
      </c>
      <c r="O52" t="inlineStr">
        <is>
          <t>20230706</t>
        </is>
      </c>
      <c r="P52" t="inlineStr">
        <is>
          <t>Kalimantan Barat</t>
        </is>
      </c>
      <c r="Q52" t="inlineStr"/>
    </row>
    <row r="53">
      <c r="A53" t="inlineStr">
        <is>
          <t>BUANA ENGINEERING CONSULTANT</t>
        </is>
      </c>
      <c r="B53" t="inlineStr">
        <is>
          <t>Kota Samarinda</t>
        </is>
      </c>
      <c r="C53" t="inlineStr">
        <is>
          <t>0821 1894 6354</t>
        </is>
      </c>
      <c r="D53" t="inlineStr">
        <is>
          <t>mkarnegie94@gmail.com</t>
        </is>
      </c>
      <c r="E53" t="inlineStr">
        <is>
          <t>https://lpjk.pu.go.id/search-badan-usaha-detail/b0tBN2tXWEFBWXBMdDdkUG5qdVpqUT09</t>
        </is>
      </c>
      <c r="F53" t="n">
        <v>4</v>
      </c>
      <c r="G53" t="inlineStr">
        <is>
          <t>RK001, RK002, RK003, RK005</t>
        </is>
      </c>
      <c r="H53" t="inlineStr">
        <is>
          <t>3 Mei 2002</t>
        </is>
      </c>
      <c r="I53" s="2" t="n">
        <v>46244</v>
      </c>
      <c r="J53" t="inlineStr">
        <is>
          <t>Permohonan Perpanjangan</t>
        </is>
      </c>
      <c r="K53" t="n">
        <v>60</v>
      </c>
      <c r="L53" t="inlineStr">
        <is>
          <t>10 Agustus 2026</t>
        </is>
      </c>
      <c r="M53" t="inlineStr">
        <is>
          <t>Jasa Rekayasa Konstruksi Bangunan Gedung Hunian dan Non Hunian, Jasa Rekayasa Lainnya, Jasa Rekayasa Pekerjaan Teknik Sipil Sumber Daya Air, Jasa Rekayasa Pekerjaan Teknik Sipil Transportasi</t>
        </is>
      </c>
      <c r="N53" t="inlineStr">
        <is>
          <t>K</t>
        </is>
      </c>
      <c r="O53" t="inlineStr">
        <is>
          <t>20230803</t>
        </is>
      </c>
      <c r="P53" t="inlineStr">
        <is>
          <t>Kalimantan Timur</t>
        </is>
      </c>
      <c r="Q53" t="inlineStr"/>
    </row>
    <row r="54">
      <c r="A54" t="inlineStr">
        <is>
          <t>BUNGA MASAGENA'E</t>
        </is>
      </c>
      <c r="B54" t="inlineStr">
        <is>
          <t>Kota Tarakan</t>
        </is>
      </c>
      <c r="C54" t="inlineStr">
        <is>
          <t>081369847655</t>
        </is>
      </c>
      <c r="D54" t="inlineStr">
        <is>
          <t>kamilkamill308@gmail.com</t>
        </is>
      </c>
      <c r="E54" t="inlineStr">
        <is>
          <t>https://lpjk.pu.go.id/search-badan-usaha-detail/ZFZraEh4eGtYVXM0SWdPNnlCNmFQUT09</t>
        </is>
      </c>
      <c r="F54" t="n">
        <v>1</v>
      </c>
      <c r="G54" t="inlineStr">
        <is>
          <t>BS004</t>
        </is>
      </c>
      <c r="H54" t="inlineStr">
        <is>
          <t>13 Januari 2015</t>
        </is>
      </c>
      <c r="I54" s="2" t="n">
        <v>46244</v>
      </c>
      <c r="J54" t="inlineStr">
        <is>
          <t>Disetujui</t>
        </is>
      </c>
      <c r="K54" t="n">
        <v>60</v>
      </c>
      <c r="L54" t="inlineStr">
        <is>
          <t>10 Agustus 2026</t>
        </is>
      </c>
      <c r="M54" t="inlineStr">
        <is>
          <t>Konstruksi Jaringan Irigasi dan Drainase</t>
        </is>
      </c>
      <c r="N54" t="inlineStr">
        <is>
          <t>K</t>
        </is>
      </c>
      <c r="O54" t="inlineStr">
        <is>
          <t>20230731</t>
        </is>
      </c>
      <c r="P54" t="inlineStr">
        <is>
          <t>Kalimantan Utara</t>
        </is>
      </c>
      <c r="Q54" t="inlineStr"/>
    </row>
    <row r="55">
      <c r="A55" t="inlineStr">
        <is>
          <t>CAESAR SAPTA PRATAMA</t>
        </is>
      </c>
      <c r="B55" t="inlineStr">
        <is>
          <t>Kota Makassar</t>
        </is>
      </c>
      <c r="C55" t="inlineStr">
        <is>
          <t>082343377573</t>
        </is>
      </c>
      <c r="D55" t="inlineStr">
        <is>
          <t>Csp.pratama@gmail.com</t>
        </is>
      </c>
      <c r="E55" t="inlineStr">
        <is>
          <t>https://lpjk.pu.go.id/search-badan-usaha-detail/d0tOR2tzdHhYOS9nUG0wMmhzaWNjUT09</t>
        </is>
      </c>
      <c r="F55" t="n">
        <v>4</v>
      </c>
      <c r="G55" t="inlineStr">
        <is>
          <t>BG002, BG006, BG009, BS004</t>
        </is>
      </c>
      <c r="H55" t="inlineStr">
        <is>
          <t>18 Oktober 2019</t>
        </is>
      </c>
      <c r="I55" s="2" t="n">
        <v>46244</v>
      </c>
      <c r="J55" t="inlineStr">
        <is>
          <t>Disetujui</t>
        </is>
      </c>
      <c r="K55" t="n">
        <v>60</v>
      </c>
      <c r="L55" t="inlineStr">
        <is>
          <t>10 Agustus 2026</t>
        </is>
      </c>
      <c r="M55" t="inlineStr">
        <is>
          <t>Konstruksi Gedung Lainnya, Konstruksi Gedung Pendidikan, Konstruksi Gedung Perkantoran, Konstruksi Jaringan Irigasi dan Drainase</t>
        </is>
      </c>
      <c r="N55" t="inlineStr">
        <is>
          <t>K</t>
        </is>
      </c>
      <c r="O55" t="inlineStr">
        <is>
          <t>20230808, 20230810</t>
        </is>
      </c>
      <c r="P55" t="inlineStr">
        <is>
          <t>Sulawesi Selatan</t>
        </is>
      </c>
      <c r="Q55" t="inlineStr"/>
    </row>
    <row r="56">
      <c r="A56" t="inlineStr">
        <is>
          <t>CAHAYA TEKNIK</t>
        </is>
      </c>
      <c r="B56" t="inlineStr">
        <is>
          <t>Kab. Wonogiri</t>
        </is>
      </c>
      <c r="C56" t="inlineStr">
        <is>
          <t>081393731666</t>
        </is>
      </c>
      <c r="D56" t="inlineStr">
        <is>
          <t>cv_cahayateknik@ymail.com</t>
        </is>
      </c>
      <c r="E56" t="inlineStr">
        <is>
          <t>https://lpjk.pu.go.id/search-badan-usaha-detail/cUJ0ZzRIbnFHZlhCKzJvc0VkMTdTQT09</t>
        </is>
      </c>
      <c r="F56" t="n">
        <v>2</v>
      </c>
      <c r="G56" t="inlineStr">
        <is>
          <t>BG002, BG008</t>
        </is>
      </c>
      <c r="H56" t="inlineStr">
        <is>
          <t>26 Februari 2004</t>
        </is>
      </c>
      <c r="I56" s="2" t="n">
        <v>46244</v>
      </c>
      <c r="J56" t="inlineStr">
        <is>
          <t>Disetujui</t>
        </is>
      </c>
      <c r="K56" t="n">
        <v>60</v>
      </c>
      <c r="L56" t="inlineStr">
        <is>
          <t>10 Agustus 2026</t>
        </is>
      </c>
      <c r="M56" t="inlineStr">
        <is>
          <t>Konstruksi Gedung Perkantoran, Konstruksi Gedung Tempat Hiburan dan Olahraga</t>
        </is>
      </c>
      <c r="N56" t="inlineStr">
        <is>
          <t>K</t>
        </is>
      </c>
      <c r="O56" t="inlineStr">
        <is>
          <t>20230808, 20230809</t>
        </is>
      </c>
      <c r="P56" t="inlineStr">
        <is>
          <t>Jawa Tengah</t>
        </is>
      </c>
      <c r="Q56" t="inlineStr"/>
    </row>
    <row r="57">
      <c r="A57" t="inlineStr">
        <is>
          <t>CAHAYA TIMUR</t>
        </is>
      </c>
      <c r="B57" t="inlineStr">
        <is>
          <t>Kota Tomohon</t>
        </is>
      </c>
      <c r="C57" t="inlineStr">
        <is>
          <t>085145454888</t>
        </is>
      </c>
      <c r="D57" t="inlineStr">
        <is>
          <t>cahayatimurtomohon@gmail.com</t>
        </is>
      </c>
      <c r="E57" t="inlineStr">
        <is>
          <t>https://lpjk.pu.go.id/search-badan-usaha-detail/NldocG80Y3BCdS9VMS9FdkRxTVpYZz09</t>
        </is>
      </c>
      <c r="F57" t="n">
        <v>3</v>
      </c>
      <c r="G57" t="inlineStr">
        <is>
          <t>BG005, BG006, BG009</t>
        </is>
      </c>
      <c r="H57" t="inlineStr">
        <is>
          <t>22 Januari 2014</t>
        </is>
      </c>
      <c r="I57" s="2" t="n">
        <v>46244</v>
      </c>
      <c r="J57" t="inlineStr">
        <is>
          <t>Disetujui</t>
        </is>
      </c>
      <c r="K57" t="n">
        <v>60</v>
      </c>
      <c r="L57" t="inlineStr">
        <is>
          <t>10 Agustus 2026</t>
        </is>
      </c>
      <c r="M57" t="inlineStr">
        <is>
          <t>Konstruksi Gedung Kesehatan, Konstruksi Gedung Lainnya, Konstruksi Gedung Pendidikan</t>
        </is>
      </c>
      <c r="N57" t="inlineStr">
        <is>
          <t>K</t>
        </is>
      </c>
      <c r="O57" t="inlineStr">
        <is>
          <t>20230808</t>
        </is>
      </c>
      <c r="P57" t="inlineStr">
        <is>
          <t>Sulawesi Utara</t>
        </is>
      </c>
      <c r="Q57" t="inlineStr"/>
    </row>
    <row r="58">
      <c r="A58" t="inlineStr">
        <is>
          <t>CAKRAWALA BANUA</t>
        </is>
      </c>
      <c r="B58" t="inlineStr">
        <is>
          <t>Kab. Tapin</t>
        </is>
      </c>
      <c r="C58" t="inlineStr">
        <is>
          <t>081348698098</t>
        </is>
      </c>
      <c r="D58" t="inlineStr">
        <is>
          <t>CVCAKRAWALABANUA@GMAIL.COM</t>
        </is>
      </c>
      <c r="E58" t="inlineStr">
        <is>
          <t>https://lpjk.pu.go.id/search-badan-usaha-detail/VkRNRXA3Sk00aGlsNE43YnJUTWpxQT09</t>
        </is>
      </c>
      <c r="F58" t="n">
        <v>2</v>
      </c>
      <c r="G58" t="inlineStr">
        <is>
          <t>BS001, BS010</t>
        </is>
      </c>
      <c r="H58" t="inlineStr">
        <is>
          <t>22 Juni 2023</t>
        </is>
      </c>
      <c r="I58" s="2" t="n">
        <v>46244</v>
      </c>
      <c r="J58" t="inlineStr">
        <is>
          <t>Disetujui</t>
        </is>
      </c>
      <c r="K58" t="n">
        <v>60</v>
      </c>
      <c r="L58" t="inlineStr">
        <is>
          <t>10 Agustus 2026</t>
        </is>
      </c>
      <c r="M58" t="inlineStr">
        <is>
          <t>Konstruksi Bangunan Prasarana Sumber Daya Air, Konstruksi Bangunan Sipil Jalan</t>
        </is>
      </c>
      <c r="N58" t="inlineStr">
        <is>
          <t>K</t>
        </is>
      </c>
      <c r="O58" t="inlineStr">
        <is>
          <t>20230808</t>
        </is>
      </c>
      <c r="P58" t="inlineStr">
        <is>
          <t>Kalimantan Selatan</t>
        </is>
      </c>
      <c r="Q58" t="inlineStr"/>
    </row>
    <row r="59">
      <c r="A59" t="inlineStr">
        <is>
          <t>CIPTA SARANA PRATAMA</t>
        </is>
      </c>
      <c r="B59" t="inlineStr">
        <is>
          <t>Kab. Kapuas Hulu</t>
        </is>
      </c>
      <c r="C59" t="inlineStr">
        <is>
          <t>085752955345</t>
        </is>
      </c>
      <c r="D59" t="inlineStr">
        <is>
          <t>ciptasaranapratama840@gmail.com</t>
        </is>
      </c>
      <c r="E59" t="inlineStr">
        <is>
          <t>https://lpjk.pu.go.id/search-badan-usaha-detail/NmlqdCtHTVNvK29GOWtpdUQ5V2M0UT09</t>
        </is>
      </c>
      <c r="F59" t="n">
        <v>3</v>
      </c>
      <c r="G59" t="inlineStr">
        <is>
          <t>BG005, BG006, BG009</t>
        </is>
      </c>
      <c r="H59" t="inlineStr">
        <is>
          <t>4 Januari 2010</t>
        </is>
      </c>
      <c r="I59" s="2" t="n">
        <v>46244</v>
      </c>
      <c r="J59" t="inlineStr">
        <is>
          <t>Disetujui</t>
        </is>
      </c>
      <c r="K59" t="n">
        <v>60</v>
      </c>
      <c r="L59" t="inlineStr">
        <is>
          <t>10 Agustus 2026</t>
        </is>
      </c>
      <c r="M59" t="inlineStr">
        <is>
          <t>Konstruksi Gedung Kesehatan, Konstruksi Gedung Lainnya, Konstruksi Gedung Pendidikan</t>
        </is>
      </c>
      <c r="N59" t="inlineStr">
        <is>
          <t>K</t>
        </is>
      </c>
      <c r="O59" t="inlineStr">
        <is>
          <t>20230811</t>
        </is>
      </c>
      <c r="P59" t="inlineStr">
        <is>
          <t>Kalimantan Barat</t>
        </is>
      </c>
      <c r="Q59" t="inlineStr"/>
    </row>
    <row r="60">
      <c r="A60" t="inlineStr">
        <is>
          <t>CIPTA SEJAHTERA BUANA</t>
        </is>
      </c>
      <c r="B60" t="inlineStr">
        <is>
          <t>Kota Surabaya</t>
        </is>
      </c>
      <c r="C60" t="inlineStr">
        <is>
          <t>08113472714</t>
        </is>
      </c>
      <c r="D60" t="inlineStr">
        <is>
          <t>csb.construction21@gmail.com</t>
        </is>
      </c>
      <c r="E60" t="inlineStr">
        <is>
          <t>https://lpjk.pu.go.id/search-badan-usaha-detail/N0tmVnJvZ213TUxqdkJXcndjdndLUT09</t>
        </is>
      </c>
      <c r="F60" t="n">
        <v>1</v>
      </c>
      <c r="G60" t="inlineStr">
        <is>
          <t>BG003</t>
        </is>
      </c>
      <c r="H60" t="inlineStr">
        <is>
          <t>5 Juli 2023</t>
        </is>
      </c>
      <c r="I60" s="2" t="n">
        <v>46244</v>
      </c>
      <c r="J60" t="inlineStr">
        <is>
          <t>Disetujui</t>
        </is>
      </c>
      <c r="K60" t="n">
        <v>60</v>
      </c>
      <c r="L60" t="inlineStr">
        <is>
          <t>10 Agustus 2026</t>
        </is>
      </c>
      <c r="M60" t="inlineStr">
        <is>
          <t>Konstruksi Gedung Industri</t>
        </is>
      </c>
      <c r="N60" t="inlineStr">
        <is>
          <t>K</t>
        </is>
      </c>
      <c r="O60" t="inlineStr">
        <is>
          <t>20230808</t>
        </is>
      </c>
      <c r="P60" t="inlineStr">
        <is>
          <t>Jawa Timur</t>
        </is>
      </c>
      <c r="Q60" t="inlineStr"/>
    </row>
    <row r="61">
      <c r="A61" t="inlineStr">
        <is>
          <t>CITRA GAMA SAKTI</t>
        </is>
      </c>
      <c r="B61" t="inlineStr">
        <is>
          <t>Kab. Sleman</t>
        </is>
      </c>
      <c r="C61" t="inlineStr">
        <is>
          <t>02742838954</t>
        </is>
      </c>
      <c r="D61" t="inlineStr">
        <is>
          <t>citra_gama_sakti@yahoo.com</t>
        </is>
      </c>
      <c r="E61" t="inlineStr">
        <is>
          <t>https://lpjk.pu.go.id/search-badan-usaha-detail/SW1ZeTdqV1YrU2V3dUZZMlZ4aWg2UT09</t>
        </is>
      </c>
      <c r="F61" t="n">
        <v>2</v>
      </c>
      <c r="G61" t="inlineStr">
        <is>
          <t>AL003, AL004</t>
        </is>
      </c>
      <c r="H61" t="inlineStr">
        <is>
          <t>21 Maret 2005</t>
        </is>
      </c>
      <c r="I61" s="2" t="n">
        <v>46244</v>
      </c>
      <c r="J61" t="inlineStr">
        <is>
          <t>Disetujui</t>
        </is>
      </c>
      <c r="K61" t="n">
        <v>60</v>
      </c>
      <c r="L61" t="inlineStr">
        <is>
          <t>10 Agustus 2026</t>
        </is>
      </c>
      <c r="M61" t="inlineStr">
        <is>
          <t>Jasa Pengembangan Lingkungan Bangunan dan Lanskap, Jasa Pengembangan Perkotaan</t>
        </is>
      </c>
      <c r="N61" t="inlineStr">
        <is>
          <t>K</t>
        </is>
      </c>
      <c r="O61" t="inlineStr">
        <is>
          <t>20230801, 20230802</t>
        </is>
      </c>
      <c r="P61" t="inlineStr">
        <is>
          <t>DI Yogyakarta</t>
        </is>
      </c>
      <c r="Q61" t="inlineStr"/>
    </row>
    <row r="62">
      <c r="A62" t="inlineStr">
        <is>
          <t>CITRA PERSADA ABADI</t>
        </is>
      </c>
      <c r="B62" t="inlineStr">
        <is>
          <t>Kab. Sidoarjo</t>
        </is>
      </c>
      <c r="C62" t="inlineStr">
        <is>
          <t>082233978960</t>
        </is>
      </c>
      <c r="D62" t="inlineStr">
        <is>
          <t>cvcitrapersadaabadi@gmail.com</t>
        </is>
      </c>
      <c r="E62" t="inlineStr">
        <is>
          <t>https://lpjk.pu.go.id/search-badan-usaha-detail/R1JjcFhvMXFFMVo2ejh1b0Q3MUJ3UT09</t>
        </is>
      </c>
      <c r="F62" t="n">
        <v>1</v>
      </c>
      <c r="G62" t="inlineStr">
        <is>
          <t>BS004</t>
        </is>
      </c>
      <c r="H62" t="inlineStr">
        <is>
          <t>8 Januari 2015</t>
        </is>
      </c>
      <c r="I62" s="2" t="n">
        <v>46244</v>
      </c>
      <c r="J62" t="inlineStr">
        <is>
          <t>Pencabutan</t>
        </is>
      </c>
      <c r="K62" t="n">
        <v>60</v>
      </c>
      <c r="L62" t="inlineStr">
        <is>
          <t>10 Agustus 2026</t>
        </is>
      </c>
      <c r="M62" t="inlineStr">
        <is>
          <t>Konstruksi Jaringan Irigasi dan Drainase</t>
        </is>
      </c>
      <c r="N62" t="inlineStr">
        <is>
          <t>K</t>
        </is>
      </c>
      <c r="O62" t="inlineStr">
        <is>
          <t>20230810</t>
        </is>
      </c>
      <c r="P62" t="inlineStr">
        <is>
          <t>Jawa Timur</t>
        </is>
      </c>
      <c r="Q62" t="inlineStr"/>
    </row>
    <row r="63">
      <c r="A63" t="inlineStr">
        <is>
          <t>CV. ATTAR JAYA CONSULTANT</t>
        </is>
      </c>
      <c r="B63" t="inlineStr">
        <is>
          <t>Kota Surabaya</t>
        </is>
      </c>
      <c r="C63" t="inlineStr">
        <is>
          <t>08113108891</t>
        </is>
      </c>
      <c r="D63" t="inlineStr">
        <is>
          <t>attarjayaconsultant@gmail.com</t>
        </is>
      </c>
      <c r="E63" t="inlineStr">
        <is>
          <t>https://lpjk.pu.go.id/search-badan-usaha-detail/c1MxM0hud29LL09ub0xMczVnNTQzdz09</t>
        </is>
      </c>
      <c r="F63" t="n">
        <v>2</v>
      </c>
      <c r="G63" t="inlineStr">
        <is>
          <t>RK002</t>
        </is>
      </c>
      <c r="H63" t="inlineStr">
        <is>
          <t>27 Januari 2020</t>
        </is>
      </c>
      <c r="I63" s="2" t="n">
        <v>46244</v>
      </c>
      <c r="J63" t="inlineStr">
        <is>
          <t>Pencabutan</t>
        </is>
      </c>
      <c r="K63" t="n">
        <v>60</v>
      </c>
      <c r="L63" t="inlineStr">
        <is>
          <t>10 Agustus 2026</t>
        </is>
      </c>
      <c r="M63" t="inlineStr">
        <is>
          <t>Jasa Rekayasa Pekerjaan Teknik Sipil Sumber Daya Air</t>
        </is>
      </c>
      <c r="N63" t="inlineStr">
        <is>
          <t>K</t>
        </is>
      </c>
      <c r="O63" t="inlineStr">
        <is>
          <t>20230802</t>
        </is>
      </c>
      <c r="P63" t="inlineStr">
        <is>
          <t>Jawa Timur</t>
        </is>
      </c>
      <c r="Q63" t="inlineStr"/>
    </row>
    <row r="64">
      <c r="A64" t="inlineStr">
        <is>
          <t>CV. LEMLIT GLOBAL RISET</t>
        </is>
      </c>
      <c r="B64" t="inlineStr">
        <is>
          <t>Kab. Tegal</t>
        </is>
      </c>
      <c r="C64" t="inlineStr">
        <is>
          <t>081548013333</t>
        </is>
      </c>
      <c r="D64" t="inlineStr">
        <is>
          <t>cvlemlitglobalriset@gmail.com</t>
        </is>
      </c>
      <c r="E64" t="inlineStr">
        <is>
          <t>https://lpjk.pu.go.id/search-badan-usaha-detail/NEVNK0NzOHIyM2ExVGEyTDVkSUFzUT09</t>
        </is>
      </c>
      <c r="F64" t="n">
        <v>3</v>
      </c>
      <c r="G64" t="inlineStr">
        <is>
          <t>RK001, RK002, RK003</t>
        </is>
      </c>
      <c r="H64" t="inlineStr">
        <is>
          <t>4 Mei 2004</t>
        </is>
      </c>
      <c r="I64" s="2" t="n">
        <v>46244</v>
      </c>
      <c r="J64" t="inlineStr">
        <is>
          <t>Disetujui, Pencabutan</t>
        </is>
      </c>
      <c r="K64" t="n">
        <v>60</v>
      </c>
      <c r="L64" t="inlineStr">
        <is>
          <t>10 Agustus 2026</t>
        </is>
      </c>
      <c r="M64" t="inlineStr">
        <is>
          <t>Jasa Rekayasa Konstruksi Bangunan Gedung Hunian dan Non Hunian, Jasa Rekayasa Pekerjaan Teknik Sipil Sumber Daya Air, Jasa Rekayasa Pekerjaan Teknik Sipil Transportasi</t>
        </is>
      </c>
      <c r="N64" t="inlineStr">
        <is>
          <t>K</t>
        </is>
      </c>
      <c r="O64" t="inlineStr">
        <is>
          <t>20230801</t>
        </is>
      </c>
      <c r="P64" t="inlineStr">
        <is>
          <t>Jawa Tengah</t>
        </is>
      </c>
      <c r="Q64" t="inlineStr"/>
    </row>
    <row r="65">
      <c r="A65" t="inlineStr">
        <is>
          <t>DANAMARTHA SEJAHTERA UTAMA</t>
        </is>
      </c>
      <c r="B65" t="inlineStr">
        <is>
          <t>Kota Bandung</t>
        </is>
      </c>
      <c r="C65" t="inlineStr">
        <is>
          <t>0222009394</t>
        </is>
      </c>
      <c r="D65" t="inlineStr">
        <is>
          <t>danamarthasejahterautama@gmail.com</t>
        </is>
      </c>
      <c r="E65" t="inlineStr">
        <is>
          <t>https://lpjk.pu.go.id/search-badan-usaha-detail/a0cvdXdXQ05kN2pBc2xvUjJGVDJEdz09</t>
        </is>
      </c>
      <c r="F65" t="n">
        <v>2</v>
      </c>
      <c r="G65" t="inlineStr">
        <is>
          <t>BG001</t>
        </is>
      </c>
      <c r="H65" t="inlineStr">
        <is>
          <t>28 Juni 2022</t>
        </is>
      </c>
      <c r="I65" s="2" t="n">
        <v>46244</v>
      </c>
      <c r="J65" t="inlineStr">
        <is>
          <t>Disetujui</t>
        </is>
      </c>
      <c r="K65" t="n">
        <v>60</v>
      </c>
      <c r="L65" t="inlineStr">
        <is>
          <t>10 Agustus 2026</t>
        </is>
      </c>
      <c r="M65" t="inlineStr">
        <is>
          <t>Konstruksi Gedung Hunian</t>
        </is>
      </c>
      <c r="N65" t="inlineStr">
        <is>
          <t>K</t>
        </is>
      </c>
      <c r="O65" t="inlineStr">
        <is>
          <t>20230724</t>
        </is>
      </c>
      <c r="P65" t="inlineStr">
        <is>
          <t>Jawa Barat</t>
        </is>
      </c>
      <c r="Q65" t="inlineStr"/>
    </row>
    <row r="66">
      <c r="A66" t="inlineStr">
        <is>
          <t>DANGIANG MEKAR RAHAYU</t>
        </is>
      </c>
      <c r="B66" t="inlineStr">
        <is>
          <t>Kab. Sumedang</t>
        </is>
      </c>
      <c r="C66" t="inlineStr">
        <is>
          <t>082295810655</t>
        </is>
      </c>
      <c r="D66" t="inlineStr">
        <is>
          <t>dangiangmekarrahayu@gmail.com</t>
        </is>
      </c>
      <c r="E66" t="inlineStr">
        <is>
          <t>https://lpjk.pu.go.id/search-badan-usaha-detail/VHlyTnlmWTh6NE9xcERmWm5paS9tUT09</t>
        </is>
      </c>
      <c r="F66" t="n">
        <v>1</v>
      </c>
      <c r="G66" t="inlineStr">
        <is>
          <t>BG006</t>
        </is>
      </c>
      <c r="H66" t="inlineStr">
        <is>
          <t>25 Mei 2022</t>
        </is>
      </c>
      <c r="I66" s="2" t="n">
        <v>46244</v>
      </c>
      <c r="J66" t="inlineStr">
        <is>
          <t>Disetujui</t>
        </is>
      </c>
      <c r="K66" t="n">
        <v>60</v>
      </c>
      <c r="L66" t="inlineStr">
        <is>
          <t>10 Agustus 2026</t>
        </is>
      </c>
      <c r="M66" t="inlineStr">
        <is>
          <t>Konstruksi Gedung Pendidikan</t>
        </is>
      </c>
      <c r="N66" t="inlineStr">
        <is>
          <t>K</t>
        </is>
      </c>
      <c r="O66" t="inlineStr">
        <is>
          <t>20230810</t>
        </is>
      </c>
      <c r="P66" t="inlineStr">
        <is>
          <t>Jawa Barat</t>
        </is>
      </c>
      <c r="Q66" t="inlineStr"/>
    </row>
    <row r="67">
      <c r="A67" t="inlineStr">
        <is>
          <t>DARA NARAYA</t>
        </is>
      </c>
      <c r="B67" t="inlineStr">
        <is>
          <t>Kab. Nagan Raya</t>
        </is>
      </c>
      <c r="C67" t="inlineStr">
        <is>
          <t>082163630006</t>
        </is>
      </c>
      <c r="D67" t="inlineStr">
        <is>
          <t>cvnaraya09@gmail.com</t>
        </is>
      </c>
      <c r="E67" t="inlineStr">
        <is>
          <t>https://lpjk.pu.go.id/search-badan-usaha-detail/anFjK0ZjL2dGaDg5Q21lamdldC9Cdz09</t>
        </is>
      </c>
      <c r="F67" t="n">
        <v>1</v>
      </c>
      <c r="G67" t="inlineStr">
        <is>
          <t>BS001</t>
        </is>
      </c>
      <c r="H67" t="inlineStr">
        <is>
          <t>21 Juni 2023</t>
        </is>
      </c>
      <c r="I67" s="2" t="n">
        <v>46244</v>
      </c>
      <c r="J67" t="inlineStr">
        <is>
          <t>Disetujui</t>
        </is>
      </c>
      <c r="K67" t="n">
        <v>60</v>
      </c>
      <c r="L67" t="inlineStr">
        <is>
          <t>10 Agustus 2026</t>
        </is>
      </c>
      <c r="M67" t="inlineStr">
        <is>
          <t>Konstruksi Bangunan Sipil Jalan</t>
        </is>
      </c>
      <c r="N67" t="inlineStr">
        <is>
          <t>K</t>
        </is>
      </c>
      <c r="O67" t="inlineStr">
        <is>
          <t>20230808</t>
        </is>
      </c>
      <c r="P67" t="inlineStr">
        <is>
          <t>Aceh</t>
        </is>
      </c>
      <c r="Q67" t="inlineStr"/>
    </row>
    <row r="68">
      <c r="A68" t="inlineStr">
        <is>
          <t>DIAN PERSADA</t>
        </is>
      </c>
      <c r="B68" t="inlineStr">
        <is>
          <t>Kota Banda Aceh</t>
        </is>
      </c>
      <c r="C68" t="inlineStr">
        <is>
          <t>081360061819</t>
        </is>
      </c>
      <c r="D68" t="inlineStr">
        <is>
          <t>dianpersada.abi@gmail.com</t>
        </is>
      </c>
      <c r="E68" t="inlineStr">
        <is>
          <t>https://lpjk.pu.go.id/search-badan-usaha-detail/MTFuL1R3bFhSb3R3WW9QcGdXN0hZdz09</t>
        </is>
      </c>
      <c r="F68" t="n">
        <v>3</v>
      </c>
      <c r="G68" t="inlineStr">
        <is>
          <t>BG005, BG006, BG009</t>
        </is>
      </c>
      <c r="H68" t="inlineStr">
        <is>
          <t>9 Oktober 1998</t>
        </is>
      </c>
      <c r="I68" s="2" t="n">
        <v>46244</v>
      </c>
      <c r="J68" t="inlineStr">
        <is>
          <t>Disetujui</t>
        </is>
      </c>
      <c r="K68" t="n">
        <v>60</v>
      </c>
      <c r="L68" t="inlineStr">
        <is>
          <t>10 Agustus 2026</t>
        </is>
      </c>
      <c r="M68" t="inlineStr">
        <is>
          <t>Konstruksi Gedung Kesehatan, Konstruksi Gedung Lainnya, Konstruksi Gedung Pendidikan</t>
        </is>
      </c>
      <c r="N68" t="inlineStr">
        <is>
          <t>K</t>
        </is>
      </c>
      <c r="O68" t="inlineStr">
        <is>
          <t>20220209, 20230811</t>
        </is>
      </c>
      <c r="P68" t="inlineStr">
        <is>
          <t>Aceh</t>
        </is>
      </c>
      <c r="Q68" t="inlineStr"/>
    </row>
    <row r="69">
      <c r="A69" t="inlineStr">
        <is>
          <t>DIMENSI UTAMA CONSULTANT</t>
        </is>
      </c>
      <c r="B69" t="inlineStr">
        <is>
          <t>Kab. Merauke</t>
        </is>
      </c>
      <c r="C69" t="inlineStr">
        <is>
          <t>081240110112</t>
        </is>
      </c>
      <c r="D69" t="inlineStr">
        <is>
          <t>dimensiutama.consultant@gmail.com</t>
        </is>
      </c>
      <c r="E69" t="inlineStr">
        <is>
          <t>https://lpjk.pu.go.id/search-badan-usaha-detail/bzJFMncwZlJQVjUrN1FrWUJ4UHB6dz09</t>
        </is>
      </c>
      <c r="F69" t="n">
        <v>1</v>
      </c>
      <c r="G69" t="inlineStr">
        <is>
          <t>RK003</t>
        </is>
      </c>
      <c r="H69" t="inlineStr">
        <is>
          <t>25 Januari 2016</t>
        </is>
      </c>
      <c r="I69" s="2" t="n">
        <v>46244</v>
      </c>
      <c r="J69" t="inlineStr">
        <is>
          <t>Disetujui</t>
        </is>
      </c>
      <c r="K69" t="n">
        <v>60</v>
      </c>
      <c r="L69" t="inlineStr">
        <is>
          <t>10 Agustus 2026</t>
        </is>
      </c>
      <c r="M69" t="inlineStr">
        <is>
          <t>Jasa Rekayasa Pekerjaan Teknik Sipil Transportasi</t>
        </is>
      </c>
      <c r="N69" t="inlineStr">
        <is>
          <t>K</t>
        </is>
      </c>
      <c r="O69" t="inlineStr">
        <is>
          <t>20230802</t>
        </is>
      </c>
      <c r="P69" t="inlineStr">
        <is>
          <t>Papua Selatan</t>
        </is>
      </c>
      <c r="Q69" t="inlineStr"/>
    </row>
    <row r="70">
      <c r="A70" t="inlineStr">
        <is>
          <t>DIO IWITAMA</t>
        </is>
      </c>
      <c r="B70" t="inlineStr">
        <is>
          <t>Kota Adm. Jakarta Barat</t>
        </is>
      </c>
      <c r="C70" t="inlineStr">
        <is>
          <t>0215735480</t>
        </is>
      </c>
      <c r="D70" t="inlineStr">
        <is>
          <t>dioiwitama@cbn.net.id</t>
        </is>
      </c>
      <c r="E70" t="inlineStr">
        <is>
          <t>https://lpjk.pu.go.id/search-badan-usaha-detail/SHcyL1ZTdjFKY2VHZytCZEExOW40UT09</t>
        </is>
      </c>
      <c r="F70" t="n">
        <v>2</v>
      </c>
      <c r="G70" t="inlineStr">
        <is>
          <t>BG002, BG003</t>
        </is>
      </c>
      <c r="H70" t="inlineStr">
        <is>
          <t>13 Maret 1991</t>
        </is>
      </c>
      <c r="I70" s="2" t="n">
        <v>46244</v>
      </c>
      <c r="J70" t="inlineStr">
        <is>
          <t>Disetujui</t>
        </is>
      </c>
      <c r="K70" t="n">
        <v>60</v>
      </c>
      <c r="L70" t="inlineStr">
        <is>
          <t>10 Agustus 2026</t>
        </is>
      </c>
      <c r="M70" t="inlineStr">
        <is>
          <t>Konstruksi Gedung Industri, Konstruksi Gedung Perkantoran</t>
        </is>
      </c>
      <c r="N70" t="inlineStr">
        <is>
          <t>K</t>
        </is>
      </c>
      <c r="O70" t="inlineStr">
        <is>
          <t>20230712</t>
        </is>
      </c>
      <c r="P70" t="inlineStr">
        <is>
          <t>DKI Jakarta</t>
        </is>
      </c>
      <c r="Q70" t="inlineStr"/>
    </row>
    <row r="71">
      <c r="A71" t="inlineStr">
        <is>
          <t>DUA CAWAN MADU</t>
        </is>
      </c>
      <c r="B71" t="inlineStr">
        <is>
          <t>Kab. Muara Enim</t>
        </is>
      </c>
      <c r="C71" t="inlineStr">
        <is>
          <t>085283589804</t>
        </is>
      </c>
      <c r="D71" t="inlineStr">
        <is>
          <t>duacawanmadu.cv@gmail.com</t>
        </is>
      </c>
      <c r="E71" t="inlineStr">
        <is>
          <t>https://lpjk.pu.go.id/search-badan-usaha-detail/UzVlSDRIMXNndnprMUNHZ2g0VzMrZz09</t>
        </is>
      </c>
      <c r="F71" t="n">
        <v>2</v>
      </c>
      <c r="G71" t="inlineStr">
        <is>
          <t>BG005, BG006</t>
        </is>
      </c>
      <c r="H71" t="inlineStr">
        <is>
          <t>29 Januari 2020</t>
        </is>
      </c>
      <c r="I71" s="2" t="n">
        <v>46244</v>
      </c>
      <c r="J71" t="inlineStr">
        <is>
          <t>Disetujui</t>
        </is>
      </c>
      <c r="K71" t="n">
        <v>60</v>
      </c>
      <c r="L71" t="inlineStr">
        <is>
          <t>10 Agustus 2026</t>
        </is>
      </c>
      <c r="M71" t="inlineStr">
        <is>
          <t>Konstruksi Gedung Kesehatan, Konstruksi Gedung Pendidikan</t>
        </is>
      </c>
      <c r="N71" t="inlineStr">
        <is>
          <t>K</t>
        </is>
      </c>
      <c r="O71" t="inlineStr">
        <is>
          <t>20230723</t>
        </is>
      </c>
      <c r="P71" t="inlineStr">
        <is>
          <t>Sumatera Selatan</t>
        </is>
      </c>
      <c r="Q71" t="inlineStr"/>
    </row>
    <row r="72">
      <c r="A72" t="inlineStr">
        <is>
          <t>DUTA CIPTA PARAMITA</t>
        </is>
      </c>
      <c r="B72" t="inlineStr">
        <is>
          <t>Kota Makassar</t>
        </is>
      </c>
      <c r="C72" t="inlineStr">
        <is>
          <t>0411583929</t>
        </is>
      </c>
      <c r="D72" t="inlineStr">
        <is>
          <t>dutacipta_paramita@yahoo.co.id</t>
        </is>
      </c>
      <c r="E72" t="inlineStr">
        <is>
          <t>https://lpjk.pu.go.id/search-badan-usaha-detail/ajlYRkpZWVY4anFaRk5xZjV1QlIvQT09</t>
        </is>
      </c>
      <c r="F72" t="n">
        <v>1</v>
      </c>
      <c r="G72" t="inlineStr">
        <is>
          <t>RK003</t>
        </is>
      </c>
      <c r="H72" t="inlineStr">
        <is>
          <t>2 Juli 2020</t>
        </is>
      </c>
      <c r="I72" s="2" t="n">
        <v>46244</v>
      </c>
      <c r="J72" t="inlineStr">
        <is>
          <t>Disetujui</t>
        </is>
      </c>
      <c r="K72" t="n">
        <v>60</v>
      </c>
      <c r="L72" t="inlineStr">
        <is>
          <t>10 Agustus 2026</t>
        </is>
      </c>
      <c r="M72" t="inlineStr">
        <is>
          <t>Jasa Rekayasa Pekerjaan Teknik Sipil Transportasi</t>
        </is>
      </c>
      <c r="N72" t="inlineStr">
        <is>
          <t>K</t>
        </is>
      </c>
      <c r="O72" t="inlineStr">
        <is>
          <t>20230731</t>
        </is>
      </c>
      <c r="P72" t="inlineStr">
        <is>
          <t>Sulawesi Selatan</t>
        </is>
      </c>
      <c r="Q72" t="inlineStr"/>
    </row>
    <row r="73">
      <c r="A73" t="inlineStr">
        <is>
          <t>DUTALARAS CIPTA GRAHA</t>
        </is>
      </c>
      <c r="B73" t="inlineStr">
        <is>
          <t>Kota Pontianak</t>
        </is>
      </c>
      <c r="C73" t="inlineStr">
        <is>
          <t>08125725728</t>
        </is>
      </c>
      <c r="D73" t="inlineStr">
        <is>
          <t>pt.dutalarasciptagraha@gmail.com</t>
        </is>
      </c>
      <c r="E73" t="inlineStr">
        <is>
          <t>https://lpjk.pu.go.id/search-badan-usaha-detail/eldjOVQrVFN1K3oxc2lUZm12dVcxdz09</t>
        </is>
      </c>
      <c r="F73" t="n">
        <v>5</v>
      </c>
      <c r="G73" t="inlineStr">
        <is>
          <t>BG001, BG002, BG003, BG005, BG009</t>
        </is>
      </c>
      <c r="H73" t="inlineStr">
        <is>
          <t>6 Agustus 2019</t>
        </is>
      </c>
      <c r="I73" s="2" t="n">
        <v>46244</v>
      </c>
      <c r="J73" t="inlineStr">
        <is>
          <t>Disetujui</t>
        </is>
      </c>
      <c r="K73" t="n">
        <v>60</v>
      </c>
      <c r="L73" t="inlineStr">
        <is>
          <t>10 Agustus 2026</t>
        </is>
      </c>
      <c r="M73" t="inlineStr">
        <is>
          <t>Konstruksi Gedung Hunian, Konstruksi Gedung Industri, Konstruksi Gedung Kesehatan, Konstruksi Gedung Lainnya, Konstruksi Gedung Perkantoran</t>
        </is>
      </c>
      <c r="N73" t="inlineStr">
        <is>
          <t>K</t>
        </is>
      </c>
      <c r="O73" t="inlineStr">
        <is>
          <t>20230808</t>
        </is>
      </c>
      <c r="P73" t="inlineStr">
        <is>
          <t>Kalimantan Barat</t>
        </is>
      </c>
      <c r="Q73" t="inlineStr"/>
    </row>
    <row r="74">
      <c r="A74" t="inlineStr">
        <is>
          <t>EMPAT PILAR</t>
        </is>
      </c>
      <c r="B74" t="inlineStr">
        <is>
          <t>Kab. Kebumen</t>
        </is>
      </c>
      <c r="C74" t="inlineStr">
        <is>
          <t>087728699991</t>
        </is>
      </c>
      <c r="D74" t="inlineStr">
        <is>
          <t>cvempatpilar179@gmail.com</t>
        </is>
      </c>
      <c r="E74" t="inlineStr">
        <is>
          <t>https://lpjk.pu.go.id/search-badan-usaha-detail/YkxzKzFGRlBDKzFvcDlzNWhVQnlKQT09</t>
        </is>
      </c>
      <c r="F74" t="n">
        <v>2</v>
      </c>
      <c r="G74" t="inlineStr">
        <is>
          <t>BG002, BG004</t>
        </is>
      </c>
      <c r="H74" t="inlineStr">
        <is>
          <t>6 Desember 2017</t>
        </is>
      </c>
      <c r="I74" s="2" t="n">
        <v>46244</v>
      </c>
      <c r="J74" t="inlineStr">
        <is>
          <t>Pencabutan</t>
        </is>
      </c>
      <c r="K74" t="n">
        <v>60</v>
      </c>
      <c r="L74" t="inlineStr">
        <is>
          <t>10 Agustus 2026</t>
        </is>
      </c>
      <c r="M74" t="inlineStr">
        <is>
          <t>Konstruksi Gedung Perbelanjaan, Konstruksi Gedung Perkantoran</t>
        </is>
      </c>
      <c r="N74" t="inlineStr">
        <is>
          <t>K</t>
        </is>
      </c>
      <c r="O74" t="inlineStr">
        <is>
          <t>20230809</t>
        </is>
      </c>
      <c r="P74" t="inlineStr">
        <is>
          <t>Jawa Tengah</t>
        </is>
      </c>
      <c r="Q74" t="inlineStr"/>
    </row>
    <row r="75">
      <c r="A75" t="inlineStr">
        <is>
          <t>ENERGI SYAFAMI INDONESIA</t>
        </is>
      </c>
      <c r="B75" t="inlineStr">
        <is>
          <t>Kab. Minahasa Utara</t>
        </is>
      </c>
      <c r="C75" t="inlineStr">
        <is>
          <t>085298446776</t>
        </is>
      </c>
      <c r="D75" t="inlineStr">
        <is>
          <t>ptenergisyafamiindonesia@gmail.com</t>
        </is>
      </c>
      <c r="E75" t="inlineStr">
        <is>
          <t>https://lpjk.pu.go.id/search-badan-usaha-detail/N0dqUnRzallYVGp5dnI1dEU4MVRKdz09</t>
        </is>
      </c>
      <c r="F75" t="n">
        <v>1</v>
      </c>
      <c r="G75" t="inlineStr">
        <is>
          <t>BG005</t>
        </is>
      </c>
      <c r="H75" t="inlineStr">
        <is>
          <t>17 Mei 2023</t>
        </is>
      </c>
      <c r="I75" s="2" t="n">
        <v>46244</v>
      </c>
      <c r="J75" t="inlineStr">
        <is>
          <t>Disetujui</t>
        </is>
      </c>
      <c r="K75" t="n">
        <v>60</v>
      </c>
      <c r="L75" t="inlineStr">
        <is>
          <t>10 Agustus 2026</t>
        </is>
      </c>
      <c r="M75" t="inlineStr">
        <is>
          <t>Konstruksi Gedung Kesehatan</t>
        </is>
      </c>
      <c r="N75" t="inlineStr">
        <is>
          <t>K</t>
        </is>
      </c>
      <c r="O75" t="inlineStr">
        <is>
          <t>20230807</t>
        </is>
      </c>
      <c r="P75" t="inlineStr">
        <is>
          <t>Sulawesi Utara</t>
        </is>
      </c>
      <c r="Q75" t="inlineStr"/>
    </row>
    <row r="76">
      <c r="A76" t="inlineStr">
        <is>
          <t>ERNANDA MANDIRI WIJAYA</t>
        </is>
      </c>
      <c r="B76" t="inlineStr">
        <is>
          <t>Kab. Sintang</t>
        </is>
      </c>
      <c r="C76" t="inlineStr">
        <is>
          <t>081254555889</t>
        </is>
      </c>
      <c r="D76" t="inlineStr">
        <is>
          <t>erickyorlanda@gmail.com</t>
        </is>
      </c>
      <c r="E76" t="inlineStr">
        <is>
          <t>https://lpjk.pu.go.id/search-badan-usaha-detail/NWprYkFaQlZVSGgzMyt0MkpwMjBrZz09</t>
        </is>
      </c>
      <c r="F76" t="n">
        <v>1</v>
      </c>
      <c r="G76" t="inlineStr">
        <is>
          <t>BG002</t>
        </is>
      </c>
      <c r="H76" t="inlineStr">
        <is>
          <t>1 Agustus 2019</t>
        </is>
      </c>
      <c r="I76" s="2" t="n">
        <v>46244</v>
      </c>
      <c r="J76" t="inlineStr">
        <is>
          <t>Disetujui</t>
        </is>
      </c>
      <c r="K76" t="n">
        <v>60</v>
      </c>
      <c r="L76" t="inlineStr">
        <is>
          <t>10 Agustus 2026</t>
        </is>
      </c>
      <c r="M76" t="inlineStr">
        <is>
          <t>Konstruksi Gedung Perkantoran</t>
        </is>
      </c>
      <c r="N76" t="inlineStr">
        <is>
          <t>K</t>
        </is>
      </c>
      <c r="O76" t="inlineStr">
        <is>
          <t>20230810</t>
        </is>
      </c>
      <c r="P76" t="inlineStr">
        <is>
          <t>Kalimantan Barat</t>
        </is>
      </c>
      <c r="Q76" t="inlineStr"/>
    </row>
    <row r="77">
      <c r="A77" t="inlineStr">
        <is>
          <t>ERZAL ABADI</t>
        </is>
      </c>
      <c r="B77" t="inlineStr">
        <is>
          <t>Kota Banjar</t>
        </is>
      </c>
      <c r="C77" t="inlineStr">
        <is>
          <t>085315437107</t>
        </is>
      </c>
      <c r="D77" t="inlineStr">
        <is>
          <t>erzalabadi@yahoo.com</t>
        </is>
      </c>
      <c r="E77" t="inlineStr">
        <is>
          <t>https://lpjk.pu.go.id/search-badan-usaha-detail/T2ZWVzZNbHZ2YXRIWmxRZHdYZ1JMdz09</t>
        </is>
      </c>
      <c r="F77" t="n">
        <v>2</v>
      </c>
      <c r="G77" t="inlineStr">
        <is>
          <t>BG009, BS001</t>
        </is>
      </c>
      <c r="H77" t="inlineStr">
        <is>
          <t>24 Agustus 2004</t>
        </is>
      </c>
      <c r="I77" s="2" t="n">
        <v>46244</v>
      </c>
      <c r="J77" t="inlineStr">
        <is>
          <t>Disetujui</t>
        </is>
      </c>
      <c r="K77" t="n">
        <v>60</v>
      </c>
      <c r="L77" t="inlineStr">
        <is>
          <t>10 Agustus 2026</t>
        </is>
      </c>
      <c r="M77" t="inlineStr">
        <is>
          <t>Konstruksi Bangunan Sipil Jalan, Konstruksi Gedung Lainnya</t>
        </is>
      </c>
      <c r="N77" t="inlineStr">
        <is>
          <t>K</t>
        </is>
      </c>
      <c r="O77" t="inlineStr">
        <is>
          <t>20230802, 20230804</t>
        </is>
      </c>
      <c r="P77" t="inlineStr">
        <is>
          <t>Jawa Barat</t>
        </is>
      </c>
      <c r="Q77" t="inlineStr"/>
    </row>
    <row r="78">
      <c r="A78" t="inlineStr">
        <is>
          <t>FADIA</t>
        </is>
      </c>
      <c r="B78" t="inlineStr">
        <is>
          <t>Kab. Probolinggo</t>
        </is>
      </c>
      <c r="C78" t="inlineStr">
        <is>
          <t>085204849237</t>
        </is>
      </c>
      <c r="D78" t="inlineStr">
        <is>
          <t>cvfadia@gmail.com</t>
        </is>
      </c>
      <c r="E78" t="inlineStr">
        <is>
          <t>https://lpjk.pu.go.id/search-badan-usaha-detail/YThFaVlScFhnR2IvRkdPYzBNUytVdz09</t>
        </is>
      </c>
      <c r="F78" t="n">
        <v>2</v>
      </c>
      <c r="G78" t="inlineStr">
        <is>
          <t>BG005, BS001</t>
        </is>
      </c>
      <c r="H78" t="inlineStr">
        <is>
          <t>31 Mei 2004</t>
        </is>
      </c>
      <c r="I78" s="2" t="n">
        <v>46244</v>
      </c>
      <c r="J78" t="inlineStr">
        <is>
          <t>Disetujui</t>
        </is>
      </c>
      <c r="K78" t="n">
        <v>60</v>
      </c>
      <c r="L78" t="inlineStr">
        <is>
          <t>10 Agustus 2026</t>
        </is>
      </c>
      <c r="M78" t="inlineStr">
        <is>
          <t>Konstruksi Bangunan Sipil Jalan, Konstruksi Gedung Kesehatan</t>
        </is>
      </c>
      <c r="N78" t="inlineStr">
        <is>
          <t>K</t>
        </is>
      </c>
      <c r="O78" t="inlineStr">
        <is>
          <t>20230807</t>
        </is>
      </c>
      <c r="P78" t="inlineStr">
        <is>
          <t>Jawa Timur</t>
        </is>
      </c>
      <c r="Q78" t="inlineStr"/>
    </row>
    <row r="79">
      <c r="A79" t="inlineStr">
        <is>
          <t>FAJAR JAYA</t>
        </is>
      </c>
      <c r="B79" t="inlineStr">
        <is>
          <t>Kota Ambon</t>
        </is>
      </c>
      <c r="C79" t="inlineStr">
        <is>
          <t>082238986906</t>
        </is>
      </c>
      <c r="D79" t="inlineStr">
        <is>
          <t>Fajarjaya032022@gmail.com</t>
        </is>
      </c>
      <c r="E79" t="inlineStr">
        <is>
          <t>https://lpjk.pu.go.id/search-badan-usaha-detail/SC9hZ0tCR0svOE9oNXZjNnlYUG5QZz09</t>
        </is>
      </c>
      <c r="F79" t="n">
        <v>1</v>
      </c>
      <c r="G79" t="inlineStr">
        <is>
          <t>BG008</t>
        </is>
      </c>
      <c r="H79" t="inlineStr">
        <is>
          <t>7 September 2004</t>
        </is>
      </c>
      <c r="I79" s="2" t="n">
        <v>46244</v>
      </c>
      <c r="J79" t="inlineStr">
        <is>
          <t>Disetujui</t>
        </is>
      </c>
      <c r="K79" t="n">
        <v>60</v>
      </c>
      <c r="L79" t="inlineStr">
        <is>
          <t>10 Agustus 2026</t>
        </is>
      </c>
      <c r="M79" t="inlineStr">
        <is>
          <t>Konstruksi Gedung Tempat Hiburan dan Olahraga</t>
        </is>
      </c>
      <c r="N79" t="inlineStr">
        <is>
          <t>K</t>
        </is>
      </c>
      <c r="O79" t="inlineStr">
        <is>
          <t>20230809</t>
        </is>
      </c>
      <c r="P79" t="inlineStr">
        <is>
          <t>Maluku</t>
        </is>
      </c>
      <c r="Q79" t="inlineStr"/>
    </row>
    <row r="80">
      <c r="A80" t="inlineStr">
        <is>
          <t>FAJAR RAYA</t>
        </is>
      </c>
      <c r="B80" t="inlineStr">
        <is>
          <t>Kota Pariaman</t>
        </is>
      </c>
      <c r="C80" t="inlineStr">
        <is>
          <t>081276688040</t>
        </is>
      </c>
      <c r="D80" t="inlineStr">
        <is>
          <t>cv.fajarraya@yahoo.com</t>
        </is>
      </c>
      <c r="E80" t="inlineStr">
        <is>
          <t>https://lpjk.pu.go.id/search-badan-usaha-detail/WWxkeVZhblgxQXFqcy9aTStKeXJVdz09</t>
        </is>
      </c>
      <c r="F80" t="n">
        <v>2</v>
      </c>
      <c r="G80" t="inlineStr">
        <is>
          <t>BG008, BG009</t>
        </is>
      </c>
      <c r="H80" t="inlineStr">
        <is>
          <t>28 Maret 1992</t>
        </is>
      </c>
      <c r="I80" s="2" t="n">
        <v>46244</v>
      </c>
      <c r="J80" t="inlineStr">
        <is>
          <t>Disetujui</t>
        </is>
      </c>
      <c r="K80" t="n">
        <v>60</v>
      </c>
      <c r="L80" t="inlineStr">
        <is>
          <t>10 Agustus 2026</t>
        </is>
      </c>
      <c r="M80" t="inlineStr">
        <is>
          <t>Konstruksi Gedung Lainnya, Konstruksi Gedung Tempat Hiburan dan Olahraga</t>
        </is>
      </c>
      <c r="N80" t="inlineStr">
        <is>
          <t>K</t>
        </is>
      </c>
      <c r="O80" t="inlineStr">
        <is>
          <t>20230810</t>
        </is>
      </c>
      <c r="P80" t="inlineStr">
        <is>
          <t>Sumatera Barat</t>
        </is>
      </c>
      <c r="Q80" t="inlineStr"/>
    </row>
    <row r="81">
      <c r="A81" t="inlineStr">
        <is>
          <t>FAJAR UTARA</t>
        </is>
      </c>
      <c r="B81" t="inlineStr">
        <is>
          <t>Kab. Lombok Utara</t>
        </is>
      </c>
      <c r="C81" t="inlineStr">
        <is>
          <t>08175730696</t>
        </is>
      </c>
      <c r="D81" t="inlineStr">
        <is>
          <t>cvfajarutara023@gmail.com</t>
        </is>
      </c>
      <c r="E81" t="inlineStr">
        <is>
          <t>https://lpjk.pu.go.id/search-badan-usaha-detail/a290eHhCc1RMSmJvQzhWZmxxcmQ0Zz09</t>
        </is>
      </c>
      <c r="F81" t="n">
        <v>1</v>
      </c>
      <c r="G81" t="inlineStr">
        <is>
          <t>BG005</t>
        </is>
      </c>
      <c r="H81" t="inlineStr">
        <is>
          <t>5 November 2012</t>
        </is>
      </c>
      <c r="I81" s="2" t="n">
        <v>46244</v>
      </c>
      <c r="J81" t="inlineStr">
        <is>
          <t>Pencabutan</t>
        </is>
      </c>
      <c r="K81" t="n">
        <v>60</v>
      </c>
      <c r="L81" t="inlineStr">
        <is>
          <t>10 Agustus 2026</t>
        </is>
      </c>
      <c r="M81" t="inlineStr">
        <is>
          <t>Konstruksi Gedung Kesehatan</t>
        </is>
      </c>
      <c r="N81" t="inlineStr">
        <is>
          <t>K</t>
        </is>
      </c>
      <c r="O81" t="inlineStr">
        <is>
          <t>20230811</t>
        </is>
      </c>
      <c r="P81" t="inlineStr">
        <is>
          <t>Nusa Tenggara Barat</t>
        </is>
      </c>
      <c r="Q81" t="inlineStr"/>
    </row>
    <row r="82">
      <c r="A82" t="inlineStr">
        <is>
          <t>FARHAN ABADI</t>
        </is>
      </c>
      <c r="B82" t="inlineStr">
        <is>
          <t>Kota Serang</t>
        </is>
      </c>
      <c r="C82" t="inlineStr">
        <is>
          <t>02542010844</t>
        </is>
      </c>
      <c r="D82" t="inlineStr">
        <is>
          <t>pt.farhanabadi@gmail.com</t>
        </is>
      </c>
      <c r="E82" t="inlineStr">
        <is>
          <t>https://lpjk.pu.go.id/search-badan-usaha-detail/MzBWT3JyTXBGL0lIUDdqT3lLYkRBQT09</t>
        </is>
      </c>
      <c r="F82" t="n">
        <v>1</v>
      </c>
      <c r="G82" t="inlineStr">
        <is>
          <t>BG001</t>
        </is>
      </c>
      <c r="H82" t="inlineStr">
        <is>
          <t>30 Mei 2012</t>
        </is>
      </c>
      <c r="I82" s="2" t="n">
        <v>46244</v>
      </c>
      <c r="J82" t="inlineStr">
        <is>
          <t>Disetujui</t>
        </is>
      </c>
      <c r="K82" t="n">
        <v>60</v>
      </c>
      <c r="L82" t="inlineStr">
        <is>
          <t>10 Agustus 2026</t>
        </is>
      </c>
      <c r="M82" t="inlineStr">
        <is>
          <t>Konstruksi Gedung Hunian</t>
        </is>
      </c>
      <c r="N82" t="inlineStr">
        <is>
          <t>K</t>
        </is>
      </c>
      <c r="O82" t="inlineStr">
        <is>
          <t>20230805</t>
        </is>
      </c>
      <c r="P82" t="inlineStr">
        <is>
          <t>Banten</t>
        </is>
      </c>
      <c r="Q82" t="inlineStr"/>
    </row>
    <row r="83">
      <c r="A83" t="inlineStr">
        <is>
          <t>FIRANANDA JAYA</t>
        </is>
      </c>
      <c r="B83" t="inlineStr">
        <is>
          <t>Kota Solok</t>
        </is>
      </c>
      <c r="C83" t="inlineStr">
        <is>
          <t>081266702299</t>
        </is>
      </c>
      <c r="D83" t="inlineStr">
        <is>
          <t>firananda.jaya@gmail.com</t>
        </is>
      </c>
      <c r="E83" t="inlineStr">
        <is>
          <t>https://lpjk.pu.go.id/search-badan-usaha-detail/blNMOEdjK1pwYjFVaHhpSkFWVGcxQT09</t>
        </is>
      </c>
      <c r="F83" t="n">
        <v>1</v>
      </c>
      <c r="G83" t="inlineStr">
        <is>
          <t>BS004</t>
        </is>
      </c>
      <c r="H83" t="inlineStr">
        <is>
          <t>7 Maret 2020</t>
        </is>
      </c>
      <c r="I83" s="2" t="n">
        <v>46244</v>
      </c>
      <c r="J83" t="inlineStr">
        <is>
          <t>Validasi</t>
        </is>
      </c>
      <c r="K83" t="n">
        <v>60</v>
      </c>
      <c r="L83" t="inlineStr">
        <is>
          <t>10 Agustus 2026</t>
        </is>
      </c>
      <c r="M83" t="inlineStr">
        <is>
          <t>Konstruksi Jaringan Irigasi dan Drainase</t>
        </is>
      </c>
      <c r="N83" t="inlineStr">
        <is>
          <t>K</t>
        </is>
      </c>
      <c r="O83" t="inlineStr">
        <is>
          <t>20230415</t>
        </is>
      </c>
      <c r="P83" t="inlineStr">
        <is>
          <t>Sumatera Barat</t>
        </is>
      </c>
      <c r="Q83" t="inlineStr"/>
    </row>
    <row r="84">
      <c r="A84" t="inlineStr">
        <is>
          <t>FOCUS CIPTA KREASI</t>
        </is>
      </c>
      <c r="B84" t="inlineStr">
        <is>
          <t>Kota Adm. Jakarta Selatan</t>
        </is>
      </c>
      <c r="C84" t="inlineStr">
        <is>
          <t>02179170707</t>
        </is>
      </c>
      <c r="D84" t="inlineStr">
        <is>
          <t>fpk.pajak1@gmail.com</t>
        </is>
      </c>
      <c r="E84" t="inlineStr">
        <is>
          <t>https://lpjk.pu.go.id/search-badan-usaha-detail/UjN2TUJDQlUrUkp1cTZvdEI5T01FUT09</t>
        </is>
      </c>
      <c r="F84" t="n">
        <v>2</v>
      </c>
      <c r="G84" t="inlineStr">
        <is>
          <t>BG002, BG004</t>
        </is>
      </c>
      <c r="H84" t="inlineStr">
        <is>
          <t>17 Maret 2008</t>
        </is>
      </c>
      <c r="I84" s="2" t="n">
        <v>46244</v>
      </c>
      <c r="J84" t="inlineStr">
        <is>
          <t>Pembekuan</t>
        </is>
      </c>
      <c r="K84" t="n">
        <v>60</v>
      </c>
      <c r="L84" t="inlineStr">
        <is>
          <t>10 Agustus 2026</t>
        </is>
      </c>
      <c r="M84" t="inlineStr">
        <is>
          <t>Konstruksi Gedung Perbelanjaan, Konstruksi Gedung Perkantoran</t>
        </is>
      </c>
      <c r="N84" t="inlineStr">
        <is>
          <t>B</t>
        </is>
      </c>
      <c r="O84" t="inlineStr">
        <is>
          <t>20230606, 20230810</t>
        </is>
      </c>
      <c r="P84" t="inlineStr">
        <is>
          <t>DKI Jakarta</t>
        </is>
      </c>
      <c r="Q84" t="inlineStr"/>
    </row>
    <row r="85">
      <c r="A85" t="inlineStr">
        <is>
          <t>GLORY TECHNIC INDONESIA</t>
        </is>
      </c>
      <c r="B85" t="inlineStr">
        <is>
          <t>Kab. Tangerang</t>
        </is>
      </c>
      <c r="C85" t="inlineStr">
        <is>
          <t>0811106362</t>
        </is>
      </c>
      <c r="D85" t="inlineStr">
        <is>
          <t>glorytechnic@ymail.com</t>
        </is>
      </c>
      <c r="E85" t="inlineStr">
        <is>
          <t>https://lpjk.pu.go.id/search-badan-usaha-detail/OGpKSFVjQXJMaUJjc21pOVJGWVdDQT09</t>
        </is>
      </c>
      <c r="F85" t="n">
        <v>1</v>
      </c>
      <c r="G85" t="inlineStr">
        <is>
          <t>BG003</t>
        </is>
      </c>
      <c r="H85" t="inlineStr">
        <is>
          <t>16 Mei 2011</t>
        </is>
      </c>
      <c r="I85" s="2" t="n">
        <v>46244</v>
      </c>
      <c r="J85" t="inlineStr">
        <is>
          <t>Disetujui</t>
        </is>
      </c>
      <c r="K85" t="n">
        <v>60</v>
      </c>
      <c r="L85" t="inlineStr">
        <is>
          <t>10 Agustus 2026</t>
        </is>
      </c>
      <c r="M85" t="inlineStr">
        <is>
          <t>Konstruksi Gedung Industri</t>
        </is>
      </c>
      <c r="N85" t="inlineStr">
        <is>
          <t>K</t>
        </is>
      </c>
      <c r="O85" t="inlineStr">
        <is>
          <t>20230808</t>
        </is>
      </c>
      <c r="P85" t="inlineStr">
        <is>
          <t>Banten</t>
        </is>
      </c>
      <c r="Q85" t="inlineStr"/>
    </row>
    <row r="86">
      <c r="A86" t="inlineStr">
        <is>
          <t>GRAHA LAKSANA ABADI</t>
        </is>
      </c>
      <c r="B86" t="inlineStr">
        <is>
          <t>Kota Adm. Jakarta Selatan</t>
        </is>
      </c>
      <c r="C86" t="inlineStr">
        <is>
          <t>081239223373</t>
        </is>
      </c>
      <c r="D86" t="inlineStr">
        <is>
          <t>ptgrahalaksanaabadi@gmail.com</t>
        </is>
      </c>
      <c r="E86" t="inlineStr">
        <is>
          <t>https://lpjk.pu.go.id/search-badan-usaha-detail/ZnpuRWFWZUp1a012bmtUZHdYZm4xTyt5M1VpNlJ1YjYxa3Y0OGlaVFhscz0</t>
        </is>
      </c>
      <c r="F86" t="n">
        <v>1</v>
      </c>
      <c r="G86" t="inlineStr">
        <is>
          <t>BG004</t>
        </is>
      </c>
      <c r="H86" t="inlineStr">
        <is>
          <t>27 Juli 2023</t>
        </is>
      </c>
      <c r="I86" s="2" t="n">
        <v>46244</v>
      </c>
      <c r="J86" t="inlineStr">
        <is>
          <t>Disetujui</t>
        </is>
      </c>
      <c r="K86" t="n">
        <v>60</v>
      </c>
      <c r="L86" t="inlineStr">
        <is>
          <t>10 Agustus 2026</t>
        </is>
      </c>
      <c r="M86" t="inlineStr">
        <is>
          <t>Konstruksi Gedung Perbelanjaan</t>
        </is>
      </c>
      <c r="N86" t="inlineStr">
        <is>
          <t>K</t>
        </is>
      </c>
      <c r="O86" t="inlineStr">
        <is>
          <t>20230808</t>
        </is>
      </c>
      <c r="P86" t="inlineStr">
        <is>
          <t>DKI Jakarta</t>
        </is>
      </c>
      <c r="Q86" t="inlineStr"/>
    </row>
    <row r="87">
      <c r="A87" t="inlineStr">
        <is>
          <t>GRAHA PUTRA PERSADA</t>
        </is>
      </c>
      <c r="B87" t="inlineStr">
        <is>
          <t>Kota Surabaya</t>
        </is>
      </c>
      <c r="C87" t="inlineStr">
        <is>
          <t>0811347515</t>
        </is>
      </c>
      <c r="D87" t="inlineStr">
        <is>
          <t>-</t>
        </is>
      </c>
      <c r="E87" t="inlineStr">
        <is>
          <t>https://lpjk.pu.go.id/search-badan-usaha-detail/ZElnVUx4ZGZBNXJScWc0R3ExUlpudz09</t>
        </is>
      </c>
      <c r="F87" t="n">
        <v>1</v>
      </c>
      <c r="G87" t="inlineStr">
        <is>
          <t>BG003</t>
        </is>
      </c>
      <c r="H87" t="inlineStr">
        <is>
          <t>27 Maret 2018</t>
        </is>
      </c>
      <c r="I87" s="2" t="n">
        <v>46244</v>
      </c>
      <c r="J87" t="inlineStr">
        <is>
          <t>Disetujui</t>
        </is>
      </c>
      <c r="K87" t="n">
        <v>60</v>
      </c>
      <c r="L87" t="inlineStr">
        <is>
          <t>10 Agustus 2026</t>
        </is>
      </c>
      <c r="M87" t="inlineStr">
        <is>
          <t>Konstruksi Gedung Industri</t>
        </is>
      </c>
      <c r="N87" t="inlineStr">
        <is>
          <t>M</t>
        </is>
      </c>
      <c r="O87" t="inlineStr">
        <is>
          <t>20230806</t>
        </is>
      </c>
      <c r="P87" t="inlineStr">
        <is>
          <t>Jawa Timur</t>
        </is>
      </c>
      <c r="Q87" t="inlineStr"/>
    </row>
    <row r="88">
      <c r="A88" t="inlineStr">
        <is>
          <t>HADI KARYA NGANJUK</t>
        </is>
      </c>
      <c r="B88" t="inlineStr">
        <is>
          <t>Kab. Nganjuk</t>
        </is>
      </c>
      <c r="C88" t="inlineStr">
        <is>
          <t>082139240009</t>
        </is>
      </c>
      <c r="D88" t="inlineStr">
        <is>
          <t>pt.hadikaryanganjuk@yahoo.com</t>
        </is>
      </c>
      <c r="E88" t="inlineStr">
        <is>
          <t>https://lpjk.pu.go.id/search-badan-usaha-detail/THlJUFhrYlhEdXpyd3VNZnVZK2MwZz09</t>
        </is>
      </c>
      <c r="F88" t="n">
        <v>1</v>
      </c>
      <c r="G88" t="inlineStr">
        <is>
          <t>BS001</t>
        </is>
      </c>
      <c r="H88" t="inlineStr">
        <is>
          <t>27 November 2017</t>
        </is>
      </c>
      <c r="I88" s="2" t="n">
        <v>46244</v>
      </c>
      <c r="J88" t="inlineStr">
        <is>
          <t>Disetujui</t>
        </is>
      </c>
      <c r="K88" t="n">
        <v>60</v>
      </c>
      <c r="L88" t="inlineStr">
        <is>
          <t>10 Agustus 2026</t>
        </is>
      </c>
      <c r="M88" t="inlineStr">
        <is>
          <t>Konstruksi Bangunan Sipil Jalan</t>
        </is>
      </c>
      <c r="N88" t="inlineStr">
        <is>
          <t>K</t>
        </is>
      </c>
      <c r="O88" t="inlineStr">
        <is>
          <t>20230728</t>
        </is>
      </c>
      <c r="P88" t="inlineStr">
        <is>
          <t>Jawa Timur</t>
        </is>
      </c>
      <c r="Q88" t="inlineStr"/>
    </row>
    <row r="89">
      <c r="A89" t="inlineStr">
        <is>
          <t>HAN KONSTRUKSI INDONESIA</t>
        </is>
      </c>
      <c r="B89" t="inlineStr">
        <is>
          <t>Kota Adm. Jakarta Selatan</t>
        </is>
      </c>
      <c r="C89" t="inlineStr">
        <is>
          <t>02127095584</t>
        </is>
      </c>
      <c r="D89" t="inlineStr">
        <is>
          <t>hankonstruksiindonesia.sbu@gmail.com</t>
        </is>
      </c>
      <c r="E89" t="inlineStr">
        <is>
          <t>https://lpjk.pu.go.id/search-badan-usaha-detail/QVZucGpmTm1sZFVMOUpFb2J0MEJlUT09</t>
        </is>
      </c>
      <c r="F89" t="n">
        <v>1</v>
      </c>
      <c r="G89" t="inlineStr">
        <is>
          <t>BG003</t>
        </is>
      </c>
      <c r="H89" t="inlineStr">
        <is>
          <t>1 Januari 2018</t>
        </is>
      </c>
      <c r="I89" s="2" t="n">
        <v>46244</v>
      </c>
      <c r="J89" t="inlineStr">
        <is>
          <t>Disetujui</t>
        </is>
      </c>
      <c r="K89" t="n">
        <v>60</v>
      </c>
      <c r="L89" t="inlineStr">
        <is>
          <t>10 Agustus 2026</t>
        </is>
      </c>
      <c r="M89" t="inlineStr">
        <is>
          <t>Konstruksi Gedung Industri</t>
        </is>
      </c>
      <c r="N89" t="inlineStr">
        <is>
          <t>M</t>
        </is>
      </c>
      <c r="O89" t="inlineStr">
        <is>
          <t>20230728</t>
        </is>
      </c>
      <c r="P89" t="inlineStr">
        <is>
          <t>DKI Jakarta</t>
        </is>
      </c>
      <c r="Q89" t="inlineStr"/>
    </row>
    <row r="90">
      <c r="A90" t="inlineStr">
        <is>
          <t>HASTA KARYA KONSTRUKSI</t>
        </is>
      </c>
      <c r="B90" t="inlineStr">
        <is>
          <t>Kab. Sintang</t>
        </is>
      </c>
      <c r="C90" t="inlineStr">
        <is>
          <t>082150480088</t>
        </is>
      </c>
      <c r="D90" t="inlineStr">
        <is>
          <t>hastakaryakonstruksi@gmail.com</t>
        </is>
      </c>
      <c r="E90" t="inlineStr">
        <is>
          <t>https://lpjk.pu.go.id/search-badan-usaha-detail/M1JtU3lBeWM2SEY4SWQ5TWYxVTRMQT09</t>
        </is>
      </c>
      <c r="F90" t="n">
        <v>1</v>
      </c>
      <c r="G90" t="inlineStr">
        <is>
          <t>BG006</t>
        </is>
      </c>
      <c r="H90" t="inlineStr">
        <is>
          <t>3 Maret 2020</t>
        </is>
      </c>
      <c r="I90" s="2" t="n">
        <v>46244</v>
      </c>
      <c r="J90" t="inlineStr">
        <is>
          <t>Disetujui</t>
        </is>
      </c>
      <c r="K90" t="n">
        <v>60</v>
      </c>
      <c r="L90" t="inlineStr">
        <is>
          <t>10 Agustus 2026</t>
        </is>
      </c>
      <c r="M90" t="inlineStr">
        <is>
          <t>Konstruksi Gedung Pendidikan</t>
        </is>
      </c>
      <c r="N90" t="inlineStr">
        <is>
          <t>K</t>
        </is>
      </c>
      <c r="O90" t="inlineStr">
        <is>
          <t>20230809</t>
        </is>
      </c>
      <c r="P90" t="inlineStr">
        <is>
          <t>Kalimantan Barat</t>
        </is>
      </c>
      <c r="Q90" t="inlineStr"/>
    </row>
    <row r="91">
      <c r="A91" t="inlineStr">
        <is>
          <t>HASTA PERKASA KONSULTAN</t>
        </is>
      </c>
      <c r="B91" t="inlineStr">
        <is>
          <t>Kab. Manokwari</t>
        </is>
      </c>
      <c r="C91" t="inlineStr">
        <is>
          <t>08124830963</t>
        </is>
      </c>
      <c r="D91" t="inlineStr">
        <is>
          <t>hastakonsul@gmail.com</t>
        </is>
      </c>
      <c r="E91" t="inlineStr">
        <is>
          <t>https://lpjk.pu.go.id/search-badan-usaha-detail/cW0ySXFEQzljWWpJNE13STNreENyUT09</t>
        </is>
      </c>
      <c r="F91" t="n">
        <v>1</v>
      </c>
      <c r="G91" t="inlineStr">
        <is>
          <t>RK003</t>
        </is>
      </c>
      <c r="H91" t="inlineStr">
        <is>
          <t>24 Maret 2005</t>
        </is>
      </c>
      <c r="I91" s="2" t="n">
        <v>46244</v>
      </c>
      <c r="J91" t="inlineStr">
        <is>
          <t>Disetujui</t>
        </is>
      </c>
      <c r="K91" t="n">
        <v>60</v>
      </c>
      <c r="L91" t="inlineStr">
        <is>
          <t>10 Agustus 2026</t>
        </is>
      </c>
      <c r="M91" t="inlineStr">
        <is>
          <t>Jasa Rekayasa Pekerjaan Teknik Sipil Transportasi</t>
        </is>
      </c>
      <c r="N91" t="inlineStr">
        <is>
          <t>M</t>
        </is>
      </c>
      <c r="O91" t="inlineStr">
        <is>
          <t>20230502</t>
        </is>
      </c>
      <c r="P91" t="inlineStr">
        <is>
          <t>Papua Barat</t>
        </is>
      </c>
      <c r="Q91" t="inlineStr"/>
    </row>
    <row r="92">
      <c r="A92" t="inlineStr">
        <is>
          <t>HIKMAH BUMI MANDIRI</t>
        </is>
      </c>
      <c r="B92" t="inlineStr">
        <is>
          <t>Kab. Indramayu</t>
        </is>
      </c>
      <c r="C92" t="inlineStr">
        <is>
          <t>081222457739</t>
        </is>
      </c>
      <c r="D92" t="inlineStr">
        <is>
          <t>hikmahbumimandiri@yahoo.com</t>
        </is>
      </c>
      <c r="E92" t="inlineStr">
        <is>
          <t>https://lpjk.pu.go.id/search-badan-usaha-detail/VnVad0FDa0VYdk5QQnFWNXoxT2llQT09</t>
        </is>
      </c>
      <c r="F92" t="n">
        <v>5</v>
      </c>
      <c r="G92" t="inlineStr">
        <is>
          <t>BS007</t>
        </is>
      </c>
      <c r="H92" t="inlineStr">
        <is>
          <t>23 Maret 2020</t>
        </is>
      </c>
      <c r="I92" s="2" t="n">
        <v>46244</v>
      </c>
      <c r="J92" t="inlineStr">
        <is>
          <t>Disetujui</t>
        </is>
      </c>
      <c r="K92" t="n">
        <v>60</v>
      </c>
      <c r="L92" t="inlineStr">
        <is>
          <t>10 Agustus 2026</t>
        </is>
      </c>
      <c r="M92" t="inlineStr">
        <is>
          <t>Konstruksi Bangunan Sipil Elektrikal</t>
        </is>
      </c>
      <c r="N92" t="inlineStr">
        <is>
          <t>K</t>
        </is>
      </c>
      <c r="O92" t="inlineStr">
        <is>
          <t>20230809</t>
        </is>
      </c>
      <c r="P92" t="inlineStr">
        <is>
          <t>Jawa Barat</t>
        </is>
      </c>
      <c r="Q92" t="inlineStr"/>
    </row>
    <row r="93">
      <c r="A93" t="inlineStr">
        <is>
          <t>INDAH LESTARI MANDIRI</t>
        </is>
      </c>
      <c r="B93" t="inlineStr">
        <is>
          <t>Kab. Batu Bara</t>
        </is>
      </c>
      <c r="C93" t="inlineStr">
        <is>
          <t>08126321693</t>
        </is>
      </c>
      <c r="D93" t="inlineStr">
        <is>
          <t>pt.indah_lestari_mandiri@yahoo.co.id</t>
        </is>
      </c>
      <c r="E93" t="inlineStr">
        <is>
          <t>https://lpjk.pu.go.id/search-badan-usaha-detail/Vm5FdmVXZU1KZ0pmOG5wQ1poT25HUT09</t>
        </is>
      </c>
      <c r="F93" t="n">
        <v>1</v>
      </c>
      <c r="G93" t="inlineStr">
        <is>
          <t>IN001</t>
        </is>
      </c>
      <c r="H93" t="inlineStr">
        <is>
          <t>20 Mei 2005</t>
        </is>
      </c>
      <c r="I93" s="2" t="n">
        <v>46244</v>
      </c>
      <c r="J93" t="inlineStr">
        <is>
          <t>Pembekuan</t>
        </is>
      </c>
      <c r="K93" t="n">
        <v>60</v>
      </c>
      <c r="L93" t="inlineStr">
        <is>
          <t>10 Agustus 2026</t>
        </is>
      </c>
      <c r="M93" t="inlineStr">
        <is>
          <t>Instalasi Mekanikal</t>
        </is>
      </c>
      <c r="N93" t="inlineStr">
        <is>
          <t>Spesialis</t>
        </is>
      </c>
      <c r="O93" t="inlineStr">
        <is>
          <t>20230808</t>
        </is>
      </c>
      <c r="P93" t="inlineStr">
        <is>
          <t>Sumatera Utara</t>
        </is>
      </c>
      <c r="Q93" t="inlineStr"/>
    </row>
    <row r="94">
      <c r="A94" t="inlineStr">
        <is>
          <t>INDAH SUMBER REJEKI</t>
        </is>
      </c>
      <c r="B94" t="inlineStr">
        <is>
          <t>Kab. Konawe Utara</t>
        </is>
      </c>
      <c r="C94" t="inlineStr">
        <is>
          <t>082219999124</t>
        </is>
      </c>
      <c r="D94" t="inlineStr">
        <is>
          <t>cvindahsumberrejeki@gmail.com</t>
        </is>
      </c>
      <c r="E94" t="inlineStr">
        <is>
          <t>https://lpjk.pu.go.id/search-badan-usaha-detail/N01NUkJrRGFDSzJoUmQzUjlUM0ZtUT09</t>
        </is>
      </c>
      <c r="F94" t="n">
        <v>1</v>
      </c>
      <c r="G94" t="inlineStr">
        <is>
          <t>BG005</t>
        </is>
      </c>
      <c r="H94" t="inlineStr">
        <is>
          <t>11 Agustus 2022</t>
        </is>
      </c>
      <c r="I94" s="2" t="n">
        <v>46244</v>
      </c>
      <c r="J94" t="inlineStr">
        <is>
          <t>Disetujui</t>
        </is>
      </c>
      <c r="K94" t="n">
        <v>60</v>
      </c>
      <c r="L94" t="inlineStr">
        <is>
          <t>10 Agustus 2026</t>
        </is>
      </c>
      <c r="M94" t="inlineStr">
        <is>
          <t>Konstruksi Gedung Kesehatan</t>
        </is>
      </c>
      <c r="N94" t="inlineStr">
        <is>
          <t>K</t>
        </is>
      </c>
      <c r="O94" t="inlineStr">
        <is>
          <t>20230808</t>
        </is>
      </c>
      <c r="P94" t="inlineStr">
        <is>
          <t>Sulawesi Tenggara</t>
        </is>
      </c>
      <c r="Q94" t="inlineStr"/>
    </row>
    <row r="95">
      <c r="A95" t="inlineStr">
        <is>
          <t>INDIRA MARSELL UTAMA</t>
        </is>
      </c>
      <c r="B95" t="inlineStr">
        <is>
          <t>Kota Adm. Jakarta Barat</t>
        </is>
      </c>
      <c r="C95" t="inlineStr">
        <is>
          <t>02139718691</t>
        </is>
      </c>
      <c r="D95" t="inlineStr">
        <is>
          <t>imu.bomba@gmail.com</t>
        </is>
      </c>
      <c r="E95" t="inlineStr">
        <is>
          <t>https://lpjk.pu.go.id/search-badan-usaha-detail/SkFNd05UbEdaWTBaMXVTeUN5OXRadz09</t>
        </is>
      </c>
      <c r="F95" t="n">
        <v>1</v>
      </c>
      <c r="G95" t="inlineStr">
        <is>
          <t>BS001</t>
        </is>
      </c>
      <c r="H95" t="inlineStr">
        <is>
          <t>21 Maret 2013</t>
        </is>
      </c>
      <c r="I95" s="2" t="n">
        <v>46244</v>
      </c>
      <c r="J95" t="inlineStr">
        <is>
          <t>Disetujui</t>
        </is>
      </c>
      <c r="K95" t="n">
        <v>60</v>
      </c>
      <c r="L95" t="inlineStr">
        <is>
          <t>10 Agustus 2026</t>
        </is>
      </c>
      <c r="M95" t="inlineStr">
        <is>
          <t>Konstruksi Bangunan Sipil Jalan</t>
        </is>
      </c>
      <c r="N95" t="inlineStr">
        <is>
          <t>K</t>
        </is>
      </c>
      <c r="O95" t="inlineStr">
        <is>
          <t>20230623</t>
        </is>
      </c>
      <c r="P95" t="inlineStr">
        <is>
          <t>DKI Jakarta</t>
        </is>
      </c>
      <c r="Q95" t="inlineStr"/>
    </row>
    <row r="96">
      <c r="A96" t="inlineStr">
        <is>
          <t>INDRA JAYA MANDIRI CONSULTANT</t>
        </is>
      </c>
      <c r="B96" t="inlineStr">
        <is>
          <t>Kota Balikpapan</t>
        </is>
      </c>
      <c r="C96" t="inlineStr">
        <is>
          <t>082157131335</t>
        </is>
      </c>
      <c r="D96" t="inlineStr">
        <is>
          <t>indrajayamandiri.consultant@gmail.com</t>
        </is>
      </c>
      <c r="E96" t="inlineStr">
        <is>
          <t>https://lpjk.pu.go.id/search-badan-usaha-detail/WUd3d2p5QkNlQXZpUDh1ZlI1WkVxdz09</t>
        </is>
      </c>
      <c r="F96" t="n">
        <v>2</v>
      </c>
      <c r="G96" t="inlineStr">
        <is>
          <t>RK001, RK002</t>
        </is>
      </c>
      <c r="H96" t="inlineStr">
        <is>
          <t>28 Desember 2019</t>
        </is>
      </c>
      <c r="I96" s="2" t="n">
        <v>46244</v>
      </c>
      <c r="J96" t="inlineStr">
        <is>
          <t>Disetujui</t>
        </is>
      </c>
      <c r="K96" t="n">
        <v>60</v>
      </c>
      <c r="L96" t="inlineStr">
        <is>
          <t>10 Agustus 2026</t>
        </is>
      </c>
      <c r="M96" t="inlineStr">
        <is>
          <t>Jasa Rekayasa Konstruksi Bangunan Gedung Hunian dan Non Hunian, Jasa Rekayasa Pekerjaan Teknik Sipil Sumber Daya Air</t>
        </is>
      </c>
      <c r="N96" t="inlineStr">
        <is>
          <t>K</t>
        </is>
      </c>
      <c r="O96" t="inlineStr">
        <is>
          <t>20230731, 20230801</t>
        </is>
      </c>
      <c r="P96" t="inlineStr">
        <is>
          <t>Kalimantan Timur</t>
        </is>
      </c>
      <c r="Q96" t="inlineStr"/>
    </row>
    <row r="97">
      <c r="A97" t="inlineStr">
        <is>
          <t>INDRA MARIN SENTOSA</t>
        </is>
      </c>
      <c r="B97" t="inlineStr">
        <is>
          <t>Kab. Cilacap</t>
        </is>
      </c>
      <c r="C97" t="inlineStr">
        <is>
          <t>081326880689</t>
        </is>
      </c>
      <c r="D97" t="inlineStr">
        <is>
          <t>ims.marinsentosa19@gmail.com</t>
        </is>
      </c>
      <c r="E97" t="inlineStr">
        <is>
          <t>https://lpjk.pu.go.id/search-badan-usaha-detail/YVZUQ2cxU29qUDgrV0xzOG9vMnpkdz09</t>
        </is>
      </c>
      <c r="F97" t="n">
        <v>1</v>
      </c>
      <c r="G97" t="inlineStr">
        <is>
          <t>BS004</t>
        </is>
      </c>
      <c r="H97" t="inlineStr">
        <is>
          <t>9 April 2019</t>
        </is>
      </c>
      <c r="I97" s="2" t="n">
        <v>46244</v>
      </c>
      <c r="J97" t="inlineStr">
        <is>
          <t>Disetujui</t>
        </is>
      </c>
      <c r="K97" t="n">
        <v>60</v>
      </c>
      <c r="L97" t="inlineStr">
        <is>
          <t>10 Agustus 2026</t>
        </is>
      </c>
      <c r="M97" t="inlineStr">
        <is>
          <t>Konstruksi Jaringan Irigasi dan Drainase</t>
        </is>
      </c>
      <c r="N97" t="inlineStr">
        <is>
          <t>K</t>
        </is>
      </c>
      <c r="O97" t="inlineStr">
        <is>
          <t>20230809</t>
        </is>
      </c>
      <c r="P97" t="inlineStr">
        <is>
          <t>Jawa Tengah</t>
        </is>
      </c>
      <c r="Q97" t="inlineStr"/>
    </row>
    <row r="98">
      <c r="A98" t="inlineStr">
        <is>
          <t>INFRAJAYA SARANA SUKSES</t>
        </is>
      </c>
      <c r="B98" t="inlineStr">
        <is>
          <t>Kota Tangerang Selatan</t>
        </is>
      </c>
      <c r="C98" t="inlineStr">
        <is>
          <t>08170043888</t>
        </is>
      </c>
      <c r="D98" t="inlineStr">
        <is>
          <t>INFRAJAYASUKSES@GMAIL.COM</t>
        </is>
      </c>
      <c r="E98" t="inlineStr">
        <is>
          <t>https://lpjk.pu.go.id/search-badan-usaha-detail/VlVwNWk4YnRDbnBHVmtUTFowaUNXZz09</t>
        </is>
      </c>
      <c r="F98" t="n">
        <v>1</v>
      </c>
      <c r="G98" t="inlineStr">
        <is>
          <t>BG001</t>
        </is>
      </c>
      <c r="H98" t="inlineStr">
        <is>
          <t>17 Februari 2022</t>
        </is>
      </c>
      <c r="I98" s="2" t="n">
        <v>46244</v>
      </c>
      <c r="J98" t="inlineStr">
        <is>
          <t>Disetujui</t>
        </is>
      </c>
      <c r="K98" t="n">
        <v>60</v>
      </c>
      <c r="L98" t="inlineStr">
        <is>
          <t>10 Agustus 2026</t>
        </is>
      </c>
      <c r="M98" t="inlineStr">
        <is>
          <t>Konstruksi Gedung Hunian</t>
        </is>
      </c>
      <c r="N98" t="inlineStr">
        <is>
          <t>K</t>
        </is>
      </c>
      <c r="O98" t="inlineStr">
        <is>
          <t>20230803</t>
        </is>
      </c>
      <c r="P98" t="inlineStr">
        <is>
          <t>Banten</t>
        </is>
      </c>
      <c r="Q98" t="inlineStr"/>
    </row>
    <row r="99">
      <c r="A99" t="inlineStr">
        <is>
          <t>JASA NIAGA</t>
        </is>
      </c>
      <c r="B99" t="inlineStr">
        <is>
          <t>Kab. Malang</t>
        </is>
      </c>
      <c r="C99" t="inlineStr">
        <is>
          <t>0341552257</t>
        </is>
      </c>
      <c r="D99" t="inlineStr">
        <is>
          <t>jasaniaga@ymail.com</t>
        </is>
      </c>
      <c r="E99" t="inlineStr">
        <is>
          <t>https://lpjk.pu.go.id/search-badan-usaha-detail/MW1wUnJuL040Uk41Q1UzMTQxNWkvZz09</t>
        </is>
      </c>
      <c r="F99" t="n">
        <v>1</v>
      </c>
      <c r="G99" t="inlineStr">
        <is>
          <t>BS002</t>
        </is>
      </c>
      <c r="H99" t="inlineStr">
        <is>
          <t>31 Maret 1986</t>
        </is>
      </c>
      <c r="I99" s="2" t="n">
        <v>46244</v>
      </c>
      <c r="J99" t="inlineStr">
        <is>
          <t>Disetujui</t>
        </is>
      </c>
      <c r="K99" t="n">
        <v>60</v>
      </c>
      <c r="L99" t="inlineStr">
        <is>
          <t>10 Agustus 2026</t>
        </is>
      </c>
      <c r="M99" t="inlineStr">
        <is>
          <t>Bangunan Sipil Jembatan, Jalan Layang, Fly Over, dan Underpass</t>
        </is>
      </c>
      <c r="N99" t="inlineStr">
        <is>
          <t>K</t>
        </is>
      </c>
      <c r="O99" t="inlineStr">
        <is>
          <t>20230808</t>
        </is>
      </c>
      <c r="P99" t="inlineStr">
        <is>
          <t>Jawa Timur</t>
        </is>
      </c>
      <c r="Q99" t="inlineStr"/>
    </row>
    <row r="100">
      <c r="A100" t="inlineStr">
        <is>
          <t>JAVA LINI CORP</t>
        </is>
      </c>
      <c r="B100" t="inlineStr">
        <is>
          <t>Kota Semarang</t>
        </is>
      </c>
      <c r="C100" t="inlineStr">
        <is>
          <t>02476580475</t>
        </is>
      </c>
      <c r="D100" t="inlineStr">
        <is>
          <t>admptsmg6@gmail.com</t>
        </is>
      </c>
      <c r="E100" t="inlineStr">
        <is>
          <t>https://lpjk.pu.go.id/search-badan-usaha-detail/RVExNEJmdERXY2ZlQkE1b2hzNFN2Zz09</t>
        </is>
      </c>
      <c r="F100" t="n">
        <v>5</v>
      </c>
      <c r="G100" t="inlineStr">
        <is>
          <t>BG001, BG003, BG005, BG006, BG009</t>
        </is>
      </c>
      <c r="H100" t="inlineStr">
        <is>
          <t>2 November 2015</t>
        </is>
      </c>
      <c r="I100" s="2" t="n">
        <v>46244</v>
      </c>
      <c r="J100" t="inlineStr">
        <is>
          <t>Disetujui</t>
        </is>
      </c>
      <c r="K100" t="n">
        <v>60</v>
      </c>
      <c r="L100" t="inlineStr">
        <is>
          <t>10 Agustus 2026</t>
        </is>
      </c>
      <c r="M100" t="inlineStr">
        <is>
          <t>Konstruksi Gedung Hunian, Konstruksi Gedung Industri, Konstruksi Gedung Kesehatan, Konstruksi Gedung Lainnya, Konstruksi Gedung Pendidikan</t>
        </is>
      </c>
      <c r="N100" t="inlineStr">
        <is>
          <t>K</t>
        </is>
      </c>
      <c r="O100" t="inlineStr">
        <is>
          <t>20230808</t>
        </is>
      </c>
      <c r="P100" t="inlineStr">
        <is>
          <t>Jawa Tengah</t>
        </is>
      </c>
      <c r="Q100" t="inlineStr"/>
    </row>
    <row r="101">
      <c r="A101" t="inlineStr">
        <is>
          <t>JAWA DWIPA</t>
        </is>
      </c>
      <c r="B101" t="inlineStr">
        <is>
          <t>Kab. Blitar</t>
        </is>
      </c>
      <c r="C101" t="inlineStr">
        <is>
          <t>081334415333</t>
        </is>
      </c>
      <c r="D101" t="inlineStr">
        <is>
          <t>jawadwipa2012@gmail.com</t>
        </is>
      </c>
      <c r="E101" t="inlineStr">
        <is>
          <t>https://lpjk.pu.go.id/search-badan-usaha-detail/THJiNHVBUzNFSDVrZWZsbzBJMmo5dz09</t>
        </is>
      </c>
      <c r="F101" t="n">
        <v>3</v>
      </c>
      <c r="G101" t="inlineStr">
        <is>
          <t>BG006, BS004</t>
        </is>
      </c>
      <c r="H101" t="inlineStr">
        <is>
          <t>5 September 2012</t>
        </is>
      </c>
      <c r="I101" s="2" t="n">
        <v>46244</v>
      </c>
      <c r="J101" t="inlineStr">
        <is>
          <t>Disetujui</t>
        </is>
      </c>
      <c r="K101" t="n">
        <v>60</v>
      </c>
      <c r="L101" t="inlineStr">
        <is>
          <t>10 Agustus 2026</t>
        </is>
      </c>
      <c r="M101" t="inlineStr">
        <is>
          <t>Konstruksi Gedung Pendidikan, Konstruksi Jaringan Irigasi dan Drainase</t>
        </is>
      </c>
      <c r="N101" t="inlineStr">
        <is>
          <t>K</t>
        </is>
      </c>
      <c r="O101" t="inlineStr">
        <is>
          <t>20230804, 20230809</t>
        </is>
      </c>
      <c r="P101" t="inlineStr">
        <is>
          <t>Jawa Timur</t>
        </is>
      </c>
      <c r="Q101" t="inlineStr"/>
    </row>
    <row r="102">
      <c r="A102" t="inlineStr">
        <is>
          <t>JAWARA KONSTRUKSI INDONESIA</t>
        </is>
      </c>
      <c r="B102" t="inlineStr">
        <is>
          <t>Kab. Sleman</t>
        </is>
      </c>
      <c r="C102" t="inlineStr">
        <is>
          <t>082386569813</t>
        </is>
      </c>
      <c r="D102" t="inlineStr">
        <is>
          <t>jawarakonstruksiindonesia@gmail.com</t>
        </is>
      </c>
      <c r="E102" t="inlineStr">
        <is>
          <t>https://lpjk.pu.go.id/search-badan-usaha-detail/TGdaTnloaWxaRzVlVVJaN1FwNG1sUT09</t>
        </is>
      </c>
      <c r="F102" t="n">
        <v>2</v>
      </c>
      <c r="G102" t="inlineStr">
        <is>
          <t>BG002</t>
        </is>
      </c>
      <c r="H102" t="inlineStr">
        <is>
          <t>10 Juli 2023</t>
        </is>
      </c>
      <c r="I102" s="2" t="n">
        <v>46244</v>
      </c>
      <c r="J102" t="inlineStr">
        <is>
          <t>Disetujui</t>
        </is>
      </c>
      <c r="K102" t="n">
        <v>60</v>
      </c>
      <c r="L102" t="inlineStr">
        <is>
          <t>10 Agustus 2026</t>
        </is>
      </c>
      <c r="M102" t="inlineStr">
        <is>
          <t>Konstruksi Gedung Perkantoran</t>
        </is>
      </c>
      <c r="N102" t="inlineStr">
        <is>
          <t>K</t>
        </is>
      </c>
      <c r="O102" t="inlineStr">
        <is>
          <t>20230810</t>
        </is>
      </c>
      <c r="P102" t="inlineStr">
        <is>
          <t>DI Yogyakarta</t>
        </is>
      </c>
      <c r="Q102" t="inlineStr"/>
    </row>
    <row r="103">
      <c r="A103" t="inlineStr">
        <is>
          <t>JAYA BARU KONSTRUKSI</t>
        </is>
      </c>
      <c r="B103" t="inlineStr">
        <is>
          <t>Kab. Tanah Bumbu</t>
        </is>
      </c>
      <c r="C103" t="inlineStr">
        <is>
          <t>081215137178</t>
        </is>
      </c>
      <c r="D103" t="inlineStr">
        <is>
          <t>jbkontruksi2020@gmail.com</t>
        </is>
      </c>
      <c r="E103" t="inlineStr">
        <is>
          <t>https://lpjk.pu.go.id/search-badan-usaha-detail/QStpT2tCcC9JSzgzd0JGS1JBWlBCZz09</t>
        </is>
      </c>
      <c r="F103" t="n">
        <v>6</v>
      </c>
      <c r="G103" t="inlineStr">
        <is>
          <t>BG001, BG002, BG005, BG006, BS002, BS004</t>
        </is>
      </c>
      <c r="H103" t="inlineStr">
        <is>
          <t>10 Mei 2019</t>
        </is>
      </c>
      <c r="I103" s="2" t="n">
        <v>46244</v>
      </c>
      <c r="J103" t="inlineStr">
        <is>
          <t>Disetujui, Pencabutan</t>
        </is>
      </c>
      <c r="K103" t="n">
        <v>60</v>
      </c>
      <c r="L103" t="inlineStr">
        <is>
          <t>10 Agustus 2026</t>
        </is>
      </c>
      <c r="M103" t="inlineStr">
        <is>
          <t>Bangunan Sipil Jembatan, Jalan Layang, Fly Over, dan Underpass, Konstruksi Gedung Hunian, Konstruksi Gedung Kesehatan, Konstruksi Gedung Pendidikan, Konstruksi Gedung Perkantoran, Konstruksi Jaringan Irigasi dan Drainase</t>
        </is>
      </c>
      <c r="N103" t="inlineStr">
        <is>
          <t>K</t>
        </is>
      </c>
      <c r="O103" t="inlineStr">
        <is>
          <t>20230727, 20230729</t>
        </is>
      </c>
      <c r="P103" t="inlineStr">
        <is>
          <t>Kalimantan Selatan</t>
        </is>
      </c>
      <c r="Q103" t="inlineStr"/>
    </row>
    <row r="104">
      <c r="A104" t="inlineStr">
        <is>
          <t>KANAYA UTAMA RAYA</t>
        </is>
      </c>
      <c r="B104" t="inlineStr">
        <is>
          <t>Kab. Sanggau</t>
        </is>
      </c>
      <c r="C104" t="inlineStr">
        <is>
          <t>082255594484</t>
        </is>
      </c>
      <c r="D104" t="inlineStr">
        <is>
          <t>kanayautamaraya@gmail.com</t>
        </is>
      </c>
      <c r="E104" t="inlineStr">
        <is>
          <t>https://lpjk.pu.go.id/search-badan-usaha-detail/OVBTK0ZkU2p2NEdlMzBseDNWSE5IZz09</t>
        </is>
      </c>
      <c r="F104" t="n">
        <v>2</v>
      </c>
      <c r="G104" t="inlineStr">
        <is>
          <t>BG006, BS005</t>
        </is>
      </c>
      <c r="H104" t="inlineStr">
        <is>
          <t>4 Juli 2023</t>
        </is>
      </c>
      <c r="I104" s="2" t="n">
        <v>46244</v>
      </c>
      <c r="J104" t="inlineStr">
        <is>
          <t>Disetujui</t>
        </is>
      </c>
      <c r="K104" t="n">
        <v>60</v>
      </c>
      <c r="L104" t="inlineStr">
        <is>
          <t>10 Agustus 2026</t>
        </is>
      </c>
      <c r="M104" t="inlineStr">
        <is>
          <t>Konstruksi Bangunan Sipil Pengolahan Air Bersih, Konstruksi Gedung Pendidikan</t>
        </is>
      </c>
      <c r="N104" t="inlineStr">
        <is>
          <t>K</t>
        </is>
      </c>
      <c r="O104" t="inlineStr">
        <is>
          <t>20230804</t>
        </is>
      </c>
      <c r="P104" t="inlineStr">
        <is>
          <t>Kalimantan Barat</t>
        </is>
      </c>
      <c r="Q104" t="inlineStr"/>
    </row>
    <row r="105">
      <c r="A105" t="inlineStr">
        <is>
          <t>KARUNIA INDOTAMA GROUP</t>
        </is>
      </c>
      <c r="B105" t="inlineStr">
        <is>
          <t>Kab. Pasangkayu</t>
        </is>
      </c>
      <c r="C105" t="inlineStr">
        <is>
          <t>085340297500</t>
        </is>
      </c>
      <c r="D105" t="inlineStr">
        <is>
          <t>karuniaindotamagroup@gmail.com</t>
        </is>
      </c>
      <c r="E105" t="inlineStr">
        <is>
          <t>https://lpjk.pu.go.id/search-badan-usaha-detail/WG5XUlhQcWROdjRSVGRpWTJ4VHF0dz09</t>
        </is>
      </c>
      <c r="F105" t="n">
        <v>1</v>
      </c>
      <c r="G105" t="inlineStr">
        <is>
          <t>BS001</t>
        </is>
      </c>
      <c r="H105" t="inlineStr">
        <is>
          <t>7 Agustus 2023</t>
        </is>
      </c>
      <c r="I105" s="2" t="n">
        <v>46244</v>
      </c>
      <c r="J105" t="inlineStr">
        <is>
          <t>Disetujui</t>
        </is>
      </c>
      <c r="K105" t="n">
        <v>60</v>
      </c>
      <c r="L105" t="inlineStr">
        <is>
          <t>10 Agustus 2026</t>
        </is>
      </c>
      <c r="M105" t="inlineStr">
        <is>
          <t>Konstruksi Bangunan Sipil Jalan</t>
        </is>
      </c>
      <c r="N105" t="inlineStr">
        <is>
          <t>K</t>
        </is>
      </c>
      <c r="O105" t="inlineStr">
        <is>
          <t>20230810</t>
        </is>
      </c>
      <c r="P105" t="inlineStr">
        <is>
          <t>Sulawesi Barat</t>
        </is>
      </c>
      <c r="Q105" t="inlineStr"/>
    </row>
    <row r="106">
      <c r="A106" t="inlineStr">
        <is>
          <t>KARYA BARU PANNAMPU</t>
        </is>
      </c>
      <c r="B106" t="inlineStr">
        <is>
          <t>Kota Makassar</t>
        </is>
      </c>
      <c r="C106" t="inlineStr">
        <is>
          <t>0411453734</t>
        </is>
      </c>
      <c r="D106" t="inlineStr">
        <is>
          <t>karyabaru_mks@yahoo.com</t>
        </is>
      </c>
      <c r="E106" t="inlineStr">
        <is>
          <t>https://lpjk.pu.go.id/search-badan-usaha-detail/SG9aUTh4Sys2TjhKVWVQd3ltb0ExUT09</t>
        </is>
      </c>
      <c r="F106" t="n">
        <v>1</v>
      </c>
      <c r="G106" t="inlineStr">
        <is>
          <t>BG001</t>
        </is>
      </c>
      <c r="H106" t="inlineStr">
        <is>
          <t>20 Juni 2008</t>
        </is>
      </c>
      <c r="I106" s="2" t="n">
        <v>46244</v>
      </c>
      <c r="J106" t="inlineStr">
        <is>
          <t>Disetujui</t>
        </is>
      </c>
      <c r="K106" t="n">
        <v>60</v>
      </c>
      <c r="L106" t="inlineStr">
        <is>
          <t>10 Agustus 2026</t>
        </is>
      </c>
      <c r="M106" t="inlineStr">
        <is>
          <t>Konstruksi Gedung Hunian</t>
        </is>
      </c>
      <c r="N106" t="inlineStr">
        <is>
          <t>M</t>
        </is>
      </c>
      <c r="O106" t="inlineStr">
        <is>
          <t>20230807</t>
        </is>
      </c>
      <c r="P106" t="inlineStr">
        <is>
          <t>Sulawesi Selatan</t>
        </is>
      </c>
      <c r="Q106" t="inlineStr"/>
    </row>
    <row r="107">
      <c r="A107" t="inlineStr">
        <is>
          <t>KARYA ESHA UTAMA</t>
        </is>
      </c>
      <c r="B107" t="inlineStr">
        <is>
          <t>Kab. Trenggalek</t>
        </is>
      </c>
      <c r="C107" t="inlineStr">
        <is>
          <t>085156036395</t>
        </is>
      </c>
      <c r="D107" t="inlineStr">
        <is>
          <t>cv.karyaeshautama@gmail.com</t>
        </is>
      </c>
      <c r="E107" t="inlineStr">
        <is>
          <t>https://lpjk.pu.go.id/search-badan-usaha-detail/UjV3TTFSNzJqakdQcC9vNjRYY0p3Zz09</t>
        </is>
      </c>
      <c r="F107" t="n">
        <v>1</v>
      </c>
      <c r="G107" t="inlineStr">
        <is>
          <t>BS001</t>
        </is>
      </c>
      <c r="H107" t="inlineStr">
        <is>
          <t>13 Juli 1994</t>
        </is>
      </c>
      <c r="I107" s="2" t="n">
        <v>46244</v>
      </c>
      <c r="J107" t="inlineStr">
        <is>
          <t>Disetujui</t>
        </is>
      </c>
      <c r="K107" t="n">
        <v>60</v>
      </c>
      <c r="L107" t="inlineStr">
        <is>
          <t>10 Agustus 2026</t>
        </is>
      </c>
      <c r="M107" t="inlineStr">
        <is>
          <t>Konstruksi Bangunan Sipil Jalan</t>
        </is>
      </c>
      <c r="N107" t="inlineStr">
        <is>
          <t>K</t>
        </is>
      </c>
      <c r="O107" t="inlineStr">
        <is>
          <t>20230802</t>
        </is>
      </c>
      <c r="P107" t="inlineStr">
        <is>
          <t>Jawa Timur</t>
        </is>
      </c>
      <c r="Q107" t="inlineStr"/>
    </row>
    <row r="108">
      <c r="A108" t="inlineStr">
        <is>
          <t>KARYA PEMBANGUNAN KONSTRUKSI</t>
        </is>
      </c>
      <c r="B108" t="inlineStr">
        <is>
          <t>Kab. Parigi Moutong</t>
        </is>
      </c>
      <c r="C108" t="inlineStr">
        <is>
          <t>081356556630</t>
        </is>
      </c>
      <c r="D108" t="inlineStr">
        <is>
          <t>kpk.karyapembangunankonstruksi@gmail.com</t>
        </is>
      </c>
      <c r="E108" t="inlineStr">
        <is>
          <t>https://lpjk.pu.go.id/search-badan-usaha-detail/aDlHK01tbWpLWTJIaHdEUmFvK0c3QT09</t>
        </is>
      </c>
      <c r="F108" t="n">
        <v>1</v>
      </c>
      <c r="G108" t="inlineStr">
        <is>
          <t>BS001</t>
        </is>
      </c>
      <c r="H108" t="inlineStr">
        <is>
          <t>14 November 2022</t>
        </is>
      </c>
      <c r="I108" s="2" t="n">
        <v>46244</v>
      </c>
      <c r="J108" t="inlineStr">
        <is>
          <t>Disetujui</t>
        </is>
      </c>
      <c r="K108" t="n">
        <v>60</v>
      </c>
      <c r="L108" t="inlineStr">
        <is>
          <t>10 Agustus 2026</t>
        </is>
      </c>
      <c r="M108" t="inlineStr">
        <is>
          <t>Konstruksi Bangunan Sipil Jalan</t>
        </is>
      </c>
      <c r="N108" t="inlineStr">
        <is>
          <t>K</t>
        </is>
      </c>
      <c r="O108" t="inlineStr">
        <is>
          <t>20230810</t>
        </is>
      </c>
      <c r="P108" t="inlineStr">
        <is>
          <t>Sulawesi Tengah</t>
        </is>
      </c>
      <c r="Q108" t="inlineStr"/>
    </row>
    <row r="109">
      <c r="A109" t="inlineStr">
        <is>
          <t>KARYA PRIBUMI</t>
        </is>
      </c>
      <c r="B109" t="inlineStr">
        <is>
          <t>Kab. Blitar</t>
        </is>
      </c>
      <c r="C109" t="inlineStr">
        <is>
          <t>085645757089</t>
        </is>
      </c>
      <c r="D109" t="inlineStr">
        <is>
          <t>cv.karyapribumi@yahoo.com</t>
        </is>
      </c>
      <c r="E109" t="inlineStr">
        <is>
          <t>https://lpjk.pu.go.id/search-badan-usaha-detail/eW5GQngxbnB0N01SY0hjVEhUSm1TZz09</t>
        </is>
      </c>
      <c r="F109" t="n">
        <v>1</v>
      </c>
      <c r="G109" t="inlineStr">
        <is>
          <t>BS004</t>
        </is>
      </c>
      <c r="H109" t="inlineStr">
        <is>
          <t>12 Maret 2015</t>
        </is>
      </c>
      <c r="I109" s="2" t="n">
        <v>46244</v>
      </c>
      <c r="J109" t="inlineStr">
        <is>
          <t>Pencabutan</t>
        </is>
      </c>
      <c r="K109" t="n">
        <v>60</v>
      </c>
      <c r="L109" t="inlineStr">
        <is>
          <t>10 Agustus 2026</t>
        </is>
      </c>
      <c r="M109" t="inlineStr">
        <is>
          <t>Konstruksi Jaringan Irigasi dan Drainase</t>
        </is>
      </c>
      <c r="N109" t="inlineStr">
        <is>
          <t>K</t>
        </is>
      </c>
      <c r="O109" t="inlineStr">
        <is>
          <t>20230807</t>
        </is>
      </c>
      <c r="P109" t="inlineStr">
        <is>
          <t>Jawa Timur</t>
        </is>
      </c>
      <c r="Q109" t="inlineStr"/>
    </row>
    <row r="110">
      <c r="A110" t="inlineStr">
        <is>
          <t>KASTARA PUTRA PERKASA</t>
        </is>
      </c>
      <c r="B110" t="inlineStr">
        <is>
          <t>Kota Kendari</t>
        </is>
      </c>
      <c r="C110" t="inlineStr">
        <is>
          <t>085340593377</t>
        </is>
      </c>
      <c r="D110" t="inlineStr">
        <is>
          <t>kastaraputraperkasa@gmail.com</t>
        </is>
      </c>
      <c r="E110" t="inlineStr">
        <is>
          <t>https://lpjk.pu.go.id/search-badan-usaha-detail/L2JqYjFqeVNXY2tHMUw3TThTRXBidz09</t>
        </is>
      </c>
      <c r="F110" t="n">
        <v>2</v>
      </c>
      <c r="G110" t="inlineStr">
        <is>
          <t>BG002, BG005</t>
        </is>
      </c>
      <c r="H110" t="inlineStr">
        <is>
          <t>30 Juni 2023</t>
        </is>
      </c>
      <c r="I110" s="2" t="n">
        <v>46244</v>
      </c>
      <c r="J110" t="inlineStr">
        <is>
          <t>Pencabutan</t>
        </is>
      </c>
      <c r="K110" t="n">
        <v>60</v>
      </c>
      <c r="L110" t="inlineStr">
        <is>
          <t>10 Agustus 2026</t>
        </is>
      </c>
      <c r="M110" t="inlineStr">
        <is>
          <t>Konstruksi Gedung Kesehatan, Konstruksi Gedung Perkantoran</t>
        </is>
      </c>
      <c r="N110" t="inlineStr">
        <is>
          <t>K</t>
        </is>
      </c>
      <c r="O110" t="inlineStr">
        <is>
          <t>20230810, 20230811</t>
        </is>
      </c>
      <c r="P110" t="inlineStr">
        <is>
          <t>Sulawesi Tenggara</t>
        </is>
      </c>
      <c r="Q110" t="inlineStr"/>
    </row>
    <row r="111">
      <c r="A111" t="inlineStr">
        <is>
          <t>KHARISMA AKBAR</t>
        </is>
      </c>
      <c r="B111" t="inlineStr">
        <is>
          <t>Kota Pontianak</t>
        </is>
      </c>
      <c r="C111" t="inlineStr">
        <is>
          <t>085822392400</t>
        </is>
      </c>
      <c r="D111" t="inlineStr">
        <is>
          <t>cvkhabar2019@gmail.com</t>
        </is>
      </c>
      <c r="E111" t="inlineStr">
        <is>
          <t>https://lpjk.pu.go.id/search-badan-usaha-detail/akxEZ0Zud3c3b2VIQVk2TS9vNkwwQT09</t>
        </is>
      </c>
      <c r="F111" t="n">
        <v>2</v>
      </c>
      <c r="G111" t="inlineStr">
        <is>
          <t>BS004</t>
        </is>
      </c>
      <c r="H111" t="inlineStr">
        <is>
          <t>21 Januari 2019</t>
        </is>
      </c>
      <c r="I111" s="2" t="n">
        <v>46244</v>
      </c>
      <c r="J111" t="inlineStr">
        <is>
          <t>Disetujui</t>
        </is>
      </c>
      <c r="K111" t="n">
        <v>60</v>
      </c>
      <c r="L111" t="inlineStr">
        <is>
          <t>10 Agustus 2026</t>
        </is>
      </c>
      <c r="M111" t="inlineStr">
        <is>
          <t>Konstruksi Jaringan Irigasi dan Drainase</t>
        </is>
      </c>
      <c r="N111" t="inlineStr">
        <is>
          <t>K</t>
        </is>
      </c>
      <c r="O111" t="inlineStr">
        <is>
          <t>20230808</t>
        </is>
      </c>
      <c r="P111" t="inlineStr">
        <is>
          <t>Kalimantan Barat</t>
        </is>
      </c>
      <c r="Q111" t="inlineStr"/>
    </row>
    <row r="112">
      <c r="A112" t="inlineStr">
        <is>
          <t>KHARISMA REMAJA</t>
        </is>
      </c>
      <c r="B112" t="inlineStr">
        <is>
          <t>Kab. Probolinggo</t>
        </is>
      </c>
      <c r="C112" t="inlineStr">
        <is>
          <t>085645205205</t>
        </is>
      </c>
      <c r="D112" t="inlineStr">
        <is>
          <t>yulius.kharisma.remaja@gmail.com</t>
        </is>
      </c>
      <c r="E112" t="inlineStr">
        <is>
          <t>https://lpjk.pu.go.id/search-badan-usaha-detail/OTYxVU8wMXFPQ1pMdjJMR09ZVitsUT09</t>
        </is>
      </c>
      <c r="F112" t="n">
        <v>2</v>
      </c>
      <c r="G112" t="inlineStr">
        <is>
          <t>BS001</t>
        </is>
      </c>
      <c r="H112" t="inlineStr">
        <is>
          <t>21 Juli 1992</t>
        </is>
      </c>
      <c r="I112" s="2" t="n">
        <v>46244</v>
      </c>
      <c r="J112" t="inlineStr">
        <is>
          <t>Disetujui</t>
        </is>
      </c>
      <c r="K112" t="n">
        <v>60</v>
      </c>
      <c r="L112" t="inlineStr">
        <is>
          <t>10 Agustus 2026</t>
        </is>
      </c>
      <c r="M112" t="inlineStr">
        <is>
          <t>Konstruksi Bangunan Sipil Jalan</t>
        </is>
      </c>
      <c r="N112" t="inlineStr">
        <is>
          <t>K</t>
        </is>
      </c>
      <c r="O112" t="inlineStr">
        <is>
          <t>20230802</t>
        </is>
      </c>
      <c r="P112" t="inlineStr">
        <is>
          <t>Jawa Timur</t>
        </is>
      </c>
      <c r="Q112" t="inlineStr"/>
    </row>
    <row r="113">
      <c r="A113" t="inlineStr">
        <is>
          <t>KINARA</t>
        </is>
      </c>
      <c r="B113" t="inlineStr">
        <is>
          <t>Kab. Lombok Timur</t>
        </is>
      </c>
      <c r="C113" t="inlineStr">
        <is>
          <t>087763309090</t>
        </is>
      </c>
      <c r="D113" t="inlineStr">
        <is>
          <t>kinaracv30@gmail.com</t>
        </is>
      </c>
      <c r="E113" t="inlineStr">
        <is>
          <t>https://lpjk.pu.go.id/search-badan-usaha-detail/aGZsUzR6d3NXWnhwU1RWVm1nZXgxQT09</t>
        </is>
      </c>
      <c r="F113" t="n">
        <v>6</v>
      </c>
      <c r="G113" t="inlineStr">
        <is>
          <t>BG005, BG006, BG009</t>
        </is>
      </c>
      <c r="H113" t="inlineStr">
        <is>
          <t>10 Juli 2020</t>
        </is>
      </c>
      <c r="I113" s="2" t="n">
        <v>46244</v>
      </c>
      <c r="J113" t="inlineStr">
        <is>
          <t>Disetujui</t>
        </is>
      </c>
      <c r="K113" t="n">
        <v>60</v>
      </c>
      <c r="L113" t="inlineStr">
        <is>
          <t>10 Agustus 2026</t>
        </is>
      </c>
      <c r="M113" t="inlineStr">
        <is>
          <t>Konstruksi Gedung Kesehatan, Konstruksi Gedung Lainnya, Konstruksi Gedung Pendidikan</t>
        </is>
      </c>
      <c r="N113" t="inlineStr">
        <is>
          <t>K</t>
        </is>
      </c>
      <c r="O113" t="inlineStr">
        <is>
          <t>20230807</t>
        </is>
      </c>
      <c r="P113" t="inlineStr">
        <is>
          <t>Nusa Tenggara Barat</t>
        </is>
      </c>
      <c r="Q113" t="inlineStr"/>
    </row>
    <row r="114">
      <c r="A114" t="inlineStr">
        <is>
          <t>KUTARAJA LESTARI</t>
        </is>
      </c>
      <c r="B114" t="inlineStr">
        <is>
          <t>Kota Banda Aceh</t>
        </is>
      </c>
      <c r="C114" t="inlineStr">
        <is>
          <t>082284378817</t>
        </is>
      </c>
      <c r="D114" t="inlineStr">
        <is>
          <t>cv.kutarajalestari@gmail.com</t>
        </is>
      </c>
      <c r="E114" t="inlineStr">
        <is>
          <t>https://lpjk.pu.go.id/search-badan-usaha-detail/L2NqdzExaHRBRE80aVFrYXk1dVFydz09</t>
        </is>
      </c>
      <c r="F114" t="n">
        <v>1</v>
      </c>
      <c r="G114" t="inlineStr">
        <is>
          <t>BS006</t>
        </is>
      </c>
      <c r="H114" t="inlineStr">
        <is>
          <t>4 Maret 2006</t>
        </is>
      </c>
      <c r="I114" s="2" t="n">
        <v>46244</v>
      </c>
      <c r="J114" t="inlineStr">
        <is>
          <t>Disetujui</t>
        </is>
      </c>
      <c r="K114" t="n">
        <v>60</v>
      </c>
      <c r="L114" t="inlineStr">
        <is>
          <t>10 Agustus 2026</t>
        </is>
      </c>
      <c r="M114" t="inlineStr">
        <is>
          <t>Konstruksi Bangunan Sipil Prasarana dan Sarana Sistem Pengolahan Limbah Padat, Cair, dan Gas</t>
        </is>
      </c>
      <c r="N114" t="inlineStr">
        <is>
          <t>K</t>
        </is>
      </c>
      <c r="O114" t="inlineStr">
        <is>
          <t>20230808</t>
        </is>
      </c>
      <c r="P114" t="inlineStr">
        <is>
          <t>Aceh</t>
        </is>
      </c>
      <c r="Q114" t="inlineStr"/>
    </row>
    <row r="115">
      <c r="A115" t="inlineStr">
        <is>
          <t>LAKSANA QUANTUM KONSTRUKSI</t>
        </is>
      </c>
      <c r="B115" t="inlineStr">
        <is>
          <t>Kota Bandar Lampung</t>
        </is>
      </c>
      <c r="C115" t="inlineStr">
        <is>
          <t>08117999330</t>
        </is>
      </c>
      <c r="D115" t="inlineStr">
        <is>
          <t>laksanaquantumkonst@gmail.com</t>
        </is>
      </c>
      <c r="E115" t="inlineStr">
        <is>
          <t>https://lpjk.pu.go.id/search-badan-usaha-detail/UzJHdVYxUE5BVEtCR0JhbTF2Yno2dz09</t>
        </is>
      </c>
      <c r="F115" t="n">
        <v>2</v>
      </c>
      <c r="G115" t="inlineStr">
        <is>
          <t>BG003, BG009</t>
        </is>
      </c>
      <c r="H115" t="inlineStr">
        <is>
          <t>20 Agustus 2014</t>
        </is>
      </c>
      <c r="I115" s="2" t="n">
        <v>46244</v>
      </c>
      <c r="J115" t="inlineStr">
        <is>
          <t>Disetujui</t>
        </is>
      </c>
      <c r="K115" t="n">
        <v>60</v>
      </c>
      <c r="L115" t="inlineStr">
        <is>
          <t>10 Agustus 2026</t>
        </is>
      </c>
      <c r="M115" t="inlineStr">
        <is>
          <t>Konstruksi Gedung Industri, Konstruksi Gedung Lainnya</t>
        </is>
      </c>
      <c r="N115" t="inlineStr">
        <is>
          <t>K</t>
        </is>
      </c>
      <c r="O115" t="inlineStr">
        <is>
          <t>20230802</t>
        </is>
      </c>
      <c r="P115" t="inlineStr">
        <is>
          <t>Lampung</t>
        </is>
      </c>
      <c r="Q115" t="inlineStr"/>
    </row>
    <row r="116">
      <c r="A116" t="inlineStr">
        <is>
          <t>LENTERA ICON</t>
        </is>
      </c>
      <c r="B116" t="inlineStr">
        <is>
          <t>Kab. Sidoarjo</t>
        </is>
      </c>
      <c r="C116" t="inlineStr">
        <is>
          <t>081330927127</t>
        </is>
      </c>
      <c r="D116" t="inlineStr">
        <is>
          <t>lentera.icon@gmail.com</t>
        </is>
      </c>
      <c r="E116" t="inlineStr">
        <is>
          <t>https://lpjk.pu.go.id/search-badan-usaha-detail/ZFlXSTdScE9wbEVVZmZqN09iWTJ3Zz09</t>
        </is>
      </c>
      <c r="F116" t="n">
        <v>1</v>
      </c>
      <c r="G116" t="inlineStr">
        <is>
          <t>RK003</t>
        </is>
      </c>
      <c r="H116" t="inlineStr">
        <is>
          <t>18 September 2022</t>
        </is>
      </c>
      <c r="I116" s="2" t="n">
        <v>46244</v>
      </c>
      <c r="J116" t="inlineStr">
        <is>
          <t>Disetujui</t>
        </is>
      </c>
      <c r="K116" t="n">
        <v>60</v>
      </c>
      <c r="L116" t="inlineStr">
        <is>
          <t>10 Agustus 2026</t>
        </is>
      </c>
      <c r="M116" t="inlineStr">
        <is>
          <t>Jasa Rekayasa Pekerjaan Teknik Sipil Transportasi</t>
        </is>
      </c>
      <c r="N116" t="inlineStr">
        <is>
          <t>K</t>
        </is>
      </c>
      <c r="O116" t="inlineStr">
        <is>
          <t>20230801</t>
        </is>
      </c>
      <c r="P116" t="inlineStr">
        <is>
          <t>Jawa Timur</t>
        </is>
      </c>
      <c r="Q116" t="inlineStr"/>
    </row>
    <row r="117">
      <c r="A117" t="inlineStr">
        <is>
          <t>LIMA TUJUH</t>
        </is>
      </c>
      <c r="B117" t="inlineStr">
        <is>
          <t>Kab. Merauke</t>
        </is>
      </c>
      <c r="C117" t="inlineStr">
        <is>
          <t>081344450310</t>
        </is>
      </c>
      <c r="D117" t="inlineStr">
        <is>
          <t>CV.LIMATUJUH57@GMAIL.COM</t>
        </is>
      </c>
      <c r="E117" t="inlineStr">
        <is>
          <t>https://lpjk.pu.go.id/search-badan-usaha-detail/RHpZR1hnM1l0N09TZ0t2UWNXdjF6UT09</t>
        </is>
      </c>
      <c r="F117" t="n">
        <v>2</v>
      </c>
      <c r="G117" t="inlineStr">
        <is>
          <t>BG001, BG006</t>
        </is>
      </c>
      <c r="H117" t="inlineStr">
        <is>
          <t>26 November 2010</t>
        </is>
      </c>
      <c r="I117" s="2" t="n">
        <v>46244</v>
      </c>
      <c r="J117" t="inlineStr">
        <is>
          <t>Disetujui</t>
        </is>
      </c>
      <c r="K117" t="n">
        <v>60</v>
      </c>
      <c r="L117" t="inlineStr">
        <is>
          <t>10 Agustus 2026</t>
        </is>
      </c>
      <c r="M117" t="inlineStr">
        <is>
          <t>Konstruksi Gedung Hunian, Konstruksi Gedung Pendidikan</t>
        </is>
      </c>
      <c r="N117" t="inlineStr">
        <is>
          <t>K</t>
        </is>
      </c>
      <c r="O117" t="inlineStr">
        <is>
          <t>20220810, 20230804</t>
        </is>
      </c>
      <c r="P117" t="inlineStr">
        <is>
          <t>Papua</t>
        </is>
      </c>
      <c r="Q117" t="inlineStr"/>
    </row>
    <row r="118">
      <c r="A118" t="inlineStr">
        <is>
          <t>MAHER KONSTRUKSI</t>
        </is>
      </c>
      <c r="B118" t="inlineStr">
        <is>
          <t>Kota Banjarbaru</t>
        </is>
      </c>
      <c r="C118" t="inlineStr">
        <is>
          <t>082132968646</t>
        </is>
      </c>
      <c r="D118" t="inlineStr">
        <is>
          <t>cvmaherkonstruksi@gmail.com</t>
        </is>
      </c>
      <c r="E118" t="inlineStr">
        <is>
          <t>https://lpjk.pu.go.id/search-badan-usaha-detail/M0NPYmVJcC9WaVh1akRtTDU3YWdnUT09</t>
        </is>
      </c>
      <c r="F118" t="n">
        <v>1</v>
      </c>
      <c r="G118" t="inlineStr">
        <is>
          <t>BG006</t>
        </is>
      </c>
      <c r="H118" t="inlineStr">
        <is>
          <t>2 Maret 2022</t>
        </is>
      </c>
      <c r="I118" s="2" t="n">
        <v>46244</v>
      </c>
      <c r="J118" t="inlineStr">
        <is>
          <t>Disetujui</t>
        </is>
      </c>
      <c r="K118" t="n">
        <v>60</v>
      </c>
      <c r="L118" t="inlineStr">
        <is>
          <t>10 Agustus 2026</t>
        </is>
      </c>
      <c r="M118" t="inlineStr">
        <is>
          <t>Konstruksi Gedung Pendidikan</t>
        </is>
      </c>
      <c r="N118" t="inlineStr">
        <is>
          <t>K</t>
        </is>
      </c>
      <c r="O118" t="inlineStr">
        <is>
          <t>20230807</t>
        </is>
      </c>
      <c r="P118" t="inlineStr">
        <is>
          <t>Kalimantan Selatan</t>
        </is>
      </c>
      <c r="Q118" t="inlineStr"/>
    </row>
    <row r="119">
      <c r="A119" t="inlineStr">
        <is>
          <t>MANDIRI</t>
        </is>
      </c>
      <c r="B119" t="inlineStr">
        <is>
          <t>Kota Palu</t>
        </is>
      </c>
      <c r="C119" t="inlineStr">
        <is>
          <t>0811452422</t>
        </is>
      </c>
      <c r="D119" t="inlineStr">
        <is>
          <t>cvmandiri69@gmail.com</t>
        </is>
      </c>
      <c r="E119" t="inlineStr">
        <is>
          <t>https://lpjk.pu.go.id/search-badan-usaha-detail/WEhHTWRtcG5oeXRQTGR3SWVqVDZaUT09</t>
        </is>
      </c>
      <c r="F119" t="n">
        <v>3</v>
      </c>
      <c r="G119" t="inlineStr">
        <is>
          <t>BG002, BG005, BG006</t>
        </is>
      </c>
      <c r="H119" t="inlineStr">
        <is>
          <t>22 Juni 2012</t>
        </is>
      </c>
      <c r="I119" s="2" t="n">
        <v>46244</v>
      </c>
      <c r="J119" t="inlineStr">
        <is>
          <t>Disetujui</t>
        </is>
      </c>
      <c r="K119" t="n">
        <v>60</v>
      </c>
      <c r="L119" t="inlineStr">
        <is>
          <t>10 Agustus 2026</t>
        </is>
      </c>
      <c r="M119" t="inlineStr">
        <is>
          <t>Konstruksi Gedung Kesehatan, Konstruksi Gedung Pendidikan, Konstruksi Gedung Perkantoran</t>
        </is>
      </c>
      <c r="N119" t="inlineStr">
        <is>
          <t>K</t>
        </is>
      </c>
      <c r="O119" t="inlineStr">
        <is>
          <t>20230810</t>
        </is>
      </c>
      <c r="P119" t="inlineStr">
        <is>
          <t>Sulawesi Tengah</t>
        </is>
      </c>
      <c r="Q119" t="inlineStr"/>
    </row>
    <row r="120">
      <c r="A120" t="inlineStr">
        <is>
          <t>MARINDO ALFA SENTOSA</t>
        </is>
      </c>
      <c r="B120" t="inlineStr">
        <is>
          <t>Kota Batam</t>
        </is>
      </c>
      <c r="C120" t="inlineStr">
        <is>
          <t>082382198988</t>
        </is>
      </c>
      <c r="D120" t="inlineStr">
        <is>
          <t>malfasentosa@gmail.com</t>
        </is>
      </c>
      <c r="E120" t="inlineStr">
        <is>
          <t>https://lpjk.pu.go.id/search-badan-usaha-detail/YkRXelR2eDZuZlVmeE8rdjhRVm5GUT09</t>
        </is>
      </c>
      <c r="F120" t="n">
        <v>1</v>
      </c>
      <c r="G120" t="inlineStr">
        <is>
          <t>BS001</t>
        </is>
      </c>
      <c r="H120" t="inlineStr">
        <is>
          <t>17 Februari 2010</t>
        </is>
      </c>
      <c r="I120" s="2" t="n">
        <v>46244</v>
      </c>
      <c r="J120" t="inlineStr">
        <is>
          <t>Disetujui</t>
        </is>
      </c>
      <c r="K120" t="n">
        <v>60</v>
      </c>
      <c r="L120" t="inlineStr">
        <is>
          <t>10 Agustus 2026</t>
        </is>
      </c>
      <c r="M120" t="inlineStr">
        <is>
          <t>Konstruksi Bangunan Sipil Jalan</t>
        </is>
      </c>
      <c r="N120" t="inlineStr">
        <is>
          <t>K</t>
        </is>
      </c>
      <c r="O120" t="inlineStr">
        <is>
          <t>20230808</t>
        </is>
      </c>
      <c r="P120" t="inlineStr">
        <is>
          <t>Kepulauan Riau</t>
        </is>
      </c>
      <c r="Q120" t="inlineStr"/>
    </row>
    <row r="121">
      <c r="A121" t="inlineStr">
        <is>
          <t>MASSA PAPUA ABADI</t>
        </is>
      </c>
      <c r="B121" t="inlineStr">
        <is>
          <t>Kab. Manokwari</t>
        </is>
      </c>
      <c r="C121" t="inlineStr">
        <is>
          <t>0812-4780-3107</t>
        </is>
      </c>
      <c r="D121" t="inlineStr">
        <is>
          <t>cvmassapapuaabadi@gmail.com</t>
        </is>
      </c>
      <c r="E121" t="inlineStr">
        <is>
          <t>https://lpjk.pu.go.id/search-badan-usaha-detail/aWxqNlVMc3ozMTJaTmNEcmxlTWQ2UT09</t>
        </is>
      </c>
      <c r="F121" t="n">
        <v>4</v>
      </c>
      <c r="G121" t="inlineStr">
        <is>
          <t>BG001, BG006, BS001, BS004</t>
        </is>
      </c>
      <c r="H121" t="inlineStr">
        <is>
          <t>7 Agustus 2023</t>
        </is>
      </c>
      <c r="I121" s="2" t="n">
        <v>46244</v>
      </c>
      <c r="J121" t="inlineStr">
        <is>
          <t>Pembekuan, Pencabutan</t>
        </is>
      </c>
      <c r="K121" t="n">
        <v>60</v>
      </c>
      <c r="L121" t="inlineStr">
        <is>
          <t>10 Agustus 2026</t>
        </is>
      </c>
      <c r="M121" t="inlineStr">
        <is>
          <t>Konstruksi Bangunan Sipil Jalan, Konstruksi Gedung Hunian, Konstruksi Gedung Pendidikan, Konstruksi Jaringan Irigasi dan Drainase</t>
        </is>
      </c>
      <c r="N121" t="inlineStr">
        <is>
          <t>K</t>
        </is>
      </c>
      <c r="O121" t="inlineStr">
        <is>
          <t>20230807</t>
        </is>
      </c>
      <c r="P121" t="inlineStr">
        <is>
          <t>Papua Barat</t>
        </is>
      </c>
      <c r="Q121" t="inlineStr"/>
    </row>
    <row r="122">
      <c r="A122" t="inlineStr">
        <is>
          <t>MEGA COPILAS</t>
        </is>
      </c>
      <c r="B122" t="inlineStr">
        <is>
          <t>Kota Adm. Jakarta Selatan</t>
        </is>
      </c>
      <c r="C122" t="inlineStr">
        <is>
          <t>085226326526</t>
        </is>
      </c>
      <c r="D122" t="inlineStr">
        <is>
          <t>cv.megacopilasmc@yahoo.com</t>
        </is>
      </c>
      <c r="E122" t="inlineStr">
        <is>
          <t>https://lpjk.pu.go.id/search-badan-usaha-detail/M1AwR1l5bklSQ29xZC9FSURTOW9Jdz09</t>
        </is>
      </c>
      <c r="F122" t="n">
        <v>2</v>
      </c>
      <c r="G122" t="inlineStr">
        <is>
          <t>BG001</t>
        </is>
      </c>
      <c r="H122" t="inlineStr">
        <is>
          <t>1 April 2016</t>
        </is>
      </c>
      <c r="I122" s="2" t="n">
        <v>46244</v>
      </c>
      <c r="J122" t="inlineStr">
        <is>
          <t>Disetujui</t>
        </is>
      </c>
      <c r="K122" t="n">
        <v>60</v>
      </c>
      <c r="L122" t="inlineStr">
        <is>
          <t>10 Agustus 2026</t>
        </is>
      </c>
      <c r="M122" t="inlineStr">
        <is>
          <t>Konstruksi Gedung Hunian</t>
        </is>
      </c>
      <c r="N122" t="inlineStr">
        <is>
          <t>K</t>
        </is>
      </c>
      <c r="O122" t="inlineStr">
        <is>
          <t>20230411</t>
        </is>
      </c>
      <c r="P122" t="inlineStr">
        <is>
          <t>DKI Jakarta</t>
        </is>
      </c>
      <c r="Q122" t="inlineStr"/>
    </row>
    <row r="123">
      <c r="A123" t="inlineStr">
        <is>
          <t>MEISYA MEYLAN BANGUN PERSADA</t>
        </is>
      </c>
      <c r="B123" t="inlineStr">
        <is>
          <t>Kota Semarang</t>
        </is>
      </c>
      <c r="C123" t="inlineStr">
        <is>
          <t>081575562245</t>
        </is>
      </c>
      <c r="D123" t="inlineStr">
        <is>
          <t>cvmeisyameylanbp@gmail.com</t>
        </is>
      </c>
      <c r="E123" t="inlineStr">
        <is>
          <t>https://lpjk.pu.go.id/search-badan-usaha-detail/RmhsajcyQXhYOVJDTlVscENINHkyQT09</t>
        </is>
      </c>
      <c r="F123" t="n">
        <v>1</v>
      </c>
      <c r="G123" t="inlineStr">
        <is>
          <t>BG005</t>
        </is>
      </c>
      <c r="H123" t="inlineStr">
        <is>
          <t>17 September 2013</t>
        </is>
      </c>
      <c r="I123" s="2" t="n">
        <v>46244</v>
      </c>
      <c r="J123" t="inlineStr">
        <is>
          <t>Disetujui</t>
        </is>
      </c>
      <c r="K123" t="n">
        <v>60</v>
      </c>
      <c r="L123" t="inlineStr">
        <is>
          <t>10 Agustus 2026</t>
        </is>
      </c>
      <c r="M123" t="inlineStr">
        <is>
          <t>Konstruksi Gedung Kesehatan</t>
        </is>
      </c>
      <c r="N123" t="inlineStr">
        <is>
          <t>K</t>
        </is>
      </c>
      <c r="O123" t="inlineStr">
        <is>
          <t>20230809</t>
        </is>
      </c>
      <c r="P123" t="inlineStr">
        <is>
          <t>Jawa Tengah</t>
        </is>
      </c>
      <c r="Q123" t="inlineStr"/>
    </row>
    <row r="124">
      <c r="A124" t="inlineStr">
        <is>
          <t>MEKAR SARI</t>
        </is>
      </c>
      <c r="B124" t="inlineStr">
        <is>
          <t>Kab. Sidoarjo</t>
        </is>
      </c>
      <c r="C124" t="inlineStr">
        <is>
          <t>0318950345</t>
        </is>
      </c>
      <c r="D124" t="inlineStr">
        <is>
          <t>ms_grup@yahoo.com</t>
        </is>
      </c>
      <c r="E124" t="inlineStr">
        <is>
          <t>https://lpjk.pu.go.id/search-badan-usaha-detail/S3Y1VmpqbDBob2IrM2J0MlI1a0V1QT09</t>
        </is>
      </c>
      <c r="F124" t="n">
        <v>2</v>
      </c>
      <c r="G124" t="inlineStr">
        <is>
          <t>BS004</t>
        </is>
      </c>
      <c r="H124" t="inlineStr">
        <is>
          <t>28 Oktober 1987</t>
        </is>
      </c>
      <c r="I124" s="2" t="n">
        <v>46244</v>
      </c>
      <c r="J124" t="inlineStr">
        <is>
          <t>Disetujui</t>
        </is>
      </c>
      <c r="K124" t="n">
        <v>60</v>
      </c>
      <c r="L124" t="inlineStr">
        <is>
          <t>10 Agustus 2026</t>
        </is>
      </c>
      <c r="M124" t="inlineStr">
        <is>
          <t>Konstruksi Jaringan Irigasi dan Drainase</t>
        </is>
      </c>
      <c r="N124" t="inlineStr">
        <is>
          <t>K</t>
        </is>
      </c>
      <c r="O124" t="inlineStr">
        <is>
          <t>20230809</t>
        </is>
      </c>
      <c r="P124" t="inlineStr">
        <is>
          <t>Jawa Timur</t>
        </is>
      </c>
      <c r="Q124" t="inlineStr"/>
    </row>
    <row r="125">
      <c r="A125" t="inlineStr">
        <is>
          <t>MELATIKARYA</t>
        </is>
      </c>
      <c r="B125" t="inlineStr">
        <is>
          <t>Kab. Serdang Bedagai</t>
        </is>
      </c>
      <c r="C125" t="inlineStr">
        <is>
          <t>-</t>
        </is>
      </c>
      <c r="D125" t="inlineStr">
        <is>
          <t>CV.melatikarya02@gmail.com</t>
        </is>
      </c>
      <c r="E125" t="inlineStr">
        <is>
          <t>https://lpjk.pu.go.id/search-badan-usaha-detail/YlJaMDlhbTV0a21WMmZsZ3NJUnVQQT09</t>
        </is>
      </c>
      <c r="F125" t="n">
        <v>1</v>
      </c>
      <c r="G125" t="inlineStr">
        <is>
          <t>BG009</t>
        </is>
      </c>
      <c r="H125" t="inlineStr">
        <is>
          <t>15 Januari 2019</t>
        </is>
      </c>
      <c r="I125" s="2" t="n">
        <v>46244</v>
      </c>
      <c r="J125" t="inlineStr">
        <is>
          <t>Pencabutan</t>
        </is>
      </c>
      <c r="K125" t="n">
        <v>60</v>
      </c>
      <c r="L125" t="inlineStr">
        <is>
          <t>10 Agustus 2026</t>
        </is>
      </c>
      <c r="M125" t="inlineStr">
        <is>
          <t>Konstruksi Gedung Lainnya</t>
        </is>
      </c>
      <c r="N125" t="inlineStr">
        <is>
          <t>K</t>
        </is>
      </c>
      <c r="O125" t="inlineStr">
        <is>
          <t>20230811</t>
        </is>
      </c>
      <c r="P125" t="inlineStr">
        <is>
          <t>Sumatera Utara</t>
        </is>
      </c>
      <c r="Q125" t="inlineStr"/>
    </row>
    <row r="126">
      <c r="A126" t="inlineStr">
        <is>
          <t>MERAH DELIMA</t>
        </is>
      </c>
      <c r="B126" t="inlineStr">
        <is>
          <t>Kota Sawahlunto</t>
        </is>
      </c>
      <c r="C126" t="inlineStr">
        <is>
          <t>081266131535</t>
        </is>
      </c>
      <c r="D126" t="inlineStr">
        <is>
          <t>cv.merahdelima.mds@gmail.com</t>
        </is>
      </c>
      <c r="E126" t="inlineStr">
        <is>
          <t>https://lpjk.pu.go.id/search-badan-usaha-detail/M0VHbHZDa24wV3ZVMkluWkExOHVKUT09</t>
        </is>
      </c>
      <c r="F126" t="n">
        <v>1</v>
      </c>
      <c r="G126" t="inlineStr">
        <is>
          <t>BG009</t>
        </is>
      </c>
      <c r="H126" t="inlineStr">
        <is>
          <t>10 November 1986</t>
        </is>
      </c>
      <c r="I126" s="2" t="n">
        <v>46244</v>
      </c>
      <c r="J126" t="inlineStr">
        <is>
          <t>Disetujui</t>
        </is>
      </c>
      <c r="K126" t="n">
        <v>60</v>
      </c>
      <c r="L126" t="inlineStr">
        <is>
          <t>10 Agustus 2026</t>
        </is>
      </c>
      <c r="M126" t="inlineStr">
        <is>
          <t>Konstruksi Gedung Lainnya</t>
        </is>
      </c>
      <c r="N126" t="inlineStr">
        <is>
          <t>K</t>
        </is>
      </c>
      <c r="O126" t="inlineStr">
        <is>
          <t>20230728</t>
        </is>
      </c>
      <c r="P126" t="inlineStr">
        <is>
          <t>Sumatera Barat</t>
        </is>
      </c>
      <c r="Q126" t="inlineStr"/>
    </row>
    <row r="127">
      <c r="A127" t="inlineStr">
        <is>
          <t>MITRA JASA SEJATI</t>
        </is>
      </c>
      <c r="B127" t="inlineStr">
        <is>
          <t>Kota Pontianak</t>
        </is>
      </c>
      <c r="C127" t="inlineStr">
        <is>
          <t>08119799099</t>
        </is>
      </c>
      <c r="D127" t="inlineStr">
        <is>
          <t>mitra_js90@yahoo.com</t>
        </is>
      </c>
      <c r="E127" t="inlineStr">
        <is>
          <t>https://lpjk.pu.go.id/search-badan-usaha-detail/Q3BmUklzWm1mcHhpcyttTVMrTFFTdz09</t>
        </is>
      </c>
      <c r="F127" t="n">
        <v>1</v>
      </c>
      <c r="G127" t="inlineStr">
        <is>
          <t>RK003</t>
        </is>
      </c>
      <c r="H127" t="inlineStr">
        <is>
          <t>22 Oktober 1990</t>
        </is>
      </c>
      <c r="I127" s="2" t="n">
        <v>46244</v>
      </c>
      <c r="J127" t="inlineStr">
        <is>
          <t>Disetujui</t>
        </is>
      </c>
      <c r="K127" t="n">
        <v>60</v>
      </c>
      <c r="L127" t="inlineStr">
        <is>
          <t>10 Agustus 2026</t>
        </is>
      </c>
      <c r="M127" t="inlineStr">
        <is>
          <t>Jasa Rekayasa Pekerjaan Teknik Sipil Transportasi</t>
        </is>
      </c>
      <c r="N127" t="inlineStr">
        <is>
          <t>K</t>
        </is>
      </c>
      <c r="O127" t="inlineStr">
        <is>
          <t>20230801</t>
        </is>
      </c>
      <c r="P127" t="inlineStr">
        <is>
          <t>Kalimantan Barat</t>
        </is>
      </c>
      <c r="Q127" t="inlineStr"/>
    </row>
    <row r="128">
      <c r="A128" t="inlineStr">
        <is>
          <t>MITRA SARANA MEMBANGUN</t>
        </is>
      </c>
      <c r="B128" t="inlineStr">
        <is>
          <t>Kota Tangerang Selatan</t>
        </is>
      </c>
      <c r="C128" t="inlineStr">
        <is>
          <t>02122271331</t>
        </is>
      </c>
      <c r="D128" t="inlineStr">
        <is>
          <t>PIC@MSMGROUP.CO</t>
        </is>
      </c>
      <c r="E128" t="inlineStr">
        <is>
          <t>https://lpjk.pu.go.id/search-badan-usaha-detail/Tm1DNFlWMnIwN2xMQ0RTVzYxUS9lZz09</t>
        </is>
      </c>
      <c r="F128" t="n">
        <v>1</v>
      </c>
      <c r="G128" t="inlineStr">
        <is>
          <t>KP001</t>
        </is>
      </c>
      <c r="H128" t="inlineStr">
        <is>
          <t>17 Juni 2019</t>
        </is>
      </c>
      <c r="I128" s="2" t="n">
        <v>46244</v>
      </c>
      <c r="J128" t="inlineStr">
        <is>
          <t>Disetujui</t>
        </is>
      </c>
      <c r="K128" t="n">
        <v>60</v>
      </c>
      <c r="L128" t="inlineStr">
        <is>
          <t>10 Agustus 2026</t>
        </is>
      </c>
      <c r="M128" t="inlineStr">
        <is>
          <t>Pekerjaan Konstruksi Prapabrikasi Bangunan Gedung</t>
        </is>
      </c>
      <c r="N128" t="inlineStr">
        <is>
          <t>Spesialis</t>
        </is>
      </c>
      <c r="O128" t="inlineStr">
        <is>
          <t>20230811</t>
        </is>
      </c>
      <c r="P128" t="inlineStr">
        <is>
          <t>Banten</t>
        </is>
      </c>
      <c r="Q128" t="inlineStr"/>
    </row>
    <row r="129">
      <c r="A129" t="inlineStr">
        <is>
          <t>MITRA SUKSES BERSAMA</t>
        </is>
      </c>
      <c r="B129" t="inlineStr">
        <is>
          <t>Kota Jayapura</t>
        </is>
      </c>
      <c r="C129" t="inlineStr">
        <is>
          <t>081344823663</t>
        </is>
      </c>
      <c r="D129" t="inlineStr">
        <is>
          <t>mitrasukses16@yahoo.com</t>
        </is>
      </c>
      <c r="E129" t="inlineStr">
        <is>
          <t>https://lpjk.pu.go.id/search-badan-usaha-detail/VmZnbnNGN3FQQTlmTEtnUkFDbHdNQT09</t>
        </is>
      </c>
      <c r="F129" t="n">
        <v>1</v>
      </c>
      <c r="G129" t="inlineStr">
        <is>
          <t>BS005</t>
        </is>
      </c>
      <c r="H129" t="inlineStr">
        <is>
          <t>17 Desember 2016</t>
        </is>
      </c>
      <c r="I129" s="2" t="n">
        <v>46244</v>
      </c>
      <c r="J129" t="inlineStr">
        <is>
          <t>Pencabutan</t>
        </is>
      </c>
      <c r="K129" t="n">
        <v>60</v>
      </c>
      <c r="L129" t="inlineStr">
        <is>
          <t>10 Agustus 2026</t>
        </is>
      </c>
      <c r="M129" t="inlineStr">
        <is>
          <t>Konstruksi Bangunan Sipil Pengolahan Air Bersih</t>
        </is>
      </c>
      <c r="N129" t="inlineStr">
        <is>
          <t>K</t>
        </is>
      </c>
      <c r="O129" t="inlineStr">
        <is>
          <t>20230803</t>
        </is>
      </c>
      <c r="P129" t="inlineStr">
        <is>
          <t>Papua</t>
        </is>
      </c>
      <c r="Q129" t="inlineStr"/>
    </row>
    <row r="130">
      <c r="A130" t="inlineStr">
        <is>
          <t>MODERN PANEL INDONESIA</t>
        </is>
      </c>
      <c r="B130" t="inlineStr">
        <is>
          <t>Kab. Serang</t>
        </is>
      </c>
      <c r="C130" t="inlineStr">
        <is>
          <t>0254790500</t>
        </is>
      </c>
      <c r="D130" t="inlineStr">
        <is>
          <t>modernpanel1@gmail.com</t>
        </is>
      </c>
      <c r="E130" t="inlineStr">
        <is>
          <t>https://lpjk.pu.go.id/search-badan-usaha-detail/dnFySUVaR0swaGxnR3crQlFFUEJQZz09</t>
        </is>
      </c>
      <c r="F130" t="n">
        <v>8</v>
      </c>
      <c r="G130" t="inlineStr">
        <is>
          <t>BG002, BG003, BG004, BG005, BG006, BG007, BG008, BG009</t>
        </is>
      </c>
      <c r="H130" t="inlineStr">
        <is>
          <t>13 Juni 2008</t>
        </is>
      </c>
      <c r="I130" s="2" t="n">
        <v>46244</v>
      </c>
      <c r="J130" t="inlineStr">
        <is>
          <t>Disetujui</t>
        </is>
      </c>
      <c r="K130" t="n">
        <v>60</v>
      </c>
      <c r="L130" t="inlineStr">
        <is>
          <t>10 Agustus 2026</t>
        </is>
      </c>
      <c r="M130" t="inlineStr">
        <is>
          <t>Konstruksi Gedung Industri, Konstruksi Gedung Kesehatan, Konstruksi Gedung Lainnya, Konstruksi Gedung Pendidikan, Konstruksi Gedung Penginapan, Konstruksi Gedung Perbelanjaan, Konstruksi Gedung Perkantoran, Konstruksi Gedung Tempat Hiburan dan Olahraga</t>
        </is>
      </c>
      <c r="N130" t="inlineStr">
        <is>
          <t>K</t>
        </is>
      </c>
      <c r="O130" t="inlineStr">
        <is>
          <t>20230810, 20230811</t>
        </is>
      </c>
      <c r="P130" t="inlineStr">
        <is>
          <t>Banten</t>
        </is>
      </c>
      <c r="Q130" t="inlineStr"/>
    </row>
    <row r="131">
      <c r="A131" t="inlineStr">
        <is>
          <t>MOROTAMA ARCHITECT DAN PARTNERS</t>
        </is>
      </c>
      <c r="B131" t="inlineStr">
        <is>
          <t>Kab. Morowali</t>
        </is>
      </c>
      <c r="C131" t="inlineStr">
        <is>
          <t>082394212268</t>
        </is>
      </c>
      <c r="D131" t="inlineStr">
        <is>
          <t>morotamaarchitectpartners@gmail.com</t>
        </is>
      </c>
      <c r="E131" t="inlineStr">
        <is>
          <t>https://lpjk.pu.go.id/search-badan-usaha-detail/VERvcEQ3T1B1b1pRVlNQalovQ2JCQT09</t>
        </is>
      </c>
      <c r="F131" t="n">
        <v>1</v>
      </c>
      <c r="G131" t="inlineStr">
        <is>
          <t>AT003</t>
        </is>
      </c>
      <c r="H131" t="inlineStr">
        <is>
          <t>5 Januari 2022</t>
        </is>
      </c>
      <c r="I131" s="2" t="n">
        <v>46244</v>
      </c>
      <c r="J131" t="inlineStr">
        <is>
          <t>Disetujui</t>
        </is>
      </c>
      <c r="K131" t="n">
        <v>60</v>
      </c>
      <c r="L131" t="inlineStr">
        <is>
          <t>10 Agustus 2026</t>
        </is>
      </c>
      <c r="M131" t="inlineStr">
        <is>
          <t>Jasa Pengujian Hasil Pekerjaan Konstruksi dan Fasilitas Laboratorium</t>
        </is>
      </c>
      <c r="N131" t="inlineStr">
        <is>
          <t>Spesialis</t>
        </is>
      </c>
      <c r="O131" t="inlineStr">
        <is>
          <t>20230804</t>
        </is>
      </c>
      <c r="P131" t="inlineStr">
        <is>
          <t>Sulawesi Tengah</t>
        </is>
      </c>
      <c r="Q131" t="inlineStr"/>
    </row>
    <row r="132">
      <c r="A132" t="inlineStr">
        <is>
          <t>MUHAMMAD SYAIFUL BAHRI</t>
        </is>
      </c>
      <c r="B132" t="inlineStr">
        <is>
          <t>Kab. Bulungan</t>
        </is>
      </c>
      <c r="C132" t="inlineStr">
        <is>
          <t>085247833233</t>
        </is>
      </c>
      <c r="D132" t="inlineStr">
        <is>
          <t>cv.msb2000@gmail.com</t>
        </is>
      </c>
      <c r="E132" t="inlineStr">
        <is>
          <t>https://lpjk.pu.go.id/search-badan-usaha-detail/Qk10Nk95UzlKZTFZcHVJZFN2cERkQT09</t>
        </is>
      </c>
      <c r="F132" t="n">
        <v>1</v>
      </c>
      <c r="G132" t="inlineStr">
        <is>
          <t>BG006</t>
        </is>
      </c>
      <c r="H132" t="inlineStr">
        <is>
          <t>4 April 2023</t>
        </is>
      </c>
      <c r="I132" s="2" t="n">
        <v>46244</v>
      </c>
      <c r="J132" t="inlineStr">
        <is>
          <t>Disetujui</t>
        </is>
      </c>
      <c r="K132" t="n">
        <v>60</v>
      </c>
      <c r="L132" t="inlineStr">
        <is>
          <t>10 Agustus 2026</t>
        </is>
      </c>
      <c r="M132" t="inlineStr">
        <is>
          <t>Konstruksi Gedung Pendidikan</t>
        </is>
      </c>
      <c r="N132" t="inlineStr">
        <is>
          <t>K</t>
        </is>
      </c>
      <c r="O132" t="inlineStr">
        <is>
          <t>20230801</t>
        </is>
      </c>
      <c r="P132" t="inlineStr">
        <is>
          <t>Kalimantan Utara</t>
        </is>
      </c>
      <c r="Q132" t="inlineStr"/>
    </row>
    <row r="133">
      <c r="A133" t="inlineStr">
        <is>
          <t>MULTI ARTHA GUNA</t>
        </is>
      </c>
      <c r="B133" t="inlineStr">
        <is>
          <t>Kota Pasuruan</t>
        </is>
      </c>
      <c r="C133" t="inlineStr">
        <is>
          <t>085785465788</t>
        </is>
      </c>
      <c r="D133" t="inlineStr">
        <is>
          <t>multi_artha_guna@yahoo.co.id</t>
        </is>
      </c>
      <c r="E133" t="inlineStr">
        <is>
          <t>https://lpjk.pu.go.id/search-badan-usaha-detail/ZS9jL1VHVmtNeEhMbG5ad3VodnU5QT09</t>
        </is>
      </c>
      <c r="F133" t="n">
        <v>6</v>
      </c>
      <c r="G133" t="inlineStr">
        <is>
          <t>BG003, BG005, BG006, BG009, BS004, BS005</t>
        </is>
      </c>
      <c r="H133" t="inlineStr">
        <is>
          <t>1 Februari 2007</t>
        </is>
      </c>
      <c r="I133" s="2" t="n">
        <v>46244</v>
      </c>
      <c r="J133" t="inlineStr">
        <is>
          <t>Disetujui</t>
        </is>
      </c>
      <c r="K133" t="n">
        <v>60</v>
      </c>
      <c r="L133" t="inlineStr">
        <is>
          <t>10 Agustus 2026</t>
        </is>
      </c>
      <c r="M133" t="inlineStr">
        <is>
          <t>Konstruksi Bangunan Sipil Pengolahan Air Bersih, Konstruksi Gedung Industri, Konstruksi Gedung Kesehatan, Konstruksi Gedung Lainnya, Konstruksi Gedung Pendidikan, Konstruksi Jaringan Irigasi dan Drainase</t>
        </is>
      </c>
      <c r="N133" t="inlineStr">
        <is>
          <t>K</t>
        </is>
      </c>
      <c r="O133" t="inlineStr">
        <is>
          <t>20230808</t>
        </is>
      </c>
      <c r="P133" t="inlineStr">
        <is>
          <t>Jawa Timur</t>
        </is>
      </c>
      <c r="Q133" t="inlineStr"/>
    </row>
    <row r="134">
      <c r="A134" t="inlineStr">
        <is>
          <t>MULTI PROS</t>
        </is>
      </c>
      <c r="B134" t="inlineStr">
        <is>
          <t>Kota Adm. Jakarta Selatan</t>
        </is>
      </c>
      <c r="C134" t="inlineStr">
        <is>
          <t>08176745045</t>
        </is>
      </c>
      <c r="D134" t="inlineStr">
        <is>
          <t>multipros.jkt@gmail.com</t>
        </is>
      </c>
      <c r="E134" t="inlineStr">
        <is>
          <t>https://lpjk.pu.go.id/search-badan-usaha-detail/Nnp2cmtsMXd2OW1qMkIrRjlqN1BkQT09</t>
        </is>
      </c>
      <c r="F134" t="n">
        <v>2</v>
      </c>
      <c r="G134" t="inlineStr">
        <is>
          <t>AR001, AR002</t>
        </is>
      </c>
      <c r="H134" t="inlineStr">
        <is>
          <t>8 April 1976</t>
        </is>
      </c>
      <c r="I134" s="2" t="n">
        <v>46244</v>
      </c>
      <c r="J134" t="inlineStr">
        <is>
          <t>Disetujui</t>
        </is>
      </c>
      <c r="K134" t="n">
        <v>60</v>
      </c>
      <c r="L134" t="inlineStr">
        <is>
          <t>10 Agustus 2026</t>
        </is>
      </c>
      <c r="M134" t="inlineStr">
        <is>
          <t>Jasa Arsitektural Bangunan Gedung Hunian dan Non Hunian, Jasa Arsitektural Lainnya</t>
        </is>
      </c>
      <c r="N134" t="inlineStr">
        <is>
          <t>K</t>
        </is>
      </c>
      <c r="O134" t="inlineStr">
        <is>
          <t>20230808</t>
        </is>
      </c>
      <c r="P134" t="inlineStr">
        <is>
          <t>DKI Jakarta</t>
        </is>
      </c>
      <c r="Q134" t="inlineStr"/>
    </row>
    <row r="135">
      <c r="A135" t="inlineStr">
        <is>
          <t>MURNI KONSTRUKSI INDONESIA</t>
        </is>
      </c>
      <c r="B135" t="inlineStr">
        <is>
          <t>Kota Makassar</t>
        </is>
      </c>
      <c r="C135" t="inlineStr">
        <is>
          <t>085395524000</t>
        </is>
      </c>
      <c r="D135" t="inlineStr">
        <is>
          <t>murnikonstruksi.indonesia@yahoo.co.id</t>
        </is>
      </c>
      <c r="E135" t="inlineStr">
        <is>
          <t>https://lpjk.pu.go.id/search-badan-usaha-detail/Z1M4d0pHM0k3ekZOVllEeXRwQmk5dz09</t>
        </is>
      </c>
      <c r="F135" t="n">
        <v>1</v>
      </c>
      <c r="G135" t="inlineStr">
        <is>
          <t>BG009</t>
        </is>
      </c>
      <c r="H135" t="inlineStr">
        <is>
          <t>22 Mei 2003</t>
        </is>
      </c>
      <c r="I135" s="2" t="n">
        <v>46244</v>
      </c>
      <c r="J135" t="inlineStr">
        <is>
          <t>Pencabutan</t>
        </is>
      </c>
      <c r="K135" t="n">
        <v>60</v>
      </c>
      <c r="L135" t="inlineStr">
        <is>
          <t>10 Agustus 2026</t>
        </is>
      </c>
      <c r="M135" t="inlineStr">
        <is>
          <t>Konstruksi Gedung Lainnya</t>
        </is>
      </c>
      <c r="N135" t="inlineStr">
        <is>
          <t>M</t>
        </is>
      </c>
      <c r="O135" t="inlineStr">
        <is>
          <t>20230811</t>
        </is>
      </c>
      <c r="P135" t="inlineStr">
        <is>
          <t>Sulawesi Selatan</t>
        </is>
      </c>
      <c r="Q135" t="inlineStr"/>
    </row>
    <row r="136">
      <c r="A136" t="inlineStr">
        <is>
          <t>NAZAR UTAMA</t>
        </is>
      </c>
      <c r="B136" t="inlineStr">
        <is>
          <t>Kab. Tasikmalaya</t>
        </is>
      </c>
      <c r="C136" t="inlineStr">
        <is>
          <t>081294111003</t>
        </is>
      </c>
      <c r="D136" t="inlineStr">
        <is>
          <t>nazarutama_tsm@yahoo.com</t>
        </is>
      </c>
      <c r="E136" t="inlineStr">
        <is>
          <t>https://lpjk.pu.go.id/search-badan-usaha-detail/ditobnhqYmhvSU5SMmdHVm9vZU5Udz09</t>
        </is>
      </c>
      <c r="F136" t="n">
        <v>3</v>
      </c>
      <c r="G136" t="inlineStr">
        <is>
          <t>BG006, BG009, BS004</t>
        </is>
      </c>
      <c r="H136" t="inlineStr">
        <is>
          <t>4 Maret 2010</t>
        </is>
      </c>
      <c r="I136" s="2" t="n">
        <v>46244</v>
      </c>
      <c r="J136" t="inlineStr">
        <is>
          <t>Pencabutan</t>
        </is>
      </c>
      <c r="K136" t="n">
        <v>60</v>
      </c>
      <c r="L136" t="inlineStr">
        <is>
          <t>10 Agustus 2026</t>
        </is>
      </c>
      <c r="M136" t="inlineStr">
        <is>
          <t>Konstruksi Gedung Lainnya, Konstruksi Gedung Pendidikan, Konstruksi Jaringan Irigasi dan Drainase</t>
        </is>
      </c>
      <c r="N136" t="inlineStr">
        <is>
          <t>K</t>
        </is>
      </c>
      <c r="O136" t="inlineStr">
        <is>
          <t>20230810</t>
        </is>
      </c>
      <c r="P136" t="inlineStr">
        <is>
          <t>Jawa Barat</t>
        </is>
      </c>
      <c r="Q136" t="inlineStr"/>
    </row>
    <row r="137">
      <c r="A137" t="inlineStr">
        <is>
          <t>NIZAM</t>
        </is>
      </c>
      <c r="B137" t="inlineStr">
        <is>
          <t>Kab. Garut</t>
        </is>
      </c>
      <c r="C137" t="inlineStr">
        <is>
          <t>085351071882</t>
        </is>
      </c>
      <c r="D137" t="inlineStr">
        <is>
          <t>cvnizam95@gmail.com</t>
        </is>
      </c>
      <c r="E137" t="inlineStr">
        <is>
          <t>https://lpjk.pu.go.id/search-badan-usaha-detail/VDJnZUJCWE9qNld1TEYyRWpRd0xOUT09</t>
        </is>
      </c>
      <c r="F137" t="n">
        <v>1</v>
      </c>
      <c r="G137" t="inlineStr">
        <is>
          <t>BS001</t>
        </is>
      </c>
      <c r="H137" t="inlineStr">
        <is>
          <t>24 Februari 2020</t>
        </is>
      </c>
      <c r="I137" s="2" t="n">
        <v>46244</v>
      </c>
      <c r="J137" t="inlineStr">
        <is>
          <t>Disetujui</t>
        </is>
      </c>
      <c r="K137" t="n">
        <v>60</v>
      </c>
      <c r="L137" t="inlineStr">
        <is>
          <t>10 Agustus 2026</t>
        </is>
      </c>
      <c r="M137" t="inlineStr">
        <is>
          <t>Konstruksi Bangunan Sipil Jalan</t>
        </is>
      </c>
      <c r="N137" t="inlineStr">
        <is>
          <t>K</t>
        </is>
      </c>
      <c r="O137" t="inlineStr">
        <is>
          <t>20230811</t>
        </is>
      </c>
      <c r="P137" t="inlineStr">
        <is>
          <t>Jawa Barat</t>
        </is>
      </c>
      <c r="Q137" t="inlineStr"/>
    </row>
    <row r="138">
      <c r="A138" t="inlineStr">
        <is>
          <t>NOVILI PUTRI</t>
        </is>
      </c>
      <c r="B138" t="inlineStr">
        <is>
          <t>Kab. Kapuas Hulu</t>
        </is>
      </c>
      <c r="C138" t="inlineStr">
        <is>
          <t>085245567116</t>
        </is>
      </c>
      <c r="D138" t="inlineStr">
        <is>
          <t>noviliputricv@yahoo.co.id</t>
        </is>
      </c>
      <c r="E138" t="inlineStr">
        <is>
          <t>https://lpjk.pu.go.id/search-badan-usaha-detail/WkRWTVlFVWNXcEs4eXFVNmcxK0hhZz09</t>
        </is>
      </c>
      <c r="F138" t="n">
        <v>1</v>
      </c>
      <c r="G138" t="inlineStr">
        <is>
          <t>BG006</t>
        </is>
      </c>
      <c r="H138" t="inlineStr">
        <is>
          <t>5 Juni 2002</t>
        </is>
      </c>
      <c r="I138" s="2" t="n">
        <v>46244</v>
      </c>
      <c r="J138" t="inlineStr">
        <is>
          <t>Disetujui</t>
        </is>
      </c>
      <c r="K138" t="n">
        <v>60</v>
      </c>
      <c r="L138" t="inlineStr">
        <is>
          <t>10 Agustus 2026</t>
        </is>
      </c>
      <c r="M138" t="inlineStr">
        <is>
          <t>Konstruksi Gedung Pendidikan</t>
        </is>
      </c>
      <c r="N138" t="inlineStr">
        <is>
          <t>K</t>
        </is>
      </c>
      <c r="O138" t="inlineStr">
        <is>
          <t>20230808</t>
        </is>
      </c>
      <c r="P138" t="inlineStr">
        <is>
          <t>Kalimantan Barat</t>
        </is>
      </c>
      <c r="Q138" t="inlineStr"/>
    </row>
    <row r="139">
      <c r="A139" t="inlineStr">
        <is>
          <t>NOVITA RENSA NR</t>
        </is>
      </c>
      <c r="B139" t="inlineStr">
        <is>
          <t>Kota Gunungsitoli</t>
        </is>
      </c>
      <c r="C139" t="inlineStr">
        <is>
          <t>081264643692</t>
        </is>
      </c>
      <c r="D139" t="inlineStr">
        <is>
          <t>cvnovitarensanr@gmail.com</t>
        </is>
      </c>
      <c r="E139" t="inlineStr">
        <is>
          <t>https://lpjk.pu.go.id/search-badan-usaha-detail/NlBZdUlxaUZjY3ZPM1l0ZUlnZEtvUT09</t>
        </is>
      </c>
      <c r="F139" t="n">
        <v>1</v>
      </c>
      <c r="G139" t="inlineStr">
        <is>
          <t>BS004</t>
        </is>
      </c>
      <c r="H139" t="inlineStr">
        <is>
          <t>18 Juli 2019</t>
        </is>
      </c>
      <c r="I139" s="2" t="n">
        <v>46244</v>
      </c>
      <c r="J139" t="inlineStr">
        <is>
          <t>Disetujui</t>
        </is>
      </c>
      <c r="K139" t="n">
        <v>60</v>
      </c>
      <c r="L139" t="inlineStr">
        <is>
          <t>10 Agustus 2026</t>
        </is>
      </c>
      <c r="M139" t="inlineStr">
        <is>
          <t>Konstruksi Jaringan Irigasi dan Drainase</t>
        </is>
      </c>
      <c r="N139" t="inlineStr">
        <is>
          <t>K</t>
        </is>
      </c>
      <c r="O139" t="inlineStr">
        <is>
          <t>20230811</t>
        </is>
      </c>
      <c r="P139" t="inlineStr">
        <is>
          <t>Sumatera Utara</t>
        </is>
      </c>
      <c r="Q139" t="inlineStr"/>
    </row>
    <row r="140">
      <c r="A140" t="inlineStr">
        <is>
          <t>NUR BUAH</t>
        </is>
      </c>
      <c r="B140" t="inlineStr">
        <is>
          <t>Kab. Banyuwangi</t>
        </is>
      </c>
      <c r="C140" t="inlineStr">
        <is>
          <t>081233505777</t>
        </is>
      </c>
      <c r="D140" t="inlineStr">
        <is>
          <t>cv.nurbuah.mlr.bwi@gmail.com</t>
        </is>
      </c>
      <c r="E140" t="inlineStr">
        <is>
          <t>https://lpjk.pu.go.id/search-badan-usaha-detail/WjJtWlhzam5aejJtZnl1MU1lUlZxZz09</t>
        </is>
      </c>
      <c r="F140" t="n">
        <v>2</v>
      </c>
      <c r="G140" t="inlineStr">
        <is>
          <t>BG006, BS001</t>
        </is>
      </c>
      <c r="H140" t="inlineStr">
        <is>
          <t>8 Desember 2016</t>
        </is>
      </c>
      <c r="I140" s="2" t="n">
        <v>46244</v>
      </c>
      <c r="J140" t="inlineStr">
        <is>
          <t>Disetujui</t>
        </is>
      </c>
      <c r="K140" t="n">
        <v>60</v>
      </c>
      <c r="L140" t="inlineStr">
        <is>
          <t>10 Agustus 2026</t>
        </is>
      </c>
      <c r="M140" t="inlineStr">
        <is>
          <t>Konstruksi Bangunan Sipil Jalan, Konstruksi Gedung Pendidikan</t>
        </is>
      </c>
      <c r="N140" t="inlineStr">
        <is>
          <t>K</t>
        </is>
      </c>
      <c r="O140" t="inlineStr">
        <is>
          <t>20230809, 20230810</t>
        </is>
      </c>
      <c r="P140" t="inlineStr">
        <is>
          <t>Jawa Timur</t>
        </is>
      </c>
      <c r="Q140" t="inlineStr"/>
    </row>
    <row r="141">
      <c r="A141" t="inlineStr">
        <is>
          <t>NURANI JAYA</t>
        </is>
      </c>
      <c r="B141" t="inlineStr">
        <is>
          <t>Kab. Jember</t>
        </is>
      </c>
      <c r="C141" t="inlineStr">
        <is>
          <t>082228008883</t>
        </is>
      </c>
      <c r="D141" t="inlineStr">
        <is>
          <t>nuranijayajember@gmail.com</t>
        </is>
      </c>
      <c r="E141" t="inlineStr">
        <is>
          <t>https://lpjk.pu.go.id/search-badan-usaha-detail/MWQwNFRLVFZOOXNPY1Y0eGoxZFRzQT09</t>
        </is>
      </c>
      <c r="F141" t="n">
        <v>3</v>
      </c>
      <c r="G141" t="inlineStr">
        <is>
          <t>BS002</t>
        </is>
      </c>
      <c r="H141" t="inlineStr">
        <is>
          <t>1 November 1994</t>
        </is>
      </c>
      <c r="I141" s="2" t="n">
        <v>46244</v>
      </c>
      <c r="J141" t="inlineStr">
        <is>
          <t>Disetujui</t>
        </is>
      </c>
      <c r="K141" t="n">
        <v>60</v>
      </c>
      <c r="L141" t="inlineStr">
        <is>
          <t>10 Agustus 2026</t>
        </is>
      </c>
      <c r="M141" t="inlineStr">
        <is>
          <t>Bangunan Sipil Jembatan, Jalan Layang, Fly Over, dan Underpass</t>
        </is>
      </c>
      <c r="N141" t="inlineStr">
        <is>
          <t>K</t>
        </is>
      </c>
      <c r="O141" t="inlineStr">
        <is>
          <t>20230807</t>
        </is>
      </c>
      <c r="P141" t="inlineStr">
        <is>
          <t>Jawa Timur</t>
        </is>
      </c>
      <c r="Q141" t="inlineStr"/>
    </row>
    <row r="142">
      <c r="A142" t="inlineStr">
        <is>
          <t>NURUL MAIMUNAH</t>
        </is>
      </c>
      <c r="B142" t="inlineStr">
        <is>
          <t>Kab. Wajo</t>
        </is>
      </c>
      <c r="C142" t="inlineStr">
        <is>
          <t>08114167555</t>
        </is>
      </c>
      <c r="D142" t="inlineStr">
        <is>
          <t>nurul.maimunah99@gmail.com</t>
        </is>
      </c>
      <c r="E142" t="inlineStr">
        <is>
          <t>https://lpjk.pu.go.id/search-badan-usaha-detail/b2MyaWRoMVE2ejZZS3EycjN5VTJZdz09</t>
        </is>
      </c>
      <c r="F142" t="n">
        <v>1</v>
      </c>
      <c r="G142" t="inlineStr">
        <is>
          <t>BS016</t>
        </is>
      </c>
      <c r="H142" t="inlineStr">
        <is>
          <t>25 Februari 2016</t>
        </is>
      </c>
      <c r="I142" s="2" t="n">
        <v>46244</v>
      </c>
      <c r="J142" t="inlineStr">
        <is>
          <t>Disetujui</t>
        </is>
      </c>
      <c r="K142" t="n">
        <v>60</v>
      </c>
      <c r="L142" t="inlineStr">
        <is>
          <t>10 Agustus 2026</t>
        </is>
      </c>
      <c r="M142" t="inlineStr">
        <is>
          <t>Konstruksi Bangunan Sipil Fasilitas Olah Raga</t>
        </is>
      </c>
      <c r="N142" t="inlineStr">
        <is>
          <t>K</t>
        </is>
      </c>
      <c r="O142" t="inlineStr">
        <is>
          <t>20230801</t>
        </is>
      </c>
      <c r="P142" t="inlineStr">
        <is>
          <t>Sulawesi Selatan</t>
        </is>
      </c>
      <c r="Q142" t="inlineStr"/>
    </row>
    <row r="143">
      <c r="A143" t="inlineStr">
        <is>
          <t>ORYZA</t>
        </is>
      </c>
      <c r="B143" t="inlineStr">
        <is>
          <t>Kab. Kutai Kartanegara</t>
        </is>
      </c>
      <c r="C143" t="inlineStr">
        <is>
          <t>082190997491</t>
        </is>
      </c>
      <c r="D143" t="inlineStr">
        <is>
          <t>cvoryzakukar@gmail.com</t>
        </is>
      </c>
      <c r="E143" t="inlineStr">
        <is>
          <t>https://lpjk.pu.go.id/search-badan-usaha-detail/NEFhZVA1N25ERXdrakwxMzNSUWR4UT09</t>
        </is>
      </c>
      <c r="F143" t="n">
        <v>4</v>
      </c>
      <c r="G143" t="inlineStr">
        <is>
          <t>BG006, BG009, BS001, BS005</t>
        </is>
      </c>
      <c r="H143" t="inlineStr">
        <is>
          <t>23 Agustus 2017</t>
        </is>
      </c>
      <c r="I143" s="2" t="n">
        <v>46244</v>
      </c>
      <c r="J143" t="inlineStr">
        <is>
          <t>Disetujui</t>
        </is>
      </c>
      <c r="K143" t="n">
        <v>60</v>
      </c>
      <c r="L143" t="inlineStr">
        <is>
          <t>10 Agustus 2026</t>
        </is>
      </c>
      <c r="M143" t="inlineStr">
        <is>
          <t>Konstruksi Bangunan Sipil Jalan, Konstruksi Bangunan Sipil Pengolahan Air Bersih, Konstruksi Gedung Lainnya, Konstruksi Gedung Pendidikan</t>
        </is>
      </c>
      <c r="N143" t="inlineStr">
        <is>
          <t>K</t>
        </is>
      </c>
      <c r="O143" t="inlineStr">
        <is>
          <t>20230808</t>
        </is>
      </c>
      <c r="P143" t="inlineStr">
        <is>
          <t>Kalimantan Timur</t>
        </is>
      </c>
      <c r="Q143" t="inlineStr"/>
    </row>
    <row r="144">
      <c r="A144" t="inlineStr">
        <is>
          <t>PANCA DUTA KARYA ABADI</t>
        </is>
      </c>
      <c r="B144" t="inlineStr">
        <is>
          <t>Kota Jayapura</t>
        </is>
      </c>
      <c r="C144" t="inlineStr">
        <is>
          <t>0967537776</t>
        </is>
      </c>
      <c r="D144" t="inlineStr">
        <is>
          <t>jayapura_ptpdka@yahoo.com</t>
        </is>
      </c>
      <c r="E144" t="inlineStr">
        <is>
          <t>https://lpjk.pu.go.id/search-badan-usaha-detail/d3F4TG41dGMzd0Vhbm4xQ2NJVmFBZz09</t>
        </is>
      </c>
      <c r="F144" t="n">
        <v>1</v>
      </c>
      <c r="G144" t="inlineStr">
        <is>
          <t>BS004</t>
        </is>
      </c>
      <c r="H144" t="inlineStr">
        <is>
          <t>21 Mei 1983</t>
        </is>
      </c>
      <c r="I144" s="2" t="n">
        <v>46244</v>
      </c>
      <c r="J144" t="inlineStr">
        <is>
          <t>Disetujui</t>
        </is>
      </c>
      <c r="K144" t="n">
        <v>60</v>
      </c>
      <c r="L144" t="inlineStr">
        <is>
          <t>10 Agustus 2026</t>
        </is>
      </c>
      <c r="M144" t="inlineStr">
        <is>
          <t>Konstruksi Jaringan Irigasi dan Drainase</t>
        </is>
      </c>
      <c r="N144" t="inlineStr">
        <is>
          <t>M</t>
        </is>
      </c>
      <c r="O144" t="inlineStr">
        <is>
          <t>20230623</t>
        </is>
      </c>
      <c r="P144" t="inlineStr">
        <is>
          <t>Papua</t>
        </is>
      </c>
      <c r="Q144" t="inlineStr"/>
    </row>
    <row r="145">
      <c r="A145" t="inlineStr">
        <is>
          <t>PANCA EKAWIRA SANJAYA</t>
        </is>
      </c>
      <c r="B145" t="inlineStr">
        <is>
          <t>Kota Adm. Jakarta Selatan</t>
        </is>
      </c>
      <c r="C145" t="inlineStr">
        <is>
          <t>081300000000</t>
        </is>
      </c>
      <c r="D145" t="inlineStr">
        <is>
          <t>pancaekawirasanjaya@gmail.com</t>
        </is>
      </c>
      <c r="E145" t="inlineStr">
        <is>
          <t>https://lpjk.pu.go.id/search-badan-usaha-detail/VldRRUVPOUVxYUpNbyt3eFJWUEFTWG95dHpGU2xWNGxNaTRqd2drM0NCUT0</t>
        </is>
      </c>
      <c r="F145" t="n">
        <v>1</v>
      </c>
      <c r="G145" t="inlineStr">
        <is>
          <t>BG003</t>
        </is>
      </c>
      <c r="H145" t="inlineStr">
        <is>
          <t>1 Oktober 2024</t>
        </is>
      </c>
      <c r="I145" s="2" t="n">
        <v>46244</v>
      </c>
      <c r="J145" t="inlineStr">
        <is>
          <t>Disetujui</t>
        </is>
      </c>
      <c r="K145" t="n">
        <v>60</v>
      </c>
      <c r="L145" t="inlineStr">
        <is>
          <t>10 Agustus 2026</t>
        </is>
      </c>
      <c r="M145" t="inlineStr">
        <is>
          <t>Konstruksi Gedung Industri</t>
        </is>
      </c>
      <c r="N145" t="inlineStr">
        <is>
          <t>M</t>
        </is>
      </c>
      <c r="O145" t="inlineStr">
        <is>
          <t>20230808</t>
        </is>
      </c>
      <c r="P145" t="inlineStr">
        <is>
          <t>DKI Jakarta</t>
        </is>
      </c>
      <c r="Q145" t="inlineStr"/>
    </row>
    <row r="146">
      <c r="A146" t="inlineStr">
        <is>
          <t>PANCORA JAYA</t>
        </is>
      </c>
      <c r="B146" t="inlineStr">
        <is>
          <t>Kab. Indramayu</t>
        </is>
      </c>
      <c r="C146" t="inlineStr">
        <is>
          <t>081246800234</t>
        </is>
      </c>
      <c r="D146" t="inlineStr">
        <is>
          <t>pancorajaya.cv@gmail.com</t>
        </is>
      </c>
      <c r="E146" t="inlineStr">
        <is>
          <t>https://lpjk.pu.go.id/search-badan-usaha-detail/Y3dhcXFSRjltcjl0MHFQWDg3Vmc2UT09</t>
        </is>
      </c>
      <c r="F146" t="n">
        <v>3</v>
      </c>
      <c r="G146" t="inlineStr">
        <is>
          <t>BG006, BG009, BS004</t>
        </is>
      </c>
      <c r="H146" t="inlineStr">
        <is>
          <t>7 Desember 2016</t>
        </is>
      </c>
      <c r="I146" s="2" t="n">
        <v>46244</v>
      </c>
      <c r="J146" t="inlineStr">
        <is>
          <t>Disetujui</t>
        </is>
      </c>
      <c r="K146" t="n">
        <v>60</v>
      </c>
      <c r="L146" t="inlineStr">
        <is>
          <t>10 Agustus 2026</t>
        </is>
      </c>
      <c r="M146" t="inlineStr">
        <is>
          <t>Konstruksi Gedung Lainnya, Konstruksi Gedung Pendidikan, Konstruksi Jaringan Irigasi dan Drainase</t>
        </is>
      </c>
      <c r="N146" t="inlineStr">
        <is>
          <t>K</t>
        </is>
      </c>
      <c r="O146" t="inlineStr">
        <is>
          <t>20230801</t>
        </is>
      </c>
      <c r="P146" t="inlineStr">
        <is>
          <t>Jawa Barat</t>
        </is>
      </c>
      <c r="Q146" t="inlineStr"/>
    </row>
    <row r="147">
      <c r="A147" t="inlineStr">
        <is>
          <t>PERMANA PUTRA</t>
        </is>
      </c>
      <c r="B147" t="inlineStr">
        <is>
          <t>Kab. Bantul</t>
        </is>
      </c>
      <c r="C147" t="inlineStr">
        <is>
          <t>082249332550</t>
        </is>
      </c>
      <c r="D147" t="inlineStr">
        <is>
          <t>a.widarno777@gmail.com</t>
        </is>
      </c>
      <c r="E147" t="inlineStr">
        <is>
          <t>https://lpjk.pu.go.id/search-badan-usaha-detail/ZWNsNXZQa3BnQ2xmb0VXeWp2WGE0QT09</t>
        </is>
      </c>
      <c r="F147" t="n">
        <v>1</v>
      </c>
      <c r="G147" t="inlineStr">
        <is>
          <t>BS004</t>
        </is>
      </c>
      <c r="H147" t="inlineStr">
        <is>
          <t>21 Agustus 2019</t>
        </is>
      </c>
      <c r="I147" s="2" t="n">
        <v>46244</v>
      </c>
      <c r="J147" t="inlineStr">
        <is>
          <t>Validasi</t>
        </is>
      </c>
      <c r="K147" t="n">
        <v>60</v>
      </c>
      <c r="L147" t="inlineStr">
        <is>
          <t>10 Agustus 2026</t>
        </is>
      </c>
      <c r="M147" t="inlineStr">
        <is>
          <t>Konstruksi Jaringan Irigasi dan Drainase</t>
        </is>
      </c>
      <c r="N147" t="inlineStr">
        <is>
          <t>K</t>
        </is>
      </c>
      <c r="O147" t="inlineStr">
        <is>
          <t>20230726</t>
        </is>
      </c>
      <c r="P147" t="inlineStr">
        <is>
          <t>DI Yogyakarta</t>
        </is>
      </c>
      <c r="Q147" t="inlineStr"/>
    </row>
    <row r="148">
      <c r="A148" t="inlineStr">
        <is>
          <t>POLA KARYA PRATAMA</t>
        </is>
      </c>
      <c r="B148" t="inlineStr">
        <is>
          <t>Kab. Majalengka</t>
        </is>
      </c>
      <c r="C148" t="inlineStr">
        <is>
          <t>082319927771</t>
        </is>
      </c>
      <c r="D148" t="inlineStr">
        <is>
          <t>polakaryapratama.cv@gmail.com</t>
        </is>
      </c>
      <c r="E148" t="inlineStr">
        <is>
          <t>https://lpjk.pu.go.id/search-badan-usaha-detail/cjJoV2QxZmVGWE5pTmNRd1cyVFgwUT09</t>
        </is>
      </c>
      <c r="F148" t="n">
        <v>3</v>
      </c>
      <c r="G148" t="inlineStr">
        <is>
          <t>AR001, AR002, AR003</t>
        </is>
      </c>
      <c r="H148" t="inlineStr">
        <is>
          <t>9 Februari 2021</t>
        </is>
      </c>
      <c r="I148" s="2" t="n">
        <v>46244</v>
      </c>
      <c r="J148" t="inlineStr">
        <is>
          <t>Disetujui</t>
        </is>
      </c>
      <c r="K148" t="n">
        <v>60</v>
      </c>
      <c r="L148" t="inlineStr">
        <is>
          <t>10 Agustus 2026</t>
        </is>
      </c>
      <c r="M148" t="inlineStr">
        <is>
          <t>Jasa Arsitektural Bangunan Gedung Hunian dan Non Hunian, Jasa Arsitektural Lainnya, Jasa Desain Interior pada Bangunan Gedung dan Bangunan Sipil</t>
        </is>
      </c>
      <c r="N148" t="inlineStr">
        <is>
          <t>K</t>
        </is>
      </c>
      <c r="O148" t="inlineStr">
        <is>
          <t>20230726</t>
        </is>
      </c>
      <c r="P148" t="inlineStr">
        <is>
          <t>Jawa Barat</t>
        </is>
      </c>
      <c r="Q148" t="inlineStr"/>
    </row>
    <row r="149">
      <c r="A149" t="inlineStr">
        <is>
          <t>PRAKASA</t>
        </is>
      </c>
      <c r="B149" t="inlineStr">
        <is>
          <t>Kab. Garut</t>
        </is>
      </c>
      <c r="C149" t="inlineStr">
        <is>
          <t>0</t>
        </is>
      </c>
      <c r="D149" t="inlineStr">
        <is>
          <t>prakasa_cv@yahoo.co.id</t>
        </is>
      </c>
      <c r="E149" t="inlineStr">
        <is>
          <t>https://lpjk.pu.go.id/search-badan-usaha-detail/YVA0NkNBdnBlYVRQcnBIQURhYWtUUT09</t>
        </is>
      </c>
      <c r="F149" t="n">
        <v>2</v>
      </c>
      <c r="G149" t="inlineStr">
        <is>
          <t>BG002, BG005</t>
        </is>
      </c>
      <c r="H149" t="inlineStr">
        <is>
          <t>22 April 1981</t>
        </is>
      </c>
      <c r="I149" s="2" t="n">
        <v>46244</v>
      </c>
      <c r="J149" t="inlineStr">
        <is>
          <t>Disetujui</t>
        </is>
      </c>
      <c r="K149" t="n">
        <v>60</v>
      </c>
      <c r="L149" t="inlineStr">
        <is>
          <t>10 Agustus 2026</t>
        </is>
      </c>
      <c r="M149" t="inlineStr">
        <is>
          <t>Konstruksi Gedung Kesehatan, Konstruksi Gedung Perkantoran</t>
        </is>
      </c>
      <c r="N149" t="inlineStr">
        <is>
          <t>K</t>
        </is>
      </c>
      <c r="O149" t="inlineStr">
        <is>
          <t>20230808</t>
        </is>
      </c>
      <c r="P149" t="inlineStr">
        <is>
          <t>Jawa Barat</t>
        </is>
      </c>
      <c r="Q149" t="inlineStr"/>
    </row>
    <row r="150">
      <c r="A150" t="inlineStr">
        <is>
          <t>PRAKASA PURBA</t>
        </is>
      </c>
      <c r="B150" t="inlineStr">
        <is>
          <t>Kab. Garut</t>
        </is>
      </c>
      <c r="C150" t="inlineStr">
        <is>
          <t>0</t>
        </is>
      </c>
      <c r="D150" t="inlineStr">
        <is>
          <t>prakasapurba@gmail.com</t>
        </is>
      </c>
      <c r="E150" t="inlineStr">
        <is>
          <t>https://lpjk.pu.go.id/search-badan-usaha-detail/Sk1JNVQ5YU9NNEdlemFwS2x3b1FQdz09</t>
        </is>
      </c>
      <c r="F150" t="n">
        <v>1</v>
      </c>
      <c r="G150" t="inlineStr">
        <is>
          <t>BG009</t>
        </is>
      </c>
      <c r="H150" t="inlineStr">
        <is>
          <t>31 Juli 2012</t>
        </is>
      </c>
      <c r="I150" s="2" t="n">
        <v>46244</v>
      </c>
      <c r="J150" t="inlineStr">
        <is>
          <t>Disetujui</t>
        </is>
      </c>
      <c r="K150" t="n">
        <v>60</v>
      </c>
      <c r="L150" t="inlineStr">
        <is>
          <t>10 Agustus 2026</t>
        </is>
      </c>
      <c r="M150" t="inlineStr">
        <is>
          <t>Konstruksi Gedung Lainnya</t>
        </is>
      </c>
      <c r="N150" t="inlineStr">
        <is>
          <t>K</t>
        </is>
      </c>
      <c r="O150" t="inlineStr">
        <is>
          <t>20230808</t>
        </is>
      </c>
      <c r="P150" t="inlineStr">
        <is>
          <t>Jawa Barat</t>
        </is>
      </c>
      <c r="Q150" t="inlineStr"/>
    </row>
    <row r="151">
      <c r="A151" t="inlineStr">
        <is>
          <t>PRIMA SIGMATECH UTAMA</t>
        </is>
      </c>
      <c r="B151" t="inlineStr">
        <is>
          <t>Kab. Tangerang</t>
        </is>
      </c>
      <c r="C151" t="inlineStr">
        <is>
          <t>085267774448</t>
        </is>
      </c>
      <c r="D151" t="inlineStr">
        <is>
          <t>primasigmatechutama@gmail.com</t>
        </is>
      </c>
      <c r="E151" t="inlineStr">
        <is>
          <t>https://lpjk.pu.go.id/search-badan-usaha-detail/T0VnKys3RXNLd21nT01OUlNBbXVLdz09</t>
        </is>
      </c>
      <c r="F151" t="n">
        <v>4</v>
      </c>
      <c r="G151" t="inlineStr">
        <is>
          <t>AR001, AR002, AR003, RK001</t>
        </is>
      </c>
      <c r="H151" t="inlineStr">
        <is>
          <t>21 Agustus 2017</t>
        </is>
      </c>
      <c r="I151" s="2" t="n">
        <v>46244</v>
      </c>
      <c r="J151" t="inlineStr">
        <is>
          <t>Disetujui</t>
        </is>
      </c>
      <c r="K151" t="n">
        <v>60</v>
      </c>
      <c r="L151" t="inlineStr">
        <is>
          <t>10 Agustus 2026</t>
        </is>
      </c>
      <c r="M151" t="inlineStr">
        <is>
          <t>Jasa Arsitektural Bangunan Gedung Hunian dan Non Hunian, Jasa Arsitektural Lainnya, Jasa Desain Interior pada Bangunan Gedung dan Bangunan Sipil, Jasa Rekayasa Konstruksi Bangunan Gedung Hunian dan Non Hunian</t>
        </is>
      </c>
      <c r="N151" t="inlineStr">
        <is>
          <t>K</t>
        </is>
      </c>
      <c r="O151" t="inlineStr">
        <is>
          <t>20230803</t>
        </is>
      </c>
      <c r="P151" t="inlineStr">
        <is>
          <t>Banten</t>
        </is>
      </c>
      <c r="Q151" t="inlineStr"/>
    </row>
    <row r="152">
      <c r="A152" t="inlineStr">
        <is>
          <t>PURNAMA INDAH</t>
        </is>
      </c>
      <c r="B152" t="inlineStr">
        <is>
          <t>Kota Gorontalo</t>
        </is>
      </c>
      <c r="C152" t="inlineStr">
        <is>
          <t>085395505945</t>
        </is>
      </c>
      <c r="D152" t="inlineStr">
        <is>
          <t>purnamaindah2013@yahoo.co.id</t>
        </is>
      </c>
      <c r="E152" t="inlineStr">
        <is>
          <t>https://lpjk.pu.go.id/search-badan-usaha-detail/eEU1VktTc0tKa3ZKY2hOK1c0WGduUT09</t>
        </is>
      </c>
      <c r="F152" t="n">
        <v>2</v>
      </c>
      <c r="G152" t="inlineStr">
        <is>
          <t>BG006</t>
        </is>
      </c>
      <c r="H152" t="inlineStr">
        <is>
          <t>23 Januari 2003</t>
        </is>
      </c>
      <c r="I152" s="2" t="n">
        <v>46244</v>
      </c>
      <c r="J152" t="inlineStr">
        <is>
          <t>Disetujui</t>
        </is>
      </c>
      <c r="K152" t="n">
        <v>60</v>
      </c>
      <c r="L152" t="inlineStr">
        <is>
          <t>10 Agustus 2026</t>
        </is>
      </c>
      <c r="M152" t="inlineStr">
        <is>
          <t>Konstruksi Gedung Pendidikan</t>
        </is>
      </c>
      <c r="N152" t="inlineStr">
        <is>
          <t>K</t>
        </is>
      </c>
      <c r="O152" t="inlineStr">
        <is>
          <t>20230809</t>
        </is>
      </c>
      <c r="P152" t="inlineStr">
        <is>
          <t>Gorontalo</t>
        </is>
      </c>
      <c r="Q152" t="inlineStr"/>
    </row>
    <row r="153">
      <c r="A153" t="inlineStr">
        <is>
          <t>PUTRA PANCA BAKTI</t>
        </is>
      </c>
      <c r="B153" t="inlineStr">
        <is>
          <t>Kab. Purwakarta</t>
        </is>
      </c>
      <c r="C153" t="inlineStr">
        <is>
          <t>081224826550</t>
        </is>
      </c>
      <c r="D153" t="inlineStr">
        <is>
          <t>pancabaktiputra@gmail.com</t>
        </is>
      </c>
      <c r="E153" t="inlineStr">
        <is>
          <t>https://lpjk.pu.go.id/search-badan-usaha-detail/TllKaE4yRE5TYkQ4bEwzRHBDYVJUQT09</t>
        </is>
      </c>
      <c r="F153" t="n">
        <v>1</v>
      </c>
      <c r="G153" t="inlineStr">
        <is>
          <t>BG009</t>
        </is>
      </c>
      <c r="H153" t="inlineStr">
        <is>
          <t>1 Maret 2018</t>
        </is>
      </c>
      <c r="I153" s="2" t="n">
        <v>46244</v>
      </c>
      <c r="J153" t="inlineStr">
        <is>
          <t>Disetujui</t>
        </is>
      </c>
      <c r="K153" t="n">
        <v>60</v>
      </c>
      <c r="L153" t="inlineStr">
        <is>
          <t>10 Agustus 2026</t>
        </is>
      </c>
      <c r="M153" t="inlineStr">
        <is>
          <t>Konstruksi Gedung Lainnya</t>
        </is>
      </c>
      <c r="N153" t="inlineStr">
        <is>
          <t>K</t>
        </is>
      </c>
      <c r="O153" t="inlineStr">
        <is>
          <t>20230809</t>
        </is>
      </c>
      <c r="P153" t="inlineStr">
        <is>
          <t>Jawa Barat</t>
        </is>
      </c>
      <c r="Q153" t="inlineStr"/>
    </row>
    <row r="154">
      <c r="A154" t="inlineStr">
        <is>
          <t>PUTRA SULTAN GEMILANG</t>
        </is>
      </c>
      <c r="B154" t="inlineStr">
        <is>
          <t>Kota Banda Aceh</t>
        </is>
      </c>
      <c r="C154" t="inlineStr">
        <is>
          <t>082363848767</t>
        </is>
      </c>
      <c r="D154" t="inlineStr">
        <is>
          <t>putrasultangemilang@gmail.com</t>
        </is>
      </c>
      <c r="E154" t="inlineStr">
        <is>
          <t>https://lpjk.pu.go.id/search-badan-usaha-detail/K1E5Uk5MdldKbXBkUnB4QzBxVDJSdz09</t>
        </is>
      </c>
      <c r="F154" t="n">
        <v>2</v>
      </c>
      <c r="G154" t="inlineStr">
        <is>
          <t>BG002, BG009</t>
        </is>
      </c>
      <c r="H154" t="inlineStr">
        <is>
          <t>7 Januari 2021</t>
        </is>
      </c>
      <c r="I154" s="2" t="n">
        <v>46244</v>
      </c>
      <c r="J154" t="inlineStr">
        <is>
          <t>Disetujui</t>
        </is>
      </c>
      <c r="K154" t="n">
        <v>60</v>
      </c>
      <c r="L154" t="inlineStr">
        <is>
          <t>10 Agustus 2026</t>
        </is>
      </c>
      <c r="M154" t="inlineStr">
        <is>
          <t>Konstruksi Gedung Lainnya, Konstruksi Gedung Perkantoran</t>
        </is>
      </c>
      <c r="N154" t="inlineStr">
        <is>
          <t>K</t>
        </is>
      </c>
      <c r="O154" t="inlineStr">
        <is>
          <t>20230728</t>
        </is>
      </c>
      <c r="P154" t="inlineStr">
        <is>
          <t>Aceh</t>
        </is>
      </c>
      <c r="Q154" t="inlineStr"/>
    </row>
    <row r="155">
      <c r="A155" t="inlineStr">
        <is>
          <t>PUTRI MAYANGSARI</t>
        </is>
      </c>
      <c r="B155" t="inlineStr">
        <is>
          <t>Kab. Balangan</t>
        </is>
      </c>
      <c r="C155" t="inlineStr">
        <is>
          <t>082253899662</t>
        </is>
      </c>
      <c r="D155" t="inlineStr">
        <is>
          <t>putrimayangsari.cv@gmail.com</t>
        </is>
      </c>
      <c r="E155" t="inlineStr">
        <is>
          <t>https://lpjk.pu.go.id/search-badan-usaha-detail/ZUp6bWQrdlZIbklFZXZCdE1neVh2Zz09</t>
        </is>
      </c>
      <c r="F155" t="n">
        <v>1</v>
      </c>
      <c r="G155" t="inlineStr">
        <is>
          <t>BS010</t>
        </is>
      </c>
      <c r="H155" t="inlineStr">
        <is>
          <t>30 September 2021</t>
        </is>
      </c>
      <c r="I155" s="2" t="n">
        <v>46244</v>
      </c>
      <c r="J155" t="inlineStr">
        <is>
          <t>Disetujui</t>
        </is>
      </c>
      <c r="K155" t="n">
        <v>60</v>
      </c>
      <c r="L155" t="inlineStr">
        <is>
          <t>10 Agustus 2026</t>
        </is>
      </c>
      <c r="M155" t="inlineStr">
        <is>
          <t>Konstruksi Bangunan Prasarana Sumber Daya Air</t>
        </is>
      </c>
      <c r="N155" t="inlineStr">
        <is>
          <t>K</t>
        </is>
      </c>
      <c r="O155" t="inlineStr">
        <is>
          <t>20230808</t>
        </is>
      </c>
      <c r="P155" t="inlineStr">
        <is>
          <t>Kalimantan Selatan</t>
        </is>
      </c>
      <c r="Q155" t="inlineStr"/>
    </row>
    <row r="156">
      <c r="A156" t="inlineStr">
        <is>
          <t>RADITYA DUA PUTRA</t>
        </is>
      </c>
      <c r="B156" t="inlineStr">
        <is>
          <t>Kab. Pandeglang</t>
        </is>
      </c>
      <c r="C156" t="inlineStr">
        <is>
          <t>0000</t>
        </is>
      </c>
      <c r="D156" t="inlineStr">
        <is>
          <t>radityaduaputra@gmail.com</t>
        </is>
      </c>
      <c r="E156" t="inlineStr">
        <is>
          <t>https://lpjk.pu.go.id/search-badan-usaha-detail/REtUMXhpMllnZGlpT09tcDBRNFB0dz09</t>
        </is>
      </c>
      <c r="F156" t="n">
        <v>2</v>
      </c>
      <c r="G156" t="inlineStr">
        <is>
          <t>BG001, BG006</t>
        </is>
      </c>
      <c r="H156" t="inlineStr">
        <is>
          <t>11 Januari 2021</t>
        </is>
      </c>
      <c r="I156" s="2" t="n">
        <v>46244</v>
      </c>
      <c r="J156" t="inlineStr">
        <is>
          <t>Pencabutan</t>
        </is>
      </c>
      <c r="K156" t="n">
        <v>60</v>
      </c>
      <c r="L156" t="inlineStr">
        <is>
          <t>10 Agustus 2026</t>
        </is>
      </c>
      <c r="M156" t="inlineStr">
        <is>
          <t>Konstruksi Gedung Hunian, Konstruksi Gedung Pendidikan</t>
        </is>
      </c>
      <c r="N156" t="inlineStr">
        <is>
          <t>K</t>
        </is>
      </c>
      <c r="O156" t="inlineStr">
        <is>
          <t>20230804</t>
        </is>
      </c>
      <c r="P156" t="inlineStr">
        <is>
          <t>Banten</t>
        </is>
      </c>
      <c r="Q156" t="inlineStr"/>
    </row>
    <row r="157">
      <c r="A157" t="inlineStr">
        <is>
          <t>RAJAWALI PERSADA</t>
        </is>
      </c>
      <c r="B157" t="inlineStr">
        <is>
          <t>Kab. Kutai Timur</t>
        </is>
      </c>
      <c r="C157" t="inlineStr">
        <is>
          <t>085332586924</t>
        </is>
      </c>
      <c r="D157" t="inlineStr">
        <is>
          <t>rajawalipersada.cv@gmail.com</t>
        </is>
      </c>
      <c r="E157" t="inlineStr">
        <is>
          <t>https://lpjk.pu.go.id/search-badan-usaha-detail/bDVoL2s5WTkyeDUyM3dFV2g3Q24xZz09</t>
        </is>
      </c>
      <c r="F157" t="n">
        <v>2</v>
      </c>
      <c r="G157" t="inlineStr">
        <is>
          <t>BS004</t>
        </is>
      </c>
      <c r="H157" t="inlineStr">
        <is>
          <t>5 Oktober 2022</t>
        </is>
      </c>
      <c r="I157" s="2" t="n">
        <v>46244</v>
      </c>
      <c r="J157" t="inlineStr">
        <is>
          <t>Pencabutan</t>
        </is>
      </c>
      <c r="K157" t="n">
        <v>60</v>
      </c>
      <c r="L157" t="inlineStr">
        <is>
          <t>10 Agustus 2026</t>
        </is>
      </c>
      <c r="M157" t="inlineStr">
        <is>
          <t>Konstruksi Jaringan Irigasi dan Drainase</t>
        </is>
      </c>
      <c r="N157" t="inlineStr">
        <is>
          <t>K</t>
        </is>
      </c>
      <c r="O157" t="inlineStr">
        <is>
          <t>20230809</t>
        </is>
      </c>
      <c r="P157" t="inlineStr">
        <is>
          <t>Kalimantan Timur</t>
        </is>
      </c>
      <c r="Q157" t="inlineStr"/>
    </row>
    <row r="158">
      <c r="A158" t="inlineStr">
        <is>
          <t>RAKABUMING MANDIRI</t>
        </is>
      </c>
      <c r="B158" t="inlineStr">
        <is>
          <t>Kota Semarang</t>
        </is>
      </c>
      <c r="C158" t="inlineStr">
        <is>
          <t>02476419527</t>
        </is>
      </c>
      <c r="D158" t="inlineStr">
        <is>
          <t>cv.rakabumingmandiri88@gmail.com</t>
        </is>
      </c>
      <c r="E158" t="inlineStr">
        <is>
          <t>https://lpjk.pu.go.id/search-badan-usaha-detail/Ti9ENE1nUXFlMEJ0d1FuTHZoU1dZQT09</t>
        </is>
      </c>
      <c r="F158" t="n">
        <v>1</v>
      </c>
      <c r="G158" t="inlineStr">
        <is>
          <t>BG006</t>
        </is>
      </c>
      <c r="H158" t="inlineStr">
        <is>
          <t>17 Februari 2017</t>
        </is>
      </c>
      <c r="I158" s="2" t="n">
        <v>46244</v>
      </c>
      <c r="J158" t="inlineStr">
        <is>
          <t>Disetujui</t>
        </is>
      </c>
      <c r="K158" t="n">
        <v>60</v>
      </c>
      <c r="L158" t="inlineStr">
        <is>
          <t>10 Agustus 2026</t>
        </is>
      </c>
      <c r="M158" t="inlineStr">
        <is>
          <t>Konstruksi Gedung Pendidikan</t>
        </is>
      </c>
      <c r="N158" t="inlineStr">
        <is>
          <t>K</t>
        </is>
      </c>
      <c r="O158" t="inlineStr">
        <is>
          <t>20230807</t>
        </is>
      </c>
      <c r="P158" t="inlineStr">
        <is>
          <t>Jawa Tengah</t>
        </is>
      </c>
      <c r="Q158" t="inlineStr"/>
    </row>
    <row r="159">
      <c r="A159" t="inlineStr">
        <is>
          <t>RAKSA ABADI</t>
        </is>
      </c>
      <c r="B159" t="inlineStr">
        <is>
          <t>Kab. Probolinggo</t>
        </is>
      </c>
      <c r="C159" t="inlineStr">
        <is>
          <t>085263302689</t>
        </is>
      </c>
      <c r="D159" t="inlineStr">
        <is>
          <t>cv.raksaabadi@gmail.com</t>
        </is>
      </c>
      <c r="E159" t="inlineStr">
        <is>
          <t>https://lpjk.pu.go.id/search-badan-usaha-detail/c2x1WGpCcXZsN3RETWl6U2kvTGFUZz09</t>
        </is>
      </c>
      <c r="F159" t="n">
        <v>1</v>
      </c>
      <c r="G159" t="inlineStr">
        <is>
          <t>BS001</t>
        </is>
      </c>
      <c r="H159" t="inlineStr">
        <is>
          <t>26 Juli 2016</t>
        </is>
      </c>
      <c r="I159" s="2" t="n">
        <v>46244</v>
      </c>
      <c r="J159" t="inlineStr">
        <is>
          <t>Disetujui</t>
        </is>
      </c>
      <c r="K159" t="n">
        <v>60</v>
      </c>
      <c r="L159" t="inlineStr">
        <is>
          <t>10 Agustus 2026</t>
        </is>
      </c>
      <c r="M159" t="inlineStr">
        <is>
          <t>Konstruksi Bangunan Sipil Jalan</t>
        </is>
      </c>
      <c r="N159" t="inlineStr">
        <is>
          <t>K</t>
        </is>
      </c>
      <c r="O159" t="inlineStr">
        <is>
          <t>20230805</t>
        </is>
      </c>
      <c r="P159" t="inlineStr">
        <is>
          <t>Jawa Timur</t>
        </is>
      </c>
      <c r="Q159" t="inlineStr"/>
    </row>
    <row r="160">
      <c r="A160" t="inlineStr">
        <is>
          <t>REKAYASA DAMPER PRATAMA CONSULTANT</t>
        </is>
      </c>
      <c r="B160" t="inlineStr">
        <is>
          <t>Kota Medan</t>
        </is>
      </c>
      <c r="C160" t="inlineStr">
        <is>
          <t>0614528251</t>
        </is>
      </c>
      <c r="D160" t="inlineStr">
        <is>
          <t>rekayasa.damper95@gmail.com</t>
        </is>
      </c>
      <c r="E160" t="inlineStr">
        <is>
          <t>https://lpjk.pu.go.id/search-badan-usaha-detail/NnhpRlZrUGdqQXJkRHkzaTdaUWRJQT09</t>
        </is>
      </c>
      <c r="F160" t="n">
        <v>2</v>
      </c>
      <c r="G160" t="inlineStr">
        <is>
          <t>RK001</t>
        </is>
      </c>
      <c r="H160" t="inlineStr">
        <is>
          <t>20 April 2005</t>
        </is>
      </c>
      <c r="I160" s="2" t="n">
        <v>46244</v>
      </c>
      <c r="J160" t="inlineStr">
        <is>
          <t>Disetujui</t>
        </is>
      </c>
      <c r="K160" t="n">
        <v>60</v>
      </c>
      <c r="L160" t="inlineStr">
        <is>
          <t>10 Agustus 2026</t>
        </is>
      </c>
      <c r="M160" t="inlineStr">
        <is>
          <t>Jasa Rekayasa Konstruksi Bangunan Gedung Hunian dan Non Hunian</t>
        </is>
      </c>
      <c r="N160" t="inlineStr">
        <is>
          <t>K</t>
        </is>
      </c>
      <c r="O160" t="inlineStr">
        <is>
          <t>20230804</t>
        </is>
      </c>
      <c r="P160" t="inlineStr">
        <is>
          <t>Sumatera Utara</t>
        </is>
      </c>
      <c r="Q160" t="inlineStr"/>
    </row>
    <row r="161">
      <c r="A161" t="inlineStr">
        <is>
          <t>RIA CONSULTAN</t>
        </is>
      </c>
      <c r="B161" t="inlineStr">
        <is>
          <t>Kota Palembang</t>
        </is>
      </c>
      <c r="C161" t="inlineStr">
        <is>
          <t>082176688331</t>
        </is>
      </c>
      <c r="D161" t="inlineStr">
        <is>
          <t>riaconsultan46@gmail.com</t>
        </is>
      </c>
      <c r="E161" t="inlineStr">
        <is>
          <t>https://lpjk.pu.go.id/search-badan-usaha-detail/UU9YMzBkdElKUXBTb0RrNGRmQ0NmQT09</t>
        </is>
      </c>
      <c r="F161" t="n">
        <v>1</v>
      </c>
      <c r="G161" t="inlineStr">
        <is>
          <t>RK002</t>
        </is>
      </c>
      <c r="H161" t="inlineStr">
        <is>
          <t>14 Februari 2023</t>
        </is>
      </c>
      <c r="I161" s="2" t="n">
        <v>46244</v>
      </c>
      <c r="J161" t="inlineStr">
        <is>
          <t>Disetujui</t>
        </is>
      </c>
      <c r="K161" t="n">
        <v>60</v>
      </c>
      <c r="L161" t="inlineStr">
        <is>
          <t>10 Agustus 2026</t>
        </is>
      </c>
      <c r="M161" t="inlineStr">
        <is>
          <t>Jasa Rekayasa Pekerjaan Teknik Sipil Sumber Daya Air</t>
        </is>
      </c>
      <c r="N161" t="inlineStr">
        <is>
          <t>K</t>
        </is>
      </c>
      <c r="O161" t="inlineStr">
        <is>
          <t>20230728</t>
        </is>
      </c>
      <c r="P161" t="inlineStr">
        <is>
          <t>Sumatera Selatan</t>
        </is>
      </c>
      <c r="Q161" t="inlineStr"/>
    </row>
    <row r="162">
      <c r="A162" t="inlineStr">
        <is>
          <t>RIZKI KURNIA</t>
        </is>
      </c>
      <c r="B162" t="inlineStr">
        <is>
          <t>Kota Palembang</t>
        </is>
      </c>
      <c r="C162" t="inlineStr">
        <is>
          <t>-</t>
        </is>
      </c>
      <c r="D162" t="inlineStr">
        <is>
          <t>kurniaa.rizki50@gmail.com</t>
        </is>
      </c>
      <c r="E162" t="inlineStr">
        <is>
          <t>https://lpjk.pu.go.id/search-badan-usaha-detail/eGNiUVZxWHYyQXpTSWwyaCs5WkJuZz09</t>
        </is>
      </c>
      <c r="F162" t="n">
        <v>1</v>
      </c>
      <c r="G162" t="inlineStr">
        <is>
          <t>BS001</t>
        </is>
      </c>
      <c r="H162" t="inlineStr">
        <is>
          <t>13 Januari 2006</t>
        </is>
      </c>
      <c r="I162" s="2" t="n">
        <v>46244</v>
      </c>
      <c r="J162" t="inlineStr">
        <is>
          <t>Disetujui</t>
        </is>
      </c>
      <c r="K162" t="n">
        <v>60</v>
      </c>
      <c r="L162" t="inlineStr">
        <is>
          <t>10 Agustus 2026</t>
        </is>
      </c>
      <c r="M162" t="inlineStr">
        <is>
          <t>Konstruksi Bangunan Sipil Jalan</t>
        </is>
      </c>
      <c r="N162" t="inlineStr">
        <is>
          <t>K</t>
        </is>
      </c>
      <c r="O162" t="inlineStr">
        <is>
          <t>20230609</t>
        </is>
      </c>
      <c r="P162" t="inlineStr">
        <is>
          <t>Sumatera Selatan</t>
        </is>
      </c>
      <c r="Q162" t="inlineStr"/>
    </row>
    <row r="163">
      <c r="A163" t="inlineStr">
        <is>
          <t>ROLAS</t>
        </is>
      </c>
      <c r="B163" t="inlineStr">
        <is>
          <t>Kota Malang</t>
        </is>
      </c>
      <c r="C163" t="inlineStr">
        <is>
          <t>082131073577</t>
        </is>
      </c>
      <c r="D163" t="inlineStr">
        <is>
          <t>cv.rolas12@gmail.com</t>
        </is>
      </c>
      <c r="E163" t="inlineStr">
        <is>
          <t>https://lpjk.pu.go.id/search-badan-usaha-detail/WFZzWjdZVk80QXYzRjZFZXdhWmFGdz09</t>
        </is>
      </c>
      <c r="F163" t="n">
        <v>1</v>
      </c>
      <c r="G163" t="inlineStr">
        <is>
          <t>BS001</t>
        </is>
      </c>
      <c r="H163" t="inlineStr">
        <is>
          <t>23 Juni 2023</t>
        </is>
      </c>
      <c r="I163" s="2" t="n">
        <v>46244</v>
      </c>
      <c r="J163" t="inlineStr">
        <is>
          <t>Disetujui</t>
        </is>
      </c>
      <c r="K163" t="n">
        <v>60</v>
      </c>
      <c r="L163" t="inlineStr">
        <is>
          <t>10 Agustus 2026</t>
        </is>
      </c>
      <c r="M163" t="inlineStr">
        <is>
          <t>Konstruksi Bangunan Sipil Jalan</t>
        </is>
      </c>
      <c r="N163" t="inlineStr">
        <is>
          <t>K</t>
        </is>
      </c>
      <c r="O163" t="inlineStr">
        <is>
          <t>20230727</t>
        </is>
      </c>
      <c r="P163" t="inlineStr">
        <is>
          <t>Jawa Timur</t>
        </is>
      </c>
      <c r="Q163" t="inlineStr"/>
    </row>
    <row r="164">
      <c r="A164" t="inlineStr">
        <is>
          <t>RUKUN JAYA MADURA GROUP</t>
        </is>
      </c>
      <c r="B164" t="inlineStr">
        <is>
          <t>Kab. Sampang</t>
        </is>
      </c>
      <c r="C164" t="inlineStr">
        <is>
          <t>081937292440</t>
        </is>
      </c>
      <c r="D164" t="inlineStr">
        <is>
          <t>khoirulumam.pt@yandex.com</t>
        </is>
      </c>
      <c r="E164" t="inlineStr">
        <is>
          <t>https://lpjk.pu.go.id/search-badan-usaha-detail/cTNFT003OWdmcUhiT0UzNlU2NGErQT09</t>
        </is>
      </c>
      <c r="F164" t="n">
        <v>1</v>
      </c>
      <c r="G164" t="inlineStr">
        <is>
          <t>BG002</t>
        </is>
      </c>
      <c r="H164" t="inlineStr">
        <is>
          <t>2 Juli 2007</t>
        </is>
      </c>
      <c r="I164" s="2" t="n">
        <v>46244</v>
      </c>
      <c r="J164" t="inlineStr">
        <is>
          <t>Disetujui</t>
        </is>
      </c>
      <c r="K164" t="n">
        <v>60</v>
      </c>
      <c r="L164" t="inlineStr">
        <is>
          <t>10 Agustus 2026</t>
        </is>
      </c>
      <c r="M164" t="inlineStr">
        <is>
          <t>Konstruksi Gedung Perkantoran</t>
        </is>
      </c>
      <c r="N164" t="inlineStr">
        <is>
          <t>M</t>
        </is>
      </c>
      <c r="O164" t="inlineStr">
        <is>
          <t>20230630</t>
        </is>
      </c>
      <c r="P164" t="inlineStr">
        <is>
          <t>Jawa Timur</t>
        </is>
      </c>
      <c r="Q164" t="inlineStr"/>
    </row>
    <row r="165">
      <c r="A165" t="inlineStr">
        <is>
          <t>SADAR INSAN BERKAH</t>
        </is>
      </c>
      <c r="B165" t="inlineStr">
        <is>
          <t>Kota Surabaya</t>
        </is>
      </c>
      <c r="C165" t="inlineStr">
        <is>
          <t>081554539992</t>
        </is>
      </c>
      <c r="D165" t="inlineStr">
        <is>
          <t>sadarinsanberkah99@gmail.com</t>
        </is>
      </c>
      <c r="E165" t="inlineStr">
        <is>
          <t>https://lpjk.pu.go.id/search-badan-usaha-detail/RmlhM0JGZUc1MWdLb0ZraGRsa2NBUT09</t>
        </is>
      </c>
      <c r="F165" t="n">
        <v>2</v>
      </c>
      <c r="G165" t="inlineStr">
        <is>
          <t>BG003</t>
        </is>
      </c>
      <c r="H165" t="inlineStr">
        <is>
          <t>8 Januari 2018</t>
        </is>
      </c>
      <c r="I165" s="2" t="n">
        <v>46244</v>
      </c>
      <c r="J165" t="inlineStr">
        <is>
          <t>Disetujui</t>
        </is>
      </c>
      <c r="K165" t="n">
        <v>60</v>
      </c>
      <c r="L165" t="inlineStr">
        <is>
          <t>10 Agustus 2026</t>
        </is>
      </c>
      <c r="M165" t="inlineStr">
        <is>
          <t>Konstruksi Gedung Industri</t>
        </is>
      </c>
      <c r="N165" t="inlineStr">
        <is>
          <t>K</t>
        </is>
      </c>
      <c r="O165" t="inlineStr">
        <is>
          <t>20230811</t>
        </is>
      </c>
      <c r="P165" t="inlineStr">
        <is>
          <t>Jawa Timur</t>
        </is>
      </c>
      <c r="Q165" t="inlineStr"/>
    </row>
    <row r="166">
      <c r="A166" t="inlineStr">
        <is>
          <t>SAHABAT</t>
        </is>
      </c>
      <c r="B166" t="inlineStr">
        <is>
          <t>Kab. Padang Lawas Utara</t>
        </is>
      </c>
      <c r="C166" t="inlineStr">
        <is>
          <t>082370196188</t>
        </is>
      </c>
      <c r="D166" t="inlineStr">
        <is>
          <t>azwarardhi@yahoo.co.id</t>
        </is>
      </c>
      <c r="E166" t="inlineStr">
        <is>
          <t>https://lpjk.pu.go.id/search-badan-usaha-detail/TTE1ZG0wSkJwQjRLVFd5dEFMTnhkQT09</t>
        </is>
      </c>
      <c r="F166" t="n">
        <v>1</v>
      </c>
      <c r="G166" t="inlineStr">
        <is>
          <t>BS005</t>
        </is>
      </c>
      <c r="H166" t="inlineStr">
        <is>
          <t>22 Juni 2012</t>
        </is>
      </c>
      <c r="I166" s="2" t="n">
        <v>46244</v>
      </c>
      <c r="J166" t="inlineStr">
        <is>
          <t>Pencabutan</t>
        </is>
      </c>
      <c r="K166" t="n">
        <v>60</v>
      </c>
      <c r="L166" t="inlineStr">
        <is>
          <t>10 Agustus 2026</t>
        </is>
      </c>
      <c r="M166" t="inlineStr">
        <is>
          <t>Konstruksi Bangunan Sipil Pengolahan Air Bersih</t>
        </is>
      </c>
      <c r="N166" t="inlineStr">
        <is>
          <t>K</t>
        </is>
      </c>
      <c r="O166" t="inlineStr">
        <is>
          <t>20230718</t>
        </is>
      </c>
      <c r="P166" t="inlineStr">
        <is>
          <t>Sumatera Utara</t>
        </is>
      </c>
      <c r="Q166" t="inlineStr"/>
    </row>
    <row r="167">
      <c r="A167" t="inlineStr">
        <is>
          <t>SAHABAT SETIA ABADI</t>
        </is>
      </c>
      <c r="B167" t="inlineStr">
        <is>
          <t>Kab. Hulu Sungai Utara</t>
        </is>
      </c>
      <c r="C167" t="inlineStr">
        <is>
          <t>087739437472</t>
        </is>
      </c>
      <c r="D167" t="inlineStr">
        <is>
          <t>sahabatsetiaabadi@yahoo.com</t>
        </is>
      </c>
      <c r="E167" t="inlineStr">
        <is>
          <t>https://lpjk.pu.go.id/search-badan-usaha-detail/SWFJaXNiNUV2cUJDRkNBSjlJSGppQT09</t>
        </is>
      </c>
      <c r="F167" t="n">
        <v>1</v>
      </c>
      <c r="G167" t="inlineStr">
        <is>
          <t>BS001</t>
        </is>
      </c>
      <c r="H167" t="inlineStr">
        <is>
          <t>10 Juli 2023</t>
        </is>
      </c>
      <c r="I167" s="2" t="n">
        <v>46244</v>
      </c>
      <c r="J167" t="inlineStr">
        <is>
          <t>Disetujui</t>
        </is>
      </c>
      <c r="K167" t="n">
        <v>60</v>
      </c>
      <c r="L167" t="inlineStr">
        <is>
          <t>10 Agustus 2026</t>
        </is>
      </c>
      <c r="M167" t="inlineStr">
        <is>
          <t>Konstruksi Bangunan Sipil Jalan</t>
        </is>
      </c>
      <c r="N167" t="inlineStr">
        <is>
          <t>K</t>
        </is>
      </c>
      <c r="O167" t="inlineStr">
        <is>
          <t>20230809</t>
        </is>
      </c>
      <c r="P167" t="inlineStr">
        <is>
          <t>Kalimantan Selatan</t>
        </is>
      </c>
      <c r="Q167" t="inlineStr"/>
    </row>
    <row r="168">
      <c r="A168" t="inlineStr">
        <is>
          <t>SAMI MUJI ENGINEERING</t>
        </is>
      </c>
      <c r="B168" t="inlineStr">
        <is>
          <t>Kab. Probolinggo</t>
        </is>
      </c>
      <c r="C168" t="inlineStr">
        <is>
          <t>081332713394</t>
        </is>
      </c>
      <c r="D168" t="inlineStr">
        <is>
          <t>ptsamimuji2023@gmail.com</t>
        </is>
      </c>
      <c r="E168" t="inlineStr">
        <is>
          <t>https://lpjk.pu.go.id/search-badan-usaha-detail/WmI0WEhQcitWZ1hlaUg4TUxjcU9jQT09</t>
        </is>
      </c>
      <c r="F168" t="n">
        <v>1</v>
      </c>
      <c r="G168" t="inlineStr">
        <is>
          <t>BG009</t>
        </is>
      </c>
      <c r="H168" t="inlineStr">
        <is>
          <t>12 Maret 2021</t>
        </is>
      </c>
      <c r="I168" s="2" t="n">
        <v>46244</v>
      </c>
      <c r="J168" t="inlineStr">
        <is>
          <t>Pencabutan</t>
        </is>
      </c>
      <c r="K168" t="n">
        <v>60</v>
      </c>
      <c r="L168" t="inlineStr">
        <is>
          <t>10 Agustus 2026</t>
        </is>
      </c>
      <c r="M168" t="inlineStr">
        <is>
          <t>Konstruksi Gedung Lainnya</t>
        </is>
      </c>
      <c r="N168" t="inlineStr">
        <is>
          <t>K</t>
        </is>
      </c>
      <c r="O168" t="inlineStr">
        <is>
          <t>20230809</t>
        </is>
      </c>
      <c r="P168" t="inlineStr">
        <is>
          <t>Jawa Timur</t>
        </is>
      </c>
      <c r="Q168" t="inlineStr"/>
    </row>
    <row r="169">
      <c r="A169" t="inlineStr">
        <is>
          <t>SAMODRA MEGA TEHNIKA</t>
        </is>
      </c>
      <c r="B169" t="inlineStr">
        <is>
          <t>Kab. Boyolali</t>
        </is>
      </c>
      <c r="C169" t="inlineStr">
        <is>
          <t>0819673788</t>
        </is>
      </c>
      <c r="D169" t="inlineStr">
        <is>
          <t>samodramegatehnikapt@gmail.com</t>
        </is>
      </c>
      <c r="E169" t="inlineStr">
        <is>
          <t>https://lpjk.pu.go.id/search-badan-usaha-detail/NWlMbm84d2VuNEo1MlNlOStza2xtUT09</t>
        </is>
      </c>
      <c r="F169" t="n">
        <v>1</v>
      </c>
      <c r="G169" t="inlineStr">
        <is>
          <t>BS005</t>
        </is>
      </c>
      <c r="H169" t="inlineStr">
        <is>
          <t>22 Oktober 2003</t>
        </is>
      </c>
      <c r="I169" s="2" t="n">
        <v>46244</v>
      </c>
      <c r="J169" t="inlineStr">
        <is>
          <t>Pencabutan</t>
        </is>
      </c>
      <c r="K169" t="n">
        <v>60</v>
      </c>
      <c r="L169" t="inlineStr">
        <is>
          <t>10 Agustus 2026</t>
        </is>
      </c>
      <c r="M169" t="inlineStr">
        <is>
          <t>Konstruksi Bangunan Sipil Pengolahan Air Bersih</t>
        </is>
      </c>
      <c r="N169" t="inlineStr">
        <is>
          <t>M</t>
        </is>
      </c>
      <c r="O169" t="inlineStr">
        <is>
          <t>20230808</t>
        </is>
      </c>
      <c r="P169" t="inlineStr">
        <is>
          <t>Jawa Tengah</t>
        </is>
      </c>
      <c r="Q169" t="inlineStr"/>
    </row>
    <row r="170">
      <c r="A170" t="inlineStr">
        <is>
          <t>SAMUDERA REKSO ASRI</t>
        </is>
      </c>
      <c r="B170" t="inlineStr">
        <is>
          <t>Kota Adm. Jakarta Barat</t>
        </is>
      </c>
      <c r="C170" t="inlineStr">
        <is>
          <t>02153675605</t>
        </is>
      </c>
      <c r="D170" t="inlineStr">
        <is>
          <t>info.oss.sra@samudera.id</t>
        </is>
      </c>
      <c r="E170" t="inlineStr">
        <is>
          <t>https://lpjk.pu.go.id/search-badan-usaha-detail/N1psSjNENk5EZEFBb1hGMEhXNGcxQT09</t>
        </is>
      </c>
      <c r="F170" t="n">
        <v>2</v>
      </c>
      <c r="G170" t="inlineStr">
        <is>
          <t>BG001, BS001</t>
        </is>
      </c>
      <c r="H170" t="inlineStr">
        <is>
          <t>28 April 2011</t>
        </is>
      </c>
      <c r="I170" s="2" t="n">
        <v>46244</v>
      </c>
      <c r="J170" t="inlineStr">
        <is>
          <t>Disetujui</t>
        </is>
      </c>
      <c r="K170" t="n">
        <v>60</v>
      </c>
      <c r="L170" t="inlineStr">
        <is>
          <t>10 Agustus 2026</t>
        </is>
      </c>
      <c r="M170" t="inlineStr">
        <is>
          <t>Konstruksi Bangunan Sipil Jalan, Konstruksi Gedung Hunian</t>
        </is>
      </c>
      <c r="N170" t="inlineStr">
        <is>
          <t>K</t>
        </is>
      </c>
      <c r="O170" t="inlineStr">
        <is>
          <t>20230808</t>
        </is>
      </c>
      <c r="P170" t="inlineStr">
        <is>
          <t>DKI Jakarta</t>
        </is>
      </c>
      <c r="Q170" t="inlineStr"/>
    </row>
    <row r="171">
      <c r="A171" t="inlineStr">
        <is>
          <t>SANDRA BUANA</t>
        </is>
      </c>
      <c r="B171" t="inlineStr">
        <is>
          <t>Kab. Sukabumi</t>
        </is>
      </c>
      <c r="C171" t="inlineStr">
        <is>
          <t>085861238818</t>
        </is>
      </c>
      <c r="D171" t="inlineStr">
        <is>
          <t>cvsandrabuana@gmail.com</t>
        </is>
      </c>
      <c r="E171" t="inlineStr">
        <is>
          <t>https://lpjk.pu.go.id/search-badan-usaha-detail/VWtpMXpRTlJna0RXd1lNOU1xV0lPUT09</t>
        </is>
      </c>
      <c r="F171" t="n">
        <v>1</v>
      </c>
      <c r="G171" t="inlineStr">
        <is>
          <t>BS001</t>
        </is>
      </c>
      <c r="H171" t="inlineStr">
        <is>
          <t>18 Januari 2016</t>
        </is>
      </c>
      <c r="I171" s="2" t="n">
        <v>46244</v>
      </c>
      <c r="J171" t="inlineStr">
        <is>
          <t>Disetujui</t>
        </is>
      </c>
      <c r="K171" t="n">
        <v>60</v>
      </c>
      <c r="L171" t="inlineStr">
        <is>
          <t>10 Agustus 2026</t>
        </is>
      </c>
      <c r="M171" t="inlineStr">
        <is>
          <t>Konstruksi Bangunan Sipil Jalan</t>
        </is>
      </c>
      <c r="N171" t="inlineStr">
        <is>
          <t>K</t>
        </is>
      </c>
      <c r="O171" t="inlineStr">
        <is>
          <t>20230808</t>
        </is>
      </c>
      <c r="P171" t="inlineStr">
        <is>
          <t>Jawa Barat</t>
        </is>
      </c>
      <c r="Q171" t="inlineStr"/>
    </row>
    <row r="172">
      <c r="A172" t="inlineStr">
        <is>
          <t>SANGHA RADYA UTAMA</t>
        </is>
      </c>
      <c r="B172" t="inlineStr">
        <is>
          <t>Kab. Ngawi</t>
        </is>
      </c>
      <c r="C172" t="inlineStr">
        <is>
          <t>085735072044</t>
        </is>
      </c>
      <c r="D172" t="inlineStr">
        <is>
          <t>sangharadyautama@gmail.com</t>
        </is>
      </c>
      <c r="E172" t="inlineStr">
        <is>
          <t>https://lpjk.pu.go.id/search-badan-usaha-detail/eEJrUytzbDFqTWYxa2xvTk9YWGMzdz09</t>
        </is>
      </c>
      <c r="F172" t="n">
        <v>2</v>
      </c>
      <c r="G172" t="inlineStr">
        <is>
          <t>RK002, RK003</t>
        </is>
      </c>
      <c r="H172" t="inlineStr">
        <is>
          <t>28 Maret 2023</t>
        </is>
      </c>
      <c r="I172" s="2" t="n">
        <v>46244</v>
      </c>
      <c r="J172" t="inlineStr">
        <is>
          <t>Disetujui</t>
        </is>
      </c>
      <c r="K172" t="n">
        <v>60</v>
      </c>
      <c r="L172" t="inlineStr">
        <is>
          <t>10 Agustus 2026</t>
        </is>
      </c>
      <c r="M172" t="inlineStr">
        <is>
          <t>Jasa Rekayasa Pekerjaan Teknik Sipil Sumber Daya Air, Jasa Rekayasa Pekerjaan Teknik Sipil Transportasi</t>
        </is>
      </c>
      <c r="N172" t="inlineStr">
        <is>
          <t>K</t>
        </is>
      </c>
      <c r="O172" t="inlineStr">
        <is>
          <t>20230731, 20230801</t>
        </is>
      </c>
      <c r="P172" t="inlineStr">
        <is>
          <t>Jawa Timur</t>
        </is>
      </c>
      <c r="Q172" t="inlineStr"/>
    </row>
    <row r="173">
      <c r="A173" t="inlineStr">
        <is>
          <t>SAPTA MANUNGGAL KARYA</t>
        </is>
      </c>
      <c r="B173" t="inlineStr">
        <is>
          <t>Kota Ambon</t>
        </is>
      </c>
      <c r="C173" t="inlineStr">
        <is>
          <t>082198239281</t>
        </is>
      </c>
      <c r="D173" t="inlineStr">
        <is>
          <t>saptamanunggalkaryapt@yahoo.com</t>
        </is>
      </c>
      <c r="E173" t="inlineStr">
        <is>
          <t>https://lpjk.pu.go.id/search-badan-usaha-detail/Nng3N0VWTk5MOGR0NFpORkl0SXlwUT09</t>
        </is>
      </c>
      <c r="F173" t="n">
        <v>1</v>
      </c>
      <c r="G173" t="inlineStr">
        <is>
          <t>BG002</t>
        </is>
      </c>
      <c r="H173" t="inlineStr">
        <is>
          <t>30 September 2009</t>
        </is>
      </c>
      <c r="I173" s="2" t="n">
        <v>46244</v>
      </c>
      <c r="J173" t="inlineStr">
        <is>
          <t>Disetujui</t>
        </is>
      </c>
      <c r="K173" t="n">
        <v>60</v>
      </c>
      <c r="L173" t="inlineStr">
        <is>
          <t>10 Agustus 2026</t>
        </is>
      </c>
      <c r="M173" t="inlineStr">
        <is>
          <t>Konstruksi Gedung Perkantoran</t>
        </is>
      </c>
      <c r="N173" t="inlineStr">
        <is>
          <t>M</t>
        </is>
      </c>
      <c r="O173" t="inlineStr">
        <is>
          <t>20230808</t>
        </is>
      </c>
      <c r="P173" t="inlineStr">
        <is>
          <t>Maluku</t>
        </is>
      </c>
      <c r="Q173" t="inlineStr"/>
    </row>
    <row r="174">
      <c r="A174" t="inlineStr">
        <is>
          <t>SARANA UTAMA MADANI</t>
        </is>
      </c>
      <c r="B174" t="inlineStr">
        <is>
          <t>Kota Makassar</t>
        </is>
      </c>
      <c r="C174" t="inlineStr">
        <is>
          <t>0411495047</t>
        </is>
      </c>
      <c r="D174" t="inlineStr">
        <is>
          <t>ptsaranautamamadani.2@gmail.com</t>
        </is>
      </c>
      <c r="E174" t="inlineStr">
        <is>
          <t>https://lpjk.pu.go.id/search-badan-usaha-detail/bjc0THBpUFZMTXdFa05LbG4vRUU3UT09</t>
        </is>
      </c>
      <c r="F174" t="n">
        <v>1</v>
      </c>
      <c r="G174" t="inlineStr">
        <is>
          <t>BS009</t>
        </is>
      </c>
      <c r="H174" t="inlineStr">
        <is>
          <t>25 Februari 2014</t>
        </is>
      </c>
      <c r="I174" s="2" t="n">
        <v>46244</v>
      </c>
      <c r="J174" t="inlineStr">
        <is>
          <t>Disetujui</t>
        </is>
      </c>
      <c r="K174" t="n">
        <v>60</v>
      </c>
      <c r="L174" t="inlineStr">
        <is>
          <t>10 Agustus 2026</t>
        </is>
      </c>
      <c r="M174" t="inlineStr">
        <is>
          <t>Konstruksi Sentral Telekomunikasi</t>
        </is>
      </c>
      <c r="N174" t="inlineStr">
        <is>
          <t>K</t>
        </is>
      </c>
      <c r="O174" t="inlineStr">
        <is>
          <t>20230810</t>
        </is>
      </c>
      <c r="P174" t="inlineStr">
        <is>
          <t>Sulawesi Selatan</t>
        </is>
      </c>
      <c r="Q174" t="inlineStr"/>
    </row>
    <row r="175">
      <c r="A175" t="inlineStr">
        <is>
          <t>SARINAH</t>
        </is>
      </c>
      <c r="B175" t="inlineStr">
        <is>
          <t>Kab. Bangka Selatan</t>
        </is>
      </c>
      <c r="C175" t="inlineStr">
        <is>
          <t>085896156810</t>
        </is>
      </c>
      <c r="D175" t="inlineStr">
        <is>
          <t>sarinahjebus@gmail.com</t>
        </is>
      </c>
      <c r="E175" t="inlineStr">
        <is>
          <t>https://lpjk.pu.go.id/search-badan-usaha-detail/M1ZUVDNZM0U1QjRrMFJIc2xhZEFNdz09</t>
        </is>
      </c>
      <c r="F175" t="n">
        <v>2</v>
      </c>
      <c r="G175" t="inlineStr">
        <is>
          <t>BS001, BS004</t>
        </is>
      </c>
      <c r="H175" t="inlineStr">
        <is>
          <t>24 Juli 2003</t>
        </is>
      </c>
      <c r="I175" s="2" t="n">
        <v>46244</v>
      </c>
      <c r="J175" t="inlineStr">
        <is>
          <t>Disetujui</t>
        </is>
      </c>
      <c r="K175" t="n">
        <v>60</v>
      </c>
      <c r="L175" t="inlineStr">
        <is>
          <t>10 Agustus 2026</t>
        </is>
      </c>
      <c r="M175" t="inlineStr">
        <is>
          <t>Konstruksi Bangunan Sipil Jalan, Konstruksi Jaringan Irigasi dan Drainase</t>
        </is>
      </c>
      <c r="N175" t="inlineStr">
        <is>
          <t>K</t>
        </is>
      </c>
      <c r="O175" t="inlineStr">
        <is>
          <t>20230810</t>
        </is>
      </c>
      <c r="P175" t="inlineStr">
        <is>
          <t>Kepulauan Bangka Belitung</t>
        </is>
      </c>
      <c r="Q175" t="inlineStr"/>
    </row>
    <row r="176">
      <c r="A176" t="inlineStr">
        <is>
          <t>SEJAHTERA ABADI</t>
        </is>
      </c>
      <c r="B176" t="inlineStr">
        <is>
          <t>Kota Banjarmasin</t>
        </is>
      </c>
      <c r="C176" t="inlineStr">
        <is>
          <t>085246764406</t>
        </is>
      </c>
      <c r="D176" t="inlineStr">
        <is>
          <t>sejahteraabadi85@gmail.com</t>
        </is>
      </c>
      <c r="E176" t="inlineStr">
        <is>
          <t>https://lpjk.pu.go.id/search-badan-usaha-detail/bjJOa24vTG5lQUdGVjk1eDBWOFBGdz09</t>
        </is>
      </c>
      <c r="F176" t="n">
        <v>3</v>
      </c>
      <c r="G176" t="inlineStr">
        <is>
          <t>BG001, BG002, BG005</t>
        </is>
      </c>
      <c r="H176" t="inlineStr">
        <is>
          <t>10 November 2016</t>
        </is>
      </c>
      <c r="I176" s="2" t="n">
        <v>46244</v>
      </c>
      <c r="J176" t="inlineStr">
        <is>
          <t>Disetujui</t>
        </is>
      </c>
      <c r="K176" t="n">
        <v>60</v>
      </c>
      <c r="L176" t="inlineStr">
        <is>
          <t>10 Agustus 2026</t>
        </is>
      </c>
      <c r="M176" t="inlineStr">
        <is>
          <t>Konstruksi Gedung Hunian, Konstruksi Gedung Kesehatan, Konstruksi Gedung Perkantoran</t>
        </is>
      </c>
      <c r="N176" t="inlineStr">
        <is>
          <t>K</t>
        </is>
      </c>
      <c r="O176" t="inlineStr">
        <is>
          <t>20230808</t>
        </is>
      </c>
      <c r="P176" t="inlineStr">
        <is>
          <t>Kalimantan Selatan</t>
        </is>
      </c>
      <c r="Q176" t="inlineStr"/>
    </row>
    <row r="177">
      <c r="A177" t="inlineStr">
        <is>
          <t>SEJAHTERA MULIA PERSADA</t>
        </is>
      </c>
      <c r="B177" t="inlineStr">
        <is>
          <t>Kab. Maros</t>
        </is>
      </c>
      <c r="C177" t="inlineStr">
        <is>
          <t>081340013330</t>
        </is>
      </c>
      <c r="D177" t="inlineStr">
        <is>
          <t>cv.smpersada03@gmail.com</t>
        </is>
      </c>
      <c r="E177" t="inlineStr">
        <is>
          <t>https://lpjk.pu.go.id/search-badan-usaha-detail/TkZpSk9QcW0vTnRuZnJVWENEdmc2UT09</t>
        </is>
      </c>
      <c r="F177" t="n">
        <v>1</v>
      </c>
      <c r="G177" t="inlineStr">
        <is>
          <t>BS001</t>
        </is>
      </c>
      <c r="H177" t="inlineStr">
        <is>
          <t>9 Maret 2023</t>
        </is>
      </c>
      <c r="I177" s="2" t="n">
        <v>46244</v>
      </c>
      <c r="J177" t="inlineStr">
        <is>
          <t>Pencabutan</t>
        </is>
      </c>
      <c r="K177" t="n">
        <v>60</v>
      </c>
      <c r="L177" t="inlineStr">
        <is>
          <t>10 Agustus 2026</t>
        </is>
      </c>
      <c r="M177" t="inlineStr">
        <is>
          <t>Konstruksi Bangunan Sipil Jalan</t>
        </is>
      </c>
      <c r="N177" t="inlineStr">
        <is>
          <t>K</t>
        </is>
      </c>
      <c r="O177" t="inlineStr">
        <is>
          <t>20230810</t>
        </is>
      </c>
      <c r="P177" t="inlineStr">
        <is>
          <t>Sulawesi Selatan</t>
        </is>
      </c>
      <c r="Q177" t="inlineStr"/>
    </row>
    <row r="178">
      <c r="A178" t="inlineStr">
        <is>
          <t>SELO PUTRA BERJAYA</t>
        </is>
      </c>
      <c r="B178" t="inlineStr">
        <is>
          <t>Kab. Penajam Paser Utara</t>
        </is>
      </c>
      <c r="C178" t="inlineStr">
        <is>
          <t>0811592299</t>
        </is>
      </c>
      <c r="D178" t="inlineStr">
        <is>
          <t>robertirwan8@gmail.com</t>
        </is>
      </c>
      <c r="E178" t="inlineStr">
        <is>
          <t>https://lpjk.pu.go.id/search-badan-usaha-detail/MzhRcklCNjJ6YXZFa2kxSkt4UCtkQT09</t>
        </is>
      </c>
      <c r="F178" t="n">
        <v>1</v>
      </c>
      <c r="G178" t="inlineStr">
        <is>
          <t>BG006</t>
        </is>
      </c>
      <c r="H178" t="inlineStr">
        <is>
          <t>12 Juli 2023</t>
        </is>
      </c>
      <c r="I178" s="2" t="n">
        <v>46244</v>
      </c>
      <c r="J178" t="inlineStr">
        <is>
          <t>Disetujui</t>
        </is>
      </c>
      <c r="K178" t="n">
        <v>60</v>
      </c>
      <c r="L178" t="inlineStr">
        <is>
          <t>10 Agustus 2026</t>
        </is>
      </c>
      <c r="M178" t="inlineStr">
        <is>
          <t>Konstruksi Gedung Pendidikan</t>
        </is>
      </c>
      <c r="N178" t="inlineStr">
        <is>
          <t>K</t>
        </is>
      </c>
      <c r="O178" t="inlineStr">
        <is>
          <t>20230809</t>
        </is>
      </c>
      <c r="P178" t="inlineStr">
        <is>
          <t>Kalimantan Timur</t>
        </is>
      </c>
      <c r="Q178" t="inlineStr"/>
    </row>
    <row r="179">
      <c r="A179" t="inlineStr">
        <is>
          <t>SHAMARA KONS PERKASA</t>
        </is>
      </c>
      <c r="B179" t="inlineStr">
        <is>
          <t>Kab. Grobogan</t>
        </is>
      </c>
      <c r="C179" t="inlineStr">
        <is>
          <t>081281510144</t>
        </is>
      </c>
      <c r="D179" t="inlineStr">
        <is>
          <t>shamarakons27@gmail.com</t>
        </is>
      </c>
      <c r="E179" t="inlineStr">
        <is>
          <t>https://lpjk.pu.go.id/search-badan-usaha-detail/Uk54VFBYOWYyVmJPZkk2eTRwa1pnZz09</t>
        </is>
      </c>
      <c r="F179" t="n">
        <v>1</v>
      </c>
      <c r="G179" t="inlineStr">
        <is>
          <t>BS001</t>
        </is>
      </c>
      <c r="H179" t="inlineStr">
        <is>
          <t>19 Juli 2021</t>
        </is>
      </c>
      <c r="I179" s="2" t="n">
        <v>46244</v>
      </c>
      <c r="J179" t="inlineStr">
        <is>
          <t>Pencabutan</t>
        </is>
      </c>
      <c r="K179" t="n">
        <v>60</v>
      </c>
      <c r="L179" t="inlineStr">
        <is>
          <t>10 Agustus 2026</t>
        </is>
      </c>
      <c r="M179" t="inlineStr">
        <is>
          <t>Konstruksi Bangunan Sipil Jalan</t>
        </is>
      </c>
      <c r="N179" t="inlineStr">
        <is>
          <t>K</t>
        </is>
      </c>
      <c r="O179" t="inlineStr">
        <is>
          <t>20230810</t>
        </is>
      </c>
      <c r="P179" t="inlineStr">
        <is>
          <t>Jawa Tengah</t>
        </is>
      </c>
      <c r="Q179" t="inlineStr"/>
    </row>
    <row r="180">
      <c r="A180" t="inlineStr">
        <is>
          <t>SIDO MUKTI</t>
        </is>
      </c>
      <c r="B180" t="inlineStr">
        <is>
          <t>Kab. Boyolali</t>
        </is>
      </c>
      <c r="C180" t="inlineStr">
        <is>
          <t>085232546800</t>
        </is>
      </c>
      <c r="D180" t="inlineStr">
        <is>
          <t>cvsidomuktibi2016@gmail.com</t>
        </is>
      </c>
      <c r="E180" t="inlineStr">
        <is>
          <t>https://lpjk.pu.go.id/search-badan-usaha-detail/bWpXMmNWMExwSHM5UldNdW1TOU80UT09</t>
        </is>
      </c>
      <c r="F180" t="n">
        <v>1</v>
      </c>
      <c r="G180" t="inlineStr">
        <is>
          <t>BG002</t>
        </is>
      </c>
      <c r="H180" t="inlineStr">
        <is>
          <t>18 Januari 2016</t>
        </is>
      </c>
      <c r="I180" s="2" t="n">
        <v>46244</v>
      </c>
      <c r="J180" t="inlineStr">
        <is>
          <t>Disetujui</t>
        </is>
      </c>
      <c r="K180" t="n">
        <v>60</v>
      </c>
      <c r="L180" t="inlineStr">
        <is>
          <t>10 Agustus 2026</t>
        </is>
      </c>
      <c r="M180" t="inlineStr">
        <is>
          <t>Konstruksi Gedung Perkantoran</t>
        </is>
      </c>
      <c r="N180" t="inlineStr">
        <is>
          <t>K</t>
        </is>
      </c>
      <c r="O180" t="inlineStr">
        <is>
          <t>20230808</t>
        </is>
      </c>
      <c r="P180" t="inlineStr">
        <is>
          <t>Jawa Tengah</t>
        </is>
      </c>
      <c r="Q180" t="inlineStr"/>
    </row>
    <row r="181">
      <c r="A181" t="inlineStr">
        <is>
          <t>SIGMA KARYA</t>
        </is>
      </c>
      <c r="B181" t="inlineStr">
        <is>
          <t>Kab. Bojonegoro</t>
        </is>
      </c>
      <c r="C181" t="inlineStr">
        <is>
          <t>082330610049</t>
        </is>
      </c>
      <c r="D181" t="inlineStr">
        <is>
          <t>sigmakaryaa@gmail.com</t>
        </is>
      </c>
      <c r="E181" t="inlineStr">
        <is>
          <t>https://lpjk.pu.go.id/search-badan-usaha-detail/MERYdGUvbTFqOEFUWE5JMTBOQkRIdz09</t>
        </is>
      </c>
      <c r="F181" t="n">
        <v>4</v>
      </c>
      <c r="G181" t="inlineStr">
        <is>
          <t>RK001, RK002</t>
        </is>
      </c>
      <c r="H181" t="inlineStr">
        <is>
          <t>29 Juni 2019</t>
        </is>
      </c>
      <c r="I181" s="2" t="n">
        <v>46244</v>
      </c>
      <c r="J181" t="inlineStr">
        <is>
          <t>Pencabutan</t>
        </is>
      </c>
      <c r="K181" t="n">
        <v>60</v>
      </c>
      <c r="L181" t="inlineStr">
        <is>
          <t>10 Agustus 2026</t>
        </is>
      </c>
      <c r="M181" t="inlineStr">
        <is>
          <t>Jasa Rekayasa Konstruksi Bangunan Gedung Hunian dan Non Hunian, Jasa Rekayasa Pekerjaan Teknik Sipil Sumber Daya Air</t>
        </is>
      </c>
      <c r="N181" t="inlineStr">
        <is>
          <t>K</t>
        </is>
      </c>
      <c r="O181" t="inlineStr">
        <is>
          <t>20230713</t>
        </is>
      </c>
      <c r="P181" t="inlineStr">
        <is>
          <t>Jawa Timur</t>
        </is>
      </c>
      <c r="Q181" t="inlineStr"/>
    </row>
    <row r="182">
      <c r="A182" t="inlineStr">
        <is>
          <t>SINAR ARSYA SANGATTA</t>
        </is>
      </c>
      <c r="B182" t="inlineStr">
        <is>
          <t>Kab. Kutai Timur</t>
        </is>
      </c>
      <c r="C182" t="inlineStr">
        <is>
          <t>081372184888</t>
        </is>
      </c>
      <c r="D182" t="inlineStr">
        <is>
          <t>sinararsyasangatta@gmail.com</t>
        </is>
      </c>
      <c r="E182" t="inlineStr">
        <is>
          <t>https://lpjk.pu.go.id/search-badan-usaha-detail/ZkE3c2F2d054d3poZkZQVUFlazUvZz09</t>
        </is>
      </c>
      <c r="F182" t="n">
        <v>1</v>
      </c>
      <c r="G182" t="inlineStr">
        <is>
          <t>BG006</t>
        </is>
      </c>
      <c r="H182" t="inlineStr">
        <is>
          <t>15 November 2019</t>
        </is>
      </c>
      <c r="I182" s="2" t="n">
        <v>46244</v>
      </c>
      <c r="J182" t="inlineStr">
        <is>
          <t>Disetujui</t>
        </is>
      </c>
      <c r="K182" t="n">
        <v>60</v>
      </c>
      <c r="L182" t="inlineStr">
        <is>
          <t>10 Agustus 2026</t>
        </is>
      </c>
      <c r="M182" t="inlineStr">
        <is>
          <t>Konstruksi Gedung Pendidikan</t>
        </is>
      </c>
      <c r="N182" t="inlineStr">
        <is>
          <t>K</t>
        </is>
      </c>
      <c r="O182" t="inlineStr">
        <is>
          <t>20230801</t>
        </is>
      </c>
      <c r="P182" t="inlineStr">
        <is>
          <t>Kalimantan Timur</t>
        </is>
      </c>
      <c r="Q182" t="inlineStr"/>
    </row>
    <row r="183">
      <c r="A183" t="inlineStr">
        <is>
          <t>SINAR MANDAY UTAMA</t>
        </is>
      </c>
      <c r="B183" t="inlineStr">
        <is>
          <t>Kab. Kapuas Hulu</t>
        </is>
      </c>
      <c r="C183" t="inlineStr">
        <is>
          <t>082159225525</t>
        </is>
      </c>
      <c r="D183" t="inlineStr">
        <is>
          <t>ptsinarmandayutama@gmail.com</t>
        </is>
      </c>
      <c r="E183" t="inlineStr">
        <is>
          <t>https://lpjk.pu.go.id/search-badan-usaha-detail/Mkx3ZXY0R3VZbkwxcFIrR096MUIwQT09</t>
        </is>
      </c>
      <c r="F183" t="n">
        <v>1</v>
      </c>
      <c r="G183" t="inlineStr">
        <is>
          <t>BS002</t>
        </is>
      </c>
      <c r="H183" t="inlineStr">
        <is>
          <t>28 Juni 1984</t>
        </is>
      </c>
      <c r="I183" s="2" t="n">
        <v>46244</v>
      </c>
      <c r="J183" t="inlineStr">
        <is>
          <t>Pencabutan</t>
        </is>
      </c>
      <c r="K183" t="n">
        <v>60</v>
      </c>
      <c r="L183" t="inlineStr">
        <is>
          <t>10 Agustus 2026</t>
        </is>
      </c>
      <c r="M183" t="inlineStr">
        <is>
          <t>Bangunan Sipil Jembatan, Jalan Layang, Fly Over, dan Underpass</t>
        </is>
      </c>
      <c r="N183" t="inlineStr">
        <is>
          <t>M</t>
        </is>
      </c>
      <c r="O183" t="inlineStr">
        <is>
          <t>20230728</t>
        </is>
      </c>
      <c r="P183" t="inlineStr">
        <is>
          <t>Kalimantan Barat</t>
        </is>
      </c>
      <c r="Q183" t="inlineStr"/>
    </row>
    <row r="184">
      <c r="A184" t="inlineStr">
        <is>
          <t>STUDIO BENTANG SANTOSA</t>
        </is>
      </c>
      <c r="B184" t="inlineStr">
        <is>
          <t>Kota Bandung</t>
        </is>
      </c>
      <c r="C184" t="inlineStr">
        <is>
          <t>081344017969</t>
        </is>
      </c>
      <c r="D184" t="inlineStr">
        <is>
          <t>studiobentangsantosa@gmail.com</t>
        </is>
      </c>
      <c r="E184" t="inlineStr">
        <is>
          <t>https://lpjk.pu.go.id/search-badan-usaha-detail/aFBGQlJQN0xmOU5EVUxFWjd1ZWQzdz09</t>
        </is>
      </c>
      <c r="F184" t="n">
        <v>3</v>
      </c>
      <c r="G184" t="inlineStr">
        <is>
          <t>AR001, AR002, AR003</t>
        </is>
      </c>
      <c r="H184" t="inlineStr">
        <is>
          <t>13 Juni 2023</t>
        </is>
      </c>
      <c r="I184" s="2" t="n">
        <v>46244</v>
      </c>
      <c r="J184" t="inlineStr">
        <is>
          <t>Disetujui</t>
        </is>
      </c>
      <c r="K184" t="n">
        <v>60</v>
      </c>
      <c r="L184" t="inlineStr">
        <is>
          <t>10 Agustus 2026</t>
        </is>
      </c>
      <c r="M184" t="inlineStr">
        <is>
          <t>Jasa Arsitektural Bangunan Gedung Hunian dan Non Hunian, Jasa Arsitektural Lainnya, Jasa Desain Interior pada Bangunan Gedung dan Bangunan Sipil</t>
        </is>
      </c>
      <c r="N184" t="inlineStr">
        <is>
          <t>K</t>
        </is>
      </c>
      <c r="O184" t="inlineStr">
        <is>
          <t>20230728, 20230802</t>
        </is>
      </c>
      <c r="P184" t="inlineStr">
        <is>
          <t>Jawa Barat</t>
        </is>
      </c>
      <c r="Q184" t="inlineStr"/>
    </row>
    <row r="185">
      <c r="A185" t="inlineStr">
        <is>
          <t>SULTAN MANDIRI PERKASA</t>
        </is>
      </c>
      <c r="B185" t="inlineStr">
        <is>
          <t>Kab. Magelang</t>
        </is>
      </c>
      <c r="C185" t="inlineStr">
        <is>
          <t>081326718727</t>
        </is>
      </c>
      <c r="D185" t="inlineStr">
        <is>
          <t>sultanmandiri8@gmail.com</t>
        </is>
      </c>
      <c r="E185" t="inlineStr">
        <is>
          <t>https://lpjk.pu.go.id/search-badan-usaha-detail/OUpGM2FHamtBNktQTldwekoveEVBUT09</t>
        </is>
      </c>
      <c r="F185" t="n">
        <v>6</v>
      </c>
      <c r="G185" t="inlineStr">
        <is>
          <t>BG001, BG002, BG005, BG006, BG009, BS001</t>
        </is>
      </c>
      <c r="H185" t="inlineStr">
        <is>
          <t>10 Maret 2022</t>
        </is>
      </c>
      <c r="I185" s="2" t="n">
        <v>46244</v>
      </c>
      <c r="J185" t="inlineStr">
        <is>
          <t>Disetujui</t>
        </is>
      </c>
      <c r="K185" t="n">
        <v>60</v>
      </c>
      <c r="L185" t="inlineStr">
        <is>
          <t>10 Agustus 2026</t>
        </is>
      </c>
      <c r="M185" t="inlineStr">
        <is>
          <t>Konstruksi Bangunan Sipil Jalan, Konstruksi Gedung Hunian, Konstruksi Gedung Kesehatan, Konstruksi Gedung Lainnya, Konstruksi Gedung Pendidikan, Konstruksi Gedung Perkantoran</t>
        </is>
      </c>
      <c r="N185" t="inlineStr">
        <is>
          <t>K</t>
        </is>
      </c>
      <c r="O185" t="inlineStr">
        <is>
          <t>20230810, 20230811</t>
        </is>
      </c>
      <c r="P185" t="inlineStr">
        <is>
          <t>Jawa Tengah</t>
        </is>
      </c>
      <c r="Q185" t="inlineStr"/>
    </row>
    <row r="186">
      <c r="A186" t="inlineStr">
        <is>
          <t>SUMUR AGUNG</t>
        </is>
      </c>
      <c r="B186" t="inlineStr">
        <is>
          <t>Kab. Kendal</t>
        </is>
      </c>
      <c r="C186" t="inlineStr">
        <is>
          <t>085641675634</t>
        </is>
      </c>
      <c r="D186" t="inlineStr">
        <is>
          <t>cv.sumuragungkendal@gmail.com</t>
        </is>
      </c>
      <c r="E186" t="inlineStr">
        <is>
          <t>https://lpjk.pu.go.id/search-badan-usaha-detail/OUlaNlExc29tS0VBQ25PUXViNDdPdz09</t>
        </is>
      </c>
      <c r="F186" t="n">
        <v>6</v>
      </c>
      <c r="G186" t="inlineStr">
        <is>
          <t>AR001, AR002, RK001, RK002, RK003, RK005</t>
        </is>
      </c>
      <c r="H186" t="inlineStr">
        <is>
          <t>19 Januari 2017</t>
        </is>
      </c>
      <c r="I186" s="2" t="n">
        <v>46244</v>
      </c>
      <c r="J186" t="inlineStr">
        <is>
          <t>Disetujui</t>
        </is>
      </c>
      <c r="K186" t="n">
        <v>60</v>
      </c>
      <c r="L186" t="inlineStr">
        <is>
          <t>10 Agustus 2026</t>
        </is>
      </c>
      <c r="M186"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186" t="inlineStr">
        <is>
          <t>K</t>
        </is>
      </c>
      <c r="O186" t="inlineStr">
        <is>
          <t>20230803</t>
        </is>
      </c>
      <c r="P186" t="inlineStr">
        <is>
          <t>Jawa Tengah</t>
        </is>
      </c>
      <c r="Q186" t="inlineStr"/>
    </row>
    <row r="187">
      <c r="A187" t="inlineStr">
        <is>
          <t>TAPAK KUKUH</t>
        </is>
      </c>
      <c r="B187" t="inlineStr">
        <is>
          <t>Kab. Banyumas</t>
        </is>
      </c>
      <c r="C187" t="inlineStr">
        <is>
          <t>082137885242</t>
        </is>
      </c>
      <c r="D187" t="inlineStr">
        <is>
          <t>tapakkukuh03@gmail.com</t>
        </is>
      </c>
      <c r="E187" t="inlineStr">
        <is>
          <t>https://lpjk.pu.go.id/search-badan-usaha-detail/dlZoV0NWamkxVnVWWEhSUzBDT1JpQT09</t>
        </is>
      </c>
      <c r="F187" t="n">
        <v>1</v>
      </c>
      <c r="G187" t="inlineStr">
        <is>
          <t>BS002</t>
        </is>
      </c>
      <c r="H187" t="inlineStr">
        <is>
          <t>22 Juni 2012</t>
        </is>
      </c>
      <c r="I187" s="2" t="n">
        <v>46244</v>
      </c>
      <c r="J187" t="inlineStr">
        <is>
          <t>Disetujui</t>
        </is>
      </c>
      <c r="K187" t="n">
        <v>60</v>
      </c>
      <c r="L187" t="inlineStr">
        <is>
          <t>10 Agustus 2026</t>
        </is>
      </c>
      <c r="M187" t="inlineStr">
        <is>
          <t>Bangunan Sipil Jembatan, Jalan Layang, Fly Over, dan Underpass</t>
        </is>
      </c>
      <c r="N187" t="inlineStr">
        <is>
          <t>K</t>
        </is>
      </c>
      <c r="O187" t="inlineStr">
        <is>
          <t>20230808</t>
        </is>
      </c>
      <c r="P187" t="inlineStr">
        <is>
          <t>Jawa Tengah</t>
        </is>
      </c>
      <c r="Q187" t="inlineStr"/>
    </row>
    <row r="188">
      <c r="A188" t="inlineStr">
        <is>
          <t>TEKNIK MULIA</t>
        </is>
      </c>
      <c r="B188" t="inlineStr">
        <is>
          <t>Kab. Nabire</t>
        </is>
      </c>
      <c r="C188" t="inlineStr">
        <is>
          <t>081240288953</t>
        </is>
      </c>
      <c r="D188" t="inlineStr">
        <is>
          <t>teknikmulia.cv@gmail.com</t>
        </is>
      </c>
      <c r="E188" t="inlineStr">
        <is>
          <t>https://lpjk.pu.go.id/search-badan-usaha-detail/U3I1OSs1bjdJem5LZDdYTGMxZEkydz09</t>
        </is>
      </c>
      <c r="F188" t="n">
        <v>2</v>
      </c>
      <c r="G188" t="inlineStr">
        <is>
          <t>RK001, RK003</t>
        </is>
      </c>
      <c r="H188" t="inlineStr">
        <is>
          <t>22 Maret 2011</t>
        </is>
      </c>
      <c r="I188" s="2" t="n">
        <v>46244</v>
      </c>
      <c r="J188" t="inlineStr">
        <is>
          <t>Disetujui</t>
        </is>
      </c>
      <c r="K188" t="n">
        <v>60</v>
      </c>
      <c r="L188" t="inlineStr">
        <is>
          <t>10 Agustus 2026</t>
        </is>
      </c>
      <c r="M188" t="inlineStr">
        <is>
          <t>Jasa Rekayasa Konstruksi Bangunan Gedung Hunian dan Non Hunian, Jasa Rekayasa Pekerjaan Teknik Sipil Transportasi</t>
        </is>
      </c>
      <c r="N188" t="inlineStr">
        <is>
          <t>K</t>
        </is>
      </c>
      <c r="O188" t="inlineStr">
        <is>
          <t>20230802</t>
        </is>
      </c>
      <c r="P188" t="inlineStr">
        <is>
          <t>Papua</t>
        </is>
      </c>
      <c r="Q188" t="inlineStr"/>
    </row>
    <row r="189">
      <c r="A189" t="inlineStr">
        <is>
          <t>TEKNOLOGI NUSANTARA</t>
        </is>
      </c>
      <c r="B189" t="inlineStr">
        <is>
          <t>Kab. Pasuruan</t>
        </is>
      </c>
      <c r="C189" t="inlineStr">
        <is>
          <t>-</t>
        </is>
      </c>
      <c r="D189" t="inlineStr">
        <is>
          <t>halimperdanakusumaoong@gmail.com</t>
        </is>
      </c>
      <c r="E189" t="inlineStr">
        <is>
          <t>https://lpjk.pu.go.id/search-badan-usaha-detail/WSs1aEkwaENvNDFoVW1TTW5XVHB0Zz09</t>
        </is>
      </c>
      <c r="F189" t="n">
        <v>3</v>
      </c>
      <c r="G189" t="inlineStr">
        <is>
          <t>BG003</t>
        </is>
      </c>
      <c r="H189" t="inlineStr">
        <is>
          <t>12 Desember 2012</t>
        </is>
      </c>
      <c r="I189" s="2" t="n">
        <v>46244</v>
      </c>
      <c r="J189" t="inlineStr">
        <is>
          <t>Disetujui</t>
        </is>
      </c>
      <c r="K189" t="n">
        <v>60</v>
      </c>
      <c r="L189" t="inlineStr">
        <is>
          <t>10 Agustus 2026</t>
        </is>
      </c>
      <c r="M189" t="inlineStr">
        <is>
          <t>Konstruksi Gedung Industri</t>
        </is>
      </c>
      <c r="N189" t="inlineStr">
        <is>
          <t>K</t>
        </is>
      </c>
      <c r="O189" t="inlineStr">
        <is>
          <t>20230807</t>
        </is>
      </c>
      <c r="P189" t="inlineStr">
        <is>
          <t>Jawa Timur</t>
        </is>
      </c>
      <c r="Q189" t="inlineStr"/>
    </row>
    <row r="190">
      <c r="A190" t="inlineStr">
        <is>
          <t>TIGA A</t>
        </is>
      </c>
      <c r="B190" t="inlineStr">
        <is>
          <t>Kab. Banyuwangi</t>
        </is>
      </c>
      <c r="C190" t="inlineStr">
        <is>
          <t>0333410700</t>
        </is>
      </c>
      <c r="D190" t="inlineStr">
        <is>
          <t>cvtigaa@gmail.com</t>
        </is>
      </c>
      <c r="E190" t="inlineStr">
        <is>
          <t>https://lpjk.pu.go.id/search-badan-usaha-detail/N3JuMjB2d2JtbTMyaFZsMWZQTVJJdz09</t>
        </is>
      </c>
      <c r="F190" t="n">
        <v>1</v>
      </c>
      <c r="G190" t="inlineStr">
        <is>
          <t>BG009</t>
        </is>
      </c>
      <c r="H190" t="inlineStr">
        <is>
          <t>12 Oktober 2017</t>
        </is>
      </c>
      <c r="I190" s="2" t="n">
        <v>46244</v>
      </c>
      <c r="J190" t="inlineStr">
        <is>
          <t>Disetujui</t>
        </is>
      </c>
      <c r="K190" t="n">
        <v>60</v>
      </c>
      <c r="L190" t="inlineStr">
        <is>
          <t>10 Agustus 2026</t>
        </is>
      </c>
      <c r="M190" t="inlineStr">
        <is>
          <t>Konstruksi Gedung Lainnya</t>
        </is>
      </c>
      <c r="N190" t="inlineStr">
        <is>
          <t>K</t>
        </is>
      </c>
      <c r="O190" t="inlineStr">
        <is>
          <t>20230807</t>
        </is>
      </c>
      <c r="P190" t="inlineStr">
        <is>
          <t>Jawa Timur</t>
        </is>
      </c>
      <c r="Q190" t="inlineStr"/>
    </row>
    <row r="191">
      <c r="A191" t="inlineStr">
        <is>
          <t>TIGA PILAR BERSATU</t>
        </is>
      </c>
      <c r="B191" t="inlineStr">
        <is>
          <t>Kota Pekalongan</t>
        </is>
      </c>
      <c r="C191" t="inlineStr">
        <is>
          <t>081575231297</t>
        </is>
      </c>
      <c r="D191" t="inlineStr">
        <is>
          <t>tigapilarbersatu@yahoo.com</t>
        </is>
      </c>
      <c r="E191" t="inlineStr">
        <is>
          <t>https://lpjk.pu.go.id/search-badan-usaha-detail/RlZkcFdQaXYzUU5oQ3dVSEdPdUhOZz09</t>
        </is>
      </c>
      <c r="F191" t="n">
        <v>1</v>
      </c>
      <c r="G191" t="inlineStr">
        <is>
          <t>BG009</t>
        </is>
      </c>
      <c r="H191" t="inlineStr">
        <is>
          <t>19 September 2012</t>
        </is>
      </c>
      <c r="I191" s="2" t="n">
        <v>46244</v>
      </c>
      <c r="J191" t="inlineStr">
        <is>
          <t>Disetujui</t>
        </is>
      </c>
      <c r="K191" t="n">
        <v>60</v>
      </c>
      <c r="L191" t="inlineStr">
        <is>
          <t>10 Agustus 2026</t>
        </is>
      </c>
      <c r="M191" t="inlineStr">
        <is>
          <t>Konstruksi Gedung Lainnya</t>
        </is>
      </c>
      <c r="N191" t="inlineStr">
        <is>
          <t>K</t>
        </is>
      </c>
      <c r="O191" t="inlineStr">
        <is>
          <t>20230808</t>
        </is>
      </c>
      <c r="P191" t="inlineStr">
        <is>
          <t>Jawa Tengah</t>
        </is>
      </c>
      <c r="Q191" t="inlineStr"/>
    </row>
    <row r="192">
      <c r="A192" t="inlineStr">
        <is>
          <t>TIGA SEKAWAN MAKMUR</t>
        </is>
      </c>
      <c r="B192" t="inlineStr">
        <is>
          <t>Kota Jambi</t>
        </is>
      </c>
      <c r="C192" t="inlineStr">
        <is>
          <t>082280554556</t>
        </is>
      </c>
      <c r="D192" t="inlineStr">
        <is>
          <t>tigasekawanmakmur@gmail.com</t>
        </is>
      </c>
      <c r="E192" t="inlineStr">
        <is>
          <t>https://lpjk.pu.go.id/search-badan-usaha-detail/andFSzVYNWlqdWp2Z0g2Y3ZwZ2NGdz09</t>
        </is>
      </c>
      <c r="F192" t="n">
        <v>1</v>
      </c>
      <c r="G192" t="inlineStr">
        <is>
          <t>BG005</t>
        </is>
      </c>
      <c r="H192" t="inlineStr">
        <is>
          <t>23 November 2018</t>
        </is>
      </c>
      <c r="I192" s="2" t="n">
        <v>46244</v>
      </c>
      <c r="J192" t="inlineStr">
        <is>
          <t>Disetujui</t>
        </is>
      </c>
      <c r="K192" t="n">
        <v>60</v>
      </c>
      <c r="L192" t="inlineStr">
        <is>
          <t>10 Agustus 2026</t>
        </is>
      </c>
      <c r="M192" t="inlineStr">
        <is>
          <t>Konstruksi Gedung Kesehatan</t>
        </is>
      </c>
      <c r="N192" t="inlineStr">
        <is>
          <t>K</t>
        </is>
      </c>
      <c r="O192" t="inlineStr">
        <is>
          <t>20230808</t>
        </is>
      </c>
      <c r="P192" t="inlineStr">
        <is>
          <t>Jambi</t>
        </is>
      </c>
      <c r="Q192" t="inlineStr"/>
    </row>
    <row r="193">
      <c r="A193" t="inlineStr">
        <is>
          <t>TIGA TALENTA JAYA</t>
        </is>
      </c>
      <c r="B193" t="inlineStr">
        <is>
          <t>Kota Tangerang Selatan</t>
        </is>
      </c>
      <c r="C193" t="inlineStr">
        <is>
          <t>081382671888</t>
        </is>
      </c>
      <c r="D193" t="inlineStr">
        <is>
          <t>tigatalentajaya@gmail.com</t>
        </is>
      </c>
      <c r="E193" t="inlineStr">
        <is>
          <t>https://lpjk.pu.go.id/search-badan-usaha-detail/d21tM28yOU1hUFExRElqaEFCWHFMdz09</t>
        </is>
      </c>
      <c r="F193" t="n">
        <v>2</v>
      </c>
      <c r="G193" t="inlineStr">
        <is>
          <t>BG006, BG009</t>
        </is>
      </c>
      <c r="H193" t="inlineStr">
        <is>
          <t>11 Maret 2020</t>
        </is>
      </c>
      <c r="I193" s="2" t="n">
        <v>46244</v>
      </c>
      <c r="J193" t="inlineStr">
        <is>
          <t>Pencabutan</t>
        </is>
      </c>
      <c r="K193" t="n">
        <v>60</v>
      </c>
      <c r="L193" t="inlineStr">
        <is>
          <t>10 Agustus 2026</t>
        </is>
      </c>
      <c r="M193" t="inlineStr">
        <is>
          <t>Konstruksi Gedung Lainnya, Konstruksi Gedung Pendidikan</t>
        </is>
      </c>
      <c r="N193" t="inlineStr">
        <is>
          <t>K</t>
        </is>
      </c>
      <c r="O193" t="inlineStr">
        <is>
          <t>20230808, 20230811</t>
        </is>
      </c>
      <c r="P193" t="inlineStr">
        <is>
          <t>Banten</t>
        </is>
      </c>
      <c r="Q193" t="inlineStr"/>
    </row>
    <row r="194">
      <c r="A194" t="inlineStr">
        <is>
          <t>TIKA MAPINDO DESAIN</t>
        </is>
      </c>
      <c r="B194" t="inlineStr">
        <is>
          <t>Kab. Klaten</t>
        </is>
      </c>
      <c r="C194" t="inlineStr">
        <is>
          <t>081548742002</t>
        </is>
      </c>
      <c r="D194" t="inlineStr">
        <is>
          <t>masyonoupi@gmail.com</t>
        </is>
      </c>
      <c r="E194" t="inlineStr">
        <is>
          <t>https://lpjk.pu.go.id/search-badan-usaha-detail/cHRTSmNWb1Y3MFFXNWMxRGE0T3Uxdz09</t>
        </is>
      </c>
      <c r="F194" t="n">
        <v>3</v>
      </c>
      <c r="G194" t="inlineStr">
        <is>
          <t>RK001, RK003, RK005</t>
        </is>
      </c>
      <c r="H194" t="inlineStr">
        <is>
          <t>11 Agustus 2006</t>
        </is>
      </c>
      <c r="I194" s="2" t="n">
        <v>46244</v>
      </c>
      <c r="J194" t="inlineStr">
        <is>
          <t>Disetujui</t>
        </is>
      </c>
      <c r="K194" t="n">
        <v>60</v>
      </c>
      <c r="L194" t="inlineStr">
        <is>
          <t>10 Agustus 2026</t>
        </is>
      </c>
      <c r="M194" t="inlineStr">
        <is>
          <t>Jasa Rekayasa Konstruksi Bangunan Gedung Hunian dan Non Hunian, Jasa Rekayasa Lainnya, Jasa Rekayasa Pekerjaan Teknik Sipil Transportasi</t>
        </is>
      </c>
      <c r="N194" t="inlineStr">
        <is>
          <t>K</t>
        </is>
      </c>
      <c r="O194" t="inlineStr">
        <is>
          <t>20230808</t>
        </is>
      </c>
      <c r="P194" t="inlineStr">
        <is>
          <t>Jawa Tengah</t>
        </is>
      </c>
      <c r="Q194" t="inlineStr"/>
    </row>
    <row r="195">
      <c r="A195" t="inlineStr">
        <is>
          <t>TIRTA AMARTA MULIA</t>
        </is>
      </c>
      <c r="B195" t="inlineStr">
        <is>
          <t>Kab. Semarang</t>
        </is>
      </c>
      <c r="C195" t="inlineStr">
        <is>
          <t>085329051722</t>
        </is>
      </c>
      <c r="D195" t="inlineStr">
        <is>
          <t>cv.tirtaamartamulia@gmail.com</t>
        </is>
      </c>
      <c r="E195" t="inlineStr">
        <is>
          <t>https://lpjk.pu.go.id/search-badan-usaha-detail/MUJPenpXMk12WlFJT1VDMHh1NysrUT09</t>
        </is>
      </c>
      <c r="F195" t="n">
        <v>1</v>
      </c>
      <c r="G195" t="inlineStr">
        <is>
          <t>BS005</t>
        </is>
      </c>
      <c r="H195" t="inlineStr">
        <is>
          <t>29 Mei 2023</t>
        </is>
      </c>
      <c r="I195" s="2" t="n">
        <v>46244</v>
      </c>
      <c r="J195" t="inlineStr">
        <is>
          <t>Disetujui</t>
        </is>
      </c>
      <c r="K195" t="n">
        <v>60</v>
      </c>
      <c r="L195" t="inlineStr">
        <is>
          <t>10 Agustus 2026</t>
        </is>
      </c>
      <c r="M195" t="inlineStr">
        <is>
          <t>Konstruksi Bangunan Sipil Pengolahan Air Bersih</t>
        </is>
      </c>
      <c r="N195" t="inlineStr">
        <is>
          <t>K</t>
        </is>
      </c>
      <c r="O195" t="inlineStr">
        <is>
          <t>20230809</t>
        </is>
      </c>
      <c r="P195" t="inlineStr">
        <is>
          <t>Jawa Tengah</t>
        </is>
      </c>
      <c r="Q195" t="inlineStr"/>
    </row>
    <row r="196">
      <c r="A196" t="inlineStr">
        <is>
          <t>TIRTA MAS DUA</t>
        </is>
      </c>
      <c r="B196" t="inlineStr">
        <is>
          <t>Kab. Bojonegoro</t>
        </is>
      </c>
      <c r="C196" t="inlineStr">
        <is>
          <t>081333301875</t>
        </is>
      </c>
      <c r="D196" t="inlineStr">
        <is>
          <t>cvtirtamasduaa@gmail.com</t>
        </is>
      </c>
      <c r="E196" t="inlineStr">
        <is>
          <t>https://lpjk.pu.go.id/search-badan-usaha-detail/T3VoU0lkUHlPdG5pTUVxWFpWU2lFZz09</t>
        </is>
      </c>
      <c r="F196" t="n">
        <v>1</v>
      </c>
      <c r="G196" t="inlineStr">
        <is>
          <t>BS001</t>
        </is>
      </c>
      <c r="H196" t="inlineStr">
        <is>
          <t>6 Juni 2023</t>
        </is>
      </c>
      <c r="I196" s="2" t="n">
        <v>46244</v>
      </c>
      <c r="J196" t="inlineStr">
        <is>
          <t>Pencabutan</t>
        </is>
      </c>
      <c r="K196" t="n">
        <v>60</v>
      </c>
      <c r="L196" t="inlineStr">
        <is>
          <t>10 Agustus 2026</t>
        </is>
      </c>
      <c r="M196" t="inlineStr">
        <is>
          <t>Konstruksi Bangunan Sipil Jalan</t>
        </is>
      </c>
      <c r="N196" t="inlineStr">
        <is>
          <t>K</t>
        </is>
      </c>
      <c r="O196" t="inlineStr">
        <is>
          <t>20230731</t>
        </is>
      </c>
      <c r="P196" t="inlineStr">
        <is>
          <t>Jawa Timur</t>
        </is>
      </c>
      <c r="Q196" t="inlineStr"/>
    </row>
    <row r="197">
      <c r="A197" t="inlineStr">
        <is>
          <t>TRI PUTRA KARYA</t>
        </is>
      </c>
      <c r="B197" t="inlineStr">
        <is>
          <t>Kab. Tabanan</t>
        </is>
      </c>
      <c r="C197" t="inlineStr">
        <is>
          <t>08123615074</t>
        </is>
      </c>
      <c r="D197" t="inlineStr">
        <is>
          <t>cv.triputrakarya908@gmail.com</t>
        </is>
      </c>
      <c r="E197" t="inlineStr">
        <is>
          <t>https://lpjk.pu.go.id/search-badan-usaha-detail/NmR1SEQyb3RPUGxOYUN3TDJGcUhtQT09</t>
        </is>
      </c>
      <c r="F197" t="n">
        <v>1</v>
      </c>
      <c r="G197" t="inlineStr">
        <is>
          <t>BS004</t>
        </is>
      </c>
      <c r="H197" t="inlineStr">
        <is>
          <t>21 Februari 2002</t>
        </is>
      </c>
      <c r="I197" s="2" t="n">
        <v>46244</v>
      </c>
      <c r="J197" t="inlineStr">
        <is>
          <t>Disetujui</t>
        </is>
      </c>
      <c r="K197" t="n">
        <v>60</v>
      </c>
      <c r="L197" t="inlineStr">
        <is>
          <t>10 Agustus 2026</t>
        </is>
      </c>
      <c r="M197" t="inlineStr">
        <is>
          <t>Konstruksi Jaringan Irigasi dan Drainase</t>
        </is>
      </c>
      <c r="N197" t="inlineStr">
        <is>
          <t>K</t>
        </is>
      </c>
      <c r="O197" t="inlineStr">
        <is>
          <t>20230731</t>
        </is>
      </c>
      <c r="P197" t="inlineStr">
        <is>
          <t>Bali</t>
        </is>
      </c>
      <c r="Q197" t="inlineStr"/>
    </row>
    <row r="198">
      <c r="A198" t="inlineStr">
        <is>
          <t>TRIJAYA FIRST ENGINEERING</t>
        </is>
      </c>
      <c r="B198" t="inlineStr">
        <is>
          <t>Kota Pontianak</t>
        </is>
      </c>
      <c r="C198" t="inlineStr">
        <is>
          <t>08125632310</t>
        </is>
      </c>
      <c r="D198" t="inlineStr">
        <is>
          <t>trijayacv694@gmail.com</t>
        </is>
      </c>
      <c r="E198" t="inlineStr">
        <is>
          <t>https://lpjk.pu.go.id/search-badan-usaha-detail/bFpCWXFKd1Fvc2JwZTlvR25oUm5rYW1ML2ZvYldyL2c5eHVtYUQyYkczaz0</t>
        </is>
      </c>
      <c r="F198" t="n">
        <v>1</v>
      </c>
      <c r="G198" t="inlineStr">
        <is>
          <t>RK003</t>
        </is>
      </c>
      <c r="H198" t="inlineStr">
        <is>
          <t>5 Juli 2006</t>
        </is>
      </c>
      <c r="I198" s="2" t="n">
        <v>46244</v>
      </c>
      <c r="J198" t="inlineStr">
        <is>
          <t>Disetujui</t>
        </is>
      </c>
      <c r="K198" t="n">
        <v>60</v>
      </c>
      <c r="L198" t="inlineStr">
        <is>
          <t>10 Agustus 2026</t>
        </is>
      </c>
      <c r="M198" t="inlineStr">
        <is>
          <t>Jasa Rekayasa Pekerjaan Teknik Sipil Transportasi</t>
        </is>
      </c>
      <c r="N198" t="inlineStr">
        <is>
          <t>M</t>
        </is>
      </c>
      <c r="O198" t="inlineStr">
        <is>
          <t>20230721</t>
        </is>
      </c>
      <c r="P198" t="inlineStr">
        <is>
          <t>Kalimantan Barat</t>
        </is>
      </c>
      <c r="Q198" t="inlineStr"/>
    </row>
    <row r="199">
      <c r="A199" t="inlineStr">
        <is>
          <t>TRITAMA ARTHA MAKMUR</t>
        </is>
      </c>
      <c r="B199" t="inlineStr">
        <is>
          <t>Kab. Tangerang</t>
        </is>
      </c>
      <c r="C199" t="inlineStr">
        <is>
          <t>02159993242</t>
        </is>
      </c>
      <c r="D199" t="inlineStr">
        <is>
          <t>tritamaarthamakmur@gmail.com</t>
        </is>
      </c>
      <c r="E199" t="inlineStr">
        <is>
          <t>https://lpjk.pu.go.id/search-badan-usaha-detail/dE5Wblo0R3EySnA2OGg5OTU1ckJyUT09</t>
        </is>
      </c>
      <c r="F199" t="n">
        <v>3</v>
      </c>
      <c r="G199" t="inlineStr">
        <is>
          <t>BG001, BG002, BG004</t>
        </is>
      </c>
      <c r="H199" t="inlineStr">
        <is>
          <t>4 Februari 2021</t>
        </is>
      </c>
      <c r="I199" s="2" t="n">
        <v>46244</v>
      </c>
      <c r="J199" t="inlineStr">
        <is>
          <t>Disetujui</t>
        </is>
      </c>
      <c r="K199" t="n">
        <v>60</v>
      </c>
      <c r="L199" t="inlineStr">
        <is>
          <t>10 Agustus 2026</t>
        </is>
      </c>
      <c r="M199" t="inlineStr">
        <is>
          <t>Konstruksi Gedung Hunian, Konstruksi Gedung Perbelanjaan, Konstruksi Gedung Perkantoran</t>
        </is>
      </c>
      <c r="N199" t="inlineStr">
        <is>
          <t>K</t>
        </is>
      </c>
      <c r="O199" t="inlineStr">
        <is>
          <t>20230809, 20230810</t>
        </is>
      </c>
      <c r="P199" t="inlineStr">
        <is>
          <t>Banten</t>
        </is>
      </c>
      <c r="Q199" t="inlineStr"/>
    </row>
    <row r="200">
      <c r="A200" t="inlineStr">
        <is>
          <t>TUNAS AGUNG SENTOSA</t>
        </is>
      </c>
      <c r="B200" t="inlineStr">
        <is>
          <t>Kota Surabaya</t>
        </is>
      </c>
      <c r="C200" t="inlineStr">
        <is>
          <t>0318497279</t>
        </is>
      </c>
      <c r="D200" t="inlineStr">
        <is>
          <t>ptassurabaya@gmail.com</t>
        </is>
      </c>
      <c r="E200" t="inlineStr">
        <is>
          <t>https://lpjk.pu.go.id/search-badan-usaha-detail/TjZvUStva3dTc3ZjZmFMU21QVlZyZz09</t>
        </is>
      </c>
      <c r="F200" t="n">
        <v>1</v>
      </c>
      <c r="G200" t="inlineStr">
        <is>
          <t>IN001</t>
        </is>
      </c>
      <c r="H200" t="inlineStr">
        <is>
          <t>28 September 2012</t>
        </is>
      </c>
      <c r="I200" s="2" t="n">
        <v>46244</v>
      </c>
      <c r="J200" t="inlineStr">
        <is>
          <t>Disetujui</t>
        </is>
      </c>
      <c r="K200" t="n">
        <v>60</v>
      </c>
      <c r="L200" t="inlineStr">
        <is>
          <t>10 Agustus 2026</t>
        </is>
      </c>
      <c r="M200" t="inlineStr">
        <is>
          <t>Instalasi Mekanikal</t>
        </is>
      </c>
      <c r="N200" t="inlineStr">
        <is>
          <t>Spesialis</t>
        </is>
      </c>
      <c r="O200" t="inlineStr">
        <is>
          <t>20230807</t>
        </is>
      </c>
      <c r="P200" t="inlineStr">
        <is>
          <t>Jawa Timur</t>
        </is>
      </c>
      <c r="Q200" t="inlineStr"/>
    </row>
    <row r="201">
      <c r="A201" t="inlineStr">
        <is>
          <t>TURBO MECHIN</t>
        </is>
      </c>
      <c r="B201" t="inlineStr">
        <is>
          <t>Kota Tangerang Selatan</t>
        </is>
      </c>
      <c r="C201" t="inlineStr">
        <is>
          <t>081212548929</t>
        </is>
      </c>
      <c r="D201" t="inlineStr">
        <is>
          <t>sales@turbo-mech.co.id</t>
        </is>
      </c>
      <c r="E201" t="inlineStr">
        <is>
          <t>https://lpjk.pu.go.id/search-badan-usaha-detail/VnhFZFUxUGFjYjlGU1dtOGhHZUJSUT09</t>
        </is>
      </c>
      <c r="F201" t="n">
        <v>1</v>
      </c>
      <c r="G201" t="inlineStr">
        <is>
          <t>IN004</t>
        </is>
      </c>
      <c r="H201" t="inlineStr">
        <is>
          <t>12 Mei 2003</t>
        </is>
      </c>
      <c r="I201" s="2" t="n">
        <v>46244</v>
      </c>
      <c r="J201" t="inlineStr">
        <is>
          <t>Disetujui</t>
        </is>
      </c>
      <c r="K201" t="n">
        <v>60</v>
      </c>
      <c r="L201" t="inlineStr">
        <is>
          <t>10 Agustus 2026</t>
        </is>
      </c>
      <c r="M201" t="inlineStr">
        <is>
          <t>Instalasi Minyak dan Gas</t>
        </is>
      </c>
      <c r="N201" t="inlineStr">
        <is>
          <t>Spesialis</t>
        </is>
      </c>
      <c r="O201" t="inlineStr">
        <is>
          <t>20230715</t>
        </is>
      </c>
      <c r="P201" t="inlineStr">
        <is>
          <t>Banten</t>
        </is>
      </c>
      <c r="Q201" t="inlineStr"/>
    </row>
    <row r="202">
      <c r="A202" t="inlineStr">
        <is>
          <t>VIRAN KARYA KONSTRUKSI</t>
        </is>
      </c>
      <c r="B202" t="inlineStr">
        <is>
          <t>Kab. Raja Ampat</t>
        </is>
      </c>
      <c r="C202" t="inlineStr">
        <is>
          <t>081285899155</t>
        </is>
      </c>
      <c r="D202" t="inlineStr">
        <is>
          <t>virankarya@gmail.com</t>
        </is>
      </c>
      <c r="E202" t="inlineStr">
        <is>
          <t>https://lpjk.pu.go.id/search-badan-usaha-detail/ZzZtV2prNmtVUjJDNVp3UXFkT005QT09</t>
        </is>
      </c>
      <c r="F202" t="n">
        <v>1</v>
      </c>
      <c r="G202" t="inlineStr">
        <is>
          <t>BG009</t>
        </is>
      </c>
      <c r="H202" t="inlineStr">
        <is>
          <t>27 Mei 2021</t>
        </is>
      </c>
      <c r="I202" s="2" t="n">
        <v>46244</v>
      </c>
      <c r="J202" t="inlineStr">
        <is>
          <t>Disetujui</t>
        </is>
      </c>
      <c r="K202" t="n">
        <v>60</v>
      </c>
      <c r="L202" t="inlineStr">
        <is>
          <t>10 Agustus 2026</t>
        </is>
      </c>
      <c r="M202" t="inlineStr">
        <is>
          <t>Konstruksi Gedung Lainnya</t>
        </is>
      </c>
      <c r="N202" t="inlineStr">
        <is>
          <t>K</t>
        </is>
      </c>
      <c r="O202" t="inlineStr">
        <is>
          <t>20230720</t>
        </is>
      </c>
      <c r="P202" t="inlineStr">
        <is>
          <t>Papua Barat</t>
        </is>
      </c>
      <c r="Q202" t="inlineStr"/>
    </row>
    <row r="203">
      <c r="A203" t="inlineStr">
        <is>
          <t>WAHANA KARYA DESIGN</t>
        </is>
      </c>
      <c r="B203" t="inlineStr">
        <is>
          <t>Kota Palangkaraya</t>
        </is>
      </c>
      <c r="C203" t="inlineStr">
        <is>
          <t>81349529156</t>
        </is>
      </c>
      <c r="D203" t="inlineStr">
        <is>
          <t>wahanakdesign@gmail.com</t>
        </is>
      </c>
      <c r="E203" t="inlineStr">
        <is>
          <t>https://lpjk.pu.go.id/search-badan-usaha-detail/ZU5xR0FONkp5Tng5V2pxU3dlY0FYUT09</t>
        </is>
      </c>
      <c r="F203" t="n">
        <v>1</v>
      </c>
      <c r="G203" t="inlineStr">
        <is>
          <t>RK003</t>
        </is>
      </c>
      <c r="H203" t="inlineStr">
        <is>
          <t>6 Oktober 2003</t>
        </is>
      </c>
      <c r="I203" s="2" t="n">
        <v>46244</v>
      </c>
      <c r="J203" t="inlineStr">
        <is>
          <t>Pencabutan</t>
        </is>
      </c>
      <c r="K203" t="n">
        <v>60</v>
      </c>
      <c r="L203" t="inlineStr">
        <is>
          <t>10 Agustus 2026</t>
        </is>
      </c>
      <c r="M203" t="inlineStr">
        <is>
          <t>Jasa Rekayasa Pekerjaan Teknik Sipil Transportasi</t>
        </is>
      </c>
      <c r="N203" t="inlineStr">
        <is>
          <t>K</t>
        </is>
      </c>
      <c r="O203" t="inlineStr">
        <is>
          <t>20230803</t>
        </is>
      </c>
      <c r="P203" t="inlineStr">
        <is>
          <t>Kalimantan Tengah</t>
        </is>
      </c>
      <c r="Q203" t="inlineStr"/>
    </row>
    <row r="204">
      <c r="A204" t="inlineStr">
        <is>
          <t>WIDARI JAYA</t>
        </is>
      </c>
      <c r="B204" t="inlineStr">
        <is>
          <t>Kota Bandung</t>
        </is>
      </c>
      <c r="C204" t="inlineStr">
        <is>
          <t>8211582811</t>
        </is>
      </c>
      <c r="D204" t="inlineStr">
        <is>
          <t>cvwidarijaya@gmail.com</t>
        </is>
      </c>
      <c r="E204" t="inlineStr">
        <is>
          <t>https://lpjk.pu.go.id/search-badan-usaha-detail/dHErOHA1UDdkYzRnYVdYcE9pSGY2UT09</t>
        </is>
      </c>
      <c r="F204" t="n">
        <v>1</v>
      </c>
      <c r="G204" t="inlineStr">
        <is>
          <t>BG006</t>
        </is>
      </c>
      <c r="H204" t="inlineStr">
        <is>
          <t>21 April 2005</t>
        </is>
      </c>
      <c r="I204" s="2" t="n">
        <v>46244</v>
      </c>
      <c r="J204" t="inlineStr">
        <is>
          <t>Disetujui</t>
        </is>
      </c>
      <c r="K204" t="n">
        <v>60</v>
      </c>
      <c r="L204" t="inlineStr">
        <is>
          <t>10 Agustus 2026</t>
        </is>
      </c>
      <c r="M204" t="inlineStr">
        <is>
          <t>Konstruksi Gedung Pendidikan</t>
        </is>
      </c>
      <c r="N204" t="inlineStr">
        <is>
          <t>K</t>
        </is>
      </c>
      <c r="O204" t="inlineStr">
        <is>
          <t>20230808</t>
        </is>
      </c>
      <c r="P204" t="inlineStr">
        <is>
          <t>Jawa Barat</t>
        </is>
      </c>
      <c r="Q204" t="inlineStr"/>
    </row>
    <row r="205">
      <c r="A205" t="inlineStr">
        <is>
          <t>WIJAYA KARYATAMA</t>
        </is>
      </c>
      <c r="B205" t="inlineStr">
        <is>
          <t>Kab. Bangka Barat</t>
        </is>
      </c>
      <c r="C205" t="inlineStr">
        <is>
          <t>082183928080</t>
        </is>
      </c>
      <c r="D205" t="inlineStr">
        <is>
          <t>wijayakarya_cv@yahoo.com</t>
        </is>
      </c>
      <c r="E205" t="inlineStr">
        <is>
          <t>https://lpjk.pu.go.id/search-badan-usaha-detail/SmtFbjNyYWlMZjBaQ3hXSGhRL01BZz09</t>
        </is>
      </c>
      <c r="F205" t="n">
        <v>4</v>
      </c>
      <c r="G205" t="inlineStr">
        <is>
          <t>BG006, BG009</t>
        </is>
      </c>
      <c r="H205" t="inlineStr">
        <is>
          <t>13 Januari 2009</t>
        </is>
      </c>
      <c r="I205" s="2" t="n">
        <v>46244</v>
      </c>
      <c r="J205" t="inlineStr">
        <is>
          <t>Disetujui</t>
        </is>
      </c>
      <c r="K205" t="n">
        <v>60</v>
      </c>
      <c r="L205" t="inlineStr">
        <is>
          <t>10 Agustus 2026</t>
        </is>
      </c>
      <c r="M205" t="inlineStr">
        <is>
          <t>Konstruksi Gedung Lainnya, Konstruksi Gedung Pendidikan</t>
        </is>
      </c>
      <c r="N205" t="inlineStr">
        <is>
          <t>K</t>
        </is>
      </c>
      <c r="O205" t="inlineStr">
        <is>
          <t>20230810</t>
        </is>
      </c>
      <c r="P205" t="inlineStr">
        <is>
          <t>Kepulauan Bangka Belitung</t>
        </is>
      </c>
      <c r="Q205" t="inlineStr"/>
    </row>
    <row r="206">
      <c r="A206" t="inlineStr">
        <is>
          <t>WIJAYA KUSUMA CONTRACTORS</t>
        </is>
      </c>
      <c r="B206" t="inlineStr">
        <is>
          <t>Kota Adm. Jakarta Pusat</t>
        </is>
      </c>
      <c r="C206" t="inlineStr">
        <is>
          <t>0213905658</t>
        </is>
      </c>
      <c r="D206" t="inlineStr">
        <is>
          <t>marketing@wkc.co.id</t>
        </is>
      </c>
      <c r="E206" t="inlineStr">
        <is>
          <t>https://lpjk.pu.go.id/search-badan-usaha-detail/Tmd4RzBVcnR4LzhnbEY2QnpPRXN2QT09</t>
        </is>
      </c>
      <c r="F206" t="n">
        <v>1</v>
      </c>
      <c r="G206" t="inlineStr">
        <is>
          <t>IN007</t>
        </is>
      </c>
      <c r="H206" t="inlineStr">
        <is>
          <t>5 Oktober 1971</t>
        </is>
      </c>
      <c r="I206" s="2" t="n">
        <v>46244</v>
      </c>
      <c r="J206" t="inlineStr">
        <is>
          <t>Disetujui</t>
        </is>
      </c>
      <c r="K206" t="n">
        <v>60</v>
      </c>
      <c r="L206" t="inlineStr">
        <is>
          <t>10 Agustus 2026</t>
        </is>
      </c>
      <c r="M206" t="inlineStr">
        <is>
          <t>Instalasi Saluran Air (Plambing)</t>
        </is>
      </c>
      <c r="N206" t="inlineStr">
        <is>
          <t>Spesialis</t>
        </is>
      </c>
      <c r="O206" t="inlineStr">
        <is>
          <t>20230711</t>
        </is>
      </c>
      <c r="P206" t="inlineStr">
        <is>
          <t>DKI Jakarta</t>
        </is>
      </c>
      <c r="Q206" t="inlineStr"/>
    </row>
    <row r="207">
      <c r="A207" t="inlineStr">
        <is>
          <t>YADA WASISTA KONSTRUKSI</t>
        </is>
      </c>
      <c r="B207" t="inlineStr">
        <is>
          <t>Kota Jayapura</t>
        </is>
      </c>
      <c r="C207" t="inlineStr">
        <is>
          <t>0</t>
        </is>
      </c>
      <c r="D207" t="inlineStr">
        <is>
          <t>pt.mkijayapura@gmail.com</t>
        </is>
      </c>
      <c r="E207" t="inlineStr">
        <is>
          <t>https://lpjk.pu.go.id/search-badan-usaha-detail/YTVZVFNRbVF5UFgxTWh4SkI4N2pJZz09</t>
        </is>
      </c>
      <c r="F207" t="n">
        <v>1</v>
      </c>
      <c r="G207" t="inlineStr">
        <is>
          <t>BS001</t>
        </is>
      </c>
      <c r="H207" t="inlineStr">
        <is>
          <t>23 Juli 2016</t>
        </is>
      </c>
      <c r="I207" s="2" t="n">
        <v>46244</v>
      </c>
      <c r="J207" t="inlineStr">
        <is>
          <t>Pencabutan</t>
        </is>
      </c>
      <c r="K207" t="n">
        <v>60</v>
      </c>
      <c r="L207" t="inlineStr">
        <is>
          <t>10 Agustus 2026</t>
        </is>
      </c>
      <c r="M207" t="inlineStr">
        <is>
          <t>Konstruksi Bangunan Sipil Jalan</t>
        </is>
      </c>
      <c r="N207" t="inlineStr">
        <is>
          <t>M</t>
        </is>
      </c>
      <c r="O207" t="inlineStr">
        <is>
          <t>20230807</t>
        </is>
      </c>
      <c r="P207" t="inlineStr">
        <is>
          <t>Papua</t>
        </is>
      </c>
      <c r="Q207" t="inlineStr"/>
    </row>
    <row r="208">
      <c r="A208" t="inlineStr">
        <is>
          <t>YDP USAHA PERDANA</t>
        </is>
      </c>
      <c r="B208" t="inlineStr">
        <is>
          <t>Kab. Bandung Barat</t>
        </is>
      </c>
      <c r="C208" t="inlineStr">
        <is>
          <t>0222789314</t>
        </is>
      </c>
      <c r="D208" t="inlineStr">
        <is>
          <t>ydp_usahaperdana@yahoo.com</t>
        </is>
      </c>
      <c r="E208" t="inlineStr">
        <is>
          <t>https://lpjk.pu.go.id/search-badan-usaha-detail/dUc1ZFRYZUMwOXk5cmxhenFrekJjQT09</t>
        </is>
      </c>
      <c r="F208" t="n">
        <v>4</v>
      </c>
      <c r="G208" t="inlineStr">
        <is>
          <t>BG009, BS001</t>
        </is>
      </c>
      <c r="H208" t="inlineStr">
        <is>
          <t>4 Juni 2002</t>
        </is>
      </c>
      <c r="I208" s="2" t="n">
        <v>46244</v>
      </c>
      <c r="J208" t="inlineStr">
        <is>
          <t>Disetujui, Pencabutan</t>
        </is>
      </c>
      <c r="K208" t="n">
        <v>60</v>
      </c>
      <c r="L208" t="inlineStr">
        <is>
          <t>10 Agustus 2026</t>
        </is>
      </c>
      <c r="M208" t="inlineStr">
        <is>
          <t>Konstruksi Bangunan Sipil Jalan, Konstruksi Gedung Lainnya</t>
        </is>
      </c>
      <c r="N208" t="inlineStr">
        <is>
          <t>K</t>
        </is>
      </c>
      <c r="O208" t="inlineStr">
        <is>
          <t>20230808</t>
        </is>
      </c>
      <c r="P208" t="inlineStr">
        <is>
          <t>Jawa Barat</t>
        </is>
      </c>
      <c r="Q20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7"/>
  <sheetViews>
    <sheetView workbookViewId="0">
      <selection activeCell="A1" sqref="A1"/>
    </sheetView>
  </sheetViews>
  <sheetFormatPr baseColWidth="8" defaultRowHeight="15"/>
  <cols>
    <col width="49" customWidth="1" min="1" max="1"/>
    <col width="30" customWidth="1" min="2" max="2"/>
    <col width="16" customWidth="1" min="3" max="3"/>
    <col width="40" customWidth="1" min="4" max="4"/>
    <col width="50" customWidth="1" min="5" max="5"/>
    <col width="18" customWidth="1" min="6" max="6"/>
    <col width="49" customWidth="1" min="7" max="7"/>
    <col width="20" customWidth="1" min="8" max="8"/>
    <col width="28" customWidth="1" min="9" max="9"/>
    <col width="25"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ABEL PUTRA TOHERA</t>
        </is>
      </c>
      <c r="B2" t="inlineStr">
        <is>
          <t>Kota Adm. Jakarta Timur</t>
        </is>
      </c>
      <c r="C2" t="inlineStr">
        <is>
          <t>02122040806</t>
        </is>
      </c>
      <c r="D2" t="inlineStr">
        <is>
          <t>pt.abelputratohera3acs@gmail.com</t>
        </is>
      </c>
      <c r="E2" t="inlineStr">
        <is>
          <t>https://lpjk.pu.go.id/search-badan-usaha-detail/Y0g2eFpRVWF5Yk40MkI5S2UybzJEUT09</t>
        </is>
      </c>
      <c r="F2" t="n">
        <v>1</v>
      </c>
      <c r="G2" t="inlineStr">
        <is>
          <t>BS009</t>
        </is>
      </c>
      <c r="H2" t="inlineStr">
        <is>
          <t>18 Mei 2017</t>
        </is>
      </c>
      <c r="I2" s="2" t="n">
        <v>46214</v>
      </c>
      <c r="J2" t="inlineStr">
        <is>
          <t>Pencabutan</t>
        </is>
      </c>
      <c r="K2" t="n">
        <v>30</v>
      </c>
      <c r="L2" t="inlineStr">
        <is>
          <t>11 Juli 2026</t>
        </is>
      </c>
      <c r="M2" t="inlineStr">
        <is>
          <t>Konstruksi Sentral Telekomunikasi</t>
        </is>
      </c>
      <c r="N2" t="inlineStr">
        <is>
          <t>M</t>
        </is>
      </c>
      <c r="O2" t="inlineStr">
        <is>
          <t>20230526</t>
        </is>
      </c>
      <c r="P2" t="inlineStr">
        <is>
          <t>DKI Jakarta</t>
        </is>
      </c>
      <c r="Q2" t="inlineStr"/>
    </row>
    <row r="3">
      <c r="A3" t="inlineStr">
        <is>
          <t>ANDALUSIA BANGUN KARYA</t>
        </is>
      </c>
      <c r="B3" t="inlineStr">
        <is>
          <t>Kab. Bogor</t>
        </is>
      </c>
      <c r="C3" t="inlineStr">
        <is>
          <t>08111013411</t>
        </is>
      </c>
      <c r="D3" t="inlineStr">
        <is>
          <t>admin.abk@abaka.id</t>
        </is>
      </c>
      <c r="E3" t="inlineStr">
        <is>
          <t>https://lpjk.pu.go.id/search-badan-usaha-detail/azFhSHFzRmhDaFVlWkdELzk4dmovUT09</t>
        </is>
      </c>
      <c r="F3" t="n">
        <v>2</v>
      </c>
      <c r="G3" t="inlineStr">
        <is>
          <t>BS001, BS002</t>
        </is>
      </c>
      <c r="H3" t="inlineStr">
        <is>
          <t>10 Oktober 2022</t>
        </is>
      </c>
      <c r="I3" s="2" t="n">
        <v>46214</v>
      </c>
      <c r="J3" t="inlineStr">
        <is>
          <t>Disetujui, Pencabutan</t>
        </is>
      </c>
      <c r="K3" t="n">
        <v>30</v>
      </c>
      <c r="L3" t="inlineStr">
        <is>
          <t>11 Juli 2026</t>
        </is>
      </c>
      <c r="M3" t="inlineStr">
        <is>
          <t>Bangunan Sipil Jembatan, Jalan Layang, Fly Over, dan Underpass, Konstruksi Bangunan Sipil Jalan</t>
        </is>
      </c>
      <c r="N3" t="inlineStr">
        <is>
          <t>K</t>
        </is>
      </c>
      <c r="O3" t="inlineStr">
        <is>
          <t>20230614, 20230707</t>
        </is>
      </c>
      <c r="P3" t="inlineStr">
        <is>
          <t>Jawa Barat</t>
        </is>
      </c>
      <c r="Q3" s="3">
        <f>HYPERLINK("https://wa.me/628111013411?text=*[Pengingat Masa Berlaku SBU ANDALUSIA BANGUN KARYA]*%0A%0AYth. Pimpinan ANDALUSIA BANGUN KARYA,%0AMohon izin menginformasikan status SBU Anda:%0A%0A📄 SBU: BS001, BS002%0A📅 Expired: 11 Juli 2026 (30 Hari Lagi)%0A%0AKami tim PT. ESDEA Assistance Management siap men-support proses perpanjangan segera agar administrasi proyek tidak terhambat%0A%0AApakah boleh saya bantu siapkan estimasi biaya dan waktu pengerjaannya?.", "Hubungi")</f>
        <v/>
      </c>
    </row>
    <row r="4">
      <c r="A4" t="inlineStr">
        <is>
          <t>BUBAK KARYA MANDIRI</t>
        </is>
      </c>
      <c r="B4" t="inlineStr">
        <is>
          <t>Kota Depok</t>
        </is>
      </c>
      <c r="C4" t="inlineStr">
        <is>
          <t>8129694234</t>
        </is>
      </c>
      <c r="D4" t="inlineStr">
        <is>
          <t>bubakkaryamandiri@yahoo.co.id</t>
        </is>
      </c>
      <c r="E4" t="inlineStr">
        <is>
          <t>https://lpjk.pu.go.id/search-badan-usaha-detail/djdJTVR2WG52Y2Nwa3owUnJrYlo4dz09</t>
        </is>
      </c>
      <c r="F4" t="n">
        <v>1</v>
      </c>
      <c r="G4" t="inlineStr">
        <is>
          <t>BS006</t>
        </is>
      </c>
      <c r="H4" t="inlineStr">
        <is>
          <t>23 Juli 2004</t>
        </is>
      </c>
      <c r="I4" s="2" t="n">
        <v>46214</v>
      </c>
      <c r="J4" t="inlineStr">
        <is>
          <t>Disetujui</t>
        </is>
      </c>
      <c r="K4" t="n">
        <v>30</v>
      </c>
      <c r="L4" t="inlineStr">
        <is>
          <t>11 Juli 2026</t>
        </is>
      </c>
      <c r="M4" t="inlineStr">
        <is>
          <t>Konstruksi Bangunan Sipil Prasarana dan Sarana Sistem Pengolahan Limbah Padat, Cair, dan Gas</t>
        </is>
      </c>
      <c r="N4" t="inlineStr">
        <is>
          <t>K</t>
        </is>
      </c>
      <c r="O4" t="inlineStr">
        <is>
          <t>20230621</t>
        </is>
      </c>
      <c r="P4" t="inlineStr">
        <is>
          <t>Jawa Barat</t>
        </is>
      </c>
      <c r="Q4" s="3">
        <f>HYPERLINK("https://wa.me/628129694234?text=*[Pengingat Masa Berlaku SBU BUBAK KARYA MANDIRI]*%0A%0AYth. Pimpinan BUBAK KARYA MANDIRI,%0AMohon izin menginformasikan status SBU Anda:%0A%0A📄 SBU: BS006%0A📅 Expired: 11 Juli 2026 (30 Hari Lagi)%0A%0AKami tim PT. ESDEA Assistance Management siap men-support proses perpanjangan segera agar administrasi proyek tidak terhambat%0A%0AApakah boleh saya bantu siapkan estimasi biaya dan waktu pengerjaannya?.", "Hubungi")</f>
        <v/>
      </c>
    </row>
    <row r="5">
      <c r="A5" t="inlineStr">
        <is>
          <t>CIPTA INFRA OPTIMA</t>
        </is>
      </c>
      <c r="B5" t="inlineStr">
        <is>
          <t>Kota Adm. Jakarta Timur</t>
        </is>
      </c>
      <c r="C5" t="inlineStr">
        <is>
          <t>0811146478</t>
        </is>
      </c>
      <c r="D5" t="inlineStr">
        <is>
          <t>cipta.infra.optima@gmail.com</t>
        </is>
      </c>
      <c r="E5" t="inlineStr">
        <is>
          <t>https://lpjk.pu.go.id/search-badan-usaha-detail/bWFNWm4vcHd2SlUxaVhleTk0MmVtQT09</t>
        </is>
      </c>
      <c r="F5" t="n">
        <v>1</v>
      </c>
      <c r="G5" t="inlineStr">
        <is>
          <t>BS001</t>
        </is>
      </c>
      <c r="H5" t="inlineStr">
        <is>
          <t>30 November 2022</t>
        </is>
      </c>
      <c r="I5" s="2" t="n">
        <v>46214</v>
      </c>
      <c r="J5" t="inlineStr">
        <is>
          <t>Pencabutan</t>
        </is>
      </c>
      <c r="K5" t="n">
        <v>30</v>
      </c>
      <c r="L5" t="inlineStr">
        <is>
          <t>11 Juli 2026</t>
        </is>
      </c>
      <c r="M5" t="inlineStr">
        <is>
          <t>Konstruksi Bangunan Sipil Jalan</t>
        </is>
      </c>
      <c r="N5" t="inlineStr">
        <is>
          <t>K</t>
        </is>
      </c>
      <c r="O5" t="inlineStr">
        <is>
          <t>20230703</t>
        </is>
      </c>
      <c r="P5" t="inlineStr">
        <is>
          <t>DKI Jakarta</t>
        </is>
      </c>
      <c r="Q5" s="3">
        <f>HYPERLINK("https://wa.me/62811146478?text=*[Pengingat Masa Berlaku SBU CIPTA INFRA OPTIMA]*%0A%0AYth. Pimpinan CIPTA INFRA OPTIMA,%0AMohon izin menginformasikan status SBU Anda:%0A%0A📄 SBU: BS001%0A📅 Expired: 11 Juli 2026 (30 Hari Lagi)%0A%0AKami tim PT. ESDEA Assistance Management siap men-support proses perpanjangan segera agar administrasi proyek tidak terhambat%0A%0AApakah boleh saya bantu siapkan estimasi biaya dan waktu pengerjaannya?.", "Hubungi")</f>
        <v/>
      </c>
    </row>
    <row r="6">
      <c r="A6" t="inlineStr">
        <is>
          <t>GUMELAR JAYA</t>
        </is>
      </c>
      <c r="B6" t="inlineStr">
        <is>
          <t>Kab. Bogor</t>
        </is>
      </c>
      <c r="C6" t="inlineStr">
        <is>
          <t>081314412000</t>
        </is>
      </c>
      <c r="D6" t="inlineStr">
        <is>
          <t>cv_gumelarjaya@yahoo.com</t>
        </is>
      </c>
      <c r="E6" t="inlineStr">
        <is>
          <t>https://lpjk.pu.go.id/search-badan-usaha-detail/VkJjLzB1aGpPdSs2WWlsSzVwdzlzUT09</t>
        </is>
      </c>
      <c r="F6" t="n">
        <v>1</v>
      </c>
      <c r="G6" t="inlineStr">
        <is>
          <t>BG006</t>
        </is>
      </c>
      <c r="H6" t="inlineStr">
        <is>
          <t>15 Mei 2000</t>
        </is>
      </c>
      <c r="I6" s="2" t="n">
        <v>46214</v>
      </c>
      <c r="J6" t="inlineStr">
        <is>
          <t>Disetujui</t>
        </is>
      </c>
      <c r="K6" t="n">
        <v>30</v>
      </c>
      <c r="L6" t="inlineStr">
        <is>
          <t>11 Juli 2026</t>
        </is>
      </c>
      <c r="M6" t="inlineStr">
        <is>
          <t>Konstruksi Gedung Pendidikan</t>
        </is>
      </c>
      <c r="N6" t="inlineStr">
        <is>
          <t>K</t>
        </is>
      </c>
      <c r="O6" t="inlineStr">
        <is>
          <t>20230614</t>
        </is>
      </c>
      <c r="P6" t="inlineStr">
        <is>
          <t>Jawa Barat</t>
        </is>
      </c>
      <c r="Q6" s="3">
        <f>HYPERLINK("https://wa.me/6281314412000?text=*[Pengingat Masa Berlaku SBU GUMELAR JAYA]*%0A%0AYth. Pimpinan GUMELAR JAYA,%0AMohon izin menginformasikan status SBU Anda:%0A%0A📄 SBU: BG006%0A📅 Expired: 11 Juli 2026 (30 Hari Lagi)%0A%0AKami tim PT. ESDEA Assistance Management siap men-support proses perpanjangan segera agar administrasi proyek tidak terhambat%0A%0AApakah boleh saya bantu siapkan estimasi biaya dan waktu pengerjaannya?.", "Hubungi")</f>
        <v/>
      </c>
    </row>
    <row r="7">
      <c r="A7" t="inlineStr">
        <is>
          <t>GUNUNG SUKSES LESTARI</t>
        </is>
      </c>
      <c r="B7" t="inlineStr">
        <is>
          <t>Kota Adm. Jakarta Timur</t>
        </is>
      </c>
      <c r="C7" t="inlineStr">
        <is>
          <t>083820800020</t>
        </is>
      </c>
      <c r="D7" t="inlineStr">
        <is>
          <t>gsl_pt@yahoo.com</t>
        </is>
      </c>
      <c r="E7" t="inlineStr">
        <is>
          <t>https://lpjk.pu.go.id/search-badan-usaha-detail/ZXhEM1E2V1F3NzdRUUY2Mmd3L3RKZz09</t>
        </is>
      </c>
      <c r="F7" t="n">
        <v>1</v>
      </c>
      <c r="G7" t="inlineStr">
        <is>
          <t>BG004</t>
        </is>
      </c>
      <c r="H7" t="inlineStr">
        <is>
          <t>20 Juli 2019</t>
        </is>
      </c>
      <c r="I7" s="2" t="n">
        <v>46214</v>
      </c>
      <c r="J7" t="inlineStr">
        <is>
          <t>Pencabutan</t>
        </is>
      </c>
      <c r="K7" t="n">
        <v>30</v>
      </c>
      <c r="L7" t="inlineStr">
        <is>
          <t>11 Juli 2026</t>
        </is>
      </c>
      <c r="M7" t="inlineStr">
        <is>
          <t>Konstruksi Gedung Perbelanjaan</t>
        </is>
      </c>
      <c r="N7" t="inlineStr">
        <is>
          <t>K</t>
        </is>
      </c>
      <c r="O7" t="inlineStr">
        <is>
          <t>20230704</t>
        </is>
      </c>
      <c r="P7" t="inlineStr">
        <is>
          <t>DKI Jakarta</t>
        </is>
      </c>
      <c r="Q7" s="3">
        <f>HYPERLINK("https://wa.me/6283820800020?text=*[Pengingat Masa Berlaku SBU GUNUNG SUKSES LESTARI]*%0A%0AYth. Pimpinan GUNUNG SUKSES LESTARI,%0AMohon izin menginformasikan status SBU Anda:%0A%0A📄 SBU: BG004%0A📅 Expired: 11 Juli 2026 (30 Hari Lagi)%0A%0AKami tim PT. ESDEA Assistance Management siap men-support proses perpanjangan segera agar administrasi proyek tidak terhambat%0A%0AApakah boleh saya bantu siapkan estimasi biaya dan waktu pengerjaannya?.", "Hubungi")</f>
        <v/>
      </c>
    </row>
    <row r="8">
      <c r="A8" t="inlineStr">
        <is>
          <t>HANASTHA KARYA MANDIRI</t>
        </is>
      </c>
      <c r="B8" t="inlineStr">
        <is>
          <t>Kota Adm. Jakarta Timur</t>
        </is>
      </c>
      <c r="C8" t="inlineStr">
        <is>
          <t>082312706498</t>
        </is>
      </c>
      <c r="D8" t="inlineStr">
        <is>
          <t>hanastha2020@gmail.com</t>
        </is>
      </c>
      <c r="E8" t="inlineStr">
        <is>
          <t>https://lpjk.pu.go.id/search-badan-usaha-detail/SjAyZXJjTkUxek5kOEduQW95U2hjUT09</t>
        </is>
      </c>
      <c r="F8" t="n">
        <v>6</v>
      </c>
      <c r="G8" t="inlineStr">
        <is>
          <t>BG005, BG006, BG009</t>
        </is>
      </c>
      <c r="H8" t="inlineStr">
        <is>
          <t>19 Mei 2020</t>
        </is>
      </c>
      <c r="I8" s="2" t="n">
        <v>46214</v>
      </c>
      <c r="J8" t="inlineStr">
        <is>
          <t>Disetujui, Pencabutan</t>
        </is>
      </c>
      <c r="K8" t="n">
        <v>30</v>
      </c>
      <c r="L8" t="inlineStr">
        <is>
          <t>11 Juli 2026</t>
        </is>
      </c>
      <c r="M8" t="inlineStr">
        <is>
          <t>Konstruksi Gedung Kesehatan, Konstruksi Gedung Lainnya, Konstruksi Gedung Pendidikan</t>
        </is>
      </c>
      <c r="N8" t="inlineStr">
        <is>
          <t>K</t>
        </is>
      </c>
      <c r="O8" t="inlineStr">
        <is>
          <t>20230711</t>
        </is>
      </c>
      <c r="P8" t="inlineStr">
        <is>
          <t>DKI Jakarta</t>
        </is>
      </c>
      <c r="Q8" s="3">
        <f>HYPERLINK("https://wa.me/6282312706498?text=*[Pengingat Masa Berlaku SBU HANASTHA KARYA MANDIRI]*%0A%0AYth. Pimpinan HANASTHA KARYA MANDIRI,%0AMohon izin menginformasikan status SBU Anda:%0A%0A📄 SBU: BG005, BG006, BG009%0A📅 Expired: 11 Juli 2026 (30 Hari Lagi)%0A%0AKami tim PT. ESDEA Assistance Management siap men-support proses perpanjangan segera agar administrasi proyek tidak terhambat%0A%0AApakah boleh saya bantu siapkan estimasi biaya dan waktu pengerjaannya?.", "Hubungi")</f>
        <v/>
      </c>
    </row>
    <row r="9">
      <c r="A9" t="inlineStr">
        <is>
          <t>INTAN CITRA MANDIRI</t>
        </is>
      </c>
      <c r="B9" t="inlineStr">
        <is>
          <t>Kab. Bogor</t>
        </is>
      </c>
      <c r="C9" t="inlineStr">
        <is>
          <t>081319505279</t>
        </is>
      </c>
      <c r="D9" t="inlineStr">
        <is>
          <t>pyudono@yahoo.com</t>
        </is>
      </c>
      <c r="E9" t="inlineStr">
        <is>
          <t>https://lpjk.pu.go.id/search-badan-usaha-detail/RWM4UWRST0JWejcySVY2Q2dsVEV0UT09</t>
        </is>
      </c>
      <c r="F9" t="n">
        <v>2</v>
      </c>
      <c r="G9" t="inlineStr">
        <is>
          <t>BG009, BS017</t>
        </is>
      </c>
      <c r="H9" t="inlineStr">
        <is>
          <t>12 September 2001</t>
        </is>
      </c>
      <c r="I9" s="2" t="n">
        <v>46214</v>
      </c>
      <c r="J9" t="inlineStr">
        <is>
          <t>Disetujui</t>
        </is>
      </c>
      <c r="K9" t="n">
        <v>30</v>
      </c>
      <c r="L9" t="inlineStr">
        <is>
          <t>11 Juli 2026</t>
        </is>
      </c>
      <c r="M9" t="inlineStr">
        <is>
          <t>Konstruksi Bangunan Sipil Lainnya Ytdl, Konstruksi Gedung Lainnya</t>
        </is>
      </c>
      <c r="N9" t="inlineStr">
        <is>
          <t>K</t>
        </is>
      </c>
      <c r="O9" t="inlineStr">
        <is>
          <t>20230701</t>
        </is>
      </c>
      <c r="P9" t="inlineStr">
        <is>
          <t>Jawa Barat</t>
        </is>
      </c>
      <c r="Q9" s="3">
        <f>HYPERLINK("https://wa.me/6281319505279?text=*[Pengingat Masa Berlaku SBU INTAN CITRA MANDIRI]*%0A%0AYth. Pimpinan INTAN CITRA MANDIRI,%0AMohon izin menginformasikan status SBU Anda:%0A%0A📄 SBU: BG009, BS017%0A📅 Expired: 11 Juli 2026 (30 Hari Lagi)%0A%0AKami tim PT. ESDEA Assistance Management siap men-support proses perpanjangan segera agar administrasi proyek tidak terhambat%0A%0AApakah boleh saya bantu siapkan estimasi biaya dan waktu pengerjaannya?.", "Hubungi")</f>
        <v/>
      </c>
    </row>
    <row r="10">
      <c r="A10" t="inlineStr">
        <is>
          <t>KARYA ISTIMEWA INDONESIA</t>
        </is>
      </c>
      <c r="B10" t="inlineStr">
        <is>
          <t>Kota Bogor</t>
        </is>
      </c>
      <c r="C10" t="inlineStr">
        <is>
          <t>08985555557</t>
        </is>
      </c>
      <c r="D10" t="inlineStr">
        <is>
          <t>karyaistimewaind@gmail.com</t>
        </is>
      </c>
      <c r="E10" t="inlineStr">
        <is>
          <t>https://lpjk.pu.go.id/search-badan-usaha-detail/M2FZekJHQmM0OTNCMnRWTmhZcjROZz09</t>
        </is>
      </c>
      <c r="F10" t="n">
        <v>1</v>
      </c>
      <c r="G10" t="inlineStr">
        <is>
          <t>BG002</t>
        </is>
      </c>
      <c r="H10" t="inlineStr">
        <is>
          <t>2 Juni 2020</t>
        </is>
      </c>
      <c r="I10" s="2" t="n">
        <v>46214</v>
      </c>
      <c r="J10" t="inlineStr">
        <is>
          <t>Disetujui</t>
        </is>
      </c>
      <c r="K10" t="n">
        <v>30</v>
      </c>
      <c r="L10" t="inlineStr">
        <is>
          <t>11 Juli 2026</t>
        </is>
      </c>
      <c r="M10" t="inlineStr">
        <is>
          <t>Konstruksi Gedung Perkantoran</t>
        </is>
      </c>
      <c r="N10" t="inlineStr">
        <is>
          <t>K</t>
        </is>
      </c>
      <c r="O10" t="inlineStr">
        <is>
          <t>20230712</t>
        </is>
      </c>
      <c r="P10" t="inlineStr">
        <is>
          <t>Jawa Barat</t>
        </is>
      </c>
      <c r="Q10" s="3">
        <f>HYPERLINK("https://wa.me/628985555557?text=*[Pengingat Masa Berlaku SBU KARYA ISTIMEWA INDONESIA]*%0A%0AYth. Pimpinan KARYA ISTIMEWA INDONESIA,%0AMohon izin menginformasikan status SBU Anda:%0A%0A📄 SBU: BG002%0A📅 Expired: 11 Juli 2026 (30 Hari Lagi)%0A%0AKami tim PT. ESDEA Assistance Management siap men-support proses perpanjangan segera agar administrasi proyek tidak terhambat%0A%0AApakah boleh saya bantu siapkan estimasi biaya dan waktu pengerjaannya?.", "Hubungi")</f>
        <v/>
      </c>
    </row>
    <row r="11">
      <c r="A11" t="inlineStr">
        <is>
          <t>KASTARA GANTARI KAWISWARA</t>
        </is>
      </c>
      <c r="B11" t="inlineStr">
        <is>
          <t>Kota Depok</t>
        </is>
      </c>
      <c r="C11" t="inlineStr">
        <is>
          <t>081316801060</t>
        </is>
      </c>
      <c r="D11" t="inlineStr">
        <is>
          <t>eradesigndevelopment@gmail.com</t>
        </is>
      </c>
      <c r="E11" t="inlineStr">
        <is>
          <t>https://lpjk.pu.go.id/search-badan-usaha-detail/d0ZQTmQ4VWcrWHhsOSs3NzEwY0pUZz09</t>
        </is>
      </c>
      <c r="F11" t="n">
        <v>1</v>
      </c>
      <c r="G11" t="inlineStr">
        <is>
          <t>BG009</t>
        </is>
      </c>
      <c r="H11" t="inlineStr">
        <is>
          <t>22 Februari 2022</t>
        </is>
      </c>
      <c r="I11" s="2" t="n">
        <v>46214</v>
      </c>
      <c r="J11" t="inlineStr">
        <is>
          <t>Pencabutan</t>
        </is>
      </c>
      <c r="K11" t="n">
        <v>30</v>
      </c>
      <c r="L11" t="inlineStr">
        <is>
          <t>11 Juli 2026</t>
        </is>
      </c>
      <c r="M11" t="inlineStr">
        <is>
          <t>Konstruksi Gedung Lainnya</t>
        </is>
      </c>
      <c r="N11" t="inlineStr">
        <is>
          <t>M</t>
        </is>
      </c>
      <c r="O11" t="inlineStr">
        <is>
          <t>20230710</t>
        </is>
      </c>
      <c r="P11" t="inlineStr">
        <is>
          <t>Jawa Barat</t>
        </is>
      </c>
      <c r="Q11" s="3">
        <f>HYPERLINK("https://wa.me/6281316801060?text=*[Pengingat Masa Berlaku SBU KASTARA GANTARI KAWISWARA]*%0A%0AYth. Pimpinan KASTARA GANTARI KAWISWARA,%0AMohon izin menginformasikan status SBU Anda:%0A%0A📄 SBU: BG009%0A📅 Expired: 11 Juli 2026 (30 Hari Lagi)%0A%0AKami tim PT. ESDEA Assistance Management siap men-support proses perpanjangan segera agar administrasi proyek tidak terhambat%0A%0AApakah boleh saya bantu siapkan estimasi biaya dan waktu pengerjaannya?.", "Hubungi")</f>
        <v/>
      </c>
    </row>
    <row r="12">
      <c r="A12" t="inlineStr">
        <is>
          <t>KHARISMA SCIENTIFIC</t>
        </is>
      </c>
      <c r="B12" t="inlineStr">
        <is>
          <t>Kota Bogor</t>
        </is>
      </c>
      <c r="C12" t="inlineStr">
        <is>
          <t>0811118446</t>
        </is>
      </c>
      <c r="D12" t="inlineStr">
        <is>
          <t>newkharisma@yahoo.com</t>
        </is>
      </c>
      <c r="E12" t="inlineStr">
        <is>
          <t>https://lpjk.pu.go.id/search-badan-usaha-detail/WkFjTStuTytndi9aVENJVGR3NFJoUT09</t>
        </is>
      </c>
      <c r="F12" t="n">
        <v>10</v>
      </c>
      <c r="G12" t="inlineStr">
        <is>
          <t>BG002, BG005, BG006, BS001, BS004</t>
        </is>
      </c>
      <c r="H12" t="inlineStr">
        <is>
          <t>12 Januari 2011</t>
        </is>
      </c>
      <c r="I12" s="2" t="n">
        <v>46214</v>
      </c>
      <c r="J12" t="inlineStr">
        <is>
          <t>Disetujui</t>
        </is>
      </c>
      <c r="K12" t="n">
        <v>30</v>
      </c>
      <c r="L12" t="inlineStr">
        <is>
          <t>11 Juli 2026</t>
        </is>
      </c>
      <c r="M12" t="inlineStr">
        <is>
          <t>Konstruksi Bangunan Sipil Jalan, Konstruksi Gedung Kesehatan, Konstruksi Gedung Pendidikan, Konstruksi Gedung Perkantoran, Konstruksi Jaringan Irigasi dan Drainase</t>
        </is>
      </c>
      <c r="N12" t="inlineStr">
        <is>
          <t>K</t>
        </is>
      </c>
      <c r="O12" t="inlineStr">
        <is>
          <t>20230704</t>
        </is>
      </c>
      <c r="P12" t="inlineStr">
        <is>
          <t>Jawa Barat</t>
        </is>
      </c>
      <c r="Q12" s="3">
        <f>HYPERLINK("https://wa.me/62811118446?text=*[Pengingat Masa Berlaku SBU KHARISMA SCIENTIFIC]*%0A%0AYth. Pimpinan KHARISMA SCIENTIFIC,%0AMohon izin menginformasikan status SBU Anda:%0A%0A📄 SBU: BG002, BG005, BG006, BS001, BS004%0A📅 Expired: 11 Juli 2026 (30 Hari Lagi)%0A%0AKami tim PT. ESDEA Assistance Management siap men-support proses perpanjangan segera agar administrasi proyek tidak terhambat%0A%0AApakah boleh saya bantu siapkan estimasi biaya dan waktu pengerjaannya?.", "Hubungi")</f>
        <v/>
      </c>
    </row>
    <row r="13">
      <c r="A13" t="inlineStr">
        <is>
          <t>MAHKOTA WIRASENA PRASADA</t>
        </is>
      </c>
      <c r="B13" t="inlineStr">
        <is>
          <t>Kota Depok</t>
        </is>
      </c>
      <c r="C13" t="inlineStr">
        <is>
          <t>02187720435</t>
        </is>
      </c>
      <c r="D13" t="inlineStr">
        <is>
          <t>cvmahkotawirasenaprasada@gmail.com</t>
        </is>
      </c>
      <c r="E13" t="inlineStr">
        <is>
          <t>https://lpjk.pu.go.id/search-badan-usaha-detail/dlR4UGlRKzRseTVqaUkxUnZ0WEk5QT09</t>
        </is>
      </c>
      <c r="F13" t="n">
        <v>2</v>
      </c>
      <c r="G13" t="inlineStr">
        <is>
          <t>BS001, BS004</t>
        </is>
      </c>
      <c r="H13" t="inlineStr">
        <is>
          <t>10 Februari 2017</t>
        </is>
      </c>
      <c r="I13" s="2" t="n">
        <v>46214</v>
      </c>
      <c r="J13" t="inlineStr">
        <is>
          <t>Disetujui</t>
        </is>
      </c>
      <c r="K13" t="n">
        <v>30</v>
      </c>
      <c r="L13" t="inlineStr">
        <is>
          <t>11 Juli 2026</t>
        </is>
      </c>
      <c r="M13" t="inlineStr">
        <is>
          <t>Konstruksi Bangunan Sipil Jalan, Konstruksi Jaringan Irigasi dan Drainase</t>
        </is>
      </c>
      <c r="N13" t="inlineStr">
        <is>
          <t>K</t>
        </is>
      </c>
      <c r="O13" t="inlineStr">
        <is>
          <t>20230705</t>
        </is>
      </c>
      <c r="P13" t="inlineStr">
        <is>
          <t>Jawa Barat</t>
        </is>
      </c>
      <c r="Q13" t="inlineStr"/>
    </row>
    <row r="14">
      <c r="A14" t="inlineStr">
        <is>
          <t>MAS PERSADA SAKTI</t>
        </is>
      </c>
      <c r="B14" t="inlineStr">
        <is>
          <t>Kota Adm. Jakarta Timur</t>
        </is>
      </c>
      <c r="C14" t="inlineStr">
        <is>
          <t>081319634946</t>
        </is>
      </c>
      <c r="D14" t="inlineStr">
        <is>
          <t>maspersadasakti44@gmail.com</t>
        </is>
      </c>
      <c r="E14" t="inlineStr">
        <is>
          <t>https://lpjk.pu.go.id/search-badan-usaha-detail/eGtJdHE5NG16RCt0SkgrbkVjNjBIdz09</t>
        </is>
      </c>
      <c r="F14" t="n">
        <v>1</v>
      </c>
      <c r="G14" t="inlineStr">
        <is>
          <t>BG008</t>
        </is>
      </c>
      <c r="H14" t="inlineStr">
        <is>
          <t>8 Maret 2019</t>
        </is>
      </c>
      <c r="I14" s="2" t="n">
        <v>46214</v>
      </c>
      <c r="J14" t="inlineStr">
        <is>
          <t>Disetujui</t>
        </is>
      </c>
      <c r="K14" t="n">
        <v>30</v>
      </c>
      <c r="L14" t="inlineStr">
        <is>
          <t>11 Juli 2026</t>
        </is>
      </c>
      <c r="M14" t="inlineStr">
        <is>
          <t>Konstruksi Gedung Tempat Hiburan dan Olahraga</t>
        </is>
      </c>
      <c r="N14" t="inlineStr">
        <is>
          <t>K</t>
        </is>
      </c>
      <c r="O14" t="inlineStr">
        <is>
          <t>20230706</t>
        </is>
      </c>
      <c r="P14" t="inlineStr">
        <is>
          <t>DKI Jakarta</t>
        </is>
      </c>
      <c r="Q14" s="3">
        <f>HYPERLINK("https://wa.me/6281319634946?text=*[Pengingat Masa Berlaku SBU MAS PERSADA SAKTI]*%0A%0AYth. Pimpinan MAS PERSADA SAKTI,%0AMohon izin menginformasikan status SBU Anda:%0A%0A📄 SBU: BG008%0A📅 Expired: 11 Juli 2026 (30 Hari Lagi)%0A%0AKami tim PT. ESDEA Assistance Management siap men-support proses perpanjangan segera agar administrasi proyek tidak terhambat%0A%0AApakah boleh saya bantu siapkan estimasi biaya dan waktu pengerjaannya?.", "Hubungi")</f>
        <v/>
      </c>
    </row>
    <row r="15">
      <c r="A15" t="inlineStr">
        <is>
          <t>MEGAJAYA ASSAHI SUKSES</t>
        </is>
      </c>
      <c r="B15" t="inlineStr">
        <is>
          <t>Kota Bekasi</t>
        </is>
      </c>
      <c r="C15" t="inlineStr">
        <is>
          <t>081380383800</t>
        </is>
      </c>
      <c r="D15" t="inlineStr">
        <is>
          <t>assahisukses@gmail.com</t>
        </is>
      </c>
      <c r="E15" t="inlineStr">
        <is>
          <t>https://lpjk.pu.go.id/search-badan-usaha-detail/T2VvUTRBTCtuaGQ3Rk1VZ3hEWWdLQT09</t>
        </is>
      </c>
      <c r="F15" t="n">
        <v>10</v>
      </c>
      <c r="G15" t="inlineStr">
        <is>
          <t>BG001, BG002, BG003, BG005, BG006</t>
        </is>
      </c>
      <c r="H15" t="inlineStr">
        <is>
          <t>19 September 2019</t>
        </is>
      </c>
      <c r="I15" s="2" t="n">
        <v>46214</v>
      </c>
      <c r="J15" t="inlineStr">
        <is>
          <t>Pencabutan</t>
        </is>
      </c>
      <c r="K15" t="n">
        <v>30</v>
      </c>
      <c r="L15" t="inlineStr">
        <is>
          <t>11 Juli 2026</t>
        </is>
      </c>
      <c r="M15" t="inlineStr">
        <is>
          <t>Konstruksi Gedung Hunian, Konstruksi Gedung Industri, Konstruksi Gedung Kesehatan, Konstruksi Gedung Pendidikan, Konstruksi Gedung Perkantoran</t>
        </is>
      </c>
      <c r="N15" t="inlineStr">
        <is>
          <t>K</t>
        </is>
      </c>
      <c r="O15" t="inlineStr">
        <is>
          <t>20230710</t>
        </is>
      </c>
      <c r="P15" t="inlineStr">
        <is>
          <t>Jawa Barat</t>
        </is>
      </c>
      <c r="Q15" s="3">
        <f>HYPERLINK("https://wa.me/6281380383800?text=*[Pengingat Masa Berlaku SBU MEGAJAYA ASSAHI SUKSES]*%0A%0AYth. Pimpinan MEGAJAYA ASSAHI SUKSES,%0AMohon izin menginformasikan status SBU Anda:%0A%0A📄 SBU: BG001, BG002, BG003, BG005, BG006%0A📅 Expired: 11 Juli 2026 (30 Hari Lagi)%0A%0AKami tim PT. ESDEA Assistance Management siap men-support proses perpanjangan segera agar administrasi proyek tidak terhambat%0A%0AApakah boleh saya bantu siapkan estimasi biaya dan waktu pengerjaannya?.", "Hubungi")</f>
        <v/>
      </c>
    </row>
    <row r="16">
      <c r="A16" t="inlineStr">
        <is>
          <t>META WAHYU</t>
        </is>
      </c>
      <c r="B16" t="inlineStr">
        <is>
          <t>Kota Depok</t>
        </is>
      </c>
      <c r="C16" t="inlineStr">
        <is>
          <t>0218742753</t>
        </is>
      </c>
      <c r="D16" t="inlineStr">
        <is>
          <t>metawahyu_glass@yahoo.com</t>
        </is>
      </c>
      <c r="E16" t="inlineStr">
        <is>
          <t>https://lpjk.pu.go.id/search-badan-usaha-detail/MUhvVml2dWNUd1dMcUNFbGdCSURZQT09</t>
        </is>
      </c>
      <c r="F16" t="n">
        <v>1</v>
      </c>
      <c r="G16" t="inlineStr">
        <is>
          <t>BG009</t>
        </is>
      </c>
      <c r="H16" t="inlineStr">
        <is>
          <t>27 Oktober 2004</t>
        </is>
      </c>
      <c r="I16" s="2" t="n">
        <v>46214</v>
      </c>
      <c r="J16" t="inlineStr">
        <is>
          <t>Disetujui</t>
        </is>
      </c>
      <c r="K16" t="n">
        <v>30</v>
      </c>
      <c r="L16" t="inlineStr">
        <is>
          <t>11 Juli 2026</t>
        </is>
      </c>
      <c r="M16" t="inlineStr">
        <is>
          <t>Konstruksi Gedung Lainnya</t>
        </is>
      </c>
      <c r="N16" t="inlineStr">
        <is>
          <t>K</t>
        </is>
      </c>
      <c r="O16" t="inlineStr">
        <is>
          <t>20230704</t>
        </is>
      </c>
      <c r="P16" t="inlineStr">
        <is>
          <t>Jawa Barat</t>
        </is>
      </c>
      <c r="Q16" t="inlineStr"/>
    </row>
    <row r="17">
      <c r="A17" t="inlineStr">
        <is>
          <t>NURICA MAHA SEJATI</t>
        </is>
      </c>
      <c r="B17" t="inlineStr">
        <is>
          <t>Kota Depok</t>
        </is>
      </c>
      <c r="C17" t="inlineStr">
        <is>
          <t>0217702885</t>
        </is>
      </c>
      <c r="D17" t="inlineStr">
        <is>
          <t>pt.nuricamahasejati@gmail.com</t>
        </is>
      </c>
      <c r="E17" t="inlineStr">
        <is>
          <t>https://lpjk.pu.go.id/search-badan-usaha-detail/M2RzdmE5REVCVXRTbFdHb1BZamV3Zz09</t>
        </is>
      </c>
      <c r="F17" t="n">
        <v>4</v>
      </c>
      <c r="G17" t="inlineStr">
        <is>
          <t>BG005, BG009</t>
        </is>
      </c>
      <c r="H17" t="inlineStr">
        <is>
          <t>8 Januari 2014</t>
        </is>
      </c>
      <c r="I17" s="2" t="n">
        <v>46214</v>
      </c>
      <c r="J17" t="inlineStr">
        <is>
          <t>Disetujui</t>
        </is>
      </c>
      <c r="K17" t="n">
        <v>30</v>
      </c>
      <c r="L17" t="inlineStr">
        <is>
          <t>11 Juli 2026</t>
        </is>
      </c>
      <c r="M17" t="inlineStr">
        <is>
          <t>Konstruksi Gedung Kesehatan, Konstruksi Gedung Lainnya</t>
        </is>
      </c>
      <c r="N17" t="inlineStr">
        <is>
          <t>K</t>
        </is>
      </c>
      <c r="O17" t="inlineStr">
        <is>
          <t>20230707</t>
        </is>
      </c>
      <c r="P17" t="inlineStr">
        <is>
          <t>Jawa Barat</t>
        </is>
      </c>
      <c r="Q17" t="inlineStr"/>
    </row>
    <row r="18">
      <c r="A18" t="inlineStr">
        <is>
          <t>PERUSAHAAN PERSEROAN (PERSERO) PT. HUTAMA KARYA</t>
        </is>
      </c>
      <c r="B18" t="inlineStr">
        <is>
          <t>Kota Adm. Jakarta Timur</t>
        </is>
      </c>
      <c r="C18" t="inlineStr">
        <is>
          <t>0218193708</t>
        </is>
      </c>
      <c r="D18" t="inlineStr">
        <is>
          <t>pthk@hutamakarya.com</t>
        </is>
      </c>
      <c r="E18" t="inlineStr">
        <is>
          <t>https://lpjk.pu.go.id/search-badan-usaha-detail/TE1nYjBDd0dtOWR1MTRtTjcwVFgrdz09</t>
        </is>
      </c>
      <c r="F18" t="n">
        <v>1</v>
      </c>
      <c r="G18" t="inlineStr">
        <is>
          <t>BG007</t>
        </is>
      </c>
      <c r="H18" t="inlineStr">
        <is>
          <t>5 Maret 1973</t>
        </is>
      </c>
      <c r="I18" s="2" t="n">
        <v>46214</v>
      </c>
      <c r="J18" t="inlineStr">
        <is>
          <t>Disetujui</t>
        </is>
      </c>
      <c r="K18" t="n">
        <v>30</v>
      </c>
      <c r="L18" t="inlineStr">
        <is>
          <t>11 Juli 2026</t>
        </is>
      </c>
      <c r="M18" t="inlineStr">
        <is>
          <t>Konstruksi Gedung Penginapan</t>
        </is>
      </c>
      <c r="N18" t="inlineStr">
        <is>
          <t>B</t>
        </is>
      </c>
      <c r="O18" t="inlineStr">
        <is>
          <t>20230530</t>
        </is>
      </c>
      <c r="P18" t="inlineStr">
        <is>
          <t>DKI Jakarta</t>
        </is>
      </c>
      <c r="Q18" t="inlineStr"/>
    </row>
    <row r="19">
      <c r="A19" t="inlineStr">
        <is>
          <t>PUTRI AYUNDA</t>
        </is>
      </c>
      <c r="B19" t="inlineStr">
        <is>
          <t>Kota Depok</t>
        </is>
      </c>
      <c r="C19" t="inlineStr">
        <is>
          <t>0895384476832</t>
        </is>
      </c>
      <c r="D19" t="inlineStr">
        <is>
          <t>ayunda_putri94@yahoo.com</t>
        </is>
      </c>
      <c r="E19" t="inlineStr">
        <is>
          <t>https://lpjk.pu.go.id/search-badan-usaha-detail/aXJBLzdHMldXKys1NkxIRnN6UFM1dz09</t>
        </is>
      </c>
      <c r="F19" t="n">
        <v>2</v>
      </c>
      <c r="G19" t="inlineStr">
        <is>
          <t>BG009, BS005</t>
        </is>
      </c>
      <c r="H19" t="inlineStr">
        <is>
          <t>22 Juni 2016</t>
        </is>
      </c>
      <c r="I19" s="2" t="n">
        <v>46214</v>
      </c>
      <c r="J19" t="inlineStr">
        <is>
          <t>Disetujui</t>
        </is>
      </c>
      <c r="K19" t="n">
        <v>30</v>
      </c>
      <c r="L19" t="inlineStr">
        <is>
          <t>11 Juli 2026</t>
        </is>
      </c>
      <c r="M19" t="inlineStr">
        <is>
          <t>Konstruksi Bangunan Sipil Pengolahan Air Bersih, Konstruksi Gedung Lainnya</t>
        </is>
      </c>
      <c r="N19" t="inlineStr">
        <is>
          <t>K</t>
        </is>
      </c>
      <c r="O19" t="inlineStr">
        <is>
          <t>20230627</t>
        </is>
      </c>
      <c r="P19" t="inlineStr">
        <is>
          <t>Jawa Barat</t>
        </is>
      </c>
      <c r="Q19" s="3">
        <f>HYPERLINK("https://wa.me/62895384476832?text=*[Pengingat Masa Berlaku SBU PUTRI AYUNDA]*%0A%0AYth. Pimpinan PUTRI AYUNDA,%0AMohon izin menginformasikan status SBU Anda:%0A%0A📄 SBU: BG009, BS005%0A📅 Expired: 11 Juli 2026 (30 Hari Lagi)%0A%0AKami tim PT. ESDEA Assistance Management siap men-support proses perpanjangan segera agar administrasi proyek tidak terhambat%0A%0AApakah boleh saya bantu siapkan estimasi biaya dan waktu pengerjaannya?.", "Hubungi")</f>
        <v/>
      </c>
    </row>
    <row r="20">
      <c r="A20" t="inlineStr">
        <is>
          <t>SHAFA BERKAH SUKSESINDO</t>
        </is>
      </c>
      <c r="B20" t="inlineStr">
        <is>
          <t>Kota Adm. Jakarta Timur</t>
        </is>
      </c>
      <c r="C20" t="inlineStr">
        <is>
          <t>02129613933</t>
        </is>
      </c>
      <c r="D20" t="inlineStr">
        <is>
          <t>rivaldi.aldi@gmail.com</t>
        </is>
      </c>
      <c r="E20" t="inlineStr">
        <is>
          <t>https://lpjk.pu.go.id/search-badan-usaha-detail/a0x0Nmh6VE5ENWJXV29VWk5RN3RZdz09</t>
        </is>
      </c>
      <c r="F20" t="n">
        <v>1</v>
      </c>
      <c r="G20" t="inlineStr">
        <is>
          <t>BG003</t>
        </is>
      </c>
      <c r="H20" t="inlineStr">
        <is>
          <t>6 Desember 2017</t>
        </is>
      </c>
      <c r="I20" s="2" t="n">
        <v>46214</v>
      </c>
      <c r="J20" t="inlineStr">
        <is>
          <t>Disetujui</t>
        </is>
      </c>
      <c r="K20" t="n">
        <v>30</v>
      </c>
      <c r="L20" t="inlineStr">
        <is>
          <t>11 Juli 2026</t>
        </is>
      </c>
      <c r="M20" t="inlineStr">
        <is>
          <t>Konstruksi Gedung Industri</t>
        </is>
      </c>
      <c r="N20" t="inlineStr">
        <is>
          <t>K</t>
        </is>
      </c>
      <c r="O20" t="inlineStr">
        <is>
          <t>20230627</t>
        </is>
      </c>
      <c r="P20" t="inlineStr">
        <is>
          <t>DKI Jakarta</t>
        </is>
      </c>
      <c r="Q20" t="inlineStr"/>
    </row>
    <row r="21">
      <c r="A21" t="inlineStr">
        <is>
          <t>SIMETRIS KARYA TEKNIK</t>
        </is>
      </c>
      <c r="B21" t="inlineStr">
        <is>
          <t>Kab. Bekasi</t>
        </is>
      </c>
      <c r="C21" t="inlineStr">
        <is>
          <t>08111833441</t>
        </is>
      </c>
      <c r="D21" t="inlineStr">
        <is>
          <t>simetriskarya@gmail.com</t>
        </is>
      </c>
      <c r="E21" t="inlineStr">
        <is>
          <t>https://lpjk.pu.go.id/search-badan-usaha-detail/Qzg3N21td2J4L0MyYzJpK3dXVkZBZz09</t>
        </is>
      </c>
      <c r="F21" t="n">
        <v>1</v>
      </c>
      <c r="G21" t="inlineStr">
        <is>
          <t>BG006</t>
        </is>
      </c>
      <c r="H21" t="inlineStr">
        <is>
          <t>9 November 2021</t>
        </is>
      </c>
      <c r="I21" s="2" t="n">
        <v>46214</v>
      </c>
      <c r="J21" t="inlineStr">
        <is>
          <t>Disetujui</t>
        </is>
      </c>
      <c r="K21" t="n">
        <v>30</v>
      </c>
      <c r="L21" t="inlineStr">
        <is>
          <t>11 Juli 2026</t>
        </is>
      </c>
      <c r="M21" t="inlineStr">
        <is>
          <t>Konstruksi Gedung Pendidikan</t>
        </is>
      </c>
      <c r="N21" t="inlineStr">
        <is>
          <t>K</t>
        </is>
      </c>
      <c r="O21" t="inlineStr">
        <is>
          <t>20230705</t>
        </is>
      </c>
      <c r="P21" t="inlineStr">
        <is>
          <t>Jawa Barat</t>
        </is>
      </c>
      <c r="Q21" s="3">
        <f>HYPERLINK("https://wa.me/628111833441?text=*[Pengingat Masa Berlaku SBU SIMETRIS KARYA TEKNIK]*%0A%0AYth. Pimpinan SIMETRIS KARYA TEKNIK,%0AMohon izin menginformasikan status SBU Anda:%0A%0A📄 SBU: BG006%0A📅 Expired: 11 Juli 2026 (30 Hari Lagi)%0A%0AKami tim PT. ESDEA Assistance Management siap men-support proses perpanjangan segera agar administrasi proyek tidak terhambat%0A%0AApakah boleh saya bantu siapkan estimasi biaya dan waktu pengerjaannya?.", "Hubungi")</f>
        <v/>
      </c>
    </row>
    <row r="22">
      <c r="A22" t="inlineStr">
        <is>
          <t>TEGUHMANDIRI SARWATUNGGAL</t>
        </is>
      </c>
      <c r="B22" t="inlineStr">
        <is>
          <t>Kota Bekasi</t>
        </is>
      </c>
      <c r="C22" t="inlineStr">
        <is>
          <t>0218876307</t>
        </is>
      </c>
      <c r="D22" t="inlineStr">
        <is>
          <t>teguhmandirisarwatunggal.pt@gmail.com</t>
        </is>
      </c>
      <c r="E22" t="inlineStr">
        <is>
          <t>https://lpjk.pu.go.id/search-badan-usaha-detail/STRwS2NNUFl4cHY0bGpVVGpSb1ZhUT09</t>
        </is>
      </c>
      <c r="F22" t="n">
        <v>2</v>
      </c>
      <c r="G22" t="inlineStr">
        <is>
          <t>BG005, BG009</t>
        </is>
      </c>
      <c r="H22" t="inlineStr">
        <is>
          <t>10 Juli 2009</t>
        </is>
      </c>
      <c r="I22" s="2" t="n">
        <v>46214</v>
      </c>
      <c r="J22" t="inlineStr">
        <is>
          <t>Disetujui</t>
        </is>
      </c>
      <c r="K22" t="n">
        <v>30</v>
      </c>
      <c r="L22" t="inlineStr">
        <is>
          <t>11 Juli 2026</t>
        </is>
      </c>
      <c r="M22" t="inlineStr">
        <is>
          <t>Konstruksi Gedung Kesehatan, Konstruksi Gedung Lainnya</t>
        </is>
      </c>
      <c r="N22" t="inlineStr">
        <is>
          <t>K</t>
        </is>
      </c>
      <c r="O22" t="inlineStr">
        <is>
          <t>20230707</t>
        </is>
      </c>
      <c r="P22" t="inlineStr">
        <is>
          <t>Jawa Barat</t>
        </is>
      </c>
      <c r="Q22" t="inlineStr"/>
    </row>
    <row r="23">
      <c r="A23" t="inlineStr">
        <is>
          <t>WAPO MITRA UTAMA</t>
        </is>
      </c>
      <c r="B23" t="inlineStr">
        <is>
          <t>Kota Bekasi</t>
        </is>
      </c>
      <c r="C23" t="inlineStr">
        <is>
          <t>08121748584</t>
        </is>
      </c>
      <c r="D23" t="inlineStr">
        <is>
          <t>wapomitrautama@gmail.com</t>
        </is>
      </c>
      <c r="E23" t="inlineStr">
        <is>
          <t>https://lpjk.pu.go.id/search-badan-usaha-detail/NFlBQ04yMTFoYTJoN0NmUm5oSDFJUT09</t>
        </is>
      </c>
      <c r="F23" t="n">
        <v>3</v>
      </c>
      <c r="G23" t="inlineStr">
        <is>
          <t>BG001, BG002, BG009</t>
        </is>
      </c>
      <c r="H23" t="inlineStr">
        <is>
          <t>28 November 2022</t>
        </is>
      </c>
      <c r="I23" s="2" t="n">
        <v>46214</v>
      </c>
      <c r="J23" t="inlineStr">
        <is>
          <t>Disetujui</t>
        </is>
      </c>
      <c r="K23" t="n">
        <v>30</v>
      </c>
      <c r="L23" t="inlineStr">
        <is>
          <t>11 Juli 2026</t>
        </is>
      </c>
      <c r="M23" t="inlineStr">
        <is>
          <t>Konstruksi Gedung Hunian, Konstruksi Gedung Lainnya, Konstruksi Gedung Perkantoran</t>
        </is>
      </c>
      <c r="N23" t="inlineStr">
        <is>
          <t>K</t>
        </is>
      </c>
      <c r="O23" t="inlineStr">
        <is>
          <t>20230711</t>
        </is>
      </c>
      <c r="P23" t="inlineStr">
        <is>
          <t>Jawa Barat</t>
        </is>
      </c>
      <c r="Q23" s="3">
        <f>HYPERLINK("https://wa.me/628121748584?text=*[Pengingat Masa Berlaku SBU WAPO MITRA UTAMA]*%0A%0AYth. Pimpinan WAPO MITRA UTAMA,%0AMohon izin menginformasikan status SBU Anda:%0A%0A📄 SBU: BG001, BG002, BG009%0A📅 Expired: 11 Juli 2026 (30 Hari Lagi)%0A%0AKami tim PT. ESDEA Assistance Management siap men-support proses perpanjangan segera agar administrasi proyek tidak terhambat%0A%0AApakah boleh saya bantu siapkan estimasi biaya dan waktu pengerjaannya?.", "Hubungi")</f>
        <v/>
      </c>
    </row>
    <row r="24">
      <c r="A24" t="inlineStr">
        <is>
          <t>WINDU AGUNG JAYA</t>
        </is>
      </c>
      <c r="B24" t="inlineStr">
        <is>
          <t>Kota Depok</t>
        </is>
      </c>
      <c r="C24" t="inlineStr">
        <is>
          <t>081219862391</t>
        </is>
      </c>
      <c r="D24" t="inlineStr">
        <is>
          <t>winduagungjaya0112@gmail.com</t>
        </is>
      </c>
      <c r="E24" t="inlineStr">
        <is>
          <t>https://lpjk.pu.go.id/search-badan-usaha-detail/cC9pVThFNUVpbng1dkg2akxnTFRhQT09</t>
        </is>
      </c>
      <c r="F24" t="n">
        <v>1</v>
      </c>
      <c r="G24" t="inlineStr">
        <is>
          <t>BS001</t>
        </is>
      </c>
      <c r="H24" t="inlineStr">
        <is>
          <t>30 November 2020</t>
        </is>
      </c>
      <c r="I24" s="2" t="n">
        <v>46214</v>
      </c>
      <c r="J24" t="inlineStr">
        <is>
          <t>Pencabutan</t>
        </is>
      </c>
      <c r="K24" t="n">
        <v>30</v>
      </c>
      <c r="L24" t="inlineStr">
        <is>
          <t>11 Juli 2026</t>
        </is>
      </c>
      <c r="M24" t="inlineStr">
        <is>
          <t>Konstruksi Bangunan Sipil Jalan</t>
        </is>
      </c>
      <c r="N24" t="inlineStr">
        <is>
          <t>K</t>
        </is>
      </c>
      <c r="O24" t="inlineStr">
        <is>
          <t>20230709</t>
        </is>
      </c>
      <c r="P24" t="inlineStr">
        <is>
          <t>Jawa Barat</t>
        </is>
      </c>
      <c r="Q24" s="3">
        <f>HYPERLINK("https://wa.me/6281219862391?text=*[Pengingat Masa Berlaku SBU WINDU AGUNG JAYA]*%0A%0AYth. Pimpinan WINDU AGUNG JAYA,%0AMohon izin menginformasikan status SBU Anda:%0A%0A📄 SBU: BS001%0A📅 Expired: 11 Juli 2026 (30 Hari Lagi)%0A%0AKami tim PT. ESDEA Assistance Management siap men-support proses perpanjangan segera agar administrasi proyek tidak terhambat%0A%0AApakah boleh saya bantu siapkan estimasi biaya dan waktu pengerjaannya?.", "Hubungi")</f>
        <v/>
      </c>
    </row>
    <row r="25">
      <c r="A25" t="inlineStr">
        <is>
          <t>WINNATAMA MANDIRI</t>
        </is>
      </c>
      <c r="B25" t="inlineStr">
        <is>
          <t>Kota Depok</t>
        </is>
      </c>
      <c r="C25" t="inlineStr">
        <is>
          <t>081314638635</t>
        </is>
      </c>
      <c r="D25" t="inlineStr">
        <is>
          <t>winnatama_mandiri@yahoo.com</t>
        </is>
      </c>
      <c r="E25" t="inlineStr">
        <is>
          <t>https://lpjk.pu.go.id/search-badan-usaha-detail/d0FuSWVOQnJaZm1VZU1nWk11elkxdz09</t>
        </is>
      </c>
      <c r="F25" t="n">
        <v>2</v>
      </c>
      <c r="G25" t="inlineStr">
        <is>
          <t>BG002, BS005</t>
        </is>
      </c>
      <c r="H25" t="inlineStr">
        <is>
          <t>26 Januari 2016</t>
        </is>
      </c>
      <c r="I25" s="2" t="n">
        <v>46214</v>
      </c>
      <c r="J25" t="inlineStr">
        <is>
          <t>Pencabutan</t>
        </is>
      </c>
      <c r="K25" t="n">
        <v>30</v>
      </c>
      <c r="L25" t="inlineStr">
        <is>
          <t>11 Juli 2026</t>
        </is>
      </c>
      <c r="M25" t="inlineStr">
        <is>
          <t>Konstruksi Bangunan Sipil Pengolahan Air Bersih, Konstruksi Gedung Perkantoran</t>
        </is>
      </c>
      <c r="N25" t="inlineStr">
        <is>
          <t>K</t>
        </is>
      </c>
      <c r="O25" t="inlineStr">
        <is>
          <t>20230627</t>
        </is>
      </c>
      <c r="P25" t="inlineStr">
        <is>
          <t>Jawa Barat</t>
        </is>
      </c>
      <c r="Q25" s="3">
        <f>HYPERLINK("https://wa.me/6281314638635?text=*[Pengingat Masa Berlaku SBU WINNATAMA MANDIRI]*%0A%0AYth. Pimpinan WINNATAMA MANDIRI,%0AMohon izin menginformasikan status SBU Anda:%0A%0A📄 SBU: BG002, BS005%0A📅 Expired: 11 Juli 2026 (30 Hari Lagi)%0A%0AKami tim PT. ESDEA Assistance Management siap men-support proses perpanjangan segera agar administrasi proyek tidak terhambat%0A%0AApakah boleh saya bantu siapkan estimasi biaya dan waktu pengerjaannya?.", "Hubungi")</f>
        <v/>
      </c>
    </row>
    <row r="26">
      <c r="A26" t="inlineStr">
        <is>
          <t>ADHI MULYA KARYA</t>
        </is>
      </c>
      <c r="B26" t="inlineStr">
        <is>
          <t>Kota Bandung</t>
        </is>
      </c>
      <c r="C26" t="inlineStr">
        <is>
          <t>087822875582</t>
        </is>
      </c>
      <c r="D26" t="inlineStr">
        <is>
          <t>adhimulyakarya_cv@yahoo.co.id</t>
        </is>
      </c>
      <c r="E26" t="inlineStr">
        <is>
          <t>https://lpjk.pu.go.id/search-badan-usaha-detail/SkR0UFdrZ1Q4Z2pXNklVUjJqeG0zUT09</t>
        </is>
      </c>
      <c r="F26" t="n">
        <v>3</v>
      </c>
      <c r="G26" t="inlineStr">
        <is>
          <t>BG002, BG005, BG009</t>
        </is>
      </c>
      <c r="H26" t="inlineStr">
        <is>
          <t>28 Agustus 1993</t>
        </is>
      </c>
      <c r="I26" s="2" t="n">
        <v>46214</v>
      </c>
      <c r="J26" t="inlineStr">
        <is>
          <t>Disetujui</t>
        </is>
      </c>
      <c r="K26" t="n">
        <v>30</v>
      </c>
      <c r="L26" t="inlineStr">
        <is>
          <t>11 Juli 2026</t>
        </is>
      </c>
      <c r="M26" t="inlineStr">
        <is>
          <t>Konstruksi Gedung Kesehatan, Konstruksi Gedung Lainnya, Konstruksi Gedung Perkantoran</t>
        </is>
      </c>
      <c r="N26" t="inlineStr">
        <is>
          <t>K</t>
        </is>
      </c>
      <c r="O26" t="inlineStr">
        <is>
          <t>20230709</t>
        </is>
      </c>
      <c r="P26" t="inlineStr">
        <is>
          <t>Jawa Barat</t>
        </is>
      </c>
      <c r="Q26" t="inlineStr"/>
    </row>
    <row r="27">
      <c r="A27" t="inlineStr">
        <is>
          <t>ADI KURNIA</t>
        </is>
      </c>
      <c r="B27" t="inlineStr">
        <is>
          <t>Kab. Ngawi</t>
        </is>
      </c>
      <c r="C27" t="inlineStr">
        <is>
          <t>081335597241</t>
        </is>
      </c>
      <c r="D27" t="inlineStr">
        <is>
          <t>cv.adikurnia@yahoo.com</t>
        </is>
      </c>
      <c r="E27" t="inlineStr">
        <is>
          <t>https://lpjk.pu.go.id/search-badan-usaha-detail/WlJkY0N3RG5tYVoyMlZKb0FCdXJYZz09</t>
        </is>
      </c>
      <c r="F27" t="n">
        <v>1</v>
      </c>
      <c r="G27" t="inlineStr">
        <is>
          <t>BS004</t>
        </is>
      </c>
      <c r="H27" t="inlineStr">
        <is>
          <t>10 Maret 1980</t>
        </is>
      </c>
      <c r="I27" s="2" t="n">
        <v>46214</v>
      </c>
      <c r="J27" t="inlineStr">
        <is>
          <t>Disetujui</t>
        </is>
      </c>
      <c r="K27" t="n">
        <v>30</v>
      </c>
      <c r="L27" t="inlineStr">
        <is>
          <t>11 Juli 2026</t>
        </is>
      </c>
      <c r="M27" t="inlineStr">
        <is>
          <t>Konstruksi Jaringan Irigasi dan Drainase</t>
        </is>
      </c>
      <c r="N27" t="inlineStr">
        <is>
          <t>K</t>
        </is>
      </c>
      <c r="O27" t="inlineStr">
        <is>
          <t>20230704</t>
        </is>
      </c>
      <c r="P27" t="inlineStr">
        <is>
          <t>Jawa Timur</t>
        </is>
      </c>
      <c r="Q27" t="inlineStr"/>
    </row>
    <row r="28">
      <c r="A28" t="inlineStr">
        <is>
          <t>ADIAN NASONANG</t>
        </is>
      </c>
      <c r="B28" t="inlineStr">
        <is>
          <t>Kab. Tapanuli Selatan</t>
        </is>
      </c>
      <c r="C28" t="inlineStr">
        <is>
          <t>082166985844</t>
        </is>
      </c>
      <c r="D28" t="inlineStr">
        <is>
          <t>terminalatsiri@gmail.com</t>
        </is>
      </c>
      <c r="E28" t="inlineStr">
        <is>
          <t>https://lpjk.pu.go.id/search-badan-usaha-detail/RWdMaGtkUVdRQkFFTzhDeEVDd3pOdz09</t>
        </is>
      </c>
      <c r="F28" t="n">
        <v>2</v>
      </c>
      <c r="G28" t="inlineStr">
        <is>
          <t>BS001, BS005</t>
        </is>
      </c>
      <c r="H28" t="inlineStr">
        <is>
          <t>20 April 2020</t>
        </is>
      </c>
      <c r="I28" s="2" t="n">
        <v>46214</v>
      </c>
      <c r="J28" t="inlineStr">
        <is>
          <t>Disetujui</t>
        </is>
      </c>
      <c r="K28" t="n">
        <v>30</v>
      </c>
      <c r="L28" t="inlineStr">
        <is>
          <t>11 Juli 2026</t>
        </is>
      </c>
      <c r="M28" t="inlineStr">
        <is>
          <t>Konstruksi Bangunan Sipil Jalan, Konstruksi Bangunan Sipil Pengolahan Air Bersih</t>
        </is>
      </c>
      <c r="N28" t="inlineStr">
        <is>
          <t>K</t>
        </is>
      </c>
      <c r="O28" t="inlineStr">
        <is>
          <t>20230706</t>
        </is>
      </c>
      <c r="P28" t="inlineStr">
        <is>
          <t>Sumatera Utara</t>
        </is>
      </c>
      <c r="Q28" t="inlineStr"/>
    </row>
    <row r="29">
      <c r="A29" t="inlineStr">
        <is>
          <t>ADITYA SINAR PRATAMA</t>
        </is>
      </c>
      <c r="B29" t="inlineStr">
        <is>
          <t>Kab. Klungkung</t>
        </is>
      </c>
      <c r="C29" t="inlineStr">
        <is>
          <t>087761298320</t>
        </is>
      </c>
      <c r="D29" t="inlineStr">
        <is>
          <t>ptadityasinarpratama1990@gmail.com</t>
        </is>
      </c>
      <c r="E29" t="inlineStr">
        <is>
          <t>https://lpjk.pu.go.id/search-badan-usaha-detail/OWtHUDB6aTN2QVRRbVp6ZTk1NmFkdz09</t>
        </is>
      </c>
      <c r="F29" t="n">
        <v>1</v>
      </c>
      <c r="G29" t="inlineStr">
        <is>
          <t>BS010</t>
        </is>
      </c>
      <c r="H29" t="inlineStr">
        <is>
          <t>2 Februari 2007</t>
        </is>
      </c>
      <c r="I29" s="2" t="n">
        <v>46214</v>
      </c>
      <c r="J29" t="inlineStr">
        <is>
          <t>Disetujui</t>
        </is>
      </c>
      <c r="K29" t="n">
        <v>30</v>
      </c>
      <c r="L29" t="inlineStr">
        <is>
          <t>11 Juli 2026</t>
        </is>
      </c>
      <c r="M29" t="inlineStr">
        <is>
          <t>Konstruksi Bangunan Prasarana Sumber Daya Air</t>
        </is>
      </c>
      <c r="N29" t="inlineStr">
        <is>
          <t>K</t>
        </is>
      </c>
      <c r="O29" t="inlineStr">
        <is>
          <t>20230626</t>
        </is>
      </c>
      <c r="P29" t="inlineStr">
        <is>
          <t>Bali</t>
        </is>
      </c>
      <c r="Q29" t="inlineStr"/>
    </row>
    <row r="30">
      <c r="A30" t="inlineStr">
        <is>
          <t>AISYAH KARYA INDAH</t>
        </is>
      </c>
      <c r="B30" t="inlineStr">
        <is>
          <t>Kota Adm. Jakarta Pusat</t>
        </is>
      </c>
      <c r="C30" t="inlineStr">
        <is>
          <t>02122580028</t>
        </is>
      </c>
      <c r="D30" t="inlineStr">
        <is>
          <t>aisyahkarya@gmail.com</t>
        </is>
      </c>
      <c r="E30" t="inlineStr">
        <is>
          <t>https://lpjk.pu.go.id/search-badan-usaha-detail/OHlTTFAyS2pQRnhiUHdid0NEU3dkQT09</t>
        </is>
      </c>
      <c r="F30" t="n">
        <v>2</v>
      </c>
      <c r="G30" t="inlineStr">
        <is>
          <t>BG006</t>
        </is>
      </c>
      <c r="H30" t="inlineStr">
        <is>
          <t>14 Maret 2011</t>
        </is>
      </c>
      <c r="I30" s="2" t="n">
        <v>46214</v>
      </c>
      <c r="J30" t="inlineStr">
        <is>
          <t>Pencabutan</t>
        </is>
      </c>
      <c r="K30" t="n">
        <v>30</v>
      </c>
      <c r="L30" t="inlineStr">
        <is>
          <t>11 Juli 2026</t>
        </is>
      </c>
      <c r="M30" t="inlineStr">
        <is>
          <t>Konstruksi Gedung Pendidikan</t>
        </is>
      </c>
      <c r="N30" t="inlineStr">
        <is>
          <t>K</t>
        </is>
      </c>
      <c r="O30" t="inlineStr">
        <is>
          <t>20230712</t>
        </is>
      </c>
      <c r="P30" t="inlineStr">
        <is>
          <t>DKI Jakarta</t>
        </is>
      </c>
      <c r="Q30" t="inlineStr"/>
    </row>
    <row r="31">
      <c r="A31" t="inlineStr">
        <is>
          <t>AJI JAYANTI INDAH</t>
        </is>
      </c>
      <c r="B31" t="inlineStr">
        <is>
          <t>Kab. Gresik</t>
        </is>
      </c>
      <c r="C31" t="inlineStr">
        <is>
          <t>081232608383</t>
        </is>
      </c>
      <c r="D31" t="inlineStr">
        <is>
          <t>ajijayantiindah@gmail.com</t>
        </is>
      </c>
      <c r="E31" t="inlineStr">
        <is>
          <t>https://lpjk.pu.go.id/search-badan-usaha-detail/Ukk3QVhhRFl1YUtadEtNYWdNUG03UT09</t>
        </is>
      </c>
      <c r="F31" t="n">
        <v>1</v>
      </c>
      <c r="G31" t="inlineStr">
        <is>
          <t>BS004</t>
        </is>
      </c>
      <c r="H31" t="inlineStr">
        <is>
          <t>22 Januari 2020</t>
        </is>
      </c>
      <c r="I31" s="2" t="n">
        <v>46214</v>
      </c>
      <c r="J31" t="inlineStr">
        <is>
          <t>Disetujui</t>
        </is>
      </c>
      <c r="K31" t="n">
        <v>30</v>
      </c>
      <c r="L31" t="inlineStr">
        <is>
          <t>11 Juli 2026</t>
        </is>
      </c>
      <c r="M31" t="inlineStr">
        <is>
          <t>Konstruksi Jaringan Irigasi dan Drainase</t>
        </is>
      </c>
      <c r="N31" t="inlineStr">
        <is>
          <t>K</t>
        </is>
      </c>
      <c r="O31" t="inlineStr">
        <is>
          <t>20230628</t>
        </is>
      </c>
      <c r="P31" t="inlineStr">
        <is>
          <t>Jawa Timur</t>
        </is>
      </c>
      <c r="Q31" t="inlineStr"/>
    </row>
    <row r="32">
      <c r="A32" t="inlineStr">
        <is>
          <t>ALAM ASRI PROPERTI</t>
        </is>
      </c>
      <c r="B32" t="inlineStr">
        <is>
          <t>Kota Mataram</t>
        </is>
      </c>
      <c r="C32" t="inlineStr">
        <is>
          <t>082147222682</t>
        </is>
      </c>
      <c r="D32" t="inlineStr">
        <is>
          <t>brilliant.diva18@gmail.com</t>
        </is>
      </c>
      <c r="E32" t="inlineStr">
        <is>
          <t>https://lpjk.pu.go.id/search-badan-usaha-detail/ZnlXeHZmWGk5TjA1R2xIZHZuQ3Q2dz09</t>
        </is>
      </c>
      <c r="F32" t="n">
        <v>1</v>
      </c>
      <c r="G32" t="inlineStr">
        <is>
          <t>BS001</t>
        </is>
      </c>
      <c r="H32" t="inlineStr">
        <is>
          <t>4 November 2017</t>
        </is>
      </c>
      <c r="I32" s="2" t="n">
        <v>46214</v>
      </c>
      <c r="J32" t="inlineStr">
        <is>
          <t>Pencabutan</t>
        </is>
      </c>
      <c r="K32" t="n">
        <v>30</v>
      </c>
      <c r="L32" t="inlineStr">
        <is>
          <t>11 Juli 2026</t>
        </is>
      </c>
      <c r="M32" t="inlineStr">
        <is>
          <t>Konstruksi Bangunan Sipil Jalan</t>
        </is>
      </c>
      <c r="N32" t="inlineStr">
        <is>
          <t>K</t>
        </is>
      </c>
      <c r="O32" t="inlineStr">
        <is>
          <t>20230627</t>
        </is>
      </c>
      <c r="P32" t="inlineStr">
        <is>
          <t>Nusa Tenggara Barat</t>
        </is>
      </c>
      <c r="Q32" t="inlineStr"/>
    </row>
    <row r="33">
      <c r="A33" t="inlineStr">
        <is>
          <t>ALFA CENTEURI</t>
        </is>
      </c>
      <c r="B33" t="inlineStr">
        <is>
          <t>Kab. Aceh Utara</t>
        </is>
      </c>
      <c r="C33" t="inlineStr">
        <is>
          <t>085277899679</t>
        </is>
      </c>
      <c r="D33" t="inlineStr">
        <is>
          <t>nurulbayandarussalam@gmail.com</t>
        </is>
      </c>
      <c r="E33" t="inlineStr">
        <is>
          <t>https://lpjk.pu.go.id/search-badan-usaha-detail/TXRHT0RjaVRUZDNsbk1BMVp3VkthZz09</t>
        </is>
      </c>
      <c r="F33" t="n">
        <v>1</v>
      </c>
      <c r="G33" t="inlineStr">
        <is>
          <t>BG006</t>
        </is>
      </c>
      <c r="H33" t="inlineStr">
        <is>
          <t>18 Juli 2000</t>
        </is>
      </c>
      <c r="I33" s="2" t="n">
        <v>46214</v>
      </c>
      <c r="J33" t="inlineStr">
        <is>
          <t>Disetujui</t>
        </is>
      </c>
      <c r="K33" t="n">
        <v>30</v>
      </c>
      <c r="L33" t="inlineStr">
        <is>
          <t>11 Juli 2026</t>
        </is>
      </c>
      <c r="M33" t="inlineStr">
        <is>
          <t>Konstruksi Gedung Pendidikan</t>
        </is>
      </c>
      <c r="N33" t="inlineStr">
        <is>
          <t>K</t>
        </is>
      </c>
      <c r="O33" t="inlineStr">
        <is>
          <t>20230703</t>
        </is>
      </c>
      <c r="P33" t="inlineStr">
        <is>
          <t>Aceh</t>
        </is>
      </c>
      <c r="Q33" t="inlineStr"/>
    </row>
    <row r="34">
      <c r="A34" t="inlineStr">
        <is>
          <t>ALFIAR</t>
        </is>
      </c>
      <c r="B34" t="inlineStr">
        <is>
          <t>Kota Bandung</t>
        </is>
      </c>
      <c r="C34" t="inlineStr">
        <is>
          <t>08122107707</t>
        </is>
      </c>
      <c r="D34" t="inlineStr">
        <is>
          <t>cvalfiar@gmail.com</t>
        </is>
      </c>
      <c r="E34" t="inlineStr">
        <is>
          <t>https://lpjk.pu.go.id/search-badan-usaha-detail/ZUkzNVE1Ky95cTdDR3ltdVVpU1padz09</t>
        </is>
      </c>
      <c r="F34" t="n">
        <v>1</v>
      </c>
      <c r="G34" t="inlineStr">
        <is>
          <t>BG002</t>
        </is>
      </c>
      <c r="H34" t="inlineStr">
        <is>
          <t>2 Januari 2020</t>
        </is>
      </c>
      <c r="I34" s="2" t="n">
        <v>46214</v>
      </c>
      <c r="J34" t="inlineStr">
        <is>
          <t>Disetujui</t>
        </is>
      </c>
      <c r="K34" t="n">
        <v>30</v>
      </c>
      <c r="L34" t="inlineStr">
        <is>
          <t>11 Juli 2026</t>
        </is>
      </c>
      <c r="M34" t="inlineStr">
        <is>
          <t>Konstruksi Gedung Perkantoran</t>
        </is>
      </c>
      <c r="N34" t="inlineStr">
        <is>
          <t>K</t>
        </is>
      </c>
      <c r="O34" t="inlineStr">
        <is>
          <t>20230710</t>
        </is>
      </c>
      <c r="P34" t="inlineStr">
        <is>
          <t>Jawa Barat</t>
        </is>
      </c>
      <c r="Q34" t="inlineStr"/>
    </row>
    <row r="35">
      <c r="A35" t="inlineStr">
        <is>
          <t>ALINDA KARYA</t>
        </is>
      </c>
      <c r="B35" t="inlineStr">
        <is>
          <t>Kab. Bulungan</t>
        </is>
      </c>
      <c r="C35" t="inlineStr">
        <is>
          <t>081350169990</t>
        </is>
      </c>
      <c r="D35" t="inlineStr">
        <is>
          <t>alindakarya@gmail.com</t>
        </is>
      </c>
      <c r="E35" t="inlineStr">
        <is>
          <t>https://lpjk.pu.go.id/search-badan-usaha-detail/MG80VzZrT1AwMk5ZODhLbzh3bGRUdz09</t>
        </is>
      </c>
      <c r="F35" t="n">
        <v>1</v>
      </c>
      <c r="G35" t="inlineStr">
        <is>
          <t>BS004</t>
        </is>
      </c>
      <c r="H35" t="inlineStr">
        <is>
          <t>29 Agustus 2022</t>
        </is>
      </c>
      <c r="I35" s="2" t="n">
        <v>46214</v>
      </c>
      <c r="J35" t="inlineStr">
        <is>
          <t>Pencabutan</t>
        </is>
      </c>
      <c r="K35" t="n">
        <v>30</v>
      </c>
      <c r="L35" t="inlineStr">
        <is>
          <t>11 Juli 2026</t>
        </is>
      </c>
      <c r="M35" t="inlineStr">
        <is>
          <t>Konstruksi Jaringan Irigasi dan Drainase</t>
        </is>
      </c>
      <c r="N35" t="inlineStr">
        <is>
          <t>K</t>
        </is>
      </c>
      <c r="O35" t="inlineStr">
        <is>
          <t>20230627</t>
        </is>
      </c>
      <c r="P35" t="inlineStr">
        <is>
          <t>Kalimantan Utara</t>
        </is>
      </c>
      <c r="Q35" t="inlineStr"/>
    </row>
    <row r="36">
      <c r="A36" t="inlineStr">
        <is>
          <t>AMIRA</t>
        </is>
      </c>
      <c r="B36" t="inlineStr">
        <is>
          <t>Kab. Bolaang Mongondow Utara</t>
        </is>
      </c>
      <c r="C36" t="inlineStr">
        <is>
          <t>085399503780</t>
        </is>
      </c>
      <c r="D36" t="inlineStr">
        <is>
          <t>cv.amira69@gmail.com</t>
        </is>
      </c>
      <c r="E36" t="inlineStr">
        <is>
          <t>https://lpjk.pu.go.id/search-badan-usaha-detail/bWdkQmVaQklBRlQxSTA5NzlKY0kwUT09</t>
        </is>
      </c>
      <c r="F36" t="n">
        <v>2</v>
      </c>
      <c r="G36" t="inlineStr">
        <is>
          <t>BG002, BG005</t>
        </is>
      </c>
      <c r="H36" t="inlineStr">
        <is>
          <t>27 Januari 2010</t>
        </is>
      </c>
      <c r="I36" s="2" t="n">
        <v>46214</v>
      </c>
      <c r="J36" t="inlineStr">
        <is>
          <t>Disetujui</t>
        </is>
      </c>
      <c r="K36" t="n">
        <v>30</v>
      </c>
      <c r="L36" t="inlineStr">
        <is>
          <t>11 Juli 2026</t>
        </is>
      </c>
      <c r="M36" t="inlineStr">
        <is>
          <t>Konstruksi Gedung Kesehatan, Konstruksi Gedung Perkantoran</t>
        </is>
      </c>
      <c r="N36" t="inlineStr">
        <is>
          <t>K</t>
        </is>
      </c>
      <c r="O36" t="inlineStr">
        <is>
          <t>20230629</t>
        </is>
      </c>
      <c r="P36" t="inlineStr">
        <is>
          <t>Sulawesi Utara</t>
        </is>
      </c>
      <c r="Q36" t="inlineStr"/>
    </row>
    <row r="37">
      <c r="A37" t="inlineStr">
        <is>
          <t>ANEKA MULTI KONSTRUKSI</t>
        </is>
      </c>
      <c r="B37" t="inlineStr">
        <is>
          <t>Kota Adm. Jakarta Utara</t>
        </is>
      </c>
      <c r="C37" t="inlineStr">
        <is>
          <t>N/A</t>
        </is>
      </c>
      <c r="D37" t="inlineStr">
        <is>
          <t>N/A</t>
        </is>
      </c>
      <c r="E37" t="inlineStr">
        <is>
          <t>https://lpjk.pu.go.id/search-badan-usaha-detail/RXJQMVVDYXB0bk1pSDhKWTJ6dkMzZz09</t>
        </is>
      </c>
      <c r="F37" t="n">
        <v>1</v>
      </c>
      <c r="G37" t="inlineStr">
        <is>
          <t>BG002</t>
        </is>
      </c>
      <c r="H37" t="inlineStr"/>
      <c r="I37" s="2" t="n">
        <v>46214</v>
      </c>
      <c r="J37" t="inlineStr">
        <is>
          <t>Disetujui</t>
        </is>
      </c>
      <c r="K37" t="n">
        <v>30</v>
      </c>
      <c r="L37" t="inlineStr">
        <is>
          <t>11 Juli 2026</t>
        </is>
      </c>
      <c r="M37" t="inlineStr">
        <is>
          <t>Konstruksi Gedung Perkantoran</t>
        </is>
      </c>
      <c r="N37" t="inlineStr">
        <is>
          <t>K</t>
        </is>
      </c>
      <c r="O37" t="inlineStr">
        <is>
          <t>20230622</t>
        </is>
      </c>
      <c r="P37" t="inlineStr">
        <is>
          <t>DKI Jakarta</t>
        </is>
      </c>
      <c r="Q37" t="inlineStr"/>
    </row>
    <row r="38">
      <c r="A38" t="inlineStr">
        <is>
          <t>ANUGERAH FATRIDA SUKMA</t>
        </is>
      </c>
      <c r="B38" t="inlineStr">
        <is>
          <t>Kab. Sukamara</t>
        </is>
      </c>
      <c r="C38" t="inlineStr">
        <is>
          <t>081258352425</t>
        </is>
      </c>
      <c r="D38" t="inlineStr">
        <is>
          <t>anugerah.fatrida@gmail.com</t>
        </is>
      </c>
      <c r="E38" t="inlineStr">
        <is>
          <t>https://lpjk.pu.go.id/search-badan-usaha-detail/MUxDTkwxUVZ4U1RCTTEyMjBROE1wZz09</t>
        </is>
      </c>
      <c r="F38" t="n">
        <v>1</v>
      </c>
      <c r="G38" t="inlineStr">
        <is>
          <t>BG001</t>
        </is>
      </c>
      <c r="H38" t="inlineStr">
        <is>
          <t>6 Maret 2017</t>
        </is>
      </c>
      <c r="I38" s="2" t="n">
        <v>46214</v>
      </c>
      <c r="J38" t="inlineStr">
        <is>
          <t>Disetujui</t>
        </is>
      </c>
      <c r="K38" t="n">
        <v>30</v>
      </c>
      <c r="L38" t="inlineStr">
        <is>
          <t>11 Juli 2026</t>
        </is>
      </c>
      <c r="M38" t="inlineStr">
        <is>
          <t>Konstruksi Gedung Hunian</t>
        </is>
      </c>
      <c r="N38" t="inlineStr">
        <is>
          <t>K</t>
        </is>
      </c>
      <c r="O38" t="inlineStr">
        <is>
          <t>20230706</t>
        </is>
      </c>
      <c r="P38" t="inlineStr">
        <is>
          <t>Kalimantan Tengah</t>
        </is>
      </c>
      <c r="Q38" t="inlineStr"/>
    </row>
    <row r="39">
      <c r="A39" t="inlineStr">
        <is>
          <t>ANUGRAH JAYA RAYA</t>
        </is>
      </c>
      <c r="B39" t="inlineStr">
        <is>
          <t>Kab. Kepulauan Meranti</t>
        </is>
      </c>
      <c r="C39" t="inlineStr">
        <is>
          <t>0813783777222</t>
        </is>
      </c>
      <c r="D39" t="inlineStr">
        <is>
          <t>anugrahjayaraya@gmail.com</t>
        </is>
      </c>
      <c r="E39" t="inlineStr">
        <is>
          <t>https://lpjk.pu.go.id/search-badan-usaha-detail/S2F5SGNtTk41T0hQbERMcmRaZ3hydz09</t>
        </is>
      </c>
      <c r="F39" t="n">
        <v>4</v>
      </c>
      <c r="G39" t="inlineStr">
        <is>
          <t>BG006, BG009</t>
        </is>
      </c>
      <c r="H39" t="inlineStr">
        <is>
          <t>7 Januari 2016</t>
        </is>
      </c>
      <c r="I39" s="2" t="n">
        <v>46214</v>
      </c>
      <c r="J39" t="inlineStr">
        <is>
          <t>Disetujui</t>
        </is>
      </c>
      <c r="K39" t="n">
        <v>30</v>
      </c>
      <c r="L39" t="inlineStr">
        <is>
          <t>11 Juli 2026</t>
        </is>
      </c>
      <c r="M39" t="inlineStr">
        <is>
          <t>Konstruksi Gedung Lainnya, Konstruksi Gedung Pendidikan</t>
        </is>
      </c>
      <c r="N39" t="inlineStr">
        <is>
          <t>K</t>
        </is>
      </c>
      <c r="O39" t="inlineStr">
        <is>
          <t>20230711, 20230712</t>
        </is>
      </c>
      <c r="P39" t="inlineStr">
        <is>
          <t>Riau</t>
        </is>
      </c>
      <c r="Q39" t="inlineStr"/>
    </row>
    <row r="40">
      <c r="A40" t="inlineStr">
        <is>
          <t>ANUGRAH UTAMA</t>
        </is>
      </c>
      <c r="B40" t="inlineStr">
        <is>
          <t>Kab. Klaten</t>
        </is>
      </c>
      <c r="C40" t="inlineStr">
        <is>
          <t>08122968982</t>
        </is>
      </c>
      <c r="D40" t="inlineStr">
        <is>
          <t>wisnuutomo500@gmail.com</t>
        </is>
      </c>
      <c r="E40" t="inlineStr">
        <is>
          <t>https://lpjk.pu.go.id/search-badan-usaha-detail/cnk1S1NScFFYVjFha2JXVWVnYjhlZz09</t>
        </is>
      </c>
      <c r="F40" t="n">
        <v>2</v>
      </c>
      <c r="G40" t="inlineStr">
        <is>
          <t>BS001</t>
        </is>
      </c>
      <c r="H40" t="inlineStr">
        <is>
          <t>28 Oktober 2003</t>
        </is>
      </c>
      <c r="I40" s="2" t="n">
        <v>46214</v>
      </c>
      <c r="J40" t="inlineStr">
        <is>
          <t>Disetujui</t>
        </is>
      </c>
      <c r="K40" t="n">
        <v>30</v>
      </c>
      <c r="L40" t="inlineStr">
        <is>
          <t>11 Juli 2026</t>
        </is>
      </c>
      <c r="M40" t="inlineStr">
        <is>
          <t>Konstruksi Bangunan Sipil Jalan</t>
        </is>
      </c>
      <c r="N40" t="inlineStr">
        <is>
          <t>K</t>
        </is>
      </c>
      <c r="O40" t="inlineStr">
        <is>
          <t>20230709</t>
        </is>
      </c>
      <c r="P40" t="inlineStr">
        <is>
          <t>Jawa Tengah</t>
        </is>
      </c>
      <c r="Q40" t="inlineStr"/>
    </row>
    <row r="41">
      <c r="A41" t="inlineStr">
        <is>
          <t>ARKHA SUKSES MANDIRI</t>
        </is>
      </c>
      <c r="B41" t="inlineStr">
        <is>
          <t>Kota Madiun</t>
        </is>
      </c>
      <c r="C41" t="inlineStr">
        <is>
          <t>081331478989</t>
        </is>
      </c>
      <c r="D41" t="inlineStr">
        <is>
          <t>arkhasuksesmandiri.cv@gmail.com</t>
        </is>
      </c>
      <c r="E41" t="inlineStr">
        <is>
          <t>https://lpjk.pu.go.id/search-badan-usaha-detail/a2l4NGJoWnNKcUVJUzVPRExhQ1N6Zz09</t>
        </is>
      </c>
      <c r="F41" t="n">
        <v>2</v>
      </c>
      <c r="G41" t="inlineStr">
        <is>
          <t>BG006</t>
        </is>
      </c>
      <c r="H41" t="inlineStr">
        <is>
          <t>16 Oktober 2020</t>
        </is>
      </c>
      <c r="I41" s="2" t="n">
        <v>46214</v>
      </c>
      <c r="J41" t="inlineStr">
        <is>
          <t>Disetujui</t>
        </is>
      </c>
      <c r="K41" t="n">
        <v>30</v>
      </c>
      <c r="L41" t="inlineStr">
        <is>
          <t>11 Juli 2026</t>
        </is>
      </c>
      <c r="M41" t="inlineStr">
        <is>
          <t>Konstruksi Gedung Pendidikan</t>
        </is>
      </c>
      <c r="N41" t="inlineStr">
        <is>
          <t>K</t>
        </is>
      </c>
      <c r="O41" t="inlineStr">
        <is>
          <t>20230712</t>
        </is>
      </c>
      <c r="P41" t="inlineStr">
        <is>
          <t>Jawa Timur</t>
        </is>
      </c>
      <c r="Q41" t="inlineStr"/>
    </row>
    <row r="42">
      <c r="A42" t="inlineStr">
        <is>
          <t>AURA SINAR BARU</t>
        </is>
      </c>
      <c r="B42" t="inlineStr">
        <is>
          <t>Kota Surabaya</t>
        </is>
      </c>
      <c r="C42" t="inlineStr">
        <is>
          <t>0318280866</t>
        </is>
      </c>
      <c r="D42" t="inlineStr">
        <is>
          <t>sinarbarutirta@gmail.com</t>
        </is>
      </c>
      <c r="E42" t="inlineStr">
        <is>
          <t>https://lpjk.pu.go.id/search-badan-usaha-detail/MkZUaTV4MXZsaVBwYXo3dkxBZWtUZz09</t>
        </is>
      </c>
      <c r="F42" t="n">
        <v>1</v>
      </c>
      <c r="G42" t="inlineStr">
        <is>
          <t>BS010</t>
        </is>
      </c>
      <c r="H42" t="inlineStr">
        <is>
          <t>9 November 2006</t>
        </is>
      </c>
      <c r="I42" s="2" t="n">
        <v>46214</v>
      </c>
      <c r="J42" t="inlineStr">
        <is>
          <t>Disetujui</t>
        </is>
      </c>
      <c r="K42" t="n">
        <v>30</v>
      </c>
      <c r="L42" t="inlineStr">
        <is>
          <t>11 Juli 2026</t>
        </is>
      </c>
      <c r="M42" t="inlineStr">
        <is>
          <t>Konstruksi Bangunan Prasarana Sumber Daya Air</t>
        </is>
      </c>
      <c r="N42" t="inlineStr">
        <is>
          <t>B</t>
        </is>
      </c>
      <c r="O42" t="inlineStr">
        <is>
          <t>20230707</t>
        </is>
      </c>
      <c r="P42" t="inlineStr">
        <is>
          <t>Jawa Timur</t>
        </is>
      </c>
      <c r="Q42" t="inlineStr"/>
    </row>
    <row r="43">
      <c r="A43" t="inlineStr">
        <is>
          <t>BAHANA PERTIWI</t>
        </is>
      </c>
      <c r="B43" t="inlineStr">
        <is>
          <t>Kab. Kolaka</t>
        </is>
      </c>
      <c r="C43" t="inlineStr">
        <is>
          <t>085395307067</t>
        </is>
      </c>
      <c r="D43" t="inlineStr">
        <is>
          <t>cv.bahanapertiwi@gmail.com</t>
        </is>
      </c>
      <c r="E43" t="inlineStr">
        <is>
          <t>https://lpjk.pu.go.id/search-badan-usaha-detail/NEtPR2dZWS95eStWVExTRlpkcUlpUT09</t>
        </is>
      </c>
      <c r="F43" t="n">
        <v>1</v>
      </c>
      <c r="G43" t="inlineStr">
        <is>
          <t>BS001</t>
        </is>
      </c>
      <c r="H43" t="inlineStr">
        <is>
          <t>4 Juli 2008</t>
        </is>
      </c>
      <c r="I43" s="2" t="n">
        <v>46214</v>
      </c>
      <c r="J43" t="inlineStr">
        <is>
          <t>Disetujui</t>
        </is>
      </c>
      <c r="K43" t="n">
        <v>30</v>
      </c>
      <c r="L43" t="inlineStr">
        <is>
          <t>11 Juli 2026</t>
        </is>
      </c>
      <c r="M43" t="inlineStr">
        <is>
          <t>Konstruksi Bangunan Sipil Jalan</t>
        </is>
      </c>
      <c r="N43" t="inlineStr">
        <is>
          <t>K</t>
        </is>
      </c>
      <c r="O43" t="inlineStr">
        <is>
          <t>20230710</t>
        </is>
      </c>
      <c r="P43" t="inlineStr">
        <is>
          <t>Sulawesi Tenggara</t>
        </is>
      </c>
      <c r="Q43" t="inlineStr"/>
    </row>
    <row r="44">
      <c r="A44" t="inlineStr">
        <is>
          <t>BANDUNG PILAR KONTRUKSINDO</t>
        </is>
      </c>
      <c r="B44" t="inlineStr">
        <is>
          <t>Kota Cimahi</t>
        </is>
      </c>
      <c r="C44" t="inlineStr">
        <is>
          <t>081320935494</t>
        </is>
      </c>
      <c r="D44" t="inlineStr">
        <is>
          <t>pt.bapikon@gmail.com</t>
        </is>
      </c>
      <c r="E44" t="inlineStr">
        <is>
          <t>https://lpjk.pu.go.id/search-badan-usaha-detail/eVY4SGJDTW5UeklUMjUrREducjYwQT09</t>
        </is>
      </c>
      <c r="F44" t="n">
        <v>1</v>
      </c>
      <c r="G44" t="inlineStr">
        <is>
          <t>BG009</t>
        </is>
      </c>
      <c r="H44" t="inlineStr">
        <is>
          <t>4 Januari 2018</t>
        </is>
      </c>
      <c r="I44" s="2" t="n">
        <v>46214</v>
      </c>
      <c r="J44" t="inlineStr">
        <is>
          <t>Pencabutan</t>
        </is>
      </c>
      <c r="K44" t="n">
        <v>30</v>
      </c>
      <c r="L44" t="inlineStr">
        <is>
          <t>11 Juli 2026</t>
        </is>
      </c>
      <c r="M44" t="inlineStr">
        <is>
          <t>Konstruksi Gedung Lainnya</t>
        </is>
      </c>
      <c r="N44" t="inlineStr">
        <is>
          <t>K</t>
        </is>
      </c>
      <c r="O44" t="inlineStr">
        <is>
          <t>20230705</t>
        </is>
      </c>
      <c r="P44" t="inlineStr">
        <is>
          <t>Jawa Barat</t>
        </is>
      </c>
      <c r="Q44" t="inlineStr"/>
    </row>
    <row r="45">
      <c r="A45" t="inlineStr">
        <is>
          <t>BANGUN BANUA</t>
        </is>
      </c>
      <c r="B45" t="inlineStr">
        <is>
          <t>Kab. Hulu Sungai Selatan</t>
        </is>
      </c>
      <c r="C45" t="inlineStr">
        <is>
          <t>082353308889</t>
        </is>
      </c>
      <c r="D45" t="inlineStr">
        <is>
          <t>banuabangun@gmail.com</t>
        </is>
      </c>
      <c r="E45" t="inlineStr">
        <is>
          <t>https://lpjk.pu.go.id/search-badan-usaha-detail/dWZTV1NaT0Y2dmZNdENSSmJGRHVWZz09</t>
        </is>
      </c>
      <c r="F45" t="n">
        <v>1</v>
      </c>
      <c r="G45" t="inlineStr">
        <is>
          <t>BS005</t>
        </is>
      </c>
      <c r="H45" t="inlineStr">
        <is>
          <t>1 Januari 2018</t>
        </is>
      </c>
      <c r="I45" s="2" t="n">
        <v>46214</v>
      </c>
      <c r="J45" t="inlineStr">
        <is>
          <t>Pencabutan</t>
        </is>
      </c>
      <c r="K45" t="n">
        <v>30</v>
      </c>
      <c r="L45" t="inlineStr">
        <is>
          <t>11 Juli 2026</t>
        </is>
      </c>
      <c r="M45" t="inlineStr">
        <is>
          <t>Konstruksi Bangunan Sipil Pengolahan Air Bersih</t>
        </is>
      </c>
      <c r="N45" t="inlineStr">
        <is>
          <t>K</t>
        </is>
      </c>
      <c r="O45" t="inlineStr">
        <is>
          <t>20230709</t>
        </is>
      </c>
      <c r="P45" t="inlineStr">
        <is>
          <t>Kalimantan Selatan</t>
        </is>
      </c>
      <c r="Q45" t="inlineStr"/>
    </row>
    <row r="46">
      <c r="A46" t="inlineStr">
        <is>
          <t>BANGUN SARANA SINERGI</t>
        </is>
      </c>
      <c r="B46" t="inlineStr">
        <is>
          <t>Kota Tebing Tinggi</t>
        </is>
      </c>
      <c r="C46" t="inlineStr">
        <is>
          <t>081260870474</t>
        </is>
      </c>
      <c r="D46" t="inlineStr">
        <is>
          <t>ptbangunsaranasinergi@gmail.com</t>
        </is>
      </c>
      <c r="E46" t="inlineStr">
        <is>
          <t>https://lpjk.pu.go.id/search-badan-usaha-detail/NzhRZEZueGFYWjhrRjNIdVJvYjhkQT09</t>
        </is>
      </c>
      <c r="F46" t="n">
        <v>1</v>
      </c>
      <c r="G46" t="inlineStr">
        <is>
          <t>BS001</t>
        </is>
      </c>
      <c r="H46" t="inlineStr">
        <is>
          <t>31 Januari 2023</t>
        </is>
      </c>
      <c r="I46" s="2" t="n">
        <v>46214</v>
      </c>
      <c r="J46" t="inlineStr">
        <is>
          <t>Pencabutan</t>
        </is>
      </c>
      <c r="K46" t="n">
        <v>30</v>
      </c>
      <c r="L46" t="inlineStr">
        <is>
          <t>11 Juli 2026</t>
        </is>
      </c>
      <c r="M46" t="inlineStr">
        <is>
          <t>Konstruksi Bangunan Sipil Jalan</t>
        </is>
      </c>
      <c r="N46" t="inlineStr">
        <is>
          <t>K</t>
        </is>
      </c>
      <c r="O46" t="inlineStr">
        <is>
          <t>20230712</t>
        </is>
      </c>
      <c r="P46" t="inlineStr">
        <is>
          <t>Sumatera Utara</t>
        </is>
      </c>
      <c r="Q46" t="inlineStr"/>
    </row>
    <row r="47">
      <c r="A47" t="inlineStr">
        <is>
          <t>BAROKAH ABADI</t>
        </is>
      </c>
      <c r="B47" t="inlineStr">
        <is>
          <t>Kab. Sidoarjo</t>
        </is>
      </c>
      <c r="C47" t="inlineStr">
        <is>
          <t>082139948405</t>
        </is>
      </c>
      <c r="D47" t="inlineStr">
        <is>
          <t>barokahabadi2014@gmail.com</t>
        </is>
      </c>
      <c r="E47" t="inlineStr">
        <is>
          <t>https://lpjk.pu.go.id/search-badan-usaha-detail/VGIweUF5MTd3R2FEa0k4N2JKMUNPdz09</t>
        </is>
      </c>
      <c r="F47" t="n">
        <v>2</v>
      </c>
      <c r="G47" t="inlineStr">
        <is>
          <t>BS002</t>
        </is>
      </c>
      <c r="H47" t="inlineStr">
        <is>
          <t>1 Juli 2010</t>
        </is>
      </c>
      <c r="I47" s="2" t="n">
        <v>46214</v>
      </c>
      <c r="J47" t="inlineStr">
        <is>
          <t>Disetujui</t>
        </is>
      </c>
      <c r="K47" t="n">
        <v>30</v>
      </c>
      <c r="L47" t="inlineStr">
        <is>
          <t>11 Juli 2026</t>
        </is>
      </c>
      <c r="M47" t="inlineStr">
        <is>
          <t>Bangunan Sipil Jembatan, Jalan Layang, Fly Over, dan Underpass</t>
        </is>
      </c>
      <c r="N47" t="inlineStr">
        <is>
          <t>K</t>
        </is>
      </c>
      <c r="O47" t="inlineStr">
        <is>
          <t>20230705</t>
        </is>
      </c>
      <c r="P47" t="inlineStr">
        <is>
          <t>Jawa Timur</t>
        </is>
      </c>
      <c r="Q47" t="inlineStr"/>
    </row>
    <row r="48">
      <c r="A48" t="inlineStr">
        <is>
          <t>BAYU PASUPATI</t>
        </is>
      </c>
      <c r="B48" t="inlineStr">
        <is>
          <t>Kota Denpasar</t>
        </is>
      </c>
      <c r="C48" t="inlineStr">
        <is>
          <t>0811394348</t>
        </is>
      </c>
      <c r="D48" t="inlineStr">
        <is>
          <t>sawiram@yahoo.com</t>
        </is>
      </c>
      <c r="E48" t="inlineStr">
        <is>
          <t>https://lpjk.pu.go.id/search-badan-usaha-detail/SzZMTEMrVDA2dmp4aVRUblBtUk9iQT09</t>
        </is>
      </c>
      <c r="F48" t="n">
        <v>1</v>
      </c>
      <c r="G48" t="inlineStr">
        <is>
          <t>BG006</t>
        </is>
      </c>
      <c r="H48" t="inlineStr">
        <is>
          <t>28 September 2000</t>
        </is>
      </c>
      <c r="I48" s="2" t="n">
        <v>46214</v>
      </c>
      <c r="J48" t="inlineStr">
        <is>
          <t>Disetujui</t>
        </is>
      </c>
      <c r="K48" t="n">
        <v>30</v>
      </c>
      <c r="L48" t="inlineStr">
        <is>
          <t>11 Juli 2026</t>
        </is>
      </c>
      <c r="M48" t="inlineStr">
        <is>
          <t>Konstruksi Gedung Pendidikan</t>
        </is>
      </c>
      <c r="N48" t="inlineStr">
        <is>
          <t>K</t>
        </is>
      </c>
      <c r="O48" t="inlineStr">
        <is>
          <t>20230523</t>
        </is>
      </c>
      <c r="P48" t="inlineStr">
        <is>
          <t>Bali</t>
        </is>
      </c>
      <c r="Q48" t="inlineStr"/>
    </row>
    <row r="49">
      <c r="A49" t="inlineStr">
        <is>
          <t>BENUA MITRA KONSTRUKSI</t>
        </is>
      </c>
      <c r="B49" t="inlineStr">
        <is>
          <t>Kab. Kayong Utara</t>
        </is>
      </c>
      <c r="C49" t="inlineStr">
        <is>
          <t>085752029769</t>
        </is>
      </c>
      <c r="D49" t="inlineStr">
        <is>
          <t>mitrakonstruksi01@gmail.com</t>
        </is>
      </c>
      <c r="E49" t="inlineStr">
        <is>
          <t>https://lpjk.pu.go.id/search-badan-usaha-detail/cVBZNGdWRy9PYlBNRUpNR3NrK0YrUT09</t>
        </is>
      </c>
      <c r="F49" t="n">
        <v>1</v>
      </c>
      <c r="G49" t="inlineStr">
        <is>
          <t>BS004</t>
        </is>
      </c>
      <c r="H49" t="inlineStr">
        <is>
          <t>12 November 2015</t>
        </is>
      </c>
      <c r="I49" s="2" t="n">
        <v>46214</v>
      </c>
      <c r="J49" t="inlineStr">
        <is>
          <t>Pencabutan</t>
        </is>
      </c>
      <c r="K49" t="n">
        <v>30</v>
      </c>
      <c r="L49" t="inlineStr">
        <is>
          <t>11 Juli 2026</t>
        </is>
      </c>
      <c r="M49" t="inlineStr">
        <is>
          <t>Konstruksi Jaringan Irigasi dan Drainase</t>
        </is>
      </c>
      <c r="N49" t="inlineStr">
        <is>
          <t>K</t>
        </is>
      </c>
      <c r="O49" t="inlineStr">
        <is>
          <t>20230711</t>
        </is>
      </c>
      <c r="P49" t="inlineStr">
        <is>
          <t>Kalimantan Barat</t>
        </is>
      </c>
      <c r="Q49" t="inlineStr"/>
    </row>
    <row r="50">
      <c r="A50" t="inlineStr">
        <is>
          <t>BERJAYA MANDIRI UTAMA</t>
        </is>
      </c>
      <c r="B50" t="inlineStr">
        <is>
          <t>Kota Bandung</t>
        </is>
      </c>
      <c r="C50" t="inlineStr">
        <is>
          <t>081297000187</t>
        </is>
      </c>
      <c r="D50" t="inlineStr">
        <is>
          <t>berjaya.mandiri.utama@gmail.com</t>
        </is>
      </c>
      <c r="E50" t="inlineStr">
        <is>
          <t>https://lpjk.pu.go.id/search-badan-usaha-detail/NllYWXZzMTNnZklrdzhWWDBqalljdz09</t>
        </is>
      </c>
      <c r="F50" t="n">
        <v>1</v>
      </c>
      <c r="G50" t="inlineStr">
        <is>
          <t>BG001</t>
        </is>
      </c>
      <c r="H50" t="inlineStr">
        <is>
          <t>6 Februari 2023</t>
        </is>
      </c>
      <c r="I50" s="2" t="n">
        <v>46214</v>
      </c>
      <c r="J50" t="inlineStr">
        <is>
          <t>Disetujui</t>
        </is>
      </c>
      <c r="K50" t="n">
        <v>30</v>
      </c>
      <c r="L50" t="inlineStr">
        <is>
          <t>11 Juli 2026</t>
        </is>
      </c>
      <c r="M50" t="inlineStr">
        <is>
          <t>Konstruksi Gedung Hunian</t>
        </is>
      </c>
      <c r="N50" t="inlineStr">
        <is>
          <t>K</t>
        </is>
      </c>
      <c r="O50" t="inlineStr">
        <is>
          <t>20230711</t>
        </is>
      </c>
      <c r="P50" t="inlineStr">
        <is>
          <t>Jawa Barat</t>
        </is>
      </c>
      <c r="Q50" t="inlineStr"/>
    </row>
    <row r="51">
      <c r="A51" t="inlineStr">
        <is>
          <t>BERKAH PAJAR UTAMA</t>
        </is>
      </c>
      <c r="B51" t="inlineStr">
        <is>
          <t>Kab. Kuningan</t>
        </is>
      </c>
      <c r="C51" t="inlineStr">
        <is>
          <t>082119623623</t>
        </is>
      </c>
      <c r="D51" t="inlineStr">
        <is>
          <t>cv.berkahpajarutama.kng@gmail.com</t>
        </is>
      </c>
      <c r="E51" t="inlineStr">
        <is>
          <t>https://lpjk.pu.go.id/search-badan-usaha-detail/Zk1uYnl0cDBtVVpVcmlpdklpZkJsdz09</t>
        </is>
      </c>
      <c r="F51" t="n">
        <v>2</v>
      </c>
      <c r="G51" t="inlineStr">
        <is>
          <t>BG002</t>
        </is>
      </c>
      <c r="H51" t="inlineStr">
        <is>
          <t>11 Oktober 2003</t>
        </is>
      </c>
      <c r="I51" s="2" t="n">
        <v>46214</v>
      </c>
      <c r="J51" t="inlineStr">
        <is>
          <t>Disetujui</t>
        </is>
      </c>
      <c r="K51" t="n">
        <v>30</v>
      </c>
      <c r="L51" t="inlineStr">
        <is>
          <t>11 Juli 2026</t>
        </is>
      </c>
      <c r="M51" t="inlineStr">
        <is>
          <t>Konstruksi Gedung Perkantoran</t>
        </is>
      </c>
      <c r="N51" t="inlineStr">
        <is>
          <t>K</t>
        </is>
      </c>
      <c r="O51" t="inlineStr">
        <is>
          <t>20230711</t>
        </is>
      </c>
      <c r="P51" t="inlineStr">
        <is>
          <t>Jawa Barat</t>
        </is>
      </c>
      <c r="Q51" t="inlineStr"/>
    </row>
    <row r="52">
      <c r="A52" t="inlineStr">
        <is>
          <t>BERKAH TEGAR MANDIRI</t>
        </is>
      </c>
      <c r="B52" t="inlineStr">
        <is>
          <t>Kota Jambi</t>
        </is>
      </c>
      <c r="C52" t="inlineStr">
        <is>
          <t>082374793377</t>
        </is>
      </c>
      <c r="D52" t="inlineStr">
        <is>
          <t>berkahtegarmandiri@gmail.com</t>
        </is>
      </c>
      <c r="E52" t="inlineStr">
        <is>
          <t>https://lpjk.pu.go.id/search-badan-usaha-detail/Rm8xSmJkVTV0UGhCMGJtaFl2YzlDUT09</t>
        </is>
      </c>
      <c r="F52" t="n">
        <v>10</v>
      </c>
      <c r="G52" t="inlineStr">
        <is>
          <t>BG002, BG006, BS001, BS002, BS005</t>
        </is>
      </c>
      <c r="H52" t="inlineStr">
        <is>
          <t>12 Oktober 2017</t>
        </is>
      </c>
      <c r="I52" s="2" t="n">
        <v>46214</v>
      </c>
      <c r="J52" t="inlineStr">
        <is>
          <t>Disetujui</t>
        </is>
      </c>
      <c r="K52" t="n">
        <v>30</v>
      </c>
      <c r="L52" t="inlineStr">
        <is>
          <t>11 Juli 2026</t>
        </is>
      </c>
      <c r="M52" t="inlineStr">
        <is>
          <t>Bangunan Sipil Jembatan, Jalan Layang, Fly Over, dan Underpass, Konstruksi Bangunan Sipil Jalan, Konstruksi Bangunan Sipil Pengolahan Air Bersih, Konstruksi Gedung Pendidikan, Konstruksi Gedung Perkantoran</t>
        </is>
      </c>
      <c r="N52" t="inlineStr">
        <is>
          <t>K</t>
        </is>
      </c>
      <c r="O52" t="inlineStr">
        <is>
          <t>20230710, 20230711</t>
        </is>
      </c>
      <c r="P52" t="inlineStr">
        <is>
          <t>Jambi</t>
        </is>
      </c>
      <c r="Q52" t="inlineStr"/>
    </row>
    <row r="53">
      <c r="A53" t="inlineStr">
        <is>
          <t>BERKAT CAHAYA GRIME</t>
        </is>
      </c>
      <c r="B53" t="inlineStr">
        <is>
          <t>Kota Jayapura</t>
        </is>
      </c>
      <c r="C53" t="inlineStr">
        <is>
          <t>085244094848</t>
        </is>
      </c>
      <c r="D53" t="inlineStr">
        <is>
          <t>cvcahayaberkatgrime99@gmail.com</t>
        </is>
      </c>
      <c r="E53" t="inlineStr">
        <is>
          <t>https://lpjk.pu.go.id/search-badan-usaha-detail/VjJmSmgzb25jNnoyNGFjaFlZUW9Edz09</t>
        </is>
      </c>
      <c r="F53" t="n">
        <v>2</v>
      </c>
      <c r="G53" t="inlineStr">
        <is>
          <t>BG006</t>
        </is>
      </c>
      <c r="H53" t="inlineStr">
        <is>
          <t>25 Oktober 2018</t>
        </is>
      </c>
      <c r="I53" s="2" t="n">
        <v>46214</v>
      </c>
      <c r="J53" t="inlineStr">
        <is>
          <t>Disetujui</t>
        </is>
      </c>
      <c r="K53" t="n">
        <v>30</v>
      </c>
      <c r="L53" t="inlineStr">
        <is>
          <t>11 Juli 2026</t>
        </is>
      </c>
      <c r="M53" t="inlineStr">
        <is>
          <t>Konstruksi Gedung Pendidikan</t>
        </is>
      </c>
      <c r="N53" t="inlineStr">
        <is>
          <t>K</t>
        </is>
      </c>
      <c r="O53" t="inlineStr">
        <is>
          <t>20230706</t>
        </is>
      </c>
      <c r="P53" t="inlineStr">
        <is>
          <t>Papua</t>
        </is>
      </c>
      <c r="Q53" t="inlineStr"/>
    </row>
    <row r="54">
      <c r="A54" t="inlineStr">
        <is>
          <t>BERKAT MINERAL INDOJAYA</t>
        </is>
      </c>
      <c r="B54" t="inlineStr">
        <is>
          <t>Kota Banjarmasin</t>
        </is>
      </c>
      <c r="C54" t="inlineStr">
        <is>
          <t>05114220116</t>
        </is>
      </c>
      <c r="D54" t="inlineStr">
        <is>
          <t>ptberkatmineralindojaya@gmail.com</t>
        </is>
      </c>
      <c r="E54" t="inlineStr">
        <is>
          <t>https://lpjk.pu.go.id/search-badan-usaha-detail/STRkQitQL2hFc0pUQ1VXeDlTVjZQdz09</t>
        </is>
      </c>
      <c r="F54" t="n">
        <v>4</v>
      </c>
      <c r="G54" t="inlineStr">
        <is>
          <t>BS001, BS002</t>
        </is>
      </c>
      <c r="H54" t="inlineStr">
        <is>
          <t>7 Juni 2023</t>
        </is>
      </c>
      <c r="I54" s="2" t="n">
        <v>46214</v>
      </c>
      <c r="J54" t="inlineStr">
        <is>
          <t>Disetujui</t>
        </is>
      </c>
      <c r="K54" t="n">
        <v>30</v>
      </c>
      <c r="L54" t="inlineStr">
        <is>
          <t>11 Juli 2026</t>
        </is>
      </c>
      <c r="M54" t="inlineStr">
        <is>
          <t>Bangunan Sipil Jembatan, Jalan Layang, Fly Over, dan Underpass, Konstruksi Bangunan Sipil Jalan</t>
        </is>
      </c>
      <c r="N54" t="inlineStr">
        <is>
          <t>K</t>
        </is>
      </c>
      <c r="O54" t="inlineStr">
        <is>
          <t>20230707</t>
        </is>
      </c>
      <c r="P54" t="inlineStr">
        <is>
          <t>Kalimantan Selatan</t>
        </is>
      </c>
      <c r="Q54" t="inlineStr"/>
    </row>
    <row r="55">
      <c r="A55" t="inlineStr">
        <is>
          <t>BHUMI RAHAYU</t>
        </is>
      </c>
      <c r="B55" t="inlineStr">
        <is>
          <t>Kota Palangkaraya</t>
        </is>
      </c>
      <c r="C55" t="inlineStr">
        <is>
          <t>081258067097</t>
        </is>
      </c>
      <c r="D55" t="inlineStr">
        <is>
          <t>bhumirahayu@gmail.com</t>
        </is>
      </c>
      <c r="E55" t="inlineStr">
        <is>
          <t>https://lpjk.pu.go.id/search-badan-usaha-detail/QVJUS0R2TzJqMXB1SWYxZkNTWDZGQT09</t>
        </is>
      </c>
      <c r="F55" t="n">
        <v>4</v>
      </c>
      <c r="G55" t="inlineStr">
        <is>
          <t>BG002, BG005, BG006, BG009</t>
        </is>
      </c>
      <c r="H55" t="inlineStr">
        <is>
          <t>22 Maret 2022</t>
        </is>
      </c>
      <c r="I55" s="2" t="n">
        <v>46214</v>
      </c>
      <c r="J55" t="inlineStr">
        <is>
          <t>Disetujui</t>
        </is>
      </c>
      <c r="K55" t="n">
        <v>30</v>
      </c>
      <c r="L55" t="inlineStr">
        <is>
          <t>11 Juli 2026</t>
        </is>
      </c>
      <c r="M55" t="inlineStr">
        <is>
          <t>Konstruksi Gedung Kesehatan, Konstruksi Gedung Lainnya, Konstruksi Gedung Pendidikan, Konstruksi Gedung Perkantoran</t>
        </is>
      </c>
      <c r="N55" t="inlineStr">
        <is>
          <t>K</t>
        </is>
      </c>
      <c r="O55" t="inlineStr">
        <is>
          <t>20230701, 20230703, 20230705</t>
        </is>
      </c>
      <c r="P55" t="inlineStr">
        <is>
          <t>Kalimantan Tengah</t>
        </is>
      </c>
      <c r="Q55" t="inlineStr"/>
    </row>
    <row r="56">
      <c r="A56" t="inlineStr">
        <is>
          <t>BINA BERSAMA</t>
        </is>
      </c>
      <c r="B56" t="inlineStr">
        <is>
          <t>Kab. Ketapang</t>
        </is>
      </c>
      <c r="C56" t="inlineStr">
        <is>
          <t>081253779890</t>
        </is>
      </c>
      <c r="D56" t="inlineStr">
        <is>
          <t>cvbinarbersama@gmail.com</t>
        </is>
      </c>
      <c r="E56" t="inlineStr">
        <is>
          <t>https://lpjk.pu.go.id/search-badan-usaha-detail/U21NMU9CcitocXo4cmtUTHdUaFF5Zz09</t>
        </is>
      </c>
      <c r="F56" t="n">
        <v>1</v>
      </c>
      <c r="G56" t="inlineStr">
        <is>
          <t>BG001</t>
        </is>
      </c>
      <c r="H56" t="inlineStr">
        <is>
          <t>3 Mei 2018</t>
        </is>
      </c>
      <c r="I56" s="2" t="n">
        <v>46214</v>
      </c>
      <c r="J56" t="inlineStr">
        <is>
          <t>Disetujui</t>
        </is>
      </c>
      <c r="K56" t="n">
        <v>30</v>
      </c>
      <c r="L56" t="inlineStr">
        <is>
          <t>11 Juli 2026</t>
        </is>
      </c>
      <c r="M56" t="inlineStr">
        <is>
          <t>Konstruksi Gedung Hunian</t>
        </is>
      </c>
      <c r="N56" t="inlineStr">
        <is>
          <t>K</t>
        </is>
      </c>
      <c r="O56" t="inlineStr">
        <is>
          <t>20230701</t>
        </is>
      </c>
      <c r="P56" t="inlineStr">
        <is>
          <t>Kalimantan Barat</t>
        </is>
      </c>
      <c r="Q56" t="inlineStr"/>
    </row>
    <row r="57">
      <c r="A57" t="inlineStr">
        <is>
          <t>BINAWIRA SATYAMANDIRI</t>
        </is>
      </c>
      <c r="B57" t="inlineStr">
        <is>
          <t>Kab. Kubu Raya</t>
        </is>
      </c>
      <c r="C57" t="inlineStr">
        <is>
          <t>08125625566</t>
        </is>
      </c>
      <c r="D57" t="inlineStr">
        <is>
          <t>binawira@yahoo.co.id</t>
        </is>
      </c>
      <c r="E57" t="inlineStr">
        <is>
          <t>https://lpjk.pu.go.id/search-badan-usaha-detail/ckJVZ1J5ZXlQU2RIczdESlBSZERNdz09</t>
        </is>
      </c>
      <c r="F57" t="n">
        <v>1</v>
      </c>
      <c r="G57" t="inlineStr">
        <is>
          <t>BS001</t>
        </is>
      </c>
      <c r="H57" t="inlineStr">
        <is>
          <t>19 Oktober 1994</t>
        </is>
      </c>
      <c r="I57" s="2" t="n">
        <v>46214</v>
      </c>
      <c r="J57" t="inlineStr">
        <is>
          <t>Disetujui</t>
        </is>
      </c>
      <c r="K57" t="n">
        <v>30</v>
      </c>
      <c r="L57" t="inlineStr">
        <is>
          <t>11 Juli 2026</t>
        </is>
      </c>
      <c r="M57" t="inlineStr">
        <is>
          <t>Konstruksi Bangunan Sipil Jalan</t>
        </is>
      </c>
      <c r="N57" t="inlineStr">
        <is>
          <t>M</t>
        </is>
      </c>
      <c r="O57" t="inlineStr">
        <is>
          <t>20230315</t>
        </is>
      </c>
      <c r="P57" t="inlineStr">
        <is>
          <t>Kalimantan Barat</t>
        </is>
      </c>
      <c r="Q57" t="inlineStr"/>
    </row>
    <row r="58">
      <c r="A58" t="inlineStr">
        <is>
          <t>BINTANG MUDA KHATULISTIWA</t>
        </is>
      </c>
      <c r="B58" t="inlineStr">
        <is>
          <t>Kota Cimahi</t>
        </is>
      </c>
      <c r="C58" t="inlineStr">
        <is>
          <t>0226632176</t>
        </is>
      </c>
      <c r="D58" t="inlineStr">
        <is>
          <t>bintangmudakhatulistiwa@gmail.com</t>
        </is>
      </c>
      <c r="E58" t="inlineStr">
        <is>
          <t>https://lpjk.pu.go.id/search-badan-usaha-detail/L1VhSnFIR3pLMVVrUkkzNUl5YTJyUT09</t>
        </is>
      </c>
      <c r="F58" t="n">
        <v>2</v>
      </c>
      <c r="G58" t="inlineStr">
        <is>
          <t>BS001</t>
        </is>
      </c>
      <c r="H58" t="inlineStr">
        <is>
          <t>2 Juni 2022</t>
        </is>
      </c>
      <c r="I58" s="2" t="n">
        <v>46214</v>
      </c>
      <c r="J58" t="inlineStr">
        <is>
          <t>Disetujui</t>
        </is>
      </c>
      <c r="K58" t="n">
        <v>30</v>
      </c>
      <c r="L58" t="inlineStr">
        <is>
          <t>11 Juli 2026</t>
        </is>
      </c>
      <c r="M58" t="inlineStr">
        <is>
          <t>Konstruksi Bangunan Sipil Jalan</t>
        </is>
      </c>
      <c r="N58" t="inlineStr">
        <is>
          <t>K</t>
        </is>
      </c>
      <c r="O58" t="inlineStr">
        <is>
          <t>20230712</t>
        </is>
      </c>
      <c r="P58" t="inlineStr">
        <is>
          <t>Jawa Barat</t>
        </is>
      </c>
      <c r="Q58" t="inlineStr"/>
    </row>
    <row r="59">
      <c r="A59" t="inlineStr">
        <is>
          <t>BINTANG REVOLUSI</t>
        </is>
      </c>
      <c r="B59" t="inlineStr">
        <is>
          <t>Kab. Dompu</t>
        </is>
      </c>
      <c r="C59" t="inlineStr">
        <is>
          <t>085205281879</t>
        </is>
      </c>
      <c r="D59" t="inlineStr">
        <is>
          <t>ams.bintangrevolusi@gmail.com</t>
        </is>
      </c>
      <c r="E59" t="inlineStr">
        <is>
          <t>https://lpjk.pu.go.id/search-badan-usaha-detail/QnBWR1hGZklaY2JjeENzL1FJbGxFdz09</t>
        </is>
      </c>
      <c r="F59" t="n">
        <v>2</v>
      </c>
      <c r="G59" t="inlineStr">
        <is>
          <t>BS001</t>
        </is>
      </c>
      <c r="H59" t="inlineStr">
        <is>
          <t>10 November 2014</t>
        </is>
      </c>
      <c r="I59" s="2" t="n">
        <v>46214</v>
      </c>
      <c r="J59" t="inlineStr">
        <is>
          <t>Disetujui</t>
        </is>
      </c>
      <c r="K59" t="n">
        <v>30</v>
      </c>
      <c r="L59" t="inlineStr">
        <is>
          <t>11 Juli 2026</t>
        </is>
      </c>
      <c r="M59" t="inlineStr">
        <is>
          <t>Konstruksi Bangunan Sipil Jalan</t>
        </is>
      </c>
      <c r="N59" t="inlineStr">
        <is>
          <t>K</t>
        </is>
      </c>
      <c r="O59" t="inlineStr">
        <is>
          <t>20230711</t>
        </is>
      </c>
      <c r="P59" t="inlineStr">
        <is>
          <t>Nusa Tenggara Barat</t>
        </is>
      </c>
      <c r="Q59" t="inlineStr"/>
    </row>
    <row r="60">
      <c r="A60" t="inlineStr">
        <is>
          <t>BISMAKA MAHADANA JAYA</t>
        </is>
      </c>
      <c r="B60" t="inlineStr">
        <is>
          <t>Kota Surabaya</t>
        </is>
      </c>
      <c r="C60" t="inlineStr">
        <is>
          <t>0</t>
        </is>
      </c>
      <c r="D60" t="inlineStr">
        <is>
          <t>-</t>
        </is>
      </c>
      <c r="E60" t="inlineStr">
        <is>
          <t>https://lpjk.pu.go.id/search-badan-usaha-detail/MG5GMWJpQWpIdHNUeTFiRXp0cEtSUT09</t>
        </is>
      </c>
      <c r="F60" t="n">
        <v>2</v>
      </c>
      <c r="G60" t="inlineStr">
        <is>
          <t>BG006, BG009</t>
        </is>
      </c>
      <c r="H60" t="inlineStr">
        <is>
          <t>12 Juli 2013</t>
        </is>
      </c>
      <c r="I60" s="2" t="n">
        <v>46214</v>
      </c>
      <c r="J60" t="inlineStr">
        <is>
          <t>Pencabutan</t>
        </is>
      </c>
      <c r="K60" t="n">
        <v>30</v>
      </c>
      <c r="L60" t="inlineStr">
        <is>
          <t>11 Juli 2026</t>
        </is>
      </c>
      <c r="M60" t="inlineStr">
        <is>
          <t>Konstruksi Gedung Lainnya, Konstruksi Gedung Pendidikan</t>
        </is>
      </c>
      <c r="N60" t="inlineStr">
        <is>
          <t>K, M</t>
        </is>
      </c>
      <c r="O60" t="inlineStr">
        <is>
          <t>20230710</t>
        </is>
      </c>
      <c r="P60" t="inlineStr">
        <is>
          <t>Jawa Timur</t>
        </is>
      </c>
      <c r="Q60" t="inlineStr"/>
    </row>
    <row r="61">
      <c r="A61" t="inlineStr">
        <is>
          <t>CAHAYA EFATA</t>
        </is>
      </c>
      <c r="B61" t="inlineStr">
        <is>
          <t>Kab. Sintang</t>
        </is>
      </c>
      <c r="C61" t="inlineStr">
        <is>
          <t>081347755859</t>
        </is>
      </c>
      <c r="D61" t="inlineStr">
        <is>
          <t>cvcahayaefata@gmail.com</t>
        </is>
      </c>
      <c r="E61" t="inlineStr">
        <is>
          <t>https://lpjk.pu.go.id/search-badan-usaha-detail/b3BZYk00dm1kZ1FwN05FU1FVeXo0UT09</t>
        </is>
      </c>
      <c r="F61" t="n">
        <v>1</v>
      </c>
      <c r="G61" t="inlineStr">
        <is>
          <t>BS001</t>
        </is>
      </c>
      <c r="H61" t="inlineStr">
        <is>
          <t>12 Juni 2007</t>
        </is>
      </c>
      <c r="I61" s="2" t="n">
        <v>46214</v>
      </c>
      <c r="J61" t="inlineStr">
        <is>
          <t>Disetujui</t>
        </is>
      </c>
      <c r="K61" t="n">
        <v>30</v>
      </c>
      <c r="L61" t="inlineStr">
        <is>
          <t>11 Juli 2026</t>
        </is>
      </c>
      <c r="M61" t="inlineStr">
        <is>
          <t>Konstruksi Bangunan Sipil Jalan</t>
        </is>
      </c>
      <c r="N61" t="inlineStr">
        <is>
          <t>K</t>
        </is>
      </c>
      <c r="O61" t="inlineStr">
        <is>
          <t>20230621</t>
        </is>
      </c>
      <c r="P61" t="inlineStr">
        <is>
          <t>Kalimantan Barat</t>
        </is>
      </c>
      <c r="Q61" t="inlineStr"/>
    </row>
    <row r="62">
      <c r="A62" t="inlineStr">
        <is>
          <t>CAHAYA INDAH</t>
        </is>
      </c>
      <c r="B62" t="inlineStr">
        <is>
          <t>Kab. Landak</t>
        </is>
      </c>
      <c r="C62" t="inlineStr">
        <is>
          <t>081256542242</t>
        </is>
      </c>
      <c r="D62" t="inlineStr">
        <is>
          <t>cv.cahayaindahkapendi@gmail.com</t>
        </is>
      </c>
      <c r="E62" t="inlineStr">
        <is>
          <t>https://lpjk.pu.go.id/search-badan-usaha-detail/OTdNVVZXTkxBR1F1T1ZkSjVZSU9DZz09</t>
        </is>
      </c>
      <c r="F62" t="n">
        <v>2</v>
      </c>
      <c r="G62" t="inlineStr">
        <is>
          <t>BG005, BG006</t>
        </is>
      </c>
      <c r="H62" t="inlineStr">
        <is>
          <t>4 September 1992</t>
        </is>
      </c>
      <c r="I62" s="2" t="n">
        <v>46214</v>
      </c>
      <c r="J62" t="inlineStr">
        <is>
          <t>Pencabutan</t>
        </is>
      </c>
      <c r="K62" t="n">
        <v>30</v>
      </c>
      <c r="L62" t="inlineStr">
        <is>
          <t>11 Juli 2026</t>
        </is>
      </c>
      <c r="M62" t="inlineStr">
        <is>
          <t>Konstruksi Gedung Kesehatan, Konstruksi Gedung Pendidikan</t>
        </is>
      </c>
      <c r="N62" t="inlineStr">
        <is>
          <t>K</t>
        </is>
      </c>
      <c r="O62" t="inlineStr">
        <is>
          <t>20230711</t>
        </is>
      </c>
      <c r="P62" t="inlineStr">
        <is>
          <t>Kalimantan Barat</t>
        </is>
      </c>
      <c r="Q62" t="inlineStr"/>
    </row>
    <row r="63">
      <c r="A63" t="inlineStr">
        <is>
          <t>CAHAYA KALUMPANG</t>
        </is>
      </c>
      <c r="B63" t="inlineStr">
        <is>
          <t>Kota Makassar</t>
        </is>
      </c>
      <c r="C63" t="inlineStr">
        <is>
          <t>085299482816</t>
        </is>
      </c>
      <c r="D63" t="inlineStr">
        <is>
          <t>harun.anwar@hotmail.com</t>
        </is>
      </c>
      <c r="E63" t="inlineStr">
        <is>
          <t>https://lpjk.pu.go.id/search-badan-usaha-detail/VjZGd1pNVGtFY1hTNEZ2Y2d6REtEZz09</t>
        </is>
      </c>
      <c r="F63" t="n">
        <v>1</v>
      </c>
      <c r="G63" t="inlineStr">
        <is>
          <t>BG009</t>
        </is>
      </c>
      <c r="H63" t="inlineStr">
        <is>
          <t>19 November 2018</t>
        </is>
      </c>
      <c r="I63" s="2" t="n">
        <v>46214</v>
      </c>
      <c r="J63" t="inlineStr">
        <is>
          <t>Disetujui</t>
        </is>
      </c>
      <c r="K63" t="n">
        <v>30</v>
      </c>
      <c r="L63" t="inlineStr">
        <is>
          <t>11 Juli 2026</t>
        </is>
      </c>
      <c r="M63" t="inlineStr">
        <is>
          <t>Konstruksi Gedung Lainnya</t>
        </is>
      </c>
      <c r="N63" t="inlineStr">
        <is>
          <t>K</t>
        </is>
      </c>
      <c r="O63" t="inlineStr">
        <is>
          <t>20230711</t>
        </is>
      </c>
      <c r="P63" t="inlineStr">
        <is>
          <t>Sulawesi Selatan</t>
        </is>
      </c>
      <c r="Q63" t="inlineStr"/>
    </row>
    <row r="64">
      <c r="A64" t="inlineStr">
        <is>
          <t>CAHAYA MAKMUR CEMERLANG</t>
        </is>
      </c>
      <c r="B64" t="inlineStr">
        <is>
          <t>Kota Pagar Alam</t>
        </is>
      </c>
      <c r="C64" t="inlineStr">
        <is>
          <t>082177851250</t>
        </is>
      </c>
      <c r="D64" t="inlineStr">
        <is>
          <t>cv.cmcpagaralam@gmail.com</t>
        </is>
      </c>
      <c r="E64" t="inlineStr">
        <is>
          <t>https://lpjk.pu.go.id/search-badan-usaha-detail/S3g3M0NLNGk2Z1d6MnZ0ZjVMOU8zdz09</t>
        </is>
      </c>
      <c r="F64" t="n">
        <v>2</v>
      </c>
      <c r="G64" t="inlineStr">
        <is>
          <t>BG002, BG004</t>
        </is>
      </c>
      <c r="H64" t="inlineStr">
        <is>
          <t>25 Februari 2003</t>
        </is>
      </c>
      <c r="I64" s="2" t="n">
        <v>46214</v>
      </c>
      <c r="J64" t="inlineStr">
        <is>
          <t>Disetujui</t>
        </is>
      </c>
      <c r="K64" t="n">
        <v>30</v>
      </c>
      <c r="L64" t="inlineStr">
        <is>
          <t>11 Juli 2026</t>
        </is>
      </c>
      <c r="M64" t="inlineStr">
        <is>
          <t>Konstruksi Gedung Perbelanjaan, Konstruksi Gedung Perkantoran</t>
        </is>
      </c>
      <c r="N64" t="inlineStr">
        <is>
          <t>K</t>
        </is>
      </c>
      <c r="O64" t="inlineStr">
        <is>
          <t>20230706</t>
        </is>
      </c>
      <c r="P64" t="inlineStr">
        <is>
          <t>Sumatera Selatan</t>
        </is>
      </c>
      <c r="Q64" t="inlineStr"/>
    </row>
    <row r="65">
      <c r="A65" t="inlineStr">
        <is>
          <t>CAHAYA MANDIRI</t>
        </is>
      </c>
      <c r="B65" t="inlineStr">
        <is>
          <t>Kab. Kubu Raya</t>
        </is>
      </c>
      <c r="C65" t="inlineStr">
        <is>
          <t>081256701735</t>
        </is>
      </c>
      <c r="D65" t="inlineStr">
        <is>
          <t>cvcahayamandiri124@yahoo.com</t>
        </is>
      </c>
      <c r="E65" t="inlineStr">
        <is>
          <t>https://lpjk.pu.go.id/search-badan-usaha-detail/YVlwZUc3RzVqdzYva2VoZzJ0WXJ0QT09</t>
        </is>
      </c>
      <c r="F65" t="n">
        <v>4</v>
      </c>
      <c r="G65" t="inlineStr">
        <is>
          <t>BG001, BG002, BG003, BG004</t>
        </is>
      </c>
      <c r="H65" t="inlineStr">
        <is>
          <t>27 Desember 2013</t>
        </is>
      </c>
      <c r="I65" s="2" t="n">
        <v>46214</v>
      </c>
      <c r="J65" t="inlineStr">
        <is>
          <t>Disetujui</t>
        </is>
      </c>
      <c r="K65" t="n">
        <v>30</v>
      </c>
      <c r="L65" t="inlineStr">
        <is>
          <t>11 Juli 2026</t>
        </is>
      </c>
      <c r="M65" t="inlineStr">
        <is>
          <t>Konstruksi Gedung Hunian, Konstruksi Gedung Industri, Konstruksi Gedung Perbelanjaan, Konstruksi Gedung Perkantoran</t>
        </is>
      </c>
      <c r="N65" t="inlineStr">
        <is>
          <t>K</t>
        </is>
      </c>
      <c r="O65" t="inlineStr">
        <is>
          <t>20230711</t>
        </is>
      </c>
      <c r="P65" t="inlineStr">
        <is>
          <t>Kalimantan Barat</t>
        </is>
      </c>
      <c r="Q65" t="inlineStr"/>
    </row>
    <row r="66">
      <c r="A66" t="inlineStr">
        <is>
          <t>CAHAYA PERKASA</t>
        </is>
      </c>
      <c r="B66" t="inlineStr">
        <is>
          <t>Kab. Cirebon</t>
        </is>
      </c>
      <c r="C66" t="inlineStr">
        <is>
          <t>081293730528</t>
        </is>
      </c>
      <c r="D66" t="inlineStr">
        <is>
          <t>yogi.yuantekhi@gmail.com</t>
        </is>
      </c>
      <c r="E66" t="inlineStr">
        <is>
          <t>https://lpjk.pu.go.id/search-badan-usaha-detail/aTF0Y21uaDQ4aVZWMU5WZG84Vklndz09</t>
        </is>
      </c>
      <c r="F66" t="n">
        <v>2</v>
      </c>
      <c r="G66" t="inlineStr">
        <is>
          <t>BG004, BG006</t>
        </is>
      </c>
      <c r="H66" t="inlineStr">
        <is>
          <t>3 Februari 2015</t>
        </is>
      </c>
      <c r="I66" s="2" t="n">
        <v>46214</v>
      </c>
      <c r="J66" t="inlineStr">
        <is>
          <t>Pencabutan</t>
        </is>
      </c>
      <c r="K66" t="n">
        <v>30</v>
      </c>
      <c r="L66" t="inlineStr">
        <is>
          <t>11 Juli 2026</t>
        </is>
      </c>
      <c r="M66" t="inlineStr">
        <is>
          <t>Konstruksi Gedung Pendidikan, Konstruksi Gedung Perbelanjaan</t>
        </is>
      </c>
      <c r="N66" t="inlineStr">
        <is>
          <t>K</t>
        </is>
      </c>
      <c r="O66" t="inlineStr">
        <is>
          <t>20230710, 20230711</t>
        </is>
      </c>
      <c r="P66" t="inlineStr">
        <is>
          <t>Jawa Barat</t>
        </is>
      </c>
      <c r="Q66" t="inlineStr"/>
    </row>
    <row r="67">
      <c r="A67" t="inlineStr">
        <is>
          <t>CAHAYA RAHMAT</t>
        </is>
      </c>
      <c r="B67" t="inlineStr">
        <is>
          <t>Kota Kupang</t>
        </is>
      </c>
      <c r="C67" t="inlineStr">
        <is>
          <t>082144225396</t>
        </is>
      </c>
      <c r="D67" t="inlineStr">
        <is>
          <t>cahayarahmat68@gmail.com</t>
        </is>
      </c>
      <c r="E67" t="inlineStr">
        <is>
          <t>https://lpjk.pu.go.id/search-badan-usaha-detail/Rjl3YWdoMkN4K3FXWEZVd2UyL3VjUT09</t>
        </is>
      </c>
      <c r="F67" t="n">
        <v>1</v>
      </c>
      <c r="G67" t="inlineStr">
        <is>
          <t>BG006</t>
        </is>
      </c>
      <c r="H67" t="inlineStr">
        <is>
          <t>9 Januari 2007</t>
        </is>
      </c>
      <c r="I67" s="2" t="n">
        <v>46214</v>
      </c>
      <c r="J67" t="inlineStr">
        <is>
          <t>Disetujui</t>
        </is>
      </c>
      <c r="K67" t="n">
        <v>30</v>
      </c>
      <c r="L67" t="inlineStr">
        <is>
          <t>11 Juli 2026</t>
        </is>
      </c>
      <c r="M67" t="inlineStr">
        <is>
          <t>Konstruksi Gedung Pendidikan</t>
        </is>
      </c>
      <c r="N67" t="inlineStr">
        <is>
          <t>K</t>
        </is>
      </c>
      <c r="O67" t="inlineStr">
        <is>
          <t>20230712</t>
        </is>
      </c>
      <c r="P67" t="inlineStr">
        <is>
          <t>Nusa Tenggara Timur</t>
        </is>
      </c>
      <c r="Q67" t="inlineStr"/>
    </row>
    <row r="68">
      <c r="A68" t="inlineStr">
        <is>
          <t>CAHAYA TUNAS BARU</t>
        </is>
      </c>
      <c r="B68" t="inlineStr">
        <is>
          <t>Kab. Sanggau</t>
        </is>
      </c>
      <c r="C68" t="inlineStr">
        <is>
          <t>082155771004</t>
        </is>
      </c>
      <c r="D68" t="inlineStr">
        <is>
          <t>cahayatunasbarucv@gmail.com</t>
        </is>
      </c>
      <c r="E68" t="inlineStr">
        <is>
          <t>https://lpjk.pu.go.id/search-badan-usaha-detail/b016Sk0xZlc3Z0FndGw0bzNoMER0UT09</t>
        </is>
      </c>
      <c r="F68" t="n">
        <v>1</v>
      </c>
      <c r="G68" t="inlineStr">
        <is>
          <t>BS001</t>
        </is>
      </c>
      <c r="H68" t="inlineStr">
        <is>
          <t>22 Juni 2012</t>
        </is>
      </c>
      <c r="I68" s="2" t="n">
        <v>46214</v>
      </c>
      <c r="J68" t="inlineStr">
        <is>
          <t>Disetujui</t>
        </is>
      </c>
      <c r="K68" t="n">
        <v>30</v>
      </c>
      <c r="L68" t="inlineStr">
        <is>
          <t>11 Juli 2026</t>
        </is>
      </c>
      <c r="M68" t="inlineStr">
        <is>
          <t>Konstruksi Bangunan Sipil Jalan</t>
        </is>
      </c>
      <c r="N68" t="inlineStr">
        <is>
          <t>K</t>
        </is>
      </c>
      <c r="O68" t="inlineStr">
        <is>
          <t>20230704</t>
        </is>
      </c>
      <c r="P68" t="inlineStr">
        <is>
          <t>Kalimantan Barat</t>
        </is>
      </c>
      <c r="Q68" t="inlineStr"/>
    </row>
    <row r="69">
      <c r="A69" t="inlineStr">
        <is>
          <t>CAKRAWALA KUTAI TIMUR</t>
        </is>
      </c>
      <c r="B69" t="inlineStr">
        <is>
          <t>Kab. Kutai Timur</t>
        </is>
      </c>
      <c r="C69" t="inlineStr">
        <is>
          <t>081350006187</t>
        </is>
      </c>
      <c r="D69" t="inlineStr">
        <is>
          <t>cakrawalakutaitimur.cv@gmail.com</t>
        </is>
      </c>
      <c r="E69" t="inlineStr">
        <is>
          <t>https://lpjk.pu.go.id/search-badan-usaha-detail/UWx4UTdGM0NFWEdoS3RkTjdhZmVadz09</t>
        </is>
      </c>
      <c r="F69" t="n">
        <v>1</v>
      </c>
      <c r="G69" t="inlineStr">
        <is>
          <t>BS001</t>
        </is>
      </c>
      <c r="H69" t="inlineStr">
        <is>
          <t>6 Desember 2000</t>
        </is>
      </c>
      <c r="I69" s="2" t="n">
        <v>46214</v>
      </c>
      <c r="J69" t="inlineStr">
        <is>
          <t>Pencabutan</t>
        </is>
      </c>
      <c r="K69" t="n">
        <v>30</v>
      </c>
      <c r="L69" t="inlineStr">
        <is>
          <t>11 Juli 2026</t>
        </is>
      </c>
      <c r="M69" t="inlineStr">
        <is>
          <t>Konstruksi Bangunan Sipil Jalan</t>
        </is>
      </c>
      <c r="N69" t="inlineStr">
        <is>
          <t>K</t>
        </is>
      </c>
      <c r="O69" t="inlineStr">
        <is>
          <t>20230707</t>
        </is>
      </c>
      <c r="P69" t="inlineStr">
        <is>
          <t>Kalimantan Timur</t>
        </is>
      </c>
      <c r="Q69" t="inlineStr"/>
    </row>
    <row r="70">
      <c r="A70" t="inlineStr">
        <is>
          <t>CANDRA KARYA TAMA</t>
        </is>
      </c>
      <c r="B70" t="inlineStr">
        <is>
          <t>Kab. Probolinggo</t>
        </is>
      </c>
      <c r="C70" t="inlineStr">
        <is>
          <t>085231315692</t>
        </is>
      </c>
      <c r="D70" t="inlineStr">
        <is>
          <t>candrakaryatama@gmail.com</t>
        </is>
      </c>
      <c r="E70" t="inlineStr">
        <is>
          <t>https://lpjk.pu.go.id/search-badan-usaha-detail/WlVKd3duam9lenc1OTJxRGd0V21ZZz09</t>
        </is>
      </c>
      <c r="F70" t="n">
        <v>1</v>
      </c>
      <c r="G70" t="inlineStr">
        <is>
          <t>BS002</t>
        </is>
      </c>
      <c r="H70" t="inlineStr">
        <is>
          <t>22 September 2021</t>
        </is>
      </c>
      <c r="I70" s="2" t="n">
        <v>46214</v>
      </c>
      <c r="J70" t="inlineStr">
        <is>
          <t>Pencabutan</t>
        </is>
      </c>
      <c r="K70" t="n">
        <v>30</v>
      </c>
      <c r="L70" t="inlineStr">
        <is>
          <t>11 Juli 2026</t>
        </is>
      </c>
      <c r="M70" t="inlineStr">
        <is>
          <t>Bangunan Sipil Jembatan, Jalan Layang, Fly Over, dan Underpass</t>
        </is>
      </c>
      <c r="N70" t="inlineStr">
        <is>
          <t>K</t>
        </is>
      </c>
      <c r="O70" t="inlineStr">
        <is>
          <t>20230707</t>
        </is>
      </c>
      <c r="P70" t="inlineStr">
        <is>
          <t>Jawa Timur</t>
        </is>
      </c>
      <c r="Q70" t="inlineStr"/>
    </row>
    <row r="71">
      <c r="A71" t="inlineStr">
        <is>
          <t>CIPTA MULYA JAYA</t>
        </is>
      </c>
      <c r="B71" t="inlineStr">
        <is>
          <t>Kab. Blora</t>
        </is>
      </c>
      <c r="C71" t="inlineStr">
        <is>
          <t>082221923885</t>
        </is>
      </c>
      <c r="D71" t="inlineStr">
        <is>
          <t>ciptamulyajaya@gmail.com</t>
        </is>
      </c>
      <c r="E71" t="inlineStr">
        <is>
          <t>https://lpjk.pu.go.id/search-badan-usaha-detail/Qys3WHlPemxEODUwWTU1d25KUEZOUT09</t>
        </is>
      </c>
      <c r="F71" t="n">
        <v>2</v>
      </c>
      <c r="G71" t="inlineStr">
        <is>
          <t>BG002, BG006</t>
        </is>
      </c>
      <c r="H71" t="inlineStr">
        <is>
          <t>24 Juni 2003</t>
        </is>
      </c>
      <c r="I71" s="2" t="n">
        <v>46214</v>
      </c>
      <c r="J71" t="inlineStr">
        <is>
          <t>Disetujui, Validasi</t>
        </is>
      </c>
      <c r="K71" t="n">
        <v>30</v>
      </c>
      <c r="L71" t="inlineStr">
        <is>
          <t>11 Juli 2026</t>
        </is>
      </c>
      <c r="M71" t="inlineStr">
        <is>
          <t>Konstruksi Gedung Pendidikan, Konstruksi Gedung Perkantoran</t>
        </is>
      </c>
      <c r="N71" t="inlineStr">
        <is>
          <t>K</t>
        </is>
      </c>
      <c r="O71" t="inlineStr">
        <is>
          <t>20230710</t>
        </is>
      </c>
      <c r="P71" t="inlineStr">
        <is>
          <t>Jawa Tengah</t>
        </is>
      </c>
      <c r="Q71" t="inlineStr"/>
    </row>
    <row r="72">
      <c r="A72" t="inlineStr">
        <is>
          <t>CIPTA SEKAWAN</t>
        </is>
      </c>
      <c r="B72" t="inlineStr">
        <is>
          <t>Kota Makassar</t>
        </is>
      </c>
      <c r="C72" t="inlineStr">
        <is>
          <t>081239884848</t>
        </is>
      </c>
      <c r="D72" t="inlineStr">
        <is>
          <t>cipta.sekawan805@gmail.com</t>
        </is>
      </c>
      <c r="E72" t="inlineStr">
        <is>
          <t>https://lpjk.pu.go.id/search-badan-usaha-detail/VktIQzNhaW05R21nNVFCcDAvV2Nkdz09</t>
        </is>
      </c>
      <c r="F72" t="n">
        <v>1</v>
      </c>
      <c r="G72" t="inlineStr">
        <is>
          <t>BG001</t>
        </is>
      </c>
      <c r="H72" t="inlineStr">
        <is>
          <t>29 Oktober 2021</t>
        </is>
      </c>
      <c r="I72" s="2" t="n">
        <v>46214</v>
      </c>
      <c r="J72" t="inlineStr">
        <is>
          <t>Pencabutan</t>
        </is>
      </c>
      <c r="K72" t="n">
        <v>30</v>
      </c>
      <c r="L72" t="inlineStr">
        <is>
          <t>11 Juli 2026</t>
        </is>
      </c>
      <c r="M72" t="inlineStr">
        <is>
          <t>Konstruksi Gedung Hunian</t>
        </is>
      </c>
      <c r="N72" t="inlineStr">
        <is>
          <t>K</t>
        </is>
      </c>
      <c r="O72" t="inlineStr">
        <is>
          <t>20230711</t>
        </is>
      </c>
      <c r="P72" t="inlineStr">
        <is>
          <t>Sulawesi Selatan</t>
        </is>
      </c>
      <c r="Q72" t="inlineStr"/>
    </row>
    <row r="73">
      <c r="A73" t="inlineStr">
        <is>
          <t>CITRA MAHARDANA KONSTRUKSI</t>
        </is>
      </c>
      <c r="B73" t="inlineStr">
        <is>
          <t>Kab. Pacitan</t>
        </is>
      </c>
      <c r="C73" t="inlineStr">
        <is>
          <t>085335140933</t>
        </is>
      </c>
      <c r="D73" t="inlineStr">
        <is>
          <t>citramahardanakonstruksicv@gmail.com</t>
        </is>
      </c>
      <c r="E73" t="inlineStr">
        <is>
          <t>https://lpjk.pu.go.id/search-badan-usaha-detail/bnpTY3lMc1c0cjMzdTgwdXFRTXFIUT09</t>
        </is>
      </c>
      <c r="F73" t="n">
        <v>1</v>
      </c>
      <c r="G73" t="inlineStr">
        <is>
          <t>BG009</t>
        </is>
      </c>
      <c r="H73" t="inlineStr">
        <is>
          <t>19 Juli 2006</t>
        </is>
      </c>
      <c r="I73" s="2" t="n">
        <v>46214</v>
      </c>
      <c r="J73" t="inlineStr">
        <is>
          <t>Disetujui</t>
        </is>
      </c>
      <c r="K73" t="n">
        <v>30</v>
      </c>
      <c r="L73" t="inlineStr">
        <is>
          <t>11 Juli 2026</t>
        </is>
      </c>
      <c r="M73" t="inlineStr">
        <is>
          <t>Konstruksi Gedung Lainnya</t>
        </is>
      </c>
      <c r="N73" t="inlineStr">
        <is>
          <t>K</t>
        </is>
      </c>
      <c r="O73" t="inlineStr">
        <is>
          <t>20230712</t>
        </is>
      </c>
      <c r="P73" t="inlineStr">
        <is>
          <t>Jawa Timur</t>
        </is>
      </c>
      <c r="Q73" t="inlineStr"/>
    </row>
    <row r="74">
      <c r="A74" t="inlineStr">
        <is>
          <t>DAFFA PINOTA</t>
        </is>
      </c>
      <c r="B74" t="inlineStr">
        <is>
          <t>Kab. Seluma</t>
        </is>
      </c>
      <c r="C74" t="inlineStr">
        <is>
          <t>081271322526</t>
        </is>
      </c>
      <c r="D74" t="inlineStr">
        <is>
          <t>pinotagroup@gmail.com</t>
        </is>
      </c>
      <c r="E74" t="inlineStr">
        <is>
          <t>https://lpjk.pu.go.id/search-badan-usaha-detail/RGsxdVJKMk5HNU1WcDkyaWs1dTBOQT09</t>
        </is>
      </c>
      <c r="F74" t="n">
        <v>2</v>
      </c>
      <c r="G74" t="inlineStr">
        <is>
          <t>BS002</t>
        </is>
      </c>
      <c r="H74" t="inlineStr">
        <is>
          <t>4 Januari 2016</t>
        </is>
      </c>
      <c r="I74" s="2" t="n">
        <v>46214</v>
      </c>
      <c r="J74" t="inlineStr">
        <is>
          <t>Disetujui</t>
        </is>
      </c>
      <c r="K74" t="n">
        <v>30</v>
      </c>
      <c r="L74" t="inlineStr">
        <is>
          <t>11 Juli 2026</t>
        </is>
      </c>
      <c r="M74" t="inlineStr">
        <is>
          <t>Bangunan Sipil Jembatan, Jalan Layang, Fly Over, dan Underpass</t>
        </is>
      </c>
      <c r="N74" t="inlineStr">
        <is>
          <t>K</t>
        </is>
      </c>
      <c r="O74" t="inlineStr">
        <is>
          <t>20230708</t>
        </is>
      </c>
      <c r="P74" t="inlineStr">
        <is>
          <t>Bengkulu</t>
        </is>
      </c>
      <c r="Q74" t="inlineStr"/>
    </row>
    <row r="75">
      <c r="A75" t="inlineStr">
        <is>
          <t>DARMA JASA</t>
        </is>
      </c>
      <c r="B75" t="inlineStr">
        <is>
          <t>Kab. Sukabumi</t>
        </is>
      </c>
      <c r="C75" t="inlineStr">
        <is>
          <t>081310414218</t>
        </is>
      </c>
      <c r="D75" t="inlineStr">
        <is>
          <t>cvdarmajasa1970@yahoo.com</t>
        </is>
      </c>
      <c r="E75" t="inlineStr">
        <is>
          <t>https://lpjk.pu.go.id/search-badan-usaha-detail/cWRvdzVKSm5FQWdCcEJ2dkdpdFlqUT09</t>
        </is>
      </c>
      <c r="F75" t="n">
        <v>1</v>
      </c>
      <c r="G75" t="inlineStr">
        <is>
          <t>BG006</t>
        </is>
      </c>
      <c r="H75" t="inlineStr">
        <is>
          <t>30 Oktober 2008</t>
        </is>
      </c>
      <c r="I75" s="2" t="n">
        <v>46214</v>
      </c>
      <c r="J75" t="inlineStr">
        <is>
          <t>Disetujui</t>
        </is>
      </c>
      <c r="K75" t="n">
        <v>30</v>
      </c>
      <c r="L75" t="inlineStr">
        <is>
          <t>11 Juli 2026</t>
        </is>
      </c>
      <c r="M75" t="inlineStr">
        <is>
          <t>Konstruksi Gedung Pendidikan</t>
        </is>
      </c>
      <c r="N75" t="inlineStr">
        <is>
          <t>K</t>
        </is>
      </c>
      <c r="O75" t="inlineStr">
        <is>
          <t>20230704</t>
        </is>
      </c>
      <c r="P75" t="inlineStr">
        <is>
          <t>Jawa Barat</t>
        </is>
      </c>
      <c r="Q75" t="inlineStr"/>
    </row>
    <row r="76">
      <c r="A76" t="inlineStr">
        <is>
          <t>DAVINA AKBAR JAYA</t>
        </is>
      </c>
      <c r="B76" t="inlineStr">
        <is>
          <t>Kab. Karawang</t>
        </is>
      </c>
      <c r="C76" t="inlineStr">
        <is>
          <t>082111813193</t>
        </is>
      </c>
      <c r="D76" t="inlineStr">
        <is>
          <t>cvdavinaputrajaya@gmail.com</t>
        </is>
      </c>
      <c r="E76" t="inlineStr">
        <is>
          <t>https://lpjk.pu.go.id/search-badan-usaha-detail/RGRicGdTd21yVmkzSkJNZ29TaHRxUT09</t>
        </is>
      </c>
      <c r="F76" t="n">
        <v>4</v>
      </c>
      <c r="G76" t="inlineStr">
        <is>
          <t>BG009, BS001</t>
        </is>
      </c>
      <c r="H76" t="inlineStr">
        <is>
          <t>27 Februari 2023</t>
        </is>
      </c>
      <c r="I76" s="2" t="n">
        <v>46214</v>
      </c>
      <c r="J76" t="inlineStr">
        <is>
          <t>Disetujui</t>
        </is>
      </c>
      <c r="K76" t="n">
        <v>30</v>
      </c>
      <c r="L76" t="inlineStr">
        <is>
          <t>11 Juli 2026</t>
        </is>
      </c>
      <c r="M76" t="inlineStr">
        <is>
          <t>Konstruksi Bangunan Sipil Jalan, Konstruksi Gedung Lainnya</t>
        </is>
      </c>
      <c r="N76" t="inlineStr">
        <is>
          <t>K</t>
        </is>
      </c>
      <c r="O76" t="inlineStr">
        <is>
          <t>20230711</t>
        </is>
      </c>
      <c r="P76" t="inlineStr">
        <is>
          <t>Jawa Barat</t>
        </is>
      </c>
      <c r="Q76" t="inlineStr"/>
    </row>
    <row r="77">
      <c r="A77" t="inlineStr">
        <is>
          <t>DAYA ABADI</t>
        </is>
      </c>
      <c r="B77" t="inlineStr">
        <is>
          <t>Kab. Subang</t>
        </is>
      </c>
      <c r="C77" t="inlineStr">
        <is>
          <t>085294596836</t>
        </is>
      </c>
      <c r="D77" t="inlineStr">
        <is>
          <t>cvdayaa@yahoo.com</t>
        </is>
      </c>
      <c r="E77" t="inlineStr">
        <is>
          <t>https://lpjk.pu.go.id/search-badan-usaha-detail/bVFsY1p2L2p5YXZheDRnSkxCUENjUT09</t>
        </is>
      </c>
      <c r="F77" t="n">
        <v>1</v>
      </c>
      <c r="G77" t="inlineStr">
        <is>
          <t>BS004</t>
        </is>
      </c>
      <c r="H77" t="inlineStr">
        <is>
          <t>24 November 1993</t>
        </is>
      </c>
      <c r="I77" s="2" t="n">
        <v>46214</v>
      </c>
      <c r="J77" t="inlineStr">
        <is>
          <t>Disetujui</t>
        </is>
      </c>
      <c r="K77" t="n">
        <v>30</v>
      </c>
      <c r="L77" t="inlineStr">
        <is>
          <t>11 Juli 2026</t>
        </is>
      </c>
      <c r="M77" t="inlineStr">
        <is>
          <t>Konstruksi Jaringan Irigasi dan Drainase</t>
        </is>
      </c>
      <c r="N77" t="inlineStr">
        <is>
          <t>K</t>
        </is>
      </c>
      <c r="O77" t="inlineStr">
        <is>
          <t>20230710</t>
        </is>
      </c>
      <c r="P77" t="inlineStr">
        <is>
          <t>Jawa Barat</t>
        </is>
      </c>
      <c r="Q77" t="inlineStr"/>
    </row>
    <row r="78">
      <c r="A78" t="inlineStr">
        <is>
          <t>DAYA BANGUN PAPUA</t>
        </is>
      </c>
      <c r="B78" t="inlineStr">
        <is>
          <t>Kab. Sarmi</t>
        </is>
      </c>
      <c r="C78" t="inlineStr">
        <is>
          <t>082190960301</t>
        </is>
      </c>
      <c r="D78" t="inlineStr">
        <is>
          <t>cvdayabangunpapua@gmail.com</t>
        </is>
      </c>
      <c r="E78" t="inlineStr">
        <is>
          <t>https://lpjk.pu.go.id/search-badan-usaha-detail/NlJVWUpMeURESTVGMEdqWjA0V2VxQT09</t>
        </is>
      </c>
      <c r="F78" t="n">
        <v>1</v>
      </c>
      <c r="G78" t="inlineStr">
        <is>
          <t>BG006</t>
        </is>
      </c>
      <c r="H78" t="inlineStr">
        <is>
          <t>31 Agustus 2022</t>
        </is>
      </c>
      <c r="I78" s="2" t="n">
        <v>46214</v>
      </c>
      <c r="J78" t="inlineStr">
        <is>
          <t>Disetujui</t>
        </is>
      </c>
      <c r="K78" t="n">
        <v>30</v>
      </c>
      <c r="L78" t="inlineStr">
        <is>
          <t>11 Juli 2026</t>
        </is>
      </c>
      <c r="M78" t="inlineStr">
        <is>
          <t>Konstruksi Gedung Pendidikan</t>
        </is>
      </c>
      <c r="N78" t="inlineStr">
        <is>
          <t>K</t>
        </is>
      </c>
      <c r="O78" t="inlineStr">
        <is>
          <t>20230711</t>
        </is>
      </c>
      <c r="P78" t="inlineStr">
        <is>
          <t>Papua</t>
        </is>
      </c>
      <c r="Q78" t="inlineStr"/>
    </row>
    <row r="79">
      <c r="A79" t="inlineStr">
        <is>
          <t>DIAMOND MANDIRI</t>
        </is>
      </c>
      <c r="B79" t="inlineStr">
        <is>
          <t>Kota Kupang</t>
        </is>
      </c>
      <c r="C79" t="inlineStr">
        <is>
          <t>0</t>
        </is>
      </c>
      <c r="D79" t="inlineStr">
        <is>
          <t>cvd14mond@gmail.com</t>
        </is>
      </c>
      <c r="E79" t="inlineStr">
        <is>
          <t>https://lpjk.pu.go.id/search-badan-usaha-detail/ekRNN3p3S1V4N255REVHekpRaGdZQT09</t>
        </is>
      </c>
      <c r="F79" t="n">
        <v>4</v>
      </c>
      <c r="G79" t="inlineStr">
        <is>
          <t>BG001, BG004, BG005, BG006</t>
        </is>
      </c>
      <c r="H79" t="inlineStr">
        <is>
          <t>3 September 2018</t>
        </is>
      </c>
      <c r="I79" s="2" t="n">
        <v>46214</v>
      </c>
      <c r="J79" t="inlineStr">
        <is>
          <t>Disetujui</t>
        </is>
      </c>
      <c r="K79" t="n">
        <v>30</v>
      </c>
      <c r="L79" t="inlineStr">
        <is>
          <t>11 Juli 2026</t>
        </is>
      </c>
      <c r="M79" t="inlineStr">
        <is>
          <t>Konstruksi Gedung Hunian, Konstruksi Gedung Kesehatan, Konstruksi Gedung Pendidikan, Konstruksi Gedung Perbelanjaan</t>
        </is>
      </c>
      <c r="N79" t="inlineStr">
        <is>
          <t>K</t>
        </is>
      </c>
      <c r="O79" t="inlineStr">
        <is>
          <t>20230708, 20230711</t>
        </is>
      </c>
      <c r="P79" t="inlineStr">
        <is>
          <t>Nusa Tenggara Timur</t>
        </is>
      </c>
      <c r="Q79" t="inlineStr"/>
    </row>
    <row r="80">
      <c r="A80" t="inlineStr">
        <is>
          <t>DINA KARYA KONSULTANT</t>
        </is>
      </c>
      <c r="B80" t="inlineStr">
        <is>
          <t>Kab. Aceh Besar</t>
        </is>
      </c>
      <c r="C80" t="inlineStr">
        <is>
          <t>082367360130</t>
        </is>
      </c>
      <c r="D80" t="inlineStr">
        <is>
          <t>dinamandiriconsultant@gmail.com</t>
        </is>
      </c>
      <c r="E80" t="inlineStr">
        <is>
          <t>https://lpjk.pu.go.id/search-badan-usaha-detail/ZDlab3g2QXJ2YVl3R05sN2FIK01iQT09</t>
        </is>
      </c>
      <c r="F80" t="n">
        <v>6</v>
      </c>
      <c r="G80" t="inlineStr">
        <is>
          <t>RK001, RK002, RK003</t>
        </is>
      </c>
      <c r="H80" t="inlineStr">
        <is>
          <t>3 April 2018</t>
        </is>
      </c>
      <c r="I80" s="2" t="n">
        <v>46214</v>
      </c>
      <c r="J80" t="inlineStr">
        <is>
          <t>Permohonan Ditolak</t>
        </is>
      </c>
      <c r="K80" t="n">
        <v>30</v>
      </c>
      <c r="L80" t="inlineStr">
        <is>
          <t>11 Juli 2026</t>
        </is>
      </c>
      <c r="M80" t="inlineStr">
        <is>
          <t>Jasa Rekayasa Konstruksi Bangunan Gedung Hunian dan Non Hunian, Jasa Rekayasa Pekerjaan Teknik Sipil Sumber Daya Air, Jasa Rekayasa Pekerjaan Teknik Sipil Transportasi</t>
        </is>
      </c>
      <c r="N80" t="inlineStr">
        <is>
          <t>K</t>
        </is>
      </c>
      <c r="O80" t="inlineStr">
        <is>
          <t>20230704</t>
        </is>
      </c>
      <c r="P80" t="inlineStr">
        <is>
          <t>Aceh</t>
        </is>
      </c>
      <c r="Q80" t="inlineStr"/>
    </row>
    <row r="81">
      <c r="A81" t="inlineStr">
        <is>
          <t>DIRASYA KARYA UTAMA</t>
        </is>
      </c>
      <c r="B81" t="inlineStr">
        <is>
          <t>Kab. Dompu</t>
        </is>
      </c>
      <c r="C81" t="inlineStr">
        <is>
          <t>085339092203</t>
        </is>
      </c>
      <c r="D81" t="inlineStr">
        <is>
          <t>dirasyakaryautama@gmail.com</t>
        </is>
      </c>
      <c r="E81" t="inlineStr">
        <is>
          <t>https://lpjk.pu.go.id/search-badan-usaha-detail/ekhjMkdYM1dJWUxFd1JpL0FnMmxnUT09</t>
        </is>
      </c>
      <c r="F81" t="n">
        <v>1</v>
      </c>
      <c r="G81" t="inlineStr">
        <is>
          <t>BG005</t>
        </is>
      </c>
      <c r="H81" t="inlineStr">
        <is>
          <t>7 Desember 2022</t>
        </is>
      </c>
      <c r="I81" s="2" t="n">
        <v>46214</v>
      </c>
      <c r="J81" t="inlineStr">
        <is>
          <t>Disetujui</t>
        </is>
      </c>
      <c r="K81" t="n">
        <v>30</v>
      </c>
      <c r="L81" t="inlineStr">
        <is>
          <t>11 Juli 2026</t>
        </is>
      </c>
      <c r="M81" t="inlineStr">
        <is>
          <t>Konstruksi Gedung Kesehatan</t>
        </is>
      </c>
      <c r="N81" t="inlineStr">
        <is>
          <t>K</t>
        </is>
      </c>
      <c r="O81" t="inlineStr">
        <is>
          <t>20230711</t>
        </is>
      </c>
      <c r="P81" t="inlineStr">
        <is>
          <t>Nusa Tenggara Barat</t>
        </is>
      </c>
      <c r="Q81" t="inlineStr"/>
    </row>
    <row r="82">
      <c r="A82" t="inlineStr">
        <is>
          <t>DUA NOL DUA</t>
        </is>
      </c>
      <c r="B82" t="inlineStr">
        <is>
          <t>Kota Palembang</t>
        </is>
      </c>
      <c r="C82" t="inlineStr">
        <is>
          <t>081324245449</t>
        </is>
      </c>
      <c r="D82" t="inlineStr">
        <is>
          <t>cvduanoldua@yahoo.com</t>
        </is>
      </c>
      <c r="E82" t="inlineStr">
        <is>
          <t>https://lpjk.pu.go.id/search-badan-usaha-detail/MW10VzFQOW00akl2NmhxV0c0WGYrQT09</t>
        </is>
      </c>
      <c r="F82" t="n">
        <v>2</v>
      </c>
      <c r="G82" t="inlineStr">
        <is>
          <t>BS001, BS004</t>
        </is>
      </c>
      <c r="H82" t="inlineStr">
        <is>
          <t>21 Desember 2019</t>
        </is>
      </c>
      <c r="I82" s="2" t="n">
        <v>46214</v>
      </c>
      <c r="J82" t="inlineStr">
        <is>
          <t>Disetujui</t>
        </is>
      </c>
      <c r="K82" t="n">
        <v>30</v>
      </c>
      <c r="L82" t="inlineStr">
        <is>
          <t>11 Juli 2026</t>
        </is>
      </c>
      <c r="M82" t="inlineStr">
        <is>
          <t>Konstruksi Bangunan Sipil Jalan, Konstruksi Jaringan Irigasi dan Drainase</t>
        </is>
      </c>
      <c r="N82" t="inlineStr">
        <is>
          <t>K</t>
        </is>
      </c>
      <c r="O82" t="inlineStr">
        <is>
          <t>20230619, 20230704</t>
        </is>
      </c>
      <c r="P82" t="inlineStr">
        <is>
          <t>Sumatera Selatan</t>
        </is>
      </c>
      <c r="Q82" t="inlineStr"/>
    </row>
    <row r="83">
      <c r="A83" t="inlineStr">
        <is>
          <t>DUTA KAMUNING</t>
        </is>
      </c>
      <c r="B83" t="inlineStr">
        <is>
          <t>Kab. Kuningan</t>
        </is>
      </c>
      <c r="C83" t="inlineStr">
        <is>
          <t>081394102061</t>
        </is>
      </c>
      <c r="D83" t="inlineStr">
        <is>
          <t>ptsinarchulamega@gmail.com</t>
        </is>
      </c>
      <c r="E83" t="inlineStr">
        <is>
          <t>https://lpjk.pu.go.id/search-badan-usaha-detail/ckFUejBXL1ZhdTVOdURyODhaMzFmZz09</t>
        </is>
      </c>
      <c r="F83" t="n">
        <v>1</v>
      </c>
      <c r="G83" t="inlineStr">
        <is>
          <t>BG006</t>
        </is>
      </c>
      <c r="H83" t="inlineStr">
        <is>
          <t>6 Februari 1973</t>
        </is>
      </c>
      <c r="I83" s="2" t="n">
        <v>46214</v>
      </c>
      <c r="J83" t="inlineStr">
        <is>
          <t>Disetujui</t>
        </is>
      </c>
      <c r="K83" t="n">
        <v>30</v>
      </c>
      <c r="L83" t="inlineStr">
        <is>
          <t>11 Juli 2026</t>
        </is>
      </c>
      <c r="M83" t="inlineStr">
        <is>
          <t>Konstruksi Gedung Pendidikan</t>
        </is>
      </c>
      <c r="N83" t="inlineStr">
        <is>
          <t>K</t>
        </is>
      </c>
      <c r="O83" t="inlineStr">
        <is>
          <t>20230710</t>
        </is>
      </c>
      <c r="P83" t="inlineStr">
        <is>
          <t>Jawa Barat</t>
        </is>
      </c>
      <c r="Q83" t="inlineStr"/>
    </row>
    <row r="84">
      <c r="A84" t="inlineStr">
        <is>
          <t>DUTA KONSTRUKSI</t>
        </is>
      </c>
      <c r="B84" t="inlineStr">
        <is>
          <t>Kota Makassar</t>
        </is>
      </c>
      <c r="C84" t="inlineStr">
        <is>
          <t>081242822059</t>
        </is>
      </c>
      <c r="D84" t="inlineStr">
        <is>
          <t>andizulfikar1@gmail.com</t>
        </is>
      </c>
      <c r="E84" t="inlineStr">
        <is>
          <t>https://lpjk.pu.go.id/search-badan-usaha-detail/TXVneUJUMVJmNTYwSk5maXBJQXlkdz09</t>
        </is>
      </c>
      <c r="F84" t="n">
        <v>2</v>
      </c>
      <c r="G84" t="inlineStr">
        <is>
          <t>RK001, RK002</t>
        </is>
      </c>
      <c r="H84" t="inlineStr">
        <is>
          <t>8 Juli 2022</t>
        </is>
      </c>
      <c r="I84" s="2" t="n">
        <v>46214</v>
      </c>
      <c r="J84" t="inlineStr">
        <is>
          <t>Disetujui</t>
        </is>
      </c>
      <c r="K84" t="n">
        <v>30</v>
      </c>
      <c r="L84" t="inlineStr">
        <is>
          <t>11 Juli 2026</t>
        </is>
      </c>
      <c r="M84" t="inlineStr">
        <is>
          <t>Jasa Rekayasa Konstruksi Bangunan Gedung Hunian dan Non Hunian, Jasa Rekayasa Pekerjaan Teknik Sipil Sumber Daya Air</t>
        </is>
      </c>
      <c r="N84" t="inlineStr">
        <is>
          <t>K</t>
        </is>
      </c>
      <c r="O84" t="inlineStr">
        <is>
          <t>20230609, 20230703</t>
        </is>
      </c>
      <c r="P84" t="inlineStr">
        <is>
          <t>Sulawesi Selatan</t>
        </is>
      </c>
      <c r="Q84" t="inlineStr"/>
    </row>
    <row r="85">
      <c r="A85" t="inlineStr">
        <is>
          <t>EKA KARYA</t>
        </is>
      </c>
      <c r="B85" t="inlineStr">
        <is>
          <t>Kab. Demak</t>
        </is>
      </c>
      <c r="C85" t="inlineStr">
        <is>
          <t>085328996377</t>
        </is>
      </c>
      <c r="D85" t="inlineStr">
        <is>
          <t>ekakarya658@gmail.com</t>
        </is>
      </c>
      <c r="E85" t="inlineStr">
        <is>
          <t>https://lpjk.pu.go.id/search-badan-usaha-detail/QjdFNFpMZHNOc1hUME9qSm51Vmt2QT09</t>
        </is>
      </c>
      <c r="F85" t="n">
        <v>1</v>
      </c>
      <c r="G85" t="inlineStr">
        <is>
          <t>BS001</t>
        </is>
      </c>
      <c r="H85" t="inlineStr">
        <is>
          <t>3 Maret 2008</t>
        </is>
      </c>
      <c r="I85" s="2" t="n">
        <v>46214</v>
      </c>
      <c r="J85" t="inlineStr">
        <is>
          <t>Disetujui</t>
        </is>
      </c>
      <c r="K85" t="n">
        <v>30</v>
      </c>
      <c r="L85" t="inlineStr">
        <is>
          <t>11 Juli 2026</t>
        </is>
      </c>
      <c r="M85" t="inlineStr">
        <is>
          <t>Konstruksi Bangunan Sipil Jalan</t>
        </is>
      </c>
      <c r="N85" t="inlineStr">
        <is>
          <t>K</t>
        </is>
      </c>
      <c r="O85" t="inlineStr">
        <is>
          <t>20230711</t>
        </is>
      </c>
      <c r="P85" t="inlineStr">
        <is>
          <t>Jawa Tengah</t>
        </is>
      </c>
      <c r="Q85" t="inlineStr"/>
    </row>
    <row r="86">
      <c r="A86" t="inlineStr">
        <is>
          <t>EKA KARYA MANDIRI</t>
        </is>
      </c>
      <c r="B86" t="inlineStr">
        <is>
          <t>Kab. Madiun</t>
        </is>
      </c>
      <c r="C86" t="inlineStr">
        <is>
          <t>082233809793</t>
        </is>
      </c>
      <c r="D86" t="inlineStr">
        <is>
          <t>ekakaryamandiri00@gmail.com</t>
        </is>
      </c>
      <c r="E86" t="inlineStr">
        <is>
          <t>https://lpjk.pu.go.id/search-badan-usaha-detail/dzEwR3VCc0FvQXlnN0hCaHRhaEdjdz09</t>
        </is>
      </c>
      <c r="F86" t="n">
        <v>4</v>
      </c>
      <c r="G86" t="inlineStr">
        <is>
          <t>BG005, BG006, BG009, BS001</t>
        </is>
      </c>
      <c r="H86" t="inlineStr">
        <is>
          <t>30 Agustus 2016</t>
        </is>
      </c>
      <c r="I86" s="2" t="n">
        <v>46214</v>
      </c>
      <c r="J86" t="inlineStr">
        <is>
          <t>Disetujui</t>
        </is>
      </c>
      <c r="K86" t="n">
        <v>30</v>
      </c>
      <c r="L86" t="inlineStr">
        <is>
          <t>11 Juli 2026</t>
        </is>
      </c>
      <c r="M86" t="inlineStr">
        <is>
          <t>Konstruksi Bangunan Sipil Jalan, Konstruksi Gedung Kesehatan, Konstruksi Gedung Lainnya, Konstruksi Gedung Pendidikan</t>
        </is>
      </c>
      <c r="N86" t="inlineStr">
        <is>
          <t>K</t>
        </is>
      </c>
      <c r="O86" t="inlineStr">
        <is>
          <t>20230711, 20230712</t>
        </is>
      </c>
      <c r="P86" t="inlineStr">
        <is>
          <t>Jawa Timur</t>
        </is>
      </c>
      <c r="Q86" t="inlineStr"/>
    </row>
    <row r="87">
      <c r="A87" t="inlineStr">
        <is>
          <t>ELANG GROUPS</t>
        </is>
      </c>
      <c r="B87" t="inlineStr">
        <is>
          <t>Kab. Kuningan</t>
        </is>
      </c>
      <c r="C87" t="inlineStr">
        <is>
          <t>08179087182</t>
        </is>
      </c>
      <c r="D87" t="inlineStr">
        <is>
          <t>cvelanggroups88@gmail.com</t>
        </is>
      </c>
      <c r="E87" t="inlineStr">
        <is>
          <t>https://lpjk.pu.go.id/search-badan-usaha-detail/QkZuWVJhbTMwYytnN2s0ZWp4YWEvdz09</t>
        </is>
      </c>
      <c r="F87" t="n">
        <v>2</v>
      </c>
      <c r="G87" t="inlineStr">
        <is>
          <t>BS001</t>
        </is>
      </c>
      <c r="H87" t="inlineStr">
        <is>
          <t>29 Maret 2006</t>
        </is>
      </c>
      <c r="I87" s="2" t="n">
        <v>46214</v>
      </c>
      <c r="J87" t="inlineStr">
        <is>
          <t>Pencabutan</t>
        </is>
      </c>
      <c r="K87" t="n">
        <v>30</v>
      </c>
      <c r="L87" t="inlineStr">
        <is>
          <t>11 Juli 2026</t>
        </is>
      </c>
      <c r="M87" t="inlineStr">
        <is>
          <t>Konstruksi Bangunan Sipil Jalan</t>
        </is>
      </c>
      <c r="N87" t="inlineStr">
        <is>
          <t>K</t>
        </is>
      </c>
      <c r="O87" t="inlineStr">
        <is>
          <t>20230705</t>
        </is>
      </c>
      <c r="P87" t="inlineStr">
        <is>
          <t>Jawa Barat</t>
        </is>
      </c>
      <c r="Q87" t="inlineStr"/>
    </row>
    <row r="88">
      <c r="A88" t="inlineStr">
        <is>
          <t>ELANG JAYA</t>
        </is>
      </c>
      <c r="B88" t="inlineStr">
        <is>
          <t>Kab. Bangkalan</t>
        </is>
      </c>
      <c r="C88" t="inlineStr">
        <is>
          <t>082337120829</t>
        </is>
      </c>
      <c r="D88" t="inlineStr">
        <is>
          <t>cv.elangjaya2104@gmail.com</t>
        </is>
      </c>
      <c r="E88" t="inlineStr">
        <is>
          <t>https://lpjk.pu.go.id/search-badan-usaha-detail/TVE4Q245aHFRa0gzdjVraTc1dUZkdz09</t>
        </is>
      </c>
      <c r="F88" t="n">
        <v>2</v>
      </c>
      <c r="G88" t="inlineStr">
        <is>
          <t>BG006</t>
        </is>
      </c>
      <c r="H88" t="inlineStr">
        <is>
          <t>28 Februari 2014</t>
        </is>
      </c>
      <c r="I88" s="2" t="n">
        <v>46214</v>
      </c>
      <c r="J88" t="inlineStr">
        <is>
          <t>Pencabutan</t>
        </is>
      </c>
      <c r="K88" t="n">
        <v>30</v>
      </c>
      <c r="L88" t="inlineStr">
        <is>
          <t>11 Juli 2026</t>
        </is>
      </c>
      <c r="M88" t="inlineStr">
        <is>
          <t>Konstruksi Gedung Pendidikan</t>
        </is>
      </c>
      <c r="N88" t="inlineStr">
        <is>
          <t>K</t>
        </is>
      </c>
      <c r="O88" t="inlineStr">
        <is>
          <t>20230707</t>
        </is>
      </c>
      <c r="P88" t="inlineStr">
        <is>
          <t>Jawa Timur</t>
        </is>
      </c>
      <c r="Q88" t="inlineStr"/>
    </row>
    <row r="89">
      <c r="A89" t="inlineStr">
        <is>
          <t>EUCLUDIEN LIMA BINTANG</t>
        </is>
      </c>
      <c r="B89" t="inlineStr">
        <is>
          <t>Kab. Karawang</t>
        </is>
      </c>
      <c r="C89" t="inlineStr">
        <is>
          <t>081284592869</t>
        </is>
      </c>
      <c r="D89" t="inlineStr">
        <is>
          <t>limabintangeucludien@yahoo.com</t>
        </is>
      </c>
      <c r="E89" t="inlineStr">
        <is>
          <t>https://lpjk.pu.go.id/search-badan-usaha-detail/VmMrYjlMZy9MTGF3TWVoTXJlZ0FRQT09</t>
        </is>
      </c>
      <c r="F89" t="n">
        <v>1</v>
      </c>
      <c r="G89" t="inlineStr">
        <is>
          <t>BS004</t>
        </is>
      </c>
      <c r="H89" t="inlineStr">
        <is>
          <t>2 Januari 2006</t>
        </is>
      </c>
      <c r="I89" s="2" t="n">
        <v>46214</v>
      </c>
      <c r="J89" t="inlineStr">
        <is>
          <t>Disetujui</t>
        </is>
      </c>
      <c r="K89" t="n">
        <v>30</v>
      </c>
      <c r="L89" t="inlineStr">
        <is>
          <t>11 Juli 2026</t>
        </is>
      </c>
      <c r="M89" t="inlineStr">
        <is>
          <t>Konstruksi Jaringan Irigasi dan Drainase</t>
        </is>
      </c>
      <c r="N89" t="inlineStr">
        <is>
          <t>K</t>
        </is>
      </c>
      <c r="O89" t="inlineStr">
        <is>
          <t>20230711</t>
        </is>
      </c>
      <c r="P89" t="inlineStr">
        <is>
          <t>Jawa Barat</t>
        </is>
      </c>
      <c r="Q89" t="inlineStr"/>
    </row>
    <row r="90">
      <c r="A90" t="inlineStr">
        <is>
          <t>FAJAR PERKASA</t>
        </is>
      </c>
      <c r="B90" t="inlineStr">
        <is>
          <t>Kab. Cilacap</t>
        </is>
      </c>
      <c r="C90" t="inlineStr">
        <is>
          <t>08562611061</t>
        </is>
      </c>
      <c r="D90" t="inlineStr">
        <is>
          <t>cv.fajarperkasaa@gmail.com</t>
        </is>
      </c>
      <c r="E90" t="inlineStr">
        <is>
          <t>https://lpjk.pu.go.id/search-badan-usaha-detail/OU1QNkJzcXB6UUQ2WGswcVNwMG1hZz09</t>
        </is>
      </c>
      <c r="F90" t="n">
        <v>1</v>
      </c>
      <c r="G90" t="inlineStr">
        <is>
          <t>BG004</t>
        </is>
      </c>
      <c r="H90" t="inlineStr">
        <is>
          <t>8 Januari 2016</t>
        </is>
      </c>
      <c r="I90" s="2" t="n">
        <v>46214</v>
      </c>
      <c r="J90" t="inlineStr">
        <is>
          <t>Pencabutan</t>
        </is>
      </c>
      <c r="K90" t="n">
        <v>30</v>
      </c>
      <c r="L90" t="inlineStr">
        <is>
          <t>11 Juli 2026</t>
        </is>
      </c>
      <c r="M90" t="inlineStr">
        <is>
          <t>Konstruksi Gedung Perbelanjaan</t>
        </is>
      </c>
      <c r="N90" t="inlineStr">
        <is>
          <t>K</t>
        </is>
      </c>
      <c r="O90" t="inlineStr">
        <is>
          <t>20230711</t>
        </is>
      </c>
      <c r="P90" t="inlineStr">
        <is>
          <t>Jawa Tengah</t>
        </is>
      </c>
      <c r="Q90" t="inlineStr"/>
    </row>
    <row r="91">
      <c r="A91" t="inlineStr">
        <is>
          <t>FAJAR SUBUR</t>
        </is>
      </c>
      <c r="B91" t="inlineStr">
        <is>
          <t>Kab. Wakatobi</t>
        </is>
      </c>
      <c r="C91" t="inlineStr">
        <is>
          <t>81241504868</t>
        </is>
      </c>
      <c r="D91" t="inlineStr">
        <is>
          <t>cv.fajarsubur70@gmail.com</t>
        </is>
      </c>
      <c r="E91" t="inlineStr">
        <is>
          <t>https://lpjk.pu.go.id/search-badan-usaha-detail/bWFXK29zaVJHc0pDUWZPTjRjRkNLUT09</t>
        </is>
      </c>
      <c r="F91" t="n">
        <v>2</v>
      </c>
      <c r="G91" t="inlineStr">
        <is>
          <t>BG002, BG003</t>
        </is>
      </c>
      <c r="H91" t="inlineStr">
        <is>
          <t>16 Juni 2021</t>
        </is>
      </c>
      <c r="I91" s="2" t="n">
        <v>46214</v>
      </c>
      <c r="J91" t="inlineStr">
        <is>
          <t>Disetujui</t>
        </is>
      </c>
      <c r="K91" t="n">
        <v>30</v>
      </c>
      <c r="L91" t="inlineStr">
        <is>
          <t>11 Juli 2026</t>
        </is>
      </c>
      <c r="M91" t="inlineStr">
        <is>
          <t>Konstruksi Gedung Industri, Konstruksi Gedung Perkantoran</t>
        </is>
      </c>
      <c r="N91" t="inlineStr">
        <is>
          <t>K</t>
        </is>
      </c>
      <c r="O91" t="inlineStr">
        <is>
          <t>20230710</t>
        </is>
      </c>
      <c r="P91" t="inlineStr">
        <is>
          <t>Sulawesi Tenggara</t>
        </is>
      </c>
      <c r="Q91" t="inlineStr"/>
    </row>
    <row r="92">
      <c r="A92" t="inlineStr">
        <is>
          <t>GALANG BULAN</t>
        </is>
      </c>
      <c r="B92" t="inlineStr">
        <is>
          <t>Kota Mataram</t>
        </is>
      </c>
      <c r="C92" t="inlineStr">
        <is>
          <t>087865773993</t>
        </is>
      </c>
      <c r="D92" t="inlineStr">
        <is>
          <t>harrysuhada@ymail.com</t>
        </is>
      </c>
      <c r="E92" t="inlineStr">
        <is>
          <t>https://lpjk.pu.go.id/search-badan-usaha-detail/TWdoV3VTY3FPc3M4d09YQ2c3TUc2Zz09</t>
        </is>
      </c>
      <c r="F92" t="n">
        <v>1</v>
      </c>
      <c r="G92" t="inlineStr">
        <is>
          <t>BG002</t>
        </is>
      </c>
      <c r="H92" t="inlineStr">
        <is>
          <t>18 April 1981</t>
        </is>
      </c>
      <c r="I92" s="2" t="n">
        <v>46214</v>
      </c>
      <c r="J92" t="inlineStr">
        <is>
          <t>Disetujui</t>
        </is>
      </c>
      <c r="K92" t="n">
        <v>30</v>
      </c>
      <c r="L92" t="inlineStr">
        <is>
          <t>11 Juli 2026</t>
        </is>
      </c>
      <c r="M92" t="inlineStr">
        <is>
          <t>Konstruksi Gedung Perkantoran</t>
        </is>
      </c>
      <c r="N92" t="inlineStr">
        <is>
          <t>K</t>
        </is>
      </c>
      <c r="O92" t="inlineStr">
        <is>
          <t>20230704</t>
        </is>
      </c>
      <c r="P92" t="inlineStr">
        <is>
          <t>Nusa Tenggara Barat</t>
        </is>
      </c>
      <c r="Q92" t="inlineStr"/>
    </row>
    <row r="93">
      <c r="A93" t="inlineStr">
        <is>
          <t>GAMAKUM</t>
        </is>
      </c>
      <c r="B93" t="inlineStr">
        <is>
          <t>Kab. Puncak</t>
        </is>
      </c>
      <c r="C93" t="inlineStr">
        <is>
          <t>081356659869</t>
        </is>
      </c>
      <c r="D93" t="inlineStr">
        <is>
          <t>gamakumc@gmail.com</t>
        </is>
      </c>
      <c r="E93" t="inlineStr">
        <is>
          <t>https://lpjk.pu.go.id/search-badan-usaha-detail/N294bEhYbXB0aUppQk1ud1BEblJiQT09</t>
        </is>
      </c>
      <c r="F93" t="n">
        <v>2</v>
      </c>
      <c r="G93" t="inlineStr">
        <is>
          <t>BG005, BG006</t>
        </is>
      </c>
      <c r="H93" t="inlineStr">
        <is>
          <t>5 Maret 2015</t>
        </is>
      </c>
      <c r="I93" s="2" t="n">
        <v>46214</v>
      </c>
      <c r="J93" t="inlineStr">
        <is>
          <t>Disetujui</t>
        </is>
      </c>
      <c r="K93" t="n">
        <v>30</v>
      </c>
      <c r="L93" t="inlineStr">
        <is>
          <t>11 Juli 2026</t>
        </is>
      </c>
      <c r="M93" t="inlineStr">
        <is>
          <t>Konstruksi Gedung Kesehatan, Konstruksi Gedung Pendidikan</t>
        </is>
      </c>
      <c r="N93" t="inlineStr">
        <is>
          <t>K</t>
        </is>
      </c>
      <c r="O93" t="inlineStr">
        <is>
          <t>20230711</t>
        </is>
      </c>
      <c r="P93" t="inlineStr">
        <is>
          <t>Papua</t>
        </is>
      </c>
      <c r="Q93" t="inlineStr"/>
    </row>
    <row r="94">
      <c r="A94" t="inlineStr">
        <is>
          <t>GEOCIPTA SARANA KONSULINDO</t>
        </is>
      </c>
      <c r="B94" t="inlineStr">
        <is>
          <t>Kab. Simeulue</t>
        </is>
      </c>
      <c r="C94" t="inlineStr">
        <is>
          <t>085214088938</t>
        </is>
      </c>
      <c r="D94" t="inlineStr">
        <is>
          <t>gs.konsulindo@gmail.com</t>
        </is>
      </c>
      <c r="E94" t="inlineStr">
        <is>
          <t>https://lpjk.pu.go.id/search-badan-usaha-detail/KzhUWnZWWGtJN0Fyc1R3a0o5SXc4QT09</t>
        </is>
      </c>
      <c r="F94" t="n">
        <v>4</v>
      </c>
      <c r="G94" t="inlineStr">
        <is>
          <t>RK001, RK002, RK003, RK005</t>
        </is>
      </c>
      <c r="H94" t="inlineStr">
        <is>
          <t>8 April 2014</t>
        </is>
      </c>
      <c r="I94" s="2" t="n">
        <v>46214</v>
      </c>
      <c r="J94" t="inlineStr">
        <is>
          <t>Disetujui</t>
        </is>
      </c>
      <c r="K94" t="n">
        <v>30</v>
      </c>
      <c r="L94" t="inlineStr">
        <is>
          <t>11 Juli 2026</t>
        </is>
      </c>
      <c r="M94" t="inlineStr">
        <is>
          <t>Jasa Rekayasa Konstruksi Bangunan Gedung Hunian dan Non Hunian, Jasa Rekayasa Lainnya, Jasa Rekayasa Pekerjaan Teknik Sipil Sumber Daya Air, Jasa Rekayasa Pekerjaan Teknik Sipil Transportasi</t>
        </is>
      </c>
      <c r="N94" t="inlineStr">
        <is>
          <t>K</t>
        </is>
      </c>
      <c r="O94" t="inlineStr">
        <is>
          <t>20230627</t>
        </is>
      </c>
      <c r="P94" t="inlineStr">
        <is>
          <t>Aceh</t>
        </is>
      </c>
      <c r="Q94" t="inlineStr"/>
    </row>
    <row r="95">
      <c r="A95" t="inlineStr">
        <is>
          <t>GIANDZAFA KARYA</t>
        </is>
      </c>
      <c r="B95" t="inlineStr">
        <is>
          <t>Kab. Solok</t>
        </is>
      </c>
      <c r="C95" t="inlineStr">
        <is>
          <t>085274460009</t>
        </is>
      </c>
      <c r="D95" t="inlineStr">
        <is>
          <t>giandzafa2@gmail.com</t>
        </is>
      </c>
      <c r="E95" t="inlineStr">
        <is>
          <t>https://lpjk.pu.go.id/search-badan-usaha-detail/TW9uY2Z3VklWOFAwL08rc2Z0OXVqQT09</t>
        </is>
      </c>
      <c r="F95" t="n">
        <v>1</v>
      </c>
      <c r="G95" t="inlineStr">
        <is>
          <t>BG006</t>
        </is>
      </c>
      <c r="H95" t="inlineStr">
        <is>
          <t>16 Juni 2023</t>
        </is>
      </c>
      <c r="I95" s="2" t="n">
        <v>46214</v>
      </c>
      <c r="J95" t="inlineStr">
        <is>
          <t>Disetujui</t>
        </is>
      </c>
      <c r="K95" t="n">
        <v>30</v>
      </c>
      <c r="L95" t="inlineStr">
        <is>
          <t>11 Juli 2026</t>
        </is>
      </c>
      <c r="M95" t="inlineStr">
        <is>
          <t>Konstruksi Gedung Pendidikan</t>
        </is>
      </c>
      <c r="N95" t="inlineStr">
        <is>
          <t>K</t>
        </is>
      </c>
      <c r="O95" t="inlineStr">
        <is>
          <t>20230621</t>
        </is>
      </c>
      <c r="P95" t="inlineStr">
        <is>
          <t>Sumatera Barat</t>
        </is>
      </c>
      <c r="Q95" t="inlineStr"/>
    </row>
    <row r="96">
      <c r="A96" t="inlineStr">
        <is>
          <t>GLOBAL MAHAKAM</t>
        </is>
      </c>
      <c r="B96" t="inlineStr">
        <is>
          <t>Kota Samarinda</t>
        </is>
      </c>
      <c r="C96" t="inlineStr">
        <is>
          <t>082250082752</t>
        </is>
      </c>
      <c r="D96" t="inlineStr">
        <is>
          <t>globalmahakamsmd@yahoo.com</t>
        </is>
      </c>
      <c r="E96" t="inlineStr">
        <is>
          <t>https://lpjk.pu.go.id/search-badan-usaha-detail/VVl1NmdKVCs2b2xkWDR6M3pIeTlBZz09</t>
        </is>
      </c>
      <c r="F96" t="n">
        <v>3</v>
      </c>
      <c r="G96" t="inlineStr">
        <is>
          <t>BG002, BG006, BG009</t>
        </is>
      </c>
      <c r="H96" t="inlineStr">
        <is>
          <t>25 Maret 2019</t>
        </is>
      </c>
      <c r="I96" s="2" t="n">
        <v>46214</v>
      </c>
      <c r="J96" t="inlineStr">
        <is>
          <t>Disetujui</t>
        </is>
      </c>
      <c r="K96" t="n">
        <v>30</v>
      </c>
      <c r="L96" t="inlineStr">
        <is>
          <t>11 Juli 2026</t>
        </is>
      </c>
      <c r="M96" t="inlineStr">
        <is>
          <t>Konstruksi Gedung Lainnya, Konstruksi Gedung Pendidikan, Konstruksi Gedung Perkantoran</t>
        </is>
      </c>
      <c r="N96" t="inlineStr">
        <is>
          <t>K</t>
        </is>
      </c>
      <c r="O96" t="inlineStr">
        <is>
          <t>20230711</t>
        </is>
      </c>
      <c r="P96" t="inlineStr">
        <is>
          <t>Kalimantan Timur</t>
        </is>
      </c>
      <c r="Q96" t="inlineStr"/>
    </row>
    <row r="97">
      <c r="A97" t="inlineStr">
        <is>
          <t>GLOBALINDO BUMI ASRI</t>
        </is>
      </c>
      <c r="B97" t="inlineStr">
        <is>
          <t>Kota Batam</t>
        </is>
      </c>
      <c r="C97" t="inlineStr">
        <is>
          <t>08117009363</t>
        </is>
      </c>
      <c r="D97" t="inlineStr">
        <is>
          <t>globalindobumiasri.88@gmail.com</t>
        </is>
      </c>
      <c r="E97" t="inlineStr">
        <is>
          <t>https://lpjk.pu.go.id/search-badan-usaha-detail/NjZCUFI2RmM4MGp6ZzU0Uk84WlFnZz09</t>
        </is>
      </c>
      <c r="F97" t="n">
        <v>2</v>
      </c>
      <c r="G97" t="inlineStr">
        <is>
          <t>BG002</t>
        </is>
      </c>
      <c r="H97" t="inlineStr">
        <is>
          <t>30 Mei 2023</t>
        </is>
      </c>
      <c r="I97" s="2" t="n">
        <v>46214</v>
      </c>
      <c r="J97" t="inlineStr">
        <is>
          <t>Disetujui</t>
        </is>
      </c>
      <c r="K97" t="n">
        <v>30</v>
      </c>
      <c r="L97" t="inlineStr">
        <is>
          <t>11 Juli 2026</t>
        </is>
      </c>
      <c r="M97" t="inlineStr">
        <is>
          <t>Konstruksi Gedung Perkantoran</t>
        </is>
      </c>
      <c r="N97" t="inlineStr">
        <is>
          <t>K</t>
        </is>
      </c>
      <c r="O97" t="inlineStr">
        <is>
          <t>20230620</t>
        </is>
      </c>
      <c r="P97" t="inlineStr">
        <is>
          <t>Kepulauan Riau</t>
        </is>
      </c>
      <c r="Q97" t="inlineStr"/>
    </row>
    <row r="98">
      <c r="A98" t="inlineStr">
        <is>
          <t>GOLDEN WAYS</t>
        </is>
      </c>
      <c r="B98" t="inlineStr">
        <is>
          <t>Kota Pasuruan</t>
        </is>
      </c>
      <c r="C98" t="inlineStr">
        <is>
          <t>085100733121</t>
        </is>
      </c>
      <c r="D98" t="inlineStr">
        <is>
          <t>gerbangbangsa@gmail.com</t>
        </is>
      </c>
      <c r="E98" t="inlineStr">
        <is>
          <t>https://lpjk.pu.go.id/search-badan-usaha-detail/eHJzN1I5bVlLMjdvWVBaSWYyUlF4QT09</t>
        </is>
      </c>
      <c r="F98" t="n">
        <v>2</v>
      </c>
      <c r="G98" t="inlineStr">
        <is>
          <t>BS004</t>
        </is>
      </c>
      <c r="H98" t="inlineStr">
        <is>
          <t>16 Juli 2011</t>
        </is>
      </c>
      <c r="I98" s="2" t="n">
        <v>46214</v>
      </c>
      <c r="J98" t="inlineStr">
        <is>
          <t>Disetujui</t>
        </is>
      </c>
      <c r="K98" t="n">
        <v>30</v>
      </c>
      <c r="L98" t="inlineStr">
        <is>
          <t>11 Juli 2026</t>
        </is>
      </c>
      <c r="M98" t="inlineStr">
        <is>
          <t>Konstruksi Jaringan Irigasi dan Drainase</t>
        </is>
      </c>
      <c r="N98" t="inlineStr">
        <is>
          <t>K</t>
        </is>
      </c>
      <c r="O98" t="inlineStr">
        <is>
          <t>20230703</t>
        </is>
      </c>
      <c r="P98" t="inlineStr">
        <is>
          <t>Jawa Timur</t>
        </is>
      </c>
      <c r="Q98" t="inlineStr"/>
    </row>
    <row r="99">
      <c r="A99" t="inlineStr">
        <is>
          <t>GRAHA CIPTA SEJAHTERA</t>
        </is>
      </c>
      <c r="B99" t="inlineStr">
        <is>
          <t>Kab. Jember</t>
        </is>
      </c>
      <c r="C99" t="inlineStr">
        <is>
          <t>0331331447</t>
        </is>
      </c>
      <c r="D99" t="inlineStr">
        <is>
          <t>pt_grahacipta@yahoo.com</t>
        </is>
      </c>
      <c r="E99" t="inlineStr">
        <is>
          <t>https://lpjk.pu.go.id/search-badan-usaha-detail/aUhIUGdKN054NEdkVFdQZnN3UmJXZz09</t>
        </is>
      </c>
      <c r="F99" t="n">
        <v>1</v>
      </c>
      <c r="G99" t="inlineStr">
        <is>
          <t>BS004</t>
        </is>
      </c>
      <c r="H99" t="inlineStr">
        <is>
          <t>11 Agustus 2010</t>
        </is>
      </c>
      <c r="I99" s="2" t="n">
        <v>46214</v>
      </c>
      <c r="J99" t="inlineStr">
        <is>
          <t>Disetujui</t>
        </is>
      </c>
      <c r="K99" t="n">
        <v>30</v>
      </c>
      <c r="L99" t="inlineStr">
        <is>
          <t>11 Juli 2026</t>
        </is>
      </c>
      <c r="M99" t="inlineStr">
        <is>
          <t>Konstruksi Jaringan Irigasi dan Drainase</t>
        </is>
      </c>
      <c r="N99" t="inlineStr">
        <is>
          <t>K</t>
        </is>
      </c>
      <c r="O99" t="inlineStr">
        <is>
          <t>20230705</t>
        </is>
      </c>
      <c r="P99" t="inlineStr">
        <is>
          <t>Jawa Timur</t>
        </is>
      </c>
      <c r="Q99" t="inlineStr"/>
    </row>
    <row r="100">
      <c r="A100" t="inlineStr">
        <is>
          <t>GRHA MANDIRI KALTIM</t>
        </is>
      </c>
      <c r="B100" t="inlineStr">
        <is>
          <t>Kota Samarinda</t>
        </is>
      </c>
      <c r="C100" t="inlineStr">
        <is>
          <t>05412771844</t>
        </is>
      </c>
      <c r="D100" t="inlineStr">
        <is>
          <t>grhamandiri5@gmail.com</t>
        </is>
      </c>
      <c r="E100" t="inlineStr">
        <is>
          <t>https://lpjk.pu.go.id/search-badan-usaha-detail/Tld4QmxXREpSY2NnRU9abFVoU3NVUT09</t>
        </is>
      </c>
      <c r="F100" t="n">
        <v>1</v>
      </c>
      <c r="G100" t="inlineStr">
        <is>
          <t>BG001</t>
        </is>
      </c>
      <c r="H100" t="inlineStr">
        <is>
          <t>30 Oktober 2017</t>
        </is>
      </c>
      <c r="I100" s="2" t="n">
        <v>46214</v>
      </c>
      <c r="J100" t="inlineStr">
        <is>
          <t>Pencabutan</t>
        </is>
      </c>
      <c r="K100" t="n">
        <v>30</v>
      </c>
      <c r="L100" t="inlineStr">
        <is>
          <t>11 Juli 2026</t>
        </is>
      </c>
      <c r="M100" t="inlineStr">
        <is>
          <t>Konstruksi Gedung Hunian</t>
        </is>
      </c>
      <c r="N100" t="inlineStr">
        <is>
          <t>K</t>
        </is>
      </c>
      <c r="O100" t="inlineStr">
        <is>
          <t>20230710</t>
        </is>
      </c>
      <c r="P100" t="inlineStr">
        <is>
          <t>Kalimantan Timur</t>
        </is>
      </c>
      <c r="Q100" t="inlineStr"/>
    </row>
    <row r="101">
      <c r="A101" t="inlineStr">
        <is>
          <t>GUNA KARYA</t>
        </is>
      </c>
      <c r="B101" t="inlineStr">
        <is>
          <t>Kab. Lumajang</t>
        </is>
      </c>
      <c r="C101" t="inlineStr">
        <is>
          <t>081336777789</t>
        </is>
      </c>
      <c r="D101" t="inlineStr">
        <is>
          <t>group.gkarya@gmail.com</t>
        </is>
      </c>
      <c r="E101" t="inlineStr">
        <is>
          <t>https://lpjk.pu.go.id/search-badan-usaha-detail/Q3BsdWU0eW9leDBWcmdyOERlenFRZz09</t>
        </is>
      </c>
      <c r="F101" t="n">
        <v>1</v>
      </c>
      <c r="G101" t="inlineStr">
        <is>
          <t>BG003</t>
        </is>
      </c>
      <c r="H101" t="inlineStr">
        <is>
          <t>12 Juli 2006</t>
        </is>
      </c>
      <c r="I101" s="2" t="n">
        <v>46214</v>
      </c>
      <c r="J101" t="inlineStr">
        <is>
          <t>Disetujui</t>
        </is>
      </c>
      <c r="K101" t="n">
        <v>30</v>
      </c>
      <c r="L101" t="inlineStr">
        <is>
          <t>11 Juli 2026</t>
        </is>
      </c>
      <c r="M101" t="inlineStr">
        <is>
          <t>Konstruksi Gedung Industri</t>
        </is>
      </c>
      <c r="N101" t="inlineStr">
        <is>
          <t>K</t>
        </is>
      </c>
      <c r="O101" t="inlineStr">
        <is>
          <t>20230705</t>
        </is>
      </c>
      <c r="P101" t="inlineStr">
        <is>
          <t>Jawa Timur</t>
        </is>
      </c>
      <c r="Q101" t="inlineStr"/>
    </row>
    <row r="102">
      <c r="A102" t="inlineStr">
        <is>
          <t>HANAN RUSDI MANDIRI</t>
        </is>
      </c>
      <c r="B102" t="inlineStr">
        <is>
          <t>Kota Sawahlunto</t>
        </is>
      </c>
      <c r="C102" t="inlineStr">
        <is>
          <t>081374665081</t>
        </is>
      </c>
      <c r="D102" t="inlineStr">
        <is>
          <t>frenzyalvilarusdi@gmail.com</t>
        </is>
      </c>
      <c r="E102" t="inlineStr">
        <is>
          <t>https://lpjk.pu.go.id/search-badan-usaha-detail/Y1Mrd29qNkRMQ3JSa0dLcjNySk9TUT09</t>
        </is>
      </c>
      <c r="F102" t="n">
        <v>1</v>
      </c>
      <c r="G102" t="inlineStr">
        <is>
          <t>BG009</t>
        </is>
      </c>
      <c r="H102" t="inlineStr">
        <is>
          <t>18 Januari 2016</t>
        </is>
      </c>
      <c r="I102" s="2" t="n">
        <v>46214</v>
      </c>
      <c r="J102" t="inlineStr">
        <is>
          <t>Disetujui</t>
        </is>
      </c>
      <c r="K102" t="n">
        <v>30</v>
      </c>
      <c r="L102" t="inlineStr">
        <is>
          <t>11 Juli 2026</t>
        </is>
      </c>
      <c r="M102" t="inlineStr">
        <is>
          <t>Konstruksi Gedung Lainnya</t>
        </is>
      </c>
      <c r="N102" t="inlineStr">
        <is>
          <t>K</t>
        </is>
      </c>
      <c r="O102" t="inlineStr">
        <is>
          <t>20230712</t>
        </is>
      </c>
      <c r="P102" t="inlineStr">
        <is>
          <t>Sumatera Barat</t>
        </is>
      </c>
      <c r="Q102" t="inlineStr"/>
    </row>
    <row r="103">
      <c r="A103" t="inlineStr">
        <is>
          <t>HARVEST CONSTRUCTION</t>
        </is>
      </c>
      <c r="B103" t="inlineStr">
        <is>
          <t>Kab. Kapuas Hulu</t>
        </is>
      </c>
      <c r="C103" t="inlineStr">
        <is>
          <t>085752701040</t>
        </is>
      </c>
      <c r="D103" t="inlineStr">
        <is>
          <t>harvestconstruction01@gmail.com</t>
        </is>
      </c>
      <c r="E103" t="inlineStr">
        <is>
          <t>https://lpjk.pu.go.id/search-badan-usaha-detail/dXE0dmVtSWVWUHJsMG9hdUh3T3cwUT09</t>
        </is>
      </c>
      <c r="F103" t="n">
        <v>4</v>
      </c>
      <c r="G103" t="inlineStr">
        <is>
          <t>BG001, BG002, BG005, BG006</t>
        </is>
      </c>
      <c r="H103" t="inlineStr">
        <is>
          <t>22 September 2021</t>
        </is>
      </c>
      <c r="I103" s="2" t="n">
        <v>46214</v>
      </c>
      <c r="J103" t="inlineStr">
        <is>
          <t>Disetujui</t>
        </is>
      </c>
      <c r="K103" t="n">
        <v>30</v>
      </c>
      <c r="L103" t="inlineStr">
        <is>
          <t>11 Juli 2026</t>
        </is>
      </c>
      <c r="M103" t="inlineStr">
        <is>
          <t>Konstruksi Gedung Hunian, Konstruksi Gedung Kesehatan, Konstruksi Gedung Pendidikan, Konstruksi Gedung Perkantoran</t>
        </is>
      </c>
      <c r="N103" t="inlineStr">
        <is>
          <t>K</t>
        </is>
      </c>
      <c r="O103" t="inlineStr">
        <is>
          <t>20230711</t>
        </is>
      </c>
      <c r="P103" t="inlineStr">
        <is>
          <t>Kalimantan Barat</t>
        </is>
      </c>
      <c r="Q103" t="inlineStr"/>
    </row>
    <row r="104">
      <c r="A104" t="inlineStr">
        <is>
          <t>IDOLA</t>
        </is>
      </c>
      <c r="B104" t="inlineStr">
        <is>
          <t>Kab. Garut</t>
        </is>
      </c>
      <c r="C104" t="inlineStr">
        <is>
          <t>0821-2187-4923</t>
        </is>
      </c>
      <c r="D104" t="inlineStr">
        <is>
          <t>idola.cv61@gmail.com</t>
        </is>
      </c>
      <c r="E104" t="inlineStr">
        <is>
          <t>https://lpjk.pu.go.id/search-badan-usaha-detail/eHpXUHUzMUdZeTZ6TlJwT0FaS0d6Zz09</t>
        </is>
      </c>
      <c r="F104" t="n">
        <v>3</v>
      </c>
      <c r="G104" t="inlineStr">
        <is>
          <t>BG006, BG008, BS001</t>
        </is>
      </c>
      <c r="H104" t="inlineStr">
        <is>
          <t>27 Maret 2014</t>
        </is>
      </c>
      <c r="I104" s="2" t="n">
        <v>46214</v>
      </c>
      <c r="J104" t="inlineStr">
        <is>
          <t>Pencabutan</t>
        </is>
      </c>
      <c r="K104" t="n">
        <v>30</v>
      </c>
      <c r="L104" t="inlineStr">
        <is>
          <t>11 Juli 2026</t>
        </is>
      </c>
      <c r="M104" t="inlineStr">
        <is>
          <t>Konstruksi Bangunan Sipil Jalan, Konstruksi Gedung Pendidikan, Konstruksi Gedung Tempat Hiburan dan Olahraga</t>
        </is>
      </c>
      <c r="N104" t="inlineStr">
        <is>
          <t>K</t>
        </is>
      </c>
      <c r="O104" t="inlineStr">
        <is>
          <t>20230710, 20230711</t>
        </is>
      </c>
      <c r="P104" t="inlineStr">
        <is>
          <t>Jawa Barat</t>
        </is>
      </c>
      <c r="Q104" t="inlineStr"/>
    </row>
    <row r="105">
      <c r="A105" t="inlineStr">
        <is>
          <t>IKHWAN</t>
        </is>
      </c>
      <c r="B105" t="inlineStr">
        <is>
          <t>Kab. Sambas</t>
        </is>
      </c>
      <c r="C105" t="inlineStr">
        <is>
          <t>085240752597</t>
        </is>
      </c>
      <c r="D105" t="inlineStr">
        <is>
          <t>ikhwanpajak@yahoo.com</t>
        </is>
      </c>
      <c r="E105" t="inlineStr">
        <is>
          <t>https://lpjk.pu.go.id/search-badan-usaha-detail/eC9FUk0yR3YzVDZzdC9rWnVVTGVEdEFuL3BtN09ZMXhCOWhMcHFCVndxaz0</t>
        </is>
      </c>
      <c r="F105" t="n">
        <v>1</v>
      </c>
      <c r="G105" t="inlineStr">
        <is>
          <t>BS010</t>
        </is>
      </c>
      <c r="H105" t="inlineStr">
        <is>
          <t>27 Agustus 2002</t>
        </is>
      </c>
      <c r="I105" s="2" t="n">
        <v>46214</v>
      </c>
      <c r="J105" t="inlineStr">
        <is>
          <t>Disetujui</t>
        </is>
      </c>
      <c r="K105" t="n">
        <v>30</v>
      </c>
      <c r="L105" t="inlineStr">
        <is>
          <t>11 Juli 2026</t>
        </is>
      </c>
      <c r="M105" t="inlineStr">
        <is>
          <t>Konstruksi Bangunan Prasarana Sumber Daya Air</t>
        </is>
      </c>
      <c r="N105" t="inlineStr">
        <is>
          <t>K</t>
        </is>
      </c>
      <c r="O105" t="inlineStr">
        <is>
          <t>20230712</t>
        </is>
      </c>
      <c r="P105" t="inlineStr">
        <is>
          <t>Kalimantan Barat</t>
        </is>
      </c>
      <c r="Q105" t="inlineStr"/>
    </row>
    <row r="106">
      <c r="A106" t="inlineStr">
        <is>
          <t>INDRA PRAKARSA</t>
        </is>
      </c>
      <c r="B106" t="inlineStr">
        <is>
          <t>-</t>
        </is>
      </c>
      <c r="C106" t="inlineStr">
        <is>
          <t>081378577857</t>
        </is>
      </c>
      <c r="D106" t="inlineStr">
        <is>
          <t>indraprakarsa2020@gmail.com</t>
        </is>
      </c>
      <c r="E106" t="inlineStr">
        <is>
          <t>https://lpjk.pu.go.id/search-badan-usaha-detail/UjV0cTg5ckkrVTVCZ3FQYURmcFQxQT09</t>
        </is>
      </c>
      <c r="F106" t="n">
        <v>7</v>
      </c>
      <c r="G106" t="inlineStr">
        <is>
          <t>BG002, BG003, BG005, BG006, BG009, BS001, BS004</t>
        </is>
      </c>
      <c r="H106" t="inlineStr">
        <is>
          <t>23 Januari 2020</t>
        </is>
      </c>
      <c r="I106" s="2" t="n">
        <v>46214</v>
      </c>
      <c r="J106" t="inlineStr">
        <is>
          <t>Disetujui</t>
        </is>
      </c>
      <c r="K106" t="n">
        <v>30</v>
      </c>
      <c r="L106" t="inlineStr">
        <is>
          <t>11 Juli 2026</t>
        </is>
      </c>
      <c r="M106" t="inlineStr">
        <is>
          <t>Konstruksi Bangunan Sipil Jalan, Konstruksi Gedung Industri, Konstruksi Gedung Kesehatan, Konstruksi Gedung Lainnya, Konstruksi Gedung Pendidikan, Konstruksi Gedung Perkantoran, Konstruksi Jaringan Irigasi dan Drainase</t>
        </is>
      </c>
      <c r="N106" t="inlineStr">
        <is>
          <t>K</t>
        </is>
      </c>
      <c r="O106" t="inlineStr">
        <is>
          <t>20230711, 20230712</t>
        </is>
      </c>
      <c r="P106" t="inlineStr">
        <is>
          <t>Riau</t>
        </is>
      </c>
      <c r="Q106" t="inlineStr"/>
    </row>
    <row r="107">
      <c r="A107" t="inlineStr">
        <is>
          <t>INTISARI</t>
        </is>
      </c>
      <c r="B107" t="inlineStr">
        <is>
          <t>Kab. Trenggalek</t>
        </is>
      </c>
      <c r="C107" t="inlineStr">
        <is>
          <t>081335882359</t>
        </is>
      </c>
      <c r="D107" t="inlineStr">
        <is>
          <t>intisari.trenggalek@gmail.com</t>
        </is>
      </c>
      <c r="E107" t="inlineStr">
        <is>
          <t>https://lpjk.pu.go.id/search-badan-usaha-detail/RFdIUkNIL3paTnVhaWxWcXJRNlJsdz09</t>
        </is>
      </c>
      <c r="F107" t="n">
        <v>1</v>
      </c>
      <c r="G107" t="inlineStr">
        <is>
          <t>BG009</t>
        </is>
      </c>
      <c r="H107" t="inlineStr">
        <is>
          <t>23 Januari 2007</t>
        </is>
      </c>
      <c r="I107" s="2" t="n">
        <v>46214</v>
      </c>
      <c r="J107" t="inlineStr">
        <is>
          <t>Disetujui</t>
        </is>
      </c>
      <c r="K107" t="n">
        <v>30</v>
      </c>
      <c r="L107" t="inlineStr">
        <is>
          <t>11 Juli 2026</t>
        </is>
      </c>
      <c r="M107" t="inlineStr">
        <is>
          <t>Konstruksi Gedung Lainnya</t>
        </is>
      </c>
      <c r="N107" t="inlineStr">
        <is>
          <t>K</t>
        </is>
      </c>
      <c r="O107" t="inlineStr">
        <is>
          <t>20230711</t>
        </is>
      </c>
      <c r="P107" t="inlineStr">
        <is>
          <t>Jawa Timur</t>
        </is>
      </c>
      <c r="Q107" t="inlineStr"/>
    </row>
    <row r="108">
      <c r="A108" t="inlineStr">
        <is>
          <t>INTISARI</t>
        </is>
      </c>
      <c r="B108" t="inlineStr">
        <is>
          <t>Kab. Situbondo</t>
        </is>
      </c>
      <c r="C108" t="inlineStr">
        <is>
          <t>085334824108</t>
        </is>
      </c>
      <c r="D108" t="inlineStr">
        <is>
          <t>mediacv6@gmail.com</t>
        </is>
      </c>
      <c r="E108" t="inlineStr">
        <is>
          <t>https://lpjk.pu.go.id/search-badan-usaha-detail/ZEJrdnNQSGsvUVNtdGFXTTJKYk9udz09</t>
        </is>
      </c>
      <c r="F108" t="n">
        <v>2</v>
      </c>
      <c r="G108" t="inlineStr">
        <is>
          <t>BS001, BS002</t>
        </is>
      </c>
      <c r="H108" t="inlineStr">
        <is>
          <t>8 Maret 1983</t>
        </is>
      </c>
      <c r="I108" s="2" t="n">
        <v>46214</v>
      </c>
      <c r="J108" t="inlineStr">
        <is>
          <t>Disetujui</t>
        </is>
      </c>
      <c r="K108" t="n">
        <v>30</v>
      </c>
      <c r="L108" t="inlineStr">
        <is>
          <t>11 Juli 2026</t>
        </is>
      </c>
      <c r="M108" t="inlineStr">
        <is>
          <t>Bangunan Sipil Jembatan, Jalan Layang, Fly Over, dan Underpass, Konstruksi Bangunan Sipil Jalan</t>
        </is>
      </c>
      <c r="N108" t="inlineStr">
        <is>
          <t>K</t>
        </is>
      </c>
      <c r="O108" t="inlineStr">
        <is>
          <t>20230703, 20230710</t>
        </is>
      </c>
      <c r="P108" t="inlineStr">
        <is>
          <t>Jawa Timur</t>
        </is>
      </c>
      <c r="Q108" t="inlineStr"/>
    </row>
    <row r="109">
      <c r="A109" t="inlineStr">
        <is>
          <t>JAN IO ENGINEERING</t>
        </is>
      </c>
      <c r="B109" t="inlineStr">
        <is>
          <t>Kab. Humbang Hasundutan</t>
        </is>
      </c>
      <c r="C109" t="inlineStr">
        <is>
          <t>081396244567</t>
        </is>
      </c>
      <c r="D109" t="inlineStr">
        <is>
          <t>marsada49@gmail.com</t>
        </is>
      </c>
      <c r="E109" t="inlineStr">
        <is>
          <t>https://lpjk.pu.go.id/search-badan-usaha-detail/ZjFhWk5HbXFxa1k2dFNQckVhNlZYQT09</t>
        </is>
      </c>
      <c r="F109" t="n">
        <v>1</v>
      </c>
      <c r="G109" t="inlineStr">
        <is>
          <t>BS001</t>
        </is>
      </c>
      <c r="H109" t="inlineStr">
        <is>
          <t>13 Maret 2023</t>
        </is>
      </c>
      <c r="I109" s="2" t="n">
        <v>46214</v>
      </c>
      <c r="J109" t="inlineStr">
        <is>
          <t>Disetujui</t>
        </is>
      </c>
      <c r="K109" t="n">
        <v>30</v>
      </c>
      <c r="L109" t="inlineStr">
        <is>
          <t>11 Juli 2026</t>
        </is>
      </c>
      <c r="M109" t="inlineStr">
        <is>
          <t>Konstruksi Bangunan Sipil Jalan</t>
        </is>
      </c>
      <c r="N109" t="inlineStr">
        <is>
          <t>K</t>
        </is>
      </c>
      <c r="O109" t="inlineStr">
        <is>
          <t>20230711</t>
        </is>
      </c>
      <c r="P109" t="inlineStr">
        <is>
          <t>Sumatera Utara</t>
        </is>
      </c>
      <c r="Q109" t="inlineStr"/>
    </row>
    <row r="110">
      <c r="A110" t="inlineStr">
        <is>
          <t>JATI TEHNIK</t>
        </is>
      </c>
      <c r="B110" t="inlineStr">
        <is>
          <t>Kota Adm. Jakarta Selatan</t>
        </is>
      </c>
      <c r="C110" t="inlineStr">
        <is>
          <t>02173880801</t>
        </is>
      </c>
      <c r="D110" t="inlineStr">
        <is>
          <t>jatitehnikpt@yahoo.co.id</t>
        </is>
      </c>
      <c r="E110" t="inlineStr">
        <is>
          <t>https://lpjk.pu.go.id/search-badan-usaha-detail/d0dadUpibzFIeTJQYkhPSlFBN1o3QT09</t>
        </is>
      </c>
      <c r="F110" t="n">
        <v>1</v>
      </c>
      <c r="G110" t="inlineStr">
        <is>
          <t>BG009</t>
        </is>
      </c>
      <c r="H110" t="inlineStr">
        <is>
          <t>6 Juni 2008</t>
        </is>
      </c>
      <c r="I110" s="2" t="n">
        <v>46214</v>
      </c>
      <c r="J110" t="inlineStr">
        <is>
          <t>Disetujui</t>
        </is>
      </c>
      <c r="K110" t="n">
        <v>30</v>
      </c>
      <c r="L110" t="inlineStr">
        <is>
          <t>11 Juli 2026</t>
        </is>
      </c>
      <c r="M110" t="inlineStr">
        <is>
          <t>Konstruksi Gedung Lainnya</t>
        </is>
      </c>
      <c r="N110" t="inlineStr">
        <is>
          <t>K</t>
        </is>
      </c>
      <c r="O110" t="inlineStr">
        <is>
          <t>20230707</t>
        </is>
      </c>
      <c r="P110" t="inlineStr">
        <is>
          <t>DKI Jakarta</t>
        </is>
      </c>
      <c r="Q110" t="inlineStr"/>
    </row>
    <row r="111">
      <c r="A111" t="inlineStr">
        <is>
          <t>JAYA KENCANA AMERTA</t>
        </is>
      </c>
      <c r="B111" t="inlineStr">
        <is>
          <t>Kab. Karangasem</t>
        </is>
      </c>
      <c r="C111" t="inlineStr">
        <is>
          <t>08124684708</t>
        </is>
      </c>
      <c r="D111" t="inlineStr">
        <is>
          <t>jayakencana.amerta@yahoo.com</t>
        </is>
      </c>
      <c r="E111" t="inlineStr">
        <is>
          <t>https://lpjk.pu.go.id/search-badan-usaha-detail/dE1lMTdxcExHaVNwMXRvMUN5THBoZz09</t>
        </is>
      </c>
      <c r="F111" t="n">
        <v>1</v>
      </c>
      <c r="G111" t="inlineStr">
        <is>
          <t>BG009</t>
        </is>
      </c>
      <c r="H111" t="inlineStr">
        <is>
          <t>5 Agustus 1994</t>
        </is>
      </c>
      <c r="I111" s="2" t="n">
        <v>46214</v>
      </c>
      <c r="J111" t="inlineStr">
        <is>
          <t>Validasi</t>
        </is>
      </c>
      <c r="K111" t="n">
        <v>30</v>
      </c>
      <c r="L111" t="inlineStr">
        <is>
          <t>11 Juli 2026</t>
        </is>
      </c>
      <c r="M111" t="inlineStr">
        <is>
          <t>Konstruksi Gedung Lainnya</t>
        </is>
      </c>
      <c r="N111" t="inlineStr">
        <is>
          <t>K</t>
        </is>
      </c>
      <c r="O111" t="inlineStr">
        <is>
          <t>20230707</t>
        </is>
      </c>
      <c r="P111" t="inlineStr">
        <is>
          <t>Bali</t>
        </is>
      </c>
      <c r="Q111" t="inlineStr"/>
    </row>
    <row r="112">
      <c r="A112" t="inlineStr">
        <is>
          <t>KALIH JAYA KONSTRUKSI</t>
        </is>
      </c>
      <c r="B112" t="inlineStr">
        <is>
          <t>Kota Samarinda</t>
        </is>
      </c>
      <c r="C112" t="inlineStr">
        <is>
          <t>085246786425</t>
        </is>
      </c>
      <c r="D112" t="inlineStr">
        <is>
          <t>69.kalihjaya@gmail.com</t>
        </is>
      </c>
      <c r="E112" t="inlineStr">
        <is>
          <t>https://lpjk.pu.go.id/search-badan-usaha-detail/L2o4RktNbzBzejJmWWM2ZUF2Q3RJQT09</t>
        </is>
      </c>
      <c r="F112" t="n">
        <v>2</v>
      </c>
      <c r="G112" t="inlineStr">
        <is>
          <t>BS001, BS002</t>
        </is>
      </c>
      <c r="H112" t="inlineStr">
        <is>
          <t>28 Desember 2021</t>
        </is>
      </c>
      <c r="I112" s="2" t="n">
        <v>46214</v>
      </c>
      <c r="J112" t="inlineStr">
        <is>
          <t>Disetujui</t>
        </is>
      </c>
      <c r="K112" t="n">
        <v>30</v>
      </c>
      <c r="L112" t="inlineStr">
        <is>
          <t>11 Juli 2026</t>
        </is>
      </c>
      <c r="M112" t="inlineStr">
        <is>
          <t>Bangunan Sipil Jembatan, Jalan Layang, Fly Over, dan Underpass, Konstruksi Bangunan Sipil Jalan</t>
        </is>
      </c>
      <c r="N112" t="inlineStr">
        <is>
          <t>K</t>
        </is>
      </c>
      <c r="O112" t="inlineStr">
        <is>
          <t>20230412</t>
        </is>
      </c>
      <c r="P112" t="inlineStr">
        <is>
          <t>Kalimantan Timur</t>
        </is>
      </c>
      <c r="Q112" t="inlineStr"/>
    </row>
    <row r="113">
      <c r="A113" t="inlineStr">
        <is>
          <t>KANCAH RATNA PUTRA</t>
        </is>
      </c>
      <c r="B113" t="inlineStr">
        <is>
          <t>Kab. Sumedang</t>
        </is>
      </c>
      <c r="C113" t="inlineStr">
        <is>
          <t>0852 2247 7739</t>
        </is>
      </c>
      <c r="D113" t="inlineStr">
        <is>
          <t>krp.gmsg@gmail.com</t>
        </is>
      </c>
      <c r="E113" t="inlineStr">
        <is>
          <t>https://lpjk.pu.go.id/search-badan-usaha-detail/OHBPTGhNWkozQjZhWlRvRG8rdlpvZz09</t>
        </is>
      </c>
      <c r="F113" t="n">
        <v>2</v>
      </c>
      <c r="G113" t="inlineStr">
        <is>
          <t>BG009</t>
        </is>
      </c>
      <c r="H113" t="inlineStr">
        <is>
          <t>9 Oktober 2013</t>
        </is>
      </c>
      <c r="I113" s="2" t="n">
        <v>46214</v>
      </c>
      <c r="J113" t="inlineStr">
        <is>
          <t>Disetujui</t>
        </is>
      </c>
      <c r="K113" t="n">
        <v>30</v>
      </c>
      <c r="L113" t="inlineStr">
        <is>
          <t>11 Juli 2026</t>
        </is>
      </c>
      <c r="M113" t="inlineStr">
        <is>
          <t>Konstruksi Gedung Lainnya</t>
        </is>
      </c>
      <c r="N113" t="inlineStr">
        <is>
          <t>K</t>
        </is>
      </c>
      <c r="O113" t="inlineStr">
        <is>
          <t>20230711</t>
        </is>
      </c>
      <c r="P113" t="inlineStr">
        <is>
          <t>Jawa Barat</t>
        </is>
      </c>
      <c r="Q113" t="inlineStr"/>
    </row>
    <row r="114">
      <c r="A114" t="inlineStr">
        <is>
          <t>KARYA ABIMANYU</t>
        </is>
      </c>
      <c r="B114" t="inlineStr">
        <is>
          <t>Kab. Indragiri Hulu</t>
        </is>
      </c>
      <c r="C114" t="inlineStr">
        <is>
          <t>081994096479</t>
        </is>
      </c>
      <c r="D114" t="inlineStr">
        <is>
          <t>karyaabimanyu@yahoo.com</t>
        </is>
      </c>
      <c r="E114" t="inlineStr">
        <is>
          <t>https://lpjk.pu.go.id/search-badan-usaha-detail/V0JQaE5GTWRIMTdzR1R4b1FqOW1HQT09</t>
        </is>
      </c>
      <c r="F114" t="n">
        <v>1</v>
      </c>
      <c r="G114" t="inlineStr">
        <is>
          <t>BG009</t>
        </is>
      </c>
      <c r="H114" t="inlineStr">
        <is>
          <t>4 Januari 2014</t>
        </is>
      </c>
      <c r="I114" s="2" t="n">
        <v>46214</v>
      </c>
      <c r="J114" t="inlineStr">
        <is>
          <t>Pencabutan</t>
        </is>
      </c>
      <c r="K114" t="n">
        <v>30</v>
      </c>
      <c r="L114" t="inlineStr">
        <is>
          <t>11 Juli 2026</t>
        </is>
      </c>
      <c r="M114" t="inlineStr">
        <is>
          <t>Konstruksi Gedung Lainnya</t>
        </is>
      </c>
      <c r="N114" t="inlineStr">
        <is>
          <t>K</t>
        </is>
      </c>
      <c r="O114" t="inlineStr">
        <is>
          <t>20230710</t>
        </is>
      </c>
      <c r="P114" t="inlineStr">
        <is>
          <t>Riau</t>
        </is>
      </c>
      <c r="Q114" t="inlineStr"/>
    </row>
    <row r="115">
      <c r="A115" t="inlineStr">
        <is>
          <t>KARYA BANGSA</t>
        </is>
      </c>
      <c r="B115" t="inlineStr">
        <is>
          <t>Kota Kupang</t>
        </is>
      </c>
      <c r="C115" t="inlineStr">
        <is>
          <t>081353600025</t>
        </is>
      </c>
      <c r="D115" t="inlineStr">
        <is>
          <t>karyabangsa0@gmail.com</t>
        </is>
      </c>
      <c r="E115" t="inlineStr">
        <is>
          <t>https://lpjk.pu.go.id/search-badan-usaha-detail/NzM5VUhtbXNZZHU2SnppRWxmWXlMZz09</t>
        </is>
      </c>
      <c r="F115" t="n">
        <v>2</v>
      </c>
      <c r="G115" t="inlineStr">
        <is>
          <t>BG006, BG009</t>
        </is>
      </c>
      <c r="H115" t="inlineStr">
        <is>
          <t>12 Januari 2016</t>
        </is>
      </c>
      <c r="I115" s="2" t="n">
        <v>46214</v>
      </c>
      <c r="J115" t="inlineStr">
        <is>
          <t>Disetujui</t>
        </is>
      </c>
      <c r="K115" t="n">
        <v>30</v>
      </c>
      <c r="L115" t="inlineStr">
        <is>
          <t>11 Juli 2026</t>
        </is>
      </c>
      <c r="M115" t="inlineStr">
        <is>
          <t>Konstruksi Gedung Lainnya, Konstruksi Gedung Pendidikan</t>
        </is>
      </c>
      <c r="N115" t="inlineStr">
        <is>
          <t>K</t>
        </is>
      </c>
      <c r="O115" t="inlineStr">
        <is>
          <t>20230703</t>
        </is>
      </c>
      <c r="P115" t="inlineStr">
        <is>
          <t>Nusa Tenggara Timur</t>
        </is>
      </c>
      <c r="Q115" t="inlineStr"/>
    </row>
    <row r="116">
      <c r="A116" t="inlineStr">
        <is>
          <t>KARYA CEMPAKA</t>
        </is>
      </c>
      <c r="B116" t="inlineStr">
        <is>
          <t>Kab. Demak</t>
        </is>
      </c>
      <c r="C116" t="inlineStr">
        <is>
          <t>081325893488</t>
        </is>
      </c>
      <c r="D116" t="inlineStr">
        <is>
          <t>karya.cempaka@yahoo.co.id</t>
        </is>
      </c>
      <c r="E116" t="inlineStr">
        <is>
          <t>https://lpjk.pu.go.id/search-badan-usaha-detail/V3U3MjlacHJ5ZkYwMGxOYjBkNWJOZz09</t>
        </is>
      </c>
      <c r="F116" t="n">
        <v>2</v>
      </c>
      <c r="G116" t="inlineStr">
        <is>
          <t>BS001, BS004</t>
        </is>
      </c>
      <c r="H116" t="inlineStr">
        <is>
          <t>11 Maret 2008</t>
        </is>
      </c>
      <c r="I116" s="2" t="n">
        <v>46214</v>
      </c>
      <c r="J116" t="inlineStr">
        <is>
          <t>Disetujui</t>
        </is>
      </c>
      <c r="K116" t="n">
        <v>30</v>
      </c>
      <c r="L116" t="inlineStr">
        <is>
          <t>11 Juli 2026</t>
        </is>
      </c>
      <c r="M116" t="inlineStr">
        <is>
          <t>Konstruksi Bangunan Sipil Jalan, Konstruksi Jaringan Irigasi dan Drainase</t>
        </is>
      </c>
      <c r="N116" t="inlineStr">
        <is>
          <t>K</t>
        </is>
      </c>
      <c r="O116" t="inlineStr">
        <is>
          <t>20230705</t>
        </is>
      </c>
      <c r="P116" t="inlineStr">
        <is>
          <t>Jawa Tengah</t>
        </is>
      </c>
      <c r="Q116" t="inlineStr"/>
    </row>
    <row r="117">
      <c r="A117" t="inlineStr">
        <is>
          <t>KARYA PERDANA UTAMA</t>
        </is>
      </c>
      <c r="B117" t="inlineStr">
        <is>
          <t>Kota Ambon</t>
        </is>
      </c>
      <c r="C117" t="inlineStr">
        <is>
          <t>081343190089</t>
        </is>
      </c>
      <c r="D117" t="inlineStr">
        <is>
          <t>cvkaryaperdanautama20@gmail.com</t>
        </is>
      </c>
      <c r="E117" t="inlineStr">
        <is>
          <t>https://lpjk.pu.go.id/search-badan-usaha-detail/ZUk0WkNmR3NUNjlTY3N3K25RZGhTUT09</t>
        </is>
      </c>
      <c r="F117" t="n">
        <v>1</v>
      </c>
      <c r="G117" t="inlineStr">
        <is>
          <t>BS001</t>
        </is>
      </c>
      <c r="H117" t="inlineStr">
        <is>
          <t>1 Februari 2023</t>
        </is>
      </c>
      <c r="I117" s="2" t="n">
        <v>46214</v>
      </c>
      <c r="J117" t="inlineStr">
        <is>
          <t>Disetujui</t>
        </is>
      </c>
      <c r="K117" t="n">
        <v>30</v>
      </c>
      <c r="L117" t="inlineStr">
        <is>
          <t>11 Juli 2026</t>
        </is>
      </c>
      <c r="M117" t="inlineStr">
        <is>
          <t>Konstruksi Bangunan Sipil Jalan</t>
        </is>
      </c>
      <c r="N117" t="inlineStr">
        <is>
          <t>K</t>
        </is>
      </c>
      <c r="O117" t="inlineStr">
        <is>
          <t>20230712</t>
        </is>
      </c>
      <c r="P117" t="inlineStr">
        <is>
          <t>Maluku</t>
        </is>
      </c>
      <c r="Q117" t="inlineStr"/>
    </row>
    <row r="118">
      <c r="A118" t="inlineStr">
        <is>
          <t>KARYA PRIMA</t>
        </is>
      </c>
      <c r="B118" t="inlineStr">
        <is>
          <t>Kab. Bangkalan</t>
        </is>
      </c>
      <c r="C118" t="inlineStr">
        <is>
          <t>08123133770</t>
        </is>
      </c>
      <c r="D118" t="inlineStr">
        <is>
          <t>direktur.karyaprima@gmail.com</t>
        </is>
      </c>
      <c r="E118" t="inlineStr">
        <is>
          <t>https://lpjk.pu.go.id/search-badan-usaha-detail/VDhVT3B1eFNlWmNiZ0N1K2Q4akVNQT09</t>
        </is>
      </c>
      <c r="F118" t="n">
        <v>1</v>
      </c>
      <c r="G118" t="inlineStr">
        <is>
          <t>BS004</t>
        </is>
      </c>
      <c r="H118" t="inlineStr">
        <is>
          <t>10 September 1992</t>
        </is>
      </c>
      <c r="I118" s="2" t="n">
        <v>46214</v>
      </c>
      <c r="J118" t="inlineStr">
        <is>
          <t>Disetujui</t>
        </is>
      </c>
      <c r="K118" t="n">
        <v>30</v>
      </c>
      <c r="L118" t="inlineStr">
        <is>
          <t>11 Juli 2026</t>
        </is>
      </c>
      <c r="M118" t="inlineStr">
        <is>
          <t>Konstruksi Jaringan Irigasi dan Drainase</t>
        </is>
      </c>
      <c r="N118" t="inlineStr">
        <is>
          <t>K</t>
        </is>
      </c>
      <c r="O118" t="inlineStr">
        <is>
          <t>20230705</t>
        </is>
      </c>
      <c r="P118" t="inlineStr">
        <is>
          <t>Jawa Timur</t>
        </is>
      </c>
      <c r="Q118" t="inlineStr"/>
    </row>
    <row r="119">
      <c r="A119" t="inlineStr">
        <is>
          <t>KARYA PUTRI</t>
        </is>
      </c>
      <c r="B119" t="inlineStr">
        <is>
          <t>Kab. Sumba Timur</t>
        </is>
      </c>
      <c r="C119" t="inlineStr">
        <is>
          <t>082146022447</t>
        </is>
      </c>
      <c r="D119" t="inlineStr">
        <is>
          <t>karyaputriwgp@gmail.com</t>
        </is>
      </c>
      <c r="E119" t="inlineStr">
        <is>
          <t>https://lpjk.pu.go.id/search-badan-usaha-detail/VVNIUXJNQzFrZDMwMmt3ZFZHbUt6QT09</t>
        </is>
      </c>
      <c r="F119" t="n">
        <v>3</v>
      </c>
      <c r="G119" t="inlineStr">
        <is>
          <t>BG001, BG006, BG009</t>
        </is>
      </c>
      <c r="H119" t="inlineStr">
        <is>
          <t>31 Januari 2023</t>
        </is>
      </c>
      <c r="I119" s="2" t="n">
        <v>46214</v>
      </c>
      <c r="J119" t="inlineStr">
        <is>
          <t>Disetujui</t>
        </is>
      </c>
      <c r="K119" t="n">
        <v>30</v>
      </c>
      <c r="L119" t="inlineStr">
        <is>
          <t>11 Juli 2026</t>
        </is>
      </c>
      <c r="M119" t="inlineStr">
        <is>
          <t>Konstruksi Gedung Hunian, Konstruksi Gedung Lainnya, Konstruksi Gedung Pendidikan</t>
        </is>
      </c>
      <c r="N119" t="inlineStr">
        <is>
          <t>K</t>
        </is>
      </c>
      <c r="O119" t="inlineStr">
        <is>
          <t>20230708, 20230709</t>
        </is>
      </c>
      <c r="P119" t="inlineStr">
        <is>
          <t>Nusa Tenggara Timur</t>
        </is>
      </c>
      <c r="Q119" t="inlineStr"/>
    </row>
    <row r="120">
      <c r="A120" t="inlineStr">
        <is>
          <t>KASIH IBU</t>
        </is>
      </c>
      <c r="B120" t="inlineStr">
        <is>
          <t>Kab. Poso</t>
        </is>
      </c>
      <c r="C120" t="inlineStr">
        <is>
          <t>081333588884</t>
        </is>
      </c>
      <c r="D120" t="inlineStr">
        <is>
          <t>kasihibu.tentena@gmail.com</t>
        </is>
      </c>
      <c r="E120" t="inlineStr">
        <is>
          <t>https://lpjk.pu.go.id/search-badan-usaha-detail/d0w1dGhDK2RBWlpUYWpNem5tYlcrUT09</t>
        </is>
      </c>
      <c r="F120" t="n">
        <v>1</v>
      </c>
      <c r="G120" t="inlineStr">
        <is>
          <t>BG006</t>
        </is>
      </c>
      <c r="H120" t="inlineStr">
        <is>
          <t>6 Februari 2007</t>
        </is>
      </c>
      <c r="I120" s="2" t="n">
        <v>46214</v>
      </c>
      <c r="J120" t="inlineStr">
        <is>
          <t>Pencabutan</t>
        </is>
      </c>
      <c r="K120" t="n">
        <v>30</v>
      </c>
      <c r="L120" t="inlineStr">
        <is>
          <t>11 Juli 2026</t>
        </is>
      </c>
      <c r="M120" t="inlineStr">
        <is>
          <t>Konstruksi Gedung Pendidikan</t>
        </is>
      </c>
      <c r="N120" t="inlineStr">
        <is>
          <t>K</t>
        </is>
      </c>
      <c r="O120" t="inlineStr">
        <is>
          <t>20230630</t>
        </is>
      </c>
      <c r="P120" t="inlineStr">
        <is>
          <t>Sulawesi Tengah</t>
        </is>
      </c>
      <c r="Q120" t="inlineStr"/>
    </row>
    <row r="121">
      <c r="A121" t="inlineStr">
        <is>
          <t>KONSTRUKSI ALAM MANDIRI UTAMA</t>
        </is>
      </c>
      <c r="B121" t="inlineStr">
        <is>
          <t>Kab. Malang</t>
        </is>
      </c>
      <c r="C121" t="inlineStr">
        <is>
          <t>082333300550</t>
        </is>
      </c>
      <c r="D121" t="inlineStr">
        <is>
          <t>cvkonstruksialammandiriutama@gmail.com</t>
        </is>
      </c>
      <c r="E121" t="inlineStr">
        <is>
          <t>https://lpjk.pu.go.id/search-badan-usaha-detail/bFBxMFlQRTlOQUpEVlZjRXpYV0Nidz09</t>
        </is>
      </c>
      <c r="F121" t="n">
        <v>1</v>
      </c>
      <c r="G121" t="inlineStr">
        <is>
          <t>KK012</t>
        </is>
      </c>
      <c r="H121" t="inlineStr">
        <is>
          <t>22 Agustus 2022</t>
        </is>
      </c>
      <c r="I121" s="2" t="n">
        <v>46214</v>
      </c>
      <c r="J121" t="inlineStr">
        <is>
          <t>Pencabutan</t>
        </is>
      </c>
      <c r="K121" t="n">
        <v>30</v>
      </c>
      <c r="L121" t="inlineStr">
        <is>
          <t>11 Juli 2026</t>
        </is>
      </c>
      <c r="M121" t="inlineStr">
        <is>
          <t>Pekerjaan Struktur Beton</t>
        </is>
      </c>
      <c r="N121" t="inlineStr">
        <is>
          <t>Spesialis</t>
        </is>
      </c>
      <c r="O121" t="inlineStr">
        <is>
          <t>20230707</t>
        </is>
      </c>
      <c r="P121" t="inlineStr">
        <is>
          <t>Jawa Timur</t>
        </is>
      </c>
      <c r="Q121" t="inlineStr"/>
    </row>
    <row r="122">
      <c r="A122" t="inlineStr">
        <is>
          <t>KREASI MUARA JAYA</t>
        </is>
      </c>
      <c r="B122" t="inlineStr">
        <is>
          <t>Kab. Deli Serdang</t>
        </is>
      </c>
      <c r="C122" t="inlineStr">
        <is>
          <t>081362014023</t>
        </is>
      </c>
      <c r="D122" t="inlineStr">
        <is>
          <t>muarajayakreasi01@gmail.com</t>
        </is>
      </c>
      <c r="E122" t="inlineStr">
        <is>
          <t>https://lpjk.pu.go.id/search-badan-usaha-detail/bGpXYjE4Z0Q2WUlwV3NlcnFNZUltZz09</t>
        </is>
      </c>
      <c r="F122" t="n">
        <v>1</v>
      </c>
      <c r="G122" t="inlineStr">
        <is>
          <t>BS002</t>
        </is>
      </c>
      <c r="H122" t="inlineStr">
        <is>
          <t>7 Desember 2022</t>
        </is>
      </c>
      <c r="I122" s="2" t="n">
        <v>46214</v>
      </c>
      <c r="J122" t="inlineStr">
        <is>
          <t>Disetujui</t>
        </is>
      </c>
      <c r="K122" t="n">
        <v>30</v>
      </c>
      <c r="L122" t="inlineStr">
        <is>
          <t>11 Juli 2026</t>
        </is>
      </c>
      <c r="M122" t="inlineStr">
        <is>
          <t>Bangunan Sipil Jembatan, Jalan Layang, Fly Over, dan Underpass</t>
        </is>
      </c>
      <c r="N122" t="inlineStr">
        <is>
          <t>K</t>
        </is>
      </c>
      <c r="O122" t="inlineStr">
        <is>
          <t>20230706</t>
        </is>
      </c>
      <c r="P122" t="inlineStr">
        <is>
          <t>Sumatera Utara</t>
        </is>
      </c>
      <c r="Q122" t="inlineStr"/>
    </row>
    <row r="123">
      <c r="A123" t="inlineStr">
        <is>
          <t>LANANG PERKASA</t>
        </is>
      </c>
      <c r="B123" t="inlineStr">
        <is>
          <t>Kab. Sukoharjo</t>
        </is>
      </c>
      <c r="C123" t="inlineStr">
        <is>
          <t>082119607116</t>
        </is>
      </c>
      <c r="D123" t="inlineStr">
        <is>
          <t>lanangperkasa@gmail.com</t>
        </is>
      </c>
      <c r="E123" t="inlineStr">
        <is>
          <t>https://lpjk.pu.go.id/search-badan-usaha-detail/OWgxanZhaDJNS1NBTUM4NitWYzNHdz09</t>
        </is>
      </c>
      <c r="F123" t="n">
        <v>1</v>
      </c>
      <c r="G123" t="inlineStr">
        <is>
          <t>BS001</t>
        </is>
      </c>
      <c r="H123" t="inlineStr">
        <is>
          <t>19 Agustus 1991</t>
        </is>
      </c>
      <c r="I123" s="2" t="n">
        <v>46214</v>
      </c>
      <c r="J123" t="inlineStr">
        <is>
          <t>Disetujui</t>
        </is>
      </c>
      <c r="K123" t="n">
        <v>30</v>
      </c>
      <c r="L123" t="inlineStr">
        <is>
          <t>11 Juli 2026</t>
        </is>
      </c>
      <c r="M123" t="inlineStr">
        <is>
          <t>Konstruksi Bangunan Sipil Jalan</t>
        </is>
      </c>
      <c r="N123" t="inlineStr">
        <is>
          <t>K</t>
        </is>
      </c>
      <c r="O123" t="inlineStr">
        <is>
          <t>20230710</t>
        </is>
      </c>
      <c r="P123" t="inlineStr">
        <is>
          <t>Jawa Tengah</t>
        </is>
      </c>
      <c r="Q123" t="inlineStr"/>
    </row>
    <row r="124">
      <c r="A124" t="inlineStr">
        <is>
          <t>LINTAS SUMBARI</t>
        </is>
      </c>
      <c r="B124" t="inlineStr">
        <is>
          <t>Kab. Lima Puluh Kota</t>
        </is>
      </c>
      <c r="C124" t="inlineStr">
        <is>
          <t>081374150999</t>
        </is>
      </c>
      <c r="D124" t="inlineStr">
        <is>
          <t>sumbarilintas.cv@gmail.com</t>
        </is>
      </c>
      <c r="E124" t="inlineStr">
        <is>
          <t>https://lpjk.pu.go.id/search-badan-usaha-detail/UkV6Q1FQbUlUVVF1MVZnRUMyMEcvdz09</t>
        </is>
      </c>
      <c r="F124" t="n">
        <v>2</v>
      </c>
      <c r="G124" t="inlineStr">
        <is>
          <t>BG005, BG009</t>
        </is>
      </c>
      <c r="H124" t="inlineStr">
        <is>
          <t>11 Maret 2014</t>
        </is>
      </c>
      <c r="I124" s="2" t="n">
        <v>46214</v>
      </c>
      <c r="J124" t="inlineStr">
        <is>
          <t>Disetujui</t>
        </is>
      </c>
      <c r="K124" t="n">
        <v>30</v>
      </c>
      <c r="L124" t="inlineStr">
        <is>
          <t>11 Juli 2026</t>
        </is>
      </c>
      <c r="M124" t="inlineStr">
        <is>
          <t>Konstruksi Gedung Kesehatan, Konstruksi Gedung Lainnya</t>
        </is>
      </c>
      <c r="N124" t="inlineStr">
        <is>
          <t>K</t>
        </is>
      </c>
      <c r="O124" t="inlineStr">
        <is>
          <t>20230711, 20230712</t>
        </is>
      </c>
      <c r="P124" t="inlineStr">
        <is>
          <t>Sumatera Barat</t>
        </is>
      </c>
      <c r="Q124" t="inlineStr"/>
    </row>
    <row r="125">
      <c r="A125" t="inlineStr">
        <is>
          <t>LUMINTU INTI PERSADA</t>
        </is>
      </c>
      <c r="B125" t="inlineStr">
        <is>
          <t>Kab. Kutai Timur</t>
        </is>
      </c>
      <c r="C125" t="inlineStr">
        <is>
          <t>082217310151</t>
        </is>
      </c>
      <c r="D125" t="inlineStr">
        <is>
          <t>cv.lumintuintipersada@gmail.com</t>
        </is>
      </c>
      <c r="E125" t="inlineStr">
        <is>
          <t>https://lpjk.pu.go.id/search-badan-usaha-detail/TG5Ec3Q2NHJDa1VKWGNvTFNqOUk3UT09</t>
        </is>
      </c>
      <c r="F125" t="n">
        <v>1</v>
      </c>
      <c r="G125" t="inlineStr">
        <is>
          <t>BG004</t>
        </is>
      </c>
      <c r="H125" t="inlineStr">
        <is>
          <t>29 Juli 2022</t>
        </is>
      </c>
      <c r="I125" s="2" t="n">
        <v>46214</v>
      </c>
      <c r="J125" t="inlineStr">
        <is>
          <t>Pencabutan</t>
        </is>
      </c>
      <c r="K125" t="n">
        <v>30</v>
      </c>
      <c r="L125" t="inlineStr">
        <is>
          <t>11 Juli 2026</t>
        </is>
      </c>
      <c r="M125" t="inlineStr">
        <is>
          <t>Konstruksi Gedung Perbelanjaan</t>
        </is>
      </c>
      <c r="N125" t="inlineStr">
        <is>
          <t>K</t>
        </is>
      </c>
      <c r="O125" t="inlineStr">
        <is>
          <t>20230711</t>
        </is>
      </c>
      <c r="P125" t="inlineStr">
        <is>
          <t>Kalimantan Timur</t>
        </is>
      </c>
      <c r="Q125" t="inlineStr"/>
    </row>
    <row r="126">
      <c r="A126" t="inlineStr">
        <is>
          <t>LUMINTU JAYA</t>
        </is>
      </c>
      <c r="B126" t="inlineStr">
        <is>
          <t>Kab. Magetan</t>
        </is>
      </c>
      <c r="C126" t="inlineStr">
        <is>
          <t>085335797790</t>
        </is>
      </c>
      <c r="D126" t="inlineStr">
        <is>
          <t>lumintujaya2016@gmail.com</t>
        </is>
      </c>
      <c r="E126" t="inlineStr">
        <is>
          <t>https://lpjk.pu.go.id/search-badan-usaha-detail/empGdUNKMHRoam1FYXo2S1hhbURZUT09</t>
        </is>
      </c>
      <c r="F126" t="n">
        <v>1</v>
      </c>
      <c r="G126" t="inlineStr">
        <is>
          <t>BG009</t>
        </is>
      </c>
      <c r="H126" t="inlineStr">
        <is>
          <t>12 Juli 2008</t>
        </is>
      </c>
      <c r="I126" s="2" t="n">
        <v>46214</v>
      </c>
      <c r="J126" t="inlineStr">
        <is>
          <t>Disetujui</t>
        </is>
      </c>
      <c r="K126" t="n">
        <v>30</v>
      </c>
      <c r="L126" t="inlineStr">
        <is>
          <t>11 Juli 2026</t>
        </is>
      </c>
      <c r="M126" t="inlineStr">
        <is>
          <t>Konstruksi Gedung Lainnya</t>
        </is>
      </c>
      <c r="N126" t="inlineStr">
        <is>
          <t>K</t>
        </is>
      </c>
      <c r="O126" t="inlineStr">
        <is>
          <t>20230328</t>
        </is>
      </c>
      <c r="P126" t="inlineStr">
        <is>
          <t>Jawa Timur</t>
        </is>
      </c>
      <c r="Q126" t="inlineStr"/>
    </row>
    <row r="127">
      <c r="A127" t="inlineStr">
        <is>
          <t>MAHAGA PANATAU ANTANG</t>
        </is>
      </c>
      <c r="B127" t="inlineStr">
        <is>
          <t>Kab. Pulang Pisau</t>
        </is>
      </c>
      <c r="C127" t="inlineStr">
        <is>
          <t>082158668099</t>
        </is>
      </c>
      <c r="D127" t="inlineStr">
        <is>
          <t>cvmahagapanatauantangantang@gmail.com</t>
        </is>
      </c>
      <c r="E127" t="inlineStr">
        <is>
          <t>https://lpjk.pu.go.id/search-badan-usaha-detail/eUNnREovd2s3ck00U1I0TFNDV1ErUT09</t>
        </is>
      </c>
      <c r="F127" t="n">
        <v>1</v>
      </c>
      <c r="G127" t="inlineStr">
        <is>
          <t>BG009</t>
        </is>
      </c>
      <c r="H127" t="inlineStr">
        <is>
          <t>22 Juni 2023</t>
        </is>
      </c>
      <c r="I127" s="2" t="n">
        <v>46214</v>
      </c>
      <c r="J127" t="inlineStr">
        <is>
          <t>Disetujui</t>
        </is>
      </c>
      <c r="K127" t="n">
        <v>30</v>
      </c>
      <c r="L127" t="inlineStr">
        <is>
          <t>11 Juli 2026</t>
        </is>
      </c>
      <c r="M127" t="inlineStr">
        <is>
          <t>Konstruksi Gedung Lainnya</t>
        </is>
      </c>
      <c r="N127" t="inlineStr">
        <is>
          <t>K</t>
        </is>
      </c>
      <c r="O127" t="inlineStr">
        <is>
          <t>20230710</t>
        </is>
      </c>
      <c r="P127" t="inlineStr">
        <is>
          <t>Kalimantan Tengah</t>
        </is>
      </c>
      <c r="Q127" t="inlineStr"/>
    </row>
    <row r="128">
      <c r="A128" t="inlineStr">
        <is>
          <t>MAHAKARYA</t>
        </is>
      </c>
      <c r="B128" t="inlineStr">
        <is>
          <t>Kab. Blitar</t>
        </is>
      </c>
      <c r="C128" t="inlineStr">
        <is>
          <t>08123359554</t>
        </is>
      </c>
      <c r="D128" t="inlineStr">
        <is>
          <t>didikbudifariadi@yahoo.co.id</t>
        </is>
      </c>
      <c r="E128" t="inlineStr">
        <is>
          <t>https://lpjk.pu.go.id/search-badan-usaha-detail/M3lTZlVPem5wci9uWWU1bUhLVFJIdz09</t>
        </is>
      </c>
      <c r="F128" t="n">
        <v>3</v>
      </c>
      <c r="G128" t="inlineStr">
        <is>
          <t>BG008</t>
        </is>
      </c>
      <c r="H128" t="inlineStr">
        <is>
          <t>9 September 1999</t>
        </is>
      </c>
      <c r="I128" s="2" t="n">
        <v>46214</v>
      </c>
      <c r="J128" t="inlineStr">
        <is>
          <t>Disetujui</t>
        </is>
      </c>
      <c r="K128" t="n">
        <v>30</v>
      </c>
      <c r="L128" t="inlineStr">
        <is>
          <t>11 Juli 2026</t>
        </is>
      </c>
      <c r="M128" t="inlineStr">
        <is>
          <t>Konstruksi Gedung Tempat Hiburan dan Olahraga</t>
        </is>
      </c>
      <c r="N128" t="inlineStr">
        <is>
          <t>K</t>
        </is>
      </c>
      <c r="O128" t="inlineStr">
        <is>
          <t>20230707</t>
        </is>
      </c>
      <c r="P128" t="inlineStr">
        <is>
          <t>Jawa Timur</t>
        </is>
      </c>
      <c r="Q128" t="inlineStr"/>
    </row>
    <row r="129">
      <c r="A129" t="inlineStr">
        <is>
          <t>MAKMUR</t>
        </is>
      </c>
      <c r="B129" t="inlineStr">
        <is>
          <t>Kota Pariaman</t>
        </is>
      </c>
      <c r="C129" t="inlineStr">
        <is>
          <t>085274273295</t>
        </is>
      </c>
      <c r="D129" t="inlineStr">
        <is>
          <t>makmurpariaman@yahoo.com</t>
        </is>
      </c>
      <c r="E129" t="inlineStr">
        <is>
          <t>https://lpjk.pu.go.id/search-badan-usaha-detail/Qy9SdklreHJGQ01wSmd1dlVqZDVrZz09</t>
        </is>
      </c>
      <c r="F129" t="n">
        <v>1</v>
      </c>
      <c r="G129" t="inlineStr">
        <is>
          <t>BS010</t>
        </is>
      </c>
      <c r="H129" t="inlineStr">
        <is>
          <t>28 Agustus 1991</t>
        </is>
      </c>
      <c r="I129" s="2" t="n">
        <v>46214</v>
      </c>
      <c r="J129" t="inlineStr">
        <is>
          <t>Disetujui</t>
        </is>
      </c>
      <c r="K129" t="n">
        <v>30</v>
      </c>
      <c r="L129" t="inlineStr">
        <is>
          <t>11 Juli 2026</t>
        </is>
      </c>
      <c r="M129" t="inlineStr">
        <is>
          <t>Konstruksi Bangunan Prasarana Sumber Daya Air</t>
        </is>
      </c>
      <c r="N129" t="inlineStr">
        <is>
          <t>K</t>
        </is>
      </c>
      <c r="O129" t="inlineStr">
        <is>
          <t>20230711</t>
        </is>
      </c>
      <c r="P129" t="inlineStr">
        <is>
          <t>Sumatera Barat</t>
        </is>
      </c>
      <c r="Q129" t="inlineStr"/>
    </row>
    <row r="130">
      <c r="A130" t="inlineStr">
        <is>
          <t>MALIKA PRATAMA</t>
        </is>
      </c>
      <c r="B130" t="inlineStr">
        <is>
          <t>Kab. Dharmasraya</t>
        </is>
      </c>
      <c r="C130" t="inlineStr">
        <is>
          <t>081372540239</t>
        </is>
      </c>
      <c r="D130" t="inlineStr">
        <is>
          <t>cv.malikapratama888@gmail.com</t>
        </is>
      </c>
      <c r="E130" t="inlineStr">
        <is>
          <t>https://lpjk.pu.go.id/search-badan-usaha-detail/UzlWQlVSOGlINkNGY0J3RDVyS0J6Zz09</t>
        </is>
      </c>
      <c r="F130" t="n">
        <v>2</v>
      </c>
      <c r="G130" t="inlineStr">
        <is>
          <t>BG005</t>
        </is>
      </c>
      <c r="H130" t="inlineStr">
        <is>
          <t>21 Januari 2010</t>
        </is>
      </c>
      <c r="I130" s="2" t="n">
        <v>46214</v>
      </c>
      <c r="J130" t="inlineStr">
        <is>
          <t>Pencabutan</t>
        </is>
      </c>
      <c r="K130" t="n">
        <v>30</v>
      </c>
      <c r="L130" t="inlineStr">
        <is>
          <t>11 Juli 2026</t>
        </is>
      </c>
      <c r="M130" t="inlineStr">
        <is>
          <t>Konstruksi Gedung Kesehatan</t>
        </is>
      </c>
      <c r="N130" t="inlineStr">
        <is>
          <t>K</t>
        </is>
      </c>
      <c r="O130" t="inlineStr">
        <is>
          <t>20230629</t>
        </is>
      </c>
      <c r="P130" t="inlineStr">
        <is>
          <t>Sumatera Barat</t>
        </is>
      </c>
      <c r="Q130" t="inlineStr"/>
    </row>
    <row r="131">
      <c r="A131" t="inlineStr">
        <is>
          <t>MANGGALA JAYA KONSTRUKSI</t>
        </is>
      </c>
      <c r="B131" t="inlineStr">
        <is>
          <t>Kab. Musi Banyuasin</t>
        </is>
      </c>
      <c r="C131" t="inlineStr">
        <is>
          <t>081373907220</t>
        </is>
      </c>
      <c r="D131" t="inlineStr">
        <is>
          <t>kmanggalajaya@gmail.com</t>
        </is>
      </c>
      <c r="E131" t="inlineStr">
        <is>
          <t>https://lpjk.pu.go.id/search-badan-usaha-detail/Y00rUjhZc2pqNGJYQjVWQWJaam5pQT09</t>
        </is>
      </c>
      <c r="F131" t="n">
        <v>1</v>
      </c>
      <c r="G131" t="inlineStr">
        <is>
          <t>BS001</t>
        </is>
      </c>
      <c r="H131" t="inlineStr">
        <is>
          <t>4 Februari 2022</t>
        </is>
      </c>
      <c r="I131" s="2" t="n">
        <v>46214</v>
      </c>
      <c r="J131" t="inlineStr">
        <is>
          <t>Disetujui</t>
        </is>
      </c>
      <c r="K131" t="n">
        <v>30</v>
      </c>
      <c r="L131" t="inlineStr">
        <is>
          <t>11 Juli 2026</t>
        </is>
      </c>
      <c r="M131" t="inlineStr">
        <is>
          <t>Konstruksi Bangunan Sipil Jalan</t>
        </is>
      </c>
      <c r="N131" t="inlineStr">
        <is>
          <t>K</t>
        </is>
      </c>
      <c r="O131" t="inlineStr">
        <is>
          <t>20230609</t>
        </is>
      </c>
      <c r="P131" t="inlineStr">
        <is>
          <t>Sumatera Selatan</t>
        </is>
      </c>
      <c r="Q131" t="inlineStr"/>
    </row>
    <row r="132">
      <c r="A132" t="inlineStr">
        <is>
          <t>MEGAH KONSTRUKSI</t>
        </is>
      </c>
      <c r="B132" t="inlineStr">
        <is>
          <t>Kab. Sleman</t>
        </is>
      </c>
      <c r="C132" t="inlineStr">
        <is>
          <t>0274797167</t>
        </is>
      </c>
      <c r="D132" t="inlineStr">
        <is>
          <t>cv.megahkonstruksi@yahoo.co.id</t>
        </is>
      </c>
      <c r="E132" t="inlineStr">
        <is>
          <t>https://lpjk.pu.go.id/search-badan-usaha-detail/eEhLdWJ2RUZzWFVyTTM4dWppTnBvZz09</t>
        </is>
      </c>
      <c r="F132" t="n">
        <v>8</v>
      </c>
      <c r="G132" t="inlineStr">
        <is>
          <t>BG005, BG006, BG009, BS004</t>
        </is>
      </c>
      <c r="H132" t="inlineStr">
        <is>
          <t>1 September 1992</t>
        </is>
      </c>
      <c r="I132" s="2" t="n">
        <v>46214</v>
      </c>
      <c r="J132" t="inlineStr">
        <is>
          <t>Disetujui</t>
        </is>
      </c>
      <c r="K132" t="n">
        <v>30</v>
      </c>
      <c r="L132" t="inlineStr">
        <is>
          <t>11 Juli 2026</t>
        </is>
      </c>
      <c r="M132" t="inlineStr">
        <is>
          <t>Konstruksi Gedung Kesehatan, Konstruksi Gedung Lainnya, Konstruksi Gedung Pendidikan, Konstruksi Jaringan Irigasi dan Drainase</t>
        </is>
      </c>
      <c r="N132" t="inlineStr">
        <is>
          <t>K</t>
        </is>
      </c>
      <c r="O132" t="inlineStr">
        <is>
          <t>20230703</t>
        </is>
      </c>
      <c r="P132" t="inlineStr">
        <is>
          <t>DI Yogyakarta</t>
        </is>
      </c>
      <c r="Q132" t="inlineStr"/>
    </row>
    <row r="133">
      <c r="A133" t="inlineStr">
        <is>
          <t>MEKA ASIA PROPERTI</t>
        </is>
      </c>
      <c r="B133" t="inlineStr">
        <is>
          <t>Kota Mataram</t>
        </is>
      </c>
      <c r="C133" t="inlineStr">
        <is>
          <t>082147222682</t>
        </is>
      </c>
      <c r="D133" t="inlineStr">
        <is>
          <t>mekaasia.lop@gmail.com</t>
        </is>
      </c>
      <c r="E133" t="inlineStr">
        <is>
          <t>https://lpjk.pu.go.id/search-badan-usaha-detail/M01uVG9oWXlUTXlxYzVSVFdYczdkdz09</t>
        </is>
      </c>
      <c r="F133" t="n">
        <v>1</v>
      </c>
      <c r="G133" t="inlineStr">
        <is>
          <t>BS001</t>
        </is>
      </c>
      <c r="H133" t="inlineStr">
        <is>
          <t>14 Juli 2018</t>
        </is>
      </c>
      <c r="I133" s="2" t="n">
        <v>46214</v>
      </c>
      <c r="J133" t="inlineStr">
        <is>
          <t>Pencabutan</t>
        </is>
      </c>
      <c r="K133" t="n">
        <v>30</v>
      </c>
      <c r="L133" t="inlineStr">
        <is>
          <t>11 Juli 2026</t>
        </is>
      </c>
      <c r="M133" t="inlineStr">
        <is>
          <t>Konstruksi Bangunan Sipil Jalan</t>
        </is>
      </c>
      <c r="N133" t="inlineStr">
        <is>
          <t>K</t>
        </is>
      </c>
      <c r="O133" t="inlineStr">
        <is>
          <t>20230706</t>
        </is>
      </c>
      <c r="P133" t="inlineStr">
        <is>
          <t>Nusa Tenggara Barat</t>
        </is>
      </c>
      <c r="Q133" t="inlineStr"/>
    </row>
    <row r="134">
      <c r="A134" t="inlineStr">
        <is>
          <t>MEKAR ABADI</t>
        </is>
      </c>
      <c r="B134" t="inlineStr">
        <is>
          <t>Kab. Kotawaringin Timur</t>
        </is>
      </c>
      <c r="C134" t="inlineStr">
        <is>
          <t>081349096255</t>
        </is>
      </c>
      <c r="D134" t="inlineStr">
        <is>
          <t>cvmekar_abadi@yahoo.co.id</t>
        </is>
      </c>
      <c r="E134" t="inlineStr">
        <is>
          <t>https://lpjk.pu.go.id/search-badan-usaha-detail/Q3lPVC9mbDFmWDNnUlYrVzROZFpXdz09</t>
        </is>
      </c>
      <c r="F134" t="n">
        <v>2</v>
      </c>
      <c r="G134" t="inlineStr">
        <is>
          <t>BG002</t>
        </is>
      </c>
      <c r="H134" t="inlineStr">
        <is>
          <t>11 Desember 2014</t>
        </is>
      </c>
      <c r="I134" s="2" t="n">
        <v>46214</v>
      </c>
      <c r="J134" t="inlineStr">
        <is>
          <t>Disetujui</t>
        </is>
      </c>
      <c r="K134" t="n">
        <v>30</v>
      </c>
      <c r="L134" t="inlineStr">
        <is>
          <t>11 Juli 2026</t>
        </is>
      </c>
      <c r="M134" t="inlineStr">
        <is>
          <t>Konstruksi Gedung Perkantoran</t>
        </is>
      </c>
      <c r="N134" t="inlineStr">
        <is>
          <t>K</t>
        </is>
      </c>
      <c r="O134" t="inlineStr">
        <is>
          <t>20230706</t>
        </is>
      </c>
      <c r="P134" t="inlineStr">
        <is>
          <t>Kalimantan Tengah</t>
        </is>
      </c>
      <c r="Q134" t="inlineStr"/>
    </row>
    <row r="135">
      <c r="A135" t="inlineStr">
        <is>
          <t>MEKAR TEKNOLOGI</t>
        </is>
      </c>
      <c r="B135" t="inlineStr">
        <is>
          <t>Kab. Pekalongan</t>
        </is>
      </c>
      <c r="C135" t="inlineStr">
        <is>
          <t>081226231113</t>
        </is>
      </c>
      <c r="D135" t="inlineStr">
        <is>
          <t>cv.mekarteknologi@gmail.com</t>
        </is>
      </c>
      <c r="E135" t="inlineStr">
        <is>
          <t>https://lpjk.pu.go.id/search-badan-usaha-detail/QTlmS3o5N3dkLzhrRmRidDExRy9rQT09</t>
        </is>
      </c>
      <c r="F135" t="n">
        <v>2</v>
      </c>
      <c r="G135" t="inlineStr">
        <is>
          <t>BS004</t>
        </is>
      </c>
      <c r="H135" t="inlineStr">
        <is>
          <t>9 Desember 2004</t>
        </is>
      </c>
      <c r="I135" s="2" t="n">
        <v>46214</v>
      </c>
      <c r="J135" t="inlineStr">
        <is>
          <t>Disetujui</t>
        </is>
      </c>
      <c r="K135" t="n">
        <v>30</v>
      </c>
      <c r="L135" t="inlineStr">
        <is>
          <t>11 Juli 2026</t>
        </is>
      </c>
      <c r="M135" t="inlineStr">
        <is>
          <t>Konstruksi Jaringan Irigasi dan Drainase</t>
        </is>
      </c>
      <c r="N135" t="inlineStr">
        <is>
          <t>K</t>
        </is>
      </c>
      <c r="O135" t="inlineStr">
        <is>
          <t>20230704</t>
        </is>
      </c>
      <c r="P135" t="inlineStr">
        <is>
          <t>Jawa Tengah</t>
        </is>
      </c>
      <c r="Q135" t="inlineStr"/>
    </row>
    <row r="136">
      <c r="A136" t="inlineStr">
        <is>
          <t>MITRA DWI UTAMA</t>
        </is>
      </c>
      <c r="B136" t="inlineStr">
        <is>
          <t>Kab. Gresik</t>
        </is>
      </c>
      <c r="C136" t="inlineStr">
        <is>
          <t>081217810765</t>
        </is>
      </c>
      <c r="D136" t="inlineStr">
        <is>
          <t>kanjawi@yahoo.co.id</t>
        </is>
      </c>
      <c r="E136" t="inlineStr">
        <is>
          <t>https://lpjk.pu.go.id/search-badan-usaha-detail/UnM5Z0ZKOGM4TCtrVVVtcE9oTlVRZz09</t>
        </is>
      </c>
      <c r="F136" t="n">
        <v>3</v>
      </c>
      <c r="G136" t="inlineStr">
        <is>
          <t>BS001, BS002, BS004</t>
        </is>
      </c>
      <c r="H136" t="inlineStr">
        <is>
          <t>22 Desember 2011</t>
        </is>
      </c>
      <c r="I136" s="2" t="n">
        <v>46214</v>
      </c>
      <c r="J136" t="inlineStr">
        <is>
          <t>Disetujui</t>
        </is>
      </c>
      <c r="K136" t="n">
        <v>30</v>
      </c>
      <c r="L136" t="inlineStr">
        <is>
          <t>11 Juli 2026</t>
        </is>
      </c>
      <c r="M136" t="inlineStr">
        <is>
          <t>Bangunan Sipil Jembatan, Jalan Layang, Fly Over, dan Underpass, Konstruksi Bangunan Sipil Jalan, Konstruksi Jaringan Irigasi dan Drainase</t>
        </is>
      </c>
      <c r="N136" t="inlineStr">
        <is>
          <t>K</t>
        </is>
      </c>
      <c r="O136" t="inlineStr">
        <is>
          <t>20230615, 20230622, 20230623</t>
        </is>
      </c>
      <c r="P136" t="inlineStr">
        <is>
          <t>Jawa Timur</t>
        </is>
      </c>
      <c r="Q136" t="inlineStr"/>
    </row>
    <row r="137">
      <c r="A137" t="inlineStr">
        <is>
          <t>MORA BROTHERS CONSTRUCTION</t>
        </is>
      </c>
      <c r="B137" t="inlineStr">
        <is>
          <t>Kab. Tanjung Jabung Barat</t>
        </is>
      </c>
      <c r="C137" t="inlineStr">
        <is>
          <t>0895629123080</t>
        </is>
      </c>
      <c r="D137" t="inlineStr">
        <is>
          <t>morabrotherconstruction@gmail.com</t>
        </is>
      </c>
      <c r="E137" t="inlineStr">
        <is>
          <t>https://lpjk.pu.go.id/search-badan-usaha-detail/TTVNU25qamNTSHp5eUVoVzRSTTdWQT09</t>
        </is>
      </c>
      <c r="F137" t="n">
        <v>1</v>
      </c>
      <c r="G137" t="inlineStr">
        <is>
          <t>BS001</t>
        </is>
      </c>
      <c r="H137" t="inlineStr">
        <is>
          <t>6 Juni 2023</t>
        </is>
      </c>
      <c r="I137" s="2" t="n">
        <v>46214</v>
      </c>
      <c r="J137" t="inlineStr">
        <is>
          <t>Disetujui</t>
        </is>
      </c>
      <c r="K137" t="n">
        <v>30</v>
      </c>
      <c r="L137" t="inlineStr">
        <is>
          <t>11 Juli 2026</t>
        </is>
      </c>
      <c r="M137" t="inlineStr">
        <is>
          <t>Konstruksi Bangunan Sipil Jalan</t>
        </is>
      </c>
      <c r="N137" t="inlineStr">
        <is>
          <t>K</t>
        </is>
      </c>
      <c r="O137" t="inlineStr">
        <is>
          <t>20230704</t>
        </is>
      </c>
      <c r="P137" t="inlineStr">
        <is>
          <t>Jambi</t>
        </is>
      </c>
      <c r="Q137" t="inlineStr"/>
    </row>
    <row r="138">
      <c r="A138" t="inlineStr">
        <is>
          <t>MULTICOM PRIMA SAKTI</t>
        </is>
      </c>
      <c r="B138" t="inlineStr">
        <is>
          <t>Kab. Kepulauan Talaud</t>
        </is>
      </c>
      <c r="C138" t="inlineStr">
        <is>
          <t>081343565143</t>
        </is>
      </c>
      <c r="D138" t="inlineStr">
        <is>
          <t>multicomprimasakti@gmail.com</t>
        </is>
      </c>
      <c r="E138" t="inlineStr">
        <is>
          <t>https://lpjk.pu.go.id/search-badan-usaha-detail/VlBrdklxTGxBMU1nc2ttdU5NVE9SQT09</t>
        </is>
      </c>
      <c r="F138" t="n">
        <v>1</v>
      </c>
      <c r="G138" t="inlineStr">
        <is>
          <t>BG005</t>
        </is>
      </c>
      <c r="H138" t="inlineStr">
        <is>
          <t>4 Januari 2023</t>
        </is>
      </c>
      <c r="I138" s="2" t="n">
        <v>46214</v>
      </c>
      <c r="J138" t="inlineStr">
        <is>
          <t>Disetujui</t>
        </is>
      </c>
      <c r="K138" t="n">
        <v>30</v>
      </c>
      <c r="L138" t="inlineStr">
        <is>
          <t>11 Juli 2026</t>
        </is>
      </c>
      <c r="M138" t="inlineStr">
        <is>
          <t>Konstruksi Gedung Kesehatan</t>
        </is>
      </c>
      <c r="N138" t="inlineStr">
        <is>
          <t>K</t>
        </is>
      </c>
      <c r="O138" t="inlineStr">
        <is>
          <t>20230705</t>
        </is>
      </c>
      <c r="P138" t="inlineStr">
        <is>
          <t>Sulawesi Utara</t>
        </is>
      </c>
      <c r="Q138" t="inlineStr"/>
    </row>
    <row r="139">
      <c r="A139" t="inlineStr">
        <is>
          <t>MULTIJAYA WENAMI</t>
        </is>
      </c>
      <c r="B139" t="inlineStr">
        <is>
          <t>Kab. Nabire</t>
        </is>
      </c>
      <c r="C139" t="inlineStr">
        <is>
          <t>081388848844</t>
        </is>
      </c>
      <c r="D139" t="inlineStr">
        <is>
          <t>multijayawenami@gmail.com</t>
        </is>
      </c>
      <c r="E139" t="inlineStr">
        <is>
          <t>https://lpjk.pu.go.id/search-badan-usaha-detail/VWRKMkxFQkhqL1NkSE5SenlCaFF5Zz09</t>
        </is>
      </c>
      <c r="F139" t="n">
        <v>2</v>
      </c>
      <c r="G139" t="inlineStr">
        <is>
          <t>BG006</t>
        </is>
      </c>
      <c r="H139" t="inlineStr">
        <is>
          <t>17 Mei 2023</t>
        </is>
      </c>
      <c r="I139" s="2" t="n">
        <v>46214</v>
      </c>
      <c r="J139" t="inlineStr">
        <is>
          <t>Pencabutan</t>
        </is>
      </c>
      <c r="K139" t="n">
        <v>30</v>
      </c>
      <c r="L139" t="inlineStr">
        <is>
          <t>11 Juli 2026</t>
        </is>
      </c>
      <c r="M139" t="inlineStr">
        <is>
          <t>Konstruksi Gedung Pendidikan</t>
        </is>
      </c>
      <c r="N139" t="inlineStr">
        <is>
          <t>K</t>
        </is>
      </c>
      <c r="O139" t="inlineStr">
        <is>
          <t>20230709</t>
        </is>
      </c>
      <c r="P139" t="inlineStr">
        <is>
          <t>Papua</t>
        </is>
      </c>
      <c r="Q139" t="inlineStr"/>
    </row>
    <row r="140">
      <c r="A140" t="inlineStr">
        <is>
          <t>MUNCUL JAYA SEJATI</t>
        </is>
      </c>
      <c r="B140" t="inlineStr">
        <is>
          <t>Kab. Sampang</t>
        </is>
      </c>
      <c r="C140" t="inlineStr">
        <is>
          <t>082132230155</t>
        </is>
      </c>
      <c r="D140" t="inlineStr">
        <is>
          <t>cvmunculjayasejati@gmail.com</t>
        </is>
      </c>
      <c r="E140" t="inlineStr">
        <is>
          <t>https://lpjk.pu.go.id/search-badan-usaha-detail/alZ5NFZRTDBVMnU4bHZRalhiYU8wUT09</t>
        </is>
      </c>
      <c r="F140" t="n">
        <v>1</v>
      </c>
      <c r="G140" t="inlineStr">
        <is>
          <t>BG006</t>
        </is>
      </c>
      <c r="H140" t="inlineStr">
        <is>
          <t>22 Oktober 2019</t>
        </is>
      </c>
      <c r="I140" s="2" t="n">
        <v>46214</v>
      </c>
      <c r="J140" t="inlineStr">
        <is>
          <t>Disetujui</t>
        </is>
      </c>
      <c r="K140" t="n">
        <v>30</v>
      </c>
      <c r="L140" t="inlineStr">
        <is>
          <t>11 Juli 2026</t>
        </is>
      </c>
      <c r="M140" t="inlineStr">
        <is>
          <t>Konstruksi Gedung Pendidikan</t>
        </is>
      </c>
      <c r="N140" t="inlineStr">
        <is>
          <t>K</t>
        </is>
      </c>
      <c r="O140" t="inlineStr">
        <is>
          <t>20230704</t>
        </is>
      </c>
      <c r="P140" t="inlineStr">
        <is>
          <t>Jawa Timur</t>
        </is>
      </c>
      <c r="Q140" t="inlineStr"/>
    </row>
    <row r="141">
      <c r="A141" t="inlineStr">
        <is>
          <t>NAILA RIZKY</t>
        </is>
      </c>
      <c r="B141" t="inlineStr">
        <is>
          <t>Kab. Tabalong</t>
        </is>
      </c>
      <c r="C141" t="inlineStr">
        <is>
          <t>05262722560</t>
        </is>
      </c>
      <c r="D141" t="inlineStr">
        <is>
          <t>chiboen_bjm@yahoo.co.id</t>
        </is>
      </c>
      <c r="E141" t="inlineStr">
        <is>
          <t>https://lpjk.pu.go.id/search-badan-usaha-detail/VDR1N0JlUnBLbll0NHJIT1VWKzRRZz09</t>
        </is>
      </c>
      <c r="F141" t="n">
        <v>1</v>
      </c>
      <c r="G141" t="inlineStr">
        <is>
          <t>BS001</t>
        </is>
      </c>
      <c r="H141" t="inlineStr">
        <is>
          <t>3 April 2006</t>
        </is>
      </c>
      <c r="I141" s="2" t="n">
        <v>46214</v>
      </c>
      <c r="J141" t="inlineStr">
        <is>
          <t>Pencabutan</t>
        </is>
      </c>
      <c r="K141" t="n">
        <v>30</v>
      </c>
      <c r="L141" t="inlineStr">
        <is>
          <t>11 Juli 2026</t>
        </is>
      </c>
      <c r="M141" t="inlineStr">
        <is>
          <t>Konstruksi Bangunan Sipil Jalan</t>
        </is>
      </c>
      <c r="N141" t="inlineStr">
        <is>
          <t>K</t>
        </is>
      </c>
      <c r="O141" t="inlineStr">
        <is>
          <t>20230614</t>
        </is>
      </c>
      <c r="P141" t="inlineStr">
        <is>
          <t>Kalimantan Selatan</t>
        </is>
      </c>
      <c r="Q141" t="inlineStr"/>
    </row>
    <row r="142">
      <c r="A142" t="inlineStr">
        <is>
          <t>NARA BOEMI KARYA</t>
        </is>
      </c>
      <c r="B142" t="inlineStr">
        <is>
          <t>Kab. Lamongan</t>
        </is>
      </c>
      <c r="C142" t="inlineStr">
        <is>
          <t>081357038908</t>
        </is>
      </c>
      <c r="D142" t="inlineStr">
        <is>
          <t>nara_boemi_karya@yahoo.co.id</t>
        </is>
      </c>
      <c r="E142" t="inlineStr">
        <is>
          <t>https://lpjk.pu.go.id/search-badan-usaha-detail/am1kUHQrcXM5bVp2cFFJbTdEWVBnZz09</t>
        </is>
      </c>
      <c r="F142" t="n">
        <v>1</v>
      </c>
      <c r="G142" t="inlineStr">
        <is>
          <t>BS004</t>
        </is>
      </c>
      <c r="H142" t="inlineStr">
        <is>
          <t>10 November 2011</t>
        </is>
      </c>
      <c r="I142" s="2" t="n">
        <v>46214</v>
      </c>
      <c r="J142" t="inlineStr">
        <is>
          <t>Permohonan Perpanjangan</t>
        </is>
      </c>
      <c r="K142" t="n">
        <v>30</v>
      </c>
      <c r="L142" t="inlineStr">
        <is>
          <t>11 Juli 2026</t>
        </is>
      </c>
      <c r="M142" t="inlineStr">
        <is>
          <t>Konstruksi Jaringan Irigasi dan Drainase</t>
        </is>
      </c>
      <c r="N142" t="inlineStr">
        <is>
          <t>K</t>
        </is>
      </c>
      <c r="O142" t="inlineStr">
        <is>
          <t>20230711</t>
        </is>
      </c>
      <c r="P142" t="inlineStr">
        <is>
          <t>Jawa Timur</t>
        </is>
      </c>
      <c r="Q142" t="inlineStr"/>
    </row>
    <row r="143">
      <c r="A143" t="inlineStr">
        <is>
          <t>NUR ANISA</t>
        </is>
      </c>
      <c r="B143" t="inlineStr">
        <is>
          <t>Kab. Gorontalo</t>
        </is>
      </c>
      <c r="C143" t="inlineStr">
        <is>
          <t>081281732888</t>
        </is>
      </c>
      <c r="D143" t="inlineStr">
        <is>
          <t>ismiatisaidi23@gmail.com</t>
        </is>
      </c>
      <c r="E143" t="inlineStr">
        <is>
          <t>https://lpjk.pu.go.id/search-badan-usaha-detail/cG5IY2dLWW1IbmN3MTV6aXRObS9iZz09</t>
        </is>
      </c>
      <c r="F143" t="n">
        <v>1</v>
      </c>
      <c r="G143" t="inlineStr">
        <is>
          <t>BG006</t>
        </is>
      </c>
      <c r="H143" t="inlineStr">
        <is>
          <t>28 Juni 2001</t>
        </is>
      </c>
      <c r="I143" s="2" t="n">
        <v>46214</v>
      </c>
      <c r="J143" t="inlineStr">
        <is>
          <t>Disetujui</t>
        </is>
      </c>
      <c r="K143" t="n">
        <v>30</v>
      </c>
      <c r="L143" t="inlineStr">
        <is>
          <t>11 Juli 2026</t>
        </is>
      </c>
      <c r="M143" t="inlineStr">
        <is>
          <t>Konstruksi Gedung Pendidikan</t>
        </is>
      </c>
      <c r="N143" t="inlineStr">
        <is>
          <t>K</t>
        </is>
      </c>
      <c r="O143" t="inlineStr">
        <is>
          <t>20230627</t>
        </is>
      </c>
      <c r="P143" t="inlineStr">
        <is>
          <t>Gorontalo</t>
        </is>
      </c>
      <c r="Q143" t="inlineStr"/>
    </row>
    <row r="144">
      <c r="A144" t="inlineStr">
        <is>
          <t>NURSADAH MANDIRI</t>
        </is>
      </c>
      <c r="B144" t="inlineStr">
        <is>
          <t>Kab. Cirebon</t>
        </is>
      </c>
      <c r="C144" t="inlineStr">
        <is>
          <t>082117206090</t>
        </is>
      </c>
      <c r="D144" t="inlineStr">
        <is>
          <t>cv.nursadahmandiri@yahoo.com</t>
        </is>
      </c>
      <c r="E144" t="inlineStr">
        <is>
          <t>https://lpjk.pu.go.id/search-badan-usaha-detail/WXBmanA2MTQ3ZytoNlVmREZrdDNQQT09</t>
        </is>
      </c>
      <c r="F144" t="n">
        <v>1</v>
      </c>
      <c r="G144" t="inlineStr">
        <is>
          <t>BS001</t>
        </is>
      </c>
      <c r="H144" t="inlineStr">
        <is>
          <t>9 April 2018</t>
        </is>
      </c>
      <c r="I144" s="2" t="n">
        <v>46214</v>
      </c>
      <c r="J144" t="inlineStr">
        <is>
          <t>Disetujui</t>
        </is>
      </c>
      <c r="K144" t="n">
        <v>30</v>
      </c>
      <c r="L144" t="inlineStr">
        <is>
          <t>11 Juli 2026</t>
        </is>
      </c>
      <c r="M144" t="inlineStr">
        <is>
          <t>Konstruksi Bangunan Sipil Jalan</t>
        </is>
      </c>
      <c r="N144" t="inlineStr">
        <is>
          <t>K</t>
        </is>
      </c>
      <c r="O144" t="inlineStr">
        <is>
          <t>20230707</t>
        </is>
      </c>
      <c r="P144" t="inlineStr">
        <is>
          <t>Jawa Barat</t>
        </is>
      </c>
      <c r="Q144" t="inlineStr"/>
    </row>
    <row r="145">
      <c r="A145" t="inlineStr">
        <is>
          <t>OKTA QUEEN</t>
        </is>
      </c>
      <c r="B145" t="inlineStr">
        <is>
          <t>Kab. Garut</t>
        </is>
      </c>
      <c r="C145" t="inlineStr">
        <is>
          <t>08122475717</t>
        </is>
      </c>
      <c r="D145" t="inlineStr">
        <is>
          <t>cv.oktaqueen@gmail.com</t>
        </is>
      </c>
      <c r="E145" t="inlineStr">
        <is>
          <t>https://lpjk.pu.go.id/search-badan-usaha-detail/TmFtMndWeVdCRTFmUnoxdlB1RU1Udz09</t>
        </is>
      </c>
      <c r="F145" t="n">
        <v>2</v>
      </c>
      <c r="G145" t="inlineStr">
        <is>
          <t>BS001, BS004</t>
        </is>
      </c>
      <c r="H145" t="inlineStr">
        <is>
          <t>30 Januari 2018</t>
        </is>
      </c>
      <c r="I145" s="2" t="n">
        <v>46214</v>
      </c>
      <c r="J145" t="inlineStr">
        <is>
          <t>Disetujui</t>
        </is>
      </c>
      <c r="K145" t="n">
        <v>30</v>
      </c>
      <c r="L145" t="inlineStr">
        <is>
          <t>11 Juli 2026</t>
        </is>
      </c>
      <c r="M145" t="inlineStr">
        <is>
          <t>Konstruksi Bangunan Sipil Jalan, Konstruksi Jaringan Irigasi dan Drainase</t>
        </is>
      </c>
      <c r="N145" t="inlineStr">
        <is>
          <t>K</t>
        </is>
      </c>
      <c r="O145" t="inlineStr">
        <is>
          <t>20230704</t>
        </is>
      </c>
      <c r="P145" t="inlineStr">
        <is>
          <t>Jawa Barat</t>
        </is>
      </c>
      <c r="Q145" t="inlineStr"/>
    </row>
    <row r="146">
      <c r="A146" t="inlineStr">
        <is>
          <t>PANCA DUTA KARYA ABADI</t>
        </is>
      </c>
      <c r="B146" t="inlineStr">
        <is>
          <t>Kota Jayapura</t>
        </is>
      </c>
      <c r="C146" t="inlineStr">
        <is>
          <t>0967537776</t>
        </is>
      </c>
      <c r="D146" t="inlineStr">
        <is>
          <t>jayapura_ptpdka@yahoo.com</t>
        </is>
      </c>
      <c r="E146" t="inlineStr">
        <is>
          <t>https://lpjk.pu.go.id/search-badan-usaha-detail/d3F4TG41dGMzd0Vhbm4xQ2NJVmFBZz09</t>
        </is>
      </c>
      <c r="F146" t="n">
        <v>1</v>
      </c>
      <c r="G146" t="inlineStr">
        <is>
          <t>BG009</t>
        </is>
      </c>
      <c r="H146" t="inlineStr">
        <is>
          <t>21 Mei 1983</t>
        </is>
      </c>
      <c r="I146" s="2" t="n">
        <v>46214</v>
      </c>
      <c r="J146" t="inlineStr">
        <is>
          <t>Disetujui</t>
        </is>
      </c>
      <c r="K146" t="n">
        <v>30</v>
      </c>
      <c r="L146" t="inlineStr">
        <is>
          <t>11 Juli 2026</t>
        </is>
      </c>
      <c r="M146" t="inlineStr">
        <is>
          <t>Konstruksi Gedung Lainnya</t>
        </is>
      </c>
      <c r="N146" t="inlineStr">
        <is>
          <t>B</t>
        </is>
      </c>
      <c r="O146" t="inlineStr">
        <is>
          <t>20230615</t>
        </is>
      </c>
      <c r="P146" t="inlineStr">
        <is>
          <t>Papua</t>
        </is>
      </c>
      <c r="Q146" t="inlineStr"/>
    </row>
    <row r="147">
      <c r="A147" t="inlineStr">
        <is>
          <t>PARTAYA BERKAH</t>
        </is>
      </c>
      <c r="B147" t="inlineStr">
        <is>
          <t>Kab. Ciamis</t>
        </is>
      </c>
      <c r="C147" t="inlineStr">
        <is>
          <t>0</t>
        </is>
      </c>
      <c r="D147" t="inlineStr">
        <is>
          <t>partayaberkah@gmail.com</t>
        </is>
      </c>
      <c r="E147" t="inlineStr">
        <is>
          <t>https://lpjk.pu.go.id/search-badan-usaha-detail/WWMxMDZadk9VZUFya1RwTlc2QktNQT09</t>
        </is>
      </c>
      <c r="F147" t="n">
        <v>2</v>
      </c>
      <c r="G147" t="inlineStr">
        <is>
          <t>BG006</t>
        </is>
      </c>
      <c r="H147" t="inlineStr">
        <is>
          <t>17 Februari 2020</t>
        </is>
      </c>
      <c r="I147" s="2" t="n">
        <v>46214</v>
      </c>
      <c r="J147" t="inlineStr">
        <is>
          <t>Disetujui</t>
        </is>
      </c>
      <c r="K147" t="n">
        <v>30</v>
      </c>
      <c r="L147" t="inlineStr">
        <is>
          <t>11 Juli 2026</t>
        </is>
      </c>
      <c r="M147" t="inlineStr">
        <is>
          <t>Konstruksi Gedung Pendidikan</t>
        </is>
      </c>
      <c r="N147" t="inlineStr">
        <is>
          <t>K</t>
        </is>
      </c>
      <c r="O147" t="inlineStr">
        <is>
          <t>20230707</t>
        </is>
      </c>
      <c r="P147" t="inlineStr">
        <is>
          <t>Jawa Barat</t>
        </is>
      </c>
      <c r="Q147" t="inlineStr"/>
    </row>
    <row r="148">
      <c r="A148" t="inlineStr">
        <is>
          <t>PEMBANGUNAN NUSANTARA JAYA</t>
        </is>
      </c>
      <c r="B148" t="inlineStr">
        <is>
          <t>Kab. Sidoarjo</t>
        </is>
      </c>
      <c r="C148" t="inlineStr">
        <is>
          <t>0318068967</t>
        </is>
      </c>
      <c r="D148" t="inlineStr">
        <is>
          <t>pembangunan.nusantara@gmail.com</t>
        </is>
      </c>
      <c r="E148" t="inlineStr">
        <is>
          <t>https://lpjk.pu.go.id/search-badan-usaha-detail/a2dvYnd5QnFpSk5UaUVheEdTREFWdz09</t>
        </is>
      </c>
      <c r="F148" t="n">
        <v>1</v>
      </c>
      <c r="G148" t="inlineStr">
        <is>
          <t>BS001</t>
        </is>
      </c>
      <c r="H148" t="inlineStr">
        <is>
          <t>2 Desember 2008</t>
        </is>
      </c>
      <c r="I148" s="2" t="n">
        <v>46214</v>
      </c>
      <c r="J148" t="inlineStr">
        <is>
          <t>Pembekuan</t>
        </is>
      </c>
      <c r="K148" t="n">
        <v>30</v>
      </c>
      <c r="L148" t="inlineStr">
        <is>
          <t>11 Juli 2026</t>
        </is>
      </c>
      <c r="M148" t="inlineStr">
        <is>
          <t>Konstruksi Bangunan Sipil Jalan</t>
        </is>
      </c>
      <c r="N148" t="inlineStr">
        <is>
          <t>M</t>
        </is>
      </c>
      <c r="O148" t="inlineStr">
        <is>
          <t>20230711</t>
        </is>
      </c>
      <c r="P148" t="inlineStr">
        <is>
          <t>Jawa Timur</t>
        </is>
      </c>
      <c r="Q148" t="inlineStr"/>
    </row>
    <row r="149">
      <c r="A149" t="inlineStr">
        <is>
          <t>PERDANA IHSAN MUBARAK</t>
        </is>
      </c>
      <c r="B149" t="inlineStr">
        <is>
          <t>Kota Adm. Jakarta Selatan</t>
        </is>
      </c>
      <c r="C149" t="inlineStr">
        <is>
          <t>08128656670</t>
        </is>
      </c>
      <c r="D149" t="inlineStr">
        <is>
          <t>perdanaihsanmubarak@gmail.com</t>
        </is>
      </c>
      <c r="E149" t="inlineStr">
        <is>
          <t>https://lpjk.pu.go.id/search-badan-usaha-detail/ODFDVWhMZ0I1L2Qzb2JZU3QvRXZxdz09</t>
        </is>
      </c>
      <c r="F149" t="n">
        <v>2</v>
      </c>
      <c r="G149" t="inlineStr">
        <is>
          <t>BG002, BG009</t>
        </is>
      </c>
      <c r="H149" t="inlineStr">
        <is>
          <t>15 Desember 2017</t>
        </is>
      </c>
      <c r="I149" s="2" t="n">
        <v>46214</v>
      </c>
      <c r="J149" t="inlineStr">
        <is>
          <t>Pencabutan</t>
        </is>
      </c>
      <c r="K149" t="n">
        <v>30</v>
      </c>
      <c r="L149" t="inlineStr">
        <is>
          <t>11 Juli 2026</t>
        </is>
      </c>
      <c r="M149" t="inlineStr">
        <is>
          <t>Konstruksi Gedung Lainnya, Konstruksi Gedung Perkantoran</t>
        </is>
      </c>
      <c r="N149" t="inlineStr">
        <is>
          <t>K</t>
        </is>
      </c>
      <c r="O149" t="inlineStr">
        <is>
          <t>20230711</t>
        </is>
      </c>
      <c r="P149" t="inlineStr">
        <is>
          <t>DKI Jakarta</t>
        </is>
      </c>
      <c r="Q149" t="inlineStr"/>
    </row>
    <row r="150">
      <c r="A150" t="inlineStr">
        <is>
          <t>PILAR PUTRA PERKASA</t>
        </is>
      </c>
      <c r="B150" t="inlineStr">
        <is>
          <t>Kab. Sidoarjo</t>
        </is>
      </c>
      <c r="C150" t="inlineStr">
        <is>
          <t>085607668338</t>
        </is>
      </c>
      <c r="D150" t="inlineStr">
        <is>
          <t>pilarputrapt@gmail.com</t>
        </is>
      </c>
      <c r="E150" t="inlineStr">
        <is>
          <t>https://lpjk.pu.go.id/search-badan-usaha-detail/cDRYV1dXbGpkZG5oN1BJMkw2anV1Zz09</t>
        </is>
      </c>
      <c r="F150" t="n">
        <v>2</v>
      </c>
      <c r="G150" t="inlineStr">
        <is>
          <t>BS005, BS006</t>
        </is>
      </c>
      <c r="H150" t="inlineStr">
        <is>
          <t>17 Oktober 2018</t>
        </is>
      </c>
      <c r="I150" s="2" t="n">
        <v>46214</v>
      </c>
      <c r="J150" t="inlineStr">
        <is>
          <t>Disetujui</t>
        </is>
      </c>
      <c r="K150" t="n">
        <v>30</v>
      </c>
      <c r="L150" t="inlineStr">
        <is>
          <t>11 Juli 2026</t>
        </is>
      </c>
      <c r="M150" t="inlineStr">
        <is>
          <t>Konstruksi Bangunan Sipil Pengolahan Air Bersih, Konstruksi Bangunan Sipil Prasarana dan Sarana Sistem Pengolahan Limbah Padat, Cair, dan Gas</t>
        </is>
      </c>
      <c r="N150" t="inlineStr">
        <is>
          <t>K</t>
        </is>
      </c>
      <c r="O150" t="inlineStr">
        <is>
          <t>20220726, 20230620</t>
        </is>
      </c>
      <c r="P150" t="inlineStr">
        <is>
          <t>Jawa Timur</t>
        </is>
      </c>
      <c r="Q150" t="inlineStr"/>
    </row>
    <row r="151">
      <c r="A151" t="inlineStr">
        <is>
          <t>PIRAMIDHA</t>
        </is>
      </c>
      <c r="B151" t="inlineStr">
        <is>
          <t>Kab. Kediri</t>
        </is>
      </c>
      <c r="C151" t="inlineStr">
        <is>
          <t>085736589539</t>
        </is>
      </c>
      <c r="D151" t="inlineStr">
        <is>
          <t>piramidha.2011@gmail.com</t>
        </is>
      </c>
      <c r="E151" t="inlineStr">
        <is>
          <t>https://lpjk.pu.go.id/search-badan-usaha-detail/Sk1lcWdyT2tDYVZGUVN5T0QwMDVKdz09</t>
        </is>
      </c>
      <c r="F151" t="n">
        <v>1</v>
      </c>
      <c r="G151" t="inlineStr">
        <is>
          <t>BG009</t>
        </is>
      </c>
      <c r="H151" t="inlineStr">
        <is>
          <t>21 Juli 2009</t>
        </is>
      </c>
      <c r="I151" s="2" t="n">
        <v>46214</v>
      </c>
      <c r="J151" t="inlineStr">
        <is>
          <t>Disetujui</t>
        </is>
      </c>
      <c r="K151" t="n">
        <v>30</v>
      </c>
      <c r="L151" t="inlineStr">
        <is>
          <t>11 Juli 2026</t>
        </is>
      </c>
      <c r="M151" t="inlineStr">
        <is>
          <t>Konstruksi Gedung Lainnya</t>
        </is>
      </c>
      <c r="N151" t="inlineStr">
        <is>
          <t>K</t>
        </is>
      </c>
      <c r="O151" t="inlineStr">
        <is>
          <t>20230705</t>
        </is>
      </c>
      <c r="P151" t="inlineStr">
        <is>
          <t>Jawa Timur</t>
        </is>
      </c>
      <c r="Q151" t="inlineStr"/>
    </row>
    <row r="152">
      <c r="A152" t="inlineStr">
        <is>
          <t>PIRANTEC REKABINA</t>
        </is>
      </c>
      <c r="B152" t="inlineStr">
        <is>
          <t>Kota Bandung</t>
        </is>
      </c>
      <c r="C152" t="inlineStr">
        <is>
          <t>082126957002</t>
        </is>
      </c>
      <c r="D152" t="inlineStr">
        <is>
          <t>pirantec.rekabina@gmail.com</t>
        </is>
      </c>
      <c r="E152" t="inlineStr">
        <is>
          <t>https://lpjk.pu.go.id/search-badan-usaha-detail/MGtoWktlNkZ3aEY5d3UzTHRSSnQ0Zz09</t>
        </is>
      </c>
      <c r="F152" t="n">
        <v>1</v>
      </c>
      <c r="G152" t="inlineStr">
        <is>
          <t>BG001</t>
        </is>
      </c>
      <c r="H152" t="inlineStr">
        <is>
          <t>20 Desember 1993</t>
        </is>
      </c>
      <c r="I152" s="2" t="n">
        <v>46214</v>
      </c>
      <c r="J152" t="inlineStr">
        <is>
          <t>Disetujui</t>
        </is>
      </c>
      <c r="K152" t="n">
        <v>30</v>
      </c>
      <c r="L152" t="inlineStr">
        <is>
          <t>11 Juli 2026</t>
        </is>
      </c>
      <c r="M152" t="inlineStr">
        <is>
          <t>Konstruksi Gedung Hunian</t>
        </is>
      </c>
      <c r="N152" t="inlineStr">
        <is>
          <t>K</t>
        </is>
      </c>
      <c r="O152" t="inlineStr">
        <is>
          <t>20230621</t>
        </is>
      </c>
      <c r="P152" t="inlineStr">
        <is>
          <t>Jawa Barat</t>
        </is>
      </c>
      <c r="Q152" t="inlineStr"/>
    </row>
    <row r="153">
      <c r="A153" t="inlineStr">
        <is>
          <t>PRANATA KARYA</t>
        </is>
      </c>
      <c r="B153" t="inlineStr">
        <is>
          <t>Kab. Sleman</t>
        </is>
      </c>
      <c r="C153" t="inlineStr">
        <is>
          <t>02745021061</t>
        </is>
      </c>
      <c r="D153" t="inlineStr">
        <is>
          <t>pranatakaryayk@gmail.com</t>
        </is>
      </c>
      <c r="E153" t="inlineStr">
        <is>
          <t>https://lpjk.pu.go.id/search-badan-usaha-detail/NG82MXNySEdJMjhNSmhYNzl5RXF3Zz09</t>
        </is>
      </c>
      <c r="F153" t="n">
        <v>2</v>
      </c>
      <c r="G153" t="inlineStr">
        <is>
          <t>BG009</t>
        </is>
      </c>
      <c r="H153" t="inlineStr">
        <is>
          <t>1 Februari 2019</t>
        </is>
      </c>
      <c r="I153" s="2" t="n">
        <v>46214</v>
      </c>
      <c r="J153" t="inlineStr">
        <is>
          <t>Disetujui</t>
        </is>
      </c>
      <c r="K153" t="n">
        <v>30</v>
      </c>
      <c r="L153" t="inlineStr">
        <is>
          <t>11 Juli 2026</t>
        </is>
      </c>
      <c r="M153" t="inlineStr">
        <is>
          <t>Konstruksi Gedung Lainnya</t>
        </is>
      </c>
      <c r="N153" t="inlineStr">
        <is>
          <t>K</t>
        </is>
      </c>
      <c r="O153" t="inlineStr">
        <is>
          <t>20230630</t>
        </is>
      </c>
      <c r="P153" t="inlineStr">
        <is>
          <t>DI Yogyakarta</t>
        </is>
      </c>
      <c r="Q153" t="inlineStr"/>
    </row>
    <row r="154">
      <c r="A154" t="inlineStr">
        <is>
          <t>PRATAMA</t>
        </is>
      </c>
      <c r="B154" t="inlineStr">
        <is>
          <t>Kota Jayapura</t>
        </is>
      </c>
      <c r="C154" t="inlineStr">
        <is>
          <t>081240595050</t>
        </is>
      </c>
      <c r="D154" t="inlineStr">
        <is>
          <t>pratamacv17@gmail.com</t>
        </is>
      </c>
      <c r="E154" t="inlineStr">
        <is>
          <t>https://lpjk.pu.go.id/search-badan-usaha-detail/RUdTSzdHQnlWV1BKVFltZXFDSjlwQT09</t>
        </is>
      </c>
      <c r="F154" t="n">
        <v>2</v>
      </c>
      <c r="G154" t="inlineStr">
        <is>
          <t>BG003, BS016</t>
        </is>
      </c>
      <c r="H154" t="inlineStr">
        <is>
          <t>9 Januari 2015</t>
        </is>
      </c>
      <c r="I154" s="2" t="n">
        <v>46214</v>
      </c>
      <c r="J154" t="inlineStr">
        <is>
          <t>Pencabutan</t>
        </is>
      </c>
      <c r="K154" t="n">
        <v>30</v>
      </c>
      <c r="L154" t="inlineStr">
        <is>
          <t>11 Juli 2026</t>
        </is>
      </c>
      <c r="M154" t="inlineStr">
        <is>
          <t>Konstruksi Bangunan Sipil Fasilitas Olah Raga, Konstruksi Gedung Industri</t>
        </is>
      </c>
      <c r="N154" t="inlineStr">
        <is>
          <t>K</t>
        </is>
      </c>
      <c r="O154" t="inlineStr">
        <is>
          <t>20230711</t>
        </is>
      </c>
      <c r="P154" t="inlineStr">
        <is>
          <t>Papua</t>
        </is>
      </c>
      <c r="Q154" t="inlineStr"/>
    </row>
    <row r="155">
      <c r="A155" t="inlineStr">
        <is>
          <t>PRIMA MANDALA</t>
        </is>
      </c>
      <c r="B155" t="inlineStr">
        <is>
          <t>Kab. Kubu Raya</t>
        </is>
      </c>
      <c r="C155" t="inlineStr">
        <is>
          <t>085387996789</t>
        </is>
      </c>
      <c r="D155" t="inlineStr">
        <is>
          <t>Primamandala06022015@gmail.com</t>
        </is>
      </c>
      <c r="E155" t="inlineStr">
        <is>
          <t>https://lpjk.pu.go.id/search-badan-usaha-detail/MVhSWVFLbU9FQ0dOWmNZczE2bGJaQT09</t>
        </is>
      </c>
      <c r="F155" t="n">
        <v>1</v>
      </c>
      <c r="G155" t="inlineStr">
        <is>
          <t>BG006</t>
        </is>
      </c>
      <c r="H155" t="inlineStr">
        <is>
          <t>6 Februari 2015</t>
        </is>
      </c>
      <c r="I155" s="2" t="n">
        <v>46214</v>
      </c>
      <c r="J155" t="inlineStr">
        <is>
          <t>Disetujui</t>
        </is>
      </c>
      <c r="K155" t="n">
        <v>30</v>
      </c>
      <c r="L155" t="inlineStr">
        <is>
          <t>11 Juli 2026</t>
        </is>
      </c>
      <c r="M155" t="inlineStr">
        <is>
          <t>Konstruksi Gedung Pendidikan</t>
        </is>
      </c>
      <c r="N155" t="inlineStr">
        <is>
          <t>K</t>
        </is>
      </c>
      <c r="O155" t="inlineStr">
        <is>
          <t>20230711</t>
        </is>
      </c>
      <c r="P155" t="inlineStr">
        <is>
          <t>Kalimantan Barat</t>
        </is>
      </c>
      <c r="Q155" t="inlineStr"/>
    </row>
    <row r="156">
      <c r="A156" t="inlineStr">
        <is>
          <t>PUSPITA CIPTA</t>
        </is>
      </c>
      <c r="B156" t="inlineStr">
        <is>
          <t>Kab. Kuningan</t>
        </is>
      </c>
      <c r="C156" t="inlineStr">
        <is>
          <t>087729166661</t>
        </is>
      </c>
      <c r="D156" t="inlineStr">
        <is>
          <t>pcglegal@gmail.com</t>
        </is>
      </c>
      <c r="E156" t="inlineStr">
        <is>
          <t>https://lpjk.pu.go.id/search-badan-usaha-detail/OGxOVndkd095Q1BFZWJ0b2JhazVtZz09</t>
        </is>
      </c>
      <c r="F156" t="n">
        <v>1</v>
      </c>
      <c r="G156" t="inlineStr">
        <is>
          <t>BG003</t>
        </is>
      </c>
      <c r="H156" t="inlineStr">
        <is>
          <t>14 Oktober 2004</t>
        </is>
      </c>
      <c r="I156" s="2" t="n">
        <v>46214</v>
      </c>
      <c r="J156" t="inlineStr">
        <is>
          <t>Disetujui</t>
        </is>
      </c>
      <c r="K156" t="n">
        <v>30</v>
      </c>
      <c r="L156" t="inlineStr">
        <is>
          <t>11 Juli 2026</t>
        </is>
      </c>
      <c r="M156" t="inlineStr">
        <is>
          <t>Konstruksi Gedung Industri</t>
        </is>
      </c>
      <c r="N156" t="inlineStr">
        <is>
          <t>K</t>
        </is>
      </c>
      <c r="O156" t="inlineStr">
        <is>
          <t>20230705</t>
        </is>
      </c>
      <c r="P156" t="inlineStr">
        <is>
          <t>Jawa Barat</t>
        </is>
      </c>
      <c r="Q156" t="inlineStr"/>
    </row>
    <row r="157">
      <c r="A157" t="inlineStr">
        <is>
          <t>PUSPITA KARYA</t>
        </is>
      </c>
      <c r="B157" t="inlineStr">
        <is>
          <t>Kab. Banyumas</t>
        </is>
      </c>
      <c r="C157" t="inlineStr">
        <is>
          <t>082221631572</t>
        </is>
      </c>
      <c r="D157" t="inlineStr">
        <is>
          <t>puspitakarya.pwt@gmail.com</t>
        </is>
      </c>
      <c r="E157" t="inlineStr">
        <is>
          <t>https://lpjk.pu.go.id/search-badan-usaha-detail/MmpFK2oxL2tqZlJiNUEzTEdOMU5zdz09</t>
        </is>
      </c>
      <c r="F157" t="n">
        <v>1</v>
      </c>
      <c r="G157" t="inlineStr">
        <is>
          <t>AR001</t>
        </is>
      </c>
      <c r="H157" t="inlineStr">
        <is>
          <t>26 Juni 2003</t>
        </is>
      </c>
      <c r="I157" s="2" t="n">
        <v>46214</v>
      </c>
      <c r="J157" t="inlineStr">
        <is>
          <t>Disetujui</t>
        </is>
      </c>
      <c r="K157" t="n">
        <v>30</v>
      </c>
      <c r="L157" t="inlineStr">
        <is>
          <t>11 Juli 2026</t>
        </is>
      </c>
      <c r="M157" t="inlineStr">
        <is>
          <t>Jasa Arsitektural Bangunan Gedung Hunian dan Non Hunian</t>
        </is>
      </c>
      <c r="N157" t="inlineStr">
        <is>
          <t>K</t>
        </is>
      </c>
      <c r="O157" t="inlineStr">
        <is>
          <t>20230626</t>
        </is>
      </c>
      <c r="P157" t="inlineStr">
        <is>
          <t>Jawa Tengah</t>
        </is>
      </c>
      <c r="Q157" t="inlineStr"/>
    </row>
    <row r="158">
      <c r="A158" t="inlineStr">
        <is>
          <t>PUTERI ASIA UTAMA MANDIRI</t>
        </is>
      </c>
      <c r="B158" t="inlineStr">
        <is>
          <t>Kota Palu</t>
        </is>
      </c>
      <c r="C158" t="inlineStr">
        <is>
          <t>081354300066</t>
        </is>
      </c>
      <c r="D158" t="inlineStr">
        <is>
          <t>ptputeriasiautamamandiri@gmail.com</t>
        </is>
      </c>
      <c r="E158" t="inlineStr">
        <is>
          <t>https://lpjk.pu.go.id/search-badan-usaha-detail/WUY3Qlkxd2tHYlZmZ3hGMVNkZ2JoQT09</t>
        </is>
      </c>
      <c r="F158" t="n">
        <v>1</v>
      </c>
      <c r="G158" t="inlineStr">
        <is>
          <t>BG004</t>
        </is>
      </c>
      <c r="H158" t="inlineStr">
        <is>
          <t>1 November 2016</t>
        </is>
      </c>
      <c r="I158" s="2" t="n">
        <v>46214</v>
      </c>
      <c r="J158" t="inlineStr">
        <is>
          <t>Disetujui</t>
        </is>
      </c>
      <c r="K158" t="n">
        <v>30</v>
      </c>
      <c r="L158" t="inlineStr">
        <is>
          <t>11 Juli 2026</t>
        </is>
      </c>
      <c r="M158" t="inlineStr">
        <is>
          <t>Konstruksi Gedung Perbelanjaan</t>
        </is>
      </c>
      <c r="N158" t="inlineStr">
        <is>
          <t>K</t>
        </is>
      </c>
      <c r="O158" t="inlineStr">
        <is>
          <t>20230620</t>
        </is>
      </c>
      <c r="P158" t="inlineStr">
        <is>
          <t>Sulawesi Tengah</t>
        </is>
      </c>
      <c r="Q158" t="inlineStr"/>
    </row>
    <row r="159">
      <c r="A159" t="inlineStr">
        <is>
          <t>PUTRA AM - BIR</t>
        </is>
      </c>
      <c r="B159" t="inlineStr">
        <is>
          <t>Kota Kupang</t>
        </is>
      </c>
      <c r="C159" t="inlineStr">
        <is>
          <t>081239774627</t>
        </is>
      </c>
      <c r="D159" t="inlineStr">
        <is>
          <t>andrea.mariyano@gmail.com</t>
        </is>
      </c>
      <c r="E159" t="inlineStr">
        <is>
          <t>https://lpjk.pu.go.id/search-badan-usaha-detail/Rm51OHBLdzViSnVwSE5NNUtvT1Y5dz09</t>
        </is>
      </c>
      <c r="F159" t="n">
        <v>2</v>
      </c>
      <c r="G159" t="inlineStr">
        <is>
          <t>BG005, BG009</t>
        </is>
      </c>
      <c r="H159" t="inlineStr">
        <is>
          <t>30 Mei 2013</t>
        </is>
      </c>
      <c r="I159" s="2" t="n">
        <v>46214</v>
      </c>
      <c r="J159" t="inlineStr">
        <is>
          <t>Disetujui</t>
        </is>
      </c>
      <c r="K159" t="n">
        <v>30</v>
      </c>
      <c r="L159" t="inlineStr">
        <is>
          <t>11 Juli 2026</t>
        </is>
      </c>
      <c r="M159" t="inlineStr">
        <is>
          <t>Konstruksi Gedung Kesehatan, Konstruksi Gedung Lainnya</t>
        </is>
      </c>
      <c r="N159" t="inlineStr">
        <is>
          <t>K</t>
        </is>
      </c>
      <c r="O159" t="inlineStr">
        <is>
          <t>20230711</t>
        </is>
      </c>
      <c r="P159" t="inlineStr">
        <is>
          <t>Nusa Tenggara Timur</t>
        </is>
      </c>
      <c r="Q159" t="inlineStr"/>
    </row>
    <row r="160">
      <c r="A160" t="inlineStr">
        <is>
          <t>PUTRA JAYA SEJATI</t>
        </is>
      </c>
      <c r="B160" t="inlineStr">
        <is>
          <t>Kab. Indragiri Hilir</t>
        </is>
      </c>
      <c r="C160" t="inlineStr">
        <is>
          <t>081277696272</t>
        </is>
      </c>
      <c r="D160" t="inlineStr">
        <is>
          <t>putrariau547@gmail.com</t>
        </is>
      </c>
      <c r="E160" t="inlineStr">
        <is>
          <t>https://lpjk.pu.go.id/search-badan-usaha-detail/cE5jMkU1bjF3MThaTW9jemh5NTF0QT09</t>
        </is>
      </c>
      <c r="F160" t="n">
        <v>1</v>
      </c>
      <c r="G160" t="inlineStr">
        <is>
          <t>BG005</t>
        </is>
      </c>
      <c r="H160" t="inlineStr">
        <is>
          <t>12 Januari 2023</t>
        </is>
      </c>
      <c r="I160" s="2" t="n">
        <v>46214</v>
      </c>
      <c r="J160" t="inlineStr">
        <is>
          <t>Disetujui</t>
        </is>
      </c>
      <c r="K160" t="n">
        <v>30</v>
      </c>
      <c r="L160" t="inlineStr">
        <is>
          <t>11 Juli 2026</t>
        </is>
      </c>
      <c r="M160" t="inlineStr">
        <is>
          <t>Konstruksi Gedung Kesehatan</t>
        </is>
      </c>
      <c r="N160" t="inlineStr">
        <is>
          <t>K</t>
        </is>
      </c>
      <c r="O160" t="inlineStr">
        <is>
          <t>20230708</t>
        </is>
      </c>
      <c r="P160" t="inlineStr">
        <is>
          <t>Riau</t>
        </is>
      </c>
      <c r="Q160" t="inlineStr"/>
    </row>
    <row r="161">
      <c r="A161" t="inlineStr">
        <is>
          <t>PUTRA NUSA ABADI</t>
        </is>
      </c>
      <c r="B161" t="inlineStr">
        <is>
          <t>Kota Mataram</t>
        </is>
      </c>
      <c r="C161" t="inlineStr">
        <is>
          <t>0818224967</t>
        </is>
      </c>
      <c r="D161" t="inlineStr">
        <is>
          <t>putra.nusa0022@gmail.com</t>
        </is>
      </c>
      <c r="E161" t="inlineStr">
        <is>
          <t>https://lpjk.pu.go.id/search-badan-usaha-detail/eVBvcExyYXRMSlV4K2RjVHdIQlNqUT09</t>
        </is>
      </c>
      <c r="F161" t="n">
        <v>2</v>
      </c>
      <c r="G161" t="inlineStr">
        <is>
          <t>BS001, BS004</t>
        </is>
      </c>
      <c r="H161" t="inlineStr">
        <is>
          <t>16 Februari 2022</t>
        </is>
      </c>
      <c r="I161" s="2" t="n">
        <v>46214</v>
      </c>
      <c r="J161" t="inlineStr">
        <is>
          <t>Pencabutan</t>
        </is>
      </c>
      <c r="K161" t="n">
        <v>30</v>
      </c>
      <c r="L161" t="inlineStr">
        <is>
          <t>11 Juli 2026</t>
        </is>
      </c>
      <c r="M161" t="inlineStr">
        <is>
          <t>Konstruksi Bangunan Sipil Jalan, Konstruksi Jaringan Irigasi dan Drainase</t>
        </is>
      </c>
      <c r="N161" t="inlineStr">
        <is>
          <t>K</t>
        </is>
      </c>
      <c r="O161" t="inlineStr">
        <is>
          <t>20230712</t>
        </is>
      </c>
      <c r="P161" t="inlineStr">
        <is>
          <t>Nusa Tenggara Barat</t>
        </is>
      </c>
      <c r="Q161" t="inlineStr"/>
    </row>
    <row r="162">
      <c r="A162" t="inlineStr">
        <is>
          <t>PUTRA SUMATERA BARU</t>
        </is>
      </c>
      <c r="B162" t="inlineStr">
        <is>
          <t>Kota Medan</t>
        </is>
      </c>
      <c r="C162" t="inlineStr">
        <is>
          <t>082277072896</t>
        </is>
      </c>
      <c r="D162" t="inlineStr">
        <is>
          <t>putrasumaterab@gmail.com</t>
        </is>
      </c>
      <c r="E162" t="inlineStr">
        <is>
          <t>https://lpjk.pu.go.id/search-badan-usaha-detail/TTNNZjdKOWNwcnh4Q3VEZ2llSFUvQT09</t>
        </is>
      </c>
      <c r="F162" t="n">
        <v>3</v>
      </c>
      <c r="G162" t="inlineStr">
        <is>
          <t>BG005, BG006, BG009</t>
        </is>
      </c>
      <c r="H162" t="inlineStr">
        <is>
          <t>19 Desember 2019</t>
        </is>
      </c>
      <c r="I162" s="2" t="n">
        <v>46214</v>
      </c>
      <c r="J162" t="inlineStr">
        <is>
          <t>Disetujui</t>
        </is>
      </c>
      <c r="K162" t="n">
        <v>30</v>
      </c>
      <c r="L162" t="inlineStr">
        <is>
          <t>11 Juli 2026</t>
        </is>
      </c>
      <c r="M162" t="inlineStr">
        <is>
          <t>Konstruksi Gedung Kesehatan, Konstruksi Gedung Lainnya, Konstruksi Gedung Pendidikan</t>
        </is>
      </c>
      <c r="N162" t="inlineStr">
        <is>
          <t>K</t>
        </is>
      </c>
      <c r="O162" t="inlineStr">
        <is>
          <t>20230711</t>
        </is>
      </c>
      <c r="P162" t="inlineStr">
        <is>
          <t>Sumatera Utara</t>
        </is>
      </c>
      <c r="Q162" t="inlineStr"/>
    </row>
    <row r="163">
      <c r="A163" t="inlineStr">
        <is>
          <t>PUTRA TUNGGAL</t>
        </is>
      </c>
      <c r="B163" t="inlineStr">
        <is>
          <t>Kab. Situbondo</t>
        </is>
      </c>
      <c r="C163" t="inlineStr">
        <is>
          <t>08113500807</t>
        </is>
      </c>
      <c r="D163" t="inlineStr">
        <is>
          <t>putratunggal0513@yahoo.co.id</t>
        </is>
      </c>
      <c r="E163" t="inlineStr">
        <is>
          <t>https://lpjk.pu.go.id/search-badan-usaha-detail/Sy9iT21LUEhpMHFQMG5NUDFMeTJ3QT09</t>
        </is>
      </c>
      <c r="F163" t="n">
        <v>1</v>
      </c>
      <c r="G163" t="inlineStr">
        <is>
          <t>BG005</t>
        </is>
      </c>
      <c r="H163" t="inlineStr">
        <is>
          <t>7 November 2006</t>
        </is>
      </c>
      <c r="I163" s="2" t="n">
        <v>46214</v>
      </c>
      <c r="J163" t="inlineStr">
        <is>
          <t>Disetujui</t>
        </is>
      </c>
      <c r="K163" t="n">
        <v>30</v>
      </c>
      <c r="L163" t="inlineStr">
        <is>
          <t>11 Juli 2026</t>
        </is>
      </c>
      <c r="M163" t="inlineStr">
        <is>
          <t>Konstruksi Gedung Kesehatan</t>
        </is>
      </c>
      <c r="N163" t="inlineStr">
        <is>
          <t>K</t>
        </is>
      </c>
      <c r="O163" t="inlineStr">
        <is>
          <t>20230704</t>
        </is>
      </c>
      <c r="P163" t="inlineStr">
        <is>
          <t>Jawa Timur</t>
        </is>
      </c>
      <c r="Q163" t="inlineStr"/>
    </row>
    <row r="164">
      <c r="A164" t="inlineStr">
        <is>
          <t>PUTRI BUNGSU</t>
        </is>
      </c>
      <c r="B164" t="inlineStr">
        <is>
          <t>Kab. Muaro Jambi</t>
        </is>
      </c>
      <c r="C164" t="inlineStr">
        <is>
          <t>085357772277</t>
        </is>
      </c>
      <c r="D164" t="inlineStr">
        <is>
          <t>cvputribungsu27@gmail.com</t>
        </is>
      </c>
      <c r="E164" t="inlineStr">
        <is>
          <t>https://lpjk.pu.go.id/search-badan-usaha-detail/U2N6RDZheVZFMU5SSFFaWXhDU01sZz09</t>
        </is>
      </c>
      <c r="F164" t="n">
        <v>1</v>
      </c>
      <c r="G164" t="inlineStr">
        <is>
          <t>BG006</t>
        </is>
      </c>
      <c r="H164" t="inlineStr">
        <is>
          <t>18 Oktober 2017</t>
        </is>
      </c>
      <c r="I164" s="2" t="n">
        <v>46214</v>
      </c>
      <c r="J164" t="inlineStr">
        <is>
          <t>Disetujui</t>
        </is>
      </c>
      <c r="K164" t="n">
        <v>30</v>
      </c>
      <c r="L164" t="inlineStr">
        <is>
          <t>11 Juli 2026</t>
        </is>
      </c>
      <c r="M164" t="inlineStr">
        <is>
          <t>Konstruksi Gedung Pendidikan</t>
        </is>
      </c>
      <c r="N164" t="inlineStr">
        <is>
          <t>K</t>
        </is>
      </c>
      <c r="O164" t="inlineStr">
        <is>
          <t>20230711</t>
        </is>
      </c>
      <c r="P164" t="inlineStr">
        <is>
          <t>Jambi</t>
        </is>
      </c>
      <c r="Q164" t="inlineStr"/>
    </row>
    <row r="165">
      <c r="A165" t="inlineStr">
        <is>
          <t>RAFLI DILA UTAMA</t>
        </is>
      </c>
      <c r="B165" t="inlineStr">
        <is>
          <t>Kota Tanjung Balai</t>
        </is>
      </c>
      <c r="C165" t="inlineStr">
        <is>
          <t>081265087660</t>
        </is>
      </c>
      <c r="D165" t="inlineStr">
        <is>
          <t>raflidilautamacv05@gmail.com</t>
        </is>
      </c>
      <c r="E165" t="inlineStr">
        <is>
          <t>https://lpjk.pu.go.id/search-badan-usaha-detail/SmdQQUtldkppRkltU2tOaHlrcHFoZz09</t>
        </is>
      </c>
      <c r="F165" t="n">
        <v>3</v>
      </c>
      <c r="G165" t="inlineStr">
        <is>
          <t>BG009, BS001, BS004</t>
        </is>
      </c>
      <c r="H165" t="inlineStr">
        <is>
          <t>16 Juli 2012</t>
        </is>
      </c>
      <c r="I165" s="2" t="n">
        <v>46214</v>
      </c>
      <c r="J165" t="inlineStr">
        <is>
          <t>Disetujui</t>
        </is>
      </c>
      <c r="K165" t="n">
        <v>30</v>
      </c>
      <c r="L165" t="inlineStr">
        <is>
          <t>11 Juli 2026</t>
        </is>
      </c>
      <c r="M165" t="inlineStr">
        <is>
          <t>Konstruksi Bangunan Sipil Jalan, Konstruksi Gedung Lainnya, Konstruksi Jaringan Irigasi dan Drainase</t>
        </is>
      </c>
      <c r="N165" t="inlineStr">
        <is>
          <t>K</t>
        </is>
      </c>
      <c r="O165" t="inlineStr">
        <is>
          <t>20230711</t>
        </is>
      </c>
      <c r="P165" t="inlineStr">
        <is>
          <t>Sumatera Utara</t>
        </is>
      </c>
      <c r="Q165" t="inlineStr"/>
    </row>
    <row r="166">
      <c r="A166" t="inlineStr">
        <is>
          <t>RAGIL JAYA MANDIRI</t>
        </is>
      </c>
      <c r="B166" t="inlineStr">
        <is>
          <t>Kab. Banyumas</t>
        </is>
      </c>
      <c r="C166" t="inlineStr">
        <is>
          <t>085692792906</t>
        </is>
      </c>
      <c r="D166" t="inlineStr">
        <is>
          <t>ragiljayamandiri4@gmail.com</t>
        </is>
      </c>
      <c r="E166" t="inlineStr">
        <is>
          <t>https://lpjk.pu.go.id/search-badan-usaha-detail/U0dxNEhiTmZmNEIva2psUVB3cStRdz09</t>
        </is>
      </c>
      <c r="F166" t="n">
        <v>1</v>
      </c>
      <c r="G166" t="inlineStr">
        <is>
          <t>BG001</t>
        </is>
      </c>
      <c r="H166" t="inlineStr">
        <is>
          <t>31 Maret 2022</t>
        </is>
      </c>
      <c r="I166" s="2" t="n">
        <v>46214</v>
      </c>
      <c r="J166" t="inlineStr">
        <is>
          <t>Disetujui</t>
        </is>
      </c>
      <c r="K166" t="n">
        <v>30</v>
      </c>
      <c r="L166" t="inlineStr">
        <is>
          <t>11 Juli 2026</t>
        </is>
      </c>
      <c r="M166" t="inlineStr">
        <is>
          <t>Konstruksi Gedung Hunian</t>
        </is>
      </c>
      <c r="N166" t="inlineStr">
        <is>
          <t>K</t>
        </is>
      </c>
      <c r="O166" t="inlineStr">
        <is>
          <t>20230710</t>
        </is>
      </c>
      <c r="P166" t="inlineStr">
        <is>
          <t>Jawa Tengah</t>
        </is>
      </c>
      <c r="Q166" t="inlineStr"/>
    </row>
    <row r="167">
      <c r="A167" t="inlineStr">
        <is>
          <t>RAIHAN ADIKARYA UTAMA</t>
        </is>
      </c>
      <c r="B167" t="inlineStr">
        <is>
          <t>Kab. Bantul</t>
        </is>
      </c>
      <c r="C167" t="inlineStr">
        <is>
          <t>088221809106</t>
        </is>
      </c>
      <c r="D167" t="inlineStr">
        <is>
          <t>raihanadikarya@gmail.com</t>
        </is>
      </c>
      <c r="E167" t="inlineStr">
        <is>
          <t>https://lpjk.pu.go.id/search-badan-usaha-detail/S1d4MDVMbW9VSnRRby8wa3RtQ1VFQT09</t>
        </is>
      </c>
      <c r="F167" t="n">
        <v>6</v>
      </c>
      <c r="G167" t="inlineStr">
        <is>
          <t>BG006, BG007, BG008</t>
        </is>
      </c>
      <c r="H167" t="inlineStr">
        <is>
          <t>16 Januari 2019</t>
        </is>
      </c>
      <c r="I167" s="2" t="n">
        <v>46214</v>
      </c>
      <c r="J167" t="inlineStr">
        <is>
          <t>Disetujui</t>
        </is>
      </c>
      <c r="K167" t="n">
        <v>30</v>
      </c>
      <c r="L167" t="inlineStr">
        <is>
          <t>11 Juli 2026</t>
        </is>
      </c>
      <c r="M167" t="inlineStr">
        <is>
          <t>Konstruksi Gedung Pendidikan, Konstruksi Gedung Penginapan, Konstruksi Gedung Tempat Hiburan dan Olahraga</t>
        </is>
      </c>
      <c r="N167" t="inlineStr">
        <is>
          <t>K</t>
        </is>
      </c>
      <c r="O167" t="inlineStr">
        <is>
          <t>20230707</t>
        </is>
      </c>
      <c r="P167" t="inlineStr">
        <is>
          <t>DI Yogyakarta</t>
        </is>
      </c>
      <c r="Q167" t="inlineStr"/>
    </row>
    <row r="168">
      <c r="A168" t="inlineStr">
        <is>
          <t>RAJA GEMILANG ABADI</t>
        </is>
      </c>
      <c r="B168" t="inlineStr">
        <is>
          <t>Kota Pontianak</t>
        </is>
      </c>
      <c r="C168" t="inlineStr">
        <is>
          <t>082255899966</t>
        </is>
      </c>
      <c r="D168" t="inlineStr">
        <is>
          <t>rajagemilangabadi@gmail.com</t>
        </is>
      </c>
      <c r="E168" t="inlineStr">
        <is>
          <t>https://lpjk.pu.go.id/search-badan-usaha-detail/TjJjTHJlcHVaOEVFcS96cjBrWmVxUT09</t>
        </is>
      </c>
      <c r="F168" t="n">
        <v>1</v>
      </c>
      <c r="G168" t="inlineStr">
        <is>
          <t>BG006</t>
        </is>
      </c>
      <c r="H168" t="inlineStr">
        <is>
          <t>4 Juli 2022</t>
        </is>
      </c>
      <c r="I168" s="2" t="n">
        <v>46214</v>
      </c>
      <c r="J168" t="inlineStr">
        <is>
          <t>Pencabutan</t>
        </is>
      </c>
      <c r="K168" t="n">
        <v>30</v>
      </c>
      <c r="L168" t="inlineStr">
        <is>
          <t>11 Juli 2026</t>
        </is>
      </c>
      <c r="M168" t="inlineStr">
        <is>
          <t>Konstruksi Gedung Pendidikan</t>
        </is>
      </c>
      <c r="N168" t="inlineStr">
        <is>
          <t>K</t>
        </is>
      </c>
      <c r="O168" t="inlineStr">
        <is>
          <t>20230703</t>
        </is>
      </c>
      <c r="P168" t="inlineStr">
        <is>
          <t>Kalimantan Barat</t>
        </is>
      </c>
      <c r="Q168" t="inlineStr"/>
    </row>
    <row r="169">
      <c r="A169" t="inlineStr">
        <is>
          <t>RAMA HARAPAN BUNDA</t>
        </is>
      </c>
      <c r="B169" t="inlineStr">
        <is>
          <t>Kab. Tanah Laut</t>
        </is>
      </c>
      <c r="C169" t="inlineStr">
        <is>
          <t>085252620248</t>
        </is>
      </c>
      <c r="D169" t="inlineStr">
        <is>
          <t>ramaharapanbunda@gmail.com</t>
        </is>
      </c>
      <c r="E169" t="inlineStr">
        <is>
          <t>https://lpjk.pu.go.id/search-badan-usaha-detail/ZFpSZStNM0RtMEJxUUJXd2RZMUl5dz09</t>
        </is>
      </c>
      <c r="F169" t="n">
        <v>1</v>
      </c>
      <c r="G169" t="inlineStr">
        <is>
          <t>BS001</t>
        </is>
      </c>
      <c r="H169" t="inlineStr">
        <is>
          <t>7 Februari 2019</t>
        </is>
      </c>
      <c r="I169" s="2" t="n">
        <v>46214</v>
      </c>
      <c r="J169" t="inlineStr">
        <is>
          <t>Pencabutan</t>
        </is>
      </c>
      <c r="K169" t="n">
        <v>30</v>
      </c>
      <c r="L169" t="inlineStr">
        <is>
          <t>11 Juli 2026</t>
        </is>
      </c>
      <c r="M169" t="inlineStr">
        <is>
          <t>Konstruksi Bangunan Sipil Jalan</t>
        </is>
      </c>
      <c r="N169" t="inlineStr">
        <is>
          <t>K</t>
        </is>
      </c>
      <c r="O169" t="inlineStr">
        <is>
          <t>20230708</t>
        </is>
      </c>
      <c r="P169" t="inlineStr">
        <is>
          <t>Kalimantan Selatan</t>
        </is>
      </c>
      <c r="Q169" t="inlineStr"/>
    </row>
    <row r="170">
      <c r="A170" t="inlineStr">
        <is>
          <t>RATU KREASI GEMILANG</t>
        </is>
      </c>
      <c r="B170" t="inlineStr">
        <is>
          <t>Kota Tangerang</t>
        </is>
      </c>
      <c r="C170" t="inlineStr">
        <is>
          <t>081314726661</t>
        </is>
      </c>
      <c r="D170" t="inlineStr">
        <is>
          <t>ratukreasigemilang@gmail.com</t>
        </is>
      </c>
      <c r="E170" t="inlineStr">
        <is>
          <t>https://lpjk.pu.go.id/search-badan-usaha-detail/MDhsdHdmYlo1VFBHaEJqazFrdm84UT09</t>
        </is>
      </c>
      <c r="F170" t="n">
        <v>1</v>
      </c>
      <c r="G170" t="inlineStr">
        <is>
          <t>BG006</t>
        </is>
      </c>
      <c r="H170" t="inlineStr">
        <is>
          <t>8 Juni 2017</t>
        </is>
      </c>
      <c r="I170" s="2" t="n">
        <v>46214</v>
      </c>
      <c r="J170" t="inlineStr">
        <is>
          <t>Disetujui</t>
        </is>
      </c>
      <c r="K170" t="n">
        <v>30</v>
      </c>
      <c r="L170" t="inlineStr">
        <is>
          <t>11 Juli 2026</t>
        </is>
      </c>
      <c r="M170" t="inlineStr">
        <is>
          <t>Konstruksi Gedung Pendidikan</t>
        </is>
      </c>
      <c r="N170" t="inlineStr">
        <is>
          <t>K</t>
        </is>
      </c>
      <c r="O170" t="inlineStr">
        <is>
          <t>20230710</t>
        </is>
      </c>
      <c r="P170" t="inlineStr">
        <is>
          <t>Banten</t>
        </is>
      </c>
      <c r="Q170" t="inlineStr"/>
    </row>
    <row r="171">
      <c r="A171" t="inlineStr">
        <is>
          <t>REKAN BAJA KONSTRUKSI</t>
        </is>
      </c>
      <c r="B171" t="inlineStr">
        <is>
          <t>Kota Pontianak</t>
        </is>
      </c>
      <c r="C171" t="inlineStr">
        <is>
          <t>085754578986</t>
        </is>
      </c>
      <c r="D171" t="inlineStr">
        <is>
          <t>cv.rekan.baja.konstruksi@gmail.com</t>
        </is>
      </c>
      <c r="E171" t="inlineStr">
        <is>
          <t>https://lpjk.pu.go.id/search-badan-usaha-detail/STZUb2RXckVKUVZUcUtRNGtLdnBSUT09</t>
        </is>
      </c>
      <c r="F171" t="n">
        <v>2</v>
      </c>
      <c r="G171" t="inlineStr">
        <is>
          <t>BS002</t>
        </is>
      </c>
      <c r="H171" t="inlineStr">
        <is>
          <t>28 Februari 2023</t>
        </is>
      </c>
      <c r="I171" s="2" t="n">
        <v>46214</v>
      </c>
      <c r="J171" t="inlineStr">
        <is>
          <t>Pencabutan</t>
        </is>
      </c>
      <c r="K171" t="n">
        <v>30</v>
      </c>
      <c r="L171" t="inlineStr">
        <is>
          <t>11 Juli 2026</t>
        </is>
      </c>
      <c r="M171" t="inlineStr">
        <is>
          <t>Bangunan Sipil Jembatan, Jalan Layang, Fly Over, dan Underpass</t>
        </is>
      </c>
      <c r="N171" t="inlineStr">
        <is>
          <t>K</t>
        </is>
      </c>
      <c r="O171" t="inlineStr">
        <is>
          <t>20230708</t>
        </is>
      </c>
      <c r="P171" t="inlineStr">
        <is>
          <t>Kalimantan Barat</t>
        </is>
      </c>
      <c r="Q171" t="inlineStr"/>
    </row>
    <row r="172">
      <c r="A172" t="inlineStr">
        <is>
          <t>REKARUPA TEKNIK</t>
        </is>
      </c>
      <c r="B172" t="inlineStr">
        <is>
          <t>Kab. Toli Toli</t>
        </is>
      </c>
      <c r="C172" t="inlineStr">
        <is>
          <t>082292645282</t>
        </is>
      </c>
      <c r="D172" t="inlineStr">
        <is>
          <t>rekakonsultan@gmail.com</t>
        </is>
      </c>
      <c r="E172" t="inlineStr">
        <is>
          <t>https://lpjk.pu.go.id/search-badan-usaha-detail/VUwvQkE2Z3FzSkhPZC80MWttSFpjZz09</t>
        </is>
      </c>
      <c r="F172" t="n">
        <v>1</v>
      </c>
      <c r="G172" t="inlineStr">
        <is>
          <t>RK003</t>
        </is>
      </c>
      <c r="H172" t="inlineStr">
        <is>
          <t>22 Juni 2012</t>
        </is>
      </c>
      <c r="I172" s="2" t="n">
        <v>46214</v>
      </c>
      <c r="J172" t="inlineStr">
        <is>
          <t>Disetujui</t>
        </is>
      </c>
      <c r="K172" t="n">
        <v>30</v>
      </c>
      <c r="L172" t="inlineStr">
        <is>
          <t>11 Juli 2026</t>
        </is>
      </c>
      <c r="M172" t="inlineStr">
        <is>
          <t>Jasa Rekayasa Pekerjaan Teknik Sipil Transportasi</t>
        </is>
      </c>
      <c r="N172" t="inlineStr">
        <is>
          <t>K</t>
        </is>
      </c>
      <c r="O172" t="inlineStr">
        <is>
          <t>20230612</t>
        </is>
      </c>
      <c r="P172" t="inlineStr">
        <is>
          <t>Sulawesi Tengah</t>
        </is>
      </c>
      <c r="Q172" t="inlineStr"/>
    </row>
    <row r="173">
      <c r="A173" t="inlineStr">
        <is>
          <t>RESTOE BUMI</t>
        </is>
      </c>
      <c r="B173" t="inlineStr">
        <is>
          <t>Kab. Tanjung Jabung Barat</t>
        </is>
      </c>
      <c r="C173" t="inlineStr">
        <is>
          <t>082306661991</t>
        </is>
      </c>
      <c r="D173" t="inlineStr">
        <is>
          <t>cv.restoebumi9@gmail.com</t>
        </is>
      </c>
      <c r="E173" t="inlineStr">
        <is>
          <t>https://lpjk.pu.go.id/search-badan-usaha-detail/WDJXZXFlMk83bi9jN0dzMk9WZnZCZz09</t>
        </is>
      </c>
      <c r="F173" t="n">
        <v>2</v>
      </c>
      <c r="G173" t="inlineStr">
        <is>
          <t>BG009, BS001</t>
        </is>
      </c>
      <c r="H173" t="inlineStr">
        <is>
          <t>14 Februari 2020</t>
        </is>
      </c>
      <c r="I173" s="2" t="n">
        <v>46214</v>
      </c>
      <c r="J173" t="inlineStr">
        <is>
          <t>Disetujui</t>
        </is>
      </c>
      <c r="K173" t="n">
        <v>30</v>
      </c>
      <c r="L173" t="inlineStr">
        <is>
          <t>11 Juli 2026</t>
        </is>
      </c>
      <c r="M173" t="inlineStr">
        <is>
          <t>Konstruksi Bangunan Sipil Jalan, Konstruksi Gedung Lainnya</t>
        </is>
      </c>
      <c r="N173" t="inlineStr">
        <is>
          <t>K</t>
        </is>
      </c>
      <c r="O173" t="inlineStr">
        <is>
          <t>20230703, 20230706</t>
        </is>
      </c>
      <c r="P173" t="inlineStr">
        <is>
          <t>Jambi</t>
        </is>
      </c>
      <c r="Q173" t="inlineStr"/>
    </row>
    <row r="174">
      <c r="A174" t="inlineStr">
        <is>
          <t>RHEMA ABADI</t>
        </is>
      </c>
      <c r="B174" t="inlineStr">
        <is>
          <t>Kota Medan</t>
        </is>
      </c>
      <c r="C174" t="inlineStr">
        <is>
          <t>081397606000</t>
        </is>
      </c>
      <c r="D174" t="inlineStr">
        <is>
          <t>ville_na70@yahoo.co.id</t>
        </is>
      </c>
      <c r="E174" t="inlineStr">
        <is>
          <t>https://lpjk.pu.go.id/search-badan-usaha-detail/dmpHZUZ6S1NkNXJqSHo5c0daTWRDZz09</t>
        </is>
      </c>
      <c r="F174" t="n">
        <v>1</v>
      </c>
      <c r="G174" t="inlineStr">
        <is>
          <t>BG009</t>
        </is>
      </c>
      <c r="H174" t="inlineStr">
        <is>
          <t>15 Desember 2012</t>
        </is>
      </c>
      <c r="I174" s="2" t="n">
        <v>46214</v>
      </c>
      <c r="J174" t="inlineStr">
        <is>
          <t>Disetujui</t>
        </is>
      </c>
      <c r="K174" t="n">
        <v>30</v>
      </c>
      <c r="L174" t="inlineStr">
        <is>
          <t>11 Juli 2026</t>
        </is>
      </c>
      <c r="M174" t="inlineStr">
        <is>
          <t>Konstruksi Gedung Lainnya</t>
        </is>
      </c>
      <c r="N174" t="inlineStr">
        <is>
          <t>K</t>
        </is>
      </c>
      <c r="O174" t="inlineStr">
        <is>
          <t>20230703</t>
        </is>
      </c>
      <c r="P174" t="inlineStr">
        <is>
          <t>Sumatera Utara</t>
        </is>
      </c>
      <c r="Q174" t="inlineStr"/>
    </row>
    <row r="175">
      <c r="A175" t="inlineStr">
        <is>
          <t>RICCATD</t>
        </is>
      </c>
      <c r="B175" t="inlineStr">
        <is>
          <t>Kab. Humbang Hasundutan</t>
        </is>
      </c>
      <c r="C175" t="inlineStr">
        <is>
          <t>081397200904</t>
        </is>
      </c>
      <c r="D175" t="inlineStr">
        <is>
          <t>cvriccat@gmail.com</t>
        </is>
      </c>
      <c r="E175" t="inlineStr">
        <is>
          <t>https://lpjk.pu.go.id/search-badan-usaha-detail/MmhoLzIwY25vNmRoWUdlcDNodDdwUT09</t>
        </is>
      </c>
      <c r="F175" t="n">
        <v>1</v>
      </c>
      <c r="G175" t="inlineStr">
        <is>
          <t>BG006</t>
        </is>
      </c>
      <c r="H175" t="inlineStr">
        <is>
          <t>21 Januari 2020</t>
        </is>
      </c>
      <c r="I175" s="2" t="n">
        <v>46214</v>
      </c>
      <c r="J175" t="inlineStr">
        <is>
          <t>Disetujui</t>
        </is>
      </c>
      <c r="K175" t="n">
        <v>30</v>
      </c>
      <c r="L175" t="inlineStr">
        <is>
          <t>11 Juli 2026</t>
        </is>
      </c>
      <c r="M175" t="inlineStr">
        <is>
          <t>Konstruksi Gedung Pendidikan</t>
        </is>
      </c>
      <c r="N175" t="inlineStr">
        <is>
          <t>K</t>
        </is>
      </c>
      <c r="O175" t="inlineStr">
        <is>
          <t>20230711</t>
        </is>
      </c>
      <c r="P175" t="inlineStr">
        <is>
          <t>Sumatera Utara</t>
        </is>
      </c>
      <c r="Q175" t="inlineStr"/>
    </row>
    <row r="176">
      <c r="A176" t="inlineStr">
        <is>
          <t>RIZKY ABADI BANYUWANGI</t>
        </is>
      </c>
      <c r="B176" t="inlineStr">
        <is>
          <t>Kab. Banyuwangi</t>
        </is>
      </c>
      <c r="C176" t="inlineStr">
        <is>
          <t>085280785190</t>
        </is>
      </c>
      <c r="D176" t="inlineStr">
        <is>
          <t>rizkyabadibanyuwangi.cv@gmail.com</t>
        </is>
      </c>
      <c r="E176" t="inlineStr">
        <is>
          <t>https://lpjk.pu.go.id/search-badan-usaha-detail/NEFPZ3R3S1hXaVBjNVBJZVF5cnpGQT09</t>
        </is>
      </c>
      <c r="F176" t="n">
        <v>5</v>
      </c>
      <c r="G176" t="inlineStr">
        <is>
          <t>BG005, BG006, BS001, BS004, BS005</t>
        </is>
      </c>
      <c r="H176" t="inlineStr">
        <is>
          <t>8 Februari 2019</t>
        </is>
      </c>
      <c r="I176" s="2" t="n">
        <v>46214</v>
      </c>
      <c r="J176" t="inlineStr">
        <is>
          <t>Disetujui, Pencabutan</t>
        </is>
      </c>
      <c r="K176" t="n">
        <v>30</v>
      </c>
      <c r="L176" t="inlineStr">
        <is>
          <t>11 Juli 2026</t>
        </is>
      </c>
      <c r="M176" t="inlineStr">
        <is>
          <t>Konstruksi Bangunan Sipil Jalan, Konstruksi Bangunan Sipil Pengolahan Air Bersih, Konstruksi Gedung Kesehatan, Konstruksi Gedung Pendidikan, Konstruksi Jaringan Irigasi dan Drainase</t>
        </is>
      </c>
      <c r="N176" t="inlineStr">
        <is>
          <t>K</t>
        </is>
      </c>
      <c r="O176" t="inlineStr">
        <is>
          <t>20230711</t>
        </is>
      </c>
      <c r="P176" t="inlineStr">
        <is>
          <t>Jawa Timur</t>
        </is>
      </c>
      <c r="Q176" t="inlineStr"/>
    </row>
    <row r="177">
      <c r="A177" t="inlineStr">
        <is>
          <t>RIZKY PUTRI SANTOSO</t>
        </is>
      </c>
      <c r="B177" t="inlineStr">
        <is>
          <t>Kota Surabaya</t>
        </is>
      </c>
      <c r="C177" t="inlineStr">
        <is>
          <t>081222444495</t>
        </is>
      </c>
      <c r="D177" t="inlineStr">
        <is>
          <t>cv_rizkyputri@yahoo.com</t>
        </is>
      </c>
      <c r="E177" t="inlineStr">
        <is>
          <t>https://lpjk.pu.go.id/search-badan-usaha-detail/c09nQ25uRE16c0NSSWluTUxTTkljZz09</t>
        </is>
      </c>
      <c r="F177" t="n">
        <v>1</v>
      </c>
      <c r="G177" t="inlineStr">
        <is>
          <t>BS004</t>
        </is>
      </c>
      <c r="H177" t="inlineStr">
        <is>
          <t>3 Februari 2014</t>
        </is>
      </c>
      <c r="I177" s="2" t="n">
        <v>46214</v>
      </c>
      <c r="J177" t="inlineStr">
        <is>
          <t>Disetujui</t>
        </is>
      </c>
      <c r="K177" t="n">
        <v>30</v>
      </c>
      <c r="L177" t="inlineStr">
        <is>
          <t>11 Juli 2026</t>
        </is>
      </c>
      <c r="M177" t="inlineStr">
        <is>
          <t>Konstruksi Jaringan Irigasi dan Drainase</t>
        </is>
      </c>
      <c r="N177" t="inlineStr">
        <is>
          <t>K</t>
        </is>
      </c>
      <c r="O177" t="inlineStr">
        <is>
          <t>20230703</t>
        </is>
      </c>
      <c r="P177" t="inlineStr">
        <is>
          <t>Jawa Timur</t>
        </is>
      </c>
      <c r="Q177" t="inlineStr"/>
    </row>
    <row r="178">
      <c r="A178" t="inlineStr">
        <is>
          <t>SAFIRA AULIA PRATAMA</t>
        </is>
      </c>
      <c r="B178" t="inlineStr">
        <is>
          <t>Kab. Dompu</t>
        </is>
      </c>
      <c r="C178" t="inlineStr">
        <is>
          <t>085338726021</t>
        </is>
      </c>
      <c r="D178" t="inlineStr">
        <is>
          <t>dhiyatnisa@gmail.com</t>
        </is>
      </c>
      <c r="E178" t="inlineStr">
        <is>
          <t>https://lpjk.pu.go.id/search-badan-usaha-detail/aXp0eHRqbW5DL0VMalhSeUNvQ0M3UT09</t>
        </is>
      </c>
      <c r="F178" t="n">
        <v>1</v>
      </c>
      <c r="G178" t="inlineStr">
        <is>
          <t>BS004</t>
        </is>
      </c>
      <c r="H178" t="inlineStr">
        <is>
          <t>19 Februari 2018</t>
        </is>
      </c>
      <c r="I178" s="2" t="n">
        <v>46214</v>
      </c>
      <c r="J178" t="inlineStr">
        <is>
          <t>Disetujui</t>
        </is>
      </c>
      <c r="K178" t="n">
        <v>30</v>
      </c>
      <c r="L178" t="inlineStr">
        <is>
          <t>11 Juli 2026</t>
        </is>
      </c>
      <c r="M178" t="inlineStr">
        <is>
          <t>Konstruksi Jaringan Irigasi dan Drainase</t>
        </is>
      </c>
      <c r="N178" t="inlineStr">
        <is>
          <t>K</t>
        </is>
      </c>
      <c r="O178" t="inlineStr">
        <is>
          <t>20230711</t>
        </is>
      </c>
      <c r="P178" t="inlineStr">
        <is>
          <t>Nusa Tenggara Barat</t>
        </is>
      </c>
      <c r="Q178" t="inlineStr"/>
    </row>
    <row r="179">
      <c r="A179" t="inlineStr">
        <is>
          <t>SAFIRA PASYAH</t>
        </is>
      </c>
      <c r="B179" t="inlineStr">
        <is>
          <t>Kab. Sumbawa</t>
        </is>
      </c>
      <c r="C179" t="inlineStr">
        <is>
          <t>081238090672</t>
        </is>
      </c>
      <c r="D179" t="inlineStr">
        <is>
          <t>safirapasyah19@gmail.com</t>
        </is>
      </c>
      <c r="E179" t="inlineStr">
        <is>
          <t>https://lpjk.pu.go.id/search-badan-usaha-detail/MTk1RUtadEhvaURzOS9FVEN5bDQyZz09</t>
        </is>
      </c>
      <c r="F179" t="n">
        <v>1</v>
      </c>
      <c r="G179" t="inlineStr">
        <is>
          <t>BS001</t>
        </is>
      </c>
      <c r="H179" t="inlineStr">
        <is>
          <t>28 Januari 2019</t>
        </is>
      </c>
      <c r="I179" s="2" t="n">
        <v>46214</v>
      </c>
      <c r="J179" t="inlineStr">
        <is>
          <t>Disetujui</t>
        </is>
      </c>
      <c r="K179" t="n">
        <v>30</v>
      </c>
      <c r="L179" t="inlineStr">
        <is>
          <t>11 Juli 2026</t>
        </is>
      </c>
      <c r="M179" t="inlineStr">
        <is>
          <t>Konstruksi Bangunan Sipil Jalan</t>
        </is>
      </c>
      <c r="N179" t="inlineStr">
        <is>
          <t>K</t>
        </is>
      </c>
      <c r="O179" t="inlineStr">
        <is>
          <t>20230708</t>
        </is>
      </c>
      <c r="P179" t="inlineStr">
        <is>
          <t>Nusa Tenggara Barat</t>
        </is>
      </c>
      <c r="Q179" t="inlineStr"/>
    </row>
    <row r="180">
      <c r="A180" t="inlineStr">
        <is>
          <t>SAGARA BUMI TEHNIK</t>
        </is>
      </c>
      <c r="B180" t="inlineStr">
        <is>
          <t>Kota Cilegon</t>
        </is>
      </c>
      <c r="C180" t="inlineStr">
        <is>
          <t>085930272025</t>
        </is>
      </c>
      <c r="D180" t="inlineStr">
        <is>
          <t>sagarabumitehnik77@gmail.com</t>
        </is>
      </c>
      <c r="E180" t="inlineStr">
        <is>
          <t>https://lpjk.pu.go.id/search-badan-usaha-detail/Rnd6b2pTSm1DWTFQakI2UnFmWWtEQT09</t>
        </is>
      </c>
      <c r="F180" t="n">
        <v>1</v>
      </c>
      <c r="G180" t="inlineStr">
        <is>
          <t>BS017</t>
        </is>
      </c>
      <c r="H180" t="inlineStr">
        <is>
          <t>12 Juli 2021</t>
        </is>
      </c>
      <c r="I180" s="2" t="n">
        <v>46214</v>
      </c>
      <c r="J180" t="inlineStr">
        <is>
          <t>Disetujui</t>
        </is>
      </c>
      <c r="K180" t="n">
        <v>30</v>
      </c>
      <c r="L180" t="inlineStr">
        <is>
          <t>11 Juli 2026</t>
        </is>
      </c>
      <c r="M180" t="inlineStr">
        <is>
          <t>Konstruksi Bangunan Sipil Lainnya Ytdl</t>
        </is>
      </c>
      <c r="N180" t="inlineStr">
        <is>
          <t>K</t>
        </is>
      </c>
      <c r="O180" t="inlineStr">
        <is>
          <t>20230704</t>
        </is>
      </c>
      <c r="P180" t="inlineStr">
        <is>
          <t>Banten</t>
        </is>
      </c>
      <c r="Q180" t="inlineStr"/>
    </row>
    <row r="181">
      <c r="A181" t="inlineStr">
        <is>
          <t>SAHABAT ALAM KONSULTAN</t>
        </is>
      </c>
      <c r="B181" t="inlineStr">
        <is>
          <t>Kota Bandar Lampung</t>
        </is>
      </c>
      <c r="C181" t="inlineStr">
        <is>
          <t>081369414242</t>
        </is>
      </c>
      <c r="D181" t="inlineStr">
        <is>
          <t>sahabatalam.lpg@gmail.com</t>
        </is>
      </c>
      <c r="E181" t="inlineStr">
        <is>
          <t>https://lpjk.pu.go.id/search-badan-usaha-detail/S1lpRmVCZnc4cVBybVBoV0plOG4xQT09</t>
        </is>
      </c>
      <c r="F181" t="n">
        <v>1</v>
      </c>
      <c r="G181" t="inlineStr">
        <is>
          <t>RK005</t>
        </is>
      </c>
      <c r="H181" t="inlineStr">
        <is>
          <t>2 Mei 2016</t>
        </is>
      </c>
      <c r="I181" s="2" t="n">
        <v>46214</v>
      </c>
      <c r="J181" t="inlineStr">
        <is>
          <t>Disetujui</t>
        </is>
      </c>
      <c r="K181" t="n">
        <v>30</v>
      </c>
      <c r="L181" t="inlineStr">
        <is>
          <t>11 Juli 2026</t>
        </is>
      </c>
      <c r="M181" t="inlineStr">
        <is>
          <t>Jasa Rekayasa Lainnya</t>
        </is>
      </c>
      <c r="N181" t="inlineStr">
        <is>
          <t>K</t>
        </is>
      </c>
      <c r="O181" t="inlineStr">
        <is>
          <t>20230626</t>
        </is>
      </c>
      <c r="P181" t="inlineStr">
        <is>
          <t>Lampung</t>
        </is>
      </c>
      <c r="Q181" t="inlineStr"/>
    </row>
    <row r="182">
      <c r="A182" t="inlineStr">
        <is>
          <t>SAMA MURA</t>
        </is>
      </c>
      <c r="B182" t="inlineStr">
        <is>
          <t>Kab. Murung Raya</t>
        </is>
      </c>
      <c r="C182" t="inlineStr">
        <is>
          <t>081349820464</t>
        </is>
      </c>
      <c r="D182" t="inlineStr">
        <is>
          <t>cvsamamura09@gmail.com</t>
        </is>
      </c>
      <c r="E182" t="inlineStr">
        <is>
          <t>https://lpjk.pu.go.id/search-badan-usaha-detail/MFQzaHU3SDMxU1NNZTdubGhwQXhldz09</t>
        </is>
      </c>
      <c r="F182" t="n">
        <v>1</v>
      </c>
      <c r="G182" t="inlineStr">
        <is>
          <t>BS002</t>
        </is>
      </c>
      <c r="H182" t="inlineStr">
        <is>
          <t>16 Januari 2015</t>
        </is>
      </c>
      <c r="I182" s="2" t="n">
        <v>46214</v>
      </c>
      <c r="J182" t="inlineStr">
        <is>
          <t>Disetujui</t>
        </is>
      </c>
      <c r="K182" t="n">
        <v>30</v>
      </c>
      <c r="L182" t="inlineStr">
        <is>
          <t>11 Juli 2026</t>
        </is>
      </c>
      <c r="M182" t="inlineStr">
        <is>
          <t>Bangunan Sipil Jembatan, Jalan Layang, Fly Over, dan Underpass</t>
        </is>
      </c>
      <c r="N182" t="inlineStr">
        <is>
          <t>K</t>
        </is>
      </c>
      <c r="O182" t="inlineStr">
        <is>
          <t>20230629</t>
        </is>
      </c>
      <c r="P182" t="inlineStr">
        <is>
          <t>Kalimantan Tengah</t>
        </is>
      </c>
      <c r="Q182" t="inlineStr"/>
    </row>
    <row r="183">
      <c r="A183" t="inlineStr">
        <is>
          <t>SAMPANA</t>
        </is>
      </c>
      <c r="B183" t="inlineStr">
        <is>
          <t>Kab. Subang</t>
        </is>
      </c>
      <c r="C183" t="inlineStr">
        <is>
          <t>082315371240</t>
        </is>
      </c>
      <c r="D183" t="inlineStr">
        <is>
          <t>cv_sampana@yahoo.co.id</t>
        </is>
      </c>
      <c r="E183" t="inlineStr">
        <is>
          <t>https://lpjk.pu.go.id/search-badan-usaha-detail/TDVjWEdzalBvTkVIWnRWZ0hkcmlkZz09</t>
        </is>
      </c>
      <c r="F183" t="n">
        <v>2</v>
      </c>
      <c r="G183" t="inlineStr">
        <is>
          <t>BS004, BS005</t>
        </is>
      </c>
      <c r="H183" t="inlineStr">
        <is>
          <t>13 Mei 1980</t>
        </is>
      </c>
      <c r="I183" s="2" t="n">
        <v>46214</v>
      </c>
      <c r="J183" t="inlineStr">
        <is>
          <t>Disetujui</t>
        </is>
      </c>
      <c r="K183" t="n">
        <v>30</v>
      </c>
      <c r="L183" t="inlineStr">
        <is>
          <t>11 Juli 2026</t>
        </is>
      </c>
      <c r="M183" t="inlineStr">
        <is>
          <t>Konstruksi Bangunan Sipil Pengolahan Air Bersih, Konstruksi Jaringan Irigasi dan Drainase</t>
        </is>
      </c>
      <c r="N183" t="inlineStr">
        <is>
          <t>K</t>
        </is>
      </c>
      <c r="O183" t="inlineStr">
        <is>
          <t>20230710</t>
        </is>
      </c>
      <c r="P183" t="inlineStr">
        <is>
          <t>Jawa Barat</t>
        </is>
      </c>
      <c r="Q183" t="inlineStr"/>
    </row>
    <row r="184">
      <c r="A184" t="inlineStr">
        <is>
          <t>SAMUDERA GEMILANG</t>
        </is>
      </c>
      <c r="B184" t="inlineStr">
        <is>
          <t>Kota Ambon</t>
        </is>
      </c>
      <c r="C184" t="inlineStr">
        <is>
          <t>081234388889</t>
        </is>
      </c>
      <c r="D184" t="inlineStr">
        <is>
          <t>gemilangsamudera1407@gmail.com</t>
        </is>
      </c>
      <c r="E184" t="inlineStr">
        <is>
          <t>https://lpjk.pu.go.id/search-badan-usaha-detail/ZmVKdXFHYXp5YmxDeDZ5cWg1NnRkQT09</t>
        </is>
      </c>
      <c r="F184" t="n">
        <v>1</v>
      </c>
      <c r="G184" t="inlineStr">
        <is>
          <t>BG009</t>
        </is>
      </c>
      <c r="H184" t="inlineStr">
        <is>
          <t>8 Januari 2021</t>
        </is>
      </c>
      <c r="I184" s="2" t="n">
        <v>46214</v>
      </c>
      <c r="J184" t="inlineStr">
        <is>
          <t>Pencabutan</t>
        </is>
      </c>
      <c r="K184" t="n">
        <v>30</v>
      </c>
      <c r="L184" t="inlineStr">
        <is>
          <t>11 Juli 2026</t>
        </is>
      </c>
      <c r="M184" t="inlineStr">
        <is>
          <t>Konstruksi Gedung Lainnya</t>
        </is>
      </c>
      <c r="N184" t="inlineStr">
        <is>
          <t>K</t>
        </is>
      </c>
      <c r="O184" t="inlineStr">
        <is>
          <t>20230710</t>
        </is>
      </c>
      <c r="P184" t="inlineStr">
        <is>
          <t>Maluku</t>
        </is>
      </c>
      <c r="Q184" t="inlineStr"/>
    </row>
    <row r="185">
      <c r="A185" t="inlineStr">
        <is>
          <t>SANCITA</t>
        </is>
      </c>
      <c r="B185" t="inlineStr">
        <is>
          <t>Kab. Kuningan</t>
        </is>
      </c>
      <c r="C185" t="inlineStr">
        <is>
          <t>082318758881</t>
        </is>
      </c>
      <c r="D185" t="inlineStr">
        <is>
          <t>sancitacv@gmail.com</t>
        </is>
      </c>
      <c r="E185" t="inlineStr">
        <is>
          <t>https://lpjk.pu.go.id/search-badan-usaha-detail/V1J3MXRiNUl0Ym5pMHA4Z0Rad1hyQT09</t>
        </is>
      </c>
      <c r="F185" t="n">
        <v>1</v>
      </c>
      <c r="G185" t="inlineStr">
        <is>
          <t>BS002</t>
        </is>
      </c>
      <c r="H185" t="inlineStr">
        <is>
          <t>14 Juni 2006</t>
        </is>
      </c>
      <c r="I185" s="2" t="n">
        <v>46214</v>
      </c>
      <c r="J185" t="inlineStr">
        <is>
          <t>Disetujui</t>
        </is>
      </c>
      <c r="K185" t="n">
        <v>30</v>
      </c>
      <c r="L185" t="inlineStr">
        <is>
          <t>11 Juli 2026</t>
        </is>
      </c>
      <c r="M185" t="inlineStr">
        <is>
          <t>Bangunan Sipil Jembatan, Jalan Layang, Fly Over, dan Underpass</t>
        </is>
      </c>
      <c r="N185" t="inlineStr">
        <is>
          <t>K</t>
        </is>
      </c>
      <c r="O185" t="inlineStr">
        <is>
          <t>20230706</t>
        </is>
      </c>
      <c r="P185" t="inlineStr">
        <is>
          <t>Jawa Barat</t>
        </is>
      </c>
      <c r="Q185" t="inlineStr"/>
    </row>
    <row r="186">
      <c r="A186" t="inlineStr">
        <is>
          <t>SANDI PRATAMA RAYA</t>
        </is>
      </c>
      <c r="B186" t="inlineStr">
        <is>
          <t>Kota Pariaman</t>
        </is>
      </c>
      <c r="C186" t="inlineStr">
        <is>
          <t>081372783171</t>
        </is>
      </c>
      <c r="D186" t="inlineStr">
        <is>
          <t>yudiikhsan717@gmail.com</t>
        </is>
      </c>
      <c r="E186" t="inlineStr">
        <is>
          <t>https://lpjk.pu.go.id/search-badan-usaha-detail/S2p0Nk9zZ2RyUkRCTTVJaFhyVmx0QT09</t>
        </is>
      </c>
      <c r="F186" t="n">
        <v>2</v>
      </c>
      <c r="G186" t="inlineStr">
        <is>
          <t>BG001, BG002</t>
        </is>
      </c>
      <c r="H186" t="inlineStr">
        <is>
          <t>6 Oktober 1994</t>
        </is>
      </c>
      <c r="I186" s="2" t="n">
        <v>46214</v>
      </c>
      <c r="J186" t="inlineStr">
        <is>
          <t>Pencabutan</t>
        </is>
      </c>
      <c r="K186" t="n">
        <v>30</v>
      </c>
      <c r="L186" t="inlineStr">
        <is>
          <t>11 Juli 2026</t>
        </is>
      </c>
      <c r="M186" t="inlineStr">
        <is>
          <t>Konstruksi Gedung Hunian, Konstruksi Gedung Perkantoran</t>
        </is>
      </c>
      <c r="N186" t="inlineStr">
        <is>
          <t>K</t>
        </is>
      </c>
      <c r="O186" t="inlineStr">
        <is>
          <t>20230709</t>
        </is>
      </c>
      <c r="P186" t="inlineStr">
        <is>
          <t>Sumatera Barat</t>
        </is>
      </c>
      <c r="Q186" t="inlineStr"/>
    </row>
    <row r="187">
      <c r="A187" t="inlineStr">
        <is>
          <t>SAPTA TECHNIKA</t>
        </is>
      </c>
      <c r="B187" t="inlineStr">
        <is>
          <t>Kab. Nganjuk</t>
        </is>
      </c>
      <c r="C187" t="inlineStr">
        <is>
          <t>081234354953</t>
        </is>
      </c>
      <c r="D187" t="inlineStr">
        <is>
          <t>yolaindriani29@gmail.com</t>
        </is>
      </c>
      <c r="E187" t="inlineStr">
        <is>
          <t>https://lpjk.pu.go.id/search-badan-usaha-detail/RUQzSXhmUk1ubUJXUHFZY0ZwLzFhdz09</t>
        </is>
      </c>
      <c r="F187" t="n">
        <v>1</v>
      </c>
      <c r="G187" t="inlineStr">
        <is>
          <t>RK001</t>
        </is>
      </c>
      <c r="H187" t="inlineStr">
        <is>
          <t>22 Oktober 1992</t>
        </is>
      </c>
      <c r="I187" s="2" t="n">
        <v>46214</v>
      </c>
      <c r="J187" t="inlineStr">
        <is>
          <t>Disetujui</t>
        </is>
      </c>
      <c r="K187" t="n">
        <v>30</v>
      </c>
      <c r="L187" t="inlineStr">
        <is>
          <t>11 Juli 2026</t>
        </is>
      </c>
      <c r="M187" t="inlineStr">
        <is>
          <t>Jasa Rekayasa Konstruksi Bangunan Gedung Hunian dan Non Hunian</t>
        </is>
      </c>
      <c r="N187" t="inlineStr">
        <is>
          <t>K</t>
        </is>
      </c>
      <c r="O187" t="inlineStr">
        <is>
          <t>20230704</t>
        </is>
      </c>
      <c r="P187" t="inlineStr">
        <is>
          <t>Jawa Timur</t>
        </is>
      </c>
      <c r="Q187" t="inlineStr"/>
    </row>
    <row r="188">
      <c r="A188" t="inlineStr">
        <is>
          <t>SARANA DATA PERSADA</t>
        </is>
      </c>
      <c r="B188" t="inlineStr">
        <is>
          <t>Kota Surabaya</t>
        </is>
      </c>
      <c r="C188" t="inlineStr">
        <is>
          <t>0318437296</t>
        </is>
      </c>
      <c r="D188" t="inlineStr">
        <is>
          <t>pajak.sdp507@gmail.com</t>
        </is>
      </c>
      <c r="E188" t="inlineStr">
        <is>
          <t>https://lpjk.pu.go.id/search-badan-usaha-detail/Yzd4R1RFY0xxWC9FY2EyK2N3Z2FRdz09</t>
        </is>
      </c>
      <c r="F188" t="n">
        <v>2</v>
      </c>
      <c r="G188" t="inlineStr">
        <is>
          <t>RK001, RK005</t>
        </is>
      </c>
      <c r="H188" t="inlineStr">
        <is>
          <t>23 April 2014</t>
        </is>
      </c>
      <c r="I188" s="2" t="n">
        <v>46214</v>
      </c>
      <c r="J188" t="inlineStr">
        <is>
          <t>Disetujui</t>
        </is>
      </c>
      <c r="K188" t="n">
        <v>30</v>
      </c>
      <c r="L188" t="inlineStr">
        <is>
          <t>11 Juli 2026</t>
        </is>
      </c>
      <c r="M188" t="inlineStr">
        <is>
          <t>Jasa Rekayasa Konstruksi Bangunan Gedung Hunian dan Non Hunian, Jasa Rekayasa Lainnya</t>
        </is>
      </c>
      <c r="N188" t="inlineStr">
        <is>
          <t>K</t>
        </is>
      </c>
      <c r="O188" t="inlineStr">
        <is>
          <t>20230706, 20230707</t>
        </is>
      </c>
      <c r="P188" t="inlineStr">
        <is>
          <t>Jawa Timur</t>
        </is>
      </c>
      <c r="Q188" t="inlineStr"/>
    </row>
    <row r="189">
      <c r="A189" t="inlineStr">
        <is>
          <t>SARI ABADI</t>
        </is>
      </c>
      <c r="B189" t="inlineStr">
        <is>
          <t>Kab. Sumbawa</t>
        </is>
      </c>
      <c r="C189" t="inlineStr">
        <is>
          <t>0878 6372 1075</t>
        </is>
      </c>
      <c r="D189" t="inlineStr">
        <is>
          <t>sariabadi@yahoo.com</t>
        </is>
      </c>
      <c r="E189" t="inlineStr">
        <is>
          <t>https://lpjk.pu.go.id/search-badan-usaha-detail/L0g1NHFPUHRXaW1nLzFodW5PRWJrQT09</t>
        </is>
      </c>
      <c r="F189" t="n">
        <v>2</v>
      </c>
      <c r="G189" t="inlineStr">
        <is>
          <t>BS005, BS010</t>
        </is>
      </c>
      <c r="H189" t="inlineStr">
        <is>
          <t>30 Desember 2013</t>
        </is>
      </c>
      <c r="I189" s="2" t="n">
        <v>46214</v>
      </c>
      <c r="J189" t="inlineStr">
        <is>
          <t>Disetujui</t>
        </is>
      </c>
      <c r="K189" t="n">
        <v>30</v>
      </c>
      <c r="L189" t="inlineStr">
        <is>
          <t>11 Juli 2026</t>
        </is>
      </c>
      <c r="M189" t="inlineStr">
        <is>
          <t>Konstruksi Bangunan Prasarana Sumber Daya Air, Konstruksi Bangunan Sipil Pengolahan Air Bersih</t>
        </is>
      </c>
      <c r="N189" t="inlineStr">
        <is>
          <t>K</t>
        </is>
      </c>
      <c r="O189" t="inlineStr">
        <is>
          <t>20230708</t>
        </is>
      </c>
      <c r="P189" t="inlineStr">
        <is>
          <t>Nusa Tenggara Barat</t>
        </is>
      </c>
      <c r="Q189" t="inlineStr"/>
    </row>
    <row r="190">
      <c r="A190" t="inlineStr">
        <is>
          <t>SATRIA GARUDA MUDA</t>
        </is>
      </c>
      <c r="B190" t="inlineStr">
        <is>
          <t>Kota Mataram</t>
        </is>
      </c>
      <c r="C190" t="inlineStr">
        <is>
          <t>087850225454</t>
        </is>
      </c>
      <c r="D190" t="inlineStr">
        <is>
          <t>pt.satriagarudamuda@gmail.com</t>
        </is>
      </c>
      <c r="E190" t="inlineStr">
        <is>
          <t>https://lpjk.pu.go.id/search-badan-usaha-detail/eHBwRHBGNWtzREhxQkJDdDBQdDVBQT09</t>
        </is>
      </c>
      <c r="F190" t="n">
        <v>1</v>
      </c>
      <c r="G190" t="inlineStr">
        <is>
          <t>BS001</t>
        </is>
      </c>
      <c r="H190" t="inlineStr">
        <is>
          <t>22 Januari 2020</t>
        </is>
      </c>
      <c r="I190" s="2" t="n">
        <v>46214</v>
      </c>
      <c r="J190" t="inlineStr">
        <is>
          <t>Disetujui</t>
        </is>
      </c>
      <c r="K190" t="n">
        <v>30</v>
      </c>
      <c r="L190" t="inlineStr">
        <is>
          <t>11 Juli 2026</t>
        </is>
      </c>
      <c r="M190" t="inlineStr">
        <is>
          <t>Konstruksi Bangunan Sipil Jalan</t>
        </is>
      </c>
      <c r="N190" t="inlineStr">
        <is>
          <t>K</t>
        </is>
      </c>
      <c r="O190" t="inlineStr">
        <is>
          <t>20230711</t>
        </is>
      </c>
      <c r="P190" t="inlineStr">
        <is>
          <t>Nusa Tenggara Barat</t>
        </is>
      </c>
      <c r="Q190" t="inlineStr"/>
    </row>
    <row r="191">
      <c r="A191" t="inlineStr">
        <is>
          <t>SATU SEMBILAN DELAPAN TUJUH</t>
        </is>
      </c>
      <c r="B191" t="inlineStr">
        <is>
          <t>Kota Kendari</t>
        </is>
      </c>
      <c r="C191" t="inlineStr">
        <is>
          <t>081329706408</t>
        </is>
      </c>
      <c r="D191" t="inlineStr">
        <is>
          <t>satusembilandelapantujuh7777@gmail.com</t>
        </is>
      </c>
      <c r="E191" t="inlineStr">
        <is>
          <t>https://lpjk.pu.go.id/search-badan-usaha-detail/OXA2dlIvcFltQWxZYlhNbzkxRlhFZz09</t>
        </is>
      </c>
      <c r="F191" t="n">
        <v>4</v>
      </c>
      <c r="G191" t="inlineStr">
        <is>
          <t>BG001, BG002, BG005, BG006</t>
        </is>
      </c>
      <c r="H191" t="inlineStr">
        <is>
          <t>4 Juli 2023</t>
        </is>
      </c>
      <c r="I191" s="2" t="n">
        <v>46214</v>
      </c>
      <c r="J191" t="inlineStr">
        <is>
          <t>Disetujui</t>
        </is>
      </c>
      <c r="K191" t="n">
        <v>30</v>
      </c>
      <c r="L191" t="inlineStr">
        <is>
          <t>11 Juli 2026</t>
        </is>
      </c>
      <c r="M191" t="inlineStr">
        <is>
          <t>Konstruksi Gedung Hunian, Konstruksi Gedung Kesehatan, Konstruksi Gedung Pendidikan, Konstruksi Gedung Perkantoran</t>
        </is>
      </c>
      <c r="N191" t="inlineStr">
        <is>
          <t>K</t>
        </is>
      </c>
      <c r="O191" t="inlineStr">
        <is>
          <t>20230710</t>
        </is>
      </c>
      <c r="P191" t="inlineStr">
        <is>
          <t>Sulawesi Tenggara</t>
        </is>
      </c>
      <c r="Q191" t="inlineStr"/>
    </row>
    <row r="192">
      <c r="A192" t="inlineStr">
        <is>
          <t>SEKAWAN JAYA ABADI</t>
        </is>
      </c>
      <c r="B192" t="inlineStr">
        <is>
          <t>Kota Padang</t>
        </is>
      </c>
      <c r="C192" t="inlineStr">
        <is>
          <t>081261648836</t>
        </is>
      </c>
      <c r="D192" t="inlineStr">
        <is>
          <t>cvsekawanjayaabadi@gmail.com</t>
        </is>
      </c>
      <c r="E192" t="inlineStr">
        <is>
          <t>https://lpjk.pu.go.id/search-badan-usaha-detail/UlVJZjZsRkNmbDBkWlZEeXhuQlFDZz09</t>
        </is>
      </c>
      <c r="F192" t="n">
        <v>2</v>
      </c>
      <c r="G192" t="inlineStr">
        <is>
          <t>BS004</t>
        </is>
      </c>
      <c r="H192" t="inlineStr">
        <is>
          <t>5 Desember 2020</t>
        </is>
      </c>
      <c r="I192" s="2" t="n">
        <v>46214</v>
      </c>
      <c r="J192" t="inlineStr">
        <is>
          <t>Pencabutan</t>
        </is>
      </c>
      <c r="K192" t="n">
        <v>30</v>
      </c>
      <c r="L192" t="inlineStr">
        <is>
          <t>11 Juli 2026</t>
        </is>
      </c>
      <c r="M192" t="inlineStr">
        <is>
          <t>Konstruksi Jaringan Irigasi dan Drainase</t>
        </is>
      </c>
      <c r="N192" t="inlineStr">
        <is>
          <t>K</t>
        </is>
      </c>
      <c r="O192" t="inlineStr">
        <is>
          <t>20230711</t>
        </is>
      </c>
      <c r="P192" t="inlineStr">
        <is>
          <t>Sumatera Barat</t>
        </is>
      </c>
      <c r="Q192" t="inlineStr"/>
    </row>
    <row r="193">
      <c r="A193" t="inlineStr">
        <is>
          <t>SELOJATI KARYA MULYA</t>
        </is>
      </c>
      <c r="B193" t="inlineStr">
        <is>
          <t>Kab. Pacitan</t>
        </is>
      </c>
      <c r="C193" t="inlineStr">
        <is>
          <t>081235300845</t>
        </is>
      </c>
      <c r="D193" t="inlineStr">
        <is>
          <t>cv.selojkm@gmail.com</t>
        </is>
      </c>
      <c r="E193" t="inlineStr">
        <is>
          <t>https://lpjk.pu.go.id/search-badan-usaha-detail/M0JPT0puNnpNQ2dRVkg0TmI0Zk9Ydz09</t>
        </is>
      </c>
      <c r="F193" t="n">
        <v>1</v>
      </c>
      <c r="G193" t="inlineStr">
        <is>
          <t>BS001</t>
        </is>
      </c>
      <c r="H193" t="inlineStr">
        <is>
          <t>2 Februari 2018</t>
        </is>
      </c>
      <c r="I193" s="2" t="n">
        <v>46214</v>
      </c>
      <c r="J193" t="inlineStr">
        <is>
          <t>Disetujui</t>
        </is>
      </c>
      <c r="K193" t="n">
        <v>30</v>
      </c>
      <c r="L193" t="inlineStr">
        <is>
          <t>11 Juli 2026</t>
        </is>
      </c>
      <c r="M193" t="inlineStr">
        <is>
          <t>Konstruksi Bangunan Sipil Jalan</t>
        </is>
      </c>
      <c r="N193" t="inlineStr">
        <is>
          <t>K</t>
        </is>
      </c>
      <c r="O193" t="inlineStr">
        <is>
          <t>20230623</t>
        </is>
      </c>
      <c r="P193" t="inlineStr">
        <is>
          <t>Jawa Timur</t>
        </is>
      </c>
      <c r="Q193" t="inlineStr"/>
    </row>
    <row r="194">
      <c r="A194" t="inlineStr">
        <is>
          <t>SELVI BAHAGIA UTAMA</t>
        </is>
      </c>
      <c r="B194" t="inlineStr">
        <is>
          <t>Kota Adm. Jakarta Selatan</t>
        </is>
      </c>
      <c r="C194" t="inlineStr">
        <is>
          <t>081809041969</t>
        </is>
      </c>
      <c r="D194" t="inlineStr">
        <is>
          <t>selvibahagiautama2018@gmail.com</t>
        </is>
      </c>
      <c r="E194" t="inlineStr">
        <is>
          <t>https://lpjk.pu.go.id/search-badan-usaha-detail/RTgyNzhsYzMxNGdUU3duYnB5WkZsQT09</t>
        </is>
      </c>
      <c r="F194" t="n">
        <v>1</v>
      </c>
      <c r="G194" t="inlineStr">
        <is>
          <t>BG009</t>
        </is>
      </c>
      <c r="H194" t="inlineStr">
        <is>
          <t>16 Agustus 2016</t>
        </is>
      </c>
      <c r="I194" s="2" t="n">
        <v>46214</v>
      </c>
      <c r="J194" t="inlineStr">
        <is>
          <t>Disetujui</t>
        </is>
      </c>
      <c r="K194" t="n">
        <v>30</v>
      </c>
      <c r="L194" t="inlineStr">
        <is>
          <t>11 Juli 2026</t>
        </is>
      </c>
      <c r="M194" t="inlineStr">
        <is>
          <t>Konstruksi Gedung Lainnya</t>
        </is>
      </c>
      <c r="N194" t="inlineStr">
        <is>
          <t>K</t>
        </is>
      </c>
      <c r="O194" t="inlineStr">
        <is>
          <t>20230711</t>
        </is>
      </c>
      <c r="P194" t="inlineStr">
        <is>
          <t>DKI Jakarta</t>
        </is>
      </c>
      <c r="Q194" t="inlineStr"/>
    </row>
    <row r="195">
      <c r="A195" t="inlineStr">
        <is>
          <t>SERBA GUNA HUTAMA</t>
        </is>
      </c>
      <c r="B195" t="inlineStr">
        <is>
          <t>Kab. Karangasem</t>
        </is>
      </c>
      <c r="C195" t="inlineStr">
        <is>
          <t>08123889447</t>
        </is>
      </c>
      <c r="D195" t="inlineStr">
        <is>
          <t>serbagunahutamapt@yahoo.com</t>
        </is>
      </c>
      <c r="E195" t="inlineStr">
        <is>
          <t>https://lpjk.pu.go.id/search-badan-usaha-detail/cER1ck5yMEVVS0JrQ29jWlhYSnF1UT09</t>
        </is>
      </c>
      <c r="F195" t="n">
        <v>1</v>
      </c>
      <c r="G195" t="inlineStr">
        <is>
          <t>BS004</t>
        </is>
      </c>
      <c r="H195" t="inlineStr">
        <is>
          <t>14 September 1987</t>
        </is>
      </c>
      <c r="I195" s="2" t="n">
        <v>46214</v>
      </c>
      <c r="J195" t="inlineStr">
        <is>
          <t>Disetujui</t>
        </is>
      </c>
      <c r="K195" t="n">
        <v>30</v>
      </c>
      <c r="L195" t="inlineStr">
        <is>
          <t>11 Juli 2026</t>
        </is>
      </c>
      <c r="M195" t="inlineStr">
        <is>
          <t>Konstruksi Jaringan Irigasi dan Drainase</t>
        </is>
      </c>
      <c r="N195" t="inlineStr">
        <is>
          <t>K</t>
        </is>
      </c>
      <c r="O195" t="inlineStr">
        <is>
          <t>20230707</t>
        </is>
      </c>
      <c r="P195" t="inlineStr">
        <is>
          <t>Bali</t>
        </is>
      </c>
      <c r="Q195" t="inlineStr"/>
    </row>
    <row r="196">
      <c r="A196" t="inlineStr">
        <is>
          <t>SINAR DWI MANUNGGAL</t>
        </is>
      </c>
      <c r="B196" t="inlineStr">
        <is>
          <t>Kota Batu</t>
        </is>
      </c>
      <c r="C196" t="inlineStr">
        <is>
          <t>085100108461</t>
        </is>
      </c>
      <c r="D196" t="inlineStr">
        <is>
          <t>sinardwimanunggal@gmail.com</t>
        </is>
      </c>
      <c r="E196" t="inlineStr">
        <is>
          <t>https://lpjk.pu.go.id/search-badan-usaha-detail/Ky9SV0w2UE1EYjE3K2Z1bWwvOElSQT09</t>
        </is>
      </c>
      <c r="F196" t="n">
        <v>1</v>
      </c>
      <c r="G196" t="inlineStr">
        <is>
          <t>BG002</t>
        </is>
      </c>
      <c r="H196" t="inlineStr">
        <is>
          <t>26 Februari 2020</t>
        </is>
      </c>
      <c r="I196" s="2" t="n">
        <v>46214</v>
      </c>
      <c r="J196" t="inlineStr">
        <is>
          <t>Disetujui</t>
        </is>
      </c>
      <c r="K196" t="n">
        <v>30</v>
      </c>
      <c r="L196" t="inlineStr">
        <is>
          <t>11 Juli 2026</t>
        </is>
      </c>
      <c r="M196" t="inlineStr">
        <is>
          <t>Konstruksi Gedung Perkantoran</t>
        </is>
      </c>
      <c r="N196" t="inlineStr">
        <is>
          <t>K</t>
        </is>
      </c>
      <c r="O196" t="inlineStr">
        <is>
          <t>20230704</t>
        </is>
      </c>
      <c r="P196" t="inlineStr">
        <is>
          <t>Jawa Timur</t>
        </is>
      </c>
      <c r="Q196" t="inlineStr"/>
    </row>
    <row r="197">
      <c r="A197" t="inlineStr">
        <is>
          <t>SINAR HARAPAN MARUNSU</t>
        </is>
      </c>
      <c r="B197" t="inlineStr">
        <is>
          <t>Kab. Bengkayang</t>
        </is>
      </c>
      <c r="C197" t="inlineStr">
        <is>
          <t>085828054906</t>
        </is>
      </c>
      <c r="D197" t="inlineStr">
        <is>
          <t>sinarharapanmarunsu67@gmail.com</t>
        </is>
      </c>
      <c r="E197" t="inlineStr">
        <is>
          <t>https://lpjk.pu.go.id/search-badan-usaha-detail/Um94eEI2QVBqQkhEa3orYWp3M0h3UT09</t>
        </is>
      </c>
      <c r="F197" t="n">
        <v>1</v>
      </c>
      <c r="G197" t="inlineStr">
        <is>
          <t>BG006</t>
        </is>
      </c>
      <c r="H197" t="inlineStr">
        <is>
          <t>15 Juni 2023</t>
        </is>
      </c>
      <c r="I197" s="2" t="n">
        <v>46214</v>
      </c>
      <c r="J197" t="inlineStr">
        <is>
          <t>Disetujui</t>
        </is>
      </c>
      <c r="K197" t="n">
        <v>30</v>
      </c>
      <c r="L197" t="inlineStr">
        <is>
          <t>11 Juli 2026</t>
        </is>
      </c>
      <c r="M197" t="inlineStr">
        <is>
          <t>Konstruksi Gedung Pendidikan</t>
        </is>
      </c>
      <c r="N197" t="inlineStr">
        <is>
          <t>K</t>
        </is>
      </c>
      <c r="O197" t="inlineStr">
        <is>
          <t>20230707</t>
        </is>
      </c>
      <c r="P197" t="inlineStr">
        <is>
          <t>Kalimantan Barat</t>
        </is>
      </c>
      <c r="Q197" t="inlineStr"/>
    </row>
    <row r="198">
      <c r="A198" t="inlineStr">
        <is>
          <t>SINDANGRASA</t>
        </is>
      </c>
      <c r="B198" t="inlineStr">
        <is>
          <t>Kab. Ciamis</t>
        </is>
      </c>
      <c r="C198" t="inlineStr">
        <is>
          <t>082121242242</t>
        </is>
      </c>
      <c r="D198" t="inlineStr">
        <is>
          <t>erwin.riyanto61@yahoo.com</t>
        </is>
      </c>
      <c r="E198" t="inlineStr">
        <is>
          <t>https://lpjk.pu.go.id/search-badan-usaha-detail/dmJXR3k3SlNUM2xtTVFzSXIwalJBQT09</t>
        </is>
      </c>
      <c r="F198" t="n">
        <v>6</v>
      </c>
      <c r="G198" t="inlineStr">
        <is>
          <t>BG002, BG005, BG009, BS001, BS002, BS004</t>
        </is>
      </c>
      <c r="H198" t="inlineStr">
        <is>
          <t>18 Desember 1985</t>
        </is>
      </c>
      <c r="I198" s="2" t="n">
        <v>46214</v>
      </c>
      <c r="J198" t="inlineStr">
        <is>
          <t>Disetujui</t>
        </is>
      </c>
      <c r="K198" t="n">
        <v>30</v>
      </c>
      <c r="L198" t="inlineStr">
        <is>
          <t>11 Juli 2026</t>
        </is>
      </c>
      <c r="M198" t="inlineStr">
        <is>
          <t>Bangunan Sipil Jembatan, Jalan Layang, Fly Over, dan Underpass, Konstruksi Bangunan Sipil Jalan, Konstruksi Gedung Kesehatan, Konstruksi Gedung Lainnya, Konstruksi Gedung Perkantoran, Konstruksi Jaringan Irigasi dan Drainase</t>
        </is>
      </c>
      <c r="N198" t="inlineStr">
        <is>
          <t>K</t>
        </is>
      </c>
      <c r="O198" t="inlineStr">
        <is>
          <t>20230705</t>
        </is>
      </c>
      <c r="P198" t="inlineStr">
        <is>
          <t>Jawa Barat</t>
        </is>
      </c>
      <c r="Q198" t="inlineStr"/>
    </row>
    <row r="199">
      <c r="A199" t="inlineStr">
        <is>
          <t>SINGGALANG JAYA RAYA</t>
        </is>
      </c>
      <c r="B199" t="inlineStr">
        <is>
          <t>Kab. Kutai Kartanegara</t>
        </is>
      </c>
      <c r="C199" t="inlineStr">
        <is>
          <t>085348861405</t>
        </is>
      </c>
      <c r="D199" t="inlineStr">
        <is>
          <t>singgalangjayaraya@gmail.com</t>
        </is>
      </c>
      <c r="E199" t="inlineStr">
        <is>
          <t>https://lpjk.pu.go.id/search-badan-usaha-detail/c3ZudURZb0hvdm04NG5NanpXdUxRZz09</t>
        </is>
      </c>
      <c r="F199" t="n">
        <v>1</v>
      </c>
      <c r="G199" t="inlineStr">
        <is>
          <t>BG009</t>
        </is>
      </c>
      <c r="H199" t="inlineStr">
        <is>
          <t>1 Desember 2022</t>
        </is>
      </c>
      <c r="I199" s="2" t="n">
        <v>46214</v>
      </c>
      <c r="J199" t="inlineStr">
        <is>
          <t>Pencabutan</t>
        </is>
      </c>
      <c r="K199" t="n">
        <v>30</v>
      </c>
      <c r="L199" t="inlineStr">
        <is>
          <t>11 Juli 2026</t>
        </is>
      </c>
      <c r="M199" t="inlineStr">
        <is>
          <t>Konstruksi Gedung Lainnya</t>
        </is>
      </c>
      <c r="N199" t="inlineStr">
        <is>
          <t>K</t>
        </is>
      </c>
      <c r="O199" t="inlineStr">
        <is>
          <t>20230712</t>
        </is>
      </c>
      <c r="P199" t="inlineStr">
        <is>
          <t>Kalimantan Timur</t>
        </is>
      </c>
      <c r="Q199" t="inlineStr"/>
    </row>
    <row r="200">
      <c r="A200" t="inlineStr">
        <is>
          <t>SOLUSI INDUSTRI ENERGI</t>
        </is>
      </c>
      <c r="B200" t="inlineStr">
        <is>
          <t>Kota Adm. Jakarta Selatan</t>
        </is>
      </c>
      <c r="C200" t="inlineStr">
        <is>
          <t>02122787919</t>
        </is>
      </c>
      <c r="D200" t="inlineStr">
        <is>
          <t>info@soliner.co.id</t>
        </is>
      </c>
      <c r="E200" t="inlineStr">
        <is>
          <t>https://lpjk.pu.go.id/search-badan-usaha-detail/REt4ZjRKL1pEN1B2OHJZVFlzUWUzUT09</t>
        </is>
      </c>
      <c r="F200" t="n">
        <v>2</v>
      </c>
      <c r="G200" t="inlineStr">
        <is>
          <t>IN004</t>
        </is>
      </c>
      <c r="H200" t="inlineStr">
        <is>
          <t>8 Februari 2021</t>
        </is>
      </c>
      <c r="I200" s="2" t="n">
        <v>46214</v>
      </c>
      <c r="J200" t="inlineStr">
        <is>
          <t>Pembekuan</t>
        </is>
      </c>
      <c r="K200" t="n">
        <v>30</v>
      </c>
      <c r="L200" t="inlineStr">
        <is>
          <t>11 Juli 2026</t>
        </is>
      </c>
      <c r="M200" t="inlineStr">
        <is>
          <t>Instalasi Minyak dan Gas</t>
        </is>
      </c>
      <c r="N200" t="inlineStr">
        <is>
          <t>Spesialis</t>
        </is>
      </c>
      <c r="O200" t="inlineStr">
        <is>
          <t>20230710</t>
        </is>
      </c>
      <c r="P200" t="inlineStr">
        <is>
          <t>DKI Jakarta</t>
        </is>
      </c>
      <c r="Q200" t="inlineStr"/>
    </row>
    <row r="201">
      <c r="A201" t="inlineStr">
        <is>
          <t>SRIWIJAYA INTI KARYA</t>
        </is>
      </c>
      <c r="B201" t="inlineStr">
        <is>
          <t>Kota Palembang</t>
        </is>
      </c>
      <c r="C201" t="inlineStr">
        <is>
          <t>08127822017</t>
        </is>
      </c>
      <c r="D201" t="inlineStr">
        <is>
          <t>sriwijayaintikarya@gmail.com</t>
        </is>
      </c>
      <c r="E201" t="inlineStr">
        <is>
          <t>https://lpjk.pu.go.id/search-badan-usaha-detail/ZUp3RmxaSTdNcUpwZjN2cGNFTit3UT09</t>
        </is>
      </c>
      <c r="F201" t="n">
        <v>1</v>
      </c>
      <c r="G201" t="inlineStr">
        <is>
          <t>BS004</t>
        </is>
      </c>
      <c r="H201" t="inlineStr">
        <is>
          <t>22 Juni 2012</t>
        </is>
      </c>
      <c r="I201" s="2" t="n">
        <v>46214</v>
      </c>
      <c r="J201" t="inlineStr">
        <is>
          <t>Disetujui</t>
        </is>
      </c>
      <c r="K201" t="n">
        <v>30</v>
      </c>
      <c r="L201" t="inlineStr">
        <is>
          <t>11 Juli 2026</t>
        </is>
      </c>
      <c r="M201" t="inlineStr">
        <is>
          <t>Konstruksi Jaringan Irigasi dan Drainase</t>
        </is>
      </c>
      <c r="N201" t="inlineStr">
        <is>
          <t>K</t>
        </is>
      </c>
      <c r="O201" t="inlineStr">
        <is>
          <t>20230711</t>
        </is>
      </c>
      <c r="P201" t="inlineStr">
        <is>
          <t>Sumatera Selatan</t>
        </is>
      </c>
      <c r="Q201" t="inlineStr"/>
    </row>
    <row r="202">
      <c r="A202" t="inlineStr">
        <is>
          <t>SRIWIJAYA KONSTRUKSI</t>
        </is>
      </c>
      <c r="B202" t="inlineStr">
        <is>
          <t>Kab. Sleman</t>
        </is>
      </c>
      <c r="C202" t="inlineStr">
        <is>
          <t>082134821166</t>
        </is>
      </c>
      <c r="D202" t="inlineStr">
        <is>
          <t>sriwijayakonstruksi2023@gmail.com</t>
        </is>
      </c>
      <c r="E202" t="inlineStr">
        <is>
          <t>https://lpjk.pu.go.id/search-badan-usaha-detail/eHBSM2VJdzdBWGt2UGdVM2ltaWNXdz09</t>
        </is>
      </c>
      <c r="F202" t="n">
        <v>1</v>
      </c>
      <c r="G202" t="inlineStr">
        <is>
          <t>BS004</t>
        </is>
      </c>
      <c r="H202" t="inlineStr">
        <is>
          <t>15 Mei 2023</t>
        </is>
      </c>
      <c r="I202" s="2" t="n">
        <v>46214</v>
      </c>
      <c r="J202" t="inlineStr">
        <is>
          <t>Pencabutan</t>
        </is>
      </c>
      <c r="K202" t="n">
        <v>30</v>
      </c>
      <c r="L202" t="inlineStr">
        <is>
          <t>11 Juli 2026</t>
        </is>
      </c>
      <c r="M202" t="inlineStr">
        <is>
          <t>Konstruksi Jaringan Irigasi dan Drainase</t>
        </is>
      </c>
      <c r="N202" t="inlineStr">
        <is>
          <t>K</t>
        </is>
      </c>
      <c r="O202" t="inlineStr">
        <is>
          <t>20230702</t>
        </is>
      </c>
      <c r="P202" t="inlineStr">
        <is>
          <t>DI Yogyakarta</t>
        </is>
      </c>
      <c r="Q202" t="inlineStr"/>
    </row>
    <row r="203">
      <c r="A203" t="inlineStr">
        <is>
          <t>STAR DIPLOMAT</t>
        </is>
      </c>
      <c r="B203" t="inlineStr">
        <is>
          <t>Kota Medan</t>
        </is>
      </c>
      <c r="C203" t="inlineStr">
        <is>
          <t>082166280868</t>
        </is>
      </c>
      <c r="D203" t="inlineStr">
        <is>
          <t>stardiplomat3@gmail.com</t>
        </is>
      </c>
      <c r="E203" t="inlineStr">
        <is>
          <t>https://lpjk.pu.go.id/search-badan-usaha-detail/eVZTa2htU1IzU3Exc0EyNTZXSTJidz09</t>
        </is>
      </c>
      <c r="F203" t="n">
        <v>3</v>
      </c>
      <c r="G203" t="inlineStr">
        <is>
          <t>BG006, BG009, BS001</t>
        </is>
      </c>
      <c r="H203" t="inlineStr">
        <is>
          <t>1 Januari 2018</t>
        </is>
      </c>
      <c r="I203" s="2" t="n">
        <v>46214</v>
      </c>
      <c r="J203" t="inlineStr">
        <is>
          <t>Disetujui</t>
        </is>
      </c>
      <c r="K203" t="n">
        <v>30</v>
      </c>
      <c r="L203" t="inlineStr">
        <is>
          <t>11 Juli 2026</t>
        </is>
      </c>
      <c r="M203" t="inlineStr">
        <is>
          <t>Konstruksi Bangunan Sipil Jalan, Konstruksi Gedung Lainnya, Konstruksi Gedung Pendidikan</t>
        </is>
      </c>
      <c r="N203" t="inlineStr">
        <is>
          <t>K</t>
        </is>
      </c>
      <c r="O203" t="inlineStr">
        <is>
          <t>20230711</t>
        </is>
      </c>
      <c r="P203" t="inlineStr">
        <is>
          <t>Sumatera Utara</t>
        </is>
      </c>
      <c r="Q203" t="inlineStr"/>
    </row>
    <row r="204">
      <c r="A204" t="inlineStr">
        <is>
          <t>SUMBER KARYA</t>
        </is>
      </c>
      <c r="B204" t="inlineStr">
        <is>
          <t>Kab. Sijunjung</t>
        </is>
      </c>
      <c r="C204" t="inlineStr">
        <is>
          <t>082283242493</t>
        </is>
      </c>
      <c r="D204" t="inlineStr">
        <is>
          <t>Muhammadrehansjj19@gmail.com</t>
        </is>
      </c>
      <c r="E204" t="inlineStr">
        <is>
          <t>https://lpjk.pu.go.id/search-badan-usaha-detail/QzFzRXhwNUswcG1OUkpGNmlIbkNuQT09</t>
        </is>
      </c>
      <c r="F204" t="n">
        <v>4</v>
      </c>
      <c r="G204" t="inlineStr">
        <is>
          <t>BG001, BG004, BG006, BG009</t>
        </is>
      </c>
      <c r="H204" t="inlineStr">
        <is>
          <t>8 Desember 1982</t>
        </is>
      </c>
      <c r="I204" s="2" t="n">
        <v>46214</v>
      </c>
      <c r="J204" t="inlineStr">
        <is>
          <t>Disetujui</t>
        </is>
      </c>
      <c r="K204" t="n">
        <v>30</v>
      </c>
      <c r="L204" t="inlineStr">
        <is>
          <t>11 Juli 2026</t>
        </is>
      </c>
      <c r="M204" t="inlineStr">
        <is>
          <t>Konstruksi Gedung Hunian, Konstruksi Gedung Lainnya, Konstruksi Gedung Pendidikan, Konstruksi Gedung Perbelanjaan</t>
        </is>
      </c>
      <c r="N204" t="inlineStr">
        <is>
          <t>K</t>
        </is>
      </c>
      <c r="O204" t="inlineStr">
        <is>
          <t>20230708, 20230709</t>
        </is>
      </c>
      <c r="P204" t="inlineStr">
        <is>
          <t>Sumatera Barat</t>
        </is>
      </c>
      <c r="Q204" t="inlineStr"/>
    </row>
    <row r="205">
      <c r="A205" t="inlineStr">
        <is>
          <t>SUMBER MAS</t>
        </is>
      </c>
      <c r="B205" t="inlineStr">
        <is>
          <t>Kab. Subang</t>
        </is>
      </c>
      <c r="C205" t="inlineStr">
        <is>
          <t>N/A</t>
        </is>
      </c>
      <c r="D205" t="inlineStr">
        <is>
          <t>N/A</t>
        </is>
      </c>
      <c r="E205" t="inlineStr">
        <is>
          <t>https://lpjk.pu.go.id/search-badan-usaha-detail/V29PZ21WN2I2Tzl4TTYrNFVVYUZZUT09</t>
        </is>
      </c>
      <c r="F205" t="n">
        <v>1</v>
      </c>
      <c r="G205" t="inlineStr">
        <is>
          <t>BS004</t>
        </is>
      </c>
      <c r="H205" t="inlineStr"/>
      <c r="I205" s="2" t="n">
        <v>46214</v>
      </c>
      <c r="J205" t="inlineStr">
        <is>
          <t>Disetujui</t>
        </is>
      </c>
      <c r="K205" t="n">
        <v>30</v>
      </c>
      <c r="L205" t="inlineStr">
        <is>
          <t>11 Juli 2026</t>
        </is>
      </c>
      <c r="M205" t="inlineStr">
        <is>
          <t>Konstruksi Jaringan Irigasi dan Drainase</t>
        </is>
      </c>
      <c r="N205" t="inlineStr">
        <is>
          <t>K</t>
        </is>
      </c>
      <c r="O205" t="inlineStr">
        <is>
          <t>20230705</t>
        </is>
      </c>
      <c r="P205" t="inlineStr">
        <is>
          <t>Jawa Barat</t>
        </is>
      </c>
      <c r="Q205" t="inlineStr"/>
    </row>
    <row r="206">
      <c r="A206" t="inlineStr">
        <is>
          <t>SURYA DHARMA PRAKASA</t>
        </is>
      </c>
      <c r="B206" t="inlineStr">
        <is>
          <t>Kab. Sleman</t>
        </is>
      </c>
      <c r="C206" t="inlineStr">
        <is>
          <t>081235830303</t>
        </is>
      </c>
      <c r="D206" t="inlineStr">
        <is>
          <t>suryoluxe@gmail.com</t>
        </is>
      </c>
      <c r="E206" t="inlineStr">
        <is>
          <t>https://lpjk.pu.go.id/search-badan-usaha-detail/SHVLQW9RN20vc1VZTjFzQ2pWODJKQT09</t>
        </is>
      </c>
      <c r="F206" t="n">
        <v>1</v>
      </c>
      <c r="G206" t="inlineStr">
        <is>
          <t>BG001</t>
        </is>
      </c>
      <c r="H206" t="inlineStr">
        <is>
          <t>27 Februari 2015</t>
        </is>
      </c>
      <c r="I206" s="2" t="n">
        <v>46214</v>
      </c>
      <c r="J206" t="inlineStr">
        <is>
          <t>Disetujui</t>
        </is>
      </c>
      <c r="K206" t="n">
        <v>30</v>
      </c>
      <c r="L206" t="inlineStr">
        <is>
          <t>11 Juli 2026</t>
        </is>
      </c>
      <c r="M206" t="inlineStr">
        <is>
          <t>Konstruksi Gedung Hunian</t>
        </is>
      </c>
      <c r="N206" t="inlineStr">
        <is>
          <t>K</t>
        </is>
      </c>
      <c r="O206" t="inlineStr">
        <is>
          <t>20230504</t>
        </is>
      </c>
      <c r="P206" t="inlineStr">
        <is>
          <t>DI Yogyakarta</t>
        </is>
      </c>
      <c r="Q206" t="inlineStr"/>
    </row>
    <row r="207">
      <c r="A207" t="inlineStr">
        <is>
          <t>TALANG RIMBA JAYA</t>
        </is>
      </c>
      <c r="B207" t="inlineStr">
        <is>
          <t>Kab. Ogan Komering Ilir</t>
        </is>
      </c>
      <c r="C207" t="inlineStr">
        <is>
          <t>08127913995</t>
        </is>
      </c>
      <c r="D207" t="inlineStr">
        <is>
          <t>cvtalangrimbajaya@gmail.com</t>
        </is>
      </c>
      <c r="E207" t="inlineStr">
        <is>
          <t>https://lpjk.pu.go.id/search-badan-usaha-detail/cHg2TlBzSUc0Q0hKam1pOXNaOXdldz09</t>
        </is>
      </c>
      <c r="F207" t="n">
        <v>1</v>
      </c>
      <c r="G207" t="inlineStr">
        <is>
          <t>BG006</t>
        </is>
      </c>
      <c r="H207" t="inlineStr">
        <is>
          <t>29 Juni 2021</t>
        </is>
      </c>
      <c r="I207" s="2" t="n">
        <v>46214</v>
      </c>
      <c r="J207" t="inlineStr">
        <is>
          <t>Pencabutan</t>
        </is>
      </c>
      <c r="K207" t="n">
        <v>30</v>
      </c>
      <c r="L207" t="inlineStr">
        <is>
          <t>11 Juli 2026</t>
        </is>
      </c>
      <c r="M207" t="inlineStr">
        <is>
          <t>Konstruksi Gedung Pendidikan</t>
        </is>
      </c>
      <c r="N207" t="inlineStr">
        <is>
          <t>K</t>
        </is>
      </c>
      <c r="O207" t="inlineStr">
        <is>
          <t>20230711</t>
        </is>
      </c>
      <c r="P207" t="inlineStr">
        <is>
          <t>Sumatera Selatan</t>
        </is>
      </c>
      <c r="Q207" t="inlineStr"/>
    </row>
    <row r="208">
      <c r="A208" t="inlineStr">
        <is>
          <t>TITAN MULTI PILAR</t>
        </is>
      </c>
      <c r="B208" t="inlineStr">
        <is>
          <t>Kab. Bantul</t>
        </is>
      </c>
      <c r="C208" t="inlineStr">
        <is>
          <t>081233840633</t>
        </is>
      </c>
      <c r="D208" t="inlineStr">
        <is>
          <t>titanmultipilar@gmail.com</t>
        </is>
      </c>
      <c r="E208" t="inlineStr">
        <is>
          <t>https://lpjk.pu.go.id/search-badan-usaha-detail/QXRrTUI2RWIrNCt2RVIrZjRaMDJMQT09</t>
        </is>
      </c>
      <c r="F208" t="n">
        <v>2</v>
      </c>
      <c r="G208" t="inlineStr">
        <is>
          <t>BG004, BG005</t>
        </is>
      </c>
      <c r="H208" t="inlineStr">
        <is>
          <t>9 November 2021</t>
        </is>
      </c>
      <c r="I208" s="2" t="n">
        <v>46214</v>
      </c>
      <c r="J208" t="inlineStr">
        <is>
          <t>Pencabutan</t>
        </is>
      </c>
      <c r="K208" t="n">
        <v>30</v>
      </c>
      <c r="L208" t="inlineStr">
        <is>
          <t>11 Juli 2026</t>
        </is>
      </c>
      <c r="M208" t="inlineStr">
        <is>
          <t>Konstruksi Gedung Kesehatan, Konstruksi Gedung Perbelanjaan</t>
        </is>
      </c>
      <c r="N208" t="inlineStr">
        <is>
          <t>K</t>
        </is>
      </c>
      <c r="O208" t="inlineStr">
        <is>
          <t>20230708</t>
        </is>
      </c>
      <c r="P208" t="inlineStr">
        <is>
          <t>DI Yogyakarta</t>
        </is>
      </c>
      <c r="Q208" t="inlineStr"/>
    </row>
    <row r="209">
      <c r="A209" t="inlineStr">
        <is>
          <t>TRI KAYA PARISUDA</t>
        </is>
      </c>
      <c r="B209" t="inlineStr">
        <is>
          <t>Kota Surabaya</t>
        </is>
      </c>
      <c r="C209" t="inlineStr">
        <is>
          <t>0818521696</t>
        </is>
      </c>
      <c r="D209" t="inlineStr">
        <is>
          <t>madetkp@gmail.com</t>
        </is>
      </c>
      <c r="E209" t="inlineStr">
        <is>
          <t>https://lpjk.pu.go.id/search-badan-usaha-detail/ZFJScTRkejZiTWtkV3lMcVJKZHhYUT09</t>
        </is>
      </c>
      <c r="F209" t="n">
        <v>1</v>
      </c>
      <c r="G209" t="inlineStr">
        <is>
          <t>BG003</t>
        </is>
      </c>
      <c r="H209" t="inlineStr">
        <is>
          <t>4 Oktober 2004</t>
        </is>
      </c>
      <c r="I209" s="2" t="n">
        <v>46214</v>
      </c>
      <c r="J209" t="inlineStr">
        <is>
          <t>Disetujui</t>
        </is>
      </c>
      <c r="K209" t="n">
        <v>30</v>
      </c>
      <c r="L209" t="inlineStr">
        <is>
          <t>11 Juli 2026</t>
        </is>
      </c>
      <c r="M209" t="inlineStr">
        <is>
          <t>Konstruksi Gedung Industri</t>
        </is>
      </c>
      <c r="N209" t="inlineStr">
        <is>
          <t>K</t>
        </is>
      </c>
      <c r="O209" t="inlineStr">
        <is>
          <t>20230705</t>
        </is>
      </c>
      <c r="P209" t="inlineStr">
        <is>
          <t>Jawa Timur</t>
        </is>
      </c>
      <c r="Q209" t="inlineStr"/>
    </row>
    <row r="210">
      <c r="A210" t="inlineStr">
        <is>
          <t>TRI PERKASA ABADI CEMERLANG</t>
        </is>
      </c>
      <c r="B210" t="inlineStr">
        <is>
          <t>Kota Adm. Jakarta Selatan</t>
        </is>
      </c>
      <c r="C210" t="inlineStr">
        <is>
          <t>089510461429</t>
        </is>
      </c>
      <c r="D210" t="inlineStr">
        <is>
          <t>tacemerlang@gmail.com</t>
        </is>
      </c>
      <c r="E210" t="inlineStr">
        <is>
          <t>https://lpjk.pu.go.id/search-badan-usaha-detail/cTdvL2N5enBaQUJ3aUpRd3ZzajRldz09</t>
        </is>
      </c>
      <c r="F210" t="n">
        <v>3</v>
      </c>
      <c r="G210" t="inlineStr">
        <is>
          <t>BG009, BS002, PL005</t>
        </is>
      </c>
      <c r="H210" t="inlineStr">
        <is>
          <t>21 Mei 2010</t>
        </is>
      </c>
      <c r="I210" s="2" t="n">
        <v>46214</v>
      </c>
      <c r="J210" t="inlineStr">
        <is>
          <t>Disetujui</t>
        </is>
      </c>
      <c r="K210" t="n">
        <v>30</v>
      </c>
      <c r="L210" t="inlineStr">
        <is>
          <t>11 Juli 2026</t>
        </is>
      </c>
      <c r="M210" t="inlineStr">
        <is>
          <t>Bangunan Sipil Jembatan, Jalan Layang, Fly Over, dan Underpass, Konstruksi Gedung Lainnya, Pembuatan/Pengeboran Sumur Air Tanah</t>
        </is>
      </c>
      <c r="N210" t="inlineStr">
        <is>
          <t>K, Spesialis</t>
        </is>
      </c>
      <c r="O210" t="inlineStr">
        <is>
          <t>20230709</t>
        </is>
      </c>
      <c r="P210" t="inlineStr">
        <is>
          <t>DKI Jakarta</t>
        </is>
      </c>
      <c r="Q210" t="inlineStr"/>
    </row>
    <row r="211">
      <c r="A211" t="inlineStr">
        <is>
          <t>TRI TUNGGAL GROUP</t>
        </is>
      </c>
      <c r="B211" t="inlineStr">
        <is>
          <t>Kab. Lahat</t>
        </is>
      </c>
      <c r="C211" t="inlineStr">
        <is>
          <t>082181787754</t>
        </is>
      </c>
      <c r="D211" t="inlineStr">
        <is>
          <t>tritunggalgroup633@gmail.com</t>
        </is>
      </c>
      <c r="E211" t="inlineStr">
        <is>
          <t>https://lpjk.pu.go.id/search-badan-usaha-detail/TmVLUTEwNHEvanVFa2lVY2FHU0JhQT09</t>
        </is>
      </c>
      <c r="F211" t="n">
        <v>1</v>
      </c>
      <c r="G211" t="inlineStr">
        <is>
          <t>BG006</t>
        </is>
      </c>
      <c r="H211" t="inlineStr">
        <is>
          <t>22 Juni 2012</t>
        </is>
      </c>
      <c r="I211" s="2" t="n">
        <v>46214</v>
      </c>
      <c r="J211" t="inlineStr">
        <is>
          <t>Disetujui</t>
        </is>
      </c>
      <c r="K211" t="n">
        <v>30</v>
      </c>
      <c r="L211" t="inlineStr">
        <is>
          <t>11 Juli 2026</t>
        </is>
      </c>
      <c r="M211" t="inlineStr">
        <is>
          <t>Konstruksi Gedung Pendidikan</t>
        </is>
      </c>
      <c r="N211" t="inlineStr">
        <is>
          <t>K</t>
        </is>
      </c>
      <c r="O211" t="inlineStr">
        <is>
          <t>20230711</t>
        </is>
      </c>
      <c r="P211" t="inlineStr">
        <is>
          <t>Sumatera Selatan</t>
        </is>
      </c>
      <c r="Q211" t="inlineStr"/>
    </row>
    <row r="212">
      <c r="A212" t="inlineStr">
        <is>
          <t>TRIKARYA MUKTI MULYA</t>
        </is>
      </c>
      <c r="B212" t="inlineStr">
        <is>
          <t>Kota Semarang</t>
        </is>
      </c>
      <c r="C212" t="inlineStr">
        <is>
          <t>02476581100</t>
        </is>
      </c>
      <c r="D212" t="inlineStr">
        <is>
          <t>trikarya95@gmail.com</t>
        </is>
      </c>
      <c r="E212" t="inlineStr">
        <is>
          <t>https://lpjk.pu.go.id/search-badan-usaha-detail/S200WWtyQnJoOHBJbGc0QUM1aTZWdz09</t>
        </is>
      </c>
      <c r="F212" t="n">
        <v>1</v>
      </c>
      <c r="G212" t="inlineStr">
        <is>
          <t>BG009</t>
        </is>
      </c>
      <c r="H212" t="inlineStr">
        <is>
          <t>22 Oktober 1999</t>
        </is>
      </c>
      <c r="I212" s="2" t="n">
        <v>46214</v>
      </c>
      <c r="J212" t="inlineStr">
        <is>
          <t>Disetujui</t>
        </is>
      </c>
      <c r="K212" t="n">
        <v>30</v>
      </c>
      <c r="L212" t="inlineStr">
        <is>
          <t>11 Juli 2026</t>
        </is>
      </c>
      <c r="M212" t="inlineStr">
        <is>
          <t>Konstruksi Gedung Lainnya</t>
        </is>
      </c>
      <c r="N212" t="inlineStr">
        <is>
          <t>K</t>
        </is>
      </c>
      <c r="O212" t="inlineStr">
        <is>
          <t>20230622</t>
        </is>
      </c>
      <c r="P212" t="inlineStr">
        <is>
          <t>Jawa Tengah</t>
        </is>
      </c>
      <c r="Q212" t="inlineStr"/>
    </row>
    <row r="213">
      <c r="A213" t="inlineStr">
        <is>
          <t>TRINITY BERKAT ABADI</t>
        </is>
      </c>
      <c r="B213" t="inlineStr">
        <is>
          <t>Kota Adm. Jakarta Barat</t>
        </is>
      </c>
      <c r="C213" t="inlineStr">
        <is>
          <t>087823232828</t>
        </is>
      </c>
      <c r="D213" t="inlineStr">
        <is>
          <t>Triban411@gmail.com</t>
        </is>
      </c>
      <c r="E213" t="inlineStr">
        <is>
          <t>https://lpjk.pu.go.id/search-badan-usaha-detail/OGJ4YWhzZ1V2Q3VrSmI5MG5OZVNJUT09</t>
        </is>
      </c>
      <c r="F213" t="n">
        <v>1</v>
      </c>
      <c r="G213" t="inlineStr">
        <is>
          <t>BG009</t>
        </is>
      </c>
      <c r="H213" t="inlineStr">
        <is>
          <t>14 Oktober 2022</t>
        </is>
      </c>
      <c r="I213" s="2" t="n">
        <v>46214</v>
      </c>
      <c r="J213" t="inlineStr">
        <is>
          <t>Pencabutan</t>
        </is>
      </c>
      <c r="K213" t="n">
        <v>30</v>
      </c>
      <c r="L213" t="inlineStr">
        <is>
          <t>11 Juli 2026</t>
        </is>
      </c>
      <c r="M213" t="inlineStr">
        <is>
          <t>Konstruksi Gedung Lainnya</t>
        </is>
      </c>
      <c r="N213" t="inlineStr">
        <is>
          <t>K</t>
        </is>
      </c>
      <c r="O213" t="inlineStr">
        <is>
          <t>20230619</t>
        </is>
      </c>
      <c r="P213" t="inlineStr">
        <is>
          <t>DKI Jakarta</t>
        </is>
      </c>
      <c r="Q213" t="inlineStr"/>
    </row>
    <row r="214">
      <c r="A214" t="inlineStr">
        <is>
          <t>WIGUNA INDRA JAYA</t>
        </is>
      </c>
      <c r="B214" t="inlineStr">
        <is>
          <t>Kab. Bojonegoro</t>
        </is>
      </c>
      <c r="C214" t="inlineStr">
        <is>
          <t>085335412557</t>
        </is>
      </c>
      <c r="D214" t="inlineStr">
        <is>
          <t>indrawindra6@gmail.com</t>
        </is>
      </c>
      <c r="E214" t="inlineStr">
        <is>
          <t>https://lpjk.pu.go.id/search-badan-usaha-detail/cGQ0YlZnV0ZyWGprN1N3TDBZQ2llUT09</t>
        </is>
      </c>
      <c r="F214" t="n">
        <v>1</v>
      </c>
      <c r="G214" t="inlineStr">
        <is>
          <t>BG006</t>
        </is>
      </c>
      <c r="H214" t="inlineStr">
        <is>
          <t>15 November 2019</t>
        </is>
      </c>
      <c r="I214" s="2" t="n">
        <v>46214</v>
      </c>
      <c r="J214" t="inlineStr">
        <is>
          <t>Disetujui</t>
        </is>
      </c>
      <c r="K214" t="n">
        <v>30</v>
      </c>
      <c r="L214" t="inlineStr">
        <is>
          <t>11 Juli 2026</t>
        </is>
      </c>
      <c r="M214" t="inlineStr">
        <is>
          <t>Konstruksi Gedung Pendidikan</t>
        </is>
      </c>
      <c r="N214" t="inlineStr">
        <is>
          <t>K</t>
        </is>
      </c>
      <c r="O214" t="inlineStr">
        <is>
          <t>20230712</t>
        </is>
      </c>
      <c r="P214" t="inlineStr">
        <is>
          <t>Jawa Timur</t>
        </is>
      </c>
      <c r="Q214" t="inlineStr"/>
    </row>
    <row r="215">
      <c r="A215" t="inlineStr">
        <is>
          <t>WIJAYA MANDIRI</t>
        </is>
      </c>
      <c r="B215" t="inlineStr">
        <is>
          <t>Kab. Demak</t>
        </is>
      </c>
      <c r="C215" t="inlineStr">
        <is>
          <t>082324215848</t>
        </is>
      </c>
      <c r="D215" t="inlineStr">
        <is>
          <t>cv.wijayamandiri@rocketmail.com</t>
        </is>
      </c>
      <c r="E215" t="inlineStr">
        <is>
          <t>https://lpjk.pu.go.id/search-badan-usaha-detail/REpoaCtkVlp3Ty9iTWhwTndUcHRkdz09</t>
        </is>
      </c>
      <c r="F215" t="n">
        <v>8</v>
      </c>
      <c r="G215" t="inlineStr">
        <is>
          <t>BG004, BG006, BG009, BS001</t>
        </is>
      </c>
      <c r="H215" t="inlineStr">
        <is>
          <t>17 April 2006</t>
        </is>
      </c>
      <c r="I215" s="2" t="n">
        <v>46214</v>
      </c>
      <c r="J215" t="inlineStr">
        <is>
          <t>Disetujui</t>
        </is>
      </c>
      <c r="K215" t="n">
        <v>30</v>
      </c>
      <c r="L215" t="inlineStr">
        <is>
          <t>11 Juli 2026</t>
        </is>
      </c>
      <c r="M215" t="inlineStr">
        <is>
          <t>Konstruksi Bangunan Sipil Jalan, Konstruksi Gedung Lainnya, Konstruksi Gedung Pendidikan, Konstruksi Gedung Perbelanjaan</t>
        </is>
      </c>
      <c r="N215" t="inlineStr">
        <is>
          <t>K</t>
        </is>
      </c>
      <c r="O215" t="inlineStr">
        <is>
          <t>20230707</t>
        </is>
      </c>
      <c r="P215" t="inlineStr">
        <is>
          <t>Jawa Tengah</t>
        </is>
      </c>
      <c r="Q215" t="inlineStr"/>
    </row>
    <row r="216">
      <c r="A216" t="inlineStr">
        <is>
          <t>WIRATMAN</t>
        </is>
      </c>
      <c r="B216" t="inlineStr">
        <is>
          <t>Kota Adm. Jakarta Selatan</t>
        </is>
      </c>
      <c r="C216" t="inlineStr">
        <is>
          <t>0217817777</t>
        </is>
      </c>
      <c r="D216" t="inlineStr">
        <is>
          <t>wcorporate@wiratman.co.id</t>
        </is>
      </c>
      <c r="E216" t="inlineStr">
        <is>
          <t>https://lpjk.pu.go.id/search-badan-usaha-detail/UnE5K2twTUVyNjIrT0lZa1M0RjNGZ24yY0dKWXdrVEpVZUxxQ3lFT1FEST0</t>
        </is>
      </c>
      <c r="F216" t="n">
        <v>2</v>
      </c>
      <c r="G216" t="inlineStr">
        <is>
          <t>AR001</t>
        </is>
      </c>
      <c r="H216" t="inlineStr">
        <is>
          <t>13 Agustus 2020</t>
        </is>
      </c>
      <c r="I216" s="2" t="n">
        <v>46214</v>
      </c>
      <c r="J216" t="inlineStr">
        <is>
          <t>Disetujui</t>
        </is>
      </c>
      <c r="K216" t="n">
        <v>30</v>
      </c>
      <c r="L216" t="inlineStr">
        <is>
          <t>11 Juli 2026</t>
        </is>
      </c>
      <c r="M216" t="inlineStr">
        <is>
          <t>Jasa Arsitektural Bangunan Gedung Hunian dan Non Hunian</t>
        </is>
      </c>
      <c r="N216" t="inlineStr">
        <is>
          <t>B</t>
        </is>
      </c>
      <c r="O216" t="inlineStr">
        <is>
          <t>20230703</t>
        </is>
      </c>
      <c r="P216" t="inlineStr">
        <is>
          <t>DKI Jakarta</t>
        </is>
      </c>
      <c r="Q216" t="inlineStr"/>
    </row>
    <row r="217">
      <c r="A217" t="inlineStr">
        <is>
          <t>ZAHRA ABADI</t>
        </is>
      </c>
      <c r="B217" t="inlineStr">
        <is>
          <t>Kab. Kuningan</t>
        </is>
      </c>
      <c r="C217" t="inlineStr">
        <is>
          <t>081312451379</t>
        </is>
      </c>
      <c r="D217" t="inlineStr">
        <is>
          <t>zahraabadicv@gmail.com</t>
        </is>
      </c>
      <c r="E217" t="inlineStr">
        <is>
          <t>https://lpjk.pu.go.id/search-badan-usaha-detail/eUtzaWp2TG5WdzR6WmRxd1lVWjRRdz09</t>
        </is>
      </c>
      <c r="F217" t="n">
        <v>2</v>
      </c>
      <c r="G217" t="inlineStr">
        <is>
          <t>BG006</t>
        </is>
      </c>
      <c r="H217" t="inlineStr">
        <is>
          <t>7 April 2008</t>
        </is>
      </c>
      <c r="I217" s="2" t="n">
        <v>46214</v>
      </c>
      <c r="J217" t="inlineStr">
        <is>
          <t>Disetujui</t>
        </is>
      </c>
      <c r="K217" t="n">
        <v>30</v>
      </c>
      <c r="L217" t="inlineStr">
        <is>
          <t>11 Juli 2026</t>
        </is>
      </c>
      <c r="M217" t="inlineStr">
        <is>
          <t>Konstruksi Gedung Pendidikan</t>
        </is>
      </c>
      <c r="N217" t="inlineStr">
        <is>
          <t>K</t>
        </is>
      </c>
      <c r="O217" t="inlineStr">
        <is>
          <t>20230710</t>
        </is>
      </c>
      <c r="P217" t="inlineStr">
        <is>
          <t>Jawa Barat</t>
        </is>
      </c>
      <c r="Q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2026-06-11T03:23:22Z</dcterms:created>
  <dcterms:modified xsi:type="dcterms:W3CDTF">2026-06-11T03:23:22Z</dcterms:modified>
</cp:coreProperties>
</file>