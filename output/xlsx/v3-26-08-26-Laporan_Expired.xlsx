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3"/>
  <sheetViews>
    <sheetView workbookViewId="0">
      <selection activeCell="A1" sqref="A1"/>
    </sheetView>
  </sheetViews>
  <sheetFormatPr baseColWidth="8" defaultRowHeight="15"/>
  <cols>
    <col width="35" customWidth="1" min="1" max="1"/>
    <col width="27" customWidth="1" min="2" max="2"/>
    <col width="16" customWidth="1" min="3" max="3"/>
    <col width="38" customWidth="1" min="4" max="4"/>
    <col width="50" customWidth="1" min="5" max="5"/>
    <col width="18" customWidth="1" min="6" max="6"/>
    <col width="42" customWidth="1" min="7" max="7"/>
    <col width="20" customWidth="1" min="8" max="8"/>
    <col width="28" customWidth="1" min="9" max="9"/>
    <col width="34" customWidth="1" min="10" max="10"/>
    <col width="11" customWidth="1" min="11" max="11"/>
    <col width="18" customWidth="1" min="12" max="12"/>
    <col width="50" customWidth="1" min="13" max="13"/>
    <col width="14"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ARTA INTAN KONSTRUKSI</t>
        </is>
      </c>
      <c r="B2" t="inlineStr">
        <is>
          <t>Kab. Bogor</t>
        </is>
      </c>
      <c r="C2" t="inlineStr">
        <is>
          <t>082123925815</t>
        </is>
      </c>
      <c r="D2" t="inlineStr">
        <is>
          <t>artaintankonstruksi@gmail.com</t>
        </is>
      </c>
      <c r="E2" t="inlineStr">
        <is>
          <t>https://lpjk.pu.go.id/search-badan-usaha-detail/dVpmNlpFYUw3Q2FLdWZSZkJ6elVtQT09</t>
        </is>
      </c>
      <c r="F2" t="n">
        <v>1</v>
      </c>
      <c r="G2" t="inlineStr">
        <is>
          <t>BG009</t>
        </is>
      </c>
      <c r="H2" t="inlineStr">
        <is>
          <t>7 Oktober 2023</t>
        </is>
      </c>
      <c r="I2" s="2" t="n">
        <v>46347</v>
      </c>
      <c r="J2" t="inlineStr">
        <is>
          <t>Disetujui</t>
        </is>
      </c>
      <c r="K2" t="n">
        <v>87</v>
      </c>
      <c r="L2" t="inlineStr">
        <is>
          <t>21 November 2026</t>
        </is>
      </c>
      <c r="M2" t="inlineStr">
        <is>
          <t>Konstruksi Gedung Lainnya</t>
        </is>
      </c>
      <c r="N2" t="inlineStr">
        <is>
          <t>K</t>
        </is>
      </c>
      <c r="O2" t="inlineStr">
        <is>
          <t>20231121</t>
        </is>
      </c>
      <c r="P2" t="inlineStr">
        <is>
          <t>Jawa Barat</t>
        </is>
      </c>
      <c r="Q2" s="3">
        <f>HYPERLINK("https://wa.me/6282123925815?text=Selamat siang Bapak/Ibu pimpinan ARTA INTAN KONSTRUKSI,%0A%0ASemoga Bapak/Ibu dalam keadaan baik.%0ABerdasarkan data LPJK, masa berlaku SBU perusahaan Bapak/Ibu akan berakhir sekitar 3 bulan lagi (pada 21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BIOSANT TIRTA LESTARI</t>
        </is>
      </c>
      <c r="B3" t="inlineStr">
        <is>
          <t>Kota Depok</t>
        </is>
      </c>
      <c r="C3" t="inlineStr">
        <is>
          <t>02185508880</t>
        </is>
      </c>
      <c r="D3" t="inlineStr">
        <is>
          <t>finance@biosant.co.id</t>
        </is>
      </c>
      <c r="E3" t="inlineStr">
        <is>
          <t>https://lpjk.pu.go.id/search-badan-usaha-detail/WjM1cmF6ZU02eGdWMWVjMXF1VXJpQT09</t>
        </is>
      </c>
      <c r="F3" t="n">
        <v>1</v>
      </c>
      <c r="G3" t="inlineStr">
        <is>
          <t>BS006</t>
        </is>
      </c>
      <c r="H3" t="inlineStr">
        <is>
          <t>3 Februari 2014</t>
        </is>
      </c>
      <c r="I3" s="2" t="n">
        <v>46347</v>
      </c>
      <c r="J3" t="inlineStr">
        <is>
          <t>Disetujui</t>
        </is>
      </c>
      <c r="K3" t="n">
        <v>87</v>
      </c>
      <c r="L3" t="inlineStr">
        <is>
          <t>21 November 2026</t>
        </is>
      </c>
      <c r="M3" t="inlineStr">
        <is>
          <t>Konstruksi Bangunan Sipil Prasarana dan Sarana Sistem Pengolahan Limbah Padat, Cair, dan Gas</t>
        </is>
      </c>
      <c r="N3" t="inlineStr">
        <is>
          <t>M</t>
        </is>
      </c>
      <c r="O3" t="inlineStr">
        <is>
          <t>20231116</t>
        </is>
      </c>
      <c r="P3" t="inlineStr">
        <is>
          <t>Jawa Barat</t>
        </is>
      </c>
      <c r="Q3" t="inlineStr"/>
    </row>
    <row r="4">
      <c r="A4" t="inlineStr">
        <is>
          <t>DAMARMAS KONSTRUKSI INDONESIA</t>
        </is>
      </c>
      <c r="B4" t="inlineStr">
        <is>
          <t>Kota Bogor</t>
        </is>
      </c>
      <c r="C4" t="inlineStr">
        <is>
          <t>0818975734</t>
        </is>
      </c>
      <c r="D4" t="inlineStr">
        <is>
          <t>dakindo2023@gmail.com</t>
        </is>
      </c>
      <c r="E4" t="inlineStr">
        <is>
          <t>https://lpjk.pu.go.id/search-badan-usaha-detail/ZTNmcVJ4ckFzTXBMQk1zaTNEV3N0Zz09</t>
        </is>
      </c>
      <c r="F4" t="n">
        <v>3</v>
      </c>
      <c r="G4" t="inlineStr">
        <is>
          <t>BG001</t>
        </is>
      </c>
      <c r="H4" t="inlineStr">
        <is>
          <t>31 Agustus 2023</t>
        </is>
      </c>
      <c r="I4" s="2" t="n">
        <v>46347</v>
      </c>
      <c r="J4" t="inlineStr">
        <is>
          <t>Disetujui</t>
        </is>
      </c>
      <c r="K4" t="n">
        <v>87</v>
      </c>
      <c r="L4" t="inlineStr">
        <is>
          <t>21 November 2026</t>
        </is>
      </c>
      <c r="M4" t="inlineStr">
        <is>
          <t>Konstruksi Gedung Hunian</t>
        </is>
      </c>
      <c r="N4" t="inlineStr">
        <is>
          <t>K</t>
        </is>
      </c>
      <c r="O4" t="inlineStr">
        <is>
          <t>20231115</t>
        </is>
      </c>
      <c r="P4" t="inlineStr">
        <is>
          <t>Jawa Barat</t>
        </is>
      </c>
      <c r="Q4" s="3">
        <f>HYPERLINK("https://wa.me/62818975734?text=Selamat siang Bapak/Ibu pimpinan DAMARMAS KONSTRUKSI INDONESIA,%0A%0ASemoga Bapak/Ibu dalam keadaan baik.%0ABerdasarkan data LPJK, masa berlaku SBU perusahaan Bapak/Ibu akan berakhir sekitar 3 bulan lagi (pada 21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DJAMBOR GRIYA SARANA</t>
        </is>
      </c>
      <c r="B5" t="inlineStr">
        <is>
          <t>Kab. Bogor</t>
        </is>
      </c>
      <c r="C5" t="inlineStr">
        <is>
          <t>081219830515</t>
        </is>
      </c>
      <c r="D5" t="inlineStr">
        <is>
          <t>dgs.permai@gmail.com</t>
        </is>
      </c>
      <c r="E5" t="inlineStr">
        <is>
          <t>https://lpjk.pu.go.id/search-badan-usaha-detail/NmptU1dzWGRyWE9hbWpvcmlXSW5RQT09</t>
        </is>
      </c>
      <c r="F5" t="n">
        <v>1</v>
      </c>
      <c r="G5" t="inlineStr">
        <is>
          <t>BG001</t>
        </is>
      </c>
      <c r="H5" t="inlineStr">
        <is>
          <t>23 Mei 2019</t>
        </is>
      </c>
      <c r="I5" s="2" t="n">
        <v>46347</v>
      </c>
      <c r="J5" t="inlineStr">
        <is>
          <t>Disetujui</t>
        </is>
      </c>
      <c r="K5" t="n">
        <v>87</v>
      </c>
      <c r="L5" t="inlineStr">
        <is>
          <t>21 November 2026</t>
        </is>
      </c>
      <c r="M5" t="inlineStr">
        <is>
          <t>Konstruksi Gedung Hunian</t>
        </is>
      </c>
      <c r="N5" t="inlineStr">
        <is>
          <t>K</t>
        </is>
      </c>
      <c r="O5" t="inlineStr">
        <is>
          <t>20231120</t>
        </is>
      </c>
      <c r="P5" t="inlineStr">
        <is>
          <t>Jawa Barat</t>
        </is>
      </c>
      <c r="Q5" s="3">
        <f>HYPERLINK("https://wa.me/6281219830515?text=Selamat siang Bapak/Ibu pimpinan DJAMBOR GRIYA SARANA,%0A%0ASemoga Bapak/Ibu dalam keadaan baik.%0ABerdasarkan data LPJK, masa berlaku SBU perusahaan Bapak/Ibu akan berakhir sekitar 3 bulan lagi (pada 21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KUJANG TUNGGAL PERKASA</t>
        </is>
      </c>
      <c r="B6" t="inlineStr">
        <is>
          <t>Kota Bogor</t>
        </is>
      </c>
      <c r="C6" t="inlineStr">
        <is>
          <t>081219128708</t>
        </is>
      </c>
      <c r="D6" t="inlineStr">
        <is>
          <t>cv.kujangtunggalperkasa@gmail.com</t>
        </is>
      </c>
      <c r="E6" t="inlineStr">
        <is>
          <t>https://lpjk.pu.go.id/search-badan-usaha-detail/VUxQUXEyTTkxUjFOUXpHdEwzN2ZFdz09</t>
        </is>
      </c>
      <c r="F6" t="n">
        <v>3</v>
      </c>
      <c r="G6" t="inlineStr">
        <is>
          <t>BG009, BS001, BS004</t>
        </is>
      </c>
      <c r="H6" t="inlineStr">
        <is>
          <t>29 Januari 2020</t>
        </is>
      </c>
      <c r="I6" s="2" t="n">
        <v>46347</v>
      </c>
      <c r="J6" t="inlineStr">
        <is>
          <t>Disetujui</t>
        </is>
      </c>
      <c r="K6" t="n">
        <v>87</v>
      </c>
      <c r="L6" t="inlineStr">
        <is>
          <t>21 November 2026</t>
        </is>
      </c>
      <c r="M6" t="inlineStr">
        <is>
          <t>Konstruksi Bangunan Sipil Jalan, Konstruksi Gedung Lainnya, Konstruksi Jaringan Irigasi dan Drainase</t>
        </is>
      </c>
      <c r="N6" t="inlineStr">
        <is>
          <t>K</t>
        </is>
      </c>
      <c r="O6" t="inlineStr">
        <is>
          <t>20231120, 20231127, 20231128</t>
        </is>
      </c>
      <c r="P6" t="inlineStr">
        <is>
          <t>Jawa Barat</t>
        </is>
      </c>
      <c r="Q6" s="3">
        <f>HYPERLINK("https://wa.me/6281219128708?text=Selamat siang Bapak/Ibu pimpinan KUJANG TUNGGAL PERKASA,%0A%0ASemoga Bapak/Ibu dalam keadaan baik.%0ABerdasarkan data LPJK, masa berlaku SBU perusahaan Bapak/Ibu akan berakhir sekitar 3 bulan lagi (pada 21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PRIMA GRAHA BANGUN TUNGGAL</t>
        </is>
      </c>
      <c r="B7" t="inlineStr">
        <is>
          <t>Kota Depok</t>
        </is>
      </c>
      <c r="C7" t="inlineStr">
        <is>
          <t>0217542688</t>
        </is>
      </c>
      <c r="D7" t="inlineStr">
        <is>
          <t>adm.primagbt@gmail.com</t>
        </is>
      </c>
      <c r="E7" t="inlineStr">
        <is>
          <t>https://lpjk.pu.go.id/search-badan-usaha-detail/QWR5N3AwWWNJalR2QTZ2YWg1TWhDdz09</t>
        </is>
      </c>
      <c r="F7" t="n">
        <v>4</v>
      </c>
      <c r="G7" t="inlineStr">
        <is>
          <t>BG001, BS004, BS005, BS016</t>
        </is>
      </c>
      <c r="H7" t="inlineStr">
        <is>
          <t>8 Juli 1986</t>
        </is>
      </c>
      <c r="I7" s="2" t="n">
        <v>46347</v>
      </c>
      <c r="J7" t="inlineStr">
        <is>
          <t>Disetujui, Pembekuan</t>
        </is>
      </c>
      <c r="K7" t="n">
        <v>87</v>
      </c>
      <c r="L7" t="inlineStr">
        <is>
          <t>21 November 2026</t>
        </is>
      </c>
      <c r="M7" t="inlineStr">
        <is>
          <t>Konstruksi Bangunan Sipil Fasilitas Olah Raga, Konstruksi Bangunan Sipil Pengolahan Air Bersih, Konstruksi Gedung Hunian, Konstruksi Jaringan Irigasi dan Drainase</t>
        </is>
      </c>
      <c r="N7" t="inlineStr">
        <is>
          <t>K, M</t>
        </is>
      </c>
      <c r="O7" t="inlineStr">
        <is>
          <t>20231121, 20231122</t>
        </is>
      </c>
      <c r="P7" t="inlineStr">
        <is>
          <t>Jawa Barat</t>
        </is>
      </c>
      <c r="Q7" t="inlineStr"/>
    </row>
    <row r="8">
      <c r="A8" t="inlineStr">
        <is>
          <t>PRIMA PESONA ARDI KREASI</t>
        </is>
      </c>
      <c r="B8" t="inlineStr">
        <is>
          <t>Kab. Bogor</t>
        </is>
      </c>
      <c r="C8" t="inlineStr">
        <is>
          <t>08111295553</t>
        </is>
      </c>
      <c r="D8" t="inlineStr">
        <is>
          <t>ardikreasi01@gmail.com</t>
        </is>
      </c>
      <c r="E8" t="inlineStr">
        <is>
          <t>https://lpjk.pu.go.id/search-badan-usaha-detail/Nk5jZzBjblAvYnFYOTQrNDAxNjdDZz09</t>
        </is>
      </c>
      <c r="F8" t="n">
        <v>1</v>
      </c>
      <c r="G8" t="inlineStr">
        <is>
          <t>BG002</t>
        </is>
      </c>
      <c r="H8" t="inlineStr">
        <is>
          <t>15 April 2011</t>
        </is>
      </c>
      <c r="I8" s="2" t="n">
        <v>46347</v>
      </c>
      <c r="J8" t="inlineStr">
        <is>
          <t>Disetujui</t>
        </is>
      </c>
      <c r="K8" t="n">
        <v>87</v>
      </c>
      <c r="L8" t="inlineStr">
        <is>
          <t>21 November 2026</t>
        </is>
      </c>
      <c r="M8" t="inlineStr">
        <is>
          <t>Konstruksi Gedung Perkantoran</t>
        </is>
      </c>
      <c r="N8" t="inlineStr">
        <is>
          <t>K</t>
        </is>
      </c>
      <c r="O8" t="inlineStr">
        <is>
          <t>20231120</t>
        </is>
      </c>
      <c r="P8" t="inlineStr">
        <is>
          <t>Jawa Barat</t>
        </is>
      </c>
      <c r="Q8" s="3">
        <f>HYPERLINK("https://wa.me/628111295553?text=Selamat siang Bapak/Ibu pimpinan PRIMA PESONA ARDI KREASI,%0A%0ASemoga Bapak/Ibu dalam keadaan baik.%0ABerdasarkan data LPJK, masa berlaku SBU perusahaan Bapak/Ibu akan berakhir sekitar 3 bulan lagi (pada 21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REKA YASA DINAMIKA</t>
        </is>
      </c>
      <c r="B9" t="inlineStr">
        <is>
          <t>Kota Bekasi</t>
        </is>
      </c>
      <c r="C9" t="inlineStr">
        <is>
          <t>0218457836</t>
        </is>
      </c>
      <c r="D9" t="inlineStr">
        <is>
          <t>pt_rekayasa_dinamika@yahoo.com</t>
        </is>
      </c>
      <c r="E9" t="inlineStr">
        <is>
          <t>https://lpjk.pu.go.id/search-badan-usaha-detail/WWNCZkNVQkd5UEdGa0h3dmZQMXg2dz09</t>
        </is>
      </c>
      <c r="F9" t="n">
        <v>1</v>
      </c>
      <c r="G9" t="inlineStr">
        <is>
          <t>RK001</t>
        </is>
      </c>
      <c r="H9" t="inlineStr">
        <is>
          <t>2 Juni 2021</t>
        </is>
      </c>
      <c r="I9" s="2" t="n">
        <v>46347</v>
      </c>
      <c r="J9" t="inlineStr">
        <is>
          <t>Disetujui</t>
        </is>
      </c>
      <c r="K9" t="n">
        <v>87</v>
      </c>
      <c r="L9" t="inlineStr">
        <is>
          <t>21 November 2026</t>
        </is>
      </c>
      <c r="M9" t="inlineStr">
        <is>
          <t>Jasa Rekayasa Konstruksi Bangunan Gedung Hunian dan Non Hunian</t>
        </is>
      </c>
      <c r="N9" t="inlineStr">
        <is>
          <t>K</t>
        </is>
      </c>
      <c r="O9" t="inlineStr">
        <is>
          <t>20231112</t>
        </is>
      </c>
      <c r="P9" t="inlineStr">
        <is>
          <t>Jawa Barat</t>
        </is>
      </c>
      <c r="Q9" t="inlineStr"/>
    </row>
    <row r="10">
      <c r="A10" t="inlineStr">
        <is>
          <t>TAMADO KONSTRUKSINDO SELARAS</t>
        </is>
      </c>
      <c r="B10" t="inlineStr">
        <is>
          <t>Kota Adm. Jakarta Timur</t>
        </is>
      </c>
      <c r="C10" t="inlineStr">
        <is>
          <t>22819637</t>
        </is>
      </c>
      <c r="D10" t="inlineStr">
        <is>
          <t>tamado_ks2013@yahoo.co.id</t>
        </is>
      </c>
      <c r="E10" t="inlineStr">
        <is>
          <t>https://lpjk.pu.go.id/search-badan-usaha-detail/Mm14WDBoekp3TzZtL1FvaHVvMWpQQT09</t>
        </is>
      </c>
      <c r="F10" t="n">
        <v>1</v>
      </c>
      <c r="G10" t="inlineStr">
        <is>
          <t>BS010</t>
        </is>
      </c>
      <c r="H10" t="inlineStr">
        <is>
          <t>20 Juni 2001</t>
        </is>
      </c>
      <c r="I10" s="2" t="n">
        <v>46347</v>
      </c>
      <c r="J10" t="inlineStr">
        <is>
          <t>Disetujui</t>
        </is>
      </c>
      <c r="K10" t="n">
        <v>87</v>
      </c>
      <c r="L10" t="inlineStr">
        <is>
          <t>21 November 2026</t>
        </is>
      </c>
      <c r="M10" t="inlineStr">
        <is>
          <t>Konstruksi Bangunan Prasarana Sumber Daya Air</t>
        </is>
      </c>
      <c r="N10" t="inlineStr">
        <is>
          <t>M</t>
        </is>
      </c>
      <c r="O10" t="inlineStr">
        <is>
          <t>20231120</t>
        </is>
      </c>
      <c r="P10" t="inlineStr">
        <is>
          <t>DKI Jakarta</t>
        </is>
      </c>
      <c r="Q10" t="inlineStr"/>
    </row>
    <row r="11">
      <c r="A11" t="inlineStr">
        <is>
          <t>TIDARJAYA SOLIDINDO</t>
        </is>
      </c>
      <c r="B11" t="inlineStr">
        <is>
          <t>Kota Bekasi</t>
        </is>
      </c>
      <c r="C11" t="inlineStr">
        <is>
          <t>0218474828</t>
        </is>
      </c>
      <c r="D11" t="inlineStr">
        <is>
          <t>tidarjaya.solidindo@gmail.com</t>
        </is>
      </c>
      <c r="E11" t="inlineStr">
        <is>
          <t>https://lpjk.pu.go.id/search-badan-usaha-detail/OUFhODJTeXpRQXF1dUVFSEtuVVBvQT09</t>
        </is>
      </c>
      <c r="F11" t="n">
        <v>2</v>
      </c>
      <c r="G11" t="inlineStr">
        <is>
          <t>BG002</t>
        </is>
      </c>
      <c r="H11" t="inlineStr">
        <is>
          <t>16 Oktober 2020</t>
        </is>
      </c>
      <c r="I11" s="2" t="n">
        <v>46347</v>
      </c>
      <c r="J11" t="inlineStr">
        <is>
          <t>Disetujui</t>
        </is>
      </c>
      <c r="K11" t="n">
        <v>87</v>
      </c>
      <c r="L11" t="inlineStr">
        <is>
          <t>21 November 2026</t>
        </is>
      </c>
      <c r="M11" t="inlineStr">
        <is>
          <t>Konstruksi Gedung Perkantoran</t>
        </is>
      </c>
      <c r="N11" t="inlineStr">
        <is>
          <t>K</t>
        </is>
      </c>
      <c r="O11" t="inlineStr">
        <is>
          <t>20231120</t>
        </is>
      </c>
      <c r="P11" t="inlineStr">
        <is>
          <t>Jawa Barat</t>
        </is>
      </c>
      <c r="Q11" t="inlineStr"/>
    </row>
    <row r="12">
      <c r="A12" t="inlineStr">
        <is>
          <t>TRISULA CIPTA JAYA</t>
        </is>
      </c>
      <c r="B12" t="inlineStr">
        <is>
          <t>Kota Bekasi</t>
        </is>
      </c>
      <c r="C12" t="inlineStr">
        <is>
          <t>02189454152</t>
        </is>
      </c>
      <c r="D12" t="inlineStr">
        <is>
          <t>trisulacipta0697@gmail.com</t>
        </is>
      </c>
      <c r="E12" t="inlineStr">
        <is>
          <t>https://lpjk.pu.go.id/search-badan-usaha-detail/ZU10VGZrYWhCdHlxRkdQTzRBYnlKdz09</t>
        </is>
      </c>
      <c r="F12" t="n">
        <v>2</v>
      </c>
      <c r="G12" t="inlineStr">
        <is>
          <t>BG005, BS001</t>
        </is>
      </c>
      <c r="H12" t="inlineStr">
        <is>
          <t>22 Agustus 2017</t>
        </is>
      </c>
      <c r="I12" s="2" t="n">
        <v>46347</v>
      </c>
      <c r="J12" t="inlineStr">
        <is>
          <t>Disetujui</t>
        </is>
      </c>
      <c r="K12" t="n">
        <v>87</v>
      </c>
      <c r="L12" t="inlineStr">
        <is>
          <t>21 November 2026</t>
        </is>
      </c>
      <c r="M12" t="inlineStr">
        <is>
          <t>Konstruksi Bangunan Sipil Jalan, Konstruksi Gedung Kesehatan</t>
        </is>
      </c>
      <c r="N12" t="inlineStr">
        <is>
          <t>K</t>
        </is>
      </c>
      <c r="O12" t="inlineStr">
        <is>
          <t>20231121</t>
        </is>
      </c>
      <c r="P12" t="inlineStr">
        <is>
          <t>Jawa Barat</t>
        </is>
      </c>
      <c r="Q12" t="inlineStr"/>
    </row>
    <row r="13">
      <c r="A13" t="inlineStr">
        <is>
          <t>WIJAYA KARYA BETON</t>
        </is>
      </c>
      <c r="B13" t="inlineStr">
        <is>
          <t>Kota Adm. Jakarta Timur</t>
        </is>
      </c>
      <c r="C13" t="inlineStr">
        <is>
          <t>0218192802</t>
        </is>
      </c>
      <c r="D13" t="inlineStr">
        <is>
          <t>legalwikabeton@gmail.com</t>
        </is>
      </c>
      <c r="E13" t="inlineStr">
        <is>
          <t>https://lpjk.pu.go.id/search-badan-usaha-detail/b3FGaCtXbzF1dVBmWkdsVDRMRkdJUT09</t>
        </is>
      </c>
      <c r="F13" t="n">
        <v>2</v>
      </c>
      <c r="G13" t="inlineStr">
        <is>
          <t>BS007</t>
        </is>
      </c>
      <c r="H13" t="inlineStr">
        <is>
          <t>11 Maret 1997</t>
        </is>
      </c>
      <c r="I13" s="2" t="n">
        <v>46347</v>
      </c>
      <c r="J13" t="inlineStr">
        <is>
          <t>Disetujui</t>
        </is>
      </c>
      <c r="K13" t="n">
        <v>87</v>
      </c>
      <c r="L13" t="inlineStr">
        <is>
          <t>21 November 2026</t>
        </is>
      </c>
      <c r="M13" t="inlineStr">
        <is>
          <t>Konstruksi Bangunan Sipil Elektrikal</t>
        </is>
      </c>
      <c r="N13" t="inlineStr">
        <is>
          <t>B</t>
        </is>
      </c>
      <c r="O13" t="inlineStr">
        <is>
          <t>20231121</t>
        </is>
      </c>
      <c r="P13" t="inlineStr">
        <is>
          <t>DKI Jakarta</t>
        </is>
      </c>
      <c r="Q13" t="inlineStr"/>
    </row>
    <row r="14">
      <c r="A14" t="inlineStr">
        <is>
          <t>ABBASY MULTIKARYA</t>
        </is>
      </c>
      <c r="B14" t="inlineStr">
        <is>
          <t>Kota Tidore Kepulauan</t>
        </is>
      </c>
      <c r="C14" t="inlineStr">
        <is>
          <t>085394088486</t>
        </is>
      </c>
      <c r="D14" t="inlineStr">
        <is>
          <t>cv.abbasymultikarya@gmail.com</t>
        </is>
      </c>
      <c r="E14" t="inlineStr">
        <is>
          <t>https://lpjk.pu.go.id/search-badan-usaha-detail/djJRSTdrVXZSL090VUhXTXVXVkxlZz09</t>
        </is>
      </c>
      <c r="F14" t="n">
        <v>4</v>
      </c>
      <c r="G14" t="inlineStr">
        <is>
          <t>BG002, BG006</t>
        </is>
      </c>
      <c r="H14" t="inlineStr">
        <is>
          <t>27 Februari 2023</t>
        </is>
      </c>
      <c r="I14" s="2" t="n">
        <v>46347</v>
      </c>
      <c r="J14" t="inlineStr">
        <is>
          <t>Disetujui</t>
        </is>
      </c>
      <c r="K14" t="n">
        <v>87</v>
      </c>
      <c r="L14" t="inlineStr">
        <is>
          <t>21 November 2026</t>
        </is>
      </c>
      <c r="M14" t="inlineStr">
        <is>
          <t>Konstruksi Gedung Pendidikan, Konstruksi Gedung Perkantoran</t>
        </is>
      </c>
      <c r="N14" t="inlineStr">
        <is>
          <t>K</t>
        </is>
      </c>
      <c r="O14" t="inlineStr">
        <is>
          <t>20231121</t>
        </is>
      </c>
      <c r="P14" t="inlineStr">
        <is>
          <t>Maluku Utara</t>
        </is>
      </c>
      <c r="Q14" t="inlineStr"/>
    </row>
    <row r="15">
      <c r="A15" t="inlineStr">
        <is>
          <t>ADI KARYA MANDIRI</t>
        </is>
      </c>
      <c r="B15" t="inlineStr">
        <is>
          <t>Kab. Banyumas</t>
        </is>
      </c>
      <c r="C15" t="inlineStr">
        <is>
          <t>081383753886</t>
        </is>
      </c>
      <c r="D15" t="inlineStr">
        <is>
          <t>aminkholifudin2407@gmail.com</t>
        </is>
      </c>
      <c r="E15" t="inlineStr">
        <is>
          <t>https://lpjk.pu.go.id/search-badan-usaha-detail/OTh4VitZb24yS092ZURFaThNbjZ6Zz09</t>
        </is>
      </c>
      <c r="F15" t="n">
        <v>3</v>
      </c>
      <c r="G15" t="inlineStr">
        <is>
          <t>BG002, BG005, BG006</t>
        </is>
      </c>
      <c r="H15" t="inlineStr">
        <is>
          <t>8 November 2023</t>
        </is>
      </c>
      <c r="I15" s="2" t="n">
        <v>46347</v>
      </c>
      <c r="J15" t="inlineStr">
        <is>
          <t>Disetujui</t>
        </is>
      </c>
      <c r="K15" t="n">
        <v>87</v>
      </c>
      <c r="L15" t="inlineStr">
        <is>
          <t>21 November 2026</t>
        </is>
      </c>
      <c r="M15" t="inlineStr">
        <is>
          <t>Konstruksi Gedung Kesehatan, Konstruksi Gedung Pendidikan, Konstruksi Gedung Perkantoran</t>
        </is>
      </c>
      <c r="N15" t="inlineStr">
        <is>
          <t>K</t>
        </is>
      </c>
      <c r="O15" t="inlineStr">
        <is>
          <t>20231121, 20231122</t>
        </is>
      </c>
      <c r="P15" t="inlineStr">
        <is>
          <t>Jawa Tengah</t>
        </is>
      </c>
      <c r="Q15" t="inlineStr"/>
    </row>
    <row r="16">
      <c r="A16" t="inlineStr">
        <is>
          <t>ADICITA NIRMALA JAYA</t>
        </is>
      </c>
      <c r="B16" t="inlineStr">
        <is>
          <t>Kab. Sukabumi</t>
        </is>
      </c>
      <c r="C16" t="inlineStr">
        <is>
          <t>085797110707</t>
        </is>
      </c>
      <c r="D16" t="inlineStr">
        <is>
          <t>adicitanirmalaj@gmail.com</t>
        </is>
      </c>
      <c r="E16" t="inlineStr">
        <is>
          <t>https://lpjk.pu.go.id/search-badan-usaha-detail/R2ZXSFp1aVppN1VMbXBaS0Z1dXUyQT09</t>
        </is>
      </c>
      <c r="F16" t="n">
        <v>1</v>
      </c>
      <c r="G16" t="inlineStr">
        <is>
          <t>BS002</t>
        </is>
      </c>
      <c r="H16" t="inlineStr">
        <is>
          <t>17 Januari 2018</t>
        </is>
      </c>
      <c r="I16" s="2" t="n">
        <v>46347</v>
      </c>
      <c r="J16" t="inlineStr">
        <is>
          <t>Disetujui</t>
        </is>
      </c>
      <c r="K16" t="n">
        <v>87</v>
      </c>
      <c r="L16" t="inlineStr">
        <is>
          <t>21 November 2026</t>
        </is>
      </c>
      <c r="M16" t="inlineStr">
        <is>
          <t>Bangunan Sipil Jembatan, Jalan Layang, Fly Over, dan Underpass</t>
        </is>
      </c>
      <c r="N16" t="inlineStr">
        <is>
          <t>K</t>
        </is>
      </c>
      <c r="O16" t="inlineStr">
        <is>
          <t>20231120</t>
        </is>
      </c>
      <c r="P16" t="inlineStr">
        <is>
          <t>Jawa Barat</t>
        </is>
      </c>
      <c r="Q16" t="inlineStr"/>
    </row>
    <row r="17">
      <c r="A17" t="inlineStr">
        <is>
          <t>ALFATH MAKMUR JAYA</t>
        </is>
      </c>
      <c r="B17" t="inlineStr">
        <is>
          <t>Kota Kendari</t>
        </is>
      </c>
      <c r="C17" t="inlineStr">
        <is>
          <t>081140201216</t>
        </is>
      </c>
      <c r="D17" t="inlineStr">
        <is>
          <t>cv.alfatihjaya20@gmail.com</t>
        </is>
      </c>
      <c r="E17" t="inlineStr">
        <is>
          <t>https://lpjk.pu.go.id/search-badan-usaha-detail/YmhWbUUrTHdtb2JyWjVON2VIeHpLdz09</t>
        </is>
      </c>
      <c r="F17" t="n">
        <v>3</v>
      </c>
      <c r="G17" t="inlineStr">
        <is>
          <t>BG002</t>
        </is>
      </c>
      <c r="H17" t="inlineStr">
        <is>
          <t>12 Agustus 2020</t>
        </is>
      </c>
      <c r="I17" s="2" t="n">
        <v>46347</v>
      </c>
      <c r="J17" t="inlineStr">
        <is>
          <t>Disetujui</t>
        </is>
      </c>
      <c r="K17" t="n">
        <v>87</v>
      </c>
      <c r="L17" t="inlineStr">
        <is>
          <t>21 November 2026</t>
        </is>
      </c>
      <c r="M17" t="inlineStr">
        <is>
          <t>Konstruksi Gedung Perkantoran</t>
        </is>
      </c>
      <c r="N17" t="inlineStr">
        <is>
          <t>K</t>
        </is>
      </c>
      <c r="O17" t="inlineStr">
        <is>
          <t>20231120</t>
        </is>
      </c>
      <c r="P17" t="inlineStr">
        <is>
          <t>Sulawesi Tenggara</t>
        </is>
      </c>
      <c r="Q17" t="inlineStr"/>
    </row>
    <row r="18">
      <c r="A18" t="inlineStr">
        <is>
          <t>ALTON BINTANG WALMOND</t>
        </is>
      </c>
      <c r="B18" t="inlineStr">
        <is>
          <t>Kota Padang</t>
        </is>
      </c>
      <c r="C18" t="inlineStr">
        <is>
          <t>081363262976</t>
        </is>
      </c>
      <c r="D18" t="inlineStr">
        <is>
          <t>ptaltonbintangwalmond@gmail.com</t>
        </is>
      </c>
      <c r="E18" t="inlineStr">
        <is>
          <t>https://lpjk.pu.go.id/search-badan-usaha-detail/MXQrQUVUNXNML0hMR29MM3VuU0VsUT09</t>
        </is>
      </c>
      <c r="F18" t="n">
        <v>2</v>
      </c>
      <c r="G18" t="inlineStr">
        <is>
          <t>BG003, BG009</t>
        </is>
      </c>
      <c r="H18" t="inlineStr">
        <is>
          <t>21 Desember 2016</t>
        </is>
      </c>
      <c r="I18" s="2" t="n">
        <v>46347</v>
      </c>
      <c r="J18" t="inlineStr">
        <is>
          <t>Pencabutan</t>
        </is>
      </c>
      <c r="K18" t="n">
        <v>87</v>
      </c>
      <c r="L18" t="inlineStr">
        <is>
          <t>21 November 2026</t>
        </is>
      </c>
      <c r="M18" t="inlineStr">
        <is>
          <t>Konstruksi Gedung Industri, Konstruksi Gedung Lainnya</t>
        </is>
      </c>
      <c r="N18" t="inlineStr">
        <is>
          <t>K</t>
        </is>
      </c>
      <c r="O18" t="inlineStr">
        <is>
          <t>20231117</t>
        </is>
      </c>
      <c r="P18" t="inlineStr">
        <is>
          <t>Sumatera Barat</t>
        </is>
      </c>
      <c r="Q18" t="inlineStr"/>
    </row>
    <row r="19">
      <c r="A19" t="inlineStr">
        <is>
          <t>ALYA KARYA SENTOSA</t>
        </is>
      </c>
      <c r="B19" t="inlineStr">
        <is>
          <t>Kota Surabaya</t>
        </is>
      </c>
      <c r="C19" t="inlineStr">
        <is>
          <t>085103195758</t>
        </is>
      </c>
      <c r="D19" t="inlineStr">
        <is>
          <t>alyasentosa2019@gmail.com</t>
        </is>
      </c>
      <c r="E19" t="inlineStr">
        <is>
          <t>https://lpjk.pu.go.id/search-badan-usaha-detail/WEovMkdpTEY0cjVhdElFelh2ZG5KUT09</t>
        </is>
      </c>
      <c r="F19" t="n">
        <v>1</v>
      </c>
      <c r="G19" t="inlineStr">
        <is>
          <t>BG009</t>
        </is>
      </c>
      <c r="H19" t="inlineStr">
        <is>
          <t>28 Juni 2018</t>
        </is>
      </c>
      <c r="I19" s="2" t="n">
        <v>46347</v>
      </c>
      <c r="J19" t="inlineStr">
        <is>
          <t>Disetujui</t>
        </is>
      </c>
      <c r="K19" t="n">
        <v>87</v>
      </c>
      <c r="L19" t="inlineStr">
        <is>
          <t>21 November 2026</t>
        </is>
      </c>
      <c r="M19" t="inlineStr">
        <is>
          <t>Konstruksi Gedung Lainnya</t>
        </is>
      </c>
      <c r="N19" t="inlineStr">
        <is>
          <t>K</t>
        </is>
      </c>
      <c r="O19" t="inlineStr">
        <is>
          <t>20231121</t>
        </is>
      </c>
      <c r="P19" t="inlineStr">
        <is>
          <t>Jawa Timur</t>
        </is>
      </c>
      <c r="Q19" t="inlineStr"/>
    </row>
    <row r="20">
      <c r="A20" t="inlineStr">
        <is>
          <t>AMANDA</t>
        </is>
      </c>
      <c r="B20" t="inlineStr">
        <is>
          <t>Kab. Merangin</t>
        </is>
      </c>
      <c r="C20" t="inlineStr">
        <is>
          <t>082269768263</t>
        </is>
      </c>
      <c r="D20" t="inlineStr">
        <is>
          <t>darm8569@gmail.com</t>
        </is>
      </c>
      <c r="E20" t="inlineStr">
        <is>
          <t>https://lpjk.pu.go.id/search-badan-usaha-detail/cGZxWElsRkU4ZFVDK2ZWUWw3YXFIZz09</t>
        </is>
      </c>
      <c r="F20" t="n">
        <v>2</v>
      </c>
      <c r="G20" t="inlineStr">
        <is>
          <t>BS002</t>
        </is>
      </c>
      <c r="H20" t="inlineStr">
        <is>
          <t>16 April 2009</t>
        </is>
      </c>
      <c r="I20" s="2" t="n">
        <v>46347</v>
      </c>
      <c r="J20" t="inlineStr">
        <is>
          <t>Disetujui</t>
        </is>
      </c>
      <c r="K20" t="n">
        <v>87</v>
      </c>
      <c r="L20" t="inlineStr">
        <is>
          <t>21 November 2026</t>
        </is>
      </c>
      <c r="M20" t="inlineStr">
        <is>
          <t>Bangunan Sipil Jembatan, Jalan Layang, Fly Over, dan Underpass</t>
        </is>
      </c>
      <c r="N20" t="inlineStr">
        <is>
          <t>K</t>
        </is>
      </c>
      <c r="O20" t="inlineStr">
        <is>
          <t>20231108</t>
        </is>
      </c>
      <c r="P20" t="inlineStr">
        <is>
          <t>Jambi</t>
        </is>
      </c>
      <c r="Q20" t="inlineStr"/>
    </row>
    <row r="21">
      <c r="A21" t="inlineStr">
        <is>
          <t>AMMAR JAYA MANDIRI</t>
        </is>
      </c>
      <c r="B21" t="inlineStr">
        <is>
          <t>Kab. Cirebon</t>
        </is>
      </c>
      <c r="C21" t="inlineStr">
        <is>
          <t>081212222114</t>
        </is>
      </c>
      <c r="D21" t="inlineStr">
        <is>
          <t>cv.ajm151@gmail.com</t>
        </is>
      </c>
      <c r="E21" t="inlineStr">
        <is>
          <t>https://lpjk.pu.go.id/search-badan-usaha-detail/b05lYkJWaHY5d3BJb1VJNHV2MFFHUT09</t>
        </is>
      </c>
      <c r="F21" t="n">
        <v>6</v>
      </c>
      <c r="G21" t="inlineStr">
        <is>
          <t>BG002, BG004, BG005, BG006, BG009, BS001</t>
        </is>
      </c>
      <c r="H21" t="inlineStr">
        <is>
          <t>15 Januari 2020</t>
        </is>
      </c>
      <c r="I21" s="2" t="n">
        <v>46347</v>
      </c>
      <c r="J21" t="inlineStr">
        <is>
          <t>Disetujui</t>
        </is>
      </c>
      <c r="K21" t="n">
        <v>87</v>
      </c>
      <c r="L21" t="inlineStr">
        <is>
          <t>21 November 2026</t>
        </is>
      </c>
      <c r="M21" t="inlineStr">
        <is>
          <t>Konstruksi Bangunan Sipil Jalan, Konstruksi Gedung Kesehatan, Konstruksi Gedung Lainnya, Konstruksi Gedung Pendidikan, Konstruksi Gedung Perbelanjaan, Konstruksi Gedung Perkantoran</t>
        </is>
      </c>
      <c r="N21" t="inlineStr">
        <is>
          <t>K</t>
        </is>
      </c>
      <c r="O21" t="inlineStr">
        <is>
          <t>20231115, 20231120, 20231121, 20231122</t>
        </is>
      </c>
      <c r="P21" t="inlineStr">
        <is>
          <t>Jawa Barat</t>
        </is>
      </c>
      <c r="Q21" t="inlineStr"/>
    </row>
    <row r="22">
      <c r="A22" t="inlineStr">
        <is>
          <t>ANNISA JAYA</t>
        </is>
      </c>
      <c r="B22" t="inlineStr">
        <is>
          <t>Kab. Nganjuk</t>
        </is>
      </c>
      <c r="C22" t="inlineStr">
        <is>
          <t>081335807469</t>
        </is>
      </c>
      <c r="D22" t="inlineStr">
        <is>
          <t>annisajaya67@gmail.com</t>
        </is>
      </c>
      <c r="E22" t="inlineStr">
        <is>
          <t>https://lpjk.pu.go.id/search-badan-usaha-detail/NEROR09ya1cwa1E5TnNlcjhGOTd0QT09</t>
        </is>
      </c>
      <c r="F22" t="n">
        <v>3</v>
      </c>
      <c r="G22" t="inlineStr">
        <is>
          <t>BG006, BS001, BS004</t>
        </is>
      </c>
      <c r="H22" t="inlineStr">
        <is>
          <t>18 Desember 2007</t>
        </is>
      </c>
      <c r="I22" s="2" t="n">
        <v>46347</v>
      </c>
      <c r="J22" t="inlineStr">
        <is>
          <t>Disetujui</t>
        </is>
      </c>
      <c r="K22" t="n">
        <v>87</v>
      </c>
      <c r="L22" t="inlineStr">
        <is>
          <t>21 November 2026</t>
        </is>
      </c>
      <c r="M22" t="inlineStr">
        <is>
          <t>Konstruksi Bangunan Sipil Jalan, Konstruksi Gedung Pendidikan, Konstruksi Jaringan Irigasi dan Drainase</t>
        </is>
      </c>
      <c r="N22" t="inlineStr">
        <is>
          <t>K</t>
        </is>
      </c>
      <c r="O22" t="inlineStr">
        <is>
          <t>20231119</t>
        </is>
      </c>
      <c r="P22" t="inlineStr">
        <is>
          <t>Jawa Timur</t>
        </is>
      </c>
      <c r="Q22" t="inlineStr"/>
    </row>
    <row r="23">
      <c r="A23" t="inlineStr">
        <is>
          <t>AQILAH HASANAH</t>
        </is>
      </c>
      <c r="B23" t="inlineStr">
        <is>
          <t>Kab. Kutai Timur</t>
        </is>
      </c>
      <c r="C23" t="inlineStr">
        <is>
          <t>081254186722</t>
        </is>
      </c>
      <c r="D23" t="inlineStr">
        <is>
          <t>aqilahhasanah55@gmail.com</t>
        </is>
      </c>
      <c r="E23" t="inlineStr">
        <is>
          <t>https://lpjk.pu.go.id/search-badan-usaha-detail/dmZKL2c2RndkT3Jmc1pvZk9SWWMxQT09</t>
        </is>
      </c>
      <c r="F23" t="n">
        <v>5</v>
      </c>
      <c r="G23" t="inlineStr">
        <is>
          <t>BG004, BG006, BG009, BS001, BS004</t>
        </is>
      </c>
      <c r="H23" t="inlineStr">
        <is>
          <t>19 September 2023</t>
        </is>
      </c>
      <c r="I23" s="2" t="n">
        <v>46347</v>
      </c>
      <c r="J23" t="inlineStr">
        <is>
          <t>Pencabutan</t>
        </is>
      </c>
      <c r="K23" t="n">
        <v>87</v>
      </c>
      <c r="L23" t="inlineStr">
        <is>
          <t>21 November 2026</t>
        </is>
      </c>
      <c r="M23" t="inlineStr">
        <is>
          <t>Konstruksi Bangunan Sipil Jalan, Konstruksi Gedung Lainnya, Konstruksi Gedung Pendidikan, Konstruksi Gedung Perbelanjaan, Konstruksi Jaringan Irigasi dan Drainase</t>
        </is>
      </c>
      <c r="N23" t="inlineStr">
        <is>
          <t>K</t>
        </is>
      </c>
      <c r="O23" t="inlineStr">
        <is>
          <t>20231116</t>
        </is>
      </c>
      <c r="P23" t="inlineStr">
        <is>
          <t>Kalimantan Timur</t>
        </is>
      </c>
      <c r="Q23" t="inlineStr"/>
    </row>
    <row r="24">
      <c r="A24" t="inlineStr">
        <is>
          <t>ARCHIDECO PRATAMA</t>
        </is>
      </c>
      <c r="B24" t="inlineStr">
        <is>
          <t>Kota Tangerang</t>
        </is>
      </c>
      <c r="C24" t="inlineStr">
        <is>
          <t>02155794537</t>
        </is>
      </c>
      <c r="D24" t="inlineStr">
        <is>
          <t>archideco@cbn.net.id</t>
        </is>
      </c>
      <c r="E24" t="inlineStr">
        <is>
          <t>https://lpjk.pu.go.id/search-badan-usaha-detail/VVdXUlp2SFdnSGgrMHBUSnBiNzBHdz09</t>
        </is>
      </c>
      <c r="F24" t="n">
        <v>2</v>
      </c>
      <c r="G24" t="inlineStr">
        <is>
          <t>BG001, BG002</t>
        </is>
      </c>
      <c r="H24" t="inlineStr">
        <is>
          <t>3 April 1997</t>
        </is>
      </c>
      <c r="I24" s="2" t="n">
        <v>46347</v>
      </c>
      <c r="J24" t="inlineStr">
        <is>
          <t>Disetujui</t>
        </is>
      </c>
      <c r="K24" t="n">
        <v>87</v>
      </c>
      <c r="L24" t="inlineStr">
        <is>
          <t>21 November 2026</t>
        </is>
      </c>
      <c r="M24" t="inlineStr">
        <is>
          <t>Konstruksi Gedung Hunian, Konstruksi Gedung Perkantoran</t>
        </is>
      </c>
      <c r="N24" t="inlineStr">
        <is>
          <t>K</t>
        </is>
      </c>
      <c r="O24" t="inlineStr">
        <is>
          <t>20231121</t>
        </is>
      </c>
      <c r="P24" t="inlineStr">
        <is>
          <t>Banten</t>
        </is>
      </c>
      <c r="Q24" t="inlineStr"/>
    </row>
    <row r="25">
      <c r="A25" t="inlineStr">
        <is>
          <t>ARFINA</t>
        </is>
      </c>
      <c r="B25" t="inlineStr">
        <is>
          <t>Kab. Tanah Laut</t>
        </is>
      </c>
      <c r="C25" t="inlineStr">
        <is>
          <t>085393108182</t>
        </is>
      </c>
      <c r="D25" t="inlineStr">
        <is>
          <t>cv.arfina@yahoo.com</t>
        </is>
      </c>
      <c r="E25" t="inlineStr">
        <is>
          <t>https://lpjk.pu.go.id/search-badan-usaha-detail/S0prQU5BVnpDK1NUZGpTejZBTG92dz09</t>
        </is>
      </c>
      <c r="F25" t="n">
        <v>1</v>
      </c>
      <c r="G25" t="inlineStr">
        <is>
          <t>BG008</t>
        </is>
      </c>
      <c r="H25" t="inlineStr">
        <is>
          <t>16 Januari 2008</t>
        </is>
      </c>
      <c r="I25" s="2" t="n">
        <v>46347</v>
      </c>
      <c r="J25" t="inlineStr">
        <is>
          <t>Disetujui</t>
        </is>
      </c>
      <c r="K25" t="n">
        <v>87</v>
      </c>
      <c r="L25" t="inlineStr">
        <is>
          <t>21 November 2026</t>
        </is>
      </c>
      <c r="M25" t="inlineStr">
        <is>
          <t>Konstruksi Gedung Tempat Hiburan dan Olahraga</t>
        </is>
      </c>
      <c r="N25" t="inlineStr">
        <is>
          <t>K</t>
        </is>
      </c>
      <c r="O25" t="inlineStr">
        <is>
          <t>20231116</t>
        </is>
      </c>
      <c r="P25" t="inlineStr">
        <is>
          <t>Kalimantan Selatan</t>
        </is>
      </c>
      <c r="Q25" t="inlineStr"/>
    </row>
    <row r="26">
      <c r="A26" t="inlineStr">
        <is>
          <t>ARFINDO DUTA KENCANA</t>
        </is>
      </c>
      <c r="B26" t="inlineStr">
        <is>
          <t>Kota Sorong</t>
        </is>
      </c>
      <c r="C26" t="inlineStr">
        <is>
          <t>0811485011</t>
        </is>
      </c>
      <c r="D26" t="inlineStr">
        <is>
          <t>arfindo_dk@yahoo.co.id</t>
        </is>
      </c>
      <c r="E26" t="inlineStr">
        <is>
          <t>https://lpjk.pu.go.id/search-badan-usaha-detail/UGdxTkFKazBMUmJ4bnk5MWcweVZNdz09</t>
        </is>
      </c>
      <c r="F26" t="n">
        <v>1</v>
      </c>
      <c r="G26" t="inlineStr">
        <is>
          <t>BG002</t>
        </is>
      </c>
      <c r="H26" t="inlineStr">
        <is>
          <t>26 Januari 2005</t>
        </is>
      </c>
      <c r="I26" s="2" t="n">
        <v>46347</v>
      </c>
      <c r="J26" t="inlineStr">
        <is>
          <t>Pencabutan</t>
        </is>
      </c>
      <c r="K26" t="n">
        <v>87</v>
      </c>
      <c r="L26" t="inlineStr">
        <is>
          <t>21 November 2026</t>
        </is>
      </c>
      <c r="M26" t="inlineStr">
        <is>
          <t>Konstruksi Gedung Perkantoran</t>
        </is>
      </c>
      <c r="N26" t="inlineStr">
        <is>
          <t>M</t>
        </is>
      </c>
      <c r="O26" t="inlineStr">
        <is>
          <t>20231009</t>
        </is>
      </c>
      <c r="P26" t="inlineStr">
        <is>
          <t>Papua Barat</t>
        </is>
      </c>
      <c r="Q26" t="inlineStr"/>
    </row>
    <row r="27">
      <c r="A27" t="inlineStr">
        <is>
          <t>ARIQ CONTRAKTOR</t>
        </is>
      </c>
      <c r="B27" t="inlineStr">
        <is>
          <t>Kota Jambi</t>
        </is>
      </c>
      <c r="C27" t="inlineStr">
        <is>
          <t>08117497212</t>
        </is>
      </c>
      <c r="D27" t="inlineStr">
        <is>
          <t>cv.ariqcontraktor69@gmail.com</t>
        </is>
      </c>
      <c r="E27" t="inlineStr">
        <is>
          <t>https://lpjk.pu.go.id/search-badan-usaha-detail/V3J2bk16NXo5NlZHZmg4dG5uS1hQUT09</t>
        </is>
      </c>
      <c r="F27" t="n">
        <v>2</v>
      </c>
      <c r="G27" t="inlineStr">
        <is>
          <t>BG009, BS002</t>
        </is>
      </c>
      <c r="H27" t="inlineStr">
        <is>
          <t>16 Maret 2001</t>
        </is>
      </c>
      <c r="I27" s="2" t="n">
        <v>46347</v>
      </c>
      <c r="J27" t="inlineStr">
        <is>
          <t>Disetujui</t>
        </is>
      </c>
      <c r="K27" t="n">
        <v>87</v>
      </c>
      <c r="L27" t="inlineStr">
        <is>
          <t>21 November 2026</t>
        </is>
      </c>
      <c r="M27" t="inlineStr">
        <is>
          <t>Bangunan Sipil Jembatan, Jalan Layang, Fly Over, dan Underpass, Konstruksi Gedung Lainnya</t>
        </is>
      </c>
      <c r="N27" t="inlineStr">
        <is>
          <t>K</t>
        </is>
      </c>
      <c r="O27" t="inlineStr">
        <is>
          <t>20231117, 20231122</t>
        </is>
      </c>
      <c r="P27" t="inlineStr">
        <is>
          <t>Jambi</t>
        </is>
      </c>
      <c r="Q27" t="inlineStr"/>
    </row>
    <row r="28">
      <c r="A28" t="inlineStr">
        <is>
          <t>ARKINDO</t>
        </is>
      </c>
      <c r="B28" t="inlineStr">
        <is>
          <t>Kota Bandung</t>
        </is>
      </c>
      <c r="C28" t="inlineStr">
        <is>
          <t>02287304460</t>
        </is>
      </c>
      <c r="D28" t="inlineStr">
        <is>
          <t>pt.arkindo@gmail.com</t>
        </is>
      </c>
      <c r="E28" t="inlineStr">
        <is>
          <t>https://lpjk.pu.go.id/search-badan-usaha-detail/RGwvZFkvQzdGT2Y4elZmS1NUOGpydz09</t>
        </is>
      </c>
      <c r="F28" t="n">
        <v>1</v>
      </c>
      <c r="G28" t="inlineStr">
        <is>
          <t>BS005</t>
        </is>
      </c>
      <c r="H28" t="inlineStr">
        <is>
          <t>29 Mei 1980</t>
        </is>
      </c>
      <c r="I28" s="2" t="n">
        <v>46347</v>
      </c>
      <c r="J28" t="inlineStr">
        <is>
          <t>Pencabutan</t>
        </is>
      </c>
      <c r="K28" t="n">
        <v>87</v>
      </c>
      <c r="L28" t="inlineStr">
        <is>
          <t>21 November 2026</t>
        </is>
      </c>
      <c r="M28" t="inlineStr">
        <is>
          <t>Konstruksi Bangunan Sipil Pengolahan Air Bersih</t>
        </is>
      </c>
      <c r="N28" t="inlineStr">
        <is>
          <t>B</t>
        </is>
      </c>
      <c r="O28" t="inlineStr">
        <is>
          <t>20231122</t>
        </is>
      </c>
      <c r="P28" t="inlineStr">
        <is>
          <t>Jawa Barat</t>
        </is>
      </c>
      <c r="Q28" t="inlineStr"/>
    </row>
    <row r="29">
      <c r="A29" t="inlineStr">
        <is>
          <t>ARS GUMILANG</t>
        </is>
      </c>
      <c r="B29" t="inlineStr">
        <is>
          <t>Kab. Cirebon</t>
        </is>
      </c>
      <c r="C29" t="inlineStr">
        <is>
          <t>081224105621</t>
        </is>
      </c>
      <c r="D29" t="inlineStr">
        <is>
          <t>ars.gumilang@gmail.com</t>
        </is>
      </c>
      <c r="E29" t="inlineStr">
        <is>
          <t>https://lpjk.pu.go.id/search-badan-usaha-detail/MXpDNTBKSjVOTDNYMUc5K3FxbFoyUT09</t>
        </is>
      </c>
      <c r="F29" t="n">
        <v>1</v>
      </c>
      <c r="G29" t="inlineStr">
        <is>
          <t>RK002</t>
        </is>
      </c>
      <c r="H29" t="inlineStr">
        <is>
          <t>30 Juli 2018</t>
        </is>
      </c>
      <c r="I29" s="2" t="n">
        <v>46347</v>
      </c>
      <c r="J29" t="inlineStr">
        <is>
          <t>Disetujui</t>
        </is>
      </c>
      <c r="K29" t="n">
        <v>87</v>
      </c>
      <c r="L29" t="inlineStr">
        <is>
          <t>21 November 2026</t>
        </is>
      </c>
      <c r="M29" t="inlineStr">
        <is>
          <t>Jasa Rekayasa Pekerjaan Teknik Sipil Sumber Daya Air</t>
        </is>
      </c>
      <c r="N29" t="inlineStr">
        <is>
          <t>K</t>
        </is>
      </c>
      <c r="O29" t="inlineStr">
        <is>
          <t>20230208</t>
        </is>
      </c>
      <c r="P29" t="inlineStr">
        <is>
          <t>Jawa Barat</t>
        </is>
      </c>
      <c r="Q29" t="inlineStr"/>
    </row>
    <row r="30">
      <c r="A30" t="inlineStr">
        <is>
          <t>ASRI BERKAH</t>
        </is>
      </c>
      <c r="B30" t="inlineStr">
        <is>
          <t>Kota Solok</t>
        </is>
      </c>
      <c r="C30" t="inlineStr">
        <is>
          <t>085356968552</t>
        </is>
      </c>
      <c r="D30" t="inlineStr">
        <is>
          <t>asriberkah4@gmail.com</t>
        </is>
      </c>
      <c r="E30" t="inlineStr">
        <is>
          <t>https://lpjk.pu.go.id/search-badan-usaha-detail/YkVHQmZRQ0YvY2MzNUdDNzZydGdVdz09</t>
        </is>
      </c>
      <c r="F30" t="n">
        <v>1</v>
      </c>
      <c r="G30" t="inlineStr">
        <is>
          <t>BS002</t>
        </is>
      </c>
      <c r="H30" t="inlineStr">
        <is>
          <t>10 Agustus 2022</t>
        </is>
      </c>
      <c r="I30" s="2" t="n">
        <v>46347</v>
      </c>
      <c r="J30" t="inlineStr">
        <is>
          <t>Disetujui</t>
        </is>
      </c>
      <c r="K30" t="n">
        <v>87</v>
      </c>
      <c r="L30" t="inlineStr">
        <is>
          <t>21 November 2026</t>
        </is>
      </c>
      <c r="M30" t="inlineStr">
        <is>
          <t>Bangunan Sipil Jembatan, Jalan Layang, Fly Over, dan Underpass</t>
        </is>
      </c>
      <c r="N30" t="inlineStr">
        <is>
          <t>K</t>
        </is>
      </c>
      <c r="O30" t="inlineStr">
        <is>
          <t>20231122</t>
        </is>
      </c>
      <c r="P30" t="inlineStr">
        <is>
          <t>Sumatera Barat</t>
        </is>
      </c>
      <c r="Q30" t="inlineStr"/>
    </row>
    <row r="31">
      <c r="A31" t="inlineStr">
        <is>
          <t>ATAKENYA</t>
        </is>
      </c>
      <c r="B31" t="inlineStr">
        <is>
          <t>Kab. Bandung</t>
        </is>
      </c>
      <c r="C31" t="inlineStr">
        <is>
          <t>087822287220</t>
        </is>
      </c>
      <c r="D31" t="inlineStr">
        <is>
          <t>atakenyacv@gmail.com</t>
        </is>
      </c>
      <c r="E31" t="inlineStr">
        <is>
          <t>https://lpjk.pu.go.id/search-badan-usaha-detail/MGQ5ZGNxRFFaS3hUQW5PL3pmbkFCUT09</t>
        </is>
      </c>
      <c r="F31" t="n">
        <v>1</v>
      </c>
      <c r="G31" t="inlineStr">
        <is>
          <t>BG001</t>
        </is>
      </c>
      <c r="H31" t="inlineStr">
        <is>
          <t>30 Mei 2023</t>
        </is>
      </c>
      <c r="I31" s="2" t="n">
        <v>46347</v>
      </c>
      <c r="J31" t="inlineStr">
        <is>
          <t>Disetujui</t>
        </is>
      </c>
      <c r="K31" t="n">
        <v>87</v>
      </c>
      <c r="L31" t="inlineStr">
        <is>
          <t>21 November 2026</t>
        </is>
      </c>
      <c r="M31" t="inlineStr">
        <is>
          <t>Konstruksi Gedung Hunian</t>
        </is>
      </c>
      <c r="N31" t="inlineStr">
        <is>
          <t>K</t>
        </is>
      </c>
      <c r="O31" t="inlineStr">
        <is>
          <t>20231121</t>
        </is>
      </c>
      <c r="P31" t="inlineStr">
        <is>
          <t>Jawa Barat</t>
        </is>
      </c>
      <c r="Q31" t="inlineStr"/>
    </row>
    <row r="32">
      <c r="A32" t="inlineStr">
        <is>
          <t>BAGASKARA PRATALA MANUNGGAL</t>
        </is>
      </c>
      <c r="B32" t="inlineStr">
        <is>
          <t>Kab. Klaten</t>
        </is>
      </c>
      <c r="C32" t="inlineStr">
        <is>
          <t>081270411196</t>
        </is>
      </c>
      <c r="D32" t="inlineStr">
        <is>
          <t>bagaskarapratalamanunggal@gmail.com</t>
        </is>
      </c>
      <c r="E32" t="inlineStr">
        <is>
          <t>https://lpjk.pu.go.id/search-badan-usaha-detail/aUdYalY1QTVJK3ptQUxua1NuNjdEQT09</t>
        </is>
      </c>
      <c r="F32" t="n">
        <v>2</v>
      </c>
      <c r="G32" t="inlineStr">
        <is>
          <t>BG001</t>
        </is>
      </c>
      <c r="H32" t="inlineStr">
        <is>
          <t>19 Januari 2015</t>
        </is>
      </c>
      <c r="I32" s="2" t="n">
        <v>46347</v>
      </c>
      <c r="J32" t="inlineStr">
        <is>
          <t>Pencabutan</t>
        </is>
      </c>
      <c r="K32" t="n">
        <v>87</v>
      </c>
      <c r="L32" t="inlineStr">
        <is>
          <t>21 November 2026</t>
        </is>
      </c>
      <c r="M32" t="inlineStr">
        <is>
          <t>Konstruksi Gedung Hunian</t>
        </is>
      </c>
      <c r="N32" t="inlineStr">
        <is>
          <t>K</t>
        </is>
      </c>
      <c r="O32" t="inlineStr">
        <is>
          <t>20231121</t>
        </is>
      </c>
      <c r="P32" t="inlineStr">
        <is>
          <t>Jawa Tengah</t>
        </is>
      </c>
      <c r="Q32" t="inlineStr"/>
    </row>
    <row r="33">
      <c r="A33" t="inlineStr">
        <is>
          <t>BANGUN MAKMUR</t>
        </is>
      </c>
      <c r="B33" t="inlineStr">
        <is>
          <t>Kab. Sukabumi</t>
        </is>
      </c>
      <c r="C33" t="inlineStr">
        <is>
          <t>081563153999</t>
        </is>
      </c>
      <c r="D33" t="inlineStr">
        <is>
          <t>bangunmakmurmep@gmail.com</t>
        </is>
      </c>
      <c r="E33" t="inlineStr">
        <is>
          <t>https://lpjk.pu.go.id/search-badan-usaha-detail/bjFpbEJxN3Q3Z3Z2dFdkTFhuNEZ6QT09</t>
        </is>
      </c>
      <c r="F33" t="n">
        <v>1</v>
      </c>
      <c r="G33" t="inlineStr">
        <is>
          <t>BG009</t>
        </is>
      </c>
      <c r="H33" t="inlineStr">
        <is>
          <t>29 Desember 2015</t>
        </is>
      </c>
      <c r="I33" s="2" t="n">
        <v>46347</v>
      </c>
      <c r="J33" t="inlineStr">
        <is>
          <t>Disetujui</t>
        </is>
      </c>
      <c r="K33" t="n">
        <v>87</v>
      </c>
      <c r="L33" t="inlineStr">
        <is>
          <t>21 November 2026</t>
        </is>
      </c>
      <c r="M33" t="inlineStr">
        <is>
          <t>Konstruksi Gedung Lainnya</t>
        </is>
      </c>
      <c r="N33" t="inlineStr">
        <is>
          <t>K</t>
        </is>
      </c>
      <c r="O33" t="inlineStr">
        <is>
          <t>20231121</t>
        </is>
      </c>
      <c r="P33" t="inlineStr">
        <is>
          <t>Jawa Barat</t>
        </is>
      </c>
      <c r="Q33" t="inlineStr"/>
    </row>
    <row r="34">
      <c r="A34" t="inlineStr">
        <is>
          <t>BANGUN NUSA CEMERLANG</t>
        </is>
      </c>
      <c r="B34" t="inlineStr">
        <is>
          <t>Kota Adm. Jakarta Utara</t>
        </is>
      </c>
      <c r="C34" t="inlineStr">
        <is>
          <t>02129569485</t>
        </is>
      </c>
      <c r="D34" t="inlineStr">
        <is>
          <t>ptbangunnusacemerlang@gmail.com</t>
        </is>
      </c>
      <c r="E34" t="inlineStr">
        <is>
          <t>https://lpjk.pu.go.id/search-badan-usaha-detail/MzgrbXlTdHoyWVp3NU5SZXBJdjZDQT09</t>
        </is>
      </c>
      <c r="F34" t="n">
        <v>2</v>
      </c>
      <c r="G34" t="inlineStr">
        <is>
          <t>BG001, BG009</t>
        </is>
      </c>
      <c r="H34" t="inlineStr">
        <is>
          <t>16 Agustus 2021</t>
        </is>
      </c>
      <c r="I34" s="2" t="n">
        <v>46347</v>
      </c>
      <c r="J34" t="inlineStr">
        <is>
          <t>Disetujui</t>
        </is>
      </c>
      <c r="K34" t="n">
        <v>87</v>
      </c>
      <c r="L34" t="inlineStr">
        <is>
          <t>21 November 2026</t>
        </is>
      </c>
      <c r="M34" t="inlineStr">
        <is>
          <t>Konstruksi Gedung Hunian, Konstruksi Gedung Lainnya</t>
        </is>
      </c>
      <c r="N34" t="inlineStr">
        <is>
          <t>K</t>
        </is>
      </c>
      <c r="O34" t="inlineStr">
        <is>
          <t>20231121</t>
        </is>
      </c>
      <c r="P34" t="inlineStr">
        <is>
          <t>DKI Jakarta</t>
        </is>
      </c>
      <c r="Q34" t="inlineStr"/>
    </row>
    <row r="35">
      <c r="A35" t="inlineStr">
        <is>
          <t>BANGUN PAPUA RAYA</t>
        </is>
      </c>
      <c r="B35" t="inlineStr">
        <is>
          <t>Kota Jayapura</t>
        </is>
      </c>
      <c r="C35" t="inlineStr">
        <is>
          <t>082269169981</t>
        </is>
      </c>
      <c r="D35" t="inlineStr">
        <is>
          <t>cv.bangunpapuaraya@gmail.com</t>
        </is>
      </c>
      <c r="E35" t="inlineStr">
        <is>
          <t>https://lpjk.pu.go.id/search-badan-usaha-detail/c3J1MUp5cFd1ekY4WW1jV1Z3aFJJZz09</t>
        </is>
      </c>
      <c r="F35" t="n">
        <v>1</v>
      </c>
      <c r="G35" t="inlineStr">
        <is>
          <t>PL005</t>
        </is>
      </c>
      <c r="H35" t="inlineStr">
        <is>
          <t>5 April 2022</t>
        </is>
      </c>
      <c r="I35" s="2" t="n">
        <v>46347</v>
      </c>
      <c r="J35" t="inlineStr">
        <is>
          <t>Pembekuan</t>
        </is>
      </c>
      <c r="K35" t="n">
        <v>87</v>
      </c>
      <c r="L35" t="inlineStr">
        <is>
          <t>21 November 2026</t>
        </is>
      </c>
      <c r="M35" t="inlineStr">
        <is>
          <t>Pembuatan/Pengeboran Sumur Air Tanah</t>
        </is>
      </c>
      <c r="N35" t="inlineStr">
        <is>
          <t>Spesialis</t>
        </is>
      </c>
      <c r="O35" t="inlineStr">
        <is>
          <t>20231121</t>
        </is>
      </c>
      <c r="P35" t="inlineStr">
        <is>
          <t>Papua</t>
        </is>
      </c>
      <c r="Q35" t="inlineStr"/>
    </row>
    <row r="36">
      <c r="A36" t="inlineStr">
        <is>
          <t>BERKAH NATA BANGUNAN</t>
        </is>
      </c>
      <c r="B36" t="inlineStr">
        <is>
          <t>Kota Tangerang Selatan</t>
        </is>
      </c>
      <c r="C36" t="inlineStr">
        <is>
          <t>02174791797</t>
        </is>
      </c>
      <c r="D36" t="inlineStr">
        <is>
          <t>berkahnatabangunan@gmail.com</t>
        </is>
      </c>
      <c r="E36" t="inlineStr">
        <is>
          <t>https://lpjk.pu.go.id/search-badan-usaha-detail/MzkrOUROVmZlY3JiMlpDa1JGRDk5UT09</t>
        </is>
      </c>
      <c r="F36" t="n">
        <v>4</v>
      </c>
      <c r="G36" t="inlineStr">
        <is>
          <t>BG001, BG006</t>
        </is>
      </c>
      <c r="H36" t="inlineStr">
        <is>
          <t>5 Juli 2023</t>
        </is>
      </c>
      <c r="I36" s="2" t="n">
        <v>46347</v>
      </c>
      <c r="J36" t="inlineStr">
        <is>
          <t>Disetujui</t>
        </is>
      </c>
      <c r="K36" t="n">
        <v>87</v>
      </c>
      <c r="L36" t="inlineStr">
        <is>
          <t>21 November 2026</t>
        </is>
      </c>
      <c r="M36" t="inlineStr">
        <is>
          <t>Konstruksi Gedung Hunian, Konstruksi Gedung Pendidikan</t>
        </is>
      </c>
      <c r="N36" t="inlineStr">
        <is>
          <t>K</t>
        </is>
      </c>
      <c r="O36" t="inlineStr">
        <is>
          <t>20231122</t>
        </is>
      </c>
      <c r="P36" t="inlineStr">
        <is>
          <t>Banten</t>
        </is>
      </c>
      <c r="Q36" t="inlineStr"/>
    </row>
    <row r="37">
      <c r="A37" t="inlineStr">
        <is>
          <t>BERKAH SYABNA KONSULTAN</t>
        </is>
      </c>
      <c r="B37" t="inlineStr">
        <is>
          <t>Kota Kendari</t>
        </is>
      </c>
      <c r="C37" t="inlineStr">
        <is>
          <t>085242653445</t>
        </is>
      </c>
      <c r="D37" t="inlineStr">
        <is>
          <t>berkahsyabna@gmail.com</t>
        </is>
      </c>
      <c r="E37" t="inlineStr">
        <is>
          <t>https://lpjk.pu.go.id/search-badan-usaha-detail/VnA3K0NBUzFBU2QrcEZyZ2RuT3JyQT09</t>
        </is>
      </c>
      <c r="F37" t="n">
        <v>2</v>
      </c>
      <c r="G37" t="inlineStr">
        <is>
          <t>RK003</t>
        </is>
      </c>
      <c r="H37" t="inlineStr">
        <is>
          <t>26 Desember 2019</t>
        </is>
      </c>
      <c r="I37" s="2" t="n">
        <v>46347</v>
      </c>
      <c r="J37" t="inlineStr">
        <is>
          <t>Disetujui</t>
        </is>
      </c>
      <c r="K37" t="n">
        <v>87</v>
      </c>
      <c r="L37" t="inlineStr">
        <is>
          <t>21 November 2026</t>
        </is>
      </c>
      <c r="M37" t="inlineStr">
        <is>
          <t>Jasa Rekayasa Pekerjaan Teknik Sipil Transportasi</t>
        </is>
      </c>
      <c r="N37" t="inlineStr">
        <is>
          <t>K</t>
        </is>
      </c>
      <c r="O37" t="inlineStr">
        <is>
          <t>20231114</t>
        </is>
      </c>
      <c r="P37" t="inlineStr">
        <is>
          <t>Sulawesi Tenggara</t>
        </is>
      </c>
      <c r="Q37" t="inlineStr"/>
    </row>
    <row r="38">
      <c r="A38" t="inlineStr">
        <is>
          <t>BIMA SAKTI</t>
        </is>
      </c>
      <c r="B38" t="inlineStr">
        <is>
          <t>Kab. Dompu</t>
        </is>
      </c>
      <c r="C38" t="inlineStr">
        <is>
          <t>085216482831</t>
        </is>
      </c>
      <c r="D38" t="inlineStr">
        <is>
          <t>cvbimasakti1974@gmail.com</t>
        </is>
      </c>
      <c r="E38" t="inlineStr">
        <is>
          <t>https://lpjk.pu.go.id/search-badan-usaha-detail/aUMrNFFWVEV3ZVpMQUFBTjdjSHB4dz09</t>
        </is>
      </c>
      <c r="F38" t="n">
        <v>5</v>
      </c>
      <c r="G38" t="inlineStr">
        <is>
          <t>BG003, BG005, BG006, BS001, BS004</t>
        </is>
      </c>
      <c r="H38" t="inlineStr">
        <is>
          <t>1 Agustus 2005</t>
        </is>
      </c>
      <c r="I38" s="2" t="n">
        <v>46347</v>
      </c>
      <c r="J38" t="inlineStr">
        <is>
          <t>Disetujui</t>
        </is>
      </c>
      <c r="K38" t="n">
        <v>87</v>
      </c>
      <c r="L38" t="inlineStr">
        <is>
          <t>21 November 2026</t>
        </is>
      </c>
      <c r="M38" t="inlineStr">
        <is>
          <t>Konstruksi Bangunan Sipil Jalan, Konstruksi Gedung Industri, Konstruksi Gedung Kesehatan, Konstruksi Gedung Pendidikan, Konstruksi Jaringan Irigasi dan Drainase</t>
        </is>
      </c>
      <c r="N38" t="inlineStr">
        <is>
          <t>K</t>
        </is>
      </c>
      <c r="O38" t="inlineStr">
        <is>
          <t>20231116, 20231121, 20231122</t>
        </is>
      </c>
      <c r="P38" t="inlineStr">
        <is>
          <t>Nusa Tenggara Barat</t>
        </is>
      </c>
      <c r="Q38" t="inlineStr"/>
    </row>
    <row r="39">
      <c r="A39" t="inlineStr">
        <is>
          <t>BIRU PERSADA</t>
        </is>
      </c>
      <c r="B39" t="inlineStr">
        <is>
          <t>Kota Pontianak</t>
        </is>
      </c>
      <c r="C39" t="inlineStr">
        <is>
          <t>081345407525</t>
        </is>
      </c>
      <c r="D39" t="inlineStr">
        <is>
          <t>birupersada.cv@yahoo.com</t>
        </is>
      </c>
      <c r="E39" t="inlineStr">
        <is>
          <t>https://lpjk.pu.go.id/search-badan-usaha-detail/MmJtdmJGU1M3RUNFWkVLNEtXaU5wQT09</t>
        </is>
      </c>
      <c r="F39" t="n">
        <v>2</v>
      </c>
      <c r="G39" t="inlineStr">
        <is>
          <t>BG006, BS004</t>
        </is>
      </c>
      <c r="H39" t="inlineStr">
        <is>
          <t>25 Januari 2021</t>
        </is>
      </c>
      <c r="I39" s="2" t="n">
        <v>46347</v>
      </c>
      <c r="J39" t="inlineStr">
        <is>
          <t>Disetujui</t>
        </is>
      </c>
      <c r="K39" t="n">
        <v>87</v>
      </c>
      <c r="L39" t="inlineStr">
        <is>
          <t>21 November 2026</t>
        </is>
      </c>
      <c r="M39" t="inlineStr">
        <is>
          <t>Konstruksi Gedung Pendidikan, Konstruksi Jaringan Irigasi dan Drainase</t>
        </is>
      </c>
      <c r="N39" t="inlineStr">
        <is>
          <t>K</t>
        </is>
      </c>
      <c r="O39" t="inlineStr">
        <is>
          <t>20231121, 20231124</t>
        </is>
      </c>
      <c r="P39" t="inlineStr">
        <is>
          <t>Kalimantan Barat</t>
        </is>
      </c>
      <c r="Q39" t="inlineStr"/>
    </row>
    <row r="40">
      <c r="A40" t="inlineStr">
        <is>
          <t>BOKOR MAS ALMABRUR</t>
        </is>
      </c>
      <c r="B40" t="inlineStr">
        <is>
          <t>Kab. Tasikmalaya</t>
        </is>
      </c>
      <c r="C40" t="inlineStr">
        <is>
          <t>082121425269</t>
        </is>
      </c>
      <c r="D40" t="inlineStr">
        <is>
          <t>bokormasalmabrur@gmail.com</t>
        </is>
      </c>
      <c r="E40" t="inlineStr">
        <is>
          <t>https://lpjk.pu.go.id/search-badan-usaha-detail/ZTdDcnFCSk5IUXF6L01Pa3puelVwUT09</t>
        </is>
      </c>
      <c r="F40" t="n">
        <v>2</v>
      </c>
      <c r="G40" t="inlineStr">
        <is>
          <t>BS001, BS004</t>
        </is>
      </c>
      <c r="H40" t="inlineStr">
        <is>
          <t>25 Agustus 2016</t>
        </is>
      </c>
      <c r="I40" s="2" t="n">
        <v>46347</v>
      </c>
      <c r="J40" t="inlineStr">
        <is>
          <t>Disetujui</t>
        </is>
      </c>
      <c r="K40" t="n">
        <v>87</v>
      </c>
      <c r="L40" t="inlineStr">
        <is>
          <t>21 November 2026</t>
        </is>
      </c>
      <c r="M40" t="inlineStr">
        <is>
          <t>Konstruksi Bangunan Sipil Jalan, Konstruksi Jaringan Irigasi dan Drainase</t>
        </is>
      </c>
      <c r="N40" t="inlineStr">
        <is>
          <t>K</t>
        </is>
      </c>
      <c r="O40" t="inlineStr">
        <is>
          <t>20231118</t>
        </is>
      </c>
      <c r="P40" t="inlineStr">
        <is>
          <t>Jawa Barat</t>
        </is>
      </c>
      <c r="Q40" t="inlineStr"/>
    </row>
    <row r="41">
      <c r="A41" t="inlineStr">
        <is>
          <t>BRAHMA ANANTA CONSULTANT</t>
        </is>
      </c>
      <c r="B41" t="inlineStr">
        <is>
          <t>Kab. Natuna</t>
        </is>
      </c>
      <c r="C41" t="inlineStr">
        <is>
          <t>082226846878</t>
        </is>
      </c>
      <c r="D41" t="inlineStr">
        <is>
          <t>brahmaanantaconsultant@gmail.com</t>
        </is>
      </c>
      <c r="E41" t="inlineStr">
        <is>
          <t>https://lpjk.pu.go.id/search-badan-usaha-detail/QVJaRk1BTDJmUFpodHBnQkZlN29Vdz09</t>
        </is>
      </c>
      <c r="F41" t="n">
        <v>1</v>
      </c>
      <c r="G41" t="inlineStr">
        <is>
          <t>RK001</t>
        </is>
      </c>
      <c r="H41" t="inlineStr">
        <is>
          <t>1 November 2023</t>
        </is>
      </c>
      <c r="I41" s="2" t="n">
        <v>46347</v>
      </c>
      <c r="J41" t="inlineStr">
        <is>
          <t>Disetujui</t>
        </is>
      </c>
      <c r="K41" t="n">
        <v>87</v>
      </c>
      <c r="L41" t="inlineStr">
        <is>
          <t>21 November 2026</t>
        </is>
      </c>
      <c r="M41" t="inlineStr">
        <is>
          <t>Jasa Rekayasa Konstruksi Bangunan Gedung Hunian dan Non Hunian</t>
        </is>
      </c>
      <c r="N41" t="inlineStr">
        <is>
          <t>K</t>
        </is>
      </c>
      <c r="O41" t="inlineStr">
        <is>
          <t>20231113</t>
        </is>
      </c>
      <c r="P41" t="inlineStr">
        <is>
          <t>Kepulauan Riau</t>
        </is>
      </c>
      <c r="Q41" t="inlineStr"/>
    </row>
    <row r="42">
      <c r="A42" t="inlineStr">
        <is>
          <t>BUDI ABRAR JAYA</t>
        </is>
      </c>
      <c r="B42" t="inlineStr">
        <is>
          <t>Kab. Batu Bara</t>
        </is>
      </c>
      <c r="C42" t="inlineStr">
        <is>
          <t>082367555042</t>
        </is>
      </c>
      <c r="D42" t="inlineStr">
        <is>
          <t>budiabrarjaya@gmail.com</t>
        </is>
      </c>
      <c r="E42" t="inlineStr">
        <is>
          <t>https://lpjk.pu.go.id/search-badan-usaha-detail/WGUzZitkSVZrYUVqRTZsT3F4YnF4Zz09</t>
        </is>
      </c>
      <c r="F42" t="n">
        <v>3</v>
      </c>
      <c r="G42" t="inlineStr">
        <is>
          <t>BG001, BG003, BS007</t>
        </is>
      </c>
      <c r="H42" t="inlineStr">
        <is>
          <t>13 Oktober 2023</t>
        </is>
      </c>
      <c r="I42" s="2" t="n">
        <v>46347</v>
      </c>
      <c r="J42" t="inlineStr">
        <is>
          <t>Disetujui</t>
        </is>
      </c>
      <c r="K42" t="n">
        <v>87</v>
      </c>
      <c r="L42" t="inlineStr">
        <is>
          <t>21 November 2026</t>
        </is>
      </c>
      <c r="M42" t="inlineStr">
        <is>
          <t>Konstruksi Bangunan Sipil Elektrikal, Konstruksi Gedung Hunian, Konstruksi Gedung Industri</t>
        </is>
      </c>
      <c r="N42" t="inlineStr">
        <is>
          <t>K</t>
        </is>
      </c>
      <c r="O42" t="inlineStr">
        <is>
          <t>20231122</t>
        </is>
      </c>
      <c r="P42" t="inlineStr">
        <is>
          <t>Sumatera Utara</t>
        </is>
      </c>
      <c r="Q42" t="inlineStr"/>
    </row>
    <row r="43">
      <c r="A43" t="inlineStr">
        <is>
          <t>BUMI PAGUNTAKA UTAMA</t>
        </is>
      </c>
      <c r="B43" t="inlineStr">
        <is>
          <t>Kota Tarakan</t>
        </is>
      </c>
      <c r="C43" t="inlineStr">
        <is>
          <t>081222112244</t>
        </is>
      </c>
      <c r="D43" t="inlineStr">
        <is>
          <t>bumipaguntakautama@gmail.com</t>
        </is>
      </c>
      <c r="E43" t="inlineStr">
        <is>
          <t>https://lpjk.pu.go.id/search-badan-usaha-detail/NXNHZXdNS0xqQkNMQ21udXRlNGN2UT09</t>
        </is>
      </c>
      <c r="F43" t="n">
        <v>1</v>
      </c>
      <c r="G43" t="inlineStr">
        <is>
          <t>BS004</t>
        </is>
      </c>
      <c r="H43" t="inlineStr">
        <is>
          <t>9 Oktober 2019</t>
        </is>
      </c>
      <c r="I43" s="2" t="n">
        <v>46347</v>
      </c>
      <c r="J43" t="inlineStr">
        <is>
          <t>Disetujui</t>
        </is>
      </c>
      <c r="K43" t="n">
        <v>87</v>
      </c>
      <c r="L43" t="inlineStr">
        <is>
          <t>21 November 2026</t>
        </is>
      </c>
      <c r="M43" t="inlineStr">
        <is>
          <t>Konstruksi Jaringan Irigasi dan Drainase</t>
        </is>
      </c>
      <c r="N43" t="inlineStr">
        <is>
          <t>K</t>
        </is>
      </c>
      <c r="O43" t="inlineStr">
        <is>
          <t>20231115</t>
        </is>
      </c>
      <c r="P43" t="inlineStr">
        <is>
          <t>Kalimantan Utara</t>
        </is>
      </c>
      <c r="Q43" t="inlineStr"/>
    </row>
    <row r="44">
      <c r="A44" t="inlineStr">
        <is>
          <t>CAHAYA AGUNG BAROKAH</t>
        </is>
      </c>
      <c r="B44" t="inlineStr">
        <is>
          <t>Kab. Cilacap</t>
        </is>
      </c>
      <c r="C44" t="inlineStr">
        <is>
          <t>081286439037</t>
        </is>
      </c>
      <c r="D44" t="inlineStr">
        <is>
          <t>cahaya_caba47@yahoo.com</t>
        </is>
      </c>
      <c r="E44" t="inlineStr">
        <is>
          <t>https://lpjk.pu.go.id/search-badan-usaha-detail/aTBTZ0ptZk8reGR4dVh6ZGtVUllmZz09</t>
        </is>
      </c>
      <c r="F44" t="n">
        <v>1</v>
      </c>
      <c r="G44" t="inlineStr">
        <is>
          <t>PL003</t>
        </is>
      </c>
      <c r="H44" t="inlineStr">
        <is>
          <t>20 November 2017</t>
        </is>
      </c>
      <c r="I44" s="2" t="n">
        <v>46347</v>
      </c>
      <c r="J44" t="inlineStr">
        <is>
          <t>Disetujui</t>
        </is>
      </c>
      <c r="K44" t="n">
        <v>87</v>
      </c>
      <c r="L44" t="inlineStr">
        <is>
          <t>21 November 2026</t>
        </is>
      </c>
      <c r="M44" t="inlineStr">
        <is>
          <t>Penyiapan Lahan Konstruksi</t>
        </is>
      </c>
      <c r="N44" t="inlineStr">
        <is>
          <t>Spesialis</t>
        </is>
      </c>
      <c r="O44" t="inlineStr">
        <is>
          <t>20231120</t>
        </is>
      </c>
      <c r="P44" t="inlineStr">
        <is>
          <t>Jawa Tengah</t>
        </is>
      </c>
      <c r="Q44" t="inlineStr"/>
    </row>
    <row r="45">
      <c r="A45" t="inlineStr">
        <is>
          <t>CAHAYA EFATA</t>
        </is>
      </c>
      <c r="B45" t="inlineStr">
        <is>
          <t>Kab. Sintang</t>
        </is>
      </c>
      <c r="C45" t="inlineStr">
        <is>
          <t>081347755859</t>
        </is>
      </c>
      <c r="D45" t="inlineStr">
        <is>
          <t>cvcahayaefata@gmail.com</t>
        </is>
      </c>
      <c r="E45" t="inlineStr">
        <is>
          <t>https://lpjk.pu.go.id/search-badan-usaha-detail/b3BZYk00dm1kZ1FwN05FU1FVeXo0UT09</t>
        </is>
      </c>
      <c r="F45" t="n">
        <v>1</v>
      </c>
      <c r="G45" t="inlineStr">
        <is>
          <t>BS002</t>
        </is>
      </c>
      <c r="H45" t="inlineStr">
        <is>
          <t>12 Juni 2007</t>
        </is>
      </c>
      <c r="I45" s="2" t="n">
        <v>46347</v>
      </c>
      <c r="J45" t="inlineStr">
        <is>
          <t>Disetujui</t>
        </is>
      </c>
      <c r="K45" t="n">
        <v>87</v>
      </c>
      <c r="L45" t="inlineStr">
        <is>
          <t>21 November 2026</t>
        </is>
      </c>
      <c r="M45" t="inlineStr">
        <is>
          <t>Bangunan Sipil Jembatan, Jalan Layang, Fly Over, dan Underpass</t>
        </is>
      </c>
      <c r="N45" t="inlineStr">
        <is>
          <t>K</t>
        </is>
      </c>
      <c r="O45" t="inlineStr">
        <is>
          <t>20230718</t>
        </is>
      </c>
      <c r="P45" t="inlineStr">
        <is>
          <t>Kalimantan Barat</t>
        </is>
      </c>
      <c r="Q45" t="inlineStr"/>
    </row>
    <row r="46">
      <c r="A46" t="inlineStr">
        <is>
          <t>CAHAYA ERVIN GEMILANG</t>
        </is>
      </c>
      <c r="B46" t="inlineStr">
        <is>
          <t>Kota Jambi</t>
        </is>
      </c>
      <c r="C46" t="inlineStr">
        <is>
          <t>081274873873</t>
        </is>
      </c>
      <c r="D46" t="inlineStr">
        <is>
          <t>herryrachmayanto@gmail.com</t>
        </is>
      </c>
      <c r="E46" t="inlineStr">
        <is>
          <t>https://lpjk.pu.go.id/search-badan-usaha-detail/cUdBc1N0YmdwZTNNQ2NaZDdEY21odz09</t>
        </is>
      </c>
      <c r="F46" t="n">
        <v>1</v>
      </c>
      <c r="G46" t="inlineStr">
        <is>
          <t>BG001</t>
        </is>
      </c>
      <c r="H46" t="inlineStr">
        <is>
          <t>19 Januari 2008</t>
        </is>
      </c>
      <c r="I46" s="2" t="n">
        <v>46347</v>
      </c>
      <c r="J46" t="inlineStr">
        <is>
          <t>Disetujui</t>
        </is>
      </c>
      <c r="K46" t="n">
        <v>87</v>
      </c>
      <c r="L46" t="inlineStr">
        <is>
          <t>21 November 2026</t>
        </is>
      </c>
      <c r="M46" t="inlineStr">
        <is>
          <t>Konstruksi Gedung Hunian</t>
        </is>
      </c>
      <c r="N46" t="inlineStr">
        <is>
          <t>K</t>
        </is>
      </c>
      <c r="O46" t="inlineStr">
        <is>
          <t>20231122</t>
        </is>
      </c>
      <c r="P46" t="inlineStr">
        <is>
          <t>Jambi</t>
        </is>
      </c>
      <c r="Q46" t="inlineStr"/>
    </row>
    <row r="47">
      <c r="A47" t="inlineStr">
        <is>
          <t>CAHAYA MANGUNANG</t>
        </is>
      </c>
      <c r="B47" t="inlineStr">
        <is>
          <t>Kota Palembang</t>
        </is>
      </c>
      <c r="C47" t="inlineStr">
        <is>
          <t>082374748675</t>
        </is>
      </c>
      <c r="D47" t="inlineStr">
        <is>
          <t>cahaya.mangunang@gmail.com</t>
        </is>
      </c>
      <c r="E47" t="inlineStr">
        <is>
          <t>https://lpjk.pu.go.id/search-badan-usaha-detail/bmR6eE52cXV3N2JrbkhRcTRTUnVCQT09</t>
        </is>
      </c>
      <c r="F47" t="n">
        <v>4</v>
      </c>
      <c r="G47" t="inlineStr">
        <is>
          <t>BG005, BG006, BS001, BS004</t>
        </is>
      </c>
      <c r="H47" t="inlineStr">
        <is>
          <t>3 September 2012</t>
        </is>
      </c>
      <c r="I47" s="2" t="n">
        <v>46347</v>
      </c>
      <c r="J47" t="inlineStr">
        <is>
          <t>Disetujui</t>
        </is>
      </c>
      <c r="K47" t="n">
        <v>87</v>
      </c>
      <c r="L47" t="inlineStr">
        <is>
          <t>21 November 2026</t>
        </is>
      </c>
      <c r="M47" t="inlineStr">
        <is>
          <t>Konstruksi Bangunan Sipil Jalan, Konstruksi Gedung Kesehatan, Konstruksi Gedung Pendidikan, Konstruksi Jaringan Irigasi dan Drainase</t>
        </is>
      </c>
      <c r="N47" t="inlineStr">
        <is>
          <t>K</t>
        </is>
      </c>
      <c r="O47" t="inlineStr">
        <is>
          <t>20230914, 20230926, 20231115</t>
        </is>
      </c>
      <c r="P47" t="inlineStr">
        <is>
          <t>Sumatera Selatan</t>
        </is>
      </c>
      <c r="Q47" t="inlineStr"/>
    </row>
    <row r="48">
      <c r="A48" t="inlineStr">
        <is>
          <t>CEMPAKA TIRTA NUSANTARA</t>
        </is>
      </c>
      <c r="B48" t="inlineStr">
        <is>
          <t>Kota Adm. Jakarta Pusat</t>
        </is>
      </c>
      <c r="C48" t="inlineStr">
        <is>
          <t>02128671531</t>
        </is>
      </c>
      <c r="D48" t="inlineStr">
        <is>
          <t>cempaka.tirta@hotmail.com</t>
        </is>
      </c>
      <c r="E48" t="inlineStr">
        <is>
          <t>https://lpjk.pu.go.id/search-badan-usaha-detail/NHpJTHEzWjJmV3pHOGE2OForY1E5dz09</t>
        </is>
      </c>
      <c r="F48" t="n">
        <v>3</v>
      </c>
      <c r="G48" t="inlineStr">
        <is>
          <t>BG001, BG006, BG009</t>
        </is>
      </c>
      <c r="H48" t="inlineStr">
        <is>
          <t>4 November 2014</t>
        </is>
      </c>
      <c r="I48" s="2" t="n">
        <v>46347</v>
      </c>
      <c r="J48" t="inlineStr">
        <is>
          <t>Disetujui</t>
        </is>
      </c>
      <c r="K48" t="n">
        <v>87</v>
      </c>
      <c r="L48" t="inlineStr">
        <is>
          <t>21 November 2026</t>
        </is>
      </c>
      <c r="M48" t="inlineStr">
        <is>
          <t>Konstruksi Gedung Hunian, Konstruksi Gedung Lainnya, Konstruksi Gedung Pendidikan</t>
        </is>
      </c>
      <c r="N48" t="inlineStr">
        <is>
          <t>K</t>
        </is>
      </c>
      <c r="O48" t="inlineStr">
        <is>
          <t>20231121</t>
        </is>
      </c>
      <c r="P48" t="inlineStr">
        <is>
          <t>DKI Jakarta</t>
        </is>
      </c>
      <c r="Q48" t="inlineStr"/>
    </row>
    <row r="49">
      <c r="A49" t="inlineStr">
        <is>
          <t>CIPTA MITRA DINAMIKA</t>
        </is>
      </c>
      <c r="B49" t="inlineStr">
        <is>
          <t>Kota Adm. Jakarta Utara</t>
        </is>
      </c>
      <c r="C49" t="inlineStr">
        <is>
          <t>02122669332</t>
        </is>
      </c>
      <c r="D49" t="inlineStr">
        <is>
          <t>ciptamitradinamika@gmail.com</t>
        </is>
      </c>
      <c r="E49" t="inlineStr">
        <is>
          <t>https://lpjk.pu.go.id/search-badan-usaha-detail/UmhKT1ljS1Y3VDBSVnJMWGJoQ0Qydz09</t>
        </is>
      </c>
      <c r="F49" t="n">
        <v>8</v>
      </c>
      <c r="G49" t="inlineStr">
        <is>
          <t>AR001, AR003, RK001, RK004</t>
        </is>
      </c>
      <c r="H49" t="inlineStr">
        <is>
          <t>13 Juli 2012</t>
        </is>
      </c>
      <c r="I49" s="2" t="n">
        <v>46347</v>
      </c>
      <c r="J49" t="inlineStr">
        <is>
          <t>Pencabutan</t>
        </is>
      </c>
      <c r="K49" t="n">
        <v>87</v>
      </c>
      <c r="L49" t="inlineStr">
        <is>
          <t>21 November 2026</t>
        </is>
      </c>
      <c r="M49" t="inlineStr">
        <is>
          <t>Jasa Arsitektural Bangunan Gedung Hunian dan Non Hunian, Jasa Desain Interior pada Bangunan Gedung dan Bangunan Sipil, Jasa Rekayasa Konstruksi Bangunan Gedung Hunian dan Non Hunian, Jasa Rekayasa Pekerjaan Mekanikal Dalam Bangunan</t>
        </is>
      </c>
      <c r="N49" t="inlineStr">
        <is>
          <t>M</t>
        </is>
      </c>
      <c r="O49" t="inlineStr">
        <is>
          <t>20231113, 20231117</t>
        </is>
      </c>
      <c r="P49" t="inlineStr">
        <is>
          <t>DKI Jakarta</t>
        </is>
      </c>
      <c r="Q49" t="inlineStr"/>
    </row>
    <row r="50">
      <c r="A50" t="inlineStr">
        <is>
          <t>CITRA CAHAYA LETTI</t>
        </is>
      </c>
      <c r="B50" t="inlineStr">
        <is>
          <t>Kab. Maluku Barat Daya</t>
        </is>
      </c>
      <c r="C50" t="inlineStr">
        <is>
          <t>081230182554</t>
        </is>
      </c>
      <c r="D50" t="inlineStr">
        <is>
          <t>pt.citracahayaletty@yahoo.co.id</t>
        </is>
      </c>
      <c r="E50" t="inlineStr">
        <is>
          <t>https://lpjk.pu.go.id/search-badan-usaha-detail/QzFNakVHSm1Fd1EzbkdpT1FENnJsQT09</t>
        </is>
      </c>
      <c r="F50" t="n">
        <v>4</v>
      </c>
      <c r="G50" t="inlineStr">
        <is>
          <t>BG001, BG005, BG006, BG009</t>
        </is>
      </c>
      <c r="H50" t="inlineStr">
        <is>
          <t>10 Februari 2012</t>
        </is>
      </c>
      <c r="I50" s="2" t="n">
        <v>46347</v>
      </c>
      <c r="J50" t="inlineStr">
        <is>
          <t>Disetujui</t>
        </is>
      </c>
      <c r="K50" t="n">
        <v>87</v>
      </c>
      <c r="L50" t="inlineStr">
        <is>
          <t>21 November 2026</t>
        </is>
      </c>
      <c r="M50" t="inlineStr">
        <is>
          <t>Konstruksi Gedung Hunian, Konstruksi Gedung Kesehatan, Konstruksi Gedung Lainnya, Konstruksi Gedung Pendidikan</t>
        </is>
      </c>
      <c r="N50" t="inlineStr">
        <is>
          <t>K</t>
        </is>
      </c>
      <c r="O50" t="inlineStr">
        <is>
          <t>20231121, 20231123</t>
        </is>
      </c>
      <c r="P50" t="inlineStr">
        <is>
          <t>Maluku</t>
        </is>
      </c>
      <c r="Q50" t="inlineStr"/>
    </row>
    <row r="51">
      <c r="A51" t="inlineStr">
        <is>
          <t>DANANJAYA UTAMA</t>
        </is>
      </c>
      <c r="B51" t="inlineStr">
        <is>
          <t>Kab. Cilacap</t>
        </is>
      </c>
      <c r="C51" t="inlineStr">
        <is>
          <t>088239611466</t>
        </is>
      </c>
      <c r="D51" t="inlineStr">
        <is>
          <t>dananjayautama11@gmail.com</t>
        </is>
      </c>
      <c r="E51" t="inlineStr">
        <is>
          <t>https://lpjk.pu.go.id/search-badan-usaha-detail/Ymp3Q01GQnQ2cmxFajhESVR0dEU2Zz09</t>
        </is>
      </c>
      <c r="F51" t="n">
        <v>2</v>
      </c>
      <c r="G51" t="inlineStr">
        <is>
          <t>BG006, BS004</t>
        </is>
      </c>
      <c r="H51" t="inlineStr">
        <is>
          <t>8 November 2023</t>
        </is>
      </c>
      <c r="I51" s="2" t="n">
        <v>46347</v>
      </c>
      <c r="J51" t="inlineStr">
        <is>
          <t>Disetujui</t>
        </is>
      </c>
      <c r="K51" t="n">
        <v>87</v>
      </c>
      <c r="L51" t="inlineStr">
        <is>
          <t>21 November 2026</t>
        </is>
      </c>
      <c r="M51" t="inlineStr">
        <is>
          <t>Konstruksi Gedung Pendidikan, Konstruksi Jaringan Irigasi dan Drainase</t>
        </is>
      </c>
      <c r="N51" t="inlineStr">
        <is>
          <t>K</t>
        </is>
      </c>
      <c r="O51" t="inlineStr">
        <is>
          <t>20231120</t>
        </is>
      </c>
      <c r="P51" t="inlineStr">
        <is>
          <t>Jawa Tengah</t>
        </is>
      </c>
      <c r="Q51" t="inlineStr"/>
    </row>
    <row r="52">
      <c r="A52" t="inlineStr">
        <is>
          <t>DARMA JAYA</t>
        </is>
      </c>
      <c r="B52" t="inlineStr">
        <is>
          <t>Kab. Kuningan</t>
        </is>
      </c>
      <c r="C52" t="inlineStr">
        <is>
          <t>082128342222</t>
        </is>
      </c>
      <c r="D52" t="inlineStr">
        <is>
          <t>darmajaya0411@gmail.com</t>
        </is>
      </c>
      <c r="E52" t="inlineStr">
        <is>
          <t>https://lpjk.pu.go.id/search-badan-usaha-detail/U3o0U2drSCswUWNWMW5JeTlyazFGQT09</t>
        </is>
      </c>
      <c r="F52" t="n">
        <v>1</v>
      </c>
      <c r="G52" t="inlineStr">
        <is>
          <t>BG006</t>
        </is>
      </c>
      <c r="H52" t="inlineStr">
        <is>
          <t>6 Februari 2018</t>
        </is>
      </c>
      <c r="I52" s="2" t="n">
        <v>46347</v>
      </c>
      <c r="J52" t="inlineStr">
        <is>
          <t>Disetujui</t>
        </is>
      </c>
      <c r="K52" t="n">
        <v>87</v>
      </c>
      <c r="L52" t="inlineStr">
        <is>
          <t>21 November 2026</t>
        </is>
      </c>
      <c r="M52" t="inlineStr">
        <is>
          <t>Konstruksi Gedung Pendidikan</t>
        </is>
      </c>
      <c r="N52" t="inlineStr">
        <is>
          <t>K</t>
        </is>
      </c>
      <c r="O52" t="inlineStr">
        <is>
          <t>20231121</t>
        </is>
      </c>
      <c r="P52" t="inlineStr">
        <is>
          <t>Jawa Barat</t>
        </is>
      </c>
      <c r="Q52" t="inlineStr"/>
    </row>
    <row r="53">
      <c r="A53" t="inlineStr">
        <is>
          <t>DEVI BHAKTI</t>
        </is>
      </c>
      <c r="B53" t="inlineStr">
        <is>
          <t>Kab. Sukabumi</t>
        </is>
      </c>
      <c r="C53" t="inlineStr">
        <is>
          <t>085797830234</t>
        </is>
      </c>
      <c r="D53" t="inlineStr">
        <is>
          <t>cvdb.smi@gmail.com</t>
        </is>
      </c>
      <c r="E53" t="inlineStr">
        <is>
          <t>https://lpjk.pu.go.id/search-badan-usaha-detail/ZE4zSktnNHJMZXpVMDNQUmthNUJQUT09</t>
        </is>
      </c>
      <c r="F53" t="n">
        <v>5</v>
      </c>
      <c r="G53" t="inlineStr">
        <is>
          <t>BG005, BG006, BG009, BS001, BS005</t>
        </is>
      </c>
      <c r="H53" t="inlineStr">
        <is>
          <t>6 April 1982</t>
        </is>
      </c>
      <c r="I53" s="2" t="n">
        <v>46347</v>
      </c>
      <c r="J53" t="inlineStr">
        <is>
          <t>Disetujui</t>
        </is>
      </c>
      <c r="K53" t="n">
        <v>87</v>
      </c>
      <c r="L53" t="inlineStr">
        <is>
          <t>21 November 2026</t>
        </is>
      </c>
      <c r="M53" t="inlineStr">
        <is>
          <t>Konstruksi Bangunan Sipil Jalan, Konstruksi Bangunan Sipil Pengolahan Air Bersih, Konstruksi Gedung Kesehatan, Konstruksi Gedung Lainnya, Konstruksi Gedung Pendidikan</t>
        </is>
      </c>
      <c r="N53" t="inlineStr">
        <is>
          <t>K</t>
        </is>
      </c>
      <c r="O53" t="inlineStr">
        <is>
          <t>20231120, 20231121</t>
        </is>
      </c>
      <c r="P53" t="inlineStr">
        <is>
          <t>Jawa Barat</t>
        </is>
      </c>
      <c r="Q53" t="inlineStr"/>
    </row>
    <row r="54">
      <c r="A54" t="inlineStr">
        <is>
          <t>DWITAMA JAYA ABADI</t>
        </is>
      </c>
      <c r="B54" t="inlineStr">
        <is>
          <t>Kota Adm. Jakarta Selatan</t>
        </is>
      </c>
      <c r="C54" t="inlineStr">
        <is>
          <t>02172797642</t>
        </is>
      </c>
      <c r="D54" t="inlineStr">
        <is>
          <t>dwitamadja@yahoo.co.id</t>
        </is>
      </c>
      <c r="E54" t="inlineStr">
        <is>
          <t>https://lpjk.pu.go.id/search-badan-usaha-detail/S0pGbEtqYkw0bUx0NXB5bytSQ2ZpQT09</t>
        </is>
      </c>
      <c r="F54" t="n">
        <v>2</v>
      </c>
      <c r="G54" t="inlineStr">
        <is>
          <t>BG001</t>
        </is>
      </c>
      <c r="H54" t="inlineStr">
        <is>
          <t>12 Maret 2002</t>
        </is>
      </c>
      <c r="I54" s="2" t="n">
        <v>46347</v>
      </c>
      <c r="J54" t="inlineStr">
        <is>
          <t>Disetujui</t>
        </is>
      </c>
      <c r="K54" t="n">
        <v>87</v>
      </c>
      <c r="L54" t="inlineStr">
        <is>
          <t>21 November 2026</t>
        </is>
      </c>
      <c r="M54" t="inlineStr">
        <is>
          <t>Konstruksi Gedung Hunian</t>
        </is>
      </c>
      <c r="N54" t="inlineStr">
        <is>
          <t>K</t>
        </is>
      </c>
      <c r="O54" t="inlineStr">
        <is>
          <t>20231122</t>
        </is>
      </c>
      <c r="P54" t="inlineStr">
        <is>
          <t>DKI Jakarta</t>
        </is>
      </c>
      <c r="Q54" t="inlineStr"/>
    </row>
    <row r="55">
      <c r="A55" t="inlineStr">
        <is>
          <t>EASTERN BANGUN PERKASA</t>
        </is>
      </c>
      <c r="B55" t="inlineStr">
        <is>
          <t>Kota Palangkaraya</t>
        </is>
      </c>
      <c r="C55" t="inlineStr">
        <is>
          <t>081334070066</t>
        </is>
      </c>
      <c r="D55" t="inlineStr">
        <is>
          <t>cveasternbangunperkasa@gmail.com</t>
        </is>
      </c>
      <c r="E55" t="inlineStr">
        <is>
          <t>https://lpjk.pu.go.id/search-badan-usaha-detail/ZXBITE9VMmYxNHp5elZrenlDdUxJZz09</t>
        </is>
      </c>
      <c r="F55" t="n">
        <v>1</v>
      </c>
      <c r="G55" t="inlineStr">
        <is>
          <t>AL002</t>
        </is>
      </c>
      <c r="H55" t="inlineStr">
        <is>
          <t>16 April 2014</t>
        </is>
      </c>
      <c r="I55" s="2" t="n">
        <v>46347</v>
      </c>
      <c r="J55" t="inlineStr">
        <is>
          <t>Disetujui</t>
        </is>
      </c>
      <c r="K55" t="n">
        <v>87</v>
      </c>
      <c r="L55" t="inlineStr">
        <is>
          <t>21 November 2026</t>
        </is>
      </c>
      <c r="M55" t="inlineStr">
        <is>
          <t>Jasa Pengembangan Wilayah</t>
        </is>
      </c>
      <c r="N55" t="inlineStr">
        <is>
          <t>K</t>
        </is>
      </c>
      <c r="O55" t="inlineStr">
        <is>
          <t>20231112</t>
        </is>
      </c>
      <c r="P55" t="inlineStr">
        <is>
          <t>Kalimantan Tengah</t>
        </is>
      </c>
      <c r="Q55" t="inlineStr"/>
    </row>
    <row r="56">
      <c r="A56" t="inlineStr">
        <is>
          <t>ELSA NUREGA</t>
        </is>
      </c>
      <c r="B56" t="inlineStr">
        <is>
          <t>Kab. Gunungkidul</t>
        </is>
      </c>
      <c r="C56" t="inlineStr">
        <is>
          <t>0882008379708</t>
        </is>
      </c>
      <c r="D56" t="inlineStr">
        <is>
          <t>enurega@yahoo.com</t>
        </is>
      </c>
      <c r="E56" t="inlineStr">
        <is>
          <t>https://lpjk.pu.go.id/search-badan-usaha-detail/eGxiYVc0M0xFMEJEWVhpNnpRcjg1QT09</t>
        </is>
      </c>
      <c r="F56" t="n">
        <v>1</v>
      </c>
      <c r="G56" t="inlineStr">
        <is>
          <t>PB010</t>
        </is>
      </c>
      <c r="H56" t="inlineStr">
        <is>
          <t>1 Mei 2007</t>
        </is>
      </c>
      <c r="I56" s="2" t="n">
        <v>46347</v>
      </c>
      <c r="J56" t="inlineStr">
        <is>
          <t>Disetujui</t>
        </is>
      </c>
      <c r="K56" t="n">
        <v>87</v>
      </c>
      <c r="L56" t="inlineStr">
        <is>
          <t>21 November 2026</t>
        </is>
      </c>
      <c r="M56" t="inlineStr">
        <is>
          <t>Pekerjaan Lanskap, Pertamanan, dan Penanaman Vegetasi</t>
        </is>
      </c>
      <c r="N56" t="inlineStr">
        <is>
          <t>Spesialis</t>
        </is>
      </c>
      <c r="O56" t="inlineStr">
        <is>
          <t>20231117</t>
        </is>
      </c>
      <c r="P56" t="inlineStr">
        <is>
          <t>DI Yogyakarta</t>
        </is>
      </c>
      <c r="Q56" t="inlineStr"/>
    </row>
    <row r="57">
      <c r="A57" t="inlineStr">
        <is>
          <t>ERA DISELINDO JAYA</t>
        </is>
      </c>
      <c r="B57" t="inlineStr">
        <is>
          <t>Kota Palembang</t>
        </is>
      </c>
      <c r="C57" t="inlineStr">
        <is>
          <t>081373592102</t>
        </is>
      </c>
      <c r="D57" t="inlineStr">
        <is>
          <t>eradiselindojaya@gmail.com</t>
        </is>
      </c>
      <c r="E57" t="inlineStr">
        <is>
          <t>https://lpjk.pu.go.id/search-badan-usaha-detail/enlRMnk4bjBhWlZ3dkIxQ21SWHFhdz09</t>
        </is>
      </c>
      <c r="F57" t="n">
        <v>2</v>
      </c>
      <c r="G57" t="inlineStr">
        <is>
          <t>BG001, BG009</t>
        </is>
      </c>
      <c r="H57" t="inlineStr">
        <is>
          <t>2 Mei 2019</t>
        </is>
      </c>
      <c r="I57" s="2" t="n">
        <v>46347</v>
      </c>
      <c r="J57" t="inlineStr">
        <is>
          <t>Disetujui</t>
        </is>
      </c>
      <c r="K57" t="n">
        <v>87</v>
      </c>
      <c r="L57" t="inlineStr">
        <is>
          <t>21 November 2026</t>
        </is>
      </c>
      <c r="M57" t="inlineStr">
        <is>
          <t>Konstruksi Gedung Hunian, Konstruksi Gedung Lainnya</t>
        </is>
      </c>
      <c r="N57" t="inlineStr">
        <is>
          <t>K</t>
        </is>
      </c>
      <c r="O57" t="inlineStr">
        <is>
          <t>20231122</t>
        </is>
      </c>
      <c r="P57" t="inlineStr">
        <is>
          <t>Sumatera Selatan</t>
        </is>
      </c>
      <c r="Q57" t="inlineStr"/>
    </row>
    <row r="58">
      <c r="A58" t="inlineStr">
        <is>
          <t>FAJAR PRATAMA TEKNIK</t>
        </is>
      </c>
      <c r="B58" t="inlineStr">
        <is>
          <t>Kota Bontang</t>
        </is>
      </c>
      <c r="C58" t="inlineStr">
        <is>
          <t>081350998989</t>
        </is>
      </c>
      <c r="D58" t="inlineStr">
        <is>
          <t>famatek007@gmail.com</t>
        </is>
      </c>
      <c r="E58" t="inlineStr">
        <is>
          <t>https://lpjk.pu.go.id/search-badan-usaha-detail/ZSt1MGZVa3ZmUzNFQUF1ZnlOWXJoQT09</t>
        </is>
      </c>
      <c r="F58" t="n">
        <v>1</v>
      </c>
      <c r="G58" t="inlineStr">
        <is>
          <t>BS004</t>
        </is>
      </c>
      <c r="H58" t="inlineStr">
        <is>
          <t>7 Juli 2007</t>
        </is>
      </c>
      <c r="I58" s="2" t="n">
        <v>46347</v>
      </c>
      <c r="J58" t="inlineStr">
        <is>
          <t>Disetujui</t>
        </is>
      </c>
      <c r="K58" t="n">
        <v>87</v>
      </c>
      <c r="L58" t="inlineStr">
        <is>
          <t>21 November 2026</t>
        </is>
      </c>
      <c r="M58" t="inlineStr">
        <is>
          <t>Konstruksi Jaringan Irigasi dan Drainase</t>
        </is>
      </c>
      <c r="N58" t="inlineStr">
        <is>
          <t>K</t>
        </is>
      </c>
      <c r="O58" t="inlineStr">
        <is>
          <t>20231120</t>
        </is>
      </c>
      <c r="P58" t="inlineStr">
        <is>
          <t>Kalimantan Timur</t>
        </is>
      </c>
      <c r="Q58" t="inlineStr"/>
    </row>
    <row r="59">
      <c r="A59" t="inlineStr">
        <is>
          <t>GEMILANG</t>
        </is>
      </c>
      <c r="B59" t="inlineStr">
        <is>
          <t>Kab. Ponorogo</t>
        </is>
      </c>
      <c r="C59" t="inlineStr">
        <is>
          <t>085702819117</t>
        </is>
      </c>
      <c r="D59" t="inlineStr">
        <is>
          <t>gemilang.cv8@gmail.com</t>
        </is>
      </c>
      <c r="E59" t="inlineStr">
        <is>
          <t>https://lpjk.pu.go.id/search-badan-usaha-detail/V2FKSUhJMmRRZnh2WXFVQWpuSUZxUT09</t>
        </is>
      </c>
      <c r="F59" t="n">
        <v>1</v>
      </c>
      <c r="G59" t="inlineStr">
        <is>
          <t>BG009</t>
        </is>
      </c>
      <c r="H59" t="inlineStr">
        <is>
          <t>21 Agustus 1995</t>
        </is>
      </c>
      <c r="I59" s="2" t="n">
        <v>46347</v>
      </c>
      <c r="J59" t="inlineStr">
        <is>
          <t>Disetujui</t>
        </is>
      </c>
      <c r="K59" t="n">
        <v>87</v>
      </c>
      <c r="L59" t="inlineStr">
        <is>
          <t>21 November 2026</t>
        </is>
      </c>
      <c r="M59" t="inlineStr">
        <is>
          <t>Konstruksi Gedung Lainnya</t>
        </is>
      </c>
      <c r="N59" t="inlineStr">
        <is>
          <t>K</t>
        </is>
      </c>
      <c r="O59" t="inlineStr">
        <is>
          <t>20231113</t>
        </is>
      </c>
      <c r="P59" t="inlineStr">
        <is>
          <t>Jawa Timur</t>
        </is>
      </c>
      <c r="Q59" t="inlineStr"/>
    </row>
    <row r="60">
      <c r="A60" t="inlineStr">
        <is>
          <t>GEO SURVEY PERSADA INDONESIA</t>
        </is>
      </c>
      <c r="B60" t="inlineStr">
        <is>
          <t>Kab. Sleman</t>
        </is>
      </c>
      <c r="C60" t="inlineStr">
        <is>
          <t>085268634870</t>
        </is>
      </c>
      <c r="D60" t="inlineStr">
        <is>
          <t>geosurveypersadaindonesia@gmail.com</t>
        </is>
      </c>
      <c r="E60" t="inlineStr">
        <is>
          <t>https://lpjk.pu.go.id/search-badan-usaha-detail/WjJrSU52VG9mVFk1SHoveW1iRWFGdz09</t>
        </is>
      </c>
      <c r="F60" t="n">
        <v>1</v>
      </c>
      <c r="G60" t="inlineStr">
        <is>
          <t>RK003</t>
        </is>
      </c>
      <c r="H60" t="inlineStr">
        <is>
          <t>13 November 2018</t>
        </is>
      </c>
      <c r="I60" s="2" t="n">
        <v>46347</v>
      </c>
      <c r="J60" t="inlineStr">
        <is>
          <t>Disetujui</t>
        </is>
      </c>
      <c r="K60" t="n">
        <v>87</v>
      </c>
      <c r="L60" t="inlineStr">
        <is>
          <t>21 November 2026</t>
        </is>
      </c>
      <c r="M60" t="inlineStr">
        <is>
          <t>Jasa Rekayasa Pekerjaan Teknik Sipil Transportasi</t>
        </is>
      </c>
      <c r="N60" t="inlineStr">
        <is>
          <t>K</t>
        </is>
      </c>
      <c r="O60" t="inlineStr">
        <is>
          <t>20231010</t>
        </is>
      </c>
      <c r="P60" t="inlineStr">
        <is>
          <t>DI Yogyakarta</t>
        </is>
      </c>
      <c r="Q60" t="inlineStr"/>
    </row>
    <row r="61">
      <c r="A61" t="inlineStr">
        <is>
          <t>GLOBAL EDUKASI NUSANTARA</t>
        </is>
      </c>
      <c r="B61" t="inlineStr">
        <is>
          <t>Kab. Lima Puluh Kota</t>
        </is>
      </c>
      <c r="C61" t="inlineStr">
        <is>
          <t>085264595078</t>
        </is>
      </c>
      <c r="D61" t="inlineStr">
        <is>
          <t>harmazen.gen@gmail.com</t>
        </is>
      </c>
      <c r="E61" t="inlineStr">
        <is>
          <t>https://lpjk.pu.go.id/search-badan-usaha-detail/aGxZbGJLRXhBeUF3b2pnVXZnVDhrZz09</t>
        </is>
      </c>
      <c r="F61" t="n">
        <v>5</v>
      </c>
      <c r="G61" t="inlineStr">
        <is>
          <t>BG002, BG005, BG006, BG009, BS001</t>
        </is>
      </c>
      <c r="H61" t="inlineStr">
        <is>
          <t>14 April 2011</t>
        </is>
      </c>
      <c r="I61" s="2" t="n">
        <v>46347</v>
      </c>
      <c r="J61" t="inlineStr">
        <is>
          <t>Disetujui</t>
        </is>
      </c>
      <c r="K61" t="n">
        <v>87</v>
      </c>
      <c r="L61" t="inlineStr">
        <is>
          <t>21 November 2026</t>
        </is>
      </c>
      <c r="M61" t="inlineStr">
        <is>
          <t>Konstruksi Bangunan Sipil Jalan, Konstruksi Gedung Kesehatan, Konstruksi Gedung Lainnya, Konstruksi Gedung Pendidikan, Konstruksi Gedung Perkantoran</t>
        </is>
      </c>
      <c r="N61" t="inlineStr">
        <is>
          <t>K</t>
        </is>
      </c>
      <c r="O61" t="inlineStr">
        <is>
          <t>20231122</t>
        </is>
      </c>
      <c r="P61" t="inlineStr">
        <is>
          <t>Sumatera Barat</t>
        </is>
      </c>
      <c r="Q61" t="inlineStr"/>
    </row>
    <row r="62">
      <c r="A62" t="inlineStr">
        <is>
          <t>GLOBAL PORT ENGINEERING INDONESIA</t>
        </is>
      </c>
      <c r="B62" t="inlineStr">
        <is>
          <t>Kota Surabaya</t>
        </is>
      </c>
      <c r="C62" t="inlineStr">
        <is>
          <t>03160038279</t>
        </is>
      </c>
      <c r="D62" t="inlineStr">
        <is>
          <t>mona@gpes.com.my</t>
        </is>
      </c>
      <c r="E62" t="inlineStr">
        <is>
          <t>https://lpjk.pu.go.id/search-badan-usaha-detail/NjR1cGlsQkxWeGhneklTM016bjlaZz09</t>
        </is>
      </c>
      <c r="F62" t="n">
        <v>1</v>
      </c>
      <c r="G62" t="inlineStr">
        <is>
          <t>IN001</t>
        </is>
      </c>
      <c r="H62" t="inlineStr">
        <is>
          <t>2 Oktober 2015</t>
        </is>
      </c>
      <c r="I62" s="2" t="n">
        <v>46347</v>
      </c>
      <c r="J62" t="inlineStr">
        <is>
          <t>Disetujui</t>
        </is>
      </c>
      <c r="K62" t="n">
        <v>87</v>
      </c>
      <c r="L62" t="inlineStr">
        <is>
          <t>21 November 2026</t>
        </is>
      </c>
      <c r="M62" t="inlineStr">
        <is>
          <t>Instalasi Mekanikal</t>
        </is>
      </c>
      <c r="N62" t="inlineStr">
        <is>
          <t>Spesialis</t>
        </is>
      </c>
      <c r="O62" t="inlineStr">
        <is>
          <t>20231121</t>
        </is>
      </c>
      <c r="P62" t="inlineStr">
        <is>
          <t>Jawa Timur</t>
        </is>
      </c>
      <c r="Q62" t="inlineStr"/>
    </row>
    <row r="63">
      <c r="A63" t="inlineStr">
        <is>
          <t>GRAHA KONSTRUKSI NUSANTARA</t>
        </is>
      </c>
      <c r="B63" t="inlineStr">
        <is>
          <t>Kota Banda Aceh</t>
        </is>
      </c>
      <c r="C63" t="inlineStr">
        <is>
          <t>085260133200</t>
        </is>
      </c>
      <c r="D63" t="inlineStr">
        <is>
          <t>grahanusantara99@gmail.com</t>
        </is>
      </c>
      <c r="E63" t="inlineStr">
        <is>
          <t>https://lpjk.pu.go.id/search-badan-usaha-detail/eTFCV2E3OSt4aHZIazhHc3JqcWlqQT09</t>
        </is>
      </c>
      <c r="F63" t="n">
        <v>2</v>
      </c>
      <c r="G63" t="inlineStr">
        <is>
          <t>BG009, BS004</t>
        </is>
      </c>
      <c r="H63" t="inlineStr">
        <is>
          <t>5 Maret 2019</t>
        </is>
      </c>
      <c r="I63" s="2" t="n">
        <v>46347</v>
      </c>
      <c r="J63" t="inlineStr">
        <is>
          <t>Disetujui</t>
        </is>
      </c>
      <c r="K63" t="n">
        <v>87</v>
      </c>
      <c r="L63" t="inlineStr">
        <is>
          <t>21 November 2026</t>
        </is>
      </c>
      <c r="M63" t="inlineStr">
        <is>
          <t>Konstruksi Gedung Lainnya, Konstruksi Jaringan Irigasi dan Drainase</t>
        </is>
      </c>
      <c r="N63" t="inlineStr">
        <is>
          <t>K</t>
        </is>
      </c>
      <c r="O63" t="inlineStr">
        <is>
          <t>20231121</t>
        </is>
      </c>
      <c r="P63" t="inlineStr">
        <is>
          <t>Aceh</t>
        </is>
      </c>
      <c r="Q63" t="inlineStr"/>
    </row>
    <row r="64">
      <c r="A64" t="inlineStr">
        <is>
          <t>GRAHA MEDISINDO UTAMA</t>
        </is>
      </c>
      <c r="B64" t="inlineStr">
        <is>
          <t>Kota Padang</t>
        </is>
      </c>
      <c r="C64" t="inlineStr">
        <is>
          <t>07517050930</t>
        </is>
      </c>
      <c r="D64" t="inlineStr">
        <is>
          <t>pt.grahamedisindoutama@gmail.com</t>
        </is>
      </c>
      <c r="E64" t="inlineStr">
        <is>
          <t>https://lpjk.pu.go.id/search-badan-usaha-detail/MEpoYTdKZDl5VkhiK3VEQlVtbkx3dz09</t>
        </is>
      </c>
      <c r="F64" t="n">
        <v>5</v>
      </c>
      <c r="G64" t="inlineStr">
        <is>
          <t>BG001, BG002, BG005, BG006, BG009</t>
        </is>
      </c>
      <c r="H64" t="inlineStr">
        <is>
          <t>20 Januari 2010</t>
        </is>
      </c>
      <c r="I64" s="2" t="n">
        <v>46347</v>
      </c>
      <c r="J64" t="inlineStr">
        <is>
          <t>Disetujui</t>
        </is>
      </c>
      <c r="K64" t="n">
        <v>87</v>
      </c>
      <c r="L64" t="inlineStr">
        <is>
          <t>21 November 2026</t>
        </is>
      </c>
      <c r="M64" t="inlineStr">
        <is>
          <t>Konstruksi Gedung Hunian, Konstruksi Gedung Kesehatan, Konstruksi Gedung Lainnya, Konstruksi Gedung Pendidikan, Konstruksi Gedung Perkantoran</t>
        </is>
      </c>
      <c r="N64" t="inlineStr">
        <is>
          <t>K</t>
        </is>
      </c>
      <c r="O64" t="inlineStr">
        <is>
          <t>20231116</t>
        </is>
      </c>
      <c r="P64" t="inlineStr">
        <is>
          <t>Sumatera Barat</t>
        </is>
      </c>
      <c r="Q64" t="inlineStr"/>
    </row>
    <row r="65">
      <c r="A65" t="inlineStr">
        <is>
          <t>GRAND STARCO WAWENSA</t>
        </is>
      </c>
      <c r="B65" t="inlineStr">
        <is>
          <t>Kota Padang</t>
        </is>
      </c>
      <c r="C65" t="inlineStr">
        <is>
          <t>081266772222</t>
        </is>
      </c>
      <c r="D65" t="inlineStr">
        <is>
          <t>PT.GRANDSTARCO@gmail.com</t>
        </is>
      </c>
      <c r="E65" t="inlineStr">
        <is>
          <t>https://lpjk.pu.go.id/search-badan-usaha-detail/dW9XTzI3R2Q2ODlvd21Zb2NSWi9Edz09</t>
        </is>
      </c>
      <c r="F65" t="n">
        <v>1</v>
      </c>
      <c r="G65" t="inlineStr">
        <is>
          <t>BG002</t>
        </is>
      </c>
      <c r="H65" t="inlineStr">
        <is>
          <t>21 Januari 2021</t>
        </is>
      </c>
      <c r="I65" s="2" t="n">
        <v>46347</v>
      </c>
      <c r="J65" t="inlineStr">
        <is>
          <t>Disetujui</t>
        </is>
      </c>
      <c r="K65" t="n">
        <v>87</v>
      </c>
      <c r="L65" t="inlineStr">
        <is>
          <t>21 November 2026</t>
        </is>
      </c>
      <c r="M65" t="inlineStr">
        <is>
          <t>Konstruksi Gedung Perkantoran</t>
        </is>
      </c>
      <c r="N65" t="inlineStr">
        <is>
          <t>K</t>
        </is>
      </c>
      <c r="O65" t="inlineStr">
        <is>
          <t>20231121</t>
        </is>
      </c>
      <c r="P65" t="inlineStr">
        <is>
          <t>Sumatera Barat</t>
        </is>
      </c>
      <c r="Q65" t="inlineStr"/>
    </row>
    <row r="66">
      <c r="A66" t="inlineStr">
        <is>
          <t>GUNTUR WIJAYA PUTRA</t>
        </is>
      </c>
      <c r="B66" t="inlineStr">
        <is>
          <t>Kota Surabaya</t>
        </is>
      </c>
      <c r="C66" t="inlineStr">
        <is>
          <t>081331946984</t>
        </is>
      </c>
      <c r="D66" t="inlineStr">
        <is>
          <t>haripurwanto878@yahoo.co.id</t>
        </is>
      </c>
      <c r="E66" t="inlineStr">
        <is>
          <t>https://lpjk.pu.go.id/search-badan-usaha-detail/bWJNR3lsMkcrVW5DeENEVzdhV3VBUT09</t>
        </is>
      </c>
      <c r="F66" t="n">
        <v>2</v>
      </c>
      <c r="G66" t="inlineStr">
        <is>
          <t>BS001, BS004</t>
        </is>
      </c>
      <c r="H66" t="inlineStr">
        <is>
          <t>22 Juni 1990</t>
        </is>
      </c>
      <c r="I66" s="2" t="n">
        <v>46347</v>
      </c>
      <c r="J66" t="inlineStr">
        <is>
          <t>Disetujui</t>
        </is>
      </c>
      <c r="K66" t="n">
        <v>87</v>
      </c>
      <c r="L66" t="inlineStr">
        <is>
          <t>21 November 2026</t>
        </is>
      </c>
      <c r="M66" t="inlineStr">
        <is>
          <t>Konstruksi Bangunan Sipil Jalan, Konstruksi Jaringan Irigasi dan Drainase</t>
        </is>
      </c>
      <c r="N66" t="inlineStr">
        <is>
          <t>K</t>
        </is>
      </c>
      <c r="O66" t="inlineStr">
        <is>
          <t>20231115</t>
        </is>
      </c>
      <c r="P66" t="inlineStr">
        <is>
          <t>Jawa Timur</t>
        </is>
      </c>
      <c r="Q66" t="inlineStr"/>
    </row>
    <row r="67">
      <c r="A67" t="inlineStr">
        <is>
          <t>HARAPAN SEMPURNA</t>
        </is>
      </c>
      <c r="B67" t="inlineStr">
        <is>
          <t>Kab. Barito Utara</t>
        </is>
      </c>
      <c r="C67" t="inlineStr">
        <is>
          <t>081328757540</t>
        </is>
      </c>
      <c r="D67" t="inlineStr">
        <is>
          <t>cv.prf07@gmail.com</t>
        </is>
      </c>
      <c r="E67" t="inlineStr">
        <is>
          <t>https://lpjk.pu.go.id/search-badan-usaha-detail/NktWRlI3WWVTOUxKZmMzcXViUlRrZz09</t>
        </is>
      </c>
      <c r="F67" t="n">
        <v>5</v>
      </c>
      <c r="G67" t="inlineStr">
        <is>
          <t>BG002, BG005, BG006, BG008, BG009</t>
        </is>
      </c>
      <c r="H67" t="inlineStr">
        <is>
          <t>28 Desember 2016</t>
        </is>
      </c>
      <c r="I67" s="2" t="n">
        <v>46347</v>
      </c>
      <c r="J67" t="inlineStr">
        <is>
          <t>Disetujui</t>
        </is>
      </c>
      <c r="K67" t="n">
        <v>87</v>
      </c>
      <c r="L67" t="inlineStr">
        <is>
          <t>21 November 2026</t>
        </is>
      </c>
      <c r="M67" t="inlineStr">
        <is>
          <t>Konstruksi Gedung Kesehatan, Konstruksi Gedung Lainnya, Konstruksi Gedung Pendidikan, Konstruksi Gedung Perkantoran, Konstruksi Gedung Tempat Hiburan dan Olahraga</t>
        </is>
      </c>
      <c r="N67" t="inlineStr">
        <is>
          <t>K</t>
        </is>
      </c>
      <c r="O67" t="inlineStr">
        <is>
          <t>20231119</t>
        </is>
      </c>
      <c r="P67" t="inlineStr">
        <is>
          <t>Kalimantan Tengah</t>
        </is>
      </c>
      <c r="Q67" t="inlineStr"/>
    </row>
    <row r="68">
      <c r="A68" t="inlineStr">
        <is>
          <t>HASRAT JAYA UTAMA</t>
        </is>
      </c>
      <c r="B68" t="inlineStr">
        <is>
          <t>Kota Banjarmasin</t>
        </is>
      </c>
      <c r="C68" t="inlineStr">
        <is>
          <t>05113201516</t>
        </is>
      </c>
      <c r="D68" t="inlineStr">
        <is>
          <t>hjubjm@yahoo.com</t>
        </is>
      </c>
      <c r="E68" t="inlineStr">
        <is>
          <t>https://lpjk.pu.go.id/search-badan-usaha-detail/MHNJY0xiV1Z6amNhdWJ4aUU0SkpnSzVGbXc5S3pXVGdDZWdLS0pKUGhkMD0</t>
        </is>
      </c>
      <c r="F68" t="n">
        <v>2</v>
      </c>
      <c r="G68" t="inlineStr">
        <is>
          <t>BS001, BS002</t>
        </is>
      </c>
      <c r="H68" t="inlineStr">
        <is>
          <t>10 Januari 2025</t>
        </is>
      </c>
      <c r="I68" s="2" t="n">
        <v>46347</v>
      </c>
      <c r="J68" t="inlineStr">
        <is>
          <t>Disetujui</t>
        </is>
      </c>
      <c r="K68" t="n">
        <v>87</v>
      </c>
      <c r="L68" t="inlineStr">
        <is>
          <t>21 November 2026</t>
        </is>
      </c>
      <c r="M68" t="inlineStr">
        <is>
          <t>Bangunan Sipil Jembatan, Jalan Layang, Fly Over, dan Underpass, Konstruksi Bangunan Sipil Jalan</t>
        </is>
      </c>
      <c r="N68" t="inlineStr">
        <is>
          <t>B, M</t>
        </is>
      </c>
      <c r="O68" t="inlineStr">
        <is>
          <t>20231103</t>
        </is>
      </c>
      <c r="P68" t="inlineStr">
        <is>
          <t>Kalimantan Selatan</t>
        </is>
      </c>
      <c r="Q68" t="inlineStr"/>
    </row>
    <row r="69">
      <c r="A69" t="inlineStr">
        <is>
          <t>INTAN PERMATA</t>
        </is>
      </c>
      <c r="B69" t="inlineStr">
        <is>
          <t>Kab. Sukabumi</t>
        </is>
      </c>
      <c r="C69" t="inlineStr">
        <is>
          <t>082115163034</t>
        </is>
      </c>
      <c r="D69" t="inlineStr">
        <is>
          <t>intanpermatacv1@gmail.com</t>
        </is>
      </c>
      <c r="E69" t="inlineStr">
        <is>
          <t>https://lpjk.pu.go.id/search-badan-usaha-detail/SkRhTGc4SlgvTGxWdk9ZSFpFVmk5dz09</t>
        </is>
      </c>
      <c r="F69" t="n">
        <v>2</v>
      </c>
      <c r="G69" t="inlineStr">
        <is>
          <t>BG006, BS001</t>
        </is>
      </c>
      <c r="H69" t="inlineStr">
        <is>
          <t>10 April 2012</t>
        </is>
      </c>
      <c r="I69" s="2" t="n">
        <v>46347</v>
      </c>
      <c r="J69" t="inlineStr">
        <is>
          <t>Disetujui</t>
        </is>
      </c>
      <c r="K69" t="n">
        <v>87</v>
      </c>
      <c r="L69" t="inlineStr">
        <is>
          <t>21 November 2026</t>
        </is>
      </c>
      <c r="M69" t="inlineStr">
        <is>
          <t>Konstruksi Bangunan Sipil Jalan, Konstruksi Gedung Pendidikan</t>
        </is>
      </c>
      <c r="N69" t="inlineStr">
        <is>
          <t>K</t>
        </is>
      </c>
      <c r="O69" t="inlineStr">
        <is>
          <t>20231120</t>
        </is>
      </c>
      <c r="P69" t="inlineStr">
        <is>
          <t>Jawa Barat</t>
        </is>
      </c>
      <c r="Q69" t="inlineStr"/>
    </row>
    <row r="70">
      <c r="A70" t="inlineStr">
        <is>
          <t>INTAN TIMUR ENERGI</t>
        </is>
      </c>
      <c r="B70" t="inlineStr">
        <is>
          <t>Kab. Sidoarjo</t>
        </is>
      </c>
      <c r="C70" t="inlineStr">
        <is>
          <t>082260607447</t>
        </is>
      </c>
      <c r="D70" t="inlineStr">
        <is>
          <t>intantimurenergi@gmail.com</t>
        </is>
      </c>
      <c r="E70" t="inlineStr">
        <is>
          <t>https://lpjk.pu.go.id/search-badan-usaha-detail/aU80NmFWY2xob09lcWt0R21LZFZ2dz09</t>
        </is>
      </c>
      <c r="F70" t="n">
        <v>1</v>
      </c>
      <c r="G70" t="inlineStr">
        <is>
          <t>BG003</t>
        </is>
      </c>
      <c r="H70" t="inlineStr">
        <is>
          <t>16 April 2021</t>
        </is>
      </c>
      <c r="I70" s="2" t="n">
        <v>46347</v>
      </c>
      <c r="J70" t="inlineStr">
        <is>
          <t>Permohonan Perubahan Non Asesmen</t>
        </is>
      </c>
      <c r="K70" t="n">
        <v>87</v>
      </c>
      <c r="L70" t="inlineStr">
        <is>
          <t>21 November 2026</t>
        </is>
      </c>
      <c r="M70" t="inlineStr">
        <is>
          <t>Konstruksi Gedung Industri</t>
        </is>
      </c>
      <c r="N70" t="inlineStr">
        <is>
          <t>K</t>
        </is>
      </c>
      <c r="O70" t="inlineStr">
        <is>
          <t>20231024</t>
        </is>
      </c>
      <c r="P70" t="inlineStr">
        <is>
          <t>Jawa Timur</t>
        </is>
      </c>
      <c r="Q70" t="inlineStr"/>
    </row>
    <row r="71">
      <c r="A71" t="inlineStr">
        <is>
          <t>INTI SOLID TRITAMA</t>
        </is>
      </c>
      <c r="B71" t="inlineStr">
        <is>
          <t>Kota Bandung</t>
        </is>
      </c>
      <c r="C71" t="inlineStr">
        <is>
          <t>0226123985</t>
        </is>
      </c>
      <c r="D71" t="inlineStr">
        <is>
          <t>intisolidtritama29@gmail.com</t>
        </is>
      </c>
      <c r="E71" t="inlineStr">
        <is>
          <t>https://lpjk.pu.go.id/search-badan-usaha-detail/c2hlKzJGcWNLbHA1aDRFTUo2WGhIdz09</t>
        </is>
      </c>
      <c r="F71" t="n">
        <v>5</v>
      </c>
      <c r="G71" t="inlineStr">
        <is>
          <t>BG002, BG003, BG007, BG008, BG009</t>
        </is>
      </c>
      <c r="H71" t="inlineStr">
        <is>
          <t>29 Februari 2008</t>
        </is>
      </c>
      <c r="I71" s="2" t="n">
        <v>46347</v>
      </c>
      <c r="J71" t="inlineStr">
        <is>
          <t>Disetujui</t>
        </is>
      </c>
      <c r="K71" t="n">
        <v>87</v>
      </c>
      <c r="L71" t="inlineStr">
        <is>
          <t>21 November 2026</t>
        </is>
      </c>
      <c r="M71" t="inlineStr">
        <is>
          <t>Konstruksi Gedung Industri, Konstruksi Gedung Lainnya, Konstruksi Gedung Penginapan, Konstruksi Gedung Perkantoran, Konstruksi Gedung Tempat Hiburan dan Olahraga</t>
        </is>
      </c>
      <c r="N71" t="inlineStr">
        <is>
          <t>K</t>
        </is>
      </c>
      <c r="O71" t="inlineStr">
        <is>
          <t>20231120, 20231121, 20231123</t>
        </is>
      </c>
      <c r="P71" t="inlineStr">
        <is>
          <t>Jawa Barat</t>
        </is>
      </c>
      <c r="Q71" t="inlineStr"/>
    </row>
    <row r="72">
      <c r="A72" t="inlineStr">
        <is>
          <t>JAGARNATAMA PUTRA MANDIRI</t>
        </is>
      </c>
      <c r="B72" t="inlineStr">
        <is>
          <t>Kota Padang</t>
        </is>
      </c>
      <c r="C72" t="inlineStr">
        <is>
          <t>085358618825</t>
        </is>
      </c>
      <c r="D72" t="inlineStr">
        <is>
          <t>jagarnatamaputram@gmail.com</t>
        </is>
      </c>
      <c r="E72" t="inlineStr">
        <is>
          <t>https://lpjk.pu.go.id/search-badan-usaha-detail/VkVqZllCSHVIUThRRkY3NkpBYmxMdz09</t>
        </is>
      </c>
      <c r="F72" t="n">
        <v>1</v>
      </c>
      <c r="G72" t="inlineStr">
        <is>
          <t>BS001</t>
        </is>
      </c>
      <c r="H72" t="inlineStr">
        <is>
          <t>14 Februari 2023</t>
        </is>
      </c>
      <c r="I72" s="2" t="n">
        <v>46347</v>
      </c>
      <c r="J72" t="inlineStr">
        <is>
          <t>Disetujui</t>
        </is>
      </c>
      <c r="K72" t="n">
        <v>87</v>
      </c>
      <c r="L72" t="inlineStr">
        <is>
          <t>21 November 2026</t>
        </is>
      </c>
      <c r="M72" t="inlineStr">
        <is>
          <t>Konstruksi Bangunan Sipil Jalan</t>
        </is>
      </c>
      <c r="N72" t="inlineStr">
        <is>
          <t>K</t>
        </is>
      </c>
      <c r="O72" t="inlineStr">
        <is>
          <t>20231110</t>
        </is>
      </c>
      <c r="P72" t="inlineStr">
        <is>
          <t>Sumatera Barat</t>
        </is>
      </c>
      <c r="Q72" t="inlineStr"/>
    </row>
    <row r="73">
      <c r="A73" t="inlineStr">
        <is>
          <t>JALAK BALI</t>
        </is>
      </c>
      <c r="B73" t="inlineStr">
        <is>
          <t>Kab. Tabanan</t>
        </is>
      </c>
      <c r="C73" t="inlineStr">
        <is>
          <t>0361799451</t>
        </is>
      </c>
      <c r="D73" t="inlineStr">
        <is>
          <t>bali.jalaklogin@gmail.com</t>
        </is>
      </c>
      <c r="E73" t="inlineStr">
        <is>
          <t>https://lpjk.pu.go.id/search-badan-usaha-detail/RjFkdUNtRWN1c1VualB3cjVsbmhNZz09</t>
        </is>
      </c>
      <c r="F73" t="n">
        <v>3</v>
      </c>
      <c r="G73" t="inlineStr">
        <is>
          <t>AR001, AR003, RK001</t>
        </is>
      </c>
      <c r="H73" t="inlineStr">
        <is>
          <t>17 April 2012</t>
        </is>
      </c>
      <c r="I73" s="2" t="n">
        <v>46347</v>
      </c>
      <c r="J73" t="inlineStr">
        <is>
          <t>Disetujui</t>
        </is>
      </c>
      <c r="K73" t="n">
        <v>87</v>
      </c>
      <c r="L73" t="inlineStr">
        <is>
          <t>21 November 2026</t>
        </is>
      </c>
      <c r="M73" t="inlineStr">
        <is>
          <t>Jasa Arsitektural Bangunan Gedung Hunian dan Non Hunian, Jasa Desain Interior pada Bangunan Gedung dan Bangunan Sipil, Jasa Rekayasa Konstruksi Bangunan Gedung Hunian dan Non Hunian</t>
        </is>
      </c>
      <c r="N73" t="inlineStr">
        <is>
          <t>K</t>
        </is>
      </c>
      <c r="O73" t="inlineStr">
        <is>
          <t>20231109</t>
        </is>
      </c>
      <c r="P73" t="inlineStr">
        <is>
          <t>Bali</t>
        </is>
      </c>
      <c r="Q73" t="inlineStr"/>
    </row>
    <row r="74">
      <c r="A74" t="inlineStr">
        <is>
          <t>JATRA NUSA ENERGI</t>
        </is>
      </c>
      <c r="B74" t="inlineStr">
        <is>
          <t>Kab. Bandung Barat</t>
        </is>
      </c>
      <c r="C74" t="inlineStr">
        <is>
          <t>081288603112</t>
        </is>
      </c>
      <c r="D74" t="inlineStr">
        <is>
          <t>jatranusaenergipt@gmail.com</t>
        </is>
      </c>
      <c r="E74" t="inlineStr">
        <is>
          <t>https://lpjk.pu.go.id/search-badan-usaha-detail/eGRuZTE4eHdPMFYvWnliYlZTN2o5Zz09</t>
        </is>
      </c>
      <c r="F74" t="n">
        <v>4</v>
      </c>
      <c r="G74" t="inlineStr">
        <is>
          <t>BG005, BG006</t>
        </is>
      </c>
      <c r="H74" t="inlineStr">
        <is>
          <t>28 September 2022</t>
        </is>
      </c>
      <c r="I74" s="2" t="n">
        <v>46347</v>
      </c>
      <c r="J74" t="inlineStr">
        <is>
          <t>Pencabutan</t>
        </is>
      </c>
      <c r="K74" t="n">
        <v>87</v>
      </c>
      <c r="L74" t="inlineStr">
        <is>
          <t>21 November 2026</t>
        </is>
      </c>
      <c r="M74" t="inlineStr">
        <is>
          <t>Konstruksi Gedung Kesehatan, Konstruksi Gedung Pendidikan</t>
        </is>
      </c>
      <c r="N74" t="inlineStr">
        <is>
          <t>K</t>
        </is>
      </c>
      <c r="O74" t="inlineStr">
        <is>
          <t>20231121</t>
        </is>
      </c>
      <c r="P74" t="inlineStr">
        <is>
          <t>Jawa Barat</t>
        </is>
      </c>
      <c r="Q74" t="inlineStr"/>
    </row>
    <row r="75">
      <c r="A75" t="inlineStr">
        <is>
          <t>JAYA MANDIRI</t>
        </is>
      </c>
      <c r="B75" t="inlineStr">
        <is>
          <t>Kota Banjarmasin</t>
        </is>
      </c>
      <c r="C75" t="inlineStr">
        <is>
          <t>08125013434</t>
        </is>
      </c>
      <c r="D75" t="inlineStr">
        <is>
          <t>cvjayamandiri69@gmail.com</t>
        </is>
      </c>
      <c r="E75" t="inlineStr">
        <is>
          <t>https://lpjk.pu.go.id/search-badan-usaha-detail/NGlndnQzYVIvM3pLaWdWbzNXTm12dz09</t>
        </is>
      </c>
      <c r="F75" t="n">
        <v>3</v>
      </c>
      <c r="G75" t="inlineStr">
        <is>
          <t>BG005, BG006, BG009</t>
        </is>
      </c>
      <c r="H75" t="inlineStr">
        <is>
          <t>6 Januari 2020</t>
        </is>
      </c>
      <c r="I75" s="2" t="n">
        <v>46347</v>
      </c>
      <c r="J75" t="inlineStr">
        <is>
          <t>Pencabutan</t>
        </is>
      </c>
      <c r="K75" t="n">
        <v>87</v>
      </c>
      <c r="L75" t="inlineStr">
        <is>
          <t>21 November 2026</t>
        </is>
      </c>
      <c r="M75" t="inlineStr">
        <is>
          <t>Konstruksi Gedung Kesehatan, Konstruksi Gedung Lainnya, Konstruksi Gedung Pendidikan</t>
        </is>
      </c>
      <c r="N75" t="inlineStr">
        <is>
          <t>K</t>
        </is>
      </c>
      <c r="O75" t="inlineStr">
        <is>
          <t>20231120, 20231121</t>
        </is>
      </c>
      <c r="P75" t="inlineStr">
        <is>
          <t>Kalimantan Selatan</t>
        </is>
      </c>
      <c r="Q75" t="inlineStr"/>
    </row>
    <row r="76">
      <c r="A76" t="inlineStr">
        <is>
          <t>JAYA PRIMA PROTEKSI</t>
        </is>
      </c>
      <c r="B76" t="inlineStr">
        <is>
          <t>Kota Tangerang</t>
        </is>
      </c>
      <c r="C76" t="inlineStr">
        <is>
          <t>082111045773</t>
        </is>
      </c>
      <c r="D76" t="inlineStr">
        <is>
          <t>ptjayaprimaproteksi@gmail.com</t>
        </is>
      </c>
      <c r="E76" t="inlineStr">
        <is>
          <t>https://lpjk.pu.go.id/search-badan-usaha-detail/ZW4vc0tobVJpeWN4TVZMOE9CRGdBdz09</t>
        </is>
      </c>
      <c r="F76" t="n">
        <v>1</v>
      </c>
      <c r="G76" t="inlineStr">
        <is>
          <t>BS001</t>
        </is>
      </c>
      <c r="H76" t="inlineStr">
        <is>
          <t>24 Desember 2014</t>
        </is>
      </c>
      <c r="I76" s="2" t="n">
        <v>46347</v>
      </c>
      <c r="J76" t="inlineStr">
        <is>
          <t>Disetujui</t>
        </is>
      </c>
      <c r="K76" t="n">
        <v>87</v>
      </c>
      <c r="L76" t="inlineStr">
        <is>
          <t>21 November 2026</t>
        </is>
      </c>
      <c r="M76" t="inlineStr">
        <is>
          <t>Konstruksi Bangunan Sipil Jalan</t>
        </is>
      </c>
      <c r="N76" t="inlineStr">
        <is>
          <t>K</t>
        </is>
      </c>
      <c r="O76" t="inlineStr">
        <is>
          <t>20231122</t>
        </is>
      </c>
      <c r="P76" t="inlineStr">
        <is>
          <t>Banten</t>
        </is>
      </c>
      <c r="Q76" t="inlineStr"/>
    </row>
    <row r="77">
      <c r="A77" t="inlineStr">
        <is>
          <t>JAYA RAYA KONSTRUKSI</t>
        </is>
      </c>
      <c r="B77" t="inlineStr">
        <is>
          <t>Kab. Blitar</t>
        </is>
      </c>
      <c r="C77" t="inlineStr">
        <is>
          <t>0</t>
        </is>
      </c>
      <c r="D77" t="inlineStr">
        <is>
          <t>jayarayakonstruksi_cv@yahoo.com</t>
        </is>
      </c>
      <c r="E77" t="inlineStr">
        <is>
          <t>https://lpjk.pu.go.id/search-badan-usaha-detail/NFk4aGVNeU1nQUJ5dkdaL3pUVlZOdz09</t>
        </is>
      </c>
      <c r="F77" t="n">
        <v>2</v>
      </c>
      <c r="G77" t="inlineStr">
        <is>
          <t>BS001, BS010</t>
        </is>
      </c>
      <c r="H77" t="inlineStr">
        <is>
          <t>28 September 2006</t>
        </is>
      </c>
      <c r="I77" s="2" t="n">
        <v>46347</v>
      </c>
      <c r="J77" t="inlineStr">
        <is>
          <t>Pencabutan</t>
        </is>
      </c>
      <c r="K77" t="n">
        <v>87</v>
      </c>
      <c r="L77" t="inlineStr">
        <is>
          <t>21 November 2026</t>
        </is>
      </c>
      <c r="M77" t="inlineStr">
        <is>
          <t>Konstruksi Bangunan Prasarana Sumber Daya Air, Konstruksi Bangunan Sipil Jalan</t>
        </is>
      </c>
      <c r="N77" t="inlineStr">
        <is>
          <t>K</t>
        </is>
      </c>
      <c r="O77" t="inlineStr">
        <is>
          <t>20231115, 20231122</t>
        </is>
      </c>
      <c r="P77" t="inlineStr">
        <is>
          <t>Jawa Timur</t>
        </is>
      </c>
      <c r="Q77" t="inlineStr"/>
    </row>
    <row r="78">
      <c r="A78" t="inlineStr">
        <is>
          <t>KARYA DUTA BERSAMA</t>
        </is>
      </c>
      <c r="B78" t="inlineStr">
        <is>
          <t>Kota Medan</t>
        </is>
      </c>
      <c r="C78" t="inlineStr">
        <is>
          <t>081396136525</t>
        </is>
      </c>
      <c r="D78" t="inlineStr">
        <is>
          <t>karyadutabersama23@gmail.com</t>
        </is>
      </c>
      <c r="E78" t="inlineStr">
        <is>
          <t>https://lpjk.pu.go.id/search-badan-usaha-detail/MjZXMzd4Q3pjVmF4U3ViTUE5WWt4UT09</t>
        </is>
      </c>
      <c r="F78" t="n">
        <v>2</v>
      </c>
      <c r="G78" t="inlineStr">
        <is>
          <t>RK001, RK003</t>
        </is>
      </c>
      <c r="H78" t="inlineStr">
        <is>
          <t>24 Oktober 2012</t>
        </is>
      </c>
      <c r="I78" s="2" t="n">
        <v>46347</v>
      </c>
      <c r="J78" t="inlineStr">
        <is>
          <t>Disetujui</t>
        </is>
      </c>
      <c r="K78" t="n">
        <v>87</v>
      </c>
      <c r="L78" t="inlineStr">
        <is>
          <t>21 November 2026</t>
        </is>
      </c>
      <c r="M78" t="inlineStr">
        <is>
          <t>Jasa Rekayasa Konstruksi Bangunan Gedung Hunian dan Non Hunian, Jasa Rekayasa Pekerjaan Teknik Sipil Transportasi</t>
        </is>
      </c>
      <c r="N78" t="inlineStr">
        <is>
          <t>K</t>
        </is>
      </c>
      <c r="O78" t="inlineStr">
        <is>
          <t>20231113</t>
        </is>
      </c>
      <c r="P78" t="inlineStr">
        <is>
          <t>Sumatera Utara</t>
        </is>
      </c>
      <c r="Q78" t="inlineStr"/>
    </row>
    <row r="79">
      <c r="A79" t="inlineStr">
        <is>
          <t>KARYA MANDIRI</t>
        </is>
      </c>
      <c r="B79" t="inlineStr">
        <is>
          <t>Kab. Jembrana</t>
        </is>
      </c>
      <c r="C79" t="inlineStr">
        <is>
          <t>081338337245</t>
        </is>
      </c>
      <c r="D79" t="inlineStr">
        <is>
          <t>www.kr_mandiri@yahoo.com</t>
        </is>
      </c>
      <c r="E79" t="inlineStr">
        <is>
          <t>https://lpjk.pu.go.id/search-badan-usaha-detail/Q2FhTXNydjQwRFFWVHNqWjlLeUNmQT09</t>
        </is>
      </c>
      <c r="F79" t="n">
        <v>5</v>
      </c>
      <c r="G79" t="inlineStr">
        <is>
          <t>BG002, BG006, BG009, BS004, BS005</t>
        </is>
      </c>
      <c r="H79" t="inlineStr">
        <is>
          <t>18 Mei 2009</t>
        </is>
      </c>
      <c r="I79" s="2" t="n">
        <v>46347</v>
      </c>
      <c r="J79" t="inlineStr">
        <is>
          <t>Disetujui</t>
        </is>
      </c>
      <c r="K79" t="n">
        <v>87</v>
      </c>
      <c r="L79" t="inlineStr">
        <is>
          <t>21 November 2026</t>
        </is>
      </c>
      <c r="M79" t="inlineStr">
        <is>
          <t>Konstruksi Bangunan Sipil Pengolahan Air Bersih, Konstruksi Gedung Lainnya, Konstruksi Gedung Pendidikan, Konstruksi Gedung Perkantoran, Konstruksi Jaringan Irigasi dan Drainase</t>
        </is>
      </c>
      <c r="N79" t="inlineStr">
        <is>
          <t>K</t>
        </is>
      </c>
      <c r="O79" t="inlineStr">
        <is>
          <t>20231115</t>
        </is>
      </c>
      <c r="P79" t="inlineStr">
        <is>
          <t>Bali</t>
        </is>
      </c>
      <c r="Q79" t="inlineStr"/>
    </row>
    <row r="80">
      <c r="A80" t="inlineStr">
        <is>
          <t>KARYA SAHABAT GLOBAL</t>
        </is>
      </c>
      <c r="B80" t="inlineStr">
        <is>
          <t>Kota Adm. Jakarta Barat</t>
        </is>
      </c>
      <c r="C80" t="inlineStr">
        <is>
          <t>0811193301</t>
        </is>
      </c>
      <c r="D80" t="inlineStr">
        <is>
          <t>info@karyasahabatglobal.com</t>
        </is>
      </c>
      <c r="E80" t="inlineStr">
        <is>
          <t>https://lpjk.pu.go.id/search-badan-usaha-detail/ZTQvSUNSTWN3ajB5VFV3WVgxSFlBQT09</t>
        </is>
      </c>
      <c r="F80" t="n">
        <v>1</v>
      </c>
      <c r="G80" t="inlineStr">
        <is>
          <t>BG008</t>
        </is>
      </c>
      <c r="H80" t="inlineStr">
        <is>
          <t>13 April 2021</t>
        </is>
      </c>
      <c r="I80" s="2" t="n">
        <v>46347</v>
      </c>
      <c r="J80" t="inlineStr">
        <is>
          <t>Disetujui</t>
        </is>
      </c>
      <c r="K80" t="n">
        <v>87</v>
      </c>
      <c r="L80" t="inlineStr">
        <is>
          <t>21 November 2026</t>
        </is>
      </c>
      <c r="M80" t="inlineStr">
        <is>
          <t>Konstruksi Gedung Tempat Hiburan dan Olahraga</t>
        </is>
      </c>
      <c r="N80" t="inlineStr">
        <is>
          <t>K</t>
        </is>
      </c>
      <c r="O80" t="inlineStr">
        <is>
          <t>20231121</t>
        </is>
      </c>
      <c r="P80" t="inlineStr">
        <is>
          <t>DKI Jakarta</t>
        </is>
      </c>
      <c r="Q80" t="inlineStr"/>
    </row>
    <row r="81">
      <c r="A81" t="inlineStr">
        <is>
          <t>KEMBAR EMAS BERSAUDARA</t>
        </is>
      </c>
      <c r="B81" t="inlineStr">
        <is>
          <t>Kab. Nunukan</t>
        </is>
      </c>
      <c r="C81" t="inlineStr">
        <is>
          <t>081238515982</t>
        </is>
      </c>
      <c r="D81" t="inlineStr">
        <is>
          <t>kembaremascv@gmail.com</t>
        </is>
      </c>
      <c r="E81" t="inlineStr">
        <is>
          <t>https://lpjk.pu.go.id/search-badan-usaha-detail/bFZSZHJmWDRaOHlGa1FRc1A5TU4zUT09</t>
        </is>
      </c>
      <c r="F81" t="n">
        <v>1</v>
      </c>
      <c r="G81" t="inlineStr">
        <is>
          <t>BS001</t>
        </is>
      </c>
      <c r="H81" t="inlineStr">
        <is>
          <t>9 Mei 2022</t>
        </is>
      </c>
      <c r="I81" s="2" t="n">
        <v>46347</v>
      </c>
      <c r="J81" t="inlineStr">
        <is>
          <t>Disetujui</t>
        </is>
      </c>
      <c r="K81" t="n">
        <v>87</v>
      </c>
      <c r="L81" t="inlineStr">
        <is>
          <t>21 November 2026</t>
        </is>
      </c>
      <c r="M81" t="inlineStr">
        <is>
          <t>Konstruksi Bangunan Sipil Jalan</t>
        </is>
      </c>
      <c r="N81" t="inlineStr">
        <is>
          <t>K</t>
        </is>
      </c>
      <c r="O81" t="inlineStr">
        <is>
          <t>20231005</t>
        </is>
      </c>
      <c r="P81" t="inlineStr">
        <is>
          <t>Kalimantan Utara</t>
        </is>
      </c>
      <c r="Q81" t="inlineStr"/>
    </row>
    <row r="82">
      <c r="A82" t="inlineStr">
        <is>
          <t>KEVIN JAYA KONTRAKTOR</t>
        </is>
      </c>
      <c r="B82" t="inlineStr">
        <is>
          <t>Kab. Kampar</t>
        </is>
      </c>
      <c r="C82" t="inlineStr">
        <is>
          <t>081268768597</t>
        </is>
      </c>
      <c r="D82" t="inlineStr">
        <is>
          <t>kontraktorkevin2022@gmail.com</t>
        </is>
      </c>
      <c r="E82" t="inlineStr">
        <is>
          <t>https://lpjk.pu.go.id/search-badan-usaha-detail/MDhkZ0JVZlVOVzNTL3RuWTNrQTFvQT09</t>
        </is>
      </c>
      <c r="F82" t="n">
        <v>3</v>
      </c>
      <c r="G82" t="inlineStr">
        <is>
          <t>BG005, BG006, BG009</t>
        </is>
      </c>
      <c r="H82" t="inlineStr">
        <is>
          <t>5 Agustus 2022</t>
        </is>
      </c>
      <c r="I82" s="2" t="n">
        <v>46347</v>
      </c>
      <c r="J82" t="inlineStr">
        <is>
          <t>Disetujui</t>
        </is>
      </c>
      <c r="K82" t="n">
        <v>87</v>
      </c>
      <c r="L82" t="inlineStr">
        <is>
          <t>21 November 2026</t>
        </is>
      </c>
      <c r="M82" t="inlineStr">
        <is>
          <t>Konstruksi Gedung Kesehatan, Konstruksi Gedung Lainnya, Konstruksi Gedung Pendidikan</t>
        </is>
      </c>
      <c r="N82" t="inlineStr">
        <is>
          <t>K</t>
        </is>
      </c>
      <c r="O82" t="inlineStr">
        <is>
          <t>20231120</t>
        </is>
      </c>
      <c r="P82" t="inlineStr">
        <is>
          <t>Riau</t>
        </is>
      </c>
      <c r="Q82" t="inlineStr"/>
    </row>
    <row r="83">
      <c r="A83" t="inlineStr">
        <is>
          <t>LENTERA HIDUP</t>
        </is>
      </c>
      <c r="B83" t="inlineStr">
        <is>
          <t>Kota Manado</t>
        </is>
      </c>
      <c r="C83" t="inlineStr">
        <is>
          <t>085256622884</t>
        </is>
      </c>
      <c r="D83" t="inlineStr">
        <is>
          <t>cvlenterahidup@gmail.com</t>
        </is>
      </c>
      <c r="E83" t="inlineStr">
        <is>
          <t>https://lpjk.pu.go.id/search-badan-usaha-detail/RXo3RmFtSitxY3FTbnpld3lVcTI0UT09</t>
        </is>
      </c>
      <c r="F83" t="n">
        <v>4</v>
      </c>
      <c r="G83" t="inlineStr">
        <is>
          <t>BG002, BG005, BG006, BG009</t>
        </is>
      </c>
      <c r="H83" t="inlineStr">
        <is>
          <t>2 November 2020</t>
        </is>
      </c>
      <c r="I83" s="2" t="n">
        <v>46347</v>
      </c>
      <c r="J83" t="inlineStr">
        <is>
          <t>Disetujui</t>
        </is>
      </c>
      <c r="K83" t="n">
        <v>87</v>
      </c>
      <c r="L83" t="inlineStr">
        <is>
          <t>21 November 2026</t>
        </is>
      </c>
      <c r="M83" t="inlineStr">
        <is>
          <t>Konstruksi Gedung Kesehatan, Konstruksi Gedung Lainnya, Konstruksi Gedung Pendidikan, Konstruksi Gedung Perkantoran</t>
        </is>
      </c>
      <c r="N83" t="inlineStr">
        <is>
          <t>K</t>
        </is>
      </c>
      <c r="O83" t="inlineStr">
        <is>
          <t>20231122</t>
        </is>
      </c>
      <c r="P83" t="inlineStr">
        <is>
          <t>Sulawesi Utara</t>
        </is>
      </c>
      <c r="Q83" t="inlineStr"/>
    </row>
    <row r="84">
      <c r="A84" t="inlineStr">
        <is>
          <t>MAHAKA CONSULTANT INDONESIA</t>
        </is>
      </c>
      <c r="B84" t="inlineStr">
        <is>
          <t>Kab. Lombok Tengah</t>
        </is>
      </c>
      <c r="C84" t="inlineStr">
        <is>
          <t>081917122857</t>
        </is>
      </c>
      <c r="D84" t="inlineStr">
        <is>
          <t>mci.lombok@gmail.com</t>
        </is>
      </c>
      <c r="E84" t="inlineStr">
        <is>
          <t>https://lpjk.pu.go.id/search-badan-usaha-detail/d2JQaVdGZm9kcVZRUkdyZHFDOVBidz09</t>
        </is>
      </c>
      <c r="F84" t="n">
        <v>2</v>
      </c>
      <c r="G84" t="inlineStr">
        <is>
          <t>RK001</t>
        </is>
      </c>
      <c r="H84" t="inlineStr">
        <is>
          <t>5 Desember 2019</t>
        </is>
      </c>
      <c r="I84" s="2" t="n">
        <v>46347</v>
      </c>
      <c r="J84" t="inlineStr">
        <is>
          <t>Disetujui</t>
        </is>
      </c>
      <c r="K84" t="n">
        <v>87</v>
      </c>
      <c r="L84" t="inlineStr">
        <is>
          <t>21 November 2026</t>
        </is>
      </c>
      <c r="M84" t="inlineStr">
        <is>
          <t>Jasa Rekayasa Konstruksi Bangunan Gedung Hunian dan Non Hunian</t>
        </is>
      </c>
      <c r="N84" t="inlineStr">
        <is>
          <t>K</t>
        </is>
      </c>
      <c r="O84" t="inlineStr">
        <is>
          <t>20230414</t>
        </is>
      </c>
      <c r="P84" t="inlineStr">
        <is>
          <t>Nusa Tenggara Barat</t>
        </is>
      </c>
      <c r="Q84" t="inlineStr"/>
    </row>
    <row r="85">
      <c r="A85" t="inlineStr">
        <is>
          <t>MAHAMERU KONSTRUKSI INDONESIA</t>
        </is>
      </c>
      <c r="B85" t="inlineStr">
        <is>
          <t>Kab. Subang</t>
        </is>
      </c>
      <c r="C85" t="inlineStr">
        <is>
          <t>08112446397</t>
        </is>
      </c>
      <c r="D85" t="inlineStr">
        <is>
          <t>mahamerukonstruksindo@gmail.com</t>
        </is>
      </c>
      <c r="E85" t="inlineStr">
        <is>
          <t>https://lpjk.pu.go.id/search-badan-usaha-detail/MDRuZnBJMzlOVTFtaTQ3Nk1XQUlyQT09</t>
        </is>
      </c>
      <c r="F85" t="n">
        <v>8</v>
      </c>
      <c r="G85" t="inlineStr">
        <is>
          <t>BG006, BG009, BS001, BS004</t>
        </is>
      </c>
      <c r="H85" t="inlineStr">
        <is>
          <t>17 Juli 2021</t>
        </is>
      </c>
      <c r="I85" s="2" t="n">
        <v>46347</v>
      </c>
      <c r="J85" t="inlineStr">
        <is>
          <t>Disetujui</t>
        </is>
      </c>
      <c r="K85" t="n">
        <v>87</v>
      </c>
      <c r="L85" t="inlineStr">
        <is>
          <t>21 November 2026</t>
        </is>
      </c>
      <c r="M85" t="inlineStr">
        <is>
          <t>Konstruksi Bangunan Sipil Jalan, Konstruksi Gedung Lainnya, Konstruksi Gedung Pendidikan, Konstruksi Jaringan Irigasi dan Drainase</t>
        </is>
      </c>
      <c r="N85" t="inlineStr">
        <is>
          <t>K</t>
        </is>
      </c>
      <c r="O85" t="inlineStr">
        <is>
          <t>20231122, 20231124</t>
        </is>
      </c>
      <c r="P85" t="inlineStr">
        <is>
          <t>Jawa Barat</t>
        </is>
      </c>
      <c r="Q85" t="inlineStr"/>
    </row>
    <row r="86">
      <c r="A86" t="inlineStr">
        <is>
          <t>MAHATAMA KARYA</t>
        </is>
      </c>
      <c r="B86" t="inlineStr">
        <is>
          <t>Kab. Pandeglang</t>
        </is>
      </c>
      <c r="C86" t="inlineStr">
        <is>
          <t>0877 3523 223_</t>
        </is>
      </c>
      <c r="D86" t="inlineStr">
        <is>
          <t>mahatamakarya@gmail.com</t>
        </is>
      </c>
      <c r="E86" t="inlineStr">
        <is>
          <t>https://lpjk.pu.go.id/search-badan-usaha-detail/cmFsOTlHbUZUeFJ3dC9DTXpwZFc4OEI5dFdWK25WQ1NXalJtL2NxQWppYz0</t>
        </is>
      </c>
      <c r="F86" t="n">
        <v>1</v>
      </c>
      <c r="G86" t="inlineStr">
        <is>
          <t>BG006</t>
        </is>
      </c>
      <c r="H86" t="inlineStr">
        <is>
          <t>9 Januari 2020</t>
        </is>
      </c>
      <c r="I86" s="2" t="n">
        <v>46347</v>
      </c>
      <c r="J86" t="inlineStr">
        <is>
          <t>Dokumen Lengkap</t>
        </is>
      </c>
      <c r="K86" t="n">
        <v>87</v>
      </c>
      <c r="L86" t="inlineStr">
        <is>
          <t>21 November 2026</t>
        </is>
      </c>
      <c r="M86" t="inlineStr">
        <is>
          <t>Konstruksi Gedung Pendidikan</t>
        </is>
      </c>
      <c r="N86" t="inlineStr">
        <is>
          <t>K</t>
        </is>
      </c>
      <c r="O86" t="inlineStr">
        <is>
          <t>20230408</t>
        </is>
      </c>
      <c r="P86" t="inlineStr">
        <is>
          <t>Banten</t>
        </is>
      </c>
      <c r="Q86" t="inlineStr"/>
    </row>
    <row r="87">
      <c r="A87" t="inlineStr">
        <is>
          <t>MANDALA</t>
        </is>
      </c>
      <c r="B87" t="inlineStr">
        <is>
          <t>Kab. Lampung Selatan</t>
        </is>
      </c>
      <c r="C87" t="inlineStr">
        <is>
          <t>082285866727</t>
        </is>
      </c>
      <c r="D87" t="inlineStr">
        <is>
          <t>wyulyasari@gmail.com</t>
        </is>
      </c>
      <c r="E87" t="inlineStr">
        <is>
          <t>https://lpjk.pu.go.id/search-badan-usaha-detail/bThiUXRtWVZGN3hWT1ZjWEdOaTNTZz09</t>
        </is>
      </c>
      <c r="F87" t="n">
        <v>2</v>
      </c>
      <c r="G87" t="inlineStr">
        <is>
          <t>BS004</t>
        </is>
      </c>
      <c r="H87" t="inlineStr">
        <is>
          <t>18 November 2010</t>
        </is>
      </c>
      <c r="I87" s="2" t="n">
        <v>46347</v>
      </c>
      <c r="J87" t="inlineStr">
        <is>
          <t>Disetujui</t>
        </is>
      </c>
      <c r="K87" t="n">
        <v>87</v>
      </c>
      <c r="L87" t="inlineStr">
        <is>
          <t>21 November 2026</t>
        </is>
      </c>
      <c r="M87" t="inlineStr">
        <is>
          <t>Konstruksi Jaringan Irigasi dan Drainase</t>
        </is>
      </c>
      <c r="N87" t="inlineStr">
        <is>
          <t>K</t>
        </is>
      </c>
      <c r="O87" t="inlineStr">
        <is>
          <t>20231120</t>
        </is>
      </c>
      <c r="P87" t="inlineStr">
        <is>
          <t>Lampung</t>
        </is>
      </c>
      <c r="Q87" t="inlineStr"/>
    </row>
    <row r="88">
      <c r="A88" t="inlineStr">
        <is>
          <t>MAS GLOBAL</t>
        </is>
      </c>
      <c r="B88" t="inlineStr">
        <is>
          <t>Kab. Tanjung Jabung Barat</t>
        </is>
      </c>
      <c r="C88" t="inlineStr">
        <is>
          <t>085266788228</t>
        </is>
      </c>
      <c r="D88" t="inlineStr">
        <is>
          <t>masglobalcv@gmail.com</t>
        </is>
      </c>
      <c r="E88" t="inlineStr">
        <is>
          <t>https://lpjk.pu.go.id/search-badan-usaha-detail/ZG1FUzFWSEFKU013M3BKRm0yZDZtUT09</t>
        </is>
      </c>
      <c r="F88" t="n">
        <v>1</v>
      </c>
      <c r="G88" t="inlineStr">
        <is>
          <t>BS007</t>
        </is>
      </c>
      <c r="H88" t="inlineStr">
        <is>
          <t>14 Mei 2019</t>
        </is>
      </c>
      <c r="I88" s="2" t="n">
        <v>46347</v>
      </c>
      <c r="J88" t="inlineStr">
        <is>
          <t>Disetujui</t>
        </is>
      </c>
      <c r="K88" t="n">
        <v>87</v>
      </c>
      <c r="L88" t="inlineStr">
        <is>
          <t>21 November 2026</t>
        </is>
      </c>
      <c r="M88" t="inlineStr">
        <is>
          <t>Konstruksi Bangunan Sipil Elektrikal</t>
        </is>
      </c>
      <c r="N88" t="inlineStr">
        <is>
          <t>K</t>
        </is>
      </c>
      <c r="O88" t="inlineStr">
        <is>
          <t>20230608</t>
        </is>
      </c>
      <c r="P88" t="inlineStr">
        <is>
          <t>Jambi</t>
        </is>
      </c>
      <c r="Q88" t="inlineStr"/>
    </row>
    <row r="89">
      <c r="A89" t="inlineStr">
        <is>
          <t>MITRA KARYA SEJATI</t>
        </is>
      </c>
      <c r="B89" t="inlineStr">
        <is>
          <t>Kab. Blitar</t>
        </is>
      </c>
      <c r="C89" t="inlineStr">
        <is>
          <t>082230516646</t>
        </is>
      </c>
      <c r="D89" t="inlineStr">
        <is>
          <t>cv.mitrakaryasejati1@gmail.com</t>
        </is>
      </c>
      <c r="E89" t="inlineStr">
        <is>
          <t>https://lpjk.pu.go.id/search-badan-usaha-detail/WndNVWNKL2UvZXRNOG0zRDVwRmFHUT09</t>
        </is>
      </c>
      <c r="F89" t="n">
        <v>4</v>
      </c>
      <c r="G89" t="inlineStr">
        <is>
          <t>BG001, BG009, BS004, BS005</t>
        </is>
      </c>
      <c r="H89" t="inlineStr">
        <is>
          <t>11 November 2014</t>
        </is>
      </c>
      <c r="I89" s="2" t="n">
        <v>46347</v>
      </c>
      <c r="J89" t="inlineStr">
        <is>
          <t>Disetujui</t>
        </is>
      </c>
      <c r="K89" t="n">
        <v>87</v>
      </c>
      <c r="L89" t="inlineStr">
        <is>
          <t>21 November 2026</t>
        </is>
      </c>
      <c r="M89" t="inlineStr">
        <is>
          <t>Konstruksi Bangunan Sipil Pengolahan Air Bersih, Konstruksi Gedung Hunian, Konstruksi Gedung Lainnya, Konstruksi Jaringan Irigasi dan Drainase</t>
        </is>
      </c>
      <c r="N89" t="inlineStr">
        <is>
          <t>K</t>
        </is>
      </c>
      <c r="O89" t="inlineStr">
        <is>
          <t>20231117</t>
        </is>
      </c>
      <c r="P89" t="inlineStr">
        <is>
          <t>Jawa Timur</t>
        </is>
      </c>
      <c r="Q89" t="inlineStr"/>
    </row>
    <row r="90">
      <c r="A90" t="inlineStr">
        <is>
          <t>MULTI NIAGA PUTRA</t>
        </is>
      </c>
      <c r="B90" t="inlineStr">
        <is>
          <t>Kota Adm. Jakarta Utara</t>
        </is>
      </c>
      <c r="C90" t="inlineStr">
        <is>
          <t>082113404863</t>
        </is>
      </c>
      <c r="D90" t="inlineStr">
        <is>
          <t>pt.multiniagaputra1@gmail.com</t>
        </is>
      </c>
      <c r="E90" t="inlineStr">
        <is>
          <t>https://lpjk.pu.go.id/search-badan-usaha-detail/dnE3eW5PQnlmZkFRYU91OVFJaEpHdz09</t>
        </is>
      </c>
      <c r="F90" t="n">
        <v>2</v>
      </c>
      <c r="G90" t="inlineStr">
        <is>
          <t>BS001, BS002</t>
        </is>
      </c>
      <c r="H90" t="inlineStr">
        <is>
          <t>15 Mei 2023</t>
        </is>
      </c>
      <c r="I90" s="2" t="n">
        <v>46347</v>
      </c>
      <c r="J90" t="inlineStr">
        <is>
          <t>Disetujui</t>
        </is>
      </c>
      <c r="K90" t="n">
        <v>87</v>
      </c>
      <c r="L90" t="inlineStr">
        <is>
          <t>21 November 2026</t>
        </is>
      </c>
      <c r="M90" t="inlineStr">
        <is>
          <t>Bangunan Sipil Jembatan, Jalan Layang, Fly Over, dan Underpass, Konstruksi Bangunan Sipil Jalan</t>
        </is>
      </c>
      <c r="N90" t="inlineStr">
        <is>
          <t>K</t>
        </is>
      </c>
      <c r="O90" t="inlineStr">
        <is>
          <t>20231117, 20231119</t>
        </is>
      </c>
      <c r="P90" t="inlineStr">
        <is>
          <t>DKI Jakarta</t>
        </is>
      </c>
      <c r="Q90" t="inlineStr"/>
    </row>
    <row r="91">
      <c r="A91" t="inlineStr">
        <is>
          <t>MULYA LESTARI</t>
        </is>
      </c>
      <c r="B91" t="inlineStr">
        <is>
          <t>Kab. Cilacap</t>
        </is>
      </c>
      <c r="C91" t="inlineStr">
        <is>
          <t>081327064487</t>
        </is>
      </c>
      <c r="D91" t="inlineStr">
        <is>
          <t>cvmulyalestari@yahoo.co.id</t>
        </is>
      </c>
      <c r="E91" t="inlineStr">
        <is>
          <t>https://lpjk.pu.go.id/search-badan-usaha-detail/OVltVTIrTUxvTjRPV2d5K29pRGJqQT09</t>
        </is>
      </c>
      <c r="F91" t="n">
        <v>2</v>
      </c>
      <c r="G91" t="inlineStr">
        <is>
          <t>BS001, BS004</t>
        </is>
      </c>
      <c r="H91" t="inlineStr">
        <is>
          <t>10 November 2000</t>
        </is>
      </c>
      <c r="I91" s="2" t="n">
        <v>46347</v>
      </c>
      <c r="J91" t="inlineStr">
        <is>
          <t>Disetujui</t>
        </is>
      </c>
      <c r="K91" t="n">
        <v>87</v>
      </c>
      <c r="L91" t="inlineStr">
        <is>
          <t>21 November 2026</t>
        </is>
      </c>
      <c r="M91" t="inlineStr">
        <is>
          <t>Konstruksi Bangunan Sipil Jalan, Konstruksi Jaringan Irigasi dan Drainase</t>
        </is>
      </c>
      <c r="N91" t="inlineStr">
        <is>
          <t>K</t>
        </is>
      </c>
      <c r="O91" t="inlineStr">
        <is>
          <t>20231116</t>
        </is>
      </c>
      <c r="P91" t="inlineStr">
        <is>
          <t>Jawa Tengah</t>
        </is>
      </c>
      <c r="Q91" t="inlineStr"/>
    </row>
    <row r="92">
      <c r="A92" t="inlineStr">
        <is>
          <t>MUTIARA RUMBERPON</t>
        </is>
      </c>
      <c r="B92" t="inlineStr">
        <is>
          <t>Kota Jayapura</t>
        </is>
      </c>
      <c r="C92" t="inlineStr">
        <is>
          <t>085244784996</t>
        </is>
      </c>
      <c r="D92" t="inlineStr">
        <is>
          <t>mutiararumberpon@gmail.com</t>
        </is>
      </c>
      <c r="E92" t="inlineStr">
        <is>
          <t>https://lpjk.pu.go.id/search-badan-usaha-detail/dXNHZ0l3ZjR6OTU0RjRKVFBuZGlPQT09</t>
        </is>
      </c>
      <c r="F92" t="n">
        <v>6</v>
      </c>
      <c r="G92" t="inlineStr">
        <is>
          <t>RK001, RK002, RK003</t>
        </is>
      </c>
      <c r="H92" t="inlineStr">
        <is>
          <t>3 Februari 2020</t>
        </is>
      </c>
      <c r="I92" s="2" t="n">
        <v>46347</v>
      </c>
      <c r="J92" t="inlineStr">
        <is>
          <t>Disetujui</t>
        </is>
      </c>
      <c r="K92" t="n">
        <v>87</v>
      </c>
      <c r="L92" t="inlineStr">
        <is>
          <t>21 November 2026</t>
        </is>
      </c>
      <c r="M92" t="inlineStr">
        <is>
          <t>Jasa Rekayasa Konstruksi Bangunan Gedung Hunian dan Non Hunian, Jasa Rekayasa Pekerjaan Teknik Sipil Sumber Daya Air, Jasa Rekayasa Pekerjaan Teknik Sipil Transportasi</t>
        </is>
      </c>
      <c r="N92" t="inlineStr">
        <is>
          <t>K</t>
        </is>
      </c>
      <c r="O92" t="inlineStr">
        <is>
          <t>20231114</t>
        </is>
      </c>
      <c r="P92" t="inlineStr">
        <is>
          <t>Papua</t>
        </is>
      </c>
      <c r="Q92" t="inlineStr"/>
    </row>
    <row r="93">
      <c r="A93" t="inlineStr">
        <is>
          <t>NUR SHAMS</t>
        </is>
      </c>
      <c r="B93" t="inlineStr">
        <is>
          <t>Kota Kendari</t>
        </is>
      </c>
      <c r="C93" t="inlineStr">
        <is>
          <t>0816248280</t>
        </is>
      </c>
      <c r="D93" t="inlineStr">
        <is>
          <t>cvnurshams@gmail.com</t>
        </is>
      </c>
      <c r="E93" t="inlineStr">
        <is>
          <t>https://lpjk.pu.go.id/search-badan-usaha-detail/SXBJUjRzMlllT0o0MzJ3MmR2cng4Zz09</t>
        </is>
      </c>
      <c r="F93" t="n">
        <v>4</v>
      </c>
      <c r="G93" t="inlineStr">
        <is>
          <t>BG006, BG009, BS001, BS004</t>
        </is>
      </c>
      <c r="H93" t="inlineStr">
        <is>
          <t>24 Maret 2015</t>
        </is>
      </c>
      <c r="I93" s="2" t="n">
        <v>46347</v>
      </c>
      <c r="J93" t="inlineStr">
        <is>
          <t>Disetujui</t>
        </is>
      </c>
      <c r="K93" t="n">
        <v>87</v>
      </c>
      <c r="L93" t="inlineStr">
        <is>
          <t>21 November 2026</t>
        </is>
      </c>
      <c r="M93" t="inlineStr">
        <is>
          <t>Konstruksi Bangunan Sipil Jalan, Konstruksi Gedung Lainnya, Konstruksi Gedung Pendidikan, Konstruksi Jaringan Irigasi dan Drainase</t>
        </is>
      </c>
      <c r="N93" t="inlineStr">
        <is>
          <t>K</t>
        </is>
      </c>
      <c r="O93" t="inlineStr">
        <is>
          <t>20231115, 20231122</t>
        </is>
      </c>
      <c r="P93" t="inlineStr">
        <is>
          <t>Sulawesi Tenggara</t>
        </is>
      </c>
      <c r="Q93" t="inlineStr"/>
    </row>
    <row r="94">
      <c r="A94" t="inlineStr">
        <is>
          <t>PAGAR BATU LESTARI</t>
        </is>
      </c>
      <c r="B94" t="inlineStr">
        <is>
          <t>Kota Adm. Jakarta Utara</t>
        </is>
      </c>
      <c r="C94" t="inlineStr">
        <is>
          <t>0214406753</t>
        </is>
      </c>
      <c r="D94" t="inlineStr">
        <is>
          <t>pagarbatulestari@yahoo.com</t>
        </is>
      </c>
      <c r="E94" t="inlineStr">
        <is>
          <t>https://lpjk.pu.go.id/search-badan-usaha-detail/NHZuWlYzUElVeXA3OU4xTTcxOThDQT09</t>
        </is>
      </c>
      <c r="F94" t="n">
        <v>5</v>
      </c>
      <c r="G94" t="inlineStr">
        <is>
          <t>BG001, BG002, BS001, BS010, PL003</t>
        </is>
      </c>
      <c r="H94" t="inlineStr">
        <is>
          <t>5 Februari 1988</t>
        </is>
      </c>
      <c r="I94" s="2" t="n">
        <v>46347</v>
      </c>
      <c r="J94" t="inlineStr">
        <is>
          <t>Pembekuan</t>
        </is>
      </c>
      <c r="K94" t="n">
        <v>87</v>
      </c>
      <c r="L94" t="inlineStr">
        <is>
          <t>21 November 2026</t>
        </is>
      </c>
      <c r="M94" t="inlineStr">
        <is>
          <t>Konstruksi Bangunan Prasarana Sumber Daya Air, Konstruksi Bangunan Sipil Jalan, Konstruksi Gedung Hunian, Konstruksi Gedung Perkantoran, Penyiapan Lahan Konstruksi</t>
        </is>
      </c>
      <c r="N94" t="inlineStr">
        <is>
          <t>M, Spesialis</t>
        </is>
      </c>
      <c r="O94" t="inlineStr">
        <is>
          <t>20231106, 20231117, 20231128</t>
        </is>
      </c>
      <c r="P94" t="inlineStr">
        <is>
          <t>DKI Jakarta</t>
        </is>
      </c>
      <c r="Q94" t="inlineStr"/>
    </row>
    <row r="95">
      <c r="A95" t="inlineStr">
        <is>
          <t>PARAHYANGAN IRGI YASA</t>
        </is>
      </c>
      <c r="B95" t="inlineStr">
        <is>
          <t>Kab. Berau</t>
        </is>
      </c>
      <c r="C95" t="inlineStr">
        <is>
          <t>082158665078</t>
        </is>
      </c>
      <c r="D95" t="inlineStr">
        <is>
          <t>cvparahyanganirgiyasa@gmail.com</t>
        </is>
      </c>
      <c r="E95" t="inlineStr">
        <is>
          <t>https://lpjk.pu.go.id/search-badan-usaha-detail/VTl2TldRcDl3ZTI0TzcvOU5DMjh2UT09</t>
        </is>
      </c>
      <c r="F95" t="n">
        <v>4</v>
      </c>
      <c r="G95" t="inlineStr">
        <is>
          <t>BS001, BS004</t>
        </is>
      </c>
      <c r="H95" t="inlineStr">
        <is>
          <t>24 Oktober 2023</t>
        </is>
      </c>
      <c r="I95" s="2" t="n">
        <v>46347</v>
      </c>
      <c r="J95" t="inlineStr">
        <is>
          <t>Disetujui</t>
        </is>
      </c>
      <c r="K95" t="n">
        <v>87</v>
      </c>
      <c r="L95" t="inlineStr">
        <is>
          <t>21 November 2026</t>
        </is>
      </c>
      <c r="M95" t="inlineStr">
        <is>
          <t>Konstruksi Bangunan Sipil Jalan, Konstruksi Jaringan Irigasi dan Drainase</t>
        </is>
      </c>
      <c r="N95" t="inlineStr">
        <is>
          <t>K</t>
        </is>
      </c>
      <c r="O95" t="inlineStr">
        <is>
          <t>20231120</t>
        </is>
      </c>
      <c r="P95" t="inlineStr">
        <is>
          <t>Kalimantan Timur</t>
        </is>
      </c>
      <c r="Q95" t="inlineStr"/>
    </row>
    <row r="96">
      <c r="A96" t="inlineStr">
        <is>
          <t>PESONA CAHAYA KEBERUNTUNGAN</t>
        </is>
      </c>
      <c r="B96" t="inlineStr">
        <is>
          <t>Kota Semarang</t>
        </is>
      </c>
      <c r="C96" t="inlineStr">
        <is>
          <t>082137186450</t>
        </is>
      </c>
      <c r="D96" t="inlineStr">
        <is>
          <t>pesonacahaya2023@gmail.com</t>
        </is>
      </c>
      <c r="E96" t="inlineStr">
        <is>
          <t>https://lpjk.pu.go.id/search-badan-usaha-detail/Vmk3SVZhaUxkcy9ramlWQ292Si9UUT09</t>
        </is>
      </c>
      <c r="F96" t="n">
        <v>1</v>
      </c>
      <c r="G96" t="inlineStr">
        <is>
          <t>BS004</t>
        </is>
      </c>
      <c r="H96" t="inlineStr">
        <is>
          <t>18 September 2023</t>
        </is>
      </c>
      <c r="I96" s="2" t="n">
        <v>46347</v>
      </c>
      <c r="J96" t="inlineStr">
        <is>
          <t>Disetujui</t>
        </is>
      </c>
      <c r="K96" t="n">
        <v>87</v>
      </c>
      <c r="L96" t="inlineStr">
        <is>
          <t>21 November 2026</t>
        </is>
      </c>
      <c r="M96" t="inlineStr">
        <is>
          <t>Konstruksi Jaringan Irigasi dan Drainase</t>
        </is>
      </c>
      <c r="N96" t="inlineStr">
        <is>
          <t>K</t>
        </is>
      </c>
      <c r="O96" t="inlineStr">
        <is>
          <t>20231110</t>
        </is>
      </c>
      <c r="P96" t="inlineStr">
        <is>
          <t>Jawa Tengah</t>
        </is>
      </c>
      <c r="Q96" t="inlineStr"/>
    </row>
    <row r="97">
      <c r="A97" t="inlineStr">
        <is>
          <t>PILAR MAS</t>
        </is>
      </c>
      <c r="B97" t="inlineStr">
        <is>
          <t>Kota Surabaya</t>
        </is>
      </c>
      <c r="C97" t="inlineStr">
        <is>
          <t>0315939641</t>
        </is>
      </c>
      <c r="D97" t="inlineStr">
        <is>
          <t>pilarmas2023@gmail.com</t>
        </is>
      </c>
      <c r="E97" t="inlineStr">
        <is>
          <t>https://lpjk.pu.go.id/search-badan-usaha-detail/OXMzZE04Y1F5OW93aTF4Uy9ucWQyUT09</t>
        </is>
      </c>
      <c r="F97" t="n">
        <v>3</v>
      </c>
      <c r="G97" t="inlineStr">
        <is>
          <t>BG002, BG005, BG009</t>
        </is>
      </c>
      <c r="H97" t="inlineStr">
        <is>
          <t>18 Desember 2008</t>
        </is>
      </c>
      <c r="I97" s="2" t="n">
        <v>46347</v>
      </c>
      <c r="J97" t="inlineStr">
        <is>
          <t>Disetujui</t>
        </is>
      </c>
      <c r="K97" t="n">
        <v>87</v>
      </c>
      <c r="L97" t="inlineStr">
        <is>
          <t>21 November 2026</t>
        </is>
      </c>
      <c r="M97" t="inlineStr">
        <is>
          <t>Konstruksi Gedung Kesehatan, Konstruksi Gedung Lainnya, Konstruksi Gedung Perkantoran</t>
        </is>
      </c>
      <c r="N97" t="inlineStr">
        <is>
          <t>K</t>
        </is>
      </c>
      <c r="O97" t="inlineStr">
        <is>
          <t>20230619, 20231120, 20231122</t>
        </is>
      </c>
      <c r="P97" t="inlineStr">
        <is>
          <t>Jawa Timur</t>
        </is>
      </c>
      <c r="Q97" t="inlineStr"/>
    </row>
    <row r="98">
      <c r="A98" t="inlineStr">
        <is>
          <t>POWER RANGER FORTUNE</t>
        </is>
      </c>
      <c r="B98" t="inlineStr">
        <is>
          <t>Kab. Barito Utara</t>
        </is>
      </c>
      <c r="C98" t="inlineStr">
        <is>
          <t>082153742464</t>
        </is>
      </c>
      <c r="D98" t="inlineStr">
        <is>
          <t>kk3450497@gmail.com</t>
        </is>
      </c>
      <c r="E98" t="inlineStr">
        <is>
          <t>https://lpjk.pu.go.id/search-badan-usaha-detail/SkEza3FYSHZRcFQ0YzhaNThMb0ZFdz09</t>
        </is>
      </c>
      <c r="F98" t="n">
        <v>2</v>
      </c>
      <c r="G98" t="inlineStr">
        <is>
          <t>BG005, BG006</t>
        </is>
      </c>
      <c r="H98" t="inlineStr">
        <is>
          <t>28 Januari 2019</t>
        </is>
      </c>
      <c r="I98" s="2" t="n">
        <v>46347</v>
      </c>
      <c r="J98" t="inlineStr">
        <is>
          <t>Pencabutan</t>
        </is>
      </c>
      <c r="K98" t="n">
        <v>87</v>
      </c>
      <c r="L98" t="inlineStr">
        <is>
          <t>21 November 2026</t>
        </is>
      </c>
      <c r="M98" t="inlineStr">
        <is>
          <t>Konstruksi Gedung Kesehatan, Konstruksi Gedung Pendidikan</t>
        </is>
      </c>
      <c r="N98" t="inlineStr">
        <is>
          <t>K</t>
        </is>
      </c>
      <c r="O98" t="inlineStr">
        <is>
          <t>20231121</t>
        </is>
      </c>
      <c r="P98" t="inlineStr">
        <is>
          <t>Kalimantan Tengah</t>
        </is>
      </c>
      <c r="Q98" t="inlineStr"/>
    </row>
    <row r="99">
      <c r="A99" t="inlineStr">
        <is>
          <t>PRAJANATA</t>
        </is>
      </c>
      <c r="B99" t="inlineStr">
        <is>
          <t>Kab. Tabanan</t>
        </is>
      </c>
      <c r="C99" t="inlineStr">
        <is>
          <t>081246590420</t>
        </is>
      </c>
      <c r="D99" t="inlineStr">
        <is>
          <t>prajanatacv@yahoo.co.id</t>
        </is>
      </c>
      <c r="E99" t="inlineStr">
        <is>
          <t>https://lpjk.pu.go.id/search-badan-usaha-detail/QkRrb1o2VFhtUmpCbXdzcHBRU1drdz09</t>
        </is>
      </c>
      <c r="F99" t="n">
        <v>1</v>
      </c>
      <c r="G99" t="inlineStr">
        <is>
          <t>BG002</t>
        </is>
      </c>
      <c r="H99" t="inlineStr">
        <is>
          <t>15 Januari 2001</t>
        </is>
      </c>
      <c r="I99" s="2" t="n">
        <v>46347</v>
      </c>
      <c r="J99" t="inlineStr">
        <is>
          <t>Disetujui</t>
        </is>
      </c>
      <c r="K99" t="n">
        <v>87</v>
      </c>
      <c r="L99" t="inlineStr">
        <is>
          <t>21 November 2026</t>
        </is>
      </c>
      <c r="M99" t="inlineStr">
        <is>
          <t>Konstruksi Gedung Perkantoran</t>
        </is>
      </c>
      <c r="N99" t="inlineStr">
        <is>
          <t>K</t>
        </is>
      </c>
      <c r="O99" t="inlineStr">
        <is>
          <t>20231113</t>
        </is>
      </c>
      <c r="P99" t="inlineStr">
        <is>
          <t>Bali</t>
        </is>
      </c>
      <c r="Q99" t="inlineStr"/>
    </row>
    <row r="100">
      <c r="A100" t="inlineStr">
        <is>
          <t>PURNAMA JAYA</t>
        </is>
      </c>
      <c r="B100" t="inlineStr">
        <is>
          <t>Kab. Grobogan</t>
        </is>
      </c>
      <c r="C100" t="inlineStr">
        <is>
          <t>0292 421905</t>
        </is>
      </c>
      <c r="D100" t="inlineStr">
        <is>
          <t>purnamajaya.purwodadi@gmail.com</t>
        </is>
      </c>
      <c r="E100" t="inlineStr">
        <is>
          <t>https://lpjk.pu.go.id/search-badan-usaha-detail/d3hNMXRzYmtod2hUZFdTalpPRmdwdz09</t>
        </is>
      </c>
      <c r="F100" t="n">
        <v>10</v>
      </c>
      <c r="G100" t="inlineStr">
        <is>
          <t>BG004, BG006, BG009, BS001, BS004</t>
        </is>
      </c>
      <c r="H100" t="inlineStr">
        <is>
          <t>13 Januari 1993</t>
        </is>
      </c>
      <c r="I100" s="2" t="n">
        <v>46347</v>
      </c>
      <c r="J100" t="inlineStr">
        <is>
          <t>Disetujui</t>
        </is>
      </c>
      <c r="K100" t="n">
        <v>87</v>
      </c>
      <c r="L100" t="inlineStr">
        <is>
          <t>21 November 2026</t>
        </is>
      </c>
      <c r="M100" t="inlineStr">
        <is>
          <t>Konstruksi Bangunan Sipil Jalan, Konstruksi Gedung Lainnya, Konstruksi Gedung Pendidikan, Konstruksi Gedung Perbelanjaan, Konstruksi Jaringan Irigasi dan Drainase</t>
        </is>
      </c>
      <c r="N100" t="inlineStr">
        <is>
          <t>K</t>
        </is>
      </c>
      <c r="O100" t="inlineStr">
        <is>
          <t>20231118</t>
        </is>
      </c>
      <c r="P100" t="inlineStr">
        <is>
          <t>Jawa Tengah</t>
        </is>
      </c>
      <c r="Q100" t="inlineStr"/>
    </row>
    <row r="101">
      <c r="A101" t="inlineStr">
        <is>
          <t>PUTRA BALEPOH</t>
        </is>
      </c>
      <c r="B101" t="inlineStr">
        <is>
          <t>Kota Pariaman</t>
        </is>
      </c>
      <c r="C101" t="inlineStr">
        <is>
          <t>085263113947</t>
        </is>
      </c>
      <c r="D101" t="inlineStr">
        <is>
          <t>putrabalepoh10@gmail.com</t>
        </is>
      </c>
      <c r="E101" t="inlineStr">
        <is>
          <t>https://lpjk.pu.go.id/search-badan-usaha-detail/UFdBTHU1NzBDSWFQN2tMSHU3cGRaUT09</t>
        </is>
      </c>
      <c r="F101" t="n">
        <v>2</v>
      </c>
      <c r="G101" t="inlineStr">
        <is>
          <t>BG005, BS004</t>
        </is>
      </c>
      <c r="H101" t="inlineStr">
        <is>
          <t>4 Oktober 2007</t>
        </is>
      </c>
      <c r="I101" s="2" t="n">
        <v>46347</v>
      </c>
      <c r="J101" t="inlineStr">
        <is>
          <t>Disetujui</t>
        </is>
      </c>
      <c r="K101" t="n">
        <v>87</v>
      </c>
      <c r="L101" t="inlineStr">
        <is>
          <t>21 November 2026</t>
        </is>
      </c>
      <c r="M101" t="inlineStr">
        <is>
          <t>Konstruksi Gedung Kesehatan, Konstruksi Jaringan Irigasi dan Drainase</t>
        </is>
      </c>
      <c r="N101" t="inlineStr">
        <is>
          <t>K</t>
        </is>
      </c>
      <c r="O101" t="inlineStr">
        <is>
          <t>20231101, 20231127</t>
        </is>
      </c>
      <c r="P101" t="inlineStr">
        <is>
          <t>Sumatera Barat</t>
        </is>
      </c>
      <c r="Q101" t="inlineStr"/>
    </row>
    <row r="102">
      <c r="A102" t="inlineStr">
        <is>
          <t>PUTRA BERLIAN PERKASA</t>
        </is>
      </c>
      <c r="B102" t="inlineStr">
        <is>
          <t>Kab. Grobogan</t>
        </is>
      </c>
      <c r="C102" t="inlineStr">
        <is>
          <t>083154591807</t>
        </is>
      </c>
      <c r="D102" t="inlineStr">
        <is>
          <t>Putraberlianperkasa@gmail.com</t>
        </is>
      </c>
      <c r="E102" t="inlineStr">
        <is>
          <t>https://lpjk.pu.go.id/search-badan-usaha-detail/SE9WVWduRDBtQXR0eHQ4Z2syaXVFQT09</t>
        </is>
      </c>
      <c r="F102" t="n">
        <v>1</v>
      </c>
      <c r="G102" t="inlineStr">
        <is>
          <t>BG006</t>
        </is>
      </c>
      <c r="H102" t="inlineStr">
        <is>
          <t>24 Maret 2021</t>
        </is>
      </c>
      <c r="I102" s="2" t="n">
        <v>46347</v>
      </c>
      <c r="J102" t="inlineStr">
        <is>
          <t>Disetujui</t>
        </is>
      </c>
      <c r="K102" t="n">
        <v>87</v>
      </c>
      <c r="L102" t="inlineStr">
        <is>
          <t>21 November 2026</t>
        </is>
      </c>
      <c r="M102" t="inlineStr">
        <is>
          <t>Konstruksi Gedung Pendidikan</t>
        </is>
      </c>
      <c r="N102" t="inlineStr">
        <is>
          <t>K</t>
        </is>
      </c>
      <c r="O102" t="inlineStr">
        <is>
          <t>20231118</t>
        </is>
      </c>
      <c r="P102" t="inlineStr">
        <is>
          <t>Jawa Tengah</t>
        </is>
      </c>
      <c r="Q102" t="inlineStr"/>
    </row>
    <row r="103">
      <c r="A103" t="inlineStr">
        <is>
          <t>RANGGA JAYA MAKMUR</t>
        </is>
      </c>
      <c r="B103" t="inlineStr">
        <is>
          <t>Kab. Pesawaran</t>
        </is>
      </c>
      <c r="C103" t="inlineStr">
        <is>
          <t>08975781554</t>
        </is>
      </c>
      <c r="D103" t="inlineStr">
        <is>
          <t>ronggoorton@gmail.com</t>
        </is>
      </c>
      <c r="E103" t="inlineStr">
        <is>
          <t>https://lpjk.pu.go.id/search-badan-usaha-detail/ckRESUJTTzVZZEttZytBY052NkJtQT09</t>
        </is>
      </c>
      <c r="F103" t="n">
        <v>1</v>
      </c>
      <c r="G103" t="inlineStr">
        <is>
          <t>BG004</t>
        </is>
      </c>
      <c r="H103" t="inlineStr"/>
      <c r="I103" s="2" t="n">
        <v>46347</v>
      </c>
      <c r="J103" t="inlineStr">
        <is>
          <t>Disetujui</t>
        </is>
      </c>
      <c r="K103" t="n">
        <v>87</v>
      </c>
      <c r="L103" t="inlineStr">
        <is>
          <t>21 November 2026</t>
        </is>
      </c>
      <c r="M103" t="inlineStr">
        <is>
          <t>Konstruksi Gedung Perbelanjaan</t>
        </is>
      </c>
      <c r="N103" t="inlineStr">
        <is>
          <t>K</t>
        </is>
      </c>
      <c r="O103" t="inlineStr">
        <is>
          <t>20231119</t>
        </is>
      </c>
      <c r="P103" t="inlineStr">
        <is>
          <t>Lampung</t>
        </is>
      </c>
      <c r="Q103" t="inlineStr"/>
    </row>
    <row r="104">
      <c r="A104" t="inlineStr">
        <is>
          <t>RAYSA CIPTA ABADI</t>
        </is>
      </c>
      <c r="B104" t="inlineStr">
        <is>
          <t>Kab. Musi Rawas Utara</t>
        </is>
      </c>
      <c r="C104" t="inlineStr">
        <is>
          <t>085268695921</t>
        </is>
      </c>
      <c r="D104" t="inlineStr">
        <is>
          <t>cvraysaciptaabadi@gmai.com</t>
        </is>
      </c>
      <c r="E104" t="inlineStr">
        <is>
          <t>https://lpjk.pu.go.id/search-badan-usaha-detail/NTdCd1dyK09xcGNwRGd5TFNIUzZRQT09</t>
        </is>
      </c>
      <c r="F104" t="n">
        <v>1</v>
      </c>
      <c r="G104" t="inlineStr">
        <is>
          <t>RK001</t>
        </is>
      </c>
      <c r="H104" t="inlineStr">
        <is>
          <t>29 Januari 2020</t>
        </is>
      </c>
      <c r="I104" s="2" t="n">
        <v>46347</v>
      </c>
      <c r="J104" t="inlineStr">
        <is>
          <t>Disetujui</t>
        </is>
      </c>
      <c r="K104" t="n">
        <v>87</v>
      </c>
      <c r="L104" t="inlineStr">
        <is>
          <t>21 November 2026</t>
        </is>
      </c>
      <c r="M104" t="inlineStr">
        <is>
          <t>Jasa Rekayasa Konstruksi Bangunan Gedung Hunian dan Non Hunian</t>
        </is>
      </c>
      <c r="N104" t="inlineStr">
        <is>
          <t>K</t>
        </is>
      </c>
      <c r="O104" t="inlineStr">
        <is>
          <t>20231109</t>
        </is>
      </c>
      <c r="P104" t="inlineStr">
        <is>
          <t>Sumatera Selatan</t>
        </is>
      </c>
      <c r="Q104" t="inlineStr"/>
    </row>
    <row r="105">
      <c r="A105" t="inlineStr">
        <is>
          <t>SAMUDRA BIRU KONSTRUKSI</t>
        </is>
      </c>
      <c r="B105" t="inlineStr">
        <is>
          <t>Kab. Tangerang</t>
        </is>
      </c>
      <c r="C105" t="inlineStr">
        <is>
          <t>081382099995</t>
        </is>
      </c>
      <c r="D105" t="inlineStr">
        <is>
          <t>pt.samudrabirukonstruksi@gmail.com</t>
        </is>
      </c>
      <c r="E105" t="inlineStr">
        <is>
          <t>https://lpjk.pu.go.id/search-badan-usaha-detail/Q0dVVGZLL3h2Skt5NkRxL0VFSUVKUT09</t>
        </is>
      </c>
      <c r="F105" t="n">
        <v>1</v>
      </c>
      <c r="G105" t="inlineStr">
        <is>
          <t>BG001</t>
        </is>
      </c>
      <c r="H105" t="inlineStr">
        <is>
          <t>6 Juli 2021</t>
        </is>
      </c>
      <c r="I105" s="2" t="n">
        <v>46347</v>
      </c>
      <c r="J105" t="inlineStr">
        <is>
          <t>Pencabutan</t>
        </is>
      </c>
      <c r="K105" t="n">
        <v>87</v>
      </c>
      <c r="L105" t="inlineStr">
        <is>
          <t>21 November 2026</t>
        </is>
      </c>
      <c r="M105" t="inlineStr">
        <is>
          <t>Konstruksi Gedung Hunian</t>
        </is>
      </c>
      <c r="N105" t="inlineStr">
        <is>
          <t>K</t>
        </is>
      </c>
      <c r="O105" t="inlineStr">
        <is>
          <t>20231122</t>
        </is>
      </c>
      <c r="P105" t="inlineStr">
        <is>
          <t>Banten</t>
        </is>
      </c>
      <c r="Q105" t="inlineStr"/>
    </row>
    <row r="106">
      <c r="A106" t="inlineStr">
        <is>
          <t>SARI MERTA BAWA</t>
        </is>
      </c>
      <c r="B106" t="inlineStr">
        <is>
          <t>Kab. Karangasem</t>
        </is>
      </c>
      <c r="C106" t="inlineStr">
        <is>
          <t>085737453681</t>
        </is>
      </c>
      <c r="D106" t="inlineStr">
        <is>
          <t>mertabawa2020@gmail.com</t>
        </is>
      </c>
      <c r="E106" t="inlineStr">
        <is>
          <t>https://lpjk.pu.go.id/search-badan-usaha-detail/L3NKM0gwdzNGLzUrZGs3M1dqUm1MZz09</t>
        </is>
      </c>
      <c r="F106" t="n">
        <v>1</v>
      </c>
      <c r="G106" t="inlineStr">
        <is>
          <t>BG009</t>
        </is>
      </c>
      <c r="H106" t="inlineStr">
        <is>
          <t>26 Oktober 2020</t>
        </is>
      </c>
      <c r="I106" s="2" t="n">
        <v>46347</v>
      </c>
      <c r="J106" t="inlineStr">
        <is>
          <t>Disetujui</t>
        </is>
      </c>
      <c r="K106" t="n">
        <v>87</v>
      </c>
      <c r="L106" t="inlineStr">
        <is>
          <t>21 November 2026</t>
        </is>
      </c>
      <c r="M106" t="inlineStr">
        <is>
          <t>Konstruksi Gedung Lainnya</t>
        </is>
      </c>
      <c r="N106" t="inlineStr">
        <is>
          <t>K</t>
        </is>
      </c>
      <c r="O106" t="inlineStr">
        <is>
          <t>20231122</t>
        </is>
      </c>
      <c r="P106" t="inlineStr">
        <is>
          <t>Bali</t>
        </is>
      </c>
      <c r="Q106" t="inlineStr"/>
    </row>
    <row r="107">
      <c r="A107" t="inlineStr">
        <is>
          <t>SEJAHTERA MUDA</t>
        </is>
      </c>
      <c r="B107" t="inlineStr">
        <is>
          <t>Kab. Tana Toraja</t>
        </is>
      </c>
      <c r="C107" t="inlineStr">
        <is>
          <t>082238457471</t>
        </is>
      </c>
      <c r="D107" t="inlineStr">
        <is>
          <t>cvsejahteramuda@gmail.com</t>
        </is>
      </c>
      <c r="E107" t="inlineStr">
        <is>
          <t>https://lpjk.pu.go.id/search-badan-usaha-detail/RlIvVTVOaVBYOEp1VUlIbXVpQ01ZUT09</t>
        </is>
      </c>
      <c r="F107" t="n">
        <v>1</v>
      </c>
      <c r="G107" t="inlineStr">
        <is>
          <t>BS001</t>
        </is>
      </c>
      <c r="H107" t="inlineStr">
        <is>
          <t>9 Desember 2019</t>
        </is>
      </c>
      <c r="I107" s="2" t="n">
        <v>46347</v>
      </c>
      <c r="J107" t="inlineStr">
        <is>
          <t>Disetujui</t>
        </is>
      </c>
      <c r="K107" t="n">
        <v>87</v>
      </c>
      <c r="L107" t="inlineStr">
        <is>
          <t>21 November 2026</t>
        </is>
      </c>
      <c r="M107" t="inlineStr">
        <is>
          <t>Konstruksi Bangunan Sipil Jalan</t>
        </is>
      </c>
      <c r="N107" t="inlineStr">
        <is>
          <t>K</t>
        </is>
      </c>
      <c r="O107" t="inlineStr">
        <is>
          <t>20231120</t>
        </is>
      </c>
      <c r="P107" t="inlineStr">
        <is>
          <t>Sulawesi Selatan</t>
        </is>
      </c>
      <c r="Q107" t="inlineStr"/>
    </row>
    <row r="108">
      <c r="A108" t="inlineStr">
        <is>
          <t>SINAR KARUNIA</t>
        </is>
      </c>
      <c r="B108" t="inlineStr">
        <is>
          <t>Kab. Banyumas</t>
        </is>
      </c>
      <c r="C108" t="inlineStr">
        <is>
          <t>08156991293</t>
        </is>
      </c>
      <c r="D108" t="inlineStr">
        <is>
          <t>sinarkarunia88@gmail.com</t>
        </is>
      </c>
      <c r="E108" t="inlineStr">
        <is>
          <t>https://lpjk.pu.go.id/search-badan-usaha-detail/RWszaUlKL0pSWFRIYng0TjgyVHlYdz09</t>
        </is>
      </c>
      <c r="F108" t="n">
        <v>4</v>
      </c>
      <c r="G108" t="inlineStr">
        <is>
          <t>BG005, BG006, BG009, BS004</t>
        </is>
      </c>
      <c r="H108" t="inlineStr">
        <is>
          <t>10 Januari 2025</t>
        </is>
      </c>
      <c r="I108" s="2" t="n">
        <v>46347</v>
      </c>
      <c r="J108" t="inlineStr">
        <is>
          <t>Disetujui</t>
        </is>
      </c>
      <c r="K108" t="n">
        <v>87</v>
      </c>
      <c r="L108" t="inlineStr">
        <is>
          <t>21 November 2026</t>
        </is>
      </c>
      <c r="M108" t="inlineStr">
        <is>
          <t>Konstruksi Gedung Kesehatan, Konstruksi Gedung Lainnya, Konstruksi Gedung Pendidikan, Konstruksi Jaringan Irigasi dan Drainase</t>
        </is>
      </c>
      <c r="N108" t="inlineStr">
        <is>
          <t>K</t>
        </is>
      </c>
      <c r="O108" t="inlineStr">
        <is>
          <t>20231122</t>
        </is>
      </c>
      <c r="P108" t="inlineStr">
        <is>
          <t>Jawa Tengah</t>
        </is>
      </c>
      <c r="Q108" t="inlineStr"/>
    </row>
    <row r="109">
      <c r="A109" t="inlineStr">
        <is>
          <t>SINAR MEGA</t>
        </is>
      </c>
      <c r="B109" t="inlineStr">
        <is>
          <t>Kab. Ngada</t>
        </is>
      </c>
      <c r="C109" t="inlineStr">
        <is>
          <t>085238421391</t>
        </is>
      </c>
      <c r="D109" t="inlineStr">
        <is>
          <t>cvsinarmega@gmail.com</t>
        </is>
      </c>
      <c r="E109" t="inlineStr">
        <is>
          <t>https://lpjk.pu.go.id/search-badan-usaha-detail/Q0tDNTlZOVBsN01Odkg0MXl3RjIxZz09</t>
        </is>
      </c>
      <c r="F109" t="n">
        <v>3</v>
      </c>
      <c r="G109" t="inlineStr">
        <is>
          <t>BG005, BG006, BS001</t>
        </is>
      </c>
      <c r="H109" t="inlineStr">
        <is>
          <t>6 November 2002</t>
        </is>
      </c>
      <c r="I109" s="2" t="n">
        <v>46347</v>
      </c>
      <c r="J109" t="inlineStr">
        <is>
          <t>Disetujui</t>
        </is>
      </c>
      <c r="K109" t="n">
        <v>87</v>
      </c>
      <c r="L109" t="inlineStr">
        <is>
          <t>21 November 2026</t>
        </is>
      </c>
      <c r="M109" t="inlineStr">
        <is>
          <t>Konstruksi Bangunan Sipil Jalan, Konstruksi Gedung Kesehatan, Konstruksi Gedung Pendidikan</t>
        </is>
      </c>
      <c r="N109" t="inlineStr">
        <is>
          <t>K</t>
        </is>
      </c>
      <c r="O109" t="inlineStr">
        <is>
          <t>20231117, 20231122</t>
        </is>
      </c>
      <c r="P109" t="inlineStr">
        <is>
          <t>Nusa Tenggara Timur</t>
        </is>
      </c>
      <c r="Q109" t="inlineStr"/>
    </row>
    <row r="110">
      <c r="A110" t="inlineStr">
        <is>
          <t>SINERGI KARYA SEJAHTERA</t>
        </is>
      </c>
      <c r="B110" t="inlineStr">
        <is>
          <t>Kota Adm. Jakarta Pusat</t>
        </is>
      </c>
      <c r="C110" t="inlineStr">
        <is>
          <t>0216493347</t>
        </is>
      </c>
      <c r="D110" t="inlineStr">
        <is>
          <t>sinergikaryasejahtera@gmail.com</t>
        </is>
      </c>
      <c r="E110" t="inlineStr">
        <is>
          <t>https://lpjk.pu.go.id/search-badan-usaha-detail/OENwQXJ3VE9UOHdEQ3BRMWlGVlBpQT09</t>
        </is>
      </c>
      <c r="F110" t="n">
        <v>3</v>
      </c>
      <c r="G110" t="inlineStr">
        <is>
          <t>IN001, IN007, IN008</t>
        </is>
      </c>
      <c r="H110" t="inlineStr">
        <is>
          <t>1 Juni 2015</t>
        </is>
      </c>
      <c r="I110" s="2" t="n">
        <v>46347</v>
      </c>
      <c r="J110" t="inlineStr">
        <is>
          <t>Pembekuan</t>
        </is>
      </c>
      <c r="K110" t="n">
        <v>87</v>
      </c>
      <c r="L110" t="inlineStr">
        <is>
          <t>21 November 2026</t>
        </is>
      </c>
      <c r="M110" t="inlineStr">
        <is>
          <t>Instalasi Mekanikal, Instalasi Pendingin Dan Ventilasi Udara, Instalasi Saluran Air (Plambing)</t>
        </is>
      </c>
      <c r="N110" t="inlineStr">
        <is>
          <t>Spesialis</t>
        </is>
      </c>
      <c r="O110" t="inlineStr">
        <is>
          <t>20220802, 20231120</t>
        </is>
      </c>
      <c r="P110" t="inlineStr">
        <is>
          <t>DKI Jakarta</t>
        </is>
      </c>
      <c r="Q110" t="inlineStr"/>
    </row>
    <row r="111">
      <c r="A111" t="inlineStr">
        <is>
          <t>SOLAR METALLIC INDUSTRI</t>
        </is>
      </c>
      <c r="B111" t="inlineStr">
        <is>
          <t>Kota Medan</t>
        </is>
      </c>
      <c r="C111" t="inlineStr">
        <is>
          <t>0617322863</t>
        </is>
      </c>
      <c r="D111" t="inlineStr">
        <is>
          <t>solarmetallic@gmail.com</t>
        </is>
      </c>
      <c r="E111" t="inlineStr">
        <is>
          <t>https://lpjk.pu.go.id/search-badan-usaha-detail/Q2FxeDNPLzlxUy9KVXFGMm1SN3Y4UT09</t>
        </is>
      </c>
      <c r="F111" t="n">
        <v>1</v>
      </c>
      <c r="G111" t="inlineStr">
        <is>
          <t>IN004</t>
        </is>
      </c>
      <c r="H111" t="inlineStr">
        <is>
          <t>15 Juni 2023</t>
        </is>
      </c>
      <c r="I111" s="2" t="n">
        <v>46347</v>
      </c>
      <c r="J111" t="inlineStr">
        <is>
          <t>Pembekuan</t>
        </is>
      </c>
      <c r="K111" t="n">
        <v>87</v>
      </c>
      <c r="L111" t="inlineStr">
        <is>
          <t>21 November 2026</t>
        </is>
      </c>
      <c r="M111" t="inlineStr">
        <is>
          <t>Instalasi Minyak dan Gas</t>
        </is>
      </c>
      <c r="N111" t="inlineStr">
        <is>
          <t>Spesialis</t>
        </is>
      </c>
      <c r="O111" t="inlineStr">
        <is>
          <t>20231114</t>
        </is>
      </c>
      <c r="P111" t="inlineStr">
        <is>
          <t>Sumatera Utara</t>
        </is>
      </c>
      <c r="Q111" t="inlineStr"/>
    </row>
    <row r="112">
      <c r="A112" t="inlineStr">
        <is>
          <t>SUMBER BERKAH PUTRA</t>
        </is>
      </c>
      <c r="B112" t="inlineStr">
        <is>
          <t>Kab. Madiun</t>
        </is>
      </c>
      <c r="C112" t="inlineStr">
        <is>
          <t>085330069228</t>
        </is>
      </c>
      <c r="D112" t="inlineStr">
        <is>
          <t>sumberberkahputra123@gmail.com</t>
        </is>
      </c>
      <c r="E112" t="inlineStr">
        <is>
          <t>https://lpjk.pu.go.id/search-badan-usaha-detail/dVdPTEtDSFgvaUFOa1JMdXY2Ykh2dz09</t>
        </is>
      </c>
      <c r="F112" t="n">
        <v>2</v>
      </c>
      <c r="G112" t="inlineStr">
        <is>
          <t>BS001, BS004</t>
        </is>
      </c>
      <c r="H112" t="inlineStr">
        <is>
          <t>24 Desember 2021</t>
        </is>
      </c>
      <c r="I112" s="2" t="n">
        <v>46347</v>
      </c>
      <c r="J112" t="inlineStr">
        <is>
          <t>Disetujui</t>
        </is>
      </c>
      <c r="K112" t="n">
        <v>87</v>
      </c>
      <c r="L112" t="inlineStr">
        <is>
          <t>21 November 2026</t>
        </is>
      </c>
      <c r="M112" t="inlineStr">
        <is>
          <t>Konstruksi Bangunan Sipil Jalan, Konstruksi Jaringan Irigasi dan Drainase</t>
        </is>
      </c>
      <c r="N112" t="inlineStr">
        <is>
          <t>K</t>
        </is>
      </c>
      <c r="O112" t="inlineStr">
        <is>
          <t>20231116</t>
        </is>
      </c>
      <c r="P112" t="inlineStr">
        <is>
          <t>Jawa Timur</t>
        </is>
      </c>
      <c r="Q112" t="inlineStr"/>
    </row>
    <row r="113">
      <c r="A113" t="inlineStr">
        <is>
          <t>SWADAYA CIPTA</t>
        </is>
      </c>
      <c r="B113" t="inlineStr">
        <is>
          <t>Kab. Gresik</t>
        </is>
      </c>
      <c r="C113" t="inlineStr">
        <is>
          <t>03139923700</t>
        </is>
      </c>
      <c r="D113" t="inlineStr">
        <is>
          <t>admin@swadayacipta.com</t>
        </is>
      </c>
      <c r="E113" t="inlineStr">
        <is>
          <t>https://lpjk.pu.go.id/search-badan-usaha-detail/OWUxYkJ0MnZPVHJ2bFdKSjR5N24vQT09</t>
        </is>
      </c>
      <c r="F113" t="n">
        <v>2</v>
      </c>
      <c r="G113" t="inlineStr">
        <is>
          <t>BG005, BG006</t>
        </is>
      </c>
      <c r="H113" t="inlineStr">
        <is>
          <t>23 Agustus 2005</t>
        </is>
      </c>
      <c r="I113" s="2" t="n">
        <v>46347</v>
      </c>
      <c r="J113" t="inlineStr">
        <is>
          <t>Disetujui</t>
        </is>
      </c>
      <c r="K113" t="n">
        <v>87</v>
      </c>
      <c r="L113" t="inlineStr">
        <is>
          <t>21 November 2026</t>
        </is>
      </c>
      <c r="M113" t="inlineStr">
        <is>
          <t>Konstruksi Gedung Kesehatan, Konstruksi Gedung Pendidikan</t>
        </is>
      </c>
      <c r="N113" t="inlineStr">
        <is>
          <t>K</t>
        </is>
      </c>
      <c r="O113" t="inlineStr">
        <is>
          <t>20231115</t>
        </is>
      </c>
      <c r="P113" t="inlineStr">
        <is>
          <t>Jawa Timur</t>
        </is>
      </c>
      <c r="Q113" t="inlineStr"/>
    </row>
    <row r="114">
      <c r="A114" t="inlineStr">
        <is>
          <t>TIGA MANUNGGAL ABADI</t>
        </is>
      </c>
      <c r="B114" t="inlineStr">
        <is>
          <t>Kota Samarinda</t>
        </is>
      </c>
      <c r="C114" t="inlineStr">
        <is>
          <t>082318081969</t>
        </is>
      </c>
      <c r="D114" t="inlineStr">
        <is>
          <t>tma.smd.1@gmail.com</t>
        </is>
      </c>
      <c r="E114" t="inlineStr">
        <is>
          <t>https://lpjk.pu.go.id/search-badan-usaha-detail/WEtPckRlVjZaNWUrN1VGWDcxUW0xdz09</t>
        </is>
      </c>
      <c r="F114" t="n">
        <v>1</v>
      </c>
      <c r="G114" t="inlineStr">
        <is>
          <t>AL004</t>
        </is>
      </c>
      <c r="H114" t="inlineStr">
        <is>
          <t>26 Februari 2001</t>
        </is>
      </c>
      <c r="I114" s="2" t="n">
        <v>46347</v>
      </c>
      <c r="J114" t="inlineStr">
        <is>
          <t>Disetujui</t>
        </is>
      </c>
      <c r="K114" t="n">
        <v>87</v>
      </c>
      <c r="L114" t="inlineStr">
        <is>
          <t>21 November 2026</t>
        </is>
      </c>
      <c r="M114" t="inlineStr">
        <is>
          <t>Jasa Pengembangan Lingkungan Bangunan dan Lanskap</t>
        </is>
      </c>
      <c r="N114" t="inlineStr">
        <is>
          <t>K</t>
        </is>
      </c>
      <c r="O114" t="inlineStr">
        <is>
          <t>20231114</t>
        </is>
      </c>
      <c r="P114" t="inlineStr">
        <is>
          <t>Kalimantan Timur</t>
        </is>
      </c>
      <c r="Q114" t="inlineStr"/>
    </row>
    <row r="115">
      <c r="A115" t="inlineStr">
        <is>
          <t>TIGA PUTERA BANGUN PERSADA</t>
        </is>
      </c>
      <c r="B115" t="inlineStr">
        <is>
          <t>Kab. Cianjur</t>
        </is>
      </c>
      <c r="C115" t="inlineStr">
        <is>
          <t>085721546135</t>
        </is>
      </c>
      <c r="D115" t="inlineStr">
        <is>
          <t>cv.tigaputerabangunpersada@gmail.com</t>
        </is>
      </c>
      <c r="E115" t="inlineStr">
        <is>
          <t>https://lpjk.pu.go.id/search-badan-usaha-detail/bERzYlVXeHZpS0Z0YklkamVhcERLZz09</t>
        </is>
      </c>
      <c r="F115" t="n">
        <v>3</v>
      </c>
      <c r="G115" t="inlineStr">
        <is>
          <t>BG009, BS004, BS010</t>
        </is>
      </c>
      <c r="H115" t="inlineStr">
        <is>
          <t>20 Oktober 2023</t>
        </is>
      </c>
      <c r="I115" s="2" t="n">
        <v>46347</v>
      </c>
      <c r="J115" t="inlineStr">
        <is>
          <t>Pencabutan</t>
        </is>
      </c>
      <c r="K115" t="n">
        <v>87</v>
      </c>
      <c r="L115" t="inlineStr">
        <is>
          <t>21 November 2026</t>
        </is>
      </c>
      <c r="M115" t="inlineStr">
        <is>
          <t>Konstruksi Bangunan Prasarana Sumber Daya Air, Konstruksi Gedung Lainnya, Konstruksi Jaringan Irigasi dan Drainase</t>
        </is>
      </c>
      <c r="N115" t="inlineStr">
        <is>
          <t>K</t>
        </is>
      </c>
      <c r="O115" t="inlineStr">
        <is>
          <t>20231120, 20231122</t>
        </is>
      </c>
      <c r="P115" t="inlineStr">
        <is>
          <t>Jawa Barat</t>
        </is>
      </c>
      <c r="Q115" t="inlineStr"/>
    </row>
    <row r="116">
      <c r="A116" t="inlineStr">
        <is>
          <t>TIMURJAYA TUNGGAL</t>
        </is>
      </c>
      <c r="B116" t="inlineStr">
        <is>
          <t>Kota Balikpapan</t>
        </is>
      </c>
      <c r="C116" t="inlineStr">
        <is>
          <t>0542733522</t>
        </is>
      </c>
      <c r="D116" t="inlineStr">
        <is>
          <t>tuffahatii@kotaminyak.co.id</t>
        </is>
      </c>
      <c r="E116" t="inlineStr">
        <is>
          <t>https://lpjk.pu.go.id/search-badan-usaha-detail/QTVJYVZORTh2SG41U3hDcWx4elRjZz09</t>
        </is>
      </c>
      <c r="F116" t="n">
        <v>1</v>
      </c>
      <c r="G116" t="inlineStr">
        <is>
          <t>IN001</t>
        </is>
      </c>
      <c r="H116" t="inlineStr">
        <is>
          <t>23 Agustus 1991</t>
        </is>
      </c>
      <c r="I116" s="2" t="n">
        <v>46347</v>
      </c>
      <c r="J116" t="inlineStr">
        <is>
          <t>Disetujui</t>
        </is>
      </c>
      <c r="K116" t="n">
        <v>87</v>
      </c>
      <c r="L116" t="inlineStr">
        <is>
          <t>21 November 2026</t>
        </is>
      </c>
      <c r="M116" t="inlineStr">
        <is>
          <t>Instalasi Mekanikal</t>
        </is>
      </c>
      <c r="N116" t="inlineStr">
        <is>
          <t>Spesialis</t>
        </is>
      </c>
      <c r="O116" t="inlineStr">
        <is>
          <t>20231115</t>
        </is>
      </c>
      <c r="P116" t="inlineStr">
        <is>
          <t>Kalimantan Timur</t>
        </is>
      </c>
      <c r="Q116" t="inlineStr"/>
    </row>
    <row r="117">
      <c r="A117" t="inlineStr">
        <is>
          <t>TRIBUANA SATRIA MEGANTARA</t>
        </is>
      </c>
      <c r="B117" t="inlineStr">
        <is>
          <t>Kota Langsa</t>
        </is>
      </c>
      <c r="C117" t="inlineStr">
        <is>
          <t>082284868599</t>
        </is>
      </c>
      <c r="D117" t="inlineStr">
        <is>
          <t>ts.megantara@gmail.com</t>
        </is>
      </c>
      <c r="E117" t="inlineStr">
        <is>
          <t>https://lpjk.pu.go.id/search-badan-usaha-detail/WkozT3h5V0xzUXREYnFFR1A5NEdpUT09</t>
        </is>
      </c>
      <c r="F117" t="n">
        <v>1</v>
      </c>
      <c r="G117" t="inlineStr">
        <is>
          <t>BS004</t>
        </is>
      </c>
      <c r="H117" t="inlineStr">
        <is>
          <t>24 Mei 2021</t>
        </is>
      </c>
      <c r="I117" s="2" t="n">
        <v>46347</v>
      </c>
      <c r="J117" t="inlineStr">
        <is>
          <t>Disetujui</t>
        </is>
      </c>
      <c r="K117" t="n">
        <v>87</v>
      </c>
      <c r="L117" t="inlineStr">
        <is>
          <t>21 November 2026</t>
        </is>
      </c>
      <c r="M117" t="inlineStr">
        <is>
          <t>Konstruksi Jaringan Irigasi dan Drainase</t>
        </is>
      </c>
      <c r="N117" t="inlineStr">
        <is>
          <t>K</t>
        </is>
      </c>
      <c r="O117" t="inlineStr">
        <is>
          <t>20231116</t>
        </is>
      </c>
      <c r="P117" t="inlineStr">
        <is>
          <t>Aceh</t>
        </is>
      </c>
      <c r="Q117" t="inlineStr"/>
    </row>
    <row r="118">
      <c r="A118" t="inlineStr">
        <is>
          <t>TRT GROUP</t>
        </is>
      </c>
      <c r="B118" t="inlineStr">
        <is>
          <t>Kab. Sumedang</t>
        </is>
      </c>
      <c r="C118" t="inlineStr">
        <is>
          <t>087878979436</t>
        </is>
      </c>
      <c r="D118" t="inlineStr">
        <is>
          <t>cv.trtgroup@gmail.com</t>
        </is>
      </c>
      <c r="E118" t="inlineStr">
        <is>
          <t>https://lpjk.pu.go.id/search-badan-usaha-detail/bjhUOUlMamJTL29SNk5EbFpjZjFpQT09</t>
        </is>
      </c>
      <c r="F118" t="n">
        <v>1</v>
      </c>
      <c r="G118" t="inlineStr">
        <is>
          <t>BG009</t>
        </is>
      </c>
      <c r="H118" t="inlineStr">
        <is>
          <t>22 Mei 2023</t>
        </is>
      </c>
      <c r="I118" s="2" t="n">
        <v>46347</v>
      </c>
      <c r="J118" t="inlineStr">
        <is>
          <t>Disetujui</t>
        </is>
      </c>
      <c r="K118" t="n">
        <v>87</v>
      </c>
      <c r="L118" t="inlineStr">
        <is>
          <t>21 November 2026</t>
        </is>
      </c>
      <c r="M118" t="inlineStr">
        <is>
          <t>Konstruksi Gedung Lainnya</t>
        </is>
      </c>
      <c r="N118" t="inlineStr">
        <is>
          <t>K</t>
        </is>
      </c>
      <c r="O118" t="inlineStr">
        <is>
          <t>20231122</t>
        </is>
      </c>
      <c r="P118" t="inlineStr">
        <is>
          <t>Jawa Barat</t>
        </is>
      </c>
      <c r="Q118" t="inlineStr"/>
    </row>
    <row r="119">
      <c r="A119" t="inlineStr">
        <is>
          <t>TUJUH-TUJUH</t>
        </is>
      </c>
      <c r="B119" t="inlineStr">
        <is>
          <t>Kota Metro</t>
        </is>
      </c>
      <c r="C119" t="inlineStr">
        <is>
          <t>081278017591</t>
        </is>
      </c>
      <c r="D119" t="inlineStr">
        <is>
          <t>cvtujuhtujuh687@gmail.com</t>
        </is>
      </c>
      <c r="E119" t="inlineStr">
        <is>
          <t>https://lpjk.pu.go.id/search-badan-usaha-detail/Zi9RM2FNQkozVm9YLy9jd3NlZklvUT09</t>
        </is>
      </c>
      <c r="F119" t="n">
        <v>3</v>
      </c>
      <c r="G119" t="inlineStr">
        <is>
          <t>BG001, BG005, BG009</t>
        </is>
      </c>
      <c r="H119" t="inlineStr">
        <is>
          <t>14 Juli 2006</t>
        </is>
      </c>
      <c r="I119" s="2" t="n">
        <v>46347</v>
      </c>
      <c r="J119" t="inlineStr">
        <is>
          <t>Disetujui</t>
        </is>
      </c>
      <c r="K119" t="n">
        <v>87</v>
      </c>
      <c r="L119" t="inlineStr">
        <is>
          <t>21 November 2026</t>
        </is>
      </c>
      <c r="M119" t="inlineStr">
        <is>
          <t>Konstruksi Gedung Hunian, Konstruksi Gedung Kesehatan, Konstruksi Gedung Lainnya</t>
        </is>
      </c>
      <c r="N119" t="inlineStr">
        <is>
          <t>K</t>
        </is>
      </c>
      <c r="O119" t="inlineStr">
        <is>
          <t>20231120, 20231121</t>
        </is>
      </c>
      <c r="P119" t="inlineStr">
        <is>
          <t>Lampung</t>
        </is>
      </c>
      <c r="Q119" t="inlineStr"/>
    </row>
    <row r="120">
      <c r="A120" t="inlineStr">
        <is>
          <t>TUNAS AISHWA</t>
        </is>
      </c>
      <c r="B120" t="inlineStr">
        <is>
          <t>Kota Probolinggo</t>
        </is>
      </c>
      <c r="C120" t="inlineStr">
        <is>
          <t>082244067724</t>
        </is>
      </c>
      <c r="D120" t="inlineStr">
        <is>
          <t>tunasaishwa@gmail.com</t>
        </is>
      </c>
      <c r="E120" t="inlineStr">
        <is>
          <t>https://lpjk.pu.go.id/search-badan-usaha-detail/ZXBHZnVDYlVUVldaZkpDdHI2US85QT09</t>
        </is>
      </c>
      <c r="F120" t="n">
        <v>5</v>
      </c>
      <c r="G120" t="inlineStr">
        <is>
          <t>BG001, BG002, BG003, BG004, BG009</t>
        </is>
      </c>
      <c r="H120" t="inlineStr">
        <is>
          <t>24 Agustus 2023</t>
        </is>
      </c>
      <c r="I120" s="2" t="n">
        <v>46347</v>
      </c>
      <c r="J120" t="inlineStr">
        <is>
          <t>Disetujui</t>
        </is>
      </c>
      <c r="K120" t="n">
        <v>87</v>
      </c>
      <c r="L120" t="inlineStr">
        <is>
          <t>21 November 2026</t>
        </is>
      </c>
      <c r="M120" t="inlineStr">
        <is>
          <t>Konstruksi Gedung Hunian, Konstruksi Gedung Industri, Konstruksi Gedung Lainnya, Konstruksi Gedung Perbelanjaan, Konstruksi Gedung Perkantoran</t>
        </is>
      </c>
      <c r="N120" t="inlineStr">
        <is>
          <t>K</t>
        </is>
      </c>
      <c r="O120" t="inlineStr">
        <is>
          <t>20231118</t>
        </is>
      </c>
      <c r="P120" t="inlineStr">
        <is>
          <t>Jawa Timur</t>
        </is>
      </c>
      <c r="Q120" t="inlineStr"/>
    </row>
    <row r="121">
      <c r="A121" t="inlineStr">
        <is>
          <t>VIA CIPTA MANDIRI</t>
        </is>
      </c>
      <c r="B121" t="inlineStr">
        <is>
          <t>Kab. Serang</t>
        </is>
      </c>
      <c r="C121" t="inlineStr">
        <is>
          <t>081317535680</t>
        </is>
      </c>
      <c r="D121" t="inlineStr">
        <is>
          <t>ptviaciptamandiri@gmail.com</t>
        </is>
      </c>
      <c r="E121" t="inlineStr">
        <is>
          <t>https://lpjk.pu.go.id/search-badan-usaha-detail/ZmRFcER6UDNVeVcwWlRSTXhPL2pFdz09</t>
        </is>
      </c>
      <c r="F121" t="n">
        <v>1</v>
      </c>
      <c r="G121" t="inlineStr">
        <is>
          <t>BG009</t>
        </is>
      </c>
      <c r="H121" t="inlineStr">
        <is>
          <t>6 Oktober 2023</t>
        </is>
      </c>
      <c r="I121" s="2" t="n">
        <v>46347</v>
      </c>
      <c r="J121" t="inlineStr">
        <is>
          <t>Disetujui</t>
        </is>
      </c>
      <c r="K121" t="n">
        <v>87</v>
      </c>
      <c r="L121" t="inlineStr">
        <is>
          <t>21 November 2026</t>
        </is>
      </c>
      <c r="M121" t="inlineStr">
        <is>
          <t>Konstruksi Gedung Lainnya</t>
        </is>
      </c>
      <c r="N121" t="inlineStr">
        <is>
          <t>K</t>
        </is>
      </c>
      <c r="O121" t="inlineStr">
        <is>
          <t>20231121</t>
        </is>
      </c>
      <c r="P121" t="inlineStr">
        <is>
          <t>Banten</t>
        </is>
      </c>
      <c r="Q121" t="inlineStr"/>
    </row>
    <row r="122">
      <c r="A122" t="inlineStr">
        <is>
          <t>WAHYU JAYA</t>
        </is>
      </c>
      <c r="B122" t="inlineStr">
        <is>
          <t>Kota Semarang</t>
        </is>
      </c>
      <c r="C122" t="inlineStr">
        <is>
          <t>0246734000</t>
        </is>
      </c>
      <c r="D122" t="inlineStr">
        <is>
          <t>wahyujayasmg@gmail.com</t>
        </is>
      </c>
      <c r="E122" t="inlineStr">
        <is>
          <t>https://lpjk.pu.go.id/search-badan-usaha-detail/UUVJcU5CYTEwd1hWeTVxSzVvUE40QT09</t>
        </is>
      </c>
      <c r="F122" t="n">
        <v>2</v>
      </c>
      <c r="G122" t="inlineStr">
        <is>
          <t>BG002, BG004</t>
        </is>
      </c>
      <c r="H122" t="inlineStr">
        <is>
          <t>24 Desember 2002</t>
        </is>
      </c>
      <c r="I122" s="2" t="n">
        <v>46347</v>
      </c>
      <c r="J122" t="inlineStr">
        <is>
          <t>Disetujui</t>
        </is>
      </c>
      <c r="K122" t="n">
        <v>87</v>
      </c>
      <c r="L122" t="inlineStr">
        <is>
          <t>21 November 2026</t>
        </is>
      </c>
      <c r="M122" t="inlineStr">
        <is>
          <t>Konstruksi Gedung Perbelanjaan, Konstruksi Gedung Perkantoran</t>
        </is>
      </c>
      <c r="N122" t="inlineStr">
        <is>
          <t>K</t>
        </is>
      </c>
      <c r="O122" t="inlineStr">
        <is>
          <t>20231109, 20231121</t>
        </is>
      </c>
      <c r="P122" t="inlineStr">
        <is>
          <t>Jawa Tengah</t>
        </is>
      </c>
      <c r="Q122" t="inlineStr"/>
    </row>
    <row r="123">
      <c r="A123" t="inlineStr">
        <is>
          <t>WIRATMANA SURYA MANDIRI</t>
        </is>
      </c>
      <c r="B123" t="inlineStr">
        <is>
          <t>Kab. Bandung</t>
        </is>
      </c>
      <c r="C123" t="inlineStr">
        <is>
          <t>081298305540</t>
        </is>
      </c>
      <c r="D123" t="inlineStr">
        <is>
          <t>pt.wiratmanasurya.mandiri@gmail.com</t>
        </is>
      </c>
      <c r="E123" t="inlineStr">
        <is>
          <t>https://lpjk.pu.go.id/search-badan-usaha-detail/OGErS3dobDBPQXh1RXphbUEyb2ZSUT09</t>
        </is>
      </c>
      <c r="F123" t="n">
        <v>3</v>
      </c>
      <c r="G123" t="inlineStr">
        <is>
          <t>BS009</t>
        </is>
      </c>
      <c r="H123" t="inlineStr">
        <is>
          <t>11 Agustus 2023</t>
        </is>
      </c>
      <c r="I123" s="2" t="n">
        <v>46347</v>
      </c>
      <c r="J123" t="inlineStr">
        <is>
          <t>Pencabutan</t>
        </is>
      </c>
      <c r="K123" t="n">
        <v>87</v>
      </c>
      <c r="L123" t="inlineStr">
        <is>
          <t>21 November 2026</t>
        </is>
      </c>
      <c r="M123" t="inlineStr">
        <is>
          <t>Konstruksi Sentral Telekomunikasi</t>
        </is>
      </c>
      <c r="N123" t="inlineStr">
        <is>
          <t>K</t>
        </is>
      </c>
      <c r="O123" t="inlineStr">
        <is>
          <t>20231114</t>
        </is>
      </c>
      <c r="P123" t="inlineStr">
        <is>
          <t>Jawa Barat</t>
        </is>
      </c>
      <c r="Q1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3"/>
  <sheetViews>
    <sheetView workbookViewId="0">
      <selection activeCell="A1" sqref="A1"/>
    </sheetView>
  </sheetViews>
  <sheetFormatPr baseColWidth="8" defaultRowHeight="15"/>
  <cols>
    <col width="49" customWidth="1" min="1" max="1"/>
    <col width="27" customWidth="1" min="2" max="2"/>
    <col width="22" customWidth="1" min="3" max="3"/>
    <col width="38"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ANUGRAH MUSTIKA BUMI</t>
        </is>
      </c>
      <c r="B2" t="inlineStr">
        <is>
          <t>Kota Bekasi</t>
        </is>
      </c>
      <c r="C2" t="inlineStr">
        <is>
          <t>02182592048</t>
        </is>
      </c>
      <c r="D2" t="inlineStr">
        <is>
          <t>anugerahinternusaprima@gmail.com</t>
        </is>
      </c>
      <c r="E2" t="inlineStr">
        <is>
          <t>https://lpjk.pu.go.id/search-badan-usaha-detail/dzJwdGhMdCt4MWdvYzVmcmxabkxtZz09</t>
        </is>
      </c>
      <c r="F2" t="n">
        <v>4</v>
      </c>
      <c r="G2" t="inlineStr">
        <is>
          <t>IN001, IN004</t>
        </is>
      </c>
      <c r="H2" t="inlineStr">
        <is>
          <t>17 Juli 2023</t>
        </is>
      </c>
      <c r="I2" s="2" t="n">
        <v>46320</v>
      </c>
      <c r="J2" t="inlineStr">
        <is>
          <t>Disetujui</t>
        </is>
      </c>
      <c r="K2" t="n">
        <v>60</v>
      </c>
      <c r="L2" t="inlineStr">
        <is>
          <t>25 Oktober 2026</t>
        </is>
      </c>
      <c r="M2" t="inlineStr">
        <is>
          <t>Instalasi Mekanikal, Instalasi Minyak dan Gas</t>
        </is>
      </c>
      <c r="N2" t="inlineStr">
        <is>
          <t>Spesialis</t>
        </is>
      </c>
      <c r="O2" t="inlineStr">
        <is>
          <t>20231020</t>
        </is>
      </c>
      <c r="P2" t="inlineStr">
        <is>
          <t>Jawa Barat</t>
        </is>
      </c>
      <c r="Q2" t="inlineStr"/>
    </row>
    <row r="3">
      <c r="A3" t="inlineStr">
        <is>
          <t>BAKARA PUTRI JAYA</t>
        </is>
      </c>
      <c r="B3" t="inlineStr">
        <is>
          <t>Kota Bekasi</t>
        </is>
      </c>
      <c r="C3" t="inlineStr">
        <is>
          <t>081398284620</t>
        </is>
      </c>
      <c r="D3" t="inlineStr">
        <is>
          <t>bakaraputri123@gmail.com</t>
        </is>
      </c>
      <c r="E3" t="inlineStr">
        <is>
          <t>https://lpjk.pu.go.id/search-badan-usaha-detail/VHV6WUNzMlVqYUNXWnNsSGlXSEdtQT09</t>
        </is>
      </c>
      <c r="F3" t="n">
        <v>10</v>
      </c>
      <c r="G3" t="inlineStr">
        <is>
          <t>BG002, BG005, BG006, BG009, BS001</t>
        </is>
      </c>
      <c r="H3" t="inlineStr">
        <is>
          <t>18 Juli 2023</t>
        </is>
      </c>
      <c r="I3" s="2" t="n">
        <v>46320</v>
      </c>
      <c r="J3" t="inlineStr">
        <is>
          <t>Pencabutan</t>
        </is>
      </c>
      <c r="K3" t="n">
        <v>60</v>
      </c>
      <c r="L3" t="inlineStr">
        <is>
          <t>25 Oktober 2026</t>
        </is>
      </c>
      <c r="M3" t="inlineStr">
        <is>
          <t>Konstruksi Bangunan Sipil Jalan, Konstruksi Gedung Kesehatan, Konstruksi Gedung Lainnya, Konstruksi Gedung Pendidikan, Konstruksi Gedung Perkantoran</t>
        </is>
      </c>
      <c r="N3" t="inlineStr">
        <is>
          <t>K</t>
        </is>
      </c>
      <c r="O3" t="inlineStr">
        <is>
          <t>20231020</t>
        </is>
      </c>
      <c r="P3" t="inlineStr">
        <is>
          <t>Jawa Barat</t>
        </is>
      </c>
      <c r="Q3" s="3">
        <f>HYPERLINK("https://wa.me/6281398284620?text=*[PENGINGAT MASA BERLAKU SBU BAKARA PUTRI JAYA]*%0A%0AYth. Pimpinan BAKARA PUTRI JAYA,%0AMohon izin menginformasikan status SBU Anda di sistem LPJK:%0A%0A📄 SBU: BG002, BG005, BG006, BG009, BS001%0A📅 Expired: 25 Oktober 2026 (60 Hari Lagi)%0A%0AKami tim PT. ESDEA Assistance Management siap men-support proses perpanjangan segera agar administrasi proyek tidak terhambat%0A%0AApakah boleh saya bantu siapkan estimasi biaya dan waktu pengerjaannya?.", "Hubungi")</f>
        <v/>
      </c>
    </row>
    <row r="4">
      <c r="A4" t="inlineStr">
        <is>
          <t>BELLA KARYA BERSINERGI MANDIRI</t>
        </is>
      </c>
      <c r="B4" t="inlineStr">
        <is>
          <t>Kota Depok</t>
        </is>
      </c>
      <c r="C4" t="inlineStr">
        <is>
          <t>082299411808</t>
        </is>
      </c>
      <c r="D4" t="inlineStr">
        <is>
          <t>bbersinergi@gmail.com</t>
        </is>
      </c>
      <c r="E4" t="inlineStr">
        <is>
          <t>https://lpjk.pu.go.id/search-badan-usaha-detail/a0YrK2gweGF1aTMxT1lvaitzdG5KZz09</t>
        </is>
      </c>
      <c r="F4" t="n">
        <v>1</v>
      </c>
      <c r="G4" t="inlineStr">
        <is>
          <t>BS001</t>
        </is>
      </c>
      <c r="H4" t="inlineStr">
        <is>
          <t>12 Februari 2019</t>
        </is>
      </c>
      <c r="I4" s="2" t="n">
        <v>46320</v>
      </c>
      <c r="J4" t="inlineStr">
        <is>
          <t>Disetujui</t>
        </is>
      </c>
      <c r="K4" t="n">
        <v>60</v>
      </c>
      <c r="L4" t="inlineStr">
        <is>
          <t>25 Oktober 2026</t>
        </is>
      </c>
      <c r="M4" t="inlineStr">
        <is>
          <t>Konstruksi Bangunan Sipil Jalan</t>
        </is>
      </c>
      <c r="N4" t="inlineStr">
        <is>
          <t>K</t>
        </is>
      </c>
      <c r="O4" t="inlineStr">
        <is>
          <t>20231020</t>
        </is>
      </c>
      <c r="P4" t="inlineStr">
        <is>
          <t>Jawa Barat</t>
        </is>
      </c>
      <c r="Q4" s="3">
        <f>HYPERLINK("https://wa.me/6282299411808?text=*[PENGINGAT MASA BERLAKU SBU BELLA KARYA BERSINERGI MANDIRI]*%0A%0AYth. Pimpinan BELLA KARYA BERSINERGI MANDIRI,%0AMohon izin menginformasikan status SBU Anda di sistem LPJK:%0A%0A📄 SBU: BS001%0A📅 Expired: 25 Oktober 2026 (60 Hari Lagi)%0A%0AKami tim PT. ESDEA Assistance Management siap men-support proses perpanjangan segera agar administrasi proyek tidak terhambat%0A%0AApakah boleh saya bantu siapkan estimasi biaya dan waktu pengerjaannya?.", "Hubungi")</f>
        <v/>
      </c>
    </row>
    <row r="5">
      <c r="A5" t="inlineStr">
        <is>
          <t>BERKAT MELIMPAH BERSAMA</t>
        </is>
      </c>
      <c r="B5" t="inlineStr">
        <is>
          <t>Kota Depok</t>
        </is>
      </c>
      <c r="C5" t="inlineStr">
        <is>
          <t>082375005177</t>
        </is>
      </c>
      <c r="D5" t="inlineStr">
        <is>
          <t>bm0910@hotmail.com</t>
        </is>
      </c>
      <c r="E5" t="inlineStr">
        <is>
          <t>https://lpjk.pu.go.id/search-badan-usaha-detail/MXZZMzMreXZleXB2SHdyejJJN0xKUT09</t>
        </is>
      </c>
      <c r="F5" t="n">
        <v>2</v>
      </c>
      <c r="G5" t="inlineStr">
        <is>
          <t>BS017</t>
        </is>
      </c>
      <c r="H5" t="inlineStr">
        <is>
          <t>22 Juni 2012</t>
        </is>
      </c>
      <c r="I5" s="2" t="n">
        <v>46320</v>
      </c>
      <c r="J5" t="inlineStr">
        <is>
          <t>Disetujui</t>
        </is>
      </c>
      <c r="K5" t="n">
        <v>60</v>
      </c>
      <c r="L5" t="inlineStr">
        <is>
          <t>25 Oktober 2026</t>
        </is>
      </c>
      <c r="M5" t="inlineStr">
        <is>
          <t>Konstruksi Bangunan Sipil Lainnya Ytdl</t>
        </is>
      </c>
      <c r="N5" t="inlineStr">
        <is>
          <t>K</t>
        </is>
      </c>
      <c r="O5" t="inlineStr">
        <is>
          <t>20231018</t>
        </is>
      </c>
      <c r="P5" t="inlineStr">
        <is>
          <t>Jawa Barat</t>
        </is>
      </c>
      <c r="Q5" s="3">
        <f>HYPERLINK("https://wa.me/6282375005177?text=*[PENGINGAT MASA BERLAKU SBU BERKAT MELIMPAH BERSAMA]*%0A%0AYth. Pimpinan BERKAT MELIMPAH BERSAMA,%0AMohon izin menginformasikan status SBU Anda di sistem LPJK:%0A%0A📄 SBU: BS017%0A📅 Expired: 25 Oktober 2026 (60 Hari Lagi)%0A%0AKami tim PT. ESDEA Assistance Management siap men-support proses perpanjangan segera agar administrasi proyek tidak terhambat%0A%0AApakah boleh saya bantu siapkan estimasi biaya dan waktu pengerjaannya?.", "Hubungi")</f>
        <v/>
      </c>
    </row>
    <row r="6">
      <c r="A6" t="inlineStr">
        <is>
          <t>GUNA ROGATE INDAH</t>
        </is>
      </c>
      <c r="B6" t="inlineStr">
        <is>
          <t>Kota Adm. Jakarta Timur</t>
        </is>
      </c>
      <c r="C6" t="inlineStr">
        <is>
          <t>0218516290</t>
        </is>
      </c>
      <c r="D6" t="inlineStr">
        <is>
          <t>griabipraya@gmail.com</t>
        </is>
      </c>
      <c r="E6" t="inlineStr">
        <is>
          <t>https://lpjk.pu.go.id/search-badan-usaha-detail/ZHl5aXRwc1NlU1NEVktlSjh6Nitydz09</t>
        </is>
      </c>
      <c r="F6" t="n">
        <v>1</v>
      </c>
      <c r="G6" t="inlineStr">
        <is>
          <t>BG006</t>
        </is>
      </c>
      <c r="H6" t="inlineStr">
        <is>
          <t>19 November 2015</t>
        </is>
      </c>
      <c r="I6" s="2" t="n">
        <v>46320</v>
      </c>
      <c r="J6" t="inlineStr">
        <is>
          <t>Disetujui</t>
        </is>
      </c>
      <c r="K6" t="n">
        <v>60</v>
      </c>
      <c r="L6" t="inlineStr">
        <is>
          <t>25 Oktober 2026</t>
        </is>
      </c>
      <c r="M6" t="inlineStr">
        <is>
          <t>Konstruksi Gedung Pendidikan</t>
        </is>
      </c>
      <c r="N6" t="inlineStr">
        <is>
          <t>M</t>
        </is>
      </c>
      <c r="O6" t="inlineStr">
        <is>
          <t>20231025</t>
        </is>
      </c>
      <c r="P6" t="inlineStr">
        <is>
          <t>DKI Jakarta</t>
        </is>
      </c>
      <c r="Q6" t="inlineStr"/>
    </row>
    <row r="7">
      <c r="A7" t="inlineStr">
        <is>
          <t>KONSTRUKSI ANANTA JAYA</t>
        </is>
      </c>
      <c r="B7" t="inlineStr">
        <is>
          <t>Kota Adm. Jakarta Timur</t>
        </is>
      </c>
      <c r="C7" t="inlineStr">
        <is>
          <t>081283000601</t>
        </is>
      </c>
      <c r="D7" t="inlineStr">
        <is>
          <t>konstruksi.anantajaya@gmail.com</t>
        </is>
      </c>
      <c r="E7" t="inlineStr">
        <is>
          <t>https://lpjk.pu.go.id/search-badan-usaha-detail/Y1cyVkNuYlkrVG1aS0JoN29TME9Hdz09</t>
        </is>
      </c>
      <c r="F7" t="n">
        <v>1</v>
      </c>
      <c r="G7" t="inlineStr">
        <is>
          <t>BS001</t>
        </is>
      </c>
      <c r="H7" t="inlineStr">
        <is>
          <t>13 Maret 2019</t>
        </is>
      </c>
      <c r="I7" s="2" t="n">
        <v>46320</v>
      </c>
      <c r="J7" t="inlineStr">
        <is>
          <t>Disetujui</t>
        </is>
      </c>
      <c r="K7" t="n">
        <v>60</v>
      </c>
      <c r="L7" t="inlineStr">
        <is>
          <t>25 Oktober 2026</t>
        </is>
      </c>
      <c r="M7" t="inlineStr">
        <is>
          <t>Konstruksi Bangunan Sipil Jalan</t>
        </is>
      </c>
      <c r="N7" t="inlineStr">
        <is>
          <t>K</t>
        </is>
      </c>
      <c r="O7" t="inlineStr">
        <is>
          <t>20231019</t>
        </is>
      </c>
      <c r="P7" t="inlineStr">
        <is>
          <t>DKI Jakarta</t>
        </is>
      </c>
      <c r="Q7" s="3">
        <f>HYPERLINK("https://wa.me/6281283000601?text=*[PENGINGAT MASA BERLAKU SBU KONSTRUKSI ANANTA JAYA]*%0A%0AYth. Pimpinan KONSTRUKSI ANANTA JAYA,%0AMohon izin menginformasikan status SBU Anda di sistem LPJK:%0A%0A📄 SBU: BS001%0A📅 Expired: 25 Oktober 2026 (60 Hari Lagi)%0A%0AKami tim PT. ESDEA Assistance Management siap men-support proses perpanjangan segera agar administrasi proyek tidak terhambat%0A%0AApakah boleh saya bantu siapkan estimasi biaya dan waktu pengerjaannya?.", "Hubungi")</f>
        <v/>
      </c>
    </row>
    <row r="8">
      <c r="A8" t="inlineStr">
        <is>
          <t>NURA BANGKIT PRATAMA</t>
        </is>
      </c>
      <c r="B8" t="inlineStr">
        <is>
          <t>Kota Bogor</t>
        </is>
      </c>
      <c r="C8" t="inlineStr">
        <is>
          <t>08111100749</t>
        </is>
      </c>
      <c r="D8" t="inlineStr">
        <is>
          <t>nurabangkitpratama.pt@gmail.com</t>
        </is>
      </c>
      <c r="E8" t="inlineStr">
        <is>
          <t>https://lpjk.pu.go.id/search-badan-usaha-detail/UE9URWUxVzAwVGRIYUVBQWF4U1NGQT09</t>
        </is>
      </c>
      <c r="F8" t="n">
        <v>1</v>
      </c>
      <c r="G8" t="inlineStr">
        <is>
          <t>BG006</t>
        </is>
      </c>
      <c r="H8" t="inlineStr">
        <is>
          <t>7 Juli 2023</t>
        </is>
      </c>
      <c r="I8" s="2" t="n">
        <v>46320</v>
      </c>
      <c r="J8" t="inlineStr">
        <is>
          <t>Disetujui</t>
        </is>
      </c>
      <c r="K8" t="n">
        <v>60</v>
      </c>
      <c r="L8" t="inlineStr">
        <is>
          <t>25 Oktober 2026</t>
        </is>
      </c>
      <c r="M8" t="inlineStr">
        <is>
          <t>Konstruksi Gedung Pendidikan</t>
        </is>
      </c>
      <c r="N8" t="inlineStr">
        <is>
          <t>K</t>
        </is>
      </c>
      <c r="O8" t="inlineStr">
        <is>
          <t>20231025</t>
        </is>
      </c>
      <c r="P8" t="inlineStr">
        <is>
          <t>Jawa Barat</t>
        </is>
      </c>
      <c r="Q8" s="3">
        <f>HYPERLINK("https://wa.me/628111100749?text=*[PENGINGAT MASA BERLAKU SBU NURA BANGKIT PRATAMA]*%0A%0AYth. Pimpinan NURA BANGKIT PRATAMA,%0AMohon izin menginformasikan status SBU Anda di sistem LPJK:%0A%0A📄 SBU: BG006%0A📅 Expired: 25 Oktober 2026 (60 Hari Lagi)%0A%0AKami tim PT. ESDEA Assistance Management siap men-support proses perpanjangan segera agar administrasi proyek tidak terhambat%0A%0AApakah boleh saya bantu siapkan estimasi biaya dan waktu pengerjaannya?.", "Hubungi")</f>
        <v/>
      </c>
    </row>
    <row r="9">
      <c r="A9" t="inlineStr">
        <is>
          <t>PERUSAHAAN PERSEROAN (PERSERO) PT. HUTAMA KARYA</t>
        </is>
      </c>
      <c r="B9" t="inlineStr">
        <is>
          <t>Kota Adm. Jakarta Timur</t>
        </is>
      </c>
      <c r="C9" t="inlineStr">
        <is>
          <t>0218193708</t>
        </is>
      </c>
      <c r="D9" t="inlineStr">
        <is>
          <t>pthk@hutamakarya.com</t>
        </is>
      </c>
      <c r="E9" t="inlineStr">
        <is>
          <t>https://lpjk.pu.go.id/search-badan-usaha-detail/TE1nYjBDd0dtOWR1MTRtTjcwVFgrdz09</t>
        </is>
      </c>
      <c r="F9" t="n">
        <v>1</v>
      </c>
      <c r="G9" t="inlineStr">
        <is>
          <t>BS004</t>
        </is>
      </c>
      <c r="H9" t="inlineStr">
        <is>
          <t>5 Maret 1973</t>
        </is>
      </c>
      <c r="I9" s="2" t="n">
        <v>46320</v>
      </c>
      <c r="J9" t="inlineStr">
        <is>
          <t>Disetujui</t>
        </is>
      </c>
      <c r="K9" t="n">
        <v>60</v>
      </c>
      <c r="L9" t="inlineStr">
        <is>
          <t>25 Oktober 2026</t>
        </is>
      </c>
      <c r="M9" t="inlineStr">
        <is>
          <t>Konstruksi Jaringan Irigasi dan Drainase</t>
        </is>
      </c>
      <c r="N9" t="inlineStr">
        <is>
          <t>B</t>
        </is>
      </c>
      <c r="O9" t="inlineStr">
        <is>
          <t>20230327</t>
        </is>
      </c>
      <c r="P9" t="inlineStr">
        <is>
          <t>DKI Jakarta</t>
        </is>
      </c>
      <c r="Q9" t="inlineStr"/>
    </row>
    <row r="10">
      <c r="A10" t="inlineStr">
        <is>
          <t>ABIZAR KARYA SEJAHTERA</t>
        </is>
      </c>
      <c r="B10" t="inlineStr">
        <is>
          <t>Kab. Bojonegoro</t>
        </is>
      </c>
      <c r="C10" t="inlineStr">
        <is>
          <t>081231277231</t>
        </is>
      </c>
      <c r="D10" t="inlineStr">
        <is>
          <t>abizarkaryasejahtera@gmail.com</t>
        </is>
      </c>
      <c r="E10" t="inlineStr">
        <is>
          <t>https://lpjk.pu.go.id/search-badan-usaha-detail/UWJTc1BUQjdUY3FWenowd2pQTmVOZz09</t>
        </is>
      </c>
      <c r="F10" t="n">
        <v>3</v>
      </c>
      <c r="G10" t="inlineStr">
        <is>
          <t>BS001, BS002, BS004</t>
        </is>
      </c>
      <c r="H10" t="inlineStr">
        <is>
          <t>25 September 2023</t>
        </is>
      </c>
      <c r="I10" s="2" t="n">
        <v>46320</v>
      </c>
      <c r="J10" t="inlineStr">
        <is>
          <t>Pencabutan</t>
        </is>
      </c>
      <c r="K10" t="n">
        <v>60</v>
      </c>
      <c r="L10" t="inlineStr">
        <is>
          <t>25 Oktober 2026</t>
        </is>
      </c>
      <c r="M10" t="inlineStr">
        <is>
          <t>Bangunan Sipil Jembatan, Jalan Layang, Fly Over, dan Underpass, Konstruksi Bangunan Sipil Jalan, Konstruksi Jaringan Irigasi dan Drainase</t>
        </is>
      </c>
      <c r="N10" t="inlineStr">
        <is>
          <t>K</t>
        </is>
      </c>
      <c r="O10" t="inlineStr">
        <is>
          <t>20231026</t>
        </is>
      </c>
      <c r="P10" t="inlineStr">
        <is>
          <t>Jawa Timur</t>
        </is>
      </c>
      <c r="Q10" t="inlineStr"/>
    </row>
    <row r="11">
      <c r="A11" t="inlineStr">
        <is>
          <t>ADHIATAMA MAKMUR SEJAHTERA</t>
        </is>
      </c>
      <c r="B11" t="inlineStr">
        <is>
          <t>Kab. Demak</t>
        </is>
      </c>
      <c r="C11" t="inlineStr">
        <is>
          <t>085777773368</t>
        </is>
      </c>
      <c r="D11" t="inlineStr">
        <is>
          <t>adhiatamamakmursejahtera@gmail.com</t>
        </is>
      </c>
      <c r="E11" t="inlineStr">
        <is>
          <t>https://lpjk.pu.go.id/search-badan-usaha-detail/ZytHM2FBQW9YMmkrTktSK0ZoUjBldz09</t>
        </is>
      </c>
      <c r="F11" t="n">
        <v>12</v>
      </c>
      <c r="G11" t="inlineStr">
        <is>
          <t>BG002, BG006, BG009, BS001</t>
        </is>
      </c>
      <c r="H11" t="inlineStr">
        <is>
          <t>28 September 2023</t>
        </is>
      </c>
      <c r="I11" s="2" t="n">
        <v>46320</v>
      </c>
      <c r="J11" t="inlineStr">
        <is>
          <t>Disetujui</t>
        </is>
      </c>
      <c r="K11" t="n">
        <v>60</v>
      </c>
      <c r="L11" t="inlineStr">
        <is>
          <t>25 Oktober 2026</t>
        </is>
      </c>
      <c r="M11" t="inlineStr">
        <is>
          <t>Konstruksi Bangunan Sipil Jalan, Konstruksi Gedung Lainnya, Konstruksi Gedung Pendidikan, Konstruksi Gedung Perkantoran</t>
        </is>
      </c>
      <c r="N11" t="inlineStr">
        <is>
          <t>K</t>
        </is>
      </c>
      <c r="O11" t="inlineStr">
        <is>
          <t>20231020</t>
        </is>
      </c>
      <c r="P11" t="inlineStr">
        <is>
          <t>Jawa Tengah</t>
        </is>
      </c>
      <c r="Q11" t="inlineStr"/>
    </row>
    <row r="12">
      <c r="A12" t="inlineStr">
        <is>
          <t>ADI PUTRA</t>
        </is>
      </c>
      <c r="B12" t="inlineStr">
        <is>
          <t>Kab. Buleleng</t>
        </is>
      </c>
      <c r="C12" t="inlineStr">
        <is>
          <t>087804639859</t>
        </is>
      </c>
      <c r="D12" t="inlineStr">
        <is>
          <t>cv.adiputra@gmail.com</t>
        </is>
      </c>
      <c r="E12" t="inlineStr">
        <is>
          <t>https://lpjk.pu.go.id/search-badan-usaha-detail/YUJ3WFBjaDBiS1NVZElxMFJiU0dzdz09</t>
        </is>
      </c>
      <c r="F12" t="n">
        <v>1</v>
      </c>
      <c r="G12" t="inlineStr">
        <is>
          <t>BG004</t>
        </is>
      </c>
      <c r="H12" t="inlineStr">
        <is>
          <t>16 Mei 2000</t>
        </is>
      </c>
      <c r="I12" s="2" t="n">
        <v>46320</v>
      </c>
      <c r="J12" t="inlineStr">
        <is>
          <t>Disetujui</t>
        </is>
      </c>
      <c r="K12" t="n">
        <v>60</v>
      </c>
      <c r="L12" t="inlineStr">
        <is>
          <t>25 Oktober 2026</t>
        </is>
      </c>
      <c r="M12" t="inlineStr">
        <is>
          <t>Konstruksi Gedung Perbelanjaan</t>
        </is>
      </c>
      <c r="N12" t="inlineStr">
        <is>
          <t>K</t>
        </is>
      </c>
      <c r="O12" t="inlineStr">
        <is>
          <t>20231012</t>
        </is>
      </c>
      <c r="P12" t="inlineStr">
        <is>
          <t>Bali</t>
        </is>
      </c>
      <c r="Q12" t="inlineStr"/>
    </row>
    <row r="13">
      <c r="A13" t="inlineStr">
        <is>
          <t>ADITYA</t>
        </is>
      </c>
      <c r="B13" t="inlineStr">
        <is>
          <t>Kab. Temanggung</t>
        </is>
      </c>
      <c r="C13" t="inlineStr">
        <is>
          <t>081328744793</t>
        </is>
      </c>
      <c r="D13" t="inlineStr">
        <is>
          <t>bambangtriprastomo@ymail.com</t>
        </is>
      </c>
      <c r="E13" t="inlineStr">
        <is>
          <t>https://lpjk.pu.go.id/search-badan-usaha-detail/WmdZaTAyNHhXWUZnZE5WODRIaThBUT09</t>
        </is>
      </c>
      <c r="F13" t="n">
        <v>1</v>
      </c>
      <c r="G13" t="inlineStr">
        <is>
          <t>BG002</t>
        </is>
      </c>
      <c r="H13" t="inlineStr">
        <is>
          <t>5 Februari 1993</t>
        </is>
      </c>
      <c r="I13" s="2" t="n">
        <v>46320</v>
      </c>
      <c r="J13" t="inlineStr">
        <is>
          <t>Disetujui</t>
        </is>
      </c>
      <c r="K13" t="n">
        <v>60</v>
      </c>
      <c r="L13" t="inlineStr">
        <is>
          <t>25 Oktober 2026</t>
        </is>
      </c>
      <c r="M13" t="inlineStr">
        <is>
          <t>Konstruksi Gedung Perkantoran</t>
        </is>
      </c>
      <c r="N13" t="inlineStr">
        <is>
          <t>K</t>
        </is>
      </c>
      <c r="O13" t="inlineStr">
        <is>
          <t>20231020</t>
        </is>
      </c>
      <c r="P13" t="inlineStr">
        <is>
          <t>Jawa Tengah</t>
        </is>
      </c>
      <c r="Q13" t="inlineStr"/>
    </row>
    <row r="14">
      <c r="A14" t="inlineStr">
        <is>
          <t>AGAMUA</t>
        </is>
      </c>
      <c r="B14" t="inlineStr">
        <is>
          <t>Kab. Jayawijaya</t>
        </is>
      </c>
      <c r="C14" t="inlineStr">
        <is>
          <t>08124292245</t>
        </is>
      </c>
      <c r="D14" t="inlineStr">
        <is>
          <t>agamua1.pt@gmail.com</t>
        </is>
      </c>
      <c r="E14" t="inlineStr">
        <is>
          <t>https://lpjk.pu.go.id/search-badan-usaha-detail/UjFQa2FuUzhKbEJTK1RBSkVOclVwQT09</t>
        </is>
      </c>
      <c r="F14" t="n">
        <v>1</v>
      </c>
      <c r="G14" t="inlineStr">
        <is>
          <t>BS001</t>
        </is>
      </c>
      <c r="H14" t="inlineStr">
        <is>
          <t>30 Desember 2009</t>
        </is>
      </c>
      <c r="I14" s="2" t="n">
        <v>46320</v>
      </c>
      <c r="J14" t="inlineStr">
        <is>
          <t>Pencabutan</t>
        </is>
      </c>
      <c r="K14" t="n">
        <v>60</v>
      </c>
      <c r="L14" t="inlineStr">
        <is>
          <t>25 Oktober 2026</t>
        </is>
      </c>
      <c r="M14" t="inlineStr">
        <is>
          <t>Konstruksi Bangunan Sipil Jalan</t>
        </is>
      </c>
      <c r="N14" t="inlineStr">
        <is>
          <t>M</t>
        </is>
      </c>
      <c r="O14" t="inlineStr">
        <is>
          <t>20231012</t>
        </is>
      </c>
      <c r="P14" t="inlineStr">
        <is>
          <t>Papua</t>
        </is>
      </c>
      <c r="Q14" t="inlineStr"/>
    </row>
    <row r="15">
      <c r="A15" t="inlineStr">
        <is>
          <t>AKA DESIGN DAN ENGINEERING</t>
        </is>
      </c>
      <c r="B15" t="inlineStr">
        <is>
          <t>Kab. Malang</t>
        </is>
      </c>
      <c r="C15" t="inlineStr">
        <is>
          <t>081232662022</t>
        </is>
      </c>
      <c r="D15" t="inlineStr">
        <is>
          <t>akdesignengineering@gmail.com</t>
        </is>
      </c>
      <c r="E15" t="inlineStr">
        <is>
          <t>https://lpjk.pu.go.id/search-badan-usaha-detail/SE83M1hsLzJzVzVYS3BHYmR2Uno5dz09</t>
        </is>
      </c>
      <c r="F15" t="n">
        <v>1</v>
      </c>
      <c r="G15" t="inlineStr">
        <is>
          <t>RK001</t>
        </is>
      </c>
      <c r="H15" t="inlineStr">
        <is>
          <t>15 Mei 2017</t>
        </is>
      </c>
      <c r="I15" s="2" t="n">
        <v>46320</v>
      </c>
      <c r="J15" t="inlineStr">
        <is>
          <t>Pencabutan</t>
        </is>
      </c>
      <c r="K15" t="n">
        <v>60</v>
      </c>
      <c r="L15" t="inlineStr">
        <is>
          <t>25 Oktober 2026</t>
        </is>
      </c>
      <c r="M15" t="inlineStr">
        <is>
          <t>Jasa Rekayasa Konstruksi Bangunan Gedung Hunian dan Non Hunian</t>
        </is>
      </c>
      <c r="N15" t="inlineStr">
        <is>
          <t>K</t>
        </is>
      </c>
      <c r="O15" t="inlineStr">
        <is>
          <t>20231018</t>
        </is>
      </c>
      <c r="P15" t="inlineStr">
        <is>
          <t>Jawa Timur</t>
        </is>
      </c>
      <c r="Q15" t="inlineStr"/>
    </row>
    <row r="16">
      <c r="A16" t="inlineStr">
        <is>
          <t>AMANDA PERDANA</t>
        </is>
      </c>
      <c r="B16" t="inlineStr">
        <is>
          <t>Kota Makassar</t>
        </is>
      </c>
      <c r="C16" t="inlineStr">
        <is>
          <t>081355213822</t>
        </is>
      </c>
      <c r="D16" t="inlineStr">
        <is>
          <t>amandaperdana035@gmail.com</t>
        </is>
      </c>
      <c r="E16" t="inlineStr">
        <is>
          <t>https://lpjk.pu.go.id/search-badan-usaha-detail/U0tMVFZUNE1QN3pNWGhDanpycTlkQT09</t>
        </is>
      </c>
      <c r="F16" t="n">
        <v>2</v>
      </c>
      <c r="G16" t="inlineStr">
        <is>
          <t>BS004</t>
        </is>
      </c>
      <c r="H16" t="inlineStr">
        <is>
          <t>15 Juni 2004</t>
        </is>
      </c>
      <c r="I16" s="2" t="n">
        <v>46320</v>
      </c>
      <c r="J16" t="inlineStr">
        <is>
          <t>Disetujui</t>
        </is>
      </c>
      <c r="K16" t="n">
        <v>60</v>
      </c>
      <c r="L16" t="inlineStr">
        <is>
          <t>25 Oktober 2026</t>
        </is>
      </c>
      <c r="M16" t="inlineStr">
        <is>
          <t>Konstruksi Jaringan Irigasi dan Drainase</t>
        </is>
      </c>
      <c r="N16" t="inlineStr">
        <is>
          <t>K</t>
        </is>
      </c>
      <c r="O16" t="inlineStr">
        <is>
          <t>20231020</t>
        </is>
      </c>
      <c r="P16" t="inlineStr">
        <is>
          <t>Sulawesi Selatan</t>
        </is>
      </c>
      <c r="Q16" t="inlineStr"/>
    </row>
    <row r="17">
      <c r="A17" t="inlineStr">
        <is>
          <t>ANDHIKA AGUNG PERKASA</t>
        </is>
      </c>
      <c r="B17" t="inlineStr">
        <is>
          <t>Kota Malang</t>
        </is>
      </c>
      <c r="C17" t="inlineStr">
        <is>
          <t>0341362838</t>
        </is>
      </c>
      <c r="D17" t="inlineStr">
        <is>
          <t>aa_perkasa@yahoo.co.id</t>
        </is>
      </c>
      <c r="E17" t="inlineStr">
        <is>
          <t>https://lpjk.pu.go.id/search-badan-usaha-detail/dm5OWndiRVVPUXQ1VmpOL2NiT3VpUT09</t>
        </is>
      </c>
      <c r="F17" t="n">
        <v>5</v>
      </c>
      <c r="G17" t="inlineStr">
        <is>
          <t>BG001, BG002, BG003, BG004, BG009</t>
        </is>
      </c>
      <c r="H17" t="inlineStr">
        <is>
          <t>22 Oktober 1987</t>
        </is>
      </c>
      <c r="I17" s="2" t="n">
        <v>46320</v>
      </c>
      <c r="J17" t="inlineStr">
        <is>
          <t>Disetujui</t>
        </is>
      </c>
      <c r="K17" t="n">
        <v>60</v>
      </c>
      <c r="L17" t="inlineStr">
        <is>
          <t>25 Oktober 2026</t>
        </is>
      </c>
      <c r="M17" t="inlineStr">
        <is>
          <t>Konstruksi Gedung Hunian, Konstruksi Gedung Industri, Konstruksi Gedung Lainnya, Konstruksi Gedung Perbelanjaan, Konstruksi Gedung Perkantoran</t>
        </is>
      </c>
      <c r="N17" t="inlineStr">
        <is>
          <t>K</t>
        </is>
      </c>
      <c r="O17" t="inlineStr">
        <is>
          <t>20230607, 20231019</t>
        </is>
      </c>
      <c r="P17" t="inlineStr">
        <is>
          <t>Jawa Timur</t>
        </is>
      </c>
      <c r="Q17" t="inlineStr"/>
    </row>
    <row r="18">
      <c r="A18" t="inlineStr">
        <is>
          <t>ANITA</t>
        </is>
      </c>
      <c r="B18" t="inlineStr">
        <is>
          <t>Kab. Magetan</t>
        </is>
      </c>
      <c r="C18" t="inlineStr">
        <is>
          <t>085235034111</t>
        </is>
      </c>
      <c r="D18" t="inlineStr">
        <is>
          <t>anitacv669@gmail.com</t>
        </is>
      </c>
      <c r="E18" t="inlineStr">
        <is>
          <t>https://lpjk.pu.go.id/search-badan-usaha-detail/dTJTQ283a0FTUFBLTjdGR2xLY0hOdz09</t>
        </is>
      </c>
      <c r="F18" t="n">
        <v>4</v>
      </c>
      <c r="G18" t="inlineStr">
        <is>
          <t>BG004, BG005, BG006, BG009</t>
        </is>
      </c>
      <c r="H18" t="inlineStr">
        <is>
          <t>30 November 2000</t>
        </is>
      </c>
      <c r="I18" s="2" t="n">
        <v>46320</v>
      </c>
      <c r="J18" t="inlineStr">
        <is>
          <t>Disetujui</t>
        </is>
      </c>
      <c r="K18" t="n">
        <v>60</v>
      </c>
      <c r="L18" t="inlineStr">
        <is>
          <t>25 Oktober 2026</t>
        </is>
      </c>
      <c r="M18" t="inlineStr">
        <is>
          <t>Konstruksi Gedung Kesehatan, Konstruksi Gedung Lainnya, Konstruksi Gedung Pendidikan, Konstruksi Gedung Perbelanjaan</t>
        </is>
      </c>
      <c r="N18" t="inlineStr">
        <is>
          <t>K</t>
        </is>
      </c>
      <c r="O18" t="inlineStr">
        <is>
          <t>20231023</t>
        </is>
      </c>
      <c r="P18" t="inlineStr">
        <is>
          <t>Jawa Timur</t>
        </is>
      </c>
      <c r="Q18" t="inlineStr"/>
    </row>
    <row r="19">
      <c r="A19" t="inlineStr">
        <is>
          <t>ARDILA</t>
        </is>
      </c>
      <c r="B19" t="inlineStr">
        <is>
          <t>Kab. Sekadau</t>
        </is>
      </c>
      <c r="C19" t="inlineStr">
        <is>
          <t>085251965682</t>
        </is>
      </c>
      <c r="D19" t="inlineStr">
        <is>
          <t>ptardila825@gmail.com</t>
        </is>
      </c>
      <c r="E19" t="inlineStr">
        <is>
          <t>https://lpjk.pu.go.id/search-badan-usaha-detail/TW5md1ltbG5jOXhlRTlFWUxkcHcyZz09</t>
        </is>
      </c>
      <c r="F19" t="n">
        <v>1</v>
      </c>
      <c r="G19" t="inlineStr">
        <is>
          <t>BG001</t>
        </is>
      </c>
      <c r="H19" t="inlineStr">
        <is>
          <t>22 Desember 2012</t>
        </is>
      </c>
      <c r="I19" s="2" t="n">
        <v>46320</v>
      </c>
      <c r="J19" t="inlineStr">
        <is>
          <t>Disetujui</t>
        </is>
      </c>
      <c r="K19" t="n">
        <v>60</v>
      </c>
      <c r="L19" t="inlineStr">
        <is>
          <t>25 Oktober 2026</t>
        </is>
      </c>
      <c r="M19" t="inlineStr">
        <is>
          <t>Konstruksi Gedung Hunian</t>
        </is>
      </c>
      <c r="N19" t="inlineStr">
        <is>
          <t>K</t>
        </is>
      </c>
      <c r="O19" t="inlineStr">
        <is>
          <t>20231026</t>
        </is>
      </c>
      <c r="P19" t="inlineStr">
        <is>
          <t>Kalimantan Barat</t>
        </is>
      </c>
      <c r="Q19" t="inlineStr"/>
    </row>
    <row r="20">
      <c r="A20" t="inlineStr">
        <is>
          <t>ARIA PERKASA</t>
        </is>
      </c>
      <c r="B20" t="inlineStr">
        <is>
          <t>Kab. Tangerang</t>
        </is>
      </c>
      <c r="C20" t="inlineStr">
        <is>
          <t>085882935015</t>
        </is>
      </c>
      <c r="D20" t="inlineStr">
        <is>
          <t>rusdihijrah9@gmail.com</t>
        </is>
      </c>
      <c r="E20" t="inlineStr">
        <is>
          <t>https://lpjk.pu.go.id/search-badan-usaha-detail/dG9wQ1lSUHVlakROaTlmZ1d3dzAvZz09</t>
        </is>
      </c>
      <c r="F20" t="n">
        <v>2</v>
      </c>
      <c r="G20" t="inlineStr">
        <is>
          <t>BS001, BS004</t>
        </is>
      </c>
      <c r="H20" t="inlineStr">
        <is>
          <t>15 Desember 2014</t>
        </is>
      </c>
      <c r="I20" s="2" t="n">
        <v>46320</v>
      </c>
      <c r="J20" t="inlineStr">
        <is>
          <t>Disetujui</t>
        </is>
      </c>
      <c r="K20" t="n">
        <v>60</v>
      </c>
      <c r="L20" t="inlineStr">
        <is>
          <t>25 Oktober 2026</t>
        </is>
      </c>
      <c r="M20" t="inlineStr">
        <is>
          <t>Konstruksi Bangunan Sipil Jalan, Konstruksi Jaringan Irigasi dan Drainase</t>
        </is>
      </c>
      <c r="N20" t="inlineStr">
        <is>
          <t>K</t>
        </is>
      </c>
      <c r="O20" t="inlineStr">
        <is>
          <t>20231022, 20231026</t>
        </is>
      </c>
      <c r="P20" t="inlineStr">
        <is>
          <t>Banten</t>
        </is>
      </c>
      <c r="Q20" t="inlineStr"/>
    </row>
    <row r="21">
      <c r="A21" t="inlineStr">
        <is>
          <t>ARSYILA NUR RIA</t>
        </is>
      </c>
      <c r="B21" t="inlineStr">
        <is>
          <t>Kab. Nunukan</t>
        </is>
      </c>
      <c r="C21" t="inlineStr">
        <is>
          <t>081258198743</t>
        </is>
      </c>
      <c r="D21" t="inlineStr">
        <is>
          <t>cvarsyilanurria@gmail.com</t>
        </is>
      </c>
      <c r="E21" t="inlineStr">
        <is>
          <t>https://lpjk.pu.go.id/search-badan-usaha-detail/ckdmNUFYZkllUUZxb1NPY2JhQkl1dz09</t>
        </is>
      </c>
      <c r="F21" t="n">
        <v>8</v>
      </c>
      <c r="G21" t="inlineStr">
        <is>
          <t>BG006, BG009, BS001, BS004</t>
        </is>
      </c>
      <c r="H21" t="inlineStr">
        <is>
          <t>13 Januari 2020</t>
        </is>
      </c>
      <c r="I21" s="2" t="n">
        <v>46320</v>
      </c>
      <c r="J21" t="inlineStr">
        <is>
          <t>Disetujui</t>
        </is>
      </c>
      <c r="K21" t="n">
        <v>60</v>
      </c>
      <c r="L21" t="inlineStr">
        <is>
          <t>25 Oktober 2026</t>
        </is>
      </c>
      <c r="M21" t="inlineStr">
        <is>
          <t>Konstruksi Bangunan Sipil Jalan, Konstruksi Gedung Lainnya, Konstruksi Gedung Pendidikan, Konstruksi Jaringan Irigasi dan Drainase</t>
        </is>
      </c>
      <c r="N21" t="inlineStr">
        <is>
          <t>K</t>
        </is>
      </c>
      <c r="O21" t="inlineStr">
        <is>
          <t>20231020, 20231022, 20231025</t>
        </is>
      </c>
      <c r="P21" t="inlineStr">
        <is>
          <t>Kalimantan Utara</t>
        </is>
      </c>
      <c r="Q21" t="inlineStr"/>
    </row>
    <row r="22">
      <c r="A22" t="inlineStr">
        <is>
          <t>ARTHA TAMBA RAYA</t>
        </is>
      </c>
      <c r="B22" t="inlineStr">
        <is>
          <t>Kota Palembang</t>
        </is>
      </c>
      <c r="C22" t="inlineStr">
        <is>
          <t>081223457935</t>
        </is>
      </c>
      <c r="D22" t="inlineStr">
        <is>
          <t>arthatambaraya.pt@gmail.com</t>
        </is>
      </c>
      <c r="E22" t="inlineStr">
        <is>
          <t>https://lpjk.pu.go.id/search-badan-usaha-detail/dFNtcXdtNUhsYlhLL3UrR0M2dlRVUT09</t>
        </is>
      </c>
      <c r="F22" t="n">
        <v>2</v>
      </c>
      <c r="G22" t="inlineStr">
        <is>
          <t>BG003, BS001</t>
        </is>
      </c>
      <c r="H22" t="inlineStr">
        <is>
          <t>8 Desember 2003</t>
        </is>
      </c>
      <c r="I22" s="2" t="n">
        <v>46320</v>
      </c>
      <c r="J22" t="inlineStr">
        <is>
          <t>Pembekuan</t>
        </is>
      </c>
      <c r="K22" t="n">
        <v>60</v>
      </c>
      <c r="L22" t="inlineStr">
        <is>
          <t>25 Oktober 2026</t>
        </is>
      </c>
      <c r="M22" t="inlineStr">
        <is>
          <t>Konstruksi Bangunan Sipil Jalan, Konstruksi Gedung Industri</t>
        </is>
      </c>
      <c r="N22" t="inlineStr">
        <is>
          <t>M</t>
        </is>
      </c>
      <c r="O22" t="inlineStr">
        <is>
          <t>20231024</t>
        </is>
      </c>
      <c r="P22" t="inlineStr">
        <is>
          <t>Sumatera Selatan</t>
        </is>
      </c>
      <c r="Q22" t="inlineStr"/>
    </row>
    <row r="23">
      <c r="A23" t="inlineStr">
        <is>
          <t>ARYANA CAKASANA</t>
        </is>
      </c>
      <c r="B23" t="inlineStr">
        <is>
          <t>Kota Surabaya</t>
        </is>
      </c>
      <c r="C23" t="inlineStr">
        <is>
          <t>0315051010</t>
        </is>
      </c>
      <c r="D23" t="inlineStr">
        <is>
          <t>infoaryana23@gmail.com</t>
        </is>
      </c>
      <c r="E23" t="inlineStr">
        <is>
          <t>https://lpjk.pu.go.id/search-badan-usaha-detail/YjltMDN4TnZFWXFpU0dpUm1pL1pOdz09</t>
        </is>
      </c>
      <c r="F23" t="n">
        <v>2</v>
      </c>
      <c r="G23" t="inlineStr">
        <is>
          <t>BG002</t>
        </is>
      </c>
      <c r="H23" t="inlineStr">
        <is>
          <t>20 Maret 1991</t>
        </is>
      </c>
      <c r="I23" s="2" t="n">
        <v>46320</v>
      </c>
      <c r="J23" t="inlineStr">
        <is>
          <t>Pembekuan</t>
        </is>
      </c>
      <c r="K23" t="n">
        <v>60</v>
      </c>
      <c r="L23" t="inlineStr">
        <is>
          <t>25 Oktober 2026</t>
        </is>
      </c>
      <c r="M23" t="inlineStr">
        <is>
          <t>Konstruksi Gedung Perkantoran</t>
        </is>
      </c>
      <c r="N23" t="inlineStr">
        <is>
          <t>M</t>
        </is>
      </c>
      <c r="O23" t="inlineStr">
        <is>
          <t>20231026</t>
        </is>
      </c>
      <c r="P23" t="inlineStr">
        <is>
          <t>Jawa Timur</t>
        </is>
      </c>
      <c r="Q23" t="inlineStr"/>
    </row>
    <row r="24">
      <c r="A24" t="inlineStr">
        <is>
          <t>ASTAKONA DUTASARANA DIMENSI</t>
        </is>
      </c>
      <c r="B24" t="inlineStr">
        <is>
          <t>Kota Makassar</t>
        </is>
      </c>
      <c r="C24" t="inlineStr">
        <is>
          <t>0411586716</t>
        </is>
      </c>
      <c r="D24" t="inlineStr">
        <is>
          <t>astakonadd@gmail.com</t>
        </is>
      </c>
      <c r="E24" t="inlineStr">
        <is>
          <t>https://lpjk.pu.go.id/search-badan-usaha-detail/TGtQWUROdTR2eWlYU29HdFJrY1QvUT09</t>
        </is>
      </c>
      <c r="F24" t="n">
        <v>1</v>
      </c>
      <c r="G24" t="inlineStr">
        <is>
          <t>RK003</t>
        </is>
      </c>
      <c r="H24" t="inlineStr">
        <is>
          <t>30 Mei 1988</t>
        </is>
      </c>
      <c r="I24" s="2" t="n">
        <v>46320</v>
      </c>
      <c r="J24" t="inlineStr">
        <is>
          <t>Pencabutan</t>
        </is>
      </c>
      <c r="K24" t="n">
        <v>60</v>
      </c>
      <c r="L24" t="inlineStr">
        <is>
          <t>25 Oktober 2026</t>
        </is>
      </c>
      <c r="M24" t="inlineStr">
        <is>
          <t>Jasa Rekayasa Pekerjaan Teknik Sipil Transportasi</t>
        </is>
      </c>
      <c r="N24" t="inlineStr">
        <is>
          <t>B</t>
        </is>
      </c>
      <c r="O24" t="inlineStr">
        <is>
          <t>20231012</t>
        </is>
      </c>
      <c r="P24" t="inlineStr">
        <is>
          <t>Sulawesi Selatan</t>
        </is>
      </c>
      <c r="Q24" t="inlineStr"/>
    </row>
    <row r="25">
      <c r="A25" t="inlineStr">
        <is>
          <t>ATLAS INTERNATIONAL INDAH</t>
        </is>
      </c>
      <c r="B25" t="inlineStr">
        <is>
          <t>Kota Bandung</t>
        </is>
      </c>
      <c r="C25" t="inlineStr">
        <is>
          <t>08157004757</t>
        </is>
      </c>
      <c r="D25" t="inlineStr">
        <is>
          <t>atlasinter.bdg@gmail.com</t>
        </is>
      </c>
      <c r="E25" t="inlineStr">
        <is>
          <t>https://lpjk.pu.go.id/search-badan-usaha-detail/aldWZm41MUMzOGtRcjZEdExUWU5odz09</t>
        </is>
      </c>
      <c r="F25" t="n">
        <v>1</v>
      </c>
      <c r="G25" t="inlineStr">
        <is>
          <t>RK003</t>
        </is>
      </c>
      <c r="H25" t="inlineStr">
        <is>
          <t>10 Februari 1982</t>
        </is>
      </c>
      <c r="I25" s="2" t="n">
        <v>46320</v>
      </c>
      <c r="J25" t="inlineStr">
        <is>
          <t>Disetujui</t>
        </is>
      </c>
      <c r="K25" t="n">
        <v>60</v>
      </c>
      <c r="L25" t="inlineStr">
        <is>
          <t>25 Oktober 2026</t>
        </is>
      </c>
      <c r="M25" t="inlineStr">
        <is>
          <t>Jasa Rekayasa Pekerjaan Teknik Sipil Transportasi</t>
        </is>
      </c>
      <c r="N25" t="inlineStr">
        <is>
          <t>M</t>
        </is>
      </c>
      <c r="O25" t="inlineStr">
        <is>
          <t>20231019</t>
        </is>
      </c>
      <c r="P25" t="inlineStr">
        <is>
          <t>Jawa Barat</t>
        </is>
      </c>
      <c r="Q25" t="inlineStr"/>
    </row>
    <row r="26">
      <c r="A26" t="inlineStr">
        <is>
          <t>AWANG PERKASA</t>
        </is>
      </c>
      <c r="B26" t="inlineStr">
        <is>
          <t>Kota Madiun</t>
        </is>
      </c>
      <c r="C26" t="inlineStr">
        <is>
          <t>081359093660</t>
        </is>
      </c>
      <c r="D26" t="inlineStr">
        <is>
          <t>awangperkasa71@gmail.com</t>
        </is>
      </c>
      <c r="E26" t="inlineStr">
        <is>
          <t>https://lpjk.pu.go.id/search-badan-usaha-detail/ZWdyLytZR2xOV1NlU3BaaGZKT1o3UT09</t>
        </is>
      </c>
      <c r="F26" t="n">
        <v>2</v>
      </c>
      <c r="G26" t="inlineStr">
        <is>
          <t>BS001</t>
        </is>
      </c>
      <c r="H26" t="inlineStr">
        <is>
          <t>8 Maret 2014</t>
        </is>
      </c>
      <c r="I26" s="2" t="n">
        <v>46320</v>
      </c>
      <c r="J26" t="inlineStr">
        <is>
          <t>Disetujui</t>
        </is>
      </c>
      <c r="K26" t="n">
        <v>60</v>
      </c>
      <c r="L26" t="inlineStr">
        <is>
          <t>25 Oktober 2026</t>
        </is>
      </c>
      <c r="M26" t="inlineStr">
        <is>
          <t>Konstruksi Bangunan Sipil Jalan</t>
        </is>
      </c>
      <c r="N26" t="inlineStr">
        <is>
          <t>K</t>
        </is>
      </c>
      <c r="O26" t="inlineStr">
        <is>
          <t>20231025</t>
        </is>
      </c>
      <c r="P26" t="inlineStr">
        <is>
          <t>Jawa Timur</t>
        </is>
      </c>
      <c r="Q26" t="inlineStr"/>
    </row>
    <row r="27">
      <c r="A27" t="inlineStr">
        <is>
          <t>AYU KONTRAKTOR</t>
        </is>
      </c>
      <c r="B27" t="inlineStr">
        <is>
          <t>Kota Bandung</t>
        </is>
      </c>
      <c r="C27" t="inlineStr">
        <is>
          <t>082296874227</t>
        </is>
      </c>
      <c r="D27" t="inlineStr">
        <is>
          <t>ayukontraktor222@gmail.com</t>
        </is>
      </c>
      <c r="E27" t="inlineStr">
        <is>
          <t>https://lpjk.pu.go.id/search-badan-usaha-detail/ZG94OSs4NU91aDFteW05dDJ3cFZZQT09</t>
        </is>
      </c>
      <c r="F27" t="n">
        <v>1</v>
      </c>
      <c r="G27" t="inlineStr">
        <is>
          <t>IN008</t>
        </is>
      </c>
      <c r="H27" t="inlineStr">
        <is>
          <t>25 Juni 2012</t>
        </is>
      </c>
      <c r="I27" s="2" t="n">
        <v>46320</v>
      </c>
      <c r="J27" t="inlineStr">
        <is>
          <t>Pencabutan</t>
        </is>
      </c>
      <c r="K27" t="n">
        <v>60</v>
      </c>
      <c r="L27" t="inlineStr">
        <is>
          <t>25 Oktober 2026</t>
        </is>
      </c>
      <c r="M27" t="inlineStr">
        <is>
          <t>Instalasi Pendingin Dan Ventilasi Udara</t>
        </is>
      </c>
      <c r="N27" t="inlineStr">
        <is>
          <t>Spesialis</t>
        </is>
      </c>
      <c r="O27" t="inlineStr">
        <is>
          <t>20231024</t>
        </is>
      </c>
      <c r="P27" t="inlineStr">
        <is>
          <t>Jawa Barat</t>
        </is>
      </c>
      <c r="Q27" t="inlineStr"/>
    </row>
    <row r="28">
      <c r="A28" t="inlineStr">
        <is>
          <t>BALADEWA SUKSES PROPERTINDO</t>
        </is>
      </c>
      <c r="B28" t="inlineStr">
        <is>
          <t>Kota Cirebon</t>
        </is>
      </c>
      <c r="C28" t="inlineStr">
        <is>
          <t>082214050064</t>
        </is>
      </c>
      <c r="D28" t="inlineStr">
        <is>
          <t>cvbaladewasp22@gmail.com</t>
        </is>
      </c>
      <c r="E28" t="inlineStr">
        <is>
          <t>https://lpjk.pu.go.id/search-badan-usaha-detail/WktTdUJqNjA1TFhvNjNWdjJYQkc0dz09</t>
        </is>
      </c>
      <c r="F28" t="n">
        <v>2</v>
      </c>
      <c r="G28" t="inlineStr">
        <is>
          <t>BS001</t>
        </is>
      </c>
      <c r="H28" t="inlineStr">
        <is>
          <t>22 Juli 2019</t>
        </is>
      </c>
      <c r="I28" s="2" t="n">
        <v>46320</v>
      </c>
      <c r="J28" t="inlineStr">
        <is>
          <t>Pencabutan</t>
        </is>
      </c>
      <c r="K28" t="n">
        <v>60</v>
      </c>
      <c r="L28" t="inlineStr">
        <is>
          <t>25 Oktober 2026</t>
        </is>
      </c>
      <c r="M28" t="inlineStr">
        <is>
          <t>Konstruksi Bangunan Sipil Jalan</t>
        </is>
      </c>
      <c r="N28" t="inlineStr">
        <is>
          <t>K</t>
        </is>
      </c>
      <c r="O28" t="inlineStr">
        <is>
          <t>20231025</t>
        </is>
      </c>
      <c r="P28" t="inlineStr">
        <is>
          <t>Jawa Barat</t>
        </is>
      </c>
      <c r="Q28" t="inlineStr"/>
    </row>
    <row r="29">
      <c r="A29" t="inlineStr">
        <is>
          <t>BANGUN IFTAH MANDIRI</t>
        </is>
      </c>
      <c r="B29" t="inlineStr">
        <is>
          <t>Kota Cilegon</t>
        </is>
      </c>
      <c r="C29" t="inlineStr">
        <is>
          <t>081213396702</t>
        </is>
      </c>
      <c r="D29" t="inlineStr">
        <is>
          <t>bim_iftahmandiri@outlook.com</t>
        </is>
      </c>
      <c r="E29" t="inlineStr">
        <is>
          <t>https://lpjk.pu.go.id/search-badan-usaha-detail/eXBCMnJGOFpXcUZXS2VFSWJ5cGdOUT09</t>
        </is>
      </c>
      <c r="F29" t="n">
        <v>1</v>
      </c>
      <c r="G29" t="inlineStr">
        <is>
          <t>BG009</t>
        </is>
      </c>
      <c r="H29" t="inlineStr">
        <is>
          <t>10 Mei 2021</t>
        </is>
      </c>
      <c r="I29" s="2" t="n">
        <v>46320</v>
      </c>
      <c r="J29" t="inlineStr">
        <is>
          <t>Disetujui</t>
        </is>
      </c>
      <c r="K29" t="n">
        <v>60</v>
      </c>
      <c r="L29" t="inlineStr">
        <is>
          <t>25 Oktober 2026</t>
        </is>
      </c>
      <c r="M29" t="inlineStr">
        <is>
          <t>Konstruksi Gedung Lainnya</t>
        </is>
      </c>
      <c r="N29" t="inlineStr">
        <is>
          <t>K</t>
        </is>
      </c>
      <c r="O29" t="inlineStr">
        <is>
          <t>20231026</t>
        </is>
      </c>
      <c r="P29" t="inlineStr">
        <is>
          <t>Banten</t>
        </is>
      </c>
      <c r="Q29" t="inlineStr"/>
    </row>
    <row r="30">
      <c r="A30" t="inlineStr">
        <is>
          <t>BANGUN PUTRA</t>
        </is>
      </c>
      <c r="B30" t="inlineStr">
        <is>
          <t>Kab. Kendal</t>
        </is>
      </c>
      <c r="C30" t="inlineStr">
        <is>
          <t>0294383667</t>
        </is>
      </c>
      <c r="D30" t="inlineStr">
        <is>
          <t>cvbangunputra12@gmail.com</t>
        </is>
      </c>
      <c r="E30" t="inlineStr">
        <is>
          <t>https://lpjk.pu.go.id/search-badan-usaha-detail/T05XbWZLS2tremN4aGVhUm1oZzJqUT09</t>
        </is>
      </c>
      <c r="F30" t="n">
        <v>3</v>
      </c>
      <c r="G30" t="inlineStr">
        <is>
          <t>BG004, BG006, BG008</t>
        </is>
      </c>
      <c r="H30" t="inlineStr">
        <is>
          <t>28 November 1998</t>
        </is>
      </c>
      <c r="I30" s="2" t="n">
        <v>46320</v>
      </c>
      <c r="J30" t="inlineStr">
        <is>
          <t>Disetujui</t>
        </is>
      </c>
      <c r="K30" t="n">
        <v>60</v>
      </c>
      <c r="L30" t="inlineStr">
        <is>
          <t>25 Oktober 2026</t>
        </is>
      </c>
      <c r="M30" t="inlineStr">
        <is>
          <t>Konstruksi Gedung Pendidikan, Konstruksi Gedung Perbelanjaan, Konstruksi Gedung Tempat Hiburan dan Olahraga</t>
        </is>
      </c>
      <c r="N30" t="inlineStr">
        <is>
          <t>K</t>
        </is>
      </c>
      <c r="O30" t="inlineStr">
        <is>
          <t>20231026</t>
        </is>
      </c>
      <c r="P30" t="inlineStr">
        <is>
          <t>Jawa Tengah</t>
        </is>
      </c>
      <c r="Q30" t="inlineStr"/>
    </row>
    <row r="31">
      <c r="A31" t="inlineStr">
        <is>
          <t>BANUA PARAHYANGAN BERSAMA</t>
        </is>
      </c>
      <c r="B31" t="inlineStr">
        <is>
          <t>Kab. Kutai Timur</t>
        </is>
      </c>
      <c r="C31" t="inlineStr">
        <is>
          <t>082127732008</t>
        </is>
      </c>
      <c r="D31" t="inlineStr">
        <is>
          <t>banuaparahyangan@gmail.com</t>
        </is>
      </c>
      <c r="E31" t="inlineStr">
        <is>
          <t>https://lpjk.pu.go.id/search-badan-usaha-detail/d2NZa1d2elZTbU9mLzhONEphRWhGUT09</t>
        </is>
      </c>
      <c r="F31" t="n">
        <v>4</v>
      </c>
      <c r="G31" t="inlineStr">
        <is>
          <t>BG002, BG005, BG006, BG009</t>
        </is>
      </c>
      <c r="H31" t="inlineStr">
        <is>
          <t>22 Januari 2020</t>
        </is>
      </c>
      <c r="I31" s="2" t="n">
        <v>46320</v>
      </c>
      <c r="J31" t="inlineStr">
        <is>
          <t>Disetujui</t>
        </is>
      </c>
      <c r="K31" t="n">
        <v>60</v>
      </c>
      <c r="L31" t="inlineStr">
        <is>
          <t>25 Oktober 2026</t>
        </is>
      </c>
      <c r="M31" t="inlineStr">
        <is>
          <t>Konstruksi Gedung Kesehatan, Konstruksi Gedung Lainnya, Konstruksi Gedung Pendidikan, Konstruksi Gedung Perkantoran</t>
        </is>
      </c>
      <c r="N31" t="inlineStr">
        <is>
          <t>K</t>
        </is>
      </c>
      <c r="O31" t="inlineStr">
        <is>
          <t>20231026</t>
        </is>
      </c>
      <c r="P31" t="inlineStr">
        <is>
          <t>Kalimantan Timur</t>
        </is>
      </c>
      <c r="Q31" t="inlineStr"/>
    </row>
    <row r="32">
      <c r="A32" t="inlineStr">
        <is>
          <t>BARATA ALAM MANDIRI</t>
        </is>
      </c>
      <c r="B32" t="inlineStr">
        <is>
          <t>Kab. Padang Pariaman</t>
        </is>
      </c>
      <c r="C32" t="inlineStr">
        <is>
          <t>081363300987</t>
        </is>
      </c>
      <c r="D32" t="inlineStr">
        <is>
          <t>barataalammandiri@gmail.com</t>
        </is>
      </c>
      <c r="E32" t="inlineStr">
        <is>
          <t>https://lpjk.pu.go.id/search-badan-usaha-detail/SzI4cHdQQ0Nid0ZtTU42c2Jzd05PZz09</t>
        </is>
      </c>
      <c r="F32" t="n">
        <v>30</v>
      </c>
      <c r="G32" t="inlineStr">
        <is>
          <t>BG002, BG005, BG006, BG009, BS001, BS004</t>
        </is>
      </c>
      <c r="H32" t="inlineStr">
        <is>
          <t>7 Juli 2020</t>
        </is>
      </c>
      <c r="I32" s="2" t="n">
        <v>46320</v>
      </c>
      <c r="J32" t="inlineStr">
        <is>
          <t>Disetujui</t>
        </is>
      </c>
      <c r="K32" t="n">
        <v>60</v>
      </c>
      <c r="L32" t="inlineStr">
        <is>
          <t>25 Oktober 2026</t>
        </is>
      </c>
      <c r="M32" t="inlineStr">
        <is>
          <t>Konstruksi Bangunan Sipil Jalan, Konstruksi Gedung Kesehatan, Konstruksi Gedung Lainnya, Konstruksi Gedung Pendidikan, Konstruksi Gedung Perkantoran, Konstruksi Jaringan Irigasi dan Drainase</t>
        </is>
      </c>
      <c r="N32" t="inlineStr">
        <is>
          <t>K</t>
        </is>
      </c>
      <c r="O32" t="inlineStr">
        <is>
          <t>20231014, 20231016</t>
        </is>
      </c>
      <c r="P32" t="inlineStr">
        <is>
          <t>Sumatera Barat</t>
        </is>
      </c>
      <c r="Q32" t="inlineStr"/>
    </row>
    <row r="33">
      <c r="A33" t="inlineStr">
        <is>
          <t>BAROKAH AGRA PANDORA</t>
        </is>
      </c>
      <c r="B33" t="inlineStr">
        <is>
          <t>Kab. Sidoarjo</t>
        </is>
      </c>
      <c r="C33" t="inlineStr">
        <is>
          <t>085816305530</t>
        </is>
      </c>
      <c r="D33" t="inlineStr">
        <is>
          <t>cvbarokahagrapandora@gmail.com</t>
        </is>
      </c>
      <c r="E33" t="inlineStr">
        <is>
          <t>https://lpjk.pu.go.id/search-badan-usaha-detail/SXBSVFl5R1l2Y0c4UC9jb1ViK1RqZz09</t>
        </is>
      </c>
      <c r="F33" t="n">
        <v>4</v>
      </c>
      <c r="G33" t="inlineStr">
        <is>
          <t>BG006, BG009</t>
        </is>
      </c>
      <c r="H33" t="inlineStr">
        <is>
          <t>21 September 2015</t>
        </is>
      </c>
      <c r="I33" s="2" t="n">
        <v>46320</v>
      </c>
      <c r="J33" t="inlineStr">
        <is>
          <t>Disetujui</t>
        </is>
      </c>
      <c r="K33" t="n">
        <v>60</v>
      </c>
      <c r="L33" t="inlineStr">
        <is>
          <t>25 Oktober 2026</t>
        </is>
      </c>
      <c r="M33" t="inlineStr">
        <is>
          <t>Konstruksi Gedung Lainnya, Konstruksi Gedung Pendidikan</t>
        </is>
      </c>
      <c r="N33" t="inlineStr">
        <is>
          <t>K</t>
        </is>
      </c>
      <c r="O33" t="inlineStr">
        <is>
          <t>20231024</t>
        </is>
      </c>
      <c r="P33" t="inlineStr">
        <is>
          <t>Jawa Timur</t>
        </is>
      </c>
      <c r="Q33" t="inlineStr"/>
    </row>
    <row r="34">
      <c r="A34" t="inlineStr">
        <is>
          <t>BATARA ENGINEERING</t>
        </is>
      </c>
      <c r="B34" t="inlineStr">
        <is>
          <t>Kota Jayapura</t>
        </is>
      </c>
      <c r="C34" t="inlineStr">
        <is>
          <t>082239025792</t>
        </is>
      </c>
      <c r="D34" t="inlineStr">
        <is>
          <t>bataraengineering@gmail.com</t>
        </is>
      </c>
      <c r="E34" t="inlineStr">
        <is>
          <t>https://lpjk.pu.go.id/search-badan-usaha-detail/cngveFhxQjY3S2RNNmNQbjExaUk5Zz09</t>
        </is>
      </c>
      <c r="F34" t="n">
        <v>2</v>
      </c>
      <c r="G34" t="inlineStr">
        <is>
          <t>RK001</t>
        </is>
      </c>
      <c r="H34" t="inlineStr">
        <is>
          <t>12 Juli 2023</t>
        </is>
      </c>
      <c r="I34" s="2" t="n">
        <v>46320</v>
      </c>
      <c r="J34" t="inlineStr">
        <is>
          <t>Disetujui</t>
        </is>
      </c>
      <c r="K34" t="n">
        <v>60</v>
      </c>
      <c r="L34" t="inlineStr">
        <is>
          <t>25 Oktober 2026</t>
        </is>
      </c>
      <c r="M34" t="inlineStr">
        <is>
          <t>Jasa Rekayasa Konstruksi Bangunan Gedung Hunian dan Non Hunian</t>
        </is>
      </c>
      <c r="N34" t="inlineStr">
        <is>
          <t>K</t>
        </is>
      </c>
      <c r="O34" t="inlineStr">
        <is>
          <t>20230929</t>
        </is>
      </c>
      <c r="P34" t="inlineStr">
        <is>
          <t>Papua</t>
        </is>
      </c>
      <c r="Q34" t="inlineStr"/>
    </row>
    <row r="35">
      <c r="A35" t="inlineStr">
        <is>
          <t>BATU PUTIH SAKTI</t>
        </is>
      </c>
      <c r="B35" t="inlineStr">
        <is>
          <t>Kota Batam</t>
        </is>
      </c>
      <c r="C35" t="inlineStr">
        <is>
          <t>087894058899</t>
        </is>
      </c>
      <c r="D35" t="inlineStr">
        <is>
          <t>batuputihsakti@yahoo.com</t>
        </is>
      </c>
      <c r="E35" t="inlineStr">
        <is>
          <t>https://lpjk.pu.go.id/search-badan-usaha-detail/UlNqK3dqMEZOeW5WREw1cnF1NDRLUT09</t>
        </is>
      </c>
      <c r="F35" t="n">
        <v>2</v>
      </c>
      <c r="G35" t="inlineStr">
        <is>
          <t>BG003, BS005</t>
        </is>
      </c>
      <c r="H35" t="inlineStr">
        <is>
          <t>30 Mei 1986</t>
        </is>
      </c>
      <c r="I35" s="2" t="n">
        <v>46320</v>
      </c>
      <c r="J35" t="inlineStr">
        <is>
          <t>Disetujui</t>
        </is>
      </c>
      <c r="K35" t="n">
        <v>60</v>
      </c>
      <c r="L35" t="inlineStr">
        <is>
          <t>25 Oktober 2026</t>
        </is>
      </c>
      <c r="M35" t="inlineStr">
        <is>
          <t>Konstruksi Bangunan Sipil Pengolahan Air Bersih, Konstruksi Gedung Industri</t>
        </is>
      </c>
      <c r="N35" t="inlineStr">
        <is>
          <t>K</t>
        </is>
      </c>
      <c r="O35" t="inlineStr">
        <is>
          <t>20231012, 20231024</t>
        </is>
      </c>
      <c r="P35" t="inlineStr">
        <is>
          <t>Kepulauan Riau</t>
        </is>
      </c>
      <c r="Q35" t="inlineStr"/>
    </row>
    <row r="36">
      <c r="A36" t="inlineStr">
        <is>
          <t>BERLIAN ABADI SAPUTRA</t>
        </is>
      </c>
      <c r="B36" t="inlineStr">
        <is>
          <t>Kota Prabumulih</t>
        </is>
      </c>
      <c r="C36" t="inlineStr">
        <is>
          <t>085351767654</t>
        </is>
      </c>
      <c r="D36" t="inlineStr">
        <is>
          <t>berlianabadisaputra@gmail.com</t>
        </is>
      </c>
      <c r="E36" t="inlineStr">
        <is>
          <t>https://lpjk.pu.go.id/search-badan-usaha-detail/b3hwMEFYS1RZRC85bSsxK244NC9GZz09</t>
        </is>
      </c>
      <c r="F36" t="n">
        <v>1</v>
      </c>
      <c r="G36" t="inlineStr">
        <is>
          <t>BG002</t>
        </is>
      </c>
      <c r="H36" t="inlineStr">
        <is>
          <t>8 Januari 2022</t>
        </is>
      </c>
      <c r="I36" s="2" t="n">
        <v>46320</v>
      </c>
      <c r="J36" t="inlineStr">
        <is>
          <t>Disetujui</t>
        </is>
      </c>
      <c r="K36" t="n">
        <v>60</v>
      </c>
      <c r="L36" t="inlineStr">
        <is>
          <t>25 Oktober 2026</t>
        </is>
      </c>
      <c r="M36" t="inlineStr">
        <is>
          <t>Konstruksi Gedung Perkantoran</t>
        </is>
      </c>
      <c r="N36" t="inlineStr">
        <is>
          <t>K</t>
        </is>
      </c>
      <c r="O36" t="inlineStr">
        <is>
          <t>20231025</t>
        </is>
      </c>
      <c r="P36" t="inlineStr">
        <is>
          <t>Sumatera Selatan</t>
        </is>
      </c>
      <c r="Q36" t="inlineStr"/>
    </row>
    <row r="37">
      <c r="A37" t="inlineStr">
        <is>
          <t>BESTARI DIPA KARYA</t>
        </is>
      </c>
      <c r="B37" t="inlineStr">
        <is>
          <t>Kab. Tasikmalaya</t>
        </is>
      </c>
      <c r="C37" t="inlineStr">
        <is>
          <t>085223781977</t>
        </is>
      </c>
      <c r="D37" t="inlineStr">
        <is>
          <t>bestaridipakarya@gmail.com</t>
        </is>
      </c>
      <c r="E37" t="inlineStr">
        <is>
          <t>https://lpjk.pu.go.id/search-badan-usaha-detail/Y1ZyU2p3S3lEaUl6RUhWMWFxNitoZz09</t>
        </is>
      </c>
      <c r="F37" t="n">
        <v>2</v>
      </c>
      <c r="G37" t="inlineStr">
        <is>
          <t>BG009</t>
        </is>
      </c>
      <c r="H37" t="inlineStr">
        <is>
          <t>9 Januari 2023</t>
        </is>
      </c>
      <c r="I37" s="2" t="n">
        <v>46320</v>
      </c>
      <c r="J37" t="inlineStr">
        <is>
          <t>Pencabutan</t>
        </is>
      </c>
      <c r="K37" t="n">
        <v>60</v>
      </c>
      <c r="L37" t="inlineStr">
        <is>
          <t>25 Oktober 2026</t>
        </is>
      </c>
      <c r="M37" t="inlineStr">
        <is>
          <t>Konstruksi Gedung Lainnya</t>
        </is>
      </c>
      <c r="N37" t="inlineStr">
        <is>
          <t>K</t>
        </is>
      </c>
      <c r="O37" t="inlineStr">
        <is>
          <t>20231026</t>
        </is>
      </c>
      <c r="P37" t="inlineStr">
        <is>
          <t>Jawa Barat</t>
        </is>
      </c>
      <c r="Q37" t="inlineStr"/>
    </row>
    <row r="38">
      <c r="A38" t="inlineStr">
        <is>
          <t>BINA MANDIRI BARU</t>
        </is>
      </c>
      <c r="B38" t="inlineStr">
        <is>
          <t>Kab. Lombok Timur</t>
        </is>
      </c>
      <c r="C38" t="inlineStr">
        <is>
          <t>087865265267</t>
        </is>
      </c>
      <c r="D38" t="inlineStr">
        <is>
          <t>cvbinamandiribaru@gmail.com</t>
        </is>
      </c>
      <c r="E38" t="inlineStr">
        <is>
          <t>https://lpjk.pu.go.id/search-badan-usaha-detail/N285aERJRWFkWWl1UnVMT1dDOW1kZz09</t>
        </is>
      </c>
      <c r="F38" t="n">
        <v>1</v>
      </c>
      <c r="G38" t="inlineStr">
        <is>
          <t>BS001</t>
        </is>
      </c>
      <c r="H38" t="inlineStr">
        <is>
          <t>22 Juni 1998</t>
        </is>
      </c>
      <c r="I38" s="2" t="n">
        <v>46320</v>
      </c>
      <c r="J38" t="inlineStr">
        <is>
          <t>Disetujui</t>
        </is>
      </c>
      <c r="K38" t="n">
        <v>60</v>
      </c>
      <c r="L38" t="inlineStr">
        <is>
          <t>25 Oktober 2026</t>
        </is>
      </c>
      <c r="M38" t="inlineStr">
        <is>
          <t>Konstruksi Bangunan Sipil Jalan</t>
        </is>
      </c>
      <c r="N38" t="inlineStr">
        <is>
          <t>K</t>
        </is>
      </c>
      <c r="O38" t="inlineStr">
        <is>
          <t>20231024</t>
        </is>
      </c>
      <c r="P38" t="inlineStr">
        <is>
          <t>Nusa Tenggara Barat</t>
        </is>
      </c>
      <c r="Q38" t="inlineStr"/>
    </row>
    <row r="39">
      <c r="A39" t="inlineStr">
        <is>
          <t>BINTANG SEJATI</t>
        </is>
      </c>
      <c r="B39" t="inlineStr">
        <is>
          <t>Kab. Wonogiri</t>
        </is>
      </c>
      <c r="C39" t="inlineStr">
        <is>
          <t>085290036000</t>
        </is>
      </c>
      <c r="D39" t="inlineStr">
        <is>
          <t>cv.bintangsejati23@gmail.com</t>
        </is>
      </c>
      <c r="E39" t="inlineStr">
        <is>
          <t>https://lpjk.pu.go.id/search-badan-usaha-detail/c2NYUU9aWXRVYnNMN21SdTNjck1kQT09</t>
        </is>
      </c>
      <c r="F39" t="n">
        <v>2</v>
      </c>
      <c r="G39" t="inlineStr">
        <is>
          <t>BS001</t>
        </is>
      </c>
      <c r="H39" t="inlineStr">
        <is>
          <t>30 Juni 2023</t>
        </is>
      </c>
      <c r="I39" s="2" t="n">
        <v>46320</v>
      </c>
      <c r="J39" t="inlineStr">
        <is>
          <t>Disetujui</t>
        </is>
      </c>
      <c r="K39" t="n">
        <v>60</v>
      </c>
      <c r="L39" t="inlineStr">
        <is>
          <t>25 Oktober 2026</t>
        </is>
      </c>
      <c r="M39" t="inlineStr">
        <is>
          <t>Konstruksi Bangunan Sipil Jalan</t>
        </is>
      </c>
      <c r="N39" t="inlineStr">
        <is>
          <t>K</t>
        </is>
      </c>
      <c r="O39" t="inlineStr">
        <is>
          <t>20231024</t>
        </is>
      </c>
      <c r="P39" t="inlineStr">
        <is>
          <t>Jawa Tengah</t>
        </is>
      </c>
      <c r="Q39" t="inlineStr"/>
    </row>
    <row r="40">
      <c r="A40" t="inlineStr">
        <is>
          <t>BUMI SERAN</t>
        </is>
      </c>
      <c r="B40" t="inlineStr">
        <is>
          <t>Kab. Sumbawa</t>
        </is>
      </c>
      <c r="C40" t="inlineStr">
        <is>
          <t>081906996777</t>
        </is>
      </c>
      <c r="D40" t="inlineStr">
        <is>
          <t>bumiseran2018@gmail.com</t>
        </is>
      </c>
      <c r="E40" t="inlineStr">
        <is>
          <t>https://lpjk.pu.go.id/search-badan-usaha-detail/RTF2ZTkrRTl3Mmk0NTJTYzk5ZUNBUT09</t>
        </is>
      </c>
      <c r="F40" t="n">
        <v>2</v>
      </c>
      <c r="G40" t="inlineStr">
        <is>
          <t>BG002, BG005</t>
        </is>
      </c>
      <c r="H40" t="inlineStr">
        <is>
          <t>8 Maret 2004</t>
        </is>
      </c>
      <c r="I40" s="2" t="n">
        <v>46320</v>
      </c>
      <c r="J40" t="inlineStr">
        <is>
          <t>Disetujui</t>
        </is>
      </c>
      <c r="K40" t="n">
        <v>60</v>
      </c>
      <c r="L40" t="inlineStr">
        <is>
          <t>25 Oktober 2026</t>
        </is>
      </c>
      <c r="M40" t="inlineStr">
        <is>
          <t>Konstruksi Gedung Kesehatan, Konstruksi Gedung Perkantoran</t>
        </is>
      </c>
      <c r="N40" t="inlineStr">
        <is>
          <t>M</t>
        </is>
      </c>
      <c r="O40" t="inlineStr">
        <is>
          <t>20231019</t>
        </is>
      </c>
      <c r="P40" t="inlineStr">
        <is>
          <t>Nusa Tenggara Barat</t>
        </is>
      </c>
      <c r="Q40" t="inlineStr"/>
    </row>
    <row r="41">
      <c r="A41" t="inlineStr">
        <is>
          <t>CAHYA GRIYA VIANELA</t>
        </is>
      </c>
      <c r="B41" t="inlineStr">
        <is>
          <t>Kota Pontianak</t>
        </is>
      </c>
      <c r="C41" t="inlineStr">
        <is>
          <t>0853 4818 3137</t>
        </is>
      </c>
      <c r="D41" t="inlineStr">
        <is>
          <t>cahyagriyavianela@gmail.com</t>
        </is>
      </c>
      <c r="E41" t="inlineStr">
        <is>
          <t>https://lpjk.pu.go.id/search-badan-usaha-detail/dCtYNXRtWlJwSk80K3NUTzRhb2lwUT09</t>
        </is>
      </c>
      <c r="F41" t="n">
        <v>7</v>
      </c>
      <c r="G41" t="inlineStr">
        <is>
          <t>BG001, BG002, BG005, BG006, BG009, BS001, BS004</t>
        </is>
      </c>
      <c r="H41" t="inlineStr">
        <is>
          <t>26 Januari 2002</t>
        </is>
      </c>
      <c r="I41" s="2" t="n">
        <v>46320</v>
      </c>
      <c r="J41" t="inlineStr">
        <is>
          <t>Disetujui</t>
        </is>
      </c>
      <c r="K41" t="n">
        <v>60</v>
      </c>
      <c r="L41" t="inlineStr">
        <is>
          <t>25 Oktober 2026</t>
        </is>
      </c>
      <c r="M41" t="inlineStr">
        <is>
          <t>Konstruksi Bangunan Sipil Jalan, Konstruksi Gedung Hunian, Konstruksi Gedung Kesehatan, Konstruksi Gedung Lainnya, Konstruksi Gedung Pendidikan, Konstruksi Gedung Perkantoran, Konstruksi Jaringan Irigasi dan Drainase</t>
        </is>
      </c>
      <c r="N41" t="inlineStr">
        <is>
          <t>K</t>
        </is>
      </c>
      <c r="O41" t="inlineStr">
        <is>
          <t>20231009</t>
        </is>
      </c>
      <c r="P41" t="inlineStr">
        <is>
          <t>Kalimantan Barat</t>
        </is>
      </c>
      <c r="Q41" t="inlineStr"/>
    </row>
    <row r="42">
      <c r="A42" t="inlineStr">
        <is>
          <t>CIPTA MULTI CITA</t>
        </is>
      </c>
      <c r="B42" t="inlineStr">
        <is>
          <t>Kab. Bandung</t>
        </is>
      </c>
      <c r="C42" t="inlineStr">
        <is>
          <t>081223960459</t>
        </is>
      </c>
      <c r="D42" t="inlineStr">
        <is>
          <t>cvcmc64@yahoo.com</t>
        </is>
      </c>
      <c r="E42" t="inlineStr">
        <is>
          <t>https://lpjk.pu.go.id/search-badan-usaha-detail/ajZpQkllYnN3enA5b2QrYmtlaGdRQT09</t>
        </is>
      </c>
      <c r="F42" t="n">
        <v>4</v>
      </c>
      <c r="G42" t="inlineStr">
        <is>
          <t>BG006, BG009</t>
        </is>
      </c>
      <c r="H42" t="inlineStr">
        <is>
          <t>7 November 2016</t>
        </is>
      </c>
      <c r="I42" s="2" t="n">
        <v>46320</v>
      </c>
      <c r="J42" t="inlineStr">
        <is>
          <t>Disetujui</t>
        </is>
      </c>
      <c r="K42" t="n">
        <v>60</v>
      </c>
      <c r="L42" t="inlineStr">
        <is>
          <t>25 Oktober 2026</t>
        </is>
      </c>
      <c r="M42" t="inlineStr">
        <is>
          <t>Konstruksi Gedung Lainnya, Konstruksi Gedung Pendidikan</t>
        </is>
      </c>
      <c r="N42" t="inlineStr">
        <is>
          <t>K</t>
        </is>
      </c>
      <c r="O42" t="inlineStr">
        <is>
          <t>20231025</t>
        </is>
      </c>
      <c r="P42" t="inlineStr">
        <is>
          <t>Jawa Barat</t>
        </is>
      </c>
      <c r="Q42" t="inlineStr"/>
    </row>
    <row r="43">
      <c r="A43" t="inlineStr">
        <is>
          <t>CITRA MANUNGGAL</t>
        </is>
      </c>
      <c r="B43" t="inlineStr">
        <is>
          <t>Kota Makassar</t>
        </is>
      </c>
      <c r="C43" t="inlineStr">
        <is>
          <t>081245421048</t>
        </is>
      </c>
      <c r="D43" t="inlineStr">
        <is>
          <t>ptcitramanunggal@gmail.com</t>
        </is>
      </c>
      <c r="E43" t="inlineStr">
        <is>
          <t>https://lpjk.pu.go.id/search-badan-usaha-detail/NlZDVy9TTDZ5OEpWTlhqK1JnMXlqZz09</t>
        </is>
      </c>
      <c r="F43" t="n">
        <v>3</v>
      </c>
      <c r="G43" t="inlineStr">
        <is>
          <t>BS001, BS005, BS010</t>
        </is>
      </c>
      <c r="H43" t="inlineStr">
        <is>
          <t>27 November 2002</t>
        </is>
      </c>
      <c r="I43" s="2" t="n">
        <v>46320</v>
      </c>
      <c r="J43" t="inlineStr">
        <is>
          <t>Disetujui, Pencabutan</t>
        </is>
      </c>
      <c r="K43" t="n">
        <v>60</v>
      </c>
      <c r="L43" t="inlineStr">
        <is>
          <t>25 Oktober 2026</t>
        </is>
      </c>
      <c r="M43" t="inlineStr">
        <is>
          <t>Konstruksi Bangunan Prasarana Sumber Daya Air, Konstruksi Bangunan Sipil Jalan, Konstruksi Bangunan Sipil Pengolahan Air Bersih</t>
        </is>
      </c>
      <c r="N43" t="inlineStr">
        <is>
          <t>K, M</t>
        </is>
      </c>
      <c r="O43" t="inlineStr">
        <is>
          <t>20231020, 20231021</t>
        </is>
      </c>
      <c r="P43" t="inlineStr">
        <is>
          <t>Sulawesi Selatan</t>
        </is>
      </c>
      <c r="Q43" t="inlineStr"/>
    </row>
    <row r="44">
      <c r="A44" t="inlineStr">
        <is>
          <t>CLARA BENEFICIA</t>
        </is>
      </c>
      <c r="B44" t="inlineStr">
        <is>
          <t>Kab. Sekadau</t>
        </is>
      </c>
      <c r="C44" t="inlineStr">
        <is>
          <t>082351309356</t>
        </is>
      </c>
      <c r="D44" t="inlineStr">
        <is>
          <t>cv.clarabeneficia@gmail.com</t>
        </is>
      </c>
      <c r="E44" t="inlineStr">
        <is>
          <t>https://lpjk.pu.go.id/search-badan-usaha-detail/L3JpRnFiempwNHRrelRVMWFzNEU4Zz09</t>
        </is>
      </c>
      <c r="F44" t="n">
        <v>3</v>
      </c>
      <c r="G44" t="inlineStr">
        <is>
          <t>BG009, BS001, BS002</t>
        </is>
      </c>
      <c r="H44" t="inlineStr">
        <is>
          <t>22 September 2020</t>
        </is>
      </c>
      <c r="I44" s="2" t="n">
        <v>46320</v>
      </c>
      <c r="J44" t="inlineStr">
        <is>
          <t>Pencabutan</t>
        </is>
      </c>
      <c r="K44" t="n">
        <v>60</v>
      </c>
      <c r="L44" t="inlineStr">
        <is>
          <t>25 Oktober 2026</t>
        </is>
      </c>
      <c r="M44" t="inlineStr">
        <is>
          <t>Bangunan Sipil Jembatan, Jalan Layang, Fly Over, dan Underpass, Konstruksi Bangunan Sipil Jalan, Konstruksi Gedung Lainnya</t>
        </is>
      </c>
      <c r="N44" t="inlineStr">
        <is>
          <t>K</t>
        </is>
      </c>
      <c r="O44" t="inlineStr">
        <is>
          <t>20231016, 20231023</t>
        </is>
      </c>
      <c r="P44" t="inlineStr">
        <is>
          <t>Kalimantan Barat</t>
        </is>
      </c>
      <c r="Q44" t="inlineStr"/>
    </row>
    <row r="45">
      <c r="A45" t="inlineStr">
        <is>
          <t>DAMARMAS</t>
        </is>
      </c>
      <c r="B45" t="inlineStr">
        <is>
          <t>Kab. Purbalingga</t>
        </is>
      </c>
      <c r="C45" t="inlineStr">
        <is>
          <t>0281894163</t>
        </is>
      </c>
      <c r="D45" t="inlineStr">
        <is>
          <t>damarmaspt@yahoo.co.id</t>
        </is>
      </c>
      <c r="E45" t="inlineStr">
        <is>
          <t>https://lpjk.pu.go.id/search-badan-usaha-detail/aUtnNFEvU3A0YmdsNHkwcXRoUldzUT09</t>
        </is>
      </c>
      <c r="F45" t="n">
        <v>3</v>
      </c>
      <c r="G45" t="inlineStr">
        <is>
          <t>BG002</t>
        </is>
      </c>
      <c r="H45" t="inlineStr">
        <is>
          <t>8 April 2004</t>
        </is>
      </c>
      <c r="I45" s="2" t="n">
        <v>46320</v>
      </c>
      <c r="J45" t="inlineStr">
        <is>
          <t>Disetujui</t>
        </is>
      </c>
      <c r="K45" t="n">
        <v>60</v>
      </c>
      <c r="L45" t="inlineStr">
        <is>
          <t>25 Oktober 2026</t>
        </is>
      </c>
      <c r="M45" t="inlineStr">
        <is>
          <t>Konstruksi Gedung Perkantoran</t>
        </is>
      </c>
      <c r="N45" t="inlineStr">
        <is>
          <t>M</t>
        </is>
      </c>
      <c r="O45" t="inlineStr">
        <is>
          <t>20231024</t>
        </is>
      </c>
      <c r="P45" t="inlineStr">
        <is>
          <t>Jawa Tengah</t>
        </is>
      </c>
      <c r="Q45" t="inlineStr"/>
    </row>
    <row r="46">
      <c r="A46" t="inlineStr">
        <is>
          <t>DARMA YUDA UTAMA</t>
        </is>
      </c>
      <c r="B46" t="inlineStr">
        <is>
          <t>Kota Denpasar</t>
        </is>
      </c>
      <c r="C46" t="inlineStr">
        <is>
          <t>082144040771</t>
        </is>
      </c>
      <c r="D46" t="inlineStr">
        <is>
          <t>sampahhhh@gmail.com</t>
        </is>
      </c>
      <c r="E46" t="inlineStr">
        <is>
          <t>https://lpjk.pu.go.id/search-badan-usaha-detail/YUpsTFRuNHdoY1VtZ1VERVNCVDlaUT09</t>
        </is>
      </c>
      <c r="F46" t="n">
        <v>3</v>
      </c>
      <c r="G46" t="inlineStr">
        <is>
          <t>BG002, BG005, BG006</t>
        </is>
      </c>
      <c r="H46" t="inlineStr">
        <is>
          <t>27 Agustus 2021</t>
        </is>
      </c>
      <c r="I46" s="2" t="n">
        <v>46320</v>
      </c>
      <c r="J46" t="inlineStr">
        <is>
          <t>Disetujui, Pencabutan</t>
        </is>
      </c>
      <c r="K46" t="n">
        <v>60</v>
      </c>
      <c r="L46" t="inlineStr">
        <is>
          <t>25 Oktober 2026</t>
        </is>
      </c>
      <c r="M46" t="inlineStr">
        <is>
          <t>Konstruksi Gedung Kesehatan, Konstruksi Gedung Pendidikan, Konstruksi Gedung Perkantoran</t>
        </is>
      </c>
      <c r="N46" t="inlineStr">
        <is>
          <t>K</t>
        </is>
      </c>
      <c r="O46" t="inlineStr">
        <is>
          <t>20231023</t>
        </is>
      </c>
      <c r="P46" t="inlineStr">
        <is>
          <t>Bali</t>
        </is>
      </c>
      <c r="Q46" t="inlineStr"/>
    </row>
    <row r="47">
      <c r="A47" t="inlineStr">
        <is>
          <t>DAVINDO JAYA SAKTI</t>
        </is>
      </c>
      <c r="B47" t="inlineStr">
        <is>
          <t>Kota Adm. Jakarta Barat</t>
        </is>
      </c>
      <c r="C47" t="inlineStr">
        <is>
          <t>0215305757</t>
        </is>
      </c>
      <c r="D47" t="inlineStr">
        <is>
          <t>davindosakti@yahoo.com</t>
        </is>
      </c>
      <c r="E47" t="inlineStr">
        <is>
          <t>https://lpjk.pu.go.id/search-badan-usaha-detail/UWxoVXl4MzFiUjcvcmN6Sm9KMjdvdz09</t>
        </is>
      </c>
      <c r="F47" t="n">
        <v>2</v>
      </c>
      <c r="G47" t="inlineStr">
        <is>
          <t>BG002, BG003</t>
        </is>
      </c>
      <c r="H47" t="inlineStr">
        <is>
          <t>6 Februari 2020</t>
        </is>
      </c>
      <c r="I47" s="2" t="n">
        <v>46320</v>
      </c>
      <c r="J47" t="inlineStr">
        <is>
          <t>Disetujui</t>
        </is>
      </c>
      <c r="K47" t="n">
        <v>60</v>
      </c>
      <c r="L47" t="inlineStr">
        <is>
          <t>25 Oktober 2026</t>
        </is>
      </c>
      <c r="M47" t="inlineStr">
        <is>
          <t>Konstruksi Gedung Industri, Konstruksi Gedung Perkantoran</t>
        </is>
      </c>
      <c r="N47" t="inlineStr">
        <is>
          <t>K</t>
        </is>
      </c>
      <c r="O47" t="inlineStr">
        <is>
          <t>20231023</t>
        </is>
      </c>
      <c r="P47" t="inlineStr">
        <is>
          <t>DKI Jakarta</t>
        </is>
      </c>
      <c r="Q47" t="inlineStr"/>
    </row>
    <row r="48">
      <c r="A48" t="inlineStr">
        <is>
          <t>DEKALINDA INSAN HUMANIS</t>
        </is>
      </c>
      <c r="B48" t="inlineStr">
        <is>
          <t>Kab. Bandung</t>
        </is>
      </c>
      <c r="C48" t="inlineStr">
        <is>
          <t>082120272740</t>
        </is>
      </c>
      <c r="D48" t="inlineStr">
        <is>
          <t>insanhumanisdekalinda@gmail.com</t>
        </is>
      </c>
      <c r="E48" t="inlineStr">
        <is>
          <t>https://lpjk.pu.go.id/search-badan-usaha-detail/K1JENjN2MTFBQUppQWk2bTlwSjV4Zz09</t>
        </is>
      </c>
      <c r="F48" t="n">
        <v>6</v>
      </c>
      <c r="G48" t="inlineStr">
        <is>
          <t>BG009, BS002, BS007</t>
        </is>
      </c>
      <c r="H48" t="inlineStr">
        <is>
          <t>9 Mei 2003</t>
        </is>
      </c>
      <c r="I48" s="2" t="n">
        <v>46320</v>
      </c>
      <c r="J48" t="inlineStr">
        <is>
          <t>Disetujui</t>
        </is>
      </c>
      <c r="K48" t="n">
        <v>60</v>
      </c>
      <c r="L48" t="inlineStr">
        <is>
          <t>25 Oktober 2026</t>
        </is>
      </c>
      <c r="M48" t="inlineStr">
        <is>
          <t>Bangunan Sipil Jembatan, Jalan Layang, Fly Over, dan Underpass, Konstruksi Bangunan Sipil Elektrikal, Konstruksi Gedung Lainnya</t>
        </is>
      </c>
      <c r="N48" t="inlineStr">
        <is>
          <t>K</t>
        </is>
      </c>
      <c r="O48" t="inlineStr">
        <is>
          <t>20231024, 20231025</t>
        </is>
      </c>
      <c r="P48" t="inlineStr">
        <is>
          <t>Jawa Barat</t>
        </is>
      </c>
      <c r="Q48" t="inlineStr"/>
    </row>
    <row r="49">
      <c r="A49" t="inlineStr">
        <is>
          <t>DELI MEGA KONSTRUKSI</t>
        </is>
      </c>
      <c r="B49" t="inlineStr">
        <is>
          <t>Kab. Deli Serdang</t>
        </is>
      </c>
      <c r="C49" t="inlineStr">
        <is>
          <t>06180032233</t>
        </is>
      </c>
      <c r="D49" t="inlineStr">
        <is>
          <t>pt.dmegakonstruksi@yahoo.com</t>
        </is>
      </c>
      <c r="E49" t="inlineStr">
        <is>
          <t>https://lpjk.pu.go.id/search-badan-usaha-detail/YzlCM3c3RFEycytZSnd0UWdONEFiUT09</t>
        </is>
      </c>
      <c r="F49" t="n">
        <v>1</v>
      </c>
      <c r="G49" t="inlineStr">
        <is>
          <t>BG001</t>
        </is>
      </c>
      <c r="H49" t="inlineStr">
        <is>
          <t>28 Juli 2023</t>
        </is>
      </c>
      <c r="I49" s="2" t="n">
        <v>46320</v>
      </c>
      <c r="J49" t="inlineStr">
        <is>
          <t>Disetujui</t>
        </is>
      </c>
      <c r="K49" t="n">
        <v>60</v>
      </c>
      <c r="L49" t="inlineStr">
        <is>
          <t>25 Oktober 2026</t>
        </is>
      </c>
      <c r="M49" t="inlineStr">
        <is>
          <t>Konstruksi Gedung Hunian</t>
        </is>
      </c>
      <c r="N49" t="inlineStr">
        <is>
          <t>K</t>
        </is>
      </c>
      <c r="O49" t="inlineStr">
        <is>
          <t>20231019</t>
        </is>
      </c>
      <c r="P49" t="inlineStr">
        <is>
          <t>Sumatera Utara</t>
        </is>
      </c>
      <c r="Q49" t="inlineStr"/>
    </row>
    <row r="50">
      <c r="A50" t="inlineStr">
        <is>
          <t>DELIMA CIPTA PRATAMA</t>
        </is>
      </c>
      <c r="B50" t="inlineStr">
        <is>
          <t>Kota Surabaya</t>
        </is>
      </c>
      <c r="C50" t="inlineStr">
        <is>
          <t>0817598955</t>
        </is>
      </c>
      <c r="D50" t="inlineStr">
        <is>
          <t>Hendro_susilo@dcpratama.com</t>
        </is>
      </c>
      <c r="E50" t="inlineStr">
        <is>
          <t>https://lpjk.pu.go.id/search-badan-usaha-detail/Wnl5K2NTbGhvVi9OQWh6YkczWGYyUT09</t>
        </is>
      </c>
      <c r="F50" t="n">
        <v>2</v>
      </c>
      <c r="G50" t="inlineStr">
        <is>
          <t>BG003</t>
        </is>
      </c>
      <c r="H50" t="inlineStr">
        <is>
          <t>12 Januari 2023</t>
        </is>
      </c>
      <c r="I50" s="2" t="n">
        <v>46320</v>
      </c>
      <c r="J50" t="inlineStr">
        <is>
          <t>Disetujui</t>
        </is>
      </c>
      <c r="K50" t="n">
        <v>60</v>
      </c>
      <c r="L50" t="inlineStr">
        <is>
          <t>25 Oktober 2026</t>
        </is>
      </c>
      <c r="M50" t="inlineStr">
        <is>
          <t>Konstruksi Gedung Industri</t>
        </is>
      </c>
      <c r="N50" t="inlineStr">
        <is>
          <t>K</t>
        </is>
      </c>
      <c r="O50" t="inlineStr">
        <is>
          <t>20231026</t>
        </is>
      </c>
      <c r="P50" t="inlineStr">
        <is>
          <t>Jawa Timur</t>
        </is>
      </c>
      <c r="Q50" t="inlineStr"/>
    </row>
    <row r="51">
      <c r="A51" t="inlineStr">
        <is>
          <t>DELINEASI RUPABUMI KONSULTAN</t>
        </is>
      </c>
      <c r="B51" t="inlineStr">
        <is>
          <t>Kota Makassar</t>
        </is>
      </c>
      <c r="C51" t="inlineStr">
        <is>
          <t>081355555976</t>
        </is>
      </c>
      <c r="D51" t="inlineStr">
        <is>
          <t>delineasirupabumikonsultan@yahoo.com</t>
        </is>
      </c>
      <c r="E51" t="inlineStr">
        <is>
          <t>https://lpjk.pu.go.id/search-badan-usaha-detail/bXk0T0t5Y29hbGNkUnNuYmJBMFBLUT09</t>
        </is>
      </c>
      <c r="F51" t="n">
        <v>1</v>
      </c>
      <c r="G51" t="inlineStr">
        <is>
          <t>AR003</t>
        </is>
      </c>
      <c r="H51" t="inlineStr">
        <is>
          <t>29 November 2016</t>
        </is>
      </c>
      <c r="I51" s="2" t="n">
        <v>46320</v>
      </c>
      <c r="J51" t="inlineStr">
        <is>
          <t>Disetujui</t>
        </is>
      </c>
      <c r="K51" t="n">
        <v>60</v>
      </c>
      <c r="L51" t="inlineStr">
        <is>
          <t>25 Oktober 2026</t>
        </is>
      </c>
      <c r="M51" t="inlineStr">
        <is>
          <t>Jasa Desain Interior pada Bangunan Gedung dan Bangunan Sipil</t>
        </is>
      </c>
      <c r="N51" t="inlineStr">
        <is>
          <t>K</t>
        </is>
      </c>
      <c r="O51" t="inlineStr">
        <is>
          <t>20231009</t>
        </is>
      </c>
      <c r="P51" t="inlineStr">
        <is>
          <t>Sulawesi Selatan</t>
        </is>
      </c>
      <c r="Q51" t="inlineStr"/>
    </row>
    <row r="52">
      <c r="A52" t="inlineStr">
        <is>
          <t>DIMAS PERKASA</t>
        </is>
      </c>
      <c r="B52" t="inlineStr">
        <is>
          <t>Kab. Brebes</t>
        </is>
      </c>
      <c r="C52" t="inlineStr">
        <is>
          <t>081548176025</t>
        </is>
      </c>
      <c r="D52" t="inlineStr">
        <is>
          <t>tanto012@yahoo.com</t>
        </is>
      </c>
      <c r="E52" t="inlineStr">
        <is>
          <t>https://lpjk.pu.go.id/search-badan-usaha-detail/R3Ayb3ppbFVsWVhFTDJZUUFydDg4Zz09</t>
        </is>
      </c>
      <c r="F52" t="n">
        <v>1</v>
      </c>
      <c r="G52" t="inlineStr">
        <is>
          <t>BS005</t>
        </is>
      </c>
      <c r="H52" t="inlineStr">
        <is>
          <t>31 Desember 1998</t>
        </is>
      </c>
      <c r="I52" s="2" t="n">
        <v>46320</v>
      </c>
      <c r="J52" t="inlineStr">
        <is>
          <t>Disetujui</t>
        </is>
      </c>
      <c r="K52" t="n">
        <v>60</v>
      </c>
      <c r="L52" t="inlineStr">
        <is>
          <t>25 Oktober 2026</t>
        </is>
      </c>
      <c r="M52" t="inlineStr">
        <is>
          <t>Konstruksi Bangunan Sipil Pengolahan Air Bersih</t>
        </is>
      </c>
      <c r="N52" t="inlineStr">
        <is>
          <t>K</t>
        </is>
      </c>
      <c r="O52" t="inlineStr">
        <is>
          <t>20231024</t>
        </is>
      </c>
      <c r="P52" t="inlineStr">
        <is>
          <t>Jawa Tengah</t>
        </is>
      </c>
      <c r="Q52" t="inlineStr"/>
    </row>
    <row r="53">
      <c r="A53" t="inlineStr">
        <is>
          <t>DUTA AULIA</t>
        </is>
      </c>
      <c r="B53" t="inlineStr">
        <is>
          <t>Kab. Trenggalek</t>
        </is>
      </c>
      <c r="C53" t="inlineStr">
        <is>
          <t>082183999820</t>
        </is>
      </c>
      <c r="D53" t="inlineStr">
        <is>
          <t>dutaaulia.izin@gmail.com</t>
        </is>
      </c>
      <c r="E53" t="inlineStr">
        <is>
          <t>https://lpjk.pu.go.id/search-badan-usaha-detail/TXFGK1lEaStmTHRhYUp0VlZWTHh1Zz09</t>
        </is>
      </c>
      <c r="F53" t="n">
        <v>1</v>
      </c>
      <c r="G53" t="inlineStr">
        <is>
          <t>BS001</t>
        </is>
      </c>
      <c r="H53" t="inlineStr">
        <is>
          <t>22 Februari 2016</t>
        </is>
      </c>
      <c r="I53" s="2" t="n">
        <v>46320</v>
      </c>
      <c r="J53" t="inlineStr">
        <is>
          <t>Disetujui</t>
        </is>
      </c>
      <c r="K53" t="n">
        <v>60</v>
      </c>
      <c r="L53" t="inlineStr">
        <is>
          <t>25 Oktober 2026</t>
        </is>
      </c>
      <c r="M53" t="inlineStr">
        <is>
          <t>Konstruksi Bangunan Sipil Jalan</t>
        </is>
      </c>
      <c r="N53" t="inlineStr">
        <is>
          <t>K</t>
        </is>
      </c>
      <c r="O53" t="inlineStr">
        <is>
          <t>20231020</t>
        </is>
      </c>
      <c r="P53" t="inlineStr">
        <is>
          <t>Jawa Timur</t>
        </is>
      </c>
      <c r="Q53" t="inlineStr"/>
    </row>
    <row r="54">
      <c r="A54" t="inlineStr">
        <is>
          <t>DUTA SOLUSI METALINDO</t>
        </is>
      </c>
      <c r="B54" t="inlineStr">
        <is>
          <t>Kota Bandung</t>
        </is>
      </c>
      <c r="C54" t="inlineStr">
        <is>
          <t>08112294443</t>
        </is>
      </c>
      <c r="D54" t="inlineStr">
        <is>
          <t>triyanto@dutasolusimetalindo.com</t>
        </is>
      </c>
      <c r="E54" t="inlineStr">
        <is>
          <t>https://lpjk.pu.go.id/search-badan-usaha-detail/K2tYQXU4Z1lVQjN6OEp6c2JDeFQzUT09</t>
        </is>
      </c>
      <c r="F54" t="n">
        <v>1</v>
      </c>
      <c r="G54" t="inlineStr">
        <is>
          <t>BS017</t>
        </is>
      </c>
      <c r="H54" t="inlineStr">
        <is>
          <t>9 September 2013</t>
        </is>
      </c>
      <c r="I54" s="2" t="n">
        <v>46320</v>
      </c>
      <c r="J54" t="inlineStr">
        <is>
          <t>Disetujui</t>
        </is>
      </c>
      <c r="K54" t="n">
        <v>60</v>
      </c>
      <c r="L54" t="inlineStr">
        <is>
          <t>25 Oktober 2026</t>
        </is>
      </c>
      <c r="M54" t="inlineStr">
        <is>
          <t>Konstruksi Bangunan Sipil Lainnya Ytdl</t>
        </is>
      </c>
      <c r="N54" t="inlineStr">
        <is>
          <t>K</t>
        </is>
      </c>
      <c r="O54" t="inlineStr">
        <is>
          <t>20231024</t>
        </is>
      </c>
      <c r="P54" t="inlineStr">
        <is>
          <t>Jawa Barat</t>
        </is>
      </c>
      <c r="Q54" t="inlineStr"/>
    </row>
    <row r="55">
      <c r="A55" t="inlineStr">
        <is>
          <t>FAJARINDAH MAKMUR ABADIJAYA</t>
        </is>
      </c>
      <c r="B55" t="inlineStr">
        <is>
          <t>Kota Adm. Jakarta Selatan</t>
        </is>
      </c>
      <c r="C55" t="inlineStr">
        <is>
          <t>085205012498</t>
        </is>
      </c>
      <c r="D55" t="inlineStr">
        <is>
          <t>fajarindahmakmurabadijaya@gmail.com</t>
        </is>
      </c>
      <c r="E55" t="inlineStr">
        <is>
          <t>https://lpjk.pu.go.id/search-badan-usaha-detail/SFdlaC8xamNBWXNxTzMvZjE4OCtWQT09</t>
        </is>
      </c>
      <c r="F55" t="n">
        <v>3</v>
      </c>
      <c r="G55" t="inlineStr">
        <is>
          <t>BG005, BG008, BG009</t>
        </is>
      </c>
      <c r="H55" t="inlineStr">
        <is>
          <t>28 Juli 2023</t>
        </is>
      </c>
      <c r="I55" s="2" t="n">
        <v>46320</v>
      </c>
      <c r="J55" t="inlineStr">
        <is>
          <t>Disetujui</t>
        </is>
      </c>
      <c r="K55" t="n">
        <v>60</v>
      </c>
      <c r="L55" t="inlineStr">
        <is>
          <t>25 Oktober 2026</t>
        </is>
      </c>
      <c r="M55" t="inlineStr">
        <is>
          <t>Konstruksi Gedung Kesehatan, Konstruksi Gedung Lainnya, Konstruksi Gedung Tempat Hiburan dan Olahraga</t>
        </is>
      </c>
      <c r="N55" t="inlineStr">
        <is>
          <t>K</t>
        </is>
      </c>
      <c r="O55" t="inlineStr">
        <is>
          <t>20231020</t>
        </is>
      </c>
      <c r="P55" t="inlineStr">
        <is>
          <t>DKI Jakarta</t>
        </is>
      </c>
      <c r="Q55" t="inlineStr"/>
    </row>
    <row r="56">
      <c r="A56" t="inlineStr">
        <is>
          <t>FAJARRAYA USAHANUSA</t>
        </is>
      </c>
      <c r="B56" t="inlineStr">
        <is>
          <t>Kab. Toli Toli</t>
        </is>
      </c>
      <c r="C56" t="inlineStr">
        <is>
          <t>085396061490</t>
        </is>
      </c>
      <c r="D56" t="inlineStr">
        <is>
          <t>fajar_usahanusa@yahoo.co.id</t>
        </is>
      </c>
      <c r="E56" t="inlineStr">
        <is>
          <t>https://lpjk.pu.go.id/search-badan-usaha-detail/N1B2dEtJK1l4TzgwcDFxYTM2amhEQT09</t>
        </is>
      </c>
      <c r="F56" t="n">
        <v>1</v>
      </c>
      <c r="G56" t="inlineStr">
        <is>
          <t>BS002</t>
        </is>
      </c>
      <c r="H56" t="inlineStr">
        <is>
          <t>10 Oktober 1992</t>
        </is>
      </c>
      <c r="I56" s="2" t="n">
        <v>46320</v>
      </c>
      <c r="J56" t="inlineStr">
        <is>
          <t>Disetujui</t>
        </is>
      </c>
      <c r="K56" t="n">
        <v>60</v>
      </c>
      <c r="L56" t="inlineStr">
        <is>
          <t>25 Oktober 2026</t>
        </is>
      </c>
      <c r="M56" t="inlineStr">
        <is>
          <t>Bangunan Sipil Jembatan, Jalan Layang, Fly Over, dan Underpass</t>
        </is>
      </c>
      <c r="N56" t="inlineStr">
        <is>
          <t>M</t>
        </is>
      </c>
      <c r="O56" t="inlineStr">
        <is>
          <t>20230831</t>
        </is>
      </c>
      <c r="P56" t="inlineStr">
        <is>
          <t>Sulawesi Tengah</t>
        </is>
      </c>
      <c r="Q56" t="inlineStr"/>
    </row>
    <row r="57">
      <c r="A57" t="inlineStr">
        <is>
          <t>FASADE NUSANTARA</t>
        </is>
      </c>
      <c r="B57" t="inlineStr">
        <is>
          <t>Kota Palu</t>
        </is>
      </c>
      <c r="C57" t="inlineStr">
        <is>
          <t>085340641178</t>
        </is>
      </c>
      <c r="D57" t="inlineStr">
        <is>
          <t>fasade_nusantara@yahoo.com</t>
        </is>
      </c>
      <c r="E57" t="inlineStr">
        <is>
          <t>https://lpjk.pu.go.id/search-badan-usaha-detail/NEVOL0RJNE9kSm5Td1VtK2tUaU1KUT09</t>
        </is>
      </c>
      <c r="F57" t="n">
        <v>4</v>
      </c>
      <c r="G57" t="inlineStr">
        <is>
          <t>AR002, RK001, RK002, RK003</t>
        </is>
      </c>
      <c r="H57" t="inlineStr">
        <is>
          <t>13 November 2020</t>
        </is>
      </c>
      <c r="I57" s="2" t="n">
        <v>46320</v>
      </c>
      <c r="J57" t="inlineStr">
        <is>
          <t>Disetujui</t>
        </is>
      </c>
      <c r="K57" t="n">
        <v>60</v>
      </c>
      <c r="L57" t="inlineStr">
        <is>
          <t>25 Oktober 2026</t>
        </is>
      </c>
      <c r="M57" t="inlineStr">
        <is>
          <t>Jasa Arsitektural Lainnya, Jasa Rekayasa Konstruksi Bangunan Gedung Hunian dan Non Hunian, Jasa Rekayasa Pekerjaan Teknik Sipil Sumber Daya Air, Jasa Rekayasa Pekerjaan Teknik Sipil Transportasi</t>
        </is>
      </c>
      <c r="N57" t="inlineStr">
        <is>
          <t>K</t>
        </is>
      </c>
      <c r="O57" t="inlineStr">
        <is>
          <t>20231010</t>
        </is>
      </c>
      <c r="P57" t="inlineStr">
        <is>
          <t>Sulawesi Tengah</t>
        </is>
      </c>
      <c r="Q57" t="inlineStr"/>
    </row>
    <row r="58">
      <c r="A58" t="inlineStr">
        <is>
          <t>GAMANA CITRA</t>
        </is>
      </c>
      <c r="B58" t="inlineStr">
        <is>
          <t>Kab. Cianjur</t>
        </is>
      </c>
      <c r="C58" t="inlineStr">
        <is>
          <t>085720645286</t>
        </is>
      </c>
      <c r="D58" t="inlineStr">
        <is>
          <t>cvgamanacitra65@gmail.com</t>
        </is>
      </c>
      <c r="E58" t="inlineStr">
        <is>
          <t>https://lpjk.pu.go.id/search-badan-usaha-detail/RjBKZzNFakc0czNVZm9aRXEwVm9ydz09</t>
        </is>
      </c>
      <c r="F58" t="n">
        <v>4</v>
      </c>
      <c r="G58" t="inlineStr">
        <is>
          <t>BG006, BG009</t>
        </is>
      </c>
      <c r="H58" t="inlineStr">
        <is>
          <t>4 Januari 2002</t>
        </is>
      </c>
      <c r="I58" s="2" t="n">
        <v>46320</v>
      </c>
      <c r="J58" t="inlineStr">
        <is>
          <t>Disetujui</t>
        </is>
      </c>
      <c r="K58" t="n">
        <v>60</v>
      </c>
      <c r="L58" t="inlineStr">
        <is>
          <t>25 Oktober 2026</t>
        </is>
      </c>
      <c r="M58" t="inlineStr">
        <is>
          <t>Konstruksi Gedung Lainnya, Konstruksi Gedung Pendidikan</t>
        </is>
      </c>
      <c r="N58" t="inlineStr">
        <is>
          <t>K</t>
        </is>
      </c>
      <c r="O58" t="inlineStr">
        <is>
          <t>20231017, 20231024</t>
        </is>
      </c>
      <c r="P58" t="inlineStr">
        <is>
          <t>Jawa Barat</t>
        </is>
      </c>
      <c r="Q58" t="inlineStr"/>
    </row>
    <row r="59">
      <c r="A59" t="inlineStr">
        <is>
          <t>GANESHA KARYA</t>
        </is>
      </c>
      <c r="B59" t="inlineStr">
        <is>
          <t>Kab. Aceh Barat Daya</t>
        </is>
      </c>
      <c r="C59" t="inlineStr">
        <is>
          <t>085264110277</t>
        </is>
      </c>
      <c r="D59" t="inlineStr">
        <is>
          <t>ganeshakarya89@gmail.com</t>
        </is>
      </c>
      <c r="E59" t="inlineStr">
        <is>
          <t>https://lpjk.pu.go.id/search-badan-usaha-detail/NVc0WHQvMUtpelRXVWwvUDdOTzIxZz09</t>
        </is>
      </c>
      <c r="F59" t="n">
        <v>4</v>
      </c>
      <c r="G59" t="inlineStr">
        <is>
          <t>BG006, BG009</t>
        </is>
      </c>
      <c r="H59" t="inlineStr">
        <is>
          <t>28 Februari 2020</t>
        </is>
      </c>
      <c r="I59" s="2" t="n">
        <v>46320</v>
      </c>
      <c r="J59" t="inlineStr">
        <is>
          <t>Disetujui, Pencabutan</t>
        </is>
      </c>
      <c r="K59" t="n">
        <v>60</v>
      </c>
      <c r="L59" t="inlineStr">
        <is>
          <t>25 Oktober 2026</t>
        </is>
      </c>
      <c r="M59" t="inlineStr">
        <is>
          <t>Konstruksi Gedung Lainnya, Konstruksi Gedung Pendidikan</t>
        </is>
      </c>
      <c r="N59" t="inlineStr">
        <is>
          <t>K</t>
        </is>
      </c>
      <c r="O59" t="inlineStr">
        <is>
          <t>20231026</t>
        </is>
      </c>
      <c r="P59" t="inlineStr">
        <is>
          <t>Aceh</t>
        </is>
      </c>
      <c r="Q59" t="inlineStr"/>
    </row>
    <row r="60">
      <c r="A60" t="inlineStr">
        <is>
          <t>GEMILANG MAKMUR ABADI</t>
        </is>
      </c>
      <c r="B60" t="inlineStr">
        <is>
          <t>Kota Malang</t>
        </is>
      </c>
      <c r="C60" t="inlineStr">
        <is>
          <t>081334045480</t>
        </is>
      </c>
      <c r="D60" t="inlineStr">
        <is>
          <t>gemilangmakmurabadi_cv@yahoo.com</t>
        </is>
      </c>
      <c r="E60" t="inlineStr">
        <is>
          <t>https://lpjk.pu.go.id/search-badan-usaha-detail/UXBlMXNqWVEyelFjRjhwTWRLQVg4dm9BQmhUUVNNWWYzQ21XOG5BdU9qST0</t>
        </is>
      </c>
      <c r="F60" t="n">
        <v>2</v>
      </c>
      <c r="G60" t="inlineStr">
        <is>
          <t>BS001, BS004</t>
        </is>
      </c>
      <c r="H60" t="inlineStr">
        <is>
          <t>16 Juni 2022</t>
        </is>
      </c>
      <c r="I60" s="2" t="n">
        <v>46320</v>
      </c>
      <c r="J60" t="inlineStr">
        <is>
          <t>Disetujui</t>
        </is>
      </c>
      <c r="K60" t="n">
        <v>60</v>
      </c>
      <c r="L60" t="inlineStr">
        <is>
          <t>25 Oktober 2026</t>
        </is>
      </c>
      <c r="M60" t="inlineStr">
        <is>
          <t>Konstruksi Bangunan Sipil Jalan, Konstruksi Jaringan Irigasi dan Drainase</t>
        </is>
      </c>
      <c r="N60" t="inlineStr">
        <is>
          <t>K</t>
        </is>
      </c>
      <c r="O60" t="inlineStr">
        <is>
          <t>20231003, 20231019</t>
        </is>
      </c>
      <c r="P60" t="inlineStr">
        <is>
          <t>Jawa Timur</t>
        </is>
      </c>
      <c r="Q60" t="inlineStr"/>
    </row>
    <row r="61">
      <c r="A61" t="inlineStr">
        <is>
          <t>GLOBAL ELEKTRIK SENTOSA</t>
        </is>
      </c>
      <c r="B61" t="inlineStr">
        <is>
          <t>Kota Banjar</t>
        </is>
      </c>
      <c r="C61" t="inlineStr">
        <is>
          <t>085310496260</t>
        </is>
      </c>
      <c r="D61" t="inlineStr">
        <is>
          <t>globa_elektrik_sentosa@yahoo.com</t>
        </is>
      </c>
      <c r="E61" t="inlineStr">
        <is>
          <t>https://lpjk.pu.go.id/search-badan-usaha-detail/c0gvS0hRVFdlUWNoRmtZSWZDejVxQT09</t>
        </is>
      </c>
      <c r="F61" t="n">
        <v>1</v>
      </c>
      <c r="G61" t="inlineStr">
        <is>
          <t>BG009</t>
        </is>
      </c>
      <c r="H61" t="inlineStr">
        <is>
          <t>14 September 2020</t>
        </is>
      </c>
      <c r="I61" s="2" t="n">
        <v>46320</v>
      </c>
      <c r="J61" t="inlineStr">
        <is>
          <t>Disetujui</t>
        </is>
      </c>
      <c r="K61" t="n">
        <v>60</v>
      </c>
      <c r="L61" t="inlineStr">
        <is>
          <t>25 Oktober 2026</t>
        </is>
      </c>
      <c r="M61" t="inlineStr">
        <is>
          <t>Konstruksi Gedung Lainnya</t>
        </is>
      </c>
      <c r="N61" t="inlineStr">
        <is>
          <t>K</t>
        </is>
      </c>
      <c r="O61" t="inlineStr">
        <is>
          <t>20231023</t>
        </is>
      </c>
      <c r="P61" t="inlineStr">
        <is>
          <t>Jawa Barat</t>
        </is>
      </c>
      <c r="Q61" t="inlineStr"/>
    </row>
    <row r="62">
      <c r="A62" t="inlineStr">
        <is>
          <t>GRAHA KARYA UTAMA</t>
        </is>
      </c>
      <c r="B62" t="inlineStr">
        <is>
          <t>Kab. Jember</t>
        </is>
      </c>
      <c r="C62" t="inlineStr">
        <is>
          <t>0331332005</t>
        </is>
      </c>
      <c r="D62" t="inlineStr">
        <is>
          <t>graha.karya.utama.cv@gmail.com</t>
        </is>
      </c>
      <c r="E62" t="inlineStr">
        <is>
          <t>https://lpjk.pu.go.id/search-badan-usaha-detail/U2V0NVlJRVg3enpXcm91QzdwMHovdz09</t>
        </is>
      </c>
      <c r="F62" t="n">
        <v>1</v>
      </c>
      <c r="G62" t="inlineStr">
        <is>
          <t>BG005</t>
        </is>
      </c>
      <c r="H62" t="inlineStr">
        <is>
          <t>17 Maret 2017</t>
        </is>
      </c>
      <c r="I62" s="2" t="n">
        <v>46320</v>
      </c>
      <c r="J62" t="inlineStr">
        <is>
          <t>Disetujui</t>
        </is>
      </c>
      <c r="K62" t="n">
        <v>60</v>
      </c>
      <c r="L62" t="inlineStr">
        <is>
          <t>25 Oktober 2026</t>
        </is>
      </c>
      <c r="M62" t="inlineStr">
        <is>
          <t>Konstruksi Gedung Kesehatan</t>
        </is>
      </c>
      <c r="N62" t="inlineStr">
        <is>
          <t>K</t>
        </is>
      </c>
      <c r="O62" t="inlineStr">
        <is>
          <t>20231023</t>
        </is>
      </c>
      <c r="P62" t="inlineStr">
        <is>
          <t>Jawa Timur</t>
        </is>
      </c>
      <c r="Q62" t="inlineStr"/>
    </row>
    <row r="63">
      <c r="A63" t="inlineStr">
        <is>
          <t>GUNA SWASTIKA DINAMIKA</t>
        </is>
      </c>
      <c r="B63" t="inlineStr">
        <is>
          <t>Kota Adm. Jakarta Pusat</t>
        </is>
      </c>
      <c r="C63" t="inlineStr">
        <is>
          <t>02122017818</t>
        </is>
      </c>
      <c r="D63" t="inlineStr">
        <is>
          <t>gunaswastika@yahoo.com</t>
        </is>
      </c>
      <c r="E63" t="inlineStr">
        <is>
          <t>https://lpjk.pu.go.id/search-badan-usaha-detail/allpbVl3MllwdlplNks4d3MwRWNiUT09</t>
        </is>
      </c>
      <c r="F63" t="n">
        <v>1</v>
      </c>
      <c r="G63" t="inlineStr">
        <is>
          <t>BG009</t>
        </is>
      </c>
      <c r="H63" t="inlineStr">
        <is>
          <t>13 Januari 1986</t>
        </is>
      </c>
      <c r="I63" s="2" t="n">
        <v>46320</v>
      </c>
      <c r="J63" t="inlineStr">
        <is>
          <t>Pencabutan</t>
        </is>
      </c>
      <c r="K63" t="n">
        <v>60</v>
      </c>
      <c r="L63" t="inlineStr">
        <is>
          <t>25 Oktober 2026</t>
        </is>
      </c>
      <c r="M63" t="inlineStr">
        <is>
          <t>Konstruksi Gedung Lainnya</t>
        </is>
      </c>
      <c r="N63" t="inlineStr">
        <is>
          <t>M</t>
        </is>
      </c>
      <c r="O63" t="inlineStr">
        <is>
          <t>20231024</t>
        </is>
      </c>
      <c r="P63" t="inlineStr">
        <is>
          <t>DKI Jakarta</t>
        </is>
      </c>
      <c r="Q63" t="inlineStr"/>
    </row>
    <row r="64">
      <c r="A64" t="inlineStr">
        <is>
          <t>HAN JAYA UTAMA</t>
        </is>
      </c>
      <c r="B64" t="inlineStr">
        <is>
          <t>Kab. Kampar</t>
        </is>
      </c>
      <c r="C64" t="inlineStr">
        <is>
          <t>087793297857</t>
        </is>
      </c>
      <c r="D64" t="inlineStr">
        <is>
          <t>cv.hanjayautama@gmail.com</t>
        </is>
      </c>
      <c r="E64" t="inlineStr">
        <is>
          <t>https://lpjk.pu.go.id/search-badan-usaha-detail/cm03Q3dTV0RGSnhXa3JVTUQxRlZFUT09</t>
        </is>
      </c>
      <c r="F64" t="n">
        <v>2</v>
      </c>
      <c r="G64" t="inlineStr">
        <is>
          <t>BS001, BS004</t>
        </is>
      </c>
      <c r="H64" t="inlineStr">
        <is>
          <t>6 Juni 2023</t>
        </is>
      </c>
      <c r="I64" s="2" t="n">
        <v>46320</v>
      </c>
      <c r="J64" t="inlineStr">
        <is>
          <t>Disetujui</t>
        </is>
      </c>
      <c r="K64" t="n">
        <v>60</v>
      </c>
      <c r="L64" t="inlineStr">
        <is>
          <t>25 Oktober 2026</t>
        </is>
      </c>
      <c r="M64" t="inlineStr">
        <is>
          <t>Konstruksi Bangunan Sipil Jalan, Konstruksi Jaringan Irigasi dan Drainase</t>
        </is>
      </c>
      <c r="N64" t="inlineStr">
        <is>
          <t>K</t>
        </is>
      </c>
      <c r="O64" t="inlineStr">
        <is>
          <t>20231022, 20231025</t>
        </is>
      </c>
      <c r="P64" t="inlineStr">
        <is>
          <t>Riau</t>
        </is>
      </c>
      <c r="Q64" t="inlineStr"/>
    </row>
    <row r="65">
      <c r="A65" t="inlineStr">
        <is>
          <t>HARTAKINDO INTI</t>
        </is>
      </c>
      <c r="B65" t="inlineStr">
        <is>
          <t>Kab. Gowa</t>
        </is>
      </c>
      <c r="C65" t="inlineStr">
        <is>
          <t>085240627563</t>
        </is>
      </c>
      <c r="D65" t="inlineStr">
        <is>
          <t>pt.hartakindointi@gmail.com</t>
        </is>
      </c>
      <c r="E65" t="inlineStr">
        <is>
          <t>https://lpjk.pu.go.id/search-badan-usaha-detail/S2xzaE1tRmhCNlpFV2llNTN2TXRJdz09</t>
        </is>
      </c>
      <c r="F65" t="n">
        <v>1</v>
      </c>
      <c r="G65" t="inlineStr">
        <is>
          <t>RK001</t>
        </is>
      </c>
      <c r="H65" t="inlineStr">
        <is>
          <t>5 Juli 2023</t>
        </is>
      </c>
      <c r="I65" s="2" t="n">
        <v>46320</v>
      </c>
      <c r="J65" t="inlineStr">
        <is>
          <t>Disetujui</t>
        </is>
      </c>
      <c r="K65" t="n">
        <v>60</v>
      </c>
      <c r="L65" t="inlineStr">
        <is>
          <t>25 Oktober 2026</t>
        </is>
      </c>
      <c r="M65" t="inlineStr">
        <is>
          <t>Jasa Rekayasa Konstruksi Bangunan Gedung Hunian dan Non Hunian</t>
        </is>
      </c>
      <c r="N65" t="inlineStr">
        <is>
          <t>K</t>
        </is>
      </c>
      <c r="O65" t="inlineStr">
        <is>
          <t>20231009</t>
        </is>
      </c>
      <c r="P65" t="inlineStr">
        <is>
          <t>Sulawesi Selatan</t>
        </is>
      </c>
      <c r="Q65" t="inlineStr"/>
    </row>
    <row r="66">
      <c r="A66" t="inlineStr">
        <is>
          <t>HEKSA SINERGI BERKAH</t>
        </is>
      </c>
      <c r="B66" t="inlineStr">
        <is>
          <t>Kota Surabaya</t>
        </is>
      </c>
      <c r="C66" t="inlineStr">
        <is>
          <t>0318714849</t>
        </is>
      </c>
      <c r="D66" t="inlineStr">
        <is>
          <t>heksasinergiberkah@yahoo.com</t>
        </is>
      </c>
      <c r="E66" t="inlineStr">
        <is>
          <t>https://lpjk.pu.go.id/search-badan-usaha-detail/dzR2OUduTzdFRkFiVWJCOXJvRVJkZz09</t>
        </is>
      </c>
      <c r="F66" t="n">
        <v>4</v>
      </c>
      <c r="G66" t="inlineStr">
        <is>
          <t>BG002, BG005, BG006, BG009</t>
        </is>
      </c>
      <c r="H66" t="inlineStr">
        <is>
          <t>23 Maret 2020</t>
        </is>
      </c>
      <c r="I66" s="2" t="n">
        <v>46320</v>
      </c>
      <c r="J66" t="inlineStr">
        <is>
          <t>Disetujui</t>
        </is>
      </c>
      <c r="K66" t="n">
        <v>60</v>
      </c>
      <c r="L66" t="inlineStr">
        <is>
          <t>25 Oktober 2026</t>
        </is>
      </c>
      <c r="M66" t="inlineStr">
        <is>
          <t>Konstruksi Gedung Kesehatan, Konstruksi Gedung Lainnya, Konstruksi Gedung Pendidikan, Konstruksi Gedung Perkantoran</t>
        </is>
      </c>
      <c r="N66" t="inlineStr">
        <is>
          <t>K</t>
        </is>
      </c>
      <c r="O66" t="inlineStr">
        <is>
          <t>20230803, 20230804, 20230924, 20231025</t>
        </is>
      </c>
      <c r="P66" t="inlineStr">
        <is>
          <t>Jawa Timur</t>
        </is>
      </c>
      <c r="Q66" t="inlineStr"/>
    </row>
    <row r="67">
      <c r="A67" t="inlineStr">
        <is>
          <t>IDEAL SEJATI CONSULINDO</t>
        </is>
      </c>
      <c r="B67" t="inlineStr">
        <is>
          <t>Kota Banjarmasin</t>
        </is>
      </c>
      <c r="C67" t="inlineStr">
        <is>
          <t>083141766386</t>
        </is>
      </c>
      <c r="D67" t="inlineStr">
        <is>
          <t>cvidealsejaticonsulindo@gmail.com</t>
        </is>
      </c>
      <c r="E67" t="inlineStr">
        <is>
          <t>https://lpjk.pu.go.id/search-badan-usaha-detail/VTNtVnFlZkpiaE83ZkZWcTVTV3VKdz09</t>
        </is>
      </c>
      <c r="F67" t="n">
        <v>6</v>
      </c>
      <c r="G67" t="inlineStr">
        <is>
          <t>RK001, RK002, RK003</t>
        </is>
      </c>
      <c r="H67" t="inlineStr">
        <is>
          <t>3 Oktober 2023</t>
        </is>
      </c>
      <c r="I67" s="2" t="n">
        <v>46320</v>
      </c>
      <c r="J67" t="inlineStr">
        <is>
          <t>Disetujui</t>
        </is>
      </c>
      <c r="K67" t="n">
        <v>60</v>
      </c>
      <c r="L67" t="inlineStr">
        <is>
          <t>25 Oktober 2026</t>
        </is>
      </c>
      <c r="M67" t="inlineStr">
        <is>
          <t>Jasa Rekayasa Konstruksi Bangunan Gedung Hunian dan Non Hunian, Jasa Rekayasa Pekerjaan Teknik Sipil Sumber Daya Air, Jasa Rekayasa Pekerjaan Teknik Sipil Transportasi</t>
        </is>
      </c>
      <c r="N67" t="inlineStr">
        <is>
          <t>K</t>
        </is>
      </c>
      <c r="O67" t="inlineStr">
        <is>
          <t>20231018, 20231023</t>
        </is>
      </c>
      <c r="P67" t="inlineStr">
        <is>
          <t>Kalimantan Selatan</t>
        </is>
      </c>
      <c r="Q67" t="inlineStr"/>
    </row>
    <row r="68">
      <c r="A68" t="inlineStr">
        <is>
          <t>INDI KARYA</t>
        </is>
      </c>
      <c r="B68" t="inlineStr">
        <is>
          <t>Kota Makassar</t>
        </is>
      </c>
      <c r="C68" t="inlineStr">
        <is>
          <t>08124345450</t>
        </is>
      </c>
      <c r="D68" t="inlineStr">
        <is>
          <t>cvindikarya@gmail.com</t>
        </is>
      </c>
      <c r="E68" t="inlineStr">
        <is>
          <t>https://lpjk.pu.go.id/search-badan-usaha-detail/UzNqempxWkRtTk1WMTR4Um1sdEQ0dz09</t>
        </is>
      </c>
      <c r="F68" t="n">
        <v>6</v>
      </c>
      <c r="G68" t="inlineStr">
        <is>
          <t>BG001, BG002, BG005, BG006, BS001, BS004</t>
        </is>
      </c>
      <c r="H68" t="inlineStr">
        <is>
          <t>10 April 2002</t>
        </is>
      </c>
      <c r="I68" s="2" t="n">
        <v>46320</v>
      </c>
      <c r="J68" t="inlineStr">
        <is>
          <t>Disetujui</t>
        </is>
      </c>
      <c r="K68" t="n">
        <v>60</v>
      </c>
      <c r="L68" t="inlineStr">
        <is>
          <t>25 Oktober 2026</t>
        </is>
      </c>
      <c r="M68" t="inlineStr">
        <is>
          <t>Konstruksi Bangunan Sipil Jalan, Konstruksi Gedung Hunian, Konstruksi Gedung Kesehatan, Konstruksi Gedung Pendidikan, Konstruksi Gedung Perkantoran, Konstruksi Jaringan Irigasi dan Drainase</t>
        </is>
      </c>
      <c r="N68" t="inlineStr">
        <is>
          <t>K</t>
        </is>
      </c>
      <c r="O68" t="inlineStr">
        <is>
          <t>20231017</t>
        </is>
      </c>
      <c r="P68" t="inlineStr">
        <is>
          <t>Sulawesi Selatan</t>
        </is>
      </c>
      <c r="Q68" t="inlineStr"/>
    </row>
    <row r="69">
      <c r="A69" t="inlineStr">
        <is>
          <t>INDOPERKASA BUKITPUTUS</t>
        </is>
      </c>
      <c r="B69" t="inlineStr">
        <is>
          <t>Kota Padang</t>
        </is>
      </c>
      <c r="C69" t="inlineStr">
        <is>
          <t>08116614198</t>
        </is>
      </c>
      <c r="D69" t="inlineStr">
        <is>
          <t>ptindoperkasa@gmail.com</t>
        </is>
      </c>
      <c r="E69" t="inlineStr">
        <is>
          <t>https://lpjk.pu.go.id/search-badan-usaha-detail/bnZpNERzY1VGRXBESUlyTzZObGd1dz09</t>
        </is>
      </c>
      <c r="F69" t="n">
        <v>2</v>
      </c>
      <c r="G69" t="inlineStr">
        <is>
          <t>BG003, BG009</t>
        </is>
      </c>
      <c r="H69" t="inlineStr">
        <is>
          <t>29 Juni 2006</t>
        </is>
      </c>
      <c r="I69" s="2" t="n">
        <v>46320</v>
      </c>
      <c r="J69" t="inlineStr">
        <is>
          <t>Disetujui</t>
        </is>
      </c>
      <c r="K69" t="n">
        <v>60</v>
      </c>
      <c r="L69" t="inlineStr">
        <is>
          <t>25 Oktober 2026</t>
        </is>
      </c>
      <c r="M69" t="inlineStr">
        <is>
          <t>Konstruksi Gedung Industri, Konstruksi Gedung Lainnya</t>
        </is>
      </c>
      <c r="N69" t="inlineStr">
        <is>
          <t>K</t>
        </is>
      </c>
      <c r="O69" t="inlineStr">
        <is>
          <t>20231024, 20231026</t>
        </is>
      </c>
      <c r="P69" t="inlineStr">
        <is>
          <t>Sumatera Barat</t>
        </is>
      </c>
      <c r="Q69" t="inlineStr"/>
    </row>
    <row r="70">
      <c r="A70" t="inlineStr">
        <is>
          <t>INDOTEKNIK PRIMA SOLUSI</t>
        </is>
      </c>
      <c r="B70" t="inlineStr">
        <is>
          <t>Kota Bandar Lampung</t>
        </is>
      </c>
      <c r="C70" t="inlineStr">
        <is>
          <t>082278232274</t>
        </is>
      </c>
      <c r="D70" t="inlineStr">
        <is>
          <t>indoteknikprimasolusi.pt@gmail.com</t>
        </is>
      </c>
      <c r="E70" t="inlineStr">
        <is>
          <t>https://lpjk.pu.go.id/search-badan-usaha-detail/c2pGNExZSndIby96QzdFWVFoZlFKdz09</t>
        </is>
      </c>
      <c r="F70" t="n">
        <v>3</v>
      </c>
      <c r="G70" t="inlineStr">
        <is>
          <t>BS001</t>
        </is>
      </c>
      <c r="H70" t="inlineStr">
        <is>
          <t>22 Agustus 2009</t>
        </is>
      </c>
      <c r="I70" s="2" t="n">
        <v>46320</v>
      </c>
      <c r="J70" t="inlineStr">
        <is>
          <t>Disetujui</t>
        </is>
      </c>
      <c r="K70" t="n">
        <v>60</v>
      </c>
      <c r="L70" t="inlineStr">
        <is>
          <t>25 Oktober 2026</t>
        </is>
      </c>
      <c r="M70" t="inlineStr">
        <is>
          <t>Konstruksi Bangunan Sipil Jalan</t>
        </is>
      </c>
      <c r="N70" t="inlineStr">
        <is>
          <t>M</t>
        </is>
      </c>
      <c r="O70" t="inlineStr">
        <is>
          <t>20231010</t>
        </is>
      </c>
      <c r="P70" t="inlineStr">
        <is>
          <t>Lampung</t>
        </is>
      </c>
      <c r="Q70" t="inlineStr"/>
    </row>
    <row r="71">
      <c r="A71" t="inlineStr">
        <is>
          <t>JAYA SARANA MANDIRI</t>
        </is>
      </c>
      <c r="B71" t="inlineStr">
        <is>
          <t>Kab. Tangerang</t>
        </is>
      </c>
      <c r="C71" t="inlineStr">
        <is>
          <t>087888298663</t>
        </is>
      </c>
      <c r="D71" t="inlineStr">
        <is>
          <t>jayasaranamandiri@yahoo.com</t>
        </is>
      </c>
      <c r="E71" t="inlineStr">
        <is>
          <t>https://lpjk.pu.go.id/search-badan-usaha-detail/d0xEbStZVHFiNEhvRUpVOHVaOW1nZz09</t>
        </is>
      </c>
      <c r="F71" t="n">
        <v>1</v>
      </c>
      <c r="G71" t="inlineStr">
        <is>
          <t>BS010</t>
        </is>
      </c>
      <c r="H71" t="inlineStr">
        <is>
          <t>24 April 2018</t>
        </is>
      </c>
      <c r="I71" s="2" t="n">
        <v>46320</v>
      </c>
      <c r="J71" t="inlineStr">
        <is>
          <t>Disetujui</t>
        </is>
      </c>
      <c r="K71" t="n">
        <v>60</v>
      </c>
      <c r="L71" t="inlineStr">
        <is>
          <t>25 Oktober 2026</t>
        </is>
      </c>
      <c r="M71" t="inlineStr">
        <is>
          <t>Konstruksi Bangunan Prasarana Sumber Daya Air</t>
        </is>
      </c>
      <c r="N71" t="inlineStr">
        <is>
          <t>K</t>
        </is>
      </c>
      <c r="O71" t="inlineStr">
        <is>
          <t>20231026</t>
        </is>
      </c>
      <c r="P71" t="inlineStr">
        <is>
          <t>Banten</t>
        </is>
      </c>
      <c r="Q71" t="inlineStr"/>
    </row>
    <row r="72">
      <c r="A72" t="inlineStr">
        <is>
          <t>JAYA USAHA</t>
        </is>
      </c>
      <c r="B72" t="inlineStr">
        <is>
          <t>Kab. Barito Kuala</t>
        </is>
      </c>
      <c r="C72" t="inlineStr">
        <is>
          <t>082250322299</t>
        </is>
      </c>
      <c r="D72" t="inlineStr">
        <is>
          <t>CV.JAYAUSAHA1483@GMAIL.COM</t>
        </is>
      </c>
      <c r="E72" t="inlineStr">
        <is>
          <t>https://lpjk.pu.go.id/search-badan-usaha-detail/ZGVPR0cyVFh6STlHSGFGTXdzeFJldz09</t>
        </is>
      </c>
      <c r="F72" t="n">
        <v>4</v>
      </c>
      <c r="G72" t="inlineStr">
        <is>
          <t>BG005, BG006, BS001, BS004</t>
        </is>
      </c>
      <c r="H72" t="inlineStr">
        <is>
          <t>1 Juli 2004</t>
        </is>
      </c>
      <c r="I72" s="2" t="n">
        <v>46320</v>
      </c>
      <c r="J72" t="inlineStr">
        <is>
          <t>Disetujui</t>
        </is>
      </c>
      <c r="K72" t="n">
        <v>60</v>
      </c>
      <c r="L72" t="inlineStr">
        <is>
          <t>25 Oktober 2026</t>
        </is>
      </c>
      <c r="M72" t="inlineStr">
        <is>
          <t>Konstruksi Bangunan Sipil Jalan, Konstruksi Gedung Kesehatan, Konstruksi Gedung Pendidikan, Konstruksi Jaringan Irigasi dan Drainase</t>
        </is>
      </c>
      <c r="N72" t="inlineStr">
        <is>
          <t>K</t>
        </is>
      </c>
      <c r="O72" t="inlineStr">
        <is>
          <t>20231024</t>
        </is>
      </c>
      <c r="P72" t="inlineStr">
        <is>
          <t>Kalimantan Selatan</t>
        </is>
      </c>
      <c r="Q72" t="inlineStr"/>
    </row>
    <row r="73">
      <c r="A73" t="inlineStr">
        <is>
          <t>JUNIOR CIPTA UTAMA</t>
        </is>
      </c>
      <c r="B73" t="inlineStr">
        <is>
          <t>Kab. Kepulauan Sangihe</t>
        </is>
      </c>
      <c r="C73" t="inlineStr">
        <is>
          <t>082291458122</t>
        </is>
      </c>
      <c r="D73" t="inlineStr">
        <is>
          <t>cv.juniorciptautama@gmail.com</t>
        </is>
      </c>
      <c r="E73" t="inlineStr">
        <is>
          <t>https://lpjk.pu.go.id/search-badan-usaha-detail/MlRKM3VGTGZ4bVU5SXpUK3R3b3A2Zz09</t>
        </is>
      </c>
      <c r="F73" t="n">
        <v>1</v>
      </c>
      <c r="G73" t="inlineStr">
        <is>
          <t>BS004</t>
        </is>
      </c>
      <c r="H73" t="inlineStr">
        <is>
          <t>3 Februari 2021</t>
        </is>
      </c>
      <c r="I73" s="2" t="n">
        <v>46320</v>
      </c>
      <c r="J73" t="inlineStr">
        <is>
          <t>Disetujui</t>
        </is>
      </c>
      <c r="K73" t="n">
        <v>60</v>
      </c>
      <c r="L73" t="inlineStr">
        <is>
          <t>25 Oktober 2026</t>
        </is>
      </c>
      <c r="M73" t="inlineStr">
        <is>
          <t>Konstruksi Jaringan Irigasi dan Drainase</t>
        </is>
      </c>
      <c r="N73" t="inlineStr">
        <is>
          <t>K</t>
        </is>
      </c>
      <c r="O73" t="inlineStr">
        <is>
          <t>20231024</t>
        </is>
      </c>
      <c r="P73" t="inlineStr">
        <is>
          <t>Sulawesi Utara</t>
        </is>
      </c>
      <c r="Q73" t="inlineStr"/>
    </row>
    <row r="74">
      <c r="A74" t="inlineStr">
        <is>
          <t>KAENTIKA KONSULTAN</t>
        </is>
      </c>
      <c r="B74" t="inlineStr">
        <is>
          <t>Kota Tarakan</t>
        </is>
      </c>
      <c r="C74" t="inlineStr">
        <is>
          <t>085245243277</t>
        </is>
      </c>
      <c r="D74" t="inlineStr">
        <is>
          <t>kaentika.yudi@yahoo.com</t>
        </is>
      </c>
      <c r="E74" t="inlineStr">
        <is>
          <t>https://lpjk.pu.go.id/search-badan-usaha-detail/a3FMRWF2K1dKVkFWSVQvbXl1QlpFZz09</t>
        </is>
      </c>
      <c r="F74" t="n">
        <v>1</v>
      </c>
      <c r="G74" t="inlineStr">
        <is>
          <t>RK001</t>
        </is>
      </c>
      <c r="H74" t="inlineStr">
        <is>
          <t>22 Juni 2012</t>
        </is>
      </c>
      <c r="I74" s="2" t="n">
        <v>46320</v>
      </c>
      <c r="J74" t="inlineStr">
        <is>
          <t>Disetujui</t>
        </is>
      </c>
      <c r="K74" t="n">
        <v>60</v>
      </c>
      <c r="L74" t="inlineStr">
        <is>
          <t>25 Oktober 2026</t>
        </is>
      </c>
      <c r="M74" t="inlineStr">
        <is>
          <t>Jasa Rekayasa Konstruksi Bangunan Gedung Hunian dan Non Hunian</t>
        </is>
      </c>
      <c r="N74" t="inlineStr">
        <is>
          <t>K</t>
        </is>
      </c>
      <c r="O74" t="inlineStr">
        <is>
          <t>20231006</t>
        </is>
      </c>
      <c r="P74" t="inlineStr">
        <is>
          <t>Kalimantan Utara</t>
        </is>
      </c>
      <c r="Q74" t="inlineStr"/>
    </row>
    <row r="75">
      <c r="A75" t="inlineStr">
        <is>
          <t>KARINA KARYA MANDIRI</t>
        </is>
      </c>
      <c r="B75" t="inlineStr">
        <is>
          <t>Kota Surabaya</t>
        </is>
      </c>
      <c r="C75" t="inlineStr">
        <is>
          <t>08123244128</t>
        </is>
      </c>
      <c r="D75" t="inlineStr">
        <is>
          <t>rendy.karina99@gmail.com</t>
        </is>
      </c>
      <c r="E75" t="inlineStr">
        <is>
          <t>https://lpjk.pu.go.id/search-badan-usaha-detail/WnZMYjhGQTNTdEl1ank5QzA0T3JsUT09</t>
        </is>
      </c>
      <c r="F75" t="n">
        <v>1</v>
      </c>
      <c r="G75" t="inlineStr">
        <is>
          <t>BG009</t>
        </is>
      </c>
      <c r="H75" t="inlineStr">
        <is>
          <t>6 Februari 2016</t>
        </is>
      </c>
      <c r="I75" s="2" t="n">
        <v>46320</v>
      </c>
      <c r="J75" t="inlineStr">
        <is>
          <t>Disetujui</t>
        </is>
      </c>
      <c r="K75" t="n">
        <v>60</v>
      </c>
      <c r="L75" t="inlineStr">
        <is>
          <t>25 Oktober 2026</t>
        </is>
      </c>
      <c r="M75" t="inlineStr">
        <is>
          <t>Konstruksi Gedung Lainnya</t>
        </is>
      </c>
      <c r="N75" t="inlineStr">
        <is>
          <t>K</t>
        </is>
      </c>
      <c r="O75" t="inlineStr">
        <is>
          <t>20230927</t>
        </is>
      </c>
      <c r="P75" t="inlineStr">
        <is>
          <t>Jawa Timur</t>
        </is>
      </c>
      <c r="Q75" t="inlineStr"/>
    </row>
    <row r="76">
      <c r="A76" t="inlineStr">
        <is>
          <t>KARYA CIPTA PERSADA</t>
        </is>
      </c>
      <c r="B76" t="inlineStr">
        <is>
          <t>Kota Adm. Jakarta Selatan</t>
        </is>
      </c>
      <c r="C76" t="inlineStr">
        <is>
          <t>02183787434</t>
        </is>
      </c>
      <c r="D76" t="inlineStr">
        <is>
          <t>karyaciptapersadacv@gmail.com</t>
        </is>
      </c>
      <c r="E76" t="inlineStr">
        <is>
          <t>https://lpjk.pu.go.id/search-badan-usaha-detail/VFpwaGdPQnJrYlcxUm4vL212dlhUQT09</t>
        </is>
      </c>
      <c r="F76" t="n">
        <v>1</v>
      </c>
      <c r="G76" t="inlineStr">
        <is>
          <t>PB004</t>
        </is>
      </c>
      <c r="H76" t="inlineStr">
        <is>
          <t>16 Maret 2009</t>
        </is>
      </c>
      <c r="I76" s="2" t="n">
        <v>46320</v>
      </c>
      <c r="J76" t="inlineStr">
        <is>
          <t>Disetujui</t>
        </is>
      </c>
      <c r="K76" t="n">
        <v>60</v>
      </c>
      <c r="L76" t="inlineStr">
        <is>
          <t>25 Oktober 2026</t>
        </is>
      </c>
      <c r="M76" t="inlineStr">
        <is>
          <t>Dekorasi Interior</t>
        </is>
      </c>
      <c r="N76" t="inlineStr">
        <is>
          <t>Spesialis</t>
        </is>
      </c>
      <c r="O76" t="inlineStr">
        <is>
          <t>20230406</t>
        </is>
      </c>
      <c r="P76" t="inlineStr">
        <is>
          <t>DKI Jakarta</t>
        </is>
      </c>
      <c r="Q76" t="inlineStr"/>
    </row>
    <row r="77">
      <c r="A77" t="inlineStr">
        <is>
          <t>KARYA ELEKTRIK KONSTRUKSI</t>
        </is>
      </c>
      <c r="B77" t="inlineStr">
        <is>
          <t>Kota Palopo</t>
        </is>
      </c>
      <c r="C77" t="inlineStr">
        <is>
          <t>081342385627</t>
        </is>
      </c>
      <c r="D77" t="inlineStr">
        <is>
          <t>pt.karyaelektrikkonstruksi@yahoo.com</t>
        </is>
      </c>
      <c r="E77" t="inlineStr">
        <is>
          <t>https://lpjk.pu.go.id/search-badan-usaha-detail/T01oQllNMEkxaFg0cmNGVWpCQ1FFdz09</t>
        </is>
      </c>
      <c r="F77" t="n">
        <v>2</v>
      </c>
      <c r="G77" t="inlineStr">
        <is>
          <t>BG002, BG009</t>
        </is>
      </c>
      <c r="H77" t="inlineStr">
        <is>
          <t>24 Februari 2015</t>
        </is>
      </c>
      <c r="I77" s="2" t="n">
        <v>46320</v>
      </c>
      <c r="J77" t="inlineStr">
        <is>
          <t>Disetujui</t>
        </is>
      </c>
      <c r="K77" t="n">
        <v>60</v>
      </c>
      <c r="L77" t="inlineStr">
        <is>
          <t>25 Oktober 2026</t>
        </is>
      </c>
      <c r="M77" t="inlineStr">
        <is>
          <t>Konstruksi Gedung Lainnya, Konstruksi Gedung Perkantoran</t>
        </is>
      </c>
      <c r="N77" t="inlineStr">
        <is>
          <t>K</t>
        </is>
      </c>
      <c r="O77" t="inlineStr">
        <is>
          <t>20231019</t>
        </is>
      </c>
      <c r="P77" t="inlineStr">
        <is>
          <t>Sulawesi Selatan</t>
        </is>
      </c>
      <c r="Q77" t="inlineStr"/>
    </row>
    <row r="78">
      <c r="A78" t="inlineStr">
        <is>
          <t>KARYA LESTARI</t>
        </is>
      </c>
      <c r="B78" t="inlineStr">
        <is>
          <t>Kab. Trenggalek</t>
        </is>
      </c>
      <c r="C78" t="inlineStr">
        <is>
          <t>082301738288</t>
        </is>
      </c>
      <c r="D78" t="inlineStr">
        <is>
          <t>karyalestaricv.23@gmail.com</t>
        </is>
      </c>
      <c r="E78" t="inlineStr">
        <is>
          <t>https://lpjk.pu.go.id/search-badan-usaha-detail/bmRkNEdRcmdrSWcwQTNLdmJobHNLZz09</t>
        </is>
      </c>
      <c r="F78" t="n">
        <v>3</v>
      </c>
      <c r="G78" t="inlineStr">
        <is>
          <t>BG009, BS001, BS004</t>
        </is>
      </c>
      <c r="H78" t="inlineStr">
        <is>
          <t>7 Desember 2006</t>
        </is>
      </c>
      <c r="I78" s="2" t="n">
        <v>46320</v>
      </c>
      <c r="J78" t="inlineStr">
        <is>
          <t>Disetujui</t>
        </is>
      </c>
      <c r="K78" t="n">
        <v>60</v>
      </c>
      <c r="L78" t="inlineStr">
        <is>
          <t>25 Oktober 2026</t>
        </is>
      </c>
      <c r="M78" t="inlineStr">
        <is>
          <t>Konstruksi Bangunan Sipil Jalan, Konstruksi Gedung Lainnya, Konstruksi Jaringan Irigasi dan Drainase</t>
        </is>
      </c>
      <c r="N78" t="inlineStr">
        <is>
          <t>K</t>
        </is>
      </c>
      <c r="O78" t="inlineStr">
        <is>
          <t>20231020, 20231023</t>
        </is>
      </c>
      <c r="P78" t="inlineStr">
        <is>
          <t>Jawa Timur</t>
        </is>
      </c>
      <c r="Q78" t="inlineStr"/>
    </row>
    <row r="79">
      <c r="A79" t="inlineStr">
        <is>
          <t>KAYU LAUT BERKARYA</t>
        </is>
      </c>
      <c r="B79" t="inlineStr">
        <is>
          <t>Kab. Tapanuli Selatan</t>
        </is>
      </c>
      <c r="C79" t="inlineStr">
        <is>
          <t>081360992594</t>
        </is>
      </c>
      <c r="D79" t="inlineStr">
        <is>
          <t>Kayulautberkarya@gmail.com</t>
        </is>
      </c>
      <c r="E79" t="inlineStr">
        <is>
          <t>https://lpjk.pu.go.id/search-badan-usaha-detail/aDI5Y1gwNnl1ZFRFeG1WS0h6d2Ivdz09</t>
        </is>
      </c>
      <c r="F79" t="n">
        <v>1</v>
      </c>
      <c r="G79" t="inlineStr">
        <is>
          <t>BG002</t>
        </is>
      </c>
      <c r="H79" t="inlineStr">
        <is>
          <t>8 September 2023</t>
        </is>
      </c>
      <c r="I79" s="2" t="n">
        <v>46320</v>
      </c>
      <c r="J79" t="inlineStr">
        <is>
          <t>Disetujui</t>
        </is>
      </c>
      <c r="K79" t="n">
        <v>60</v>
      </c>
      <c r="L79" t="inlineStr">
        <is>
          <t>25 Oktober 2026</t>
        </is>
      </c>
      <c r="M79" t="inlineStr">
        <is>
          <t>Konstruksi Gedung Perkantoran</t>
        </is>
      </c>
      <c r="N79" t="inlineStr">
        <is>
          <t>K</t>
        </is>
      </c>
      <c r="O79" t="inlineStr">
        <is>
          <t>20231023</t>
        </is>
      </c>
      <c r="P79" t="inlineStr">
        <is>
          <t>Sumatera Utara</t>
        </is>
      </c>
      <c r="Q79" t="inlineStr"/>
    </row>
    <row r="80">
      <c r="A80" t="inlineStr">
        <is>
          <t>KENARI</t>
        </is>
      </c>
      <c r="B80" t="inlineStr">
        <is>
          <t>Kab. Pasuruan</t>
        </is>
      </c>
      <c r="C80" t="inlineStr">
        <is>
          <t>082331038887</t>
        </is>
      </c>
      <c r="D80" t="inlineStr">
        <is>
          <t>cvkenari1@gmail.com</t>
        </is>
      </c>
      <c r="E80" t="inlineStr">
        <is>
          <t>https://lpjk.pu.go.id/search-badan-usaha-detail/NzYxRVd5dVIrQU55a0ZzMzBGUVJVQT09</t>
        </is>
      </c>
      <c r="F80" t="n">
        <v>2</v>
      </c>
      <c r="G80" t="inlineStr">
        <is>
          <t>BG006, BS001</t>
        </is>
      </c>
      <c r="H80" t="inlineStr">
        <is>
          <t>21 Februari 2020</t>
        </is>
      </c>
      <c r="I80" s="2" t="n">
        <v>46320</v>
      </c>
      <c r="J80" t="inlineStr">
        <is>
          <t>Disetujui</t>
        </is>
      </c>
      <c r="K80" t="n">
        <v>60</v>
      </c>
      <c r="L80" t="inlineStr">
        <is>
          <t>25 Oktober 2026</t>
        </is>
      </c>
      <c r="M80" t="inlineStr">
        <is>
          <t>Konstruksi Bangunan Sipil Jalan, Konstruksi Gedung Pendidikan</t>
        </is>
      </c>
      <c r="N80" t="inlineStr">
        <is>
          <t>K</t>
        </is>
      </c>
      <c r="O80" t="inlineStr">
        <is>
          <t>20230508, 20230522</t>
        </is>
      </c>
      <c r="P80" t="inlineStr">
        <is>
          <t>Jawa Timur</t>
        </is>
      </c>
      <c r="Q80" t="inlineStr"/>
    </row>
    <row r="81">
      <c r="A81" t="inlineStr">
        <is>
          <t>KHARISMA MUFIDA</t>
        </is>
      </c>
      <c r="B81" t="inlineStr">
        <is>
          <t>Kota Medan</t>
        </is>
      </c>
      <c r="C81" t="inlineStr">
        <is>
          <t>06182820451</t>
        </is>
      </c>
      <c r="D81" t="inlineStr">
        <is>
          <t>pt.kharismamufida07@gmail.com</t>
        </is>
      </c>
      <c r="E81" t="inlineStr">
        <is>
          <t>https://lpjk.pu.go.id/search-badan-usaha-detail/aDh0N0gwSmRnYmh2WlEvc0gxMWJHQT09</t>
        </is>
      </c>
      <c r="F81" t="n">
        <v>4</v>
      </c>
      <c r="G81" t="inlineStr">
        <is>
          <t>BG001, BG002</t>
        </is>
      </c>
      <c r="H81" t="inlineStr">
        <is>
          <t>22 Juni 2012</t>
        </is>
      </c>
      <c r="I81" s="2" t="n">
        <v>46320</v>
      </c>
      <c r="J81" t="inlineStr">
        <is>
          <t>Disetujui</t>
        </is>
      </c>
      <c r="K81" t="n">
        <v>60</v>
      </c>
      <c r="L81" t="inlineStr">
        <is>
          <t>25 Oktober 2026</t>
        </is>
      </c>
      <c r="M81" t="inlineStr">
        <is>
          <t>Konstruksi Gedung Hunian, Konstruksi Gedung Perkantoran</t>
        </is>
      </c>
      <c r="N81" t="inlineStr">
        <is>
          <t>K</t>
        </is>
      </c>
      <c r="O81" t="inlineStr">
        <is>
          <t>20231006, 20231010</t>
        </is>
      </c>
      <c r="P81" t="inlineStr">
        <is>
          <t>Sumatera Utara</t>
        </is>
      </c>
      <c r="Q81" t="inlineStr"/>
    </row>
    <row r="82">
      <c r="A82" t="inlineStr">
        <is>
          <t>KING ZAYDAN PERKASA</t>
        </is>
      </c>
      <c r="B82" t="inlineStr">
        <is>
          <t>Kab. Polewali Mandar</t>
        </is>
      </c>
      <c r="C82" t="inlineStr">
        <is>
          <t>082393708716</t>
        </is>
      </c>
      <c r="D82" t="inlineStr">
        <is>
          <t>KINGZAYDANPERKASA767@gmail.com</t>
        </is>
      </c>
      <c r="E82" t="inlineStr">
        <is>
          <t>https://lpjk.pu.go.id/search-badan-usaha-detail/QnVWaVVJZG4yWVAwOTY2cGdiTWh3dz09</t>
        </is>
      </c>
      <c r="F82" t="n">
        <v>1</v>
      </c>
      <c r="G82" t="inlineStr">
        <is>
          <t>BS002</t>
        </is>
      </c>
      <c r="H82" t="inlineStr">
        <is>
          <t>30 Agustus 2023</t>
        </is>
      </c>
      <c r="I82" s="2" t="n">
        <v>46320</v>
      </c>
      <c r="J82" t="inlineStr">
        <is>
          <t>Disetujui</t>
        </is>
      </c>
      <c r="K82" t="n">
        <v>60</v>
      </c>
      <c r="L82" t="inlineStr">
        <is>
          <t>25 Oktober 2026</t>
        </is>
      </c>
      <c r="M82" t="inlineStr">
        <is>
          <t>Bangunan Sipil Jembatan, Jalan Layang, Fly Over, dan Underpass</t>
        </is>
      </c>
      <c r="N82" t="inlineStr">
        <is>
          <t>K</t>
        </is>
      </c>
      <c r="O82" t="inlineStr">
        <is>
          <t>20231025</t>
        </is>
      </c>
      <c r="P82" t="inlineStr">
        <is>
          <t>Sulawesi Barat</t>
        </is>
      </c>
      <c r="Q82" t="inlineStr"/>
    </row>
    <row r="83">
      <c r="A83" t="inlineStr">
        <is>
          <t>KUMALA GADING PRIMA</t>
        </is>
      </c>
      <c r="B83" t="inlineStr">
        <is>
          <t>Kota Adm. Jakarta Utara</t>
        </is>
      </c>
      <c r="C83" t="inlineStr">
        <is>
          <t>0214406010</t>
        </is>
      </c>
      <c r="D83" t="inlineStr">
        <is>
          <t>pt.kumalagadingprima@gmail.com</t>
        </is>
      </c>
      <c r="E83" t="inlineStr">
        <is>
          <t>https://lpjk.pu.go.id/search-badan-usaha-detail/R0VNdlBxUzNkbnBhVW05VWY2eEk3QT09</t>
        </is>
      </c>
      <c r="F83" t="n">
        <v>1</v>
      </c>
      <c r="G83" t="inlineStr">
        <is>
          <t>BG009</t>
        </is>
      </c>
      <c r="H83" t="inlineStr">
        <is>
          <t>9 Agustus 1999</t>
        </is>
      </c>
      <c r="I83" s="2" t="n">
        <v>46320</v>
      </c>
      <c r="J83" t="inlineStr">
        <is>
          <t>Disetujui</t>
        </is>
      </c>
      <c r="K83" t="n">
        <v>60</v>
      </c>
      <c r="L83" t="inlineStr">
        <is>
          <t>25 Oktober 2026</t>
        </is>
      </c>
      <c r="M83" t="inlineStr">
        <is>
          <t>Konstruksi Gedung Lainnya</t>
        </is>
      </c>
      <c r="N83" t="inlineStr">
        <is>
          <t>M</t>
        </is>
      </c>
      <c r="O83" t="inlineStr">
        <is>
          <t>20230627</t>
        </is>
      </c>
      <c r="P83" t="inlineStr">
        <is>
          <t>DKI Jakarta</t>
        </is>
      </c>
      <c r="Q83" t="inlineStr"/>
    </row>
    <row r="84">
      <c r="A84" t="inlineStr">
        <is>
          <t>KURNIA KARYA KONSULTAN</t>
        </is>
      </c>
      <c r="B84" t="inlineStr">
        <is>
          <t>Kota Kediri</t>
        </is>
      </c>
      <c r="C84" t="inlineStr">
        <is>
          <t>081335065002</t>
        </is>
      </c>
      <c r="D84" t="inlineStr">
        <is>
          <t>kurnia_konsultan@yahoo.com</t>
        </is>
      </c>
      <c r="E84" t="inlineStr">
        <is>
          <t>https://lpjk.pu.go.id/search-badan-usaha-detail/RVdPbys5ZTlnaVdCQjNQSGtTcWpoQT09</t>
        </is>
      </c>
      <c r="F84" t="n">
        <v>2</v>
      </c>
      <c r="G84" t="inlineStr">
        <is>
          <t>RK002, RK003</t>
        </is>
      </c>
      <c r="H84" t="inlineStr">
        <is>
          <t>17 Januari 2007</t>
        </is>
      </c>
      <c r="I84" s="2" t="n">
        <v>46320</v>
      </c>
      <c r="J84" t="inlineStr">
        <is>
          <t>Disetujui</t>
        </is>
      </c>
      <c r="K84" t="n">
        <v>60</v>
      </c>
      <c r="L84" t="inlineStr">
        <is>
          <t>25 Oktober 2026</t>
        </is>
      </c>
      <c r="M84" t="inlineStr">
        <is>
          <t>Jasa Rekayasa Pekerjaan Teknik Sipil Sumber Daya Air, Jasa Rekayasa Pekerjaan Teknik Sipil Transportasi</t>
        </is>
      </c>
      <c r="N84" t="inlineStr">
        <is>
          <t>K</t>
        </is>
      </c>
      <c r="O84" t="inlineStr">
        <is>
          <t>20231016</t>
        </is>
      </c>
      <c r="P84" t="inlineStr">
        <is>
          <t>Jawa Timur</t>
        </is>
      </c>
      <c r="Q84" t="inlineStr"/>
    </row>
    <row r="85">
      <c r="A85" t="inlineStr">
        <is>
          <t>KURNIA MULIA</t>
        </is>
      </c>
      <c r="B85" t="inlineStr">
        <is>
          <t>Kota Pekalongan</t>
        </is>
      </c>
      <c r="C85" t="inlineStr">
        <is>
          <t>08156919296</t>
        </is>
      </c>
      <c r="D85" t="inlineStr">
        <is>
          <t>cvkurniam@gmail.com</t>
        </is>
      </c>
      <c r="E85" t="inlineStr">
        <is>
          <t>https://lpjk.pu.go.id/search-badan-usaha-detail/dzJmZTB6RkpPOW1GWjlJK2lLcFdqQT09</t>
        </is>
      </c>
      <c r="F85" t="n">
        <v>5</v>
      </c>
      <c r="G85" t="inlineStr">
        <is>
          <t>BG002, BG004, BG009, BS001, BS004</t>
        </is>
      </c>
      <c r="H85" t="inlineStr">
        <is>
          <t>3 Juli 2019</t>
        </is>
      </c>
      <c r="I85" s="2" t="n">
        <v>46320</v>
      </c>
      <c r="J85" t="inlineStr">
        <is>
          <t>Disetujui</t>
        </is>
      </c>
      <c r="K85" t="n">
        <v>60</v>
      </c>
      <c r="L85" t="inlineStr">
        <is>
          <t>25 Oktober 2026</t>
        </is>
      </c>
      <c r="M85" t="inlineStr">
        <is>
          <t>Konstruksi Bangunan Sipil Jalan, Konstruksi Gedung Lainnya, Konstruksi Gedung Perbelanjaan, Konstruksi Gedung Perkantoran, Konstruksi Jaringan Irigasi dan Drainase</t>
        </is>
      </c>
      <c r="N85" t="inlineStr">
        <is>
          <t>K</t>
        </is>
      </c>
      <c r="O85" t="inlineStr">
        <is>
          <t>20231011</t>
        </is>
      </c>
      <c r="P85" t="inlineStr">
        <is>
          <t>Jawa Tengah</t>
        </is>
      </c>
      <c r="Q85" t="inlineStr"/>
    </row>
    <row r="86">
      <c r="A86" t="inlineStr">
        <is>
          <t>KUSUMA KARYA</t>
        </is>
      </c>
      <c r="B86" t="inlineStr">
        <is>
          <t>Kota Yogyakarta</t>
        </is>
      </c>
      <c r="C86" t="inlineStr">
        <is>
          <t>0274 566062/0274 514</t>
        </is>
      </c>
      <c r="D86" t="inlineStr">
        <is>
          <t>kusumakarya@yahoo.co.id</t>
        </is>
      </c>
      <c r="E86" t="inlineStr">
        <is>
          <t>https://lpjk.pu.go.id/search-badan-usaha-detail/YzRCS0FDREphLzA2TFo0QWF2SUVGdz09</t>
        </is>
      </c>
      <c r="F86" t="n">
        <v>2</v>
      </c>
      <c r="G86" t="inlineStr">
        <is>
          <t>IN008</t>
        </is>
      </c>
      <c r="H86" t="inlineStr">
        <is>
          <t>6 November 2003</t>
        </is>
      </c>
      <c r="I86" s="2" t="n">
        <v>46320</v>
      </c>
      <c r="J86" t="inlineStr">
        <is>
          <t>Disetujui</t>
        </is>
      </c>
      <c r="K86" t="n">
        <v>60</v>
      </c>
      <c r="L86" t="inlineStr">
        <is>
          <t>25 Oktober 2026</t>
        </is>
      </c>
      <c r="M86" t="inlineStr">
        <is>
          <t>Instalasi Pendingin Dan Ventilasi Udara</t>
        </is>
      </c>
      <c r="N86" t="inlineStr">
        <is>
          <t>Spesialis</t>
        </is>
      </c>
      <c r="O86" t="inlineStr">
        <is>
          <t>20231023</t>
        </is>
      </c>
      <c r="P86" t="inlineStr">
        <is>
          <t>DI Yogyakarta</t>
        </is>
      </c>
      <c r="Q86" t="inlineStr"/>
    </row>
    <row r="87">
      <c r="A87" t="inlineStr">
        <is>
          <t>LUMINTU KARYA ABADI</t>
        </is>
      </c>
      <c r="B87" t="inlineStr">
        <is>
          <t>Kab. Tangerang</t>
        </is>
      </c>
      <c r="C87" t="inlineStr">
        <is>
          <t>02159320273</t>
        </is>
      </c>
      <c r="D87" t="inlineStr">
        <is>
          <t>lumintukaryaabadi@gmail.com</t>
        </is>
      </c>
      <c r="E87" t="inlineStr">
        <is>
          <t>https://lpjk.pu.go.id/search-badan-usaha-detail/MzliUzc5T05aM25wWlcwRTJXL1BtUT09</t>
        </is>
      </c>
      <c r="F87" t="n">
        <v>1</v>
      </c>
      <c r="G87" t="inlineStr">
        <is>
          <t>IN003</t>
        </is>
      </c>
      <c r="H87" t="inlineStr">
        <is>
          <t>11 Oktober 2016</t>
        </is>
      </c>
      <c r="I87" s="2" t="n">
        <v>46320</v>
      </c>
      <c r="J87" t="inlineStr">
        <is>
          <t>Disetujui</t>
        </is>
      </c>
      <c r="K87" t="n">
        <v>60</v>
      </c>
      <c r="L87" t="inlineStr">
        <is>
          <t>25 Oktober 2026</t>
        </is>
      </c>
      <c r="M87" t="inlineStr">
        <is>
          <t>Instalasi Peralatan Infrastruktur Pertambangan dan Manufaktur</t>
        </is>
      </c>
      <c r="N87" t="inlineStr">
        <is>
          <t>Spesialis</t>
        </is>
      </c>
      <c r="O87" t="inlineStr">
        <is>
          <t>20230908</t>
        </is>
      </c>
      <c r="P87" t="inlineStr">
        <is>
          <t>Banten</t>
        </is>
      </c>
      <c r="Q87" t="inlineStr"/>
    </row>
    <row r="88">
      <c r="A88" t="inlineStr">
        <is>
          <t>MAGNA GUNA KARSA</t>
        </is>
      </c>
      <c r="B88" t="inlineStr">
        <is>
          <t>Kota Adm. Jakarta Selatan</t>
        </is>
      </c>
      <c r="C88" t="inlineStr">
        <is>
          <t>02122732105</t>
        </is>
      </c>
      <c r="D88" t="inlineStr">
        <is>
          <t>info@magnagunakarsa.com</t>
        </is>
      </c>
      <c r="E88" t="inlineStr">
        <is>
          <t>https://lpjk.pu.go.id/search-badan-usaha-detail/Rk1iY0tFUEdEUng0VHVlVzYwc2pZUT09</t>
        </is>
      </c>
      <c r="F88" t="n">
        <v>1</v>
      </c>
      <c r="G88" t="inlineStr">
        <is>
          <t>BS004</t>
        </is>
      </c>
      <c r="H88" t="inlineStr">
        <is>
          <t>2 Juli 2014</t>
        </is>
      </c>
      <c r="I88" s="2" t="n">
        <v>46320</v>
      </c>
      <c r="J88" t="inlineStr">
        <is>
          <t>Disetujui</t>
        </is>
      </c>
      <c r="K88" t="n">
        <v>60</v>
      </c>
      <c r="L88" t="inlineStr">
        <is>
          <t>25 Oktober 2026</t>
        </is>
      </c>
      <c r="M88" t="inlineStr">
        <is>
          <t>Konstruksi Jaringan Irigasi dan Drainase</t>
        </is>
      </c>
      <c r="N88" t="inlineStr">
        <is>
          <t>K</t>
        </is>
      </c>
      <c r="O88" t="inlineStr">
        <is>
          <t>20231023</t>
        </is>
      </c>
      <c r="P88" t="inlineStr">
        <is>
          <t>DKI Jakarta</t>
        </is>
      </c>
      <c r="Q88" t="inlineStr"/>
    </row>
    <row r="89">
      <c r="A89" t="inlineStr">
        <is>
          <t>MAKMUR NUSANTARA</t>
        </is>
      </c>
      <c r="B89" t="inlineStr">
        <is>
          <t>Kab. Manokwari</t>
        </is>
      </c>
      <c r="C89" t="inlineStr">
        <is>
          <t>081344588875</t>
        </is>
      </c>
      <c r="D89" t="inlineStr">
        <is>
          <t>cvmakmurnusantara1@gmail.com</t>
        </is>
      </c>
      <c r="E89" t="inlineStr">
        <is>
          <t>https://lpjk.pu.go.id/search-badan-usaha-detail/MS83NHMwdENJU2NhRmFQV3V2SHZrdz09</t>
        </is>
      </c>
      <c r="F89" t="n">
        <v>3</v>
      </c>
      <c r="G89" t="inlineStr">
        <is>
          <t>BG001, BG002, BG006</t>
        </is>
      </c>
      <c r="H89" t="inlineStr">
        <is>
          <t>4 Januari 2021</t>
        </is>
      </c>
      <c r="I89" s="2" t="n">
        <v>46320</v>
      </c>
      <c r="J89" t="inlineStr">
        <is>
          <t>Disetujui</t>
        </is>
      </c>
      <c r="K89" t="n">
        <v>60</v>
      </c>
      <c r="L89" t="inlineStr">
        <is>
          <t>25 Oktober 2026</t>
        </is>
      </c>
      <c r="M89" t="inlineStr">
        <is>
          <t>Konstruksi Gedung Hunian, Konstruksi Gedung Pendidikan, Konstruksi Gedung Perkantoran</t>
        </is>
      </c>
      <c r="N89" t="inlineStr">
        <is>
          <t>K</t>
        </is>
      </c>
      <c r="O89" t="inlineStr">
        <is>
          <t>20231022</t>
        </is>
      </c>
      <c r="P89" t="inlineStr">
        <is>
          <t>Papua Barat</t>
        </is>
      </c>
      <c r="Q89" t="inlineStr"/>
    </row>
    <row r="90">
      <c r="A90" t="inlineStr">
        <is>
          <t>MANDIRI TATA SARANA CONSULTANT</t>
        </is>
      </c>
      <c r="B90" t="inlineStr">
        <is>
          <t>Kota Banjarmasin</t>
        </is>
      </c>
      <c r="C90" t="inlineStr">
        <is>
          <t>08125132498</t>
        </is>
      </c>
      <c r="D90" t="inlineStr">
        <is>
          <t>mandiri_tata@yahoo.com</t>
        </is>
      </c>
      <c r="E90" t="inlineStr">
        <is>
          <t>https://lpjk.pu.go.id/search-badan-usaha-detail/Q2loZU9lWXkvR3p1QzFOemVjT01aQT09</t>
        </is>
      </c>
      <c r="F90" t="n">
        <v>1</v>
      </c>
      <c r="G90" t="inlineStr">
        <is>
          <t>RK001</t>
        </is>
      </c>
      <c r="H90" t="inlineStr">
        <is>
          <t>29 Desember 2007</t>
        </is>
      </c>
      <c r="I90" s="2" t="n">
        <v>46320</v>
      </c>
      <c r="J90" t="inlineStr">
        <is>
          <t>Disetujui</t>
        </is>
      </c>
      <c r="K90" t="n">
        <v>60</v>
      </c>
      <c r="L90" t="inlineStr">
        <is>
          <t>25 Oktober 2026</t>
        </is>
      </c>
      <c r="M90" t="inlineStr">
        <is>
          <t>Jasa Rekayasa Konstruksi Bangunan Gedung Hunian dan Non Hunian</t>
        </is>
      </c>
      <c r="N90" t="inlineStr">
        <is>
          <t>K</t>
        </is>
      </c>
      <c r="O90" t="inlineStr">
        <is>
          <t>20231013</t>
        </is>
      </c>
      <c r="P90" t="inlineStr">
        <is>
          <t>Kalimantan Selatan</t>
        </is>
      </c>
      <c r="Q90" t="inlineStr"/>
    </row>
    <row r="91">
      <c r="A91" t="inlineStr">
        <is>
          <t>MANGKU JAGAD</t>
        </is>
      </c>
      <c r="B91" t="inlineStr">
        <is>
          <t>Kab. Nganjuk</t>
        </is>
      </c>
      <c r="C91" t="inlineStr">
        <is>
          <t>081233444244</t>
        </is>
      </c>
      <c r="D91" t="inlineStr">
        <is>
          <t>mangkujagad10@gmail.com</t>
        </is>
      </c>
      <c r="E91" t="inlineStr">
        <is>
          <t>https://lpjk.pu.go.id/search-badan-usaha-detail/dDlpRmpydXVKUzVIRFBTNlZrL0gyQT09</t>
        </is>
      </c>
      <c r="F91" t="n">
        <v>2</v>
      </c>
      <c r="G91" t="inlineStr">
        <is>
          <t>BG006, BS001</t>
        </is>
      </c>
      <c r="H91" t="inlineStr">
        <is>
          <t>2 Februari 2022</t>
        </is>
      </c>
      <c r="I91" s="2" t="n">
        <v>46320</v>
      </c>
      <c r="J91" t="inlineStr">
        <is>
          <t>Disetujui</t>
        </is>
      </c>
      <c r="K91" t="n">
        <v>60</v>
      </c>
      <c r="L91" t="inlineStr">
        <is>
          <t>25 Oktober 2026</t>
        </is>
      </c>
      <c r="M91" t="inlineStr">
        <is>
          <t>Konstruksi Bangunan Sipil Jalan, Konstruksi Gedung Pendidikan</t>
        </is>
      </c>
      <c r="N91" t="inlineStr">
        <is>
          <t>K</t>
        </is>
      </c>
      <c r="O91" t="inlineStr">
        <is>
          <t>20231005, 20231024</t>
        </is>
      </c>
      <c r="P91" t="inlineStr">
        <is>
          <t>Jawa Timur</t>
        </is>
      </c>
      <c r="Q91" t="inlineStr"/>
    </row>
    <row r="92">
      <c r="A92" t="inlineStr">
        <is>
          <t>MEDIA TALENTA MUDA</t>
        </is>
      </c>
      <c r="B92" t="inlineStr">
        <is>
          <t>Kab. Tapin</t>
        </is>
      </c>
      <c r="C92" t="inlineStr">
        <is>
          <t>085251670175</t>
        </is>
      </c>
      <c r="D92" t="inlineStr">
        <is>
          <t>mediatalentamuda@gmail.com</t>
        </is>
      </c>
      <c r="E92" t="inlineStr">
        <is>
          <t>https://lpjk.pu.go.id/search-badan-usaha-detail/UDVGeDdJMlY4QVJWdHg4MndPRVRrZz09</t>
        </is>
      </c>
      <c r="F92" t="n">
        <v>3</v>
      </c>
      <c r="G92" t="inlineStr">
        <is>
          <t>RK001, RK002, RK003</t>
        </is>
      </c>
      <c r="H92" t="inlineStr">
        <is>
          <t>14 Mei 2012</t>
        </is>
      </c>
      <c r="I92" s="2" t="n">
        <v>46320</v>
      </c>
      <c r="J92" t="inlineStr">
        <is>
          <t>Disetujui</t>
        </is>
      </c>
      <c r="K92" t="n">
        <v>60</v>
      </c>
      <c r="L92" t="inlineStr">
        <is>
          <t>25 Oktober 2026</t>
        </is>
      </c>
      <c r="M92" t="inlineStr">
        <is>
          <t>Jasa Rekayasa Konstruksi Bangunan Gedung Hunian dan Non Hunian, Jasa Rekayasa Pekerjaan Teknik Sipil Sumber Daya Air, Jasa Rekayasa Pekerjaan Teknik Sipil Transportasi</t>
        </is>
      </c>
      <c r="N92" t="inlineStr">
        <is>
          <t>K</t>
        </is>
      </c>
      <c r="O92" t="inlineStr">
        <is>
          <t>20230825</t>
        </is>
      </c>
      <c r="P92" t="inlineStr">
        <is>
          <t>Kalimantan Selatan</t>
        </is>
      </c>
      <c r="Q92" t="inlineStr"/>
    </row>
    <row r="93">
      <c r="A93" t="inlineStr">
        <is>
          <t>MEKAR JAYA LESTARI UTAMA</t>
        </is>
      </c>
      <c r="B93" t="inlineStr">
        <is>
          <t>Kota Tangerang</t>
        </is>
      </c>
      <c r="C93" t="inlineStr">
        <is>
          <t>0215582552</t>
        </is>
      </c>
      <c r="D93" t="inlineStr">
        <is>
          <t>mjlu1689@gmail.com</t>
        </is>
      </c>
      <c r="E93" t="inlineStr">
        <is>
          <t>https://lpjk.pu.go.id/search-badan-usaha-detail/M0RMNDVnRGhPeW1zK1ZjNHQwbHZvdz09</t>
        </is>
      </c>
      <c r="F93" t="n">
        <v>2</v>
      </c>
      <c r="G93" t="inlineStr">
        <is>
          <t>BS004</t>
        </is>
      </c>
      <c r="H93" t="inlineStr">
        <is>
          <t>26 Juli 2007</t>
        </is>
      </c>
      <c r="I93" s="2" t="n">
        <v>46320</v>
      </c>
      <c r="J93" t="inlineStr">
        <is>
          <t>Disetujui</t>
        </is>
      </c>
      <c r="K93" t="n">
        <v>60</v>
      </c>
      <c r="L93" t="inlineStr">
        <is>
          <t>25 Oktober 2026</t>
        </is>
      </c>
      <c r="M93" t="inlineStr">
        <is>
          <t>Konstruksi Jaringan Irigasi dan Drainase</t>
        </is>
      </c>
      <c r="N93" t="inlineStr">
        <is>
          <t>K</t>
        </is>
      </c>
      <c r="O93" t="inlineStr">
        <is>
          <t>20231026</t>
        </is>
      </c>
      <c r="P93" t="inlineStr">
        <is>
          <t>Banten</t>
        </is>
      </c>
      <c r="Q93" t="inlineStr"/>
    </row>
    <row r="94">
      <c r="A94" t="inlineStr">
        <is>
          <t>MENARA BAJA PROJECT</t>
        </is>
      </c>
      <c r="B94" t="inlineStr">
        <is>
          <t>Kab. Bengkulu Utara</t>
        </is>
      </c>
      <c r="C94" t="inlineStr">
        <is>
          <t>082260607671</t>
        </is>
      </c>
      <c r="D94" t="inlineStr">
        <is>
          <t>menarabajaproject@gmail.com</t>
        </is>
      </c>
      <c r="E94" t="inlineStr">
        <is>
          <t>https://lpjk.pu.go.id/search-badan-usaha-detail/cERmUGZvV0o4M0pVbHpCU2xNcXNhQT09</t>
        </is>
      </c>
      <c r="F94" t="n">
        <v>1</v>
      </c>
      <c r="G94" t="inlineStr">
        <is>
          <t>BG009</t>
        </is>
      </c>
      <c r="H94" t="inlineStr">
        <is>
          <t>9 Januari 2019</t>
        </is>
      </c>
      <c r="I94" s="2" t="n">
        <v>46320</v>
      </c>
      <c r="J94" t="inlineStr">
        <is>
          <t>Disetujui</t>
        </is>
      </c>
      <c r="K94" t="n">
        <v>60</v>
      </c>
      <c r="L94" t="inlineStr">
        <is>
          <t>25 Oktober 2026</t>
        </is>
      </c>
      <c r="M94" t="inlineStr">
        <is>
          <t>Konstruksi Gedung Lainnya</t>
        </is>
      </c>
      <c r="N94" t="inlineStr">
        <is>
          <t>K</t>
        </is>
      </c>
      <c r="O94" t="inlineStr">
        <is>
          <t>20231023</t>
        </is>
      </c>
      <c r="P94" t="inlineStr">
        <is>
          <t>Bengkulu</t>
        </is>
      </c>
      <c r="Q94" t="inlineStr"/>
    </row>
    <row r="95">
      <c r="A95" t="inlineStr">
        <is>
          <t>MITRA ARSINDO CONSULTANT</t>
        </is>
      </c>
      <c r="B95" t="inlineStr">
        <is>
          <t>Kota Banjarbaru</t>
        </is>
      </c>
      <c r="C95" t="inlineStr">
        <is>
          <t>081348379528</t>
        </is>
      </c>
      <c r="D95" t="inlineStr">
        <is>
          <t>mitraarsindo@yahoo.com</t>
        </is>
      </c>
      <c r="E95" t="inlineStr">
        <is>
          <t>https://lpjk.pu.go.id/search-badan-usaha-detail/cWJYeEZkWFJ5cmE0YjlvY1pBOUlzdz09</t>
        </is>
      </c>
      <c r="F95" t="n">
        <v>1</v>
      </c>
      <c r="G95" t="inlineStr">
        <is>
          <t>RK001</t>
        </is>
      </c>
      <c r="H95" t="inlineStr">
        <is>
          <t>25 April 2016</t>
        </is>
      </c>
      <c r="I95" s="2" t="n">
        <v>46320</v>
      </c>
      <c r="J95" t="inlineStr">
        <is>
          <t>Disetujui</t>
        </is>
      </c>
      <c r="K95" t="n">
        <v>60</v>
      </c>
      <c r="L95" t="inlineStr">
        <is>
          <t>25 Oktober 2026</t>
        </is>
      </c>
      <c r="M95" t="inlineStr">
        <is>
          <t>Jasa Rekayasa Konstruksi Bangunan Gedung Hunian dan Non Hunian</t>
        </is>
      </c>
      <c r="N95" t="inlineStr">
        <is>
          <t>K</t>
        </is>
      </c>
      <c r="O95" t="inlineStr">
        <is>
          <t>20231019</t>
        </is>
      </c>
      <c r="P95" t="inlineStr">
        <is>
          <t>Kalimantan Selatan</t>
        </is>
      </c>
      <c r="Q95" t="inlineStr"/>
    </row>
    <row r="96">
      <c r="A96" t="inlineStr">
        <is>
          <t>MUDA BARONA</t>
        </is>
      </c>
      <c r="B96" t="inlineStr">
        <is>
          <t>Kab. Aceh Barat</t>
        </is>
      </c>
      <c r="C96" t="inlineStr">
        <is>
          <t>085260091272</t>
        </is>
      </c>
      <c r="D96" t="inlineStr">
        <is>
          <t>baronamuda9@gmail.com</t>
        </is>
      </c>
      <c r="E96" t="inlineStr">
        <is>
          <t>https://lpjk.pu.go.id/search-badan-usaha-detail/OWdaWldNekZmc1kvMFMxTWlzc2cvUT09</t>
        </is>
      </c>
      <c r="F96" t="n">
        <v>2</v>
      </c>
      <c r="G96" t="inlineStr">
        <is>
          <t>BG002, BS004</t>
        </is>
      </c>
      <c r="H96" t="inlineStr">
        <is>
          <t>18 September 2017</t>
        </is>
      </c>
      <c r="I96" s="2" t="n">
        <v>46320</v>
      </c>
      <c r="J96" t="inlineStr">
        <is>
          <t>Disetujui</t>
        </is>
      </c>
      <c r="K96" t="n">
        <v>60</v>
      </c>
      <c r="L96" t="inlineStr">
        <is>
          <t>25 Oktober 2026</t>
        </is>
      </c>
      <c r="M96" t="inlineStr">
        <is>
          <t>Konstruksi Gedung Perkantoran, Konstruksi Jaringan Irigasi dan Drainase</t>
        </is>
      </c>
      <c r="N96" t="inlineStr">
        <is>
          <t>K</t>
        </is>
      </c>
      <c r="O96" t="inlineStr">
        <is>
          <t>20231023</t>
        </is>
      </c>
      <c r="P96" t="inlineStr">
        <is>
          <t>Aceh</t>
        </is>
      </c>
      <c r="Q96" t="inlineStr"/>
    </row>
    <row r="97">
      <c r="A97" t="inlineStr">
        <is>
          <t>NAGA CIPTA PERSADA</t>
        </is>
      </c>
      <c r="B97" t="inlineStr">
        <is>
          <t>Kota Adm. Jakarta Selatan</t>
        </is>
      </c>
      <c r="C97" t="inlineStr">
        <is>
          <t>081395787227</t>
        </is>
      </c>
      <c r="D97" t="inlineStr">
        <is>
          <t>nagacipta8888@gmail.com</t>
        </is>
      </c>
      <c r="E97" t="inlineStr">
        <is>
          <t>https://lpjk.pu.go.id/search-badan-usaha-detail/T3NMVWkrcG9HSDg5YjJUa3QweHhzZz09</t>
        </is>
      </c>
      <c r="F97" t="n">
        <v>1</v>
      </c>
      <c r="G97" t="inlineStr">
        <is>
          <t>BS010</t>
        </is>
      </c>
      <c r="H97" t="inlineStr">
        <is>
          <t>6 Juli 2023</t>
        </is>
      </c>
      <c r="I97" s="2" t="n">
        <v>46320</v>
      </c>
      <c r="J97" t="inlineStr">
        <is>
          <t>Disetujui</t>
        </is>
      </c>
      <c r="K97" t="n">
        <v>60</v>
      </c>
      <c r="L97" t="inlineStr">
        <is>
          <t>25 Oktober 2026</t>
        </is>
      </c>
      <c r="M97" t="inlineStr">
        <is>
          <t>Konstruksi Bangunan Prasarana Sumber Daya Air</t>
        </is>
      </c>
      <c r="N97" t="inlineStr">
        <is>
          <t>K</t>
        </is>
      </c>
      <c r="O97" t="inlineStr">
        <is>
          <t>20231002</t>
        </is>
      </c>
      <c r="P97" t="inlineStr">
        <is>
          <t>DKI Jakarta</t>
        </is>
      </c>
      <c r="Q97" t="inlineStr"/>
    </row>
    <row r="98">
      <c r="A98" t="inlineStr">
        <is>
          <t>NAGA HITAM</t>
        </is>
      </c>
      <c r="B98" t="inlineStr">
        <is>
          <t>Kab. Langkat</t>
        </is>
      </c>
      <c r="C98" t="inlineStr">
        <is>
          <t>082351341655</t>
        </is>
      </c>
      <c r="D98" t="inlineStr">
        <is>
          <t>cv.nagahitam@umkmgo.online</t>
        </is>
      </c>
      <c r="E98" t="inlineStr">
        <is>
          <t>https://lpjk.pu.go.id/search-badan-usaha-detail/eWl2UG5wN0F6SU1nekRQNXVYWDBXZz09</t>
        </is>
      </c>
      <c r="F98" t="n">
        <v>1</v>
      </c>
      <c r="G98" t="inlineStr">
        <is>
          <t>BS001</t>
        </is>
      </c>
      <c r="H98" t="inlineStr">
        <is>
          <t>9 Maret 2023</t>
        </is>
      </c>
      <c r="I98" s="2" t="n">
        <v>46320</v>
      </c>
      <c r="J98" t="inlineStr">
        <is>
          <t>Disetujui</t>
        </is>
      </c>
      <c r="K98" t="n">
        <v>60</v>
      </c>
      <c r="L98" t="inlineStr">
        <is>
          <t>25 Oktober 2026</t>
        </is>
      </c>
      <c r="M98" t="inlineStr">
        <is>
          <t>Konstruksi Bangunan Sipil Jalan</t>
        </is>
      </c>
      <c r="N98" t="inlineStr">
        <is>
          <t>K</t>
        </is>
      </c>
      <c r="O98" t="inlineStr">
        <is>
          <t>20231024</t>
        </is>
      </c>
      <c r="P98" t="inlineStr">
        <is>
          <t>Sumatera Utara</t>
        </is>
      </c>
      <c r="Q98" t="inlineStr"/>
    </row>
    <row r="99">
      <c r="A99" t="inlineStr">
        <is>
          <t>NUGRAHA CONTSRUCTION</t>
        </is>
      </c>
      <c r="B99" t="inlineStr">
        <is>
          <t>Kab. Tangerang</t>
        </is>
      </c>
      <c r="C99" t="inlineStr">
        <is>
          <t>081317560004</t>
        </is>
      </c>
      <c r="D99" t="inlineStr">
        <is>
          <t>sugihkarya04@gmail.com</t>
        </is>
      </c>
      <c r="E99" t="inlineStr">
        <is>
          <t>https://lpjk.pu.go.id/search-badan-usaha-detail/L3NKVXI4SEc5SkJDTkdma3pHdTA0UT09</t>
        </is>
      </c>
      <c r="F99" t="n">
        <v>8</v>
      </c>
      <c r="G99" t="inlineStr">
        <is>
          <t>BG009, BS001, BS004, BS010</t>
        </is>
      </c>
      <c r="H99" t="inlineStr">
        <is>
          <t>14 September 2023</t>
        </is>
      </c>
      <c r="I99" s="2" t="n">
        <v>46320</v>
      </c>
      <c r="J99" t="inlineStr">
        <is>
          <t>Disetujui</t>
        </is>
      </c>
      <c r="K99" t="n">
        <v>60</v>
      </c>
      <c r="L99" t="inlineStr">
        <is>
          <t>25 Oktober 2026</t>
        </is>
      </c>
      <c r="M99" t="inlineStr">
        <is>
          <t>Konstruksi Bangunan Prasarana Sumber Daya Air, Konstruksi Bangunan Sipil Jalan, Konstruksi Gedung Lainnya, Konstruksi Jaringan Irigasi dan Drainase</t>
        </is>
      </c>
      <c r="N99" t="inlineStr">
        <is>
          <t>K</t>
        </is>
      </c>
      <c r="O99" t="inlineStr">
        <is>
          <t>20231020</t>
        </is>
      </c>
      <c r="P99" t="inlineStr">
        <is>
          <t>Banten</t>
        </is>
      </c>
      <c r="Q99" t="inlineStr"/>
    </row>
    <row r="100">
      <c r="A100" t="inlineStr">
        <is>
          <t>NUGRAHA DWI ANJAYA</t>
        </is>
      </c>
      <c r="B100" t="inlineStr">
        <is>
          <t>Kota Adm. Jakarta Selatan</t>
        </is>
      </c>
      <c r="C100" t="inlineStr">
        <is>
          <t>08119324258</t>
        </is>
      </c>
      <c r="D100" t="inlineStr">
        <is>
          <t>adwianjaya@gmail.com</t>
        </is>
      </c>
      <c r="E100" t="inlineStr">
        <is>
          <t>https://lpjk.pu.go.id/search-badan-usaha-detail/NjVWdkJXSHNsaHU5RzkyV0tOK2h5UT09</t>
        </is>
      </c>
      <c r="F100" t="n">
        <v>4</v>
      </c>
      <c r="G100" t="inlineStr">
        <is>
          <t>BG001, BG002</t>
        </is>
      </c>
      <c r="H100" t="inlineStr">
        <is>
          <t>16 Januari 2023</t>
        </is>
      </c>
      <c r="I100" s="2" t="n">
        <v>46320</v>
      </c>
      <c r="J100" t="inlineStr">
        <is>
          <t>Disetujui</t>
        </is>
      </c>
      <c r="K100" t="n">
        <v>60</v>
      </c>
      <c r="L100" t="inlineStr">
        <is>
          <t>25 Oktober 2026</t>
        </is>
      </c>
      <c r="M100" t="inlineStr">
        <is>
          <t>Konstruksi Gedung Hunian, Konstruksi Gedung Perkantoran</t>
        </is>
      </c>
      <c r="N100" t="inlineStr">
        <is>
          <t>K</t>
        </is>
      </c>
      <c r="O100" t="inlineStr">
        <is>
          <t>20231025</t>
        </is>
      </c>
      <c r="P100" t="inlineStr">
        <is>
          <t>DKI Jakarta</t>
        </is>
      </c>
      <c r="Q100" t="inlineStr"/>
    </row>
    <row r="101">
      <c r="A101" t="inlineStr">
        <is>
          <t>NUR AINI RAHMA MANDIRI</t>
        </is>
      </c>
      <c r="B101" t="inlineStr">
        <is>
          <t>Kab. Tuban</t>
        </is>
      </c>
      <c r="C101" t="inlineStr">
        <is>
          <t>081230596278</t>
        </is>
      </c>
      <c r="D101" t="inlineStr">
        <is>
          <t>narm.tuban@gmail.com</t>
        </is>
      </c>
      <c r="E101" t="inlineStr">
        <is>
          <t>https://lpjk.pu.go.id/search-badan-usaha-detail/ajI0MCtoWFovZzJyMWdSa1gzODBSUT09</t>
        </is>
      </c>
      <c r="F101" t="n">
        <v>2</v>
      </c>
      <c r="G101" t="inlineStr">
        <is>
          <t>BG003, BG009</t>
        </is>
      </c>
      <c r="H101" t="inlineStr">
        <is>
          <t>27 April 2015</t>
        </is>
      </c>
      <c r="I101" s="2" t="n">
        <v>46320</v>
      </c>
      <c r="J101" t="inlineStr">
        <is>
          <t>Disetujui</t>
        </is>
      </c>
      <c r="K101" t="n">
        <v>60</v>
      </c>
      <c r="L101" t="inlineStr">
        <is>
          <t>25 Oktober 2026</t>
        </is>
      </c>
      <c r="M101" t="inlineStr">
        <is>
          <t>Konstruksi Gedung Industri, Konstruksi Gedung Lainnya</t>
        </is>
      </c>
      <c r="N101" t="inlineStr">
        <is>
          <t>K</t>
        </is>
      </c>
      <c r="O101" t="inlineStr">
        <is>
          <t>20231025</t>
        </is>
      </c>
      <c r="P101" t="inlineStr">
        <is>
          <t>Jawa Timur</t>
        </is>
      </c>
      <c r="Q101" t="inlineStr"/>
    </row>
    <row r="102">
      <c r="A102" t="inlineStr">
        <is>
          <t>OCCUST PROPERTI</t>
        </is>
      </c>
      <c r="B102" t="inlineStr">
        <is>
          <t>Kota Banjar</t>
        </is>
      </c>
      <c r="C102" t="inlineStr">
        <is>
          <t>08121477351</t>
        </is>
      </c>
      <c r="D102" t="inlineStr">
        <is>
          <t>occustproperti@gmail.com</t>
        </is>
      </c>
      <c r="E102" t="inlineStr">
        <is>
          <t>https://lpjk.pu.go.id/search-badan-usaha-detail/a3ZZYVJXc0M2WEE2OVJOM2czUGdJUT09</t>
        </is>
      </c>
      <c r="F102" t="n">
        <v>1</v>
      </c>
      <c r="G102" t="inlineStr">
        <is>
          <t>BG009</t>
        </is>
      </c>
      <c r="H102" t="inlineStr">
        <is>
          <t>4 Desember 2018</t>
        </is>
      </c>
      <c r="I102" s="2" t="n">
        <v>46320</v>
      </c>
      <c r="J102" t="inlineStr">
        <is>
          <t>Disetujui</t>
        </is>
      </c>
      <c r="K102" t="n">
        <v>60</v>
      </c>
      <c r="L102" t="inlineStr">
        <is>
          <t>25 Oktober 2026</t>
        </is>
      </c>
      <c r="M102" t="inlineStr">
        <is>
          <t>Konstruksi Gedung Lainnya</t>
        </is>
      </c>
      <c r="N102" t="inlineStr">
        <is>
          <t>K</t>
        </is>
      </c>
      <c r="O102" t="inlineStr">
        <is>
          <t>20231026</t>
        </is>
      </c>
      <c r="P102" t="inlineStr">
        <is>
          <t>Jawa Barat</t>
        </is>
      </c>
      <c r="Q102" t="inlineStr"/>
    </row>
    <row r="103">
      <c r="A103" t="inlineStr">
        <is>
          <t>PANGADEGAN</t>
        </is>
      </c>
      <c r="B103" t="inlineStr">
        <is>
          <t>Kab. Sumedang</t>
        </is>
      </c>
      <c r="C103" t="inlineStr">
        <is>
          <t>0818429009</t>
        </is>
      </c>
      <c r="D103" t="inlineStr">
        <is>
          <t>yeyethidayat18@gmail.com</t>
        </is>
      </c>
      <c r="E103" t="inlineStr">
        <is>
          <t>https://lpjk.pu.go.id/search-badan-usaha-detail/Yi8xdElCQlBsS2E3RzhyRmtYKzgwQT09</t>
        </is>
      </c>
      <c r="F103" t="n">
        <v>1</v>
      </c>
      <c r="G103" t="inlineStr">
        <is>
          <t>BS005</t>
        </is>
      </c>
      <c r="H103" t="inlineStr">
        <is>
          <t>24 September 2021</t>
        </is>
      </c>
      <c r="I103" s="2" t="n">
        <v>46320</v>
      </c>
      <c r="J103" t="inlineStr">
        <is>
          <t>Disetujui</t>
        </is>
      </c>
      <c r="K103" t="n">
        <v>60</v>
      </c>
      <c r="L103" t="inlineStr">
        <is>
          <t>25 Oktober 2026</t>
        </is>
      </c>
      <c r="M103" t="inlineStr">
        <is>
          <t>Konstruksi Bangunan Sipil Pengolahan Air Bersih</t>
        </is>
      </c>
      <c r="N103" t="inlineStr">
        <is>
          <t>K</t>
        </is>
      </c>
      <c r="O103" t="inlineStr">
        <is>
          <t>20231023</t>
        </is>
      </c>
      <c r="P103" t="inlineStr">
        <is>
          <t>Jawa Barat</t>
        </is>
      </c>
      <c r="Q103" t="inlineStr"/>
    </row>
    <row r="104">
      <c r="A104" t="inlineStr">
        <is>
          <t>PATRA ABADI</t>
        </is>
      </c>
      <c r="B104" t="inlineStr">
        <is>
          <t>Kab. Deli Serdang</t>
        </is>
      </c>
      <c r="C104" t="inlineStr">
        <is>
          <t>08164542332</t>
        </is>
      </c>
      <c r="D104" t="inlineStr">
        <is>
          <t>marubabanjarnohor@gmail.com</t>
        </is>
      </c>
      <c r="E104" t="inlineStr">
        <is>
          <t>https://lpjk.pu.go.id/search-badan-usaha-detail/REF6U1BRS0s4ZkM3cmlZTkwySUV4QT09</t>
        </is>
      </c>
      <c r="F104" t="n">
        <v>3</v>
      </c>
      <c r="G104" t="inlineStr">
        <is>
          <t>BG006, BS001, BS004</t>
        </is>
      </c>
      <c r="H104" t="inlineStr">
        <is>
          <t>15 Juni 2017</t>
        </is>
      </c>
      <c r="I104" s="2" t="n">
        <v>46320</v>
      </c>
      <c r="J104" t="inlineStr">
        <is>
          <t>Disetujui</t>
        </is>
      </c>
      <c r="K104" t="n">
        <v>60</v>
      </c>
      <c r="L104" t="inlineStr">
        <is>
          <t>25 Oktober 2026</t>
        </is>
      </c>
      <c r="M104" t="inlineStr">
        <is>
          <t>Konstruksi Bangunan Sipil Jalan, Konstruksi Gedung Pendidikan, Konstruksi Jaringan Irigasi dan Drainase</t>
        </is>
      </c>
      <c r="N104" t="inlineStr">
        <is>
          <t>K</t>
        </is>
      </c>
      <c r="O104" t="inlineStr">
        <is>
          <t>20231025</t>
        </is>
      </c>
      <c r="P104" t="inlineStr">
        <is>
          <t>Sumatera Utara</t>
        </is>
      </c>
      <c r="Q104" t="inlineStr"/>
    </row>
    <row r="105">
      <c r="A105" t="inlineStr">
        <is>
          <t>PATRIOT</t>
        </is>
      </c>
      <c r="B105" t="inlineStr">
        <is>
          <t>Kab. Madiun</t>
        </is>
      </c>
      <c r="C105" t="inlineStr">
        <is>
          <t>0351368309</t>
        </is>
      </c>
      <c r="D105" t="inlineStr">
        <is>
          <t>patriotcv@gmail.com</t>
        </is>
      </c>
      <c r="E105" t="inlineStr">
        <is>
          <t>https://lpjk.pu.go.id/search-badan-usaha-detail/S2F4b2lNU05PRnRWQ1Z0RGR4ZzlZdz09</t>
        </is>
      </c>
      <c r="F105" t="n">
        <v>3</v>
      </c>
      <c r="G105" t="inlineStr">
        <is>
          <t>BG006, BS001, BS005</t>
        </is>
      </c>
      <c r="H105" t="inlineStr">
        <is>
          <t>14 Januari 2002</t>
        </is>
      </c>
      <c r="I105" s="2" t="n">
        <v>46320</v>
      </c>
      <c r="J105" t="inlineStr">
        <is>
          <t>Disetujui</t>
        </is>
      </c>
      <c r="K105" t="n">
        <v>60</v>
      </c>
      <c r="L105" t="inlineStr">
        <is>
          <t>25 Oktober 2026</t>
        </is>
      </c>
      <c r="M105" t="inlineStr">
        <is>
          <t>Konstruksi Bangunan Sipil Jalan, Konstruksi Bangunan Sipil Pengolahan Air Bersih, Konstruksi Gedung Pendidikan</t>
        </is>
      </c>
      <c r="N105" t="inlineStr">
        <is>
          <t>K</t>
        </is>
      </c>
      <c r="O105" t="inlineStr">
        <is>
          <t>20231025</t>
        </is>
      </c>
      <c r="P105" t="inlineStr">
        <is>
          <t>Jawa Timur</t>
        </is>
      </c>
      <c r="Q105" t="inlineStr"/>
    </row>
    <row r="106">
      <c r="A106" t="inlineStr">
        <is>
          <t>PEMBANGUNAN SEKADAU BARU</t>
        </is>
      </c>
      <c r="B106" t="inlineStr">
        <is>
          <t>Kab. Sekadau</t>
        </is>
      </c>
      <c r="C106" t="inlineStr">
        <is>
          <t>081521588366</t>
        </is>
      </c>
      <c r="D106" t="inlineStr">
        <is>
          <t>cvpembangunansekadaubaru@gmail.com</t>
        </is>
      </c>
      <c r="E106" t="inlineStr">
        <is>
          <t>https://lpjk.pu.go.id/search-badan-usaha-detail/OUNETFZtRkNSaURHdGNMcHZCU0pWdz09</t>
        </is>
      </c>
      <c r="F106" t="n">
        <v>2</v>
      </c>
      <c r="G106" t="inlineStr">
        <is>
          <t>BG009, BS001</t>
        </is>
      </c>
      <c r="H106" t="inlineStr">
        <is>
          <t>2 Agustus 2021</t>
        </is>
      </c>
      <c r="I106" s="2" t="n">
        <v>46320</v>
      </c>
      <c r="J106" t="inlineStr">
        <is>
          <t>Disetujui</t>
        </is>
      </c>
      <c r="K106" t="n">
        <v>60</v>
      </c>
      <c r="L106" t="inlineStr">
        <is>
          <t>25 Oktober 2026</t>
        </is>
      </c>
      <c r="M106" t="inlineStr">
        <is>
          <t>Konstruksi Bangunan Sipil Jalan, Konstruksi Gedung Lainnya</t>
        </is>
      </c>
      <c r="N106" t="inlineStr">
        <is>
          <t>K</t>
        </is>
      </c>
      <c r="O106" t="inlineStr">
        <is>
          <t>20231026</t>
        </is>
      </c>
      <c r="P106" t="inlineStr">
        <is>
          <t>Kalimantan Barat</t>
        </is>
      </c>
      <c r="Q106" t="inlineStr"/>
    </row>
    <row r="107">
      <c r="A107" t="inlineStr">
        <is>
          <t>PILAR LIMA</t>
        </is>
      </c>
      <c r="B107" t="inlineStr">
        <is>
          <t>Kab. Sidoarjo</t>
        </is>
      </c>
      <c r="C107" t="inlineStr">
        <is>
          <t>0318052190</t>
        </is>
      </c>
      <c r="D107" t="inlineStr">
        <is>
          <t>pilar.lima_cv@yahoo.co.id</t>
        </is>
      </c>
      <c r="E107" t="inlineStr">
        <is>
          <t>https://lpjk.pu.go.id/search-badan-usaha-detail/elJoNjZTeEF0L0VzdHMwb1JGTWZ2Zz09</t>
        </is>
      </c>
      <c r="F107" t="n">
        <v>1</v>
      </c>
      <c r="G107" t="inlineStr">
        <is>
          <t>RK002</t>
        </is>
      </c>
      <c r="H107" t="inlineStr">
        <is>
          <t>5 Januari 2012</t>
        </is>
      </c>
      <c r="I107" s="2" t="n">
        <v>46320</v>
      </c>
      <c r="J107" t="inlineStr">
        <is>
          <t>Disetujui</t>
        </is>
      </c>
      <c r="K107" t="n">
        <v>60</v>
      </c>
      <c r="L107" t="inlineStr">
        <is>
          <t>25 Oktober 2026</t>
        </is>
      </c>
      <c r="M107" t="inlineStr">
        <is>
          <t>Jasa Rekayasa Pekerjaan Teknik Sipil Sumber Daya Air</t>
        </is>
      </c>
      <c r="N107" t="inlineStr">
        <is>
          <t>K</t>
        </is>
      </c>
      <c r="O107" t="inlineStr">
        <is>
          <t>20231016</t>
        </is>
      </c>
      <c r="P107" t="inlineStr">
        <is>
          <t>Jawa Timur</t>
        </is>
      </c>
      <c r="Q107" t="inlineStr"/>
    </row>
    <row r="108">
      <c r="A108" t="inlineStr">
        <is>
          <t>PILAR LOKA KARYA</t>
        </is>
      </c>
      <c r="B108" t="inlineStr">
        <is>
          <t>Kota Adm. Jakarta Pusat</t>
        </is>
      </c>
      <c r="C108" t="inlineStr">
        <is>
          <t>02131908100</t>
        </is>
      </c>
      <c r="D108" t="inlineStr">
        <is>
          <t>pilarlokakarya@gmail.com</t>
        </is>
      </c>
      <c r="E108" t="inlineStr">
        <is>
          <t>https://lpjk.pu.go.id/search-badan-usaha-detail/cDAxd2tlNWpycnhXaHJaRmZjb3dNZz09</t>
        </is>
      </c>
      <c r="F108" t="n">
        <v>1</v>
      </c>
      <c r="G108" t="inlineStr">
        <is>
          <t>AR002</t>
        </is>
      </c>
      <c r="H108" t="inlineStr">
        <is>
          <t>20 Oktober 2022</t>
        </is>
      </c>
      <c r="I108" s="2" t="n">
        <v>46320</v>
      </c>
      <c r="J108" t="inlineStr">
        <is>
          <t>Disetujui</t>
        </is>
      </c>
      <c r="K108" t="n">
        <v>60</v>
      </c>
      <c r="L108" t="inlineStr">
        <is>
          <t>25 Oktober 2026</t>
        </is>
      </c>
      <c r="M108" t="inlineStr">
        <is>
          <t>Jasa Arsitektural Lainnya</t>
        </is>
      </c>
      <c r="N108" t="inlineStr">
        <is>
          <t>K</t>
        </is>
      </c>
      <c r="O108" t="inlineStr">
        <is>
          <t>20231020</t>
        </is>
      </c>
      <c r="P108" t="inlineStr">
        <is>
          <t>DKI Jakarta</t>
        </is>
      </c>
      <c r="Q108" t="inlineStr"/>
    </row>
    <row r="109">
      <c r="A109" t="inlineStr">
        <is>
          <t>PINTERPLAN WAHANA TATA</t>
        </is>
      </c>
      <c r="B109" t="inlineStr">
        <is>
          <t>Kota Bandung</t>
        </is>
      </c>
      <c r="C109" t="inlineStr">
        <is>
          <t>081214781114</t>
        </is>
      </c>
      <c r="D109" t="inlineStr">
        <is>
          <t>pinterplanwahana@yahoo.com</t>
        </is>
      </c>
      <c r="E109" t="inlineStr">
        <is>
          <t>https://lpjk.pu.go.id/search-badan-usaha-detail/Ylg2ZjdteUw0NmJvYy83VGlFMGdWdz09</t>
        </is>
      </c>
      <c r="F109" t="n">
        <v>1</v>
      </c>
      <c r="G109" t="inlineStr">
        <is>
          <t>BS001</t>
        </is>
      </c>
      <c r="H109" t="inlineStr">
        <is>
          <t>29 November 2016</t>
        </is>
      </c>
      <c r="I109" s="2" t="n">
        <v>46320</v>
      </c>
      <c r="J109" t="inlineStr">
        <is>
          <t>Disetujui</t>
        </is>
      </c>
      <c r="K109" t="n">
        <v>60</v>
      </c>
      <c r="L109" t="inlineStr">
        <is>
          <t>25 Oktober 2026</t>
        </is>
      </c>
      <c r="M109" t="inlineStr">
        <is>
          <t>Konstruksi Bangunan Sipil Jalan</t>
        </is>
      </c>
      <c r="N109" t="inlineStr">
        <is>
          <t>K</t>
        </is>
      </c>
      <c r="O109" t="inlineStr">
        <is>
          <t>20230927</t>
        </is>
      </c>
      <c r="P109" t="inlineStr">
        <is>
          <t>Jawa Barat</t>
        </is>
      </c>
      <c r="Q109" t="inlineStr"/>
    </row>
    <row r="110">
      <c r="A110" t="inlineStr">
        <is>
          <t>POLA DWIPA</t>
        </is>
      </c>
      <c r="B110" t="inlineStr">
        <is>
          <t>Kota Semarang</t>
        </is>
      </c>
      <c r="C110" t="inlineStr">
        <is>
          <t>0248312282</t>
        </is>
      </c>
      <c r="D110" t="inlineStr">
        <is>
          <t>poladwip@gmail.com</t>
        </is>
      </c>
      <c r="E110" t="inlineStr">
        <is>
          <t>https://lpjk.pu.go.id/search-badan-usaha-detail/OWxBTUNVaHQvNjBjMGp3M2UvekgxUT09</t>
        </is>
      </c>
      <c r="F110" t="n">
        <v>1</v>
      </c>
      <c r="G110" t="inlineStr">
        <is>
          <t>AR003</t>
        </is>
      </c>
      <c r="H110" t="inlineStr">
        <is>
          <t>20 Januari 1976</t>
        </is>
      </c>
      <c r="I110" s="2" t="n">
        <v>46320</v>
      </c>
      <c r="J110" t="inlineStr">
        <is>
          <t>Disetujui</t>
        </is>
      </c>
      <c r="K110" t="n">
        <v>60</v>
      </c>
      <c r="L110" t="inlineStr">
        <is>
          <t>25 Oktober 2026</t>
        </is>
      </c>
      <c r="M110" t="inlineStr">
        <is>
          <t>Jasa Desain Interior pada Bangunan Gedung dan Bangunan Sipil</t>
        </is>
      </c>
      <c r="N110" t="inlineStr">
        <is>
          <t>M</t>
        </is>
      </c>
      <c r="O110" t="inlineStr">
        <is>
          <t>20231013</t>
        </is>
      </c>
      <c r="P110" t="inlineStr">
        <is>
          <t>Jawa Tengah</t>
        </is>
      </c>
      <c r="Q110" t="inlineStr"/>
    </row>
    <row r="111">
      <c r="A111" t="inlineStr">
        <is>
          <t>PULAU DOOM</t>
        </is>
      </c>
      <c r="B111" t="inlineStr">
        <is>
          <t>Kota Sorong</t>
        </is>
      </c>
      <c r="C111" t="inlineStr">
        <is>
          <t>081248955888</t>
        </is>
      </c>
      <c r="D111" t="inlineStr">
        <is>
          <t>ptpulaudoom@ymail.com</t>
        </is>
      </c>
      <c r="E111" t="inlineStr">
        <is>
          <t>https://lpjk.pu.go.id/search-badan-usaha-detail/aC9MVHQxbTU2amNHb1ZVdU9uNHJldz09</t>
        </is>
      </c>
      <c r="F111" t="n">
        <v>1</v>
      </c>
      <c r="G111" t="inlineStr">
        <is>
          <t>BG009</t>
        </is>
      </c>
      <c r="H111" t="inlineStr">
        <is>
          <t>20 Desember 2004</t>
        </is>
      </c>
      <c r="I111" s="2" t="n">
        <v>46320</v>
      </c>
      <c r="J111" t="inlineStr">
        <is>
          <t>Disetujui</t>
        </is>
      </c>
      <c r="K111" t="n">
        <v>60</v>
      </c>
      <c r="L111" t="inlineStr">
        <is>
          <t>25 Oktober 2026</t>
        </is>
      </c>
      <c r="M111" t="inlineStr">
        <is>
          <t>Konstruksi Gedung Lainnya</t>
        </is>
      </c>
      <c r="N111" t="inlineStr">
        <is>
          <t>K</t>
        </is>
      </c>
      <c r="O111" t="inlineStr">
        <is>
          <t>20231017</t>
        </is>
      </c>
      <c r="P111" t="inlineStr">
        <is>
          <t>Papua Barat</t>
        </is>
      </c>
      <c r="Q111" t="inlineStr"/>
    </row>
    <row r="112">
      <c r="A112" t="inlineStr">
        <is>
          <t>PULAU JOWO</t>
        </is>
      </c>
      <c r="B112" t="inlineStr">
        <is>
          <t>Kab. Bojonegoro</t>
        </is>
      </c>
      <c r="C112" t="inlineStr">
        <is>
          <t>085727742558</t>
        </is>
      </c>
      <c r="D112" t="inlineStr">
        <is>
          <t>cvpulaujowo@gmail.com</t>
        </is>
      </c>
      <c r="E112" t="inlineStr">
        <is>
          <t>https://lpjk.pu.go.id/search-badan-usaha-detail/VEh5aFFDTVlXdVgwd1lBSUdQUGgxdz09</t>
        </is>
      </c>
      <c r="F112" t="n">
        <v>2</v>
      </c>
      <c r="G112" t="inlineStr">
        <is>
          <t>BS002, BS010</t>
        </is>
      </c>
      <c r="H112" t="inlineStr">
        <is>
          <t>17 Oktober 2023</t>
        </is>
      </c>
      <c r="I112" s="2" t="n">
        <v>46320</v>
      </c>
      <c r="J112" t="inlineStr">
        <is>
          <t>Disetujui</t>
        </is>
      </c>
      <c r="K112" t="n">
        <v>60</v>
      </c>
      <c r="L112" t="inlineStr">
        <is>
          <t>25 Oktober 2026</t>
        </is>
      </c>
      <c r="M112" t="inlineStr">
        <is>
          <t>Bangunan Sipil Jembatan, Jalan Layang, Fly Over, dan Underpass, Konstruksi Bangunan Prasarana Sumber Daya Air</t>
        </is>
      </c>
      <c r="N112" t="inlineStr">
        <is>
          <t>K</t>
        </is>
      </c>
      <c r="O112" t="inlineStr">
        <is>
          <t>20231025</t>
        </is>
      </c>
      <c r="P112" t="inlineStr">
        <is>
          <t>Jawa Timur</t>
        </is>
      </c>
      <c r="Q112" t="inlineStr"/>
    </row>
    <row r="113">
      <c r="A113" t="inlineStr">
        <is>
          <t>PURBAYANTI</t>
        </is>
      </c>
      <c r="B113" t="inlineStr">
        <is>
          <t>Kab. Garut</t>
        </is>
      </c>
      <c r="C113" t="inlineStr">
        <is>
          <t>0</t>
        </is>
      </c>
      <c r="D113" t="inlineStr">
        <is>
          <t>purbayanti_cv@yahoo.co.id</t>
        </is>
      </c>
      <c r="E113" t="inlineStr">
        <is>
          <t>https://lpjk.pu.go.id/search-badan-usaha-detail/ZXRROGRFYUplZWhkWmNmV3JyQ3V6dz09</t>
        </is>
      </c>
      <c r="F113" t="n">
        <v>2</v>
      </c>
      <c r="G113" t="inlineStr">
        <is>
          <t>BS004</t>
        </is>
      </c>
      <c r="H113" t="inlineStr">
        <is>
          <t>1 Desember 1980</t>
        </is>
      </c>
      <c r="I113" s="2" t="n">
        <v>46320</v>
      </c>
      <c r="J113" t="inlineStr">
        <is>
          <t>Disetujui</t>
        </is>
      </c>
      <c r="K113" t="n">
        <v>60</v>
      </c>
      <c r="L113" t="inlineStr">
        <is>
          <t>25 Oktober 2026</t>
        </is>
      </c>
      <c r="M113" t="inlineStr">
        <is>
          <t>Konstruksi Jaringan Irigasi dan Drainase</t>
        </is>
      </c>
      <c r="N113" t="inlineStr">
        <is>
          <t>K</t>
        </is>
      </c>
      <c r="O113" t="inlineStr">
        <is>
          <t>20231019</t>
        </is>
      </c>
      <c r="P113" t="inlineStr">
        <is>
          <t>Jawa Barat</t>
        </is>
      </c>
      <c r="Q113" t="inlineStr"/>
    </row>
    <row r="114">
      <c r="A114" t="inlineStr">
        <is>
          <t>PUTRA MARWAH</t>
        </is>
      </c>
      <c r="B114" t="inlineStr">
        <is>
          <t>Kota Palembang</t>
        </is>
      </c>
      <c r="C114" t="inlineStr">
        <is>
          <t>081373261561</t>
        </is>
      </c>
      <c r="D114" t="inlineStr">
        <is>
          <t>putra_marwah@yahoo.com</t>
        </is>
      </c>
      <c r="E114" t="inlineStr">
        <is>
          <t>https://lpjk.pu.go.id/search-badan-usaha-detail/akdmRlcxUGxZcWJ3QUZPVnh4OFJ3QT09</t>
        </is>
      </c>
      <c r="F114" t="n">
        <v>2</v>
      </c>
      <c r="G114" t="inlineStr">
        <is>
          <t>BG002, BG009</t>
        </is>
      </c>
      <c r="H114" t="inlineStr">
        <is>
          <t>4 September 2023</t>
        </is>
      </c>
      <c r="I114" s="2" t="n">
        <v>46320</v>
      </c>
      <c r="J114" t="inlineStr">
        <is>
          <t>Disetujui</t>
        </is>
      </c>
      <c r="K114" t="n">
        <v>60</v>
      </c>
      <c r="L114" t="inlineStr">
        <is>
          <t>25 Oktober 2026</t>
        </is>
      </c>
      <c r="M114" t="inlineStr">
        <is>
          <t>Konstruksi Gedung Lainnya, Konstruksi Gedung Perkantoran</t>
        </is>
      </c>
      <c r="N114" t="inlineStr">
        <is>
          <t>K</t>
        </is>
      </c>
      <c r="O114" t="inlineStr">
        <is>
          <t>20231020</t>
        </is>
      </c>
      <c r="P114" t="inlineStr">
        <is>
          <t>Sumatera Selatan</t>
        </is>
      </c>
      <c r="Q114" t="inlineStr"/>
    </row>
    <row r="115">
      <c r="A115" t="inlineStr">
        <is>
          <t>PUTRA RIZKY MANDIRI</t>
        </is>
      </c>
      <c r="B115" t="inlineStr">
        <is>
          <t>Kab. Cianjur</t>
        </is>
      </c>
      <c r="C115" t="inlineStr">
        <is>
          <t>085692912600</t>
        </is>
      </c>
      <c r="D115" t="inlineStr">
        <is>
          <t>cvputrarizkymandiri@gmail.com</t>
        </is>
      </c>
      <c r="E115" t="inlineStr">
        <is>
          <t>https://lpjk.pu.go.id/search-badan-usaha-detail/aHZJTWI5cWRDcWovcXRWMmpMRnZQUT09</t>
        </is>
      </c>
      <c r="F115" t="n">
        <v>2</v>
      </c>
      <c r="G115" t="inlineStr">
        <is>
          <t>BS001, BS004</t>
        </is>
      </c>
      <c r="H115" t="inlineStr">
        <is>
          <t>14 Februari 2020</t>
        </is>
      </c>
      <c r="I115" s="2" t="n">
        <v>46320</v>
      </c>
      <c r="J115" t="inlineStr">
        <is>
          <t>Disetujui</t>
        </is>
      </c>
      <c r="K115" t="n">
        <v>60</v>
      </c>
      <c r="L115" t="inlineStr">
        <is>
          <t>25 Oktober 2026</t>
        </is>
      </c>
      <c r="M115" t="inlineStr">
        <is>
          <t>Konstruksi Bangunan Sipil Jalan, Konstruksi Jaringan Irigasi dan Drainase</t>
        </is>
      </c>
      <c r="N115" t="inlineStr">
        <is>
          <t>K</t>
        </is>
      </c>
      <c r="O115" t="inlineStr">
        <is>
          <t>20231025</t>
        </is>
      </c>
      <c r="P115" t="inlineStr">
        <is>
          <t>Jawa Barat</t>
        </is>
      </c>
      <c r="Q115" t="inlineStr"/>
    </row>
    <row r="116">
      <c r="A116" t="inlineStr">
        <is>
          <t>RAHARJA LAKU SEMBADA</t>
        </is>
      </c>
      <c r="B116" t="inlineStr">
        <is>
          <t>Kab. Bojonegoro</t>
        </is>
      </c>
      <c r="C116" t="inlineStr">
        <is>
          <t>081333649890</t>
        </is>
      </c>
      <c r="D116" t="inlineStr">
        <is>
          <t>rejolansembodo@gmail.com</t>
        </is>
      </c>
      <c r="E116" t="inlineStr">
        <is>
          <t>https://lpjk.pu.go.id/search-badan-usaha-detail/dkRwQmk1RERxOStUZHRVbGppYmJFWmZhZGdrQU9vc2szd0dDMWN0QnIzaz0</t>
        </is>
      </c>
      <c r="F116" t="n">
        <v>3</v>
      </c>
      <c r="G116" t="inlineStr">
        <is>
          <t>BG002, BG005, BG006</t>
        </is>
      </c>
      <c r="H116" t="inlineStr">
        <is>
          <t>23 Januari 2026</t>
        </is>
      </c>
      <c r="I116" s="2" t="n">
        <v>46320</v>
      </c>
      <c r="J116" t="inlineStr">
        <is>
          <t>Disetujui</t>
        </is>
      </c>
      <c r="K116" t="n">
        <v>60</v>
      </c>
      <c r="L116" t="inlineStr">
        <is>
          <t>25 Oktober 2026</t>
        </is>
      </c>
      <c r="M116" t="inlineStr">
        <is>
          <t>Konstruksi Gedung Kesehatan, Konstruksi Gedung Pendidikan, Konstruksi Gedung Perkantoran</t>
        </is>
      </c>
      <c r="N116" t="inlineStr">
        <is>
          <t>K</t>
        </is>
      </c>
      <c r="O116" t="inlineStr">
        <is>
          <t>20231020, 20231023</t>
        </is>
      </c>
      <c r="P116" t="inlineStr">
        <is>
          <t>Jawa Timur</t>
        </is>
      </c>
      <c r="Q116" t="inlineStr"/>
    </row>
    <row r="117">
      <c r="A117" t="inlineStr">
        <is>
          <t>RAHAYU</t>
        </is>
      </c>
      <c r="B117" t="inlineStr">
        <is>
          <t>Kab. Pemalang</t>
        </is>
      </c>
      <c r="C117" t="inlineStr">
        <is>
          <t>087733546527</t>
        </is>
      </c>
      <c r="D117" t="inlineStr">
        <is>
          <t>cv.rahayupemalang@yahoo.co.id</t>
        </is>
      </c>
      <c r="E117" t="inlineStr">
        <is>
          <t>https://lpjk.pu.go.id/search-badan-usaha-detail/OXNvZDkrSG9vRDJtd1NjbHlIU0Z1UT09</t>
        </is>
      </c>
      <c r="F117" t="n">
        <v>4</v>
      </c>
      <c r="G117" t="inlineStr">
        <is>
          <t>BG006, BG009, BS001, BS004</t>
        </is>
      </c>
      <c r="H117" t="inlineStr">
        <is>
          <t>5 Mei 2007</t>
        </is>
      </c>
      <c r="I117" s="2" t="n">
        <v>46320</v>
      </c>
      <c r="J117" t="inlineStr">
        <is>
          <t>Disetujui</t>
        </is>
      </c>
      <c r="K117" t="n">
        <v>60</v>
      </c>
      <c r="L117" t="inlineStr">
        <is>
          <t>25 Oktober 2026</t>
        </is>
      </c>
      <c r="M117" t="inlineStr">
        <is>
          <t>Konstruksi Bangunan Sipil Jalan, Konstruksi Gedung Lainnya, Konstruksi Gedung Pendidikan, Konstruksi Jaringan Irigasi dan Drainase</t>
        </is>
      </c>
      <c r="N117" t="inlineStr">
        <is>
          <t>K</t>
        </is>
      </c>
      <c r="O117" t="inlineStr">
        <is>
          <t>20231023</t>
        </is>
      </c>
      <c r="P117" t="inlineStr">
        <is>
          <t>Jawa Tengah</t>
        </is>
      </c>
      <c r="Q117" t="inlineStr"/>
    </row>
    <row r="118">
      <c r="A118" t="inlineStr">
        <is>
          <t>RAZKA SARANA KONSTRUKSI</t>
        </is>
      </c>
      <c r="B118" t="inlineStr">
        <is>
          <t>Kota Kendari</t>
        </is>
      </c>
      <c r="C118" t="inlineStr">
        <is>
          <t>085271000700</t>
        </is>
      </c>
      <c r="D118" t="inlineStr">
        <is>
          <t>razkasaranakonstruksi@gmail.com</t>
        </is>
      </c>
      <c r="E118" t="inlineStr">
        <is>
          <t>https://lpjk.pu.go.id/search-badan-usaha-detail/eFFjRnllSWo0UlVoYzRvLzlub1lTdz09</t>
        </is>
      </c>
      <c r="F118" t="n">
        <v>1</v>
      </c>
      <c r="G118" t="inlineStr">
        <is>
          <t>BS002</t>
        </is>
      </c>
      <c r="H118" t="inlineStr">
        <is>
          <t>25 Juli 2023</t>
        </is>
      </c>
      <c r="I118" s="2" t="n">
        <v>46320</v>
      </c>
      <c r="J118" t="inlineStr">
        <is>
          <t>Disetujui</t>
        </is>
      </c>
      <c r="K118" t="n">
        <v>60</v>
      </c>
      <c r="L118" t="inlineStr">
        <is>
          <t>25 Oktober 2026</t>
        </is>
      </c>
      <c r="M118" t="inlineStr">
        <is>
          <t>Bangunan Sipil Jembatan, Jalan Layang, Fly Over, dan Underpass</t>
        </is>
      </c>
      <c r="N118" t="inlineStr">
        <is>
          <t>K</t>
        </is>
      </c>
      <c r="O118" t="inlineStr">
        <is>
          <t>20231020</t>
        </is>
      </c>
      <c r="P118" t="inlineStr">
        <is>
          <t>Sulawesi Tenggara</t>
        </is>
      </c>
      <c r="Q118" t="inlineStr"/>
    </row>
    <row r="119">
      <c r="A119" t="inlineStr">
        <is>
          <t>REKA ADI HARYA</t>
        </is>
      </c>
      <c r="B119" t="inlineStr">
        <is>
          <t>Kota Semarang</t>
        </is>
      </c>
      <c r="C119" t="inlineStr">
        <is>
          <t>081228141110</t>
        </is>
      </c>
      <c r="D119" t="inlineStr">
        <is>
          <t>admin@rahcontractor.com</t>
        </is>
      </c>
      <c r="E119" t="inlineStr">
        <is>
          <t>https://lpjk.pu.go.id/search-badan-usaha-detail/SEQrcVkrNURGb3dIWGw1VVUzVWxwUT09</t>
        </is>
      </c>
      <c r="F119" t="n">
        <v>1</v>
      </c>
      <c r="G119" t="inlineStr">
        <is>
          <t>BG001</t>
        </is>
      </c>
      <c r="H119" t="inlineStr">
        <is>
          <t>9 November 2018</t>
        </is>
      </c>
      <c r="I119" s="2" t="n">
        <v>46320</v>
      </c>
      <c r="J119" t="inlineStr">
        <is>
          <t>Disetujui</t>
        </is>
      </c>
      <c r="K119" t="n">
        <v>60</v>
      </c>
      <c r="L119" t="inlineStr">
        <is>
          <t>25 Oktober 2026</t>
        </is>
      </c>
      <c r="M119" t="inlineStr">
        <is>
          <t>Konstruksi Gedung Hunian</t>
        </is>
      </c>
      <c r="N119" t="inlineStr">
        <is>
          <t>K</t>
        </is>
      </c>
      <c r="O119" t="inlineStr">
        <is>
          <t>20231012</t>
        </is>
      </c>
      <c r="P119" t="inlineStr">
        <is>
          <t>Jawa Tengah</t>
        </is>
      </c>
      <c r="Q119" t="inlineStr"/>
    </row>
    <row r="120">
      <c r="A120" t="inlineStr">
        <is>
          <t>RIZKY MARAJA</t>
        </is>
      </c>
      <c r="B120" t="inlineStr">
        <is>
          <t>Kab. Soppeng</t>
        </is>
      </c>
      <c r="C120" t="inlineStr">
        <is>
          <t>81343479583</t>
        </is>
      </c>
      <c r="D120" t="inlineStr">
        <is>
          <t>pajak.masa-rizkimaraja@yahoo.com</t>
        </is>
      </c>
      <c r="E120" t="inlineStr">
        <is>
          <t>https://lpjk.pu.go.id/search-badan-usaha-detail/MllDSkE3ZUpOUDk5VUhCTGtoazU5Zz09</t>
        </is>
      </c>
      <c r="F120" t="n">
        <v>4</v>
      </c>
      <c r="G120" t="inlineStr">
        <is>
          <t>BG002, BG004, BG005, BG006</t>
        </is>
      </c>
      <c r="H120" t="inlineStr">
        <is>
          <t>20 Juni 2016</t>
        </is>
      </c>
      <c r="I120" s="2" t="n">
        <v>46320</v>
      </c>
      <c r="J120" t="inlineStr">
        <is>
          <t>Pencabutan</t>
        </is>
      </c>
      <c r="K120" t="n">
        <v>60</v>
      </c>
      <c r="L120" t="inlineStr">
        <is>
          <t>25 Oktober 2026</t>
        </is>
      </c>
      <c r="M120" t="inlineStr">
        <is>
          <t>Konstruksi Gedung Kesehatan, Konstruksi Gedung Pendidikan, Konstruksi Gedung Perbelanjaan, Konstruksi Gedung Perkantoran</t>
        </is>
      </c>
      <c r="N120" t="inlineStr">
        <is>
          <t>K</t>
        </is>
      </c>
      <c r="O120" t="inlineStr">
        <is>
          <t>20231011, 20231022, 20231023, 20231027</t>
        </is>
      </c>
      <c r="P120" t="inlineStr">
        <is>
          <t>Sulawesi Selatan</t>
        </is>
      </c>
      <c r="Q120" t="inlineStr"/>
    </row>
    <row r="121">
      <c r="A121" t="inlineStr">
        <is>
          <t>SAKATAMA DJAJA</t>
        </is>
      </c>
      <c r="B121" t="inlineStr">
        <is>
          <t>Kab. Jember</t>
        </is>
      </c>
      <c r="C121" t="inlineStr">
        <is>
          <t>081333805598</t>
        </is>
      </c>
      <c r="D121" t="inlineStr">
        <is>
          <t>azelsyanoa@gmail.com</t>
        </is>
      </c>
      <c r="E121" t="inlineStr">
        <is>
          <t>https://lpjk.pu.go.id/search-badan-usaha-detail/OUhrWm1QNlMvZ00vVW1mM2RBVTcvUT09</t>
        </is>
      </c>
      <c r="F121" t="n">
        <v>6</v>
      </c>
      <c r="G121" t="inlineStr">
        <is>
          <t>BG002, BG004, BG005</t>
        </is>
      </c>
      <c r="H121" t="inlineStr">
        <is>
          <t>30 April 2015</t>
        </is>
      </c>
      <c r="I121" s="2" t="n">
        <v>46320</v>
      </c>
      <c r="J121" t="inlineStr">
        <is>
          <t>Disetujui</t>
        </is>
      </c>
      <c r="K121" t="n">
        <v>60</v>
      </c>
      <c r="L121" t="inlineStr">
        <is>
          <t>25 Oktober 2026</t>
        </is>
      </c>
      <c r="M121" t="inlineStr">
        <is>
          <t>Konstruksi Gedung Kesehatan, Konstruksi Gedung Perbelanjaan, Konstruksi Gedung Perkantoran</t>
        </is>
      </c>
      <c r="N121" t="inlineStr">
        <is>
          <t>K</t>
        </is>
      </c>
      <c r="O121" t="inlineStr">
        <is>
          <t>20231020, 20231026</t>
        </is>
      </c>
      <c r="P121" t="inlineStr">
        <is>
          <t>Jawa Timur</t>
        </is>
      </c>
      <c r="Q121" t="inlineStr"/>
    </row>
    <row r="122">
      <c r="A122" t="inlineStr">
        <is>
          <t>SAPUTRA RAMBANG</t>
        </is>
      </c>
      <c r="B122" t="inlineStr">
        <is>
          <t>Kota Prabumulih</t>
        </is>
      </c>
      <c r="C122" t="inlineStr">
        <is>
          <t>081292323064</t>
        </is>
      </c>
      <c r="D122" t="inlineStr">
        <is>
          <t>saputrarambangcv@ymail.com</t>
        </is>
      </c>
      <c r="E122" t="inlineStr">
        <is>
          <t>https://lpjk.pu.go.id/search-badan-usaha-detail/OXlueGlVM0ZETG1HUjIwYkE5SzRMQT09</t>
        </is>
      </c>
      <c r="F122" t="n">
        <v>2</v>
      </c>
      <c r="G122" t="inlineStr">
        <is>
          <t>BG002</t>
        </is>
      </c>
      <c r="H122" t="inlineStr">
        <is>
          <t>12 Februari 2002</t>
        </is>
      </c>
      <c r="I122" s="2" t="n">
        <v>46320</v>
      </c>
      <c r="J122" t="inlineStr">
        <is>
          <t>Disetujui</t>
        </is>
      </c>
      <c r="K122" t="n">
        <v>60</v>
      </c>
      <c r="L122" t="inlineStr">
        <is>
          <t>25 Oktober 2026</t>
        </is>
      </c>
      <c r="M122" t="inlineStr">
        <is>
          <t>Konstruksi Gedung Perkantoran</t>
        </is>
      </c>
      <c r="N122" t="inlineStr">
        <is>
          <t>K</t>
        </is>
      </c>
      <c r="O122" t="inlineStr">
        <is>
          <t>20231024</t>
        </is>
      </c>
      <c r="P122" t="inlineStr">
        <is>
          <t>Sumatera Selatan</t>
        </is>
      </c>
      <c r="Q122" t="inlineStr"/>
    </row>
    <row r="123">
      <c r="A123" t="inlineStr">
        <is>
          <t>SATU GARIS LURUS CONSULTANT</t>
        </is>
      </c>
      <c r="B123" t="inlineStr">
        <is>
          <t>Kota Surabaya</t>
        </is>
      </c>
      <c r="C123" t="inlineStr">
        <is>
          <t>085745554568</t>
        </is>
      </c>
      <c r="D123" t="inlineStr">
        <is>
          <t>satugarislurusconsultant@gmail.com</t>
        </is>
      </c>
      <c r="E123" t="inlineStr">
        <is>
          <t>https://lpjk.pu.go.id/search-badan-usaha-detail/R3d6V1YrTjhMS2NMVlZRUGhDay9iQT09</t>
        </is>
      </c>
      <c r="F123" t="n">
        <v>2</v>
      </c>
      <c r="G123" t="inlineStr">
        <is>
          <t>RK001, RK003</t>
        </is>
      </c>
      <c r="H123" t="inlineStr">
        <is>
          <t>4 Februari 2016</t>
        </is>
      </c>
      <c r="I123" s="2" t="n">
        <v>46320</v>
      </c>
      <c r="J123" t="inlineStr">
        <is>
          <t>Disetujui</t>
        </is>
      </c>
      <c r="K123" t="n">
        <v>60</v>
      </c>
      <c r="L123" t="inlineStr">
        <is>
          <t>25 Oktober 2026</t>
        </is>
      </c>
      <c r="M123" t="inlineStr">
        <is>
          <t>Jasa Rekayasa Konstruksi Bangunan Gedung Hunian dan Non Hunian, Jasa Rekayasa Pekerjaan Teknik Sipil Transportasi</t>
        </is>
      </c>
      <c r="N123" t="inlineStr">
        <is>
          <t>K</t>
        </is>
      </c>
      <c r="O123" t="inlineStr">
        <is>
          <t>20231017</t>
        </is>
      </c>
      <c r="P123" t="inlineStr">
        <is>
          <t>Jawa Timur</t>
        </is>
      </c>
      <c r="Q123" t="inlineStr"/>
    </row>
    <row r="124">
      <c r="A124" t="inlineStr">
        <is>
          <t>SEJAHTERA</t>
        </is>
      </c>
      <c r="B124" t="inlineStr">
        <is>
          <t>Kota Malang</t>
        </is>
      </c>
      <c r="C124" t="inlineStr">
        <is>
          <t>0341801254</t>
        </is>
      </c>
      <c r="D124" t="inlineStr">
        <is>
          <t>soarditirta@gmail.com</t>
        </is>
      </c>
      <c r="E124" t="inlineStr">
        <is>
          <t>https://lpjk.pu.go.id/search-badan-usaha-detail/SlVBbGVubVd1eXpjUExzWWx2bWQ2QT09</t>
        </is>
      </c>
      <c r="F124" t="n">
        <v>1</v>
      </c>
      <c r="G124" t="inlineStr">
        <is>
          <t>BG004</t>
        </is>
      </c>
      <c r="H124" t="inlineStr">
        <is>
          <t>24 Agustus 2010</t>
        </is>
      </c>
      <c r="I124" s="2" t="n">
        <v>46320</v>
      </c>
      <c r="J124" t="inlineStr">
        <is>
          <t>Disetujui</t>
        </is>
      </c>
      <c r="K124" t="n">
        <v>60</v>
      </c>
      <c r="L124" t="inlineStr">
        <is>
          <t>25 Oktober 2026</t>
        </is>
      </c>
      <c r="M124" t="inlineStr">
        <is>
          <t>Konstruksi Gedung Perbelanjaan</t>
        </is>
      </c>
      <c r="N124" t="inlineStr">
        <is>
          <t>K</t>
        </is>
      </c>
      <c r="O124" t="inlineStr">
        <is>
          <t>20231018</t>
        </is>
      </c>
      <c r="P124" t="inlineStr">
        <is>
          <t>Jawa Timur</t>
        </is>
      </c>
      <c r="Q124" t="inlineStr"/>
    </row>
    <row r="125">
      <c r="A125" t="inlineStr">
        <is>
          <t>SEPULUH SUMBER ANUGERAH</t>
        </is>
      </c>
      <c r="B125" t="inlineStr">
        <is>
          <t>Kab. Serang</t>
        </is>
      </c>
      <c r="C125" t="inlineStr">
        <is>
          <t>(0254) 408947-49</t>
        </is>
      </c>
      <c r="D125" t="inlineStr">
        <is>
          <t>hrd@pt-ssa.co.id</t>
        </is>
      </c>
      <c r="E125" t="inlineStr">
        <is>
          <t>https://lpjk.pu.go.id/search-badan-usaha-detail/NTJTbjVzbTNUTERoQWg1WEdPOFZSQT09</t>
        </is>
      </c>
      <c r="F125" t="n">
        <v>1</v>
      </c>
      <c r="G125" t="inlineStr">
        <is>
          <t>BS004</t>
        </is>
      </c>
      <c r="H125" t="inlineStr">
        <is>
          <t>2 Februari 1996</t>
        </is>
      </c>
      <c r="I125" s="2" t="n">
        <v>46320</v>
      </c>
      <c r="J125" t="inlineStr">
        <is>
          <t>Disetujui</t>
        </is>
      </c>
      <c r="K125" t="n">
        <v>60</v>
      </c>
      <c r="L125" t="inlineStr">
        <is>
          <t>25 Oktober 2026</t>
        </is>
      </c>
      <c r="M125" t="inlineStr">
        <is>
          <t>Konstruksi Jaringan Irigasi dan Drainase</t>
        </is>
      </c>
      <c r="N125" t="inlineStr">
        <is>
          <t>B</t>
        </is>
      </c>
      <c r="O125" t="inlineStr">
        <is>
          <t>20231016</t>
        </is>
      </c>
      <c r="P125" t="inlineStr">
        <is>
          <t>Banten</t>
        </is>
      </c>
      <c r="Q125" t="inlineStr"/>
    </row>
    <row r="126">
      <c r="A126" t="inlineStr">
        <is>
          <t>SIDO RUKUN BERSAMA</t>
        </is>
      </c>
      <c r="B126" t="inlineStr">
        <is>
          <t>Kab. Sragen</t>
        </is>
      </c>
      <c r="C126" t="inlineStr">
        <is>
          <t>081227960096</t>
        </is>
      </c>
      <c r="D126" t="inlineStr">
        <is>
          <t>sidorukunbersama@gmail.com</t>
        </is>
      </c>
      <c r="E126" t="inlineStr">
        <is>
          <t>https://lpjk.pu.go.id/search-badan-usaha-detail/T2g4VHZBc3JYSCs5SWV2NEQ0Tjd4Zz09</t>
        </is>
      </c>
      <c r="F126" t="n">
        <v>2</v>
      </c>
      <c r="G126" t="inlineStr">
        <is>
          <t>BG004, BG009</t>
        </is>
      </c>
      <c r="H126" t="inlineStr">
        <is>
          <t>27 Januari 2023</t>
        </is>
      </c>
      <c r="I126" s="2" t="n">
        <v>46320</v>
      </c>
      <c r="J126" t="inlineStr">
        <is>
          <t>Disetujui, Pencabutan</t>
        </is>
      </c>
      <c r="K126" t="n">
        <v>60</v>
      </c>
      <c r="L126" t="inlineStr">
        <is>
          <t>25 Oktober 2026</t>
        </is>
      </c>
      <c r="M126" t="inlineStr">
        <is>
          <t>Konstruksi Gedung Lainnya, Konstruksi Gedung Perbelanjaan</t>
        </is>
      </c>
      <c r="N126" t="inlineStr">
        <is>
          <t>K</t>
        </is>
      </c>
      <c r="O126" t="inlineStr">
        <is>
          <t>20231024</t>
        </is>
      </c>
      <c r="P126" t="inlineStr">
        <is>
          <t>Jawa Tengah</t>
        </is>
      </c>
      <c r="Q126" t="inlineStr"/>
    </row>
    <row r="127">
      <c r="A127" t="inlineStr">
        <is>
          <t>SINAR ANDALAN BOLANGO</t>
        </is>
      </c>
      <c r="B127" t="inlineStr">
        <is>
          <t>Kab. Pahuwato</t>
        </is>
      </c>
      <c r="C127" t="inlineStr">
        <is>
          <t>085770103227</t>
        </is>
      </c>
      <c r="D127" t="inlineStr">
        <is>
          <t>sinarandalanbolango@gmail.com</t>
        </is>
      </c>
      <c r="E127" t="inlineStr">
        <is>
          <t>https://lpjk.pu.go.id/search-badan-usaha-detail/bHdCS0YxWURLaFpDRU42elFCRHkrQT09</t>
        </is>
      </c>
      <c r="F127" t="n">
        <v>1</v>
      </c>
      <c r="G127" t="inlineStr">
        <is>
          <t>BS001</t>
        </is>
      </c>
      <c r="H127" t="inlineStr">
        <is>
          <t>31 Agustus 2022</t>
        </is>
      </c>
      <c r="I127" s="2" t="n">
        <v>46320</v>
      </c>
      <c r="J127" t="inlineStr">
        <is>
          <t>Disetujui</t>
        </is>
      </c>
      <c r="K127" t="n">
        <v>60</v>
      </c>
      <c r="L127" t="inlineStr">
        <is>
          <t>25 Oktober 2026</t>
        </is>
      </c>
      <c r="M127" t="inlineStr">
        <is>
          <t>Konstruksi Bangunan Sipil Jalan</t>
        </is>
      </c>
      <c r="N127" t="inlineStr">
        <is>
          <t>K</t>
        </is>
      </c>
      <c r="O127" t="inlineStr">
        <is>
          <t>20231025</t>
        </is>
      </c>
      <c r="P127" t="inlineStr">
        <is>
          <t>Gorontalo</t>
        </is>
      </c>
      <c r="Q127" t="inlineStr"/>
    </row>
    <row r="128">
      <c r="A128" t="inlineStr">
        <is>
          <t>SPARTAN</t>
        </is>
      </c>
      <c r="B128" t="inlineStr">
        <is>
          <t>Kab. Sanggau</t>
        </is>
      </c>
      <c r="C128" t="inlineStr">
        <is>
          <t>085353351992</t>
        </is>
      </c>
      <c r="D128" t="inlineStr">
        <is>
          <t>spartansanggaucv11@gmail.com</t>
        </is>
      </c>
      <c r="E128" t="inlineStr">
        <is>
          <t>https://lpjk.pu.go.id/search-badan-usaha-detail/SGR1ZFlGT0NiVTI4NXNsNTQ3TkxBUT09</t>
        </is>
      </c>
      <c r="F128" t="n">
        <v>1</v>
      </c>
      <c r="G128" t="inlineStr">
        <is>
          <t>BS002</t>
        </is>
      </c>
      <c r="H128" t="inlineStr">
        <is>
          <t>11 Desember 2017</t>
        </is>
      </c>
      <c r="I128" s="2" t="n">
        <v>46320</v>
      </c>
      <c r="J128" t="inlineStr">
        <is>
          <t>Disetujui</t>
        </is>
      </c>
      <c r="K128" t="n">
        <v>60</v>
      </c>
      <c r="L128" t="inlineStr">
        <is>
          <t>25 Oktober 2026</t>
        </is>
      </c>
      <c r="M128" t="inlineStr">
        <is>
          <t>Bangunan Sipil Jembatan, Jalan Layang, Fly Over, dan Underpass</t>
        </is>
      </c>
      <c r="N128" t="inlineStr">
        <is>
          <t>K</t>
        </is>
      </c>
      <c r="O128" t="inlineStr">
        <is>
          <t>20231007</t>
        </is>
      </c>
      <c r="P128" t="inlineStr">
        <is>
          <t>Kalimantan Barat</t>
        </is>
      </c>
      <c r="Q128" t="inlineStr"/>
    </row>
    <row r="129">
      <c r="A129" t="inlineStr">
        <is>
          <t>SUDRAJAT KARYAINDO JAYA</t>
        </is>
      </c>
      <c r="B129" t="inlineStr">
        <is>
          <t>Kab. Klaten</t>
        </is>
      </c>
      <c r="C129" t="inlineStr">
        <is>
          <t>085879705749</t>
        </is>
      </c>
      <c r="D129" t="inlineStr">
        <is>
          <t>sudrajatkaryaindojaya@gmail.com</t>
        </is>
      </c>
      <c r="E129" t="inlineStr">
        <is>
          <t>https://lpjk.pu.go.id/search-badan-usaha-detail/a2xtMmhoSndkVWJvaG10b1BWZFo1dz09</t>
        </is>
      </c>
      <c r="F129" t="n">
        <v>1</v>
      </c>
      <c r="G129" t="inlineStr">
        <is>
          <t>RK003</t>
        </is>
      </c>
      <c r="H129" t="inlineStr">
        <is>
          <t>24 Agustus 2018</t>
        </is>
      </c>
      <c r="I129" s="2" t="n">
        <v>46320</v>
      </c>
      <c r="J129" t="inlineStr">
        <is>
          <t>Disetujui</t>
        </is>
      </c>
      <c r="K129" t="n">
        <v>60</v>
      </c>
      <c r="L129" t="inlineStr">
        <is>
          <t>25 Oktober 2026</t>
        </is>
      </c>
      <c r="M129" t="inlineStr">
        <is>
          <t>Jasa Rekayasa Pekerjaan Teknik Sipil Transportasi</t>
        </is>
      </c>
      <c r="N129" t="inlineStr">
        <is>
          <t>K</t>
        </is>
      </c>
      <c r="O129" t="inlineStr">
        <is>
          <t>20230926</t>
        </is>
      </c>
      <c r="P129" t="inlineStr">
        <is>
          <t>Jawa Tengah</t>
        </is>
      </c>
      <c r="Q129" t="inlineStr"/>
    </row>
    <row r="130">
      <c r="A130" t="inlineStr">
        <is>
          <t>SULTAN ADI RAYA</t>
        </is>
      </c>
      <c r="B130" t="inlineStr">
        <is>
          <t>Kab. Bojonegoro</t>
        </is>
      </c>
      <c r="C130" t="inlineStr">
        <is>
          <t>081357793008</t>
        </is>
      </c>
      <c r="D130" t="inlineStr">
        <is>
          <t>cv.sultanadiraya@gmail.com</t>
        </is>
      </c>
      <c r="E130" t="inlineStr">
        <is>
          <t>https://lpjk.pu.go.id/search-badan-usaha-detail/VkRGYlBzTGhTdkZKaTdoY2k4cjlFZz09</t>
        </is>
      </c>
      <c r="F130" t="n">
        <v>1</v>
      </c>
      <c r="G130" t="inlineStr">
        <is>
          <t>BG006</t>
        </is>
      </c>
      <c r="H130" t="inlineStr">
        <is>
          <t>18 Agustus 2023</t>
        </is>
      </c>
      <c r="I130" s="2" t="n">
        <v>46320</v>
      </c>
      <c r="J130" t="inlineStr">
        <is>
          <t>Disetujui</t>
        </is>
      </c>
      <c r="K130" t="n">
        <v>60</v>
      </c>
      <c r="L130" t="inlineStr">
        <is>
          <t>25 Oktober 2026</t>
        </is>
      </c>
      <c r="M130" t="inlineStr">
        <is>
          <t>Konstruksi Gedung Pendidikan</t>
        </is>
      </c>
      <c r="N130" t="inlineStr">
        <is>
          <t>K</t>
        </is>
      </c>
      <c r="O130" t="inlineStr">
        <is>
          <t>20231025</t>
        </is>
      </c>
      <c r="P130" t="inlineStr">
        <is>
          <t>Jawa Timur</t>
        </is>
      </c>
      <c r="Q130" t="inlineStr"/>
    </row>
    <row r="131">
      <c r="A131" t="inlineStr">
        <is>
          <t>TAHASAK JAYA KONSTRUKSI</t>
        </is>
      </c>
      <c r="B131" t="inlineStr">
        <is>
          <t>Kota Palangkaraya</t>
        </is>
      </c>
      <c r="C131" t="inlineStr">
        <is>
          <t>081250122116</t>
        </is>
      </c>
      <c r="D131" t="inlineStr">
        <is>
          <t>TAHASAKJ@gmail.com</t>
        </is>
      </c>
      <c r="E131" t="inlineStr">
        <is>
          <t>https://lpjk.pu.go.id/search-badan-usaha-detail/YkRNSDN3MXBXa2F5Mk5FdnQzOVBuZz09</t>
        </is>
      </c>
      <c r="F131" t="n">
        <v>1</v>
      </c>
      <c r="G131" t="inlineStr">
        <is>
          <t>BS002</t>
        </is>
      </c>
      <c r="H131" t="inlineStr">
        <is>
          <t>8 September 2023</t>
        </is>
      </c>
      <c r="I131" s="2" t="n">
        <v>46320</v>
      </c>
      <c r="J131" t="inlineStr">
        <is>
          <t>Disetujui</t>
        </is>
      </c>
      <c r="K131" t="n">
        <v>60</v>
      </c>
      <c r="L131" t="inlineStr">
        <is>
          <t>25 Oktober 2026</t>
        </is>
      </c>
      <c r="M131" t="inlineStr">
        <is>
          <t>Bangunan Sipil Jembatan, Jalan Layang, Fly Over, dan Underpass</t>
        </is>
      </c>
      <c r="N131" t="inlineStr">
        <is>
          <t>K</t>
        </is>
      </c>
      <c r="O131" t="inlineStr">
        <is>
          <t>20231025</t>
        </is>
      </c>
      <c r="P131" t="inlineStr">
        <is>
          <t>Kalimantan Tengah</t>
        </is>
      </c>
      <c r="Q131" t="inlineStr"/>
    </row>
    <row r="132">
      <c r="A132" t="inlineStr">
        <is>
          <t>TEAM MODULE INDONESIA</t>
        </is>
      </c>
      <c r="B132" t="inlineStr">
        <is>
          <t>Kab. Gresik</t>
        </is>
      </c>
      <c r="C132" t="inlineStr">
        <is>
          <t>0313982206</t>
        </is>
      </c>
      <c r="D132" t="inlineStr">
        <is>
          <t>teammodule.info@gmail.com</t>
        </is>
      </c>
      <c r="E132" t="inlineStr">
        <is>
          <t>https://lpjk.pu.go.id/search-badan-usaha-detail/OElkV2xXWVpYemdXbHp1ck9CNDNvdz09</t>
        </is>
      </c>
      <c r="F132" t="n">
        <v>1</v>
      </c>
      <c r="G132" t="inlineStr">
        <is>
          <t>BG009</t>
        </is>
      </c>
      <c r="H132" t="inlineStr">
        <is>
          <t>19 September 2019</t>
        </is>
      </c>
      <c r="I132" s="2" t="n">
        <v>46320</v>
      </c>
      <c r="J132" t="inlineStr">
        <is>
          <t>Disetujui</t>
        </is>
      </c>
      <c r="K132" t="n">
        <v>60</v>
      </c>
      <c r="L132" t="inlineStr">
        <is>
          <t>25 Oktober 2026</t>
        </is>
      </c>
      <c r="M132" t="inlineStr">
        <is>
          <t>Konstruksi Gedung Lainnya</t>
        </is>
      </c>
      <c r="N132" t="inlineStr">
        <is>
          <t>K</t>
        </is>
      </c>
      <c r="O132" t="inlineStr">
        <is>
          <t>20230915</t>
        </is>
      </c>
      <c r="P132" t="inlineStr">
        <is>
          <t>Jawa Timur</t>
        </is>
      </c>
      <c r="Q132" t="inlineStr"/>
    </row>
    <row r="133">
      <c r="A133" t="inlineStr">
        <is>
          <t>TERATAI INDAH CEMERLANG</t>
        </is>
      </c>
      <c r="B133" t="inlineStr">
        <is>
          <t>Kab. Kutai Timur</t>
        </is>
      </c>
      <c r="C133" t="inlineStr">
        <is>
          <t>081352579999</t>
        </is>
      </c>
      <c r="D133" t="inlineStr">
        <is>
          <t>pt.terataiindahcemerlang@gmail.com</t>
        </is>
      </c>
      <c r="E133" t="inlineStr">
        <is>
          <t>https://lpjk.pu.go.id/search-badan-usaha-detail/blVNUUVRWmFMSVhzdkh2bVZKVGd6dz09</t>
        </is>
      </c>
      <c r="F133" t="n">
        <v>1</v>
      </c>
      <c r="G133" t="inlineStr">
        <is>
          <t>BG001</t>
        </is>
      </c>
      <c r="H133" t="inlineStr">
        <is>
          <t>10 Mei 2021</t>
        </is>
      </c>
      <c r="I133" s="2" t="n">
        <v>46320</v>
      </c>
      <c r="J133" t="inlineStr">
        <is>
          <t>Disetujui</t>
        </is>
      </c>
      <c r="K133" t="n">
        <v>60</v>
      </c>
      <c r="L133" t="inlineStr">
        <is>
          <t>25 Oktober 2026</t>
        </is>
      </c>
      <c r="M133" t="inlineStr">
        <is>
          <t>Konstruksi Gedung Hunian</t>
        </is>
      </c>
      <c r="N133" t="inlineStr">
        <is>
          <t>K</t>
        </is>
      </c>
      <c r="O133" t="inlineStr">
        <is>
          <t>20231023</t>
        </is>
      </c>
      <c r="P133" t="inlineStr">
        <is>
          <t>Kalimantan Timur</t>
        </is>
      </c>
      <c r="Q133" t="inlineStr"/>
    </row>
    <row r="134">
      <c r="A134" t="inlineStr">
        <is>
          <t>TIGA MUARA</t>
        </is>
      </c>
      <c r="B134" t="inlineStr">
        <is>
          <t>Kab. Muara Enim</t>
        </is>
      </c>
      <c r="C134" t="inlineStr">
        <is>
          <t>081272021221</t>
        </is>
      </c>
      <c r="D134" t="inlineStr">
        <is>
          <t>cv.tigamuara@gmail.com</t>
        </is>
      </c>
      <c r="E134" t="inlineStr">
        <is>
          <t>https://lpjk.pu.go.id/search-badan-usaha-detail/WXl3bnVOMjZmZjNZRWFSN1lnOUN0QT09</t>
        </is>
      </c>
      <c r="F134" t="n">
        <v>1</v>
      </c>
      <c r="G134" t="inlineStr">
        <is>
          <t>PB004</t>
        </is>
      </c>
      <c r="H134" t="inlineStr">
        <is>
          <t>31 Desember 2002</t>
        </is>
      </c>
      <c r="I134" s="2" t="n">
        <v>46320</v>
      </c>
      <c r="J134" t="inlineStr">
        <is>
          <t>Disetujui</t>
        </is>
      </c>
      <c r="K134" t="n">
        <v>60</v>
      </c>
      <c r="L134" t="inlineStr">
        <is>
          <t>25 Oktober 2026</t>
        </is>
      </c>
      <c r="M134" t="inlineStr">
        <is>
          <t>Dekorasi Interior</t>
        </is>
      </c>
      <c r="N134" t="inlineStr">
        <is>
          <t>Spesialis</t>
        </is>
      </c>
      <c r="O134" t="inlineStr">
        <is>
          <t>20231024</t>
        </is>
      </c>
      <c r="P134" t="inlineStr">
        <is>
          <t>Sumatera Selatan</t>
        </is>
      </c>
      <c r="Q134" t="inlineStr"/>
    </row>
    <row r="135">
      <c r="A135" t="inlineStr">
        <is>
          <t>TRI DAYA</t>
        </is>
      </c>
      <c r="B135" t="inlineStr">
        <is>
          <t>Kab. Banyuwangi</t>
        </is>
      </c>
      <c r="C135" t="inlineStr">
        <is>
          <t>081252488488</t>
        </is>
      </c>
      <c r="D135" t="inlineStr">
        <is>
          <t>triday4.cv@gmail.com</t>
        </is>
      </c>
      <c r="E135" t="inlineStr">
        <is>
          <t>https://lpjk.pu.go.id/search-badan-usaha-detail/aW5CeW1FR0F3WlUzcUFWOWdXY2trdz09</t>
        </is>
      </c>
      <c r="F135" t="n">
        <v>3</v>
      </c>
      <c r="G135" t="inlineStr">
        <is>
          <t>BG002, BG006, BG009</t>
        </is>
      </c>
      <c r="H135" t="inlineStr">
        <is>
          <t>23 Maret 1985</t>
        </is>
      </c>
      <c r="I135" s="2" t="n">
        <v>46320</v>
      </c>
      <c r="J135" t="inlineStr">
        <is>
          <t>Disetujui</t>
        </is>
      </c>
      <c r="K135" t="n">
        <v>60</v>
      </c>
      <c r="L135" t="inlineStr">
        <is>
          <t>25 Oktober 2026</t>
        </is>
      </c>
      <c r="M135" t="inlineStr">
        <is>
          <t>Konstruksi Gedung Lainnya, Konstruksi Gedung Pendidikan, Konstruksi Gedung Perkantoran</t>
        </is>
      </c>
      <c r="N135" t="inlineStr">
        <is>
          <t>K</t>
        </is>
      </c>
      <c r="O135" t="inlineStr">
        <is>
          <t>20231024, 20231026</t>
        </is>
      </c>
      <c r="P135" t="inlineStr">
        <is>
          <t>Jawa Timur</t>
        </is>
      </c>
      <c r="Q135" t="inlineStr"/>
    </row>
    <row r="136">
      <c r="A136" t="inlineStr">
        <is>
          <t>TRI JAYA TEKNIK KARAWANG</t>
        </is>
      </c>
      <c r="B136" t="inlineStr">
        <is>
          <t>Kab. Karawang</t>
        </is>
      </c>
      <c r="C136" t="inlineStr">
        <is>
          <t>081314491358</t>
        </is>
      </c>
      <c r="D136" t="inlineStr">
        <is>
          <t>pt.tjtk@yahoo.com</t>
        </is>
      </c>
      <c r="E136" t="inlineStr">
        <is>
          <t>https://lpjk.pu.go.id/search-badan-usaha-detail/Lzk1QlFOanpmemNnRU50K3JVdWJHQT09</t>
        </is>
      </c>
      <c r="F136" t="n">
        <v>1</v>
      </c>
      <c r="G136" t="inlineStr">
        <is>
          <t>BG009</t>
        </is>
      </c>
      <c r="H136" t="inlineStr">
        <is>
          <t>23 Desember 2008</t>
        </is>
      </c>
      <c r="I136" s="2" t="n">
        <v>46320</v>
      </c>
      <c r="J136" t="inlineStr">
        <is>
          <t>Disetujui</t>
        </is>
      </c>
      <c r="K136" t="n">
        <v>60</v>
      </c>
      <c r="L136" t="inlineStr">
        <is>
          <t>25 Oktober 2026</t>
        </is>
      </c>
      <c r="M136" t="inlineStr">
        <is>
          <t>Konstruksi Gedung Lainnya</t>
        </is>
      </c>
      <c r="N136" t="inlineStr">
        <is>
          <t>K</t>
        </is>
      </c>
      <c r="O136" t="inlineStr">
        <is>
          <t>20231004</t>
        </is>
      </c>
      <c r="P136" t="inlineStr">
        <is>
          <t>Jawa Barat</t>
        </is>
      </c>
      <c r="Q136" t="inlineStr"/>
    </row>
    <row r="137">
      <c r="A137" t="inlineStr">
        <is>
          <t>TRIAZ ABIWADA</t>
        </is>
      </c>
      <c r="B137" t="inlineStr">
        <is>
          <t>Kota Surabaya</t>
        </is>
      </c>
      <c r="C137" t="inlineStr">
        <is>
          <t>081295093960</t>
        </is>
      </c>
      <c r="D137" t="inlineStr">
        <is>
          <t>pttriazabiwada22@gmail.com</t>
        </is>
      </c>
      <c r="E137" t="inlineStr">
        <is>
          <t>https://lpjk.pu.go.id/search-badan-usaha-detail/MUVyMWhLU3lqRnJWdCtocWVuYU8rUT09</t>
        </is>
      </c>
      <c r="F137" t="n">
        <v>4</v>
      </c>
      <c r="G137" t="inlineStr">
        <is>
          <t>BG005, BG009</t>
        </is>
      </c>
      <c r="H137" t="inlineStr">
        <is>
          <t>23 Maret 1991</t>
        </is>
      </c>
      <c r="I137" s="2" t="n">
        <v>46320</v>
      </c>
      <c r="J137" t="inlineStr">
        <is>
          <t>Disetujui</t>
        </is>
      </c>
      <c r="K137" t="n">
        <v>60</v>
      </c>
      <c r="L137" t="inlineStr">
        <is>
          <t>25 Oktober 2026</t>
        </is>
      </c>
      <c r="M137" t="inlineStr">
        <is>
          <t>Konstruksi Gedung Kesehatan, Konstruksi Gedung Lainnya</t>
        </is>
      </c>
      <c r="N137" t="inlineStr">
        <is>
          <t>K</t>
        </is>
      </c>
      <c r="O137" t="inlineStr">
        <is>
          <t>20231021, 20231025</t>
        </is>
      </c>
      <c r="P137" t="inlineStr">
        <is>
          <t>Jawa Timur</t>
        </is>
      </c>
      <c r="Q137" t="inlineStr"/>
    </row>
    <row r="138">
      <c r="A138" t="inlineStr">
        <is>
          <t>TRISULA JAYA SAKTI</t>
        </is>
      </c>
      <c r="B138" t="inlineStr">
        <is>
          <t>Kab. Cianjur</t>
        </is>
      </c>
      <c r="C138" t="inlineStr">
        <is>
          <t>081312554513</t>
        </is>
      </c>
      <c r="D138" t="inlineStr">
        <is>
          <t>cvtrisulajayasakti23@gmail.com</t>
        </is>
      </c>
      <c r="E138" t="inlineStr">
        <is>
          <t>https://lpjk.pu.go.id/search-badan-usaha-detail/Qm9VbjltRzFIVmF1WVNkTjJXY2JWZz09</t>
        </is>
      </c>
      <c r="F138" t="n">
        <v>1</v>
      </c>
      <c r="G138" t="inlineStr">
        <is>
          <t>BS004</t>
        </is>
      </c>
      <c r="H138" t="inlineStr"/>
      <c r="I138" s="2" t="n">
        <v>46320</v>
      </c>
      <c r="J138" t="inlineStr">
        <is>
          <t>Pencabutan</t>
        </is>
      </c>
      <c r="K138" t="n">
        <v>60</v>
      </c>
      <c r="L138" t="inlineStr">
        <is>
          <t>25 Oktober 2026</t>
        </is>
      </c>
      <c r="M138" t="inlineStr">
        <is>
          <t>Konstruksi Jaringan Irigasi dan Drainase</t>
        </is>
      </c>
      <c r="N138" t="inlineStr">
        <is>
          <t>K</t>
        </is>
      </c>
      <c r="O138" t="inlineStr">
        <is>
          <t>20231026</t>
        </is>
      </c>
      <c r="P138" t="inlineStr">
        <is>
          <t>Jawa Barat</t>
        </is>
      </c>
      <c r="Q138" t="inlineStr"/>
    </row>
    <row r="139">
      <c r="A139" t="inlineStr">
        <is>
          <t>TUJUH UTAMA</t>
        </is>
      </c>
      <c r="B139" t="inlineStr">
        <is>
          <t>Kota Pare Pare</t>
        </is>
      </c>
      <c r="C139" t="inlineStr">
        <is>
          <t>085299804992</t>
        </is>
      </c>
      <c r="D139" t="inlineStr">
        <is>
          <t>tujuhutama@rocketmail.com</t>
        </is>
      </c>
      <c r="E139" t="inlineStr">
        <is>
          <t>https://lpjk.pu.go.id/search-badan-usaha-detail/Q1YyV2NHb1hOaklXam1BRmtMOEpwQT09</t>
        </is>
      </c>
      <c r="F139" t="n">
        <v>1</v>
      </c>
      <c r="G139" t="inlineStr">
        <is>
          <t>BS004</t>
        </is>
      </c>
      <c r="H139" t="inlineStr">
        <is>
          <t>28 Oktober 1993</t>
        </is>
      </c>
      <c r="I139" s="2" t="n">
        <v>46320</v>
      </c>
      <c r="J139" t="inlineStr">
        <is>
          <t>Disetujui</t>
        </is>
      </c>
      <c r="K139" t="n">
        <v>60</v>
      </c>
      <c r="L139" t="inlineStr">
        <is>
          <t>25 Oktober 2026</t>
        </is>
      </c>
      <c r="M139" t="inlineStr">
        <is>
          <t>Konstruksi Jaringan Irigasi dan Drainase</t>
        </is>
      </c>
      <c r="N139" t="inlineStr">
        <is>
          <t>K</t>
        </is>
      </c>
      <c r="O139" t="inlineStr">
        <is>
          <t>20231024</t>
        </is>
      </c>
      <c r="P139" t="inlineStr">
        <is>
          <t>Sulawesi Selatan</t>
        </is>
      </c>
      <c r="Q139" t="inlineStr"/>
    </row>
    <row r="140">
      <c r="A140" t="inlineStr">
        <is>
          <t>WALUYA</t>
        </is>
      </c>
      <c r="B140" t="inlineStr">
        <is>
          <t>Kab. Ciamis</t>
        </is>
      </c>
      <c r="C140" t="inlineStr">
        <is>
          <t>081394946777</t>
        </is>
      </c>
      <c r="D140" t="inlineStr">
        <is>
          <t>waluay.cv@gmail.com</t>
        </is>
      </c>
      <c r="E140" t="inlineStr">
        <is>
          <t>https://lpjk.pu.go.id/search-badan-usaha-detail/ZjUrVGZORDZQd2JqcG5QcmU3VWNNQT09</t>
        </is>
      </c>
      <c r="F140" t="n">
        <v>7</v>
      </c>
      <c r="G140" t="inlineStr">
        <is>
          <t>BG002, BG004, BG005, BG006, BG009, BS001, BS004</t>
        </is>
      </c>
      <c r="H140" t="inlineStr">
        <is>
          <t>11 Mei 2009</t>
        </is>
      </c>
      <c r="I140" s="2" t="n">
        <v>46320</v>
      </c>
      <c r="J140" t="inlineStr">
        <is>
          <t>Disetujui</t>
        </is>
      </c>
      <c r="K140" t="n">
        <v>60</v>
      </c>
      <c r="L140" t="inlineStr">
        <is>
          <t>25 Oktober 2026</t>
        </is>
      </c>
      <c r="M140" t="inlineStr">
        <is>
          <t>Konstruksi Bangunan Sipil Jalan, Konstruksi Gedung Kesehatan, Konstruksi Gedung Lainnya, Konstruksi Gedung Pendidikan, Konstruksi Gedung Perbelanjaan, Konstruksi Gedung Perkantoran, Konstruksi Jaringan Irigasi dan Drainase</t>
        </is>
      </c>
      <c r="N140" t="inlineStr">
        <is>
          <t>K</t>
        </is>
      </c>
      <c r="O140" t="inlineStr">
        <is>
          <t>20231024</t>
        </is>
      </c>
      <c r="P140" t="inlineStr">
        <is>
          <t>Jawa Barat</t>
        </is>
      </c>
      <c r="Q140" t="inlineStr"/>
    </row>
    <row r="141">
      <c r="A141" t="inlineStr">
        <is>
          <t>WASKITA UTAMA</t>
        </is>
      </c>
      <c r="B141" t="inlineStr">
        <is>
          <t>Kota Samarinda</t>
        </is>
      </c>
      <c r="C141" t="inlineStr">
        <is>
          <t>081347280766</t>
        </is>
      </c>
      <c r="D141" t="inlineStr">
        <is>
          <t>waskitautm@gmail.com</t>
        </is>
      </c>
      <c r="E141" t="inlineStr">
        <is>
          <t>https://lpjk.pu.go.id/search-badan-usaha-detail/TDR6cFpPK0cvWmdKUC9oSVRocFFxQT09</t>
        </is>
      </c>
      <c r="F141" t="n">
        <v>1</v>
      </c>
      <c r="G141" t="inlineStr">
        <is>
          <t>RK001</t>
        </is>
      </c>
      <c r="H141" t="inlineStr">
        <is>
          <t>21 April 2008</t>
        </is>
      </c>
      <c r="I141" s="2" t="n">
        <v>46320</v>
      </c>
      <c r="J141" t="inlineStr">
        <is>
          <t>Disetujui</t>
        </is>
      </c>
      <c r="K141" t="n">
        <v>60</v>
      </c>
      <c r="L141" t="inlineStr">
        <is>
          <t>25 Oktober 2026</t>
        </is>
      </c>
      <c r="M141" t="inlineStr">
        <is>
          <t>Jasa Rekayasa Konstruksi Bangunan Gedung Hunian dan Non Hunian</t>
        </is>
      </c>
      <c r="N141" t="inlineStr">
        <is>
          <t>K</t>
        </is>
      </c>
      <c r="O141" t="inlineStr">
        <is>
          <t>20231018</t>
        </is>
      </c>
      <c r="P141" t="inlineStr">
        <is>
          <t>Kalimantan Timur</t>
        </is>
      </c>
      <c r="Q141" t="inlineStr"/>
    </row>
    <row r="142">
      <c r="A142" t="inlineStr">
        <is>
          <t>WIJAYA WILWATIKTA</t>
        </is>
      </c>
      <c r="B142" t="inlineStr">
        <is>
          <t>Kab. Blitar</t>
        </is>
      </c>
      <c r="C142" t="inlineStr">
        <is>
          <t>085655177666</t>
        </is>
      </c>
      <c r="D142" t="inlineStr">
        <is>
          <t>wijaya.wilwatikta@gmail.com</t>
        </is>
      </c>
      <c r="E142" t="inlineStr">
        <is>
          <t>https://lpjk.pu.go.id/search-badan-usaha-detail/SWQwTk5NM1lqTWRIQUM2dVFoanZjdz09</t>
        </is>
      </c>
      <c r="F142" t="n">
        <v>4</v>
      </c>
      <c r="G142" t="inlineStr">
        <is>
          <t>BS001, BS004</t>
        </is>
      </c>
      <c r="H142" t="inlineStr">
        <is>
          <t>12 Januari 2022</t>
        </is>
      </c>
      <c r="I142" s="2" t="n">
        <v>46320</v>
      </c>
      <c r="J142" t="inlineStr">
        <is>
          <t>Disetujui</t>
        </is>
      </c>
      <c r="K142" t="n">
        <v>60</v>
      </c>
      <c r="L142" t="inlineStr">
        <is>
          <t>25 Oktober 2026</t>
        </is>
      </c>
      <c r="M142" t="inlineStr">
        <is>
          <t>Konstruksi Bangunan Sipil Jalan, Konstruksi Jaringan Irigasi dan Drainase</t>
        </is>
      </c>
      <c r="N142" t="inlineStr">
        <is>
          <t>K</t>
        </is>
      </c>
      <c r="O142" t="inlineStr">
        <is>
          <t>20231024, 20231026</t>
        </is>
      </c>
      <c r="P142" t="inlineStr">
        <is>
          <t>Jawa Timur</t>
        </is>
      </c>
      <c r="Q142" t="inlineStr"/>
    </row>
    <row r="143">
      <c r="A143" t="inlineStr">
        <is>
          <t>WIRATAMA JAYA</t>
        </is>
      </c>
      <c r="B143" t="inlineStr">
        <is>
          <t>Kota Malang</t>
        </is>
      </c>
      <c r="C143" t="inlineStr">
        <is>
          <t>0341478456</t>
        </is>
      </c>
      <c r="D143" t="inlineStr">
        <is>
          <t>wiratamajaya12_cv@yahoo.co.id</t>
        </is>
      </c>
      <c r="E143" t="inlineStr">
        <is>
          <t>https://lpjk.pu.go.id/search-badan-usaha-detail/eE94cHBCSXh2N09MOVFNM2puQ1hsUT09</t>
        </is>
      </c>
      <c r="F143" t="n">
        <v>6</v>
      </c>
      <c r="G143" t="inlineStr">
        <is>
          <t>BG002, BS001, BS004</t>
        </is>
      </c>
      <c r="H143" t="inlineStr">
        <is>
          <t>20 Juni 1990</t>
        </is>
      </c>
      <c r="I143" s="2" t="n">
        <v>46320</v>
      </c>
      <c r="J143" t="inlineStr">
        <is>
          <t>Disetujui</t>
        </is>
      </c>
      <c r="K143" t="n">
        <v>60</v>
      </c>
      <c r="L143" t="inlineStr">
        <is>
          <t>25 Oktober 2026</t>
        </is>
      </c>
      <c r="M143" t="inlineStr">
        <is>
          <t>Konstruksi Bangunan Sipil Jalan, Konstruksi Gedung Perkantoran, Konstruksi Jaringan Irigasi dan Drainase</t>
        </is>
      </c>
      <c r="N143" t="inlineStr">
        <is>
          <t>K</t>
        </is>
      </c>
      <c r="O143" t="inlineStr">
        <is>
          <t>20231014, 20231018</t>
        </is>
      </c>
      <c r="P143" t="inlineStr">
        <is>
          <t>Jawa Timur</t>
        </is>
      </c>
      <c r="Q14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4"/>
  <sheetViews>
    <sheetView workbookViewId="0">
      <selection activeCell="A1" sqref="A1"/>
    </sheetView>
  </sheetViews>
  <sheetFormatPr baseColWidth="8" defaultRowHeight="15"/>
  <cols>
    <col width="39" customWidth="1" min="1" max="1"/>
    <col width="27" customWidth="1" min="2" max="2"/>
    <col width="16" customWidth="1" min="3" max="3"/>
    <col width="39"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ARTDECO INTI KREASI</t>
        </is>
      </c>
      <c r="B2" t="inlineStr">
        <is>
          <t>Kota Adm. Jakarta Timur</t>
        </is>
      </c>
      <c r="C2" t="inlineStr">
        <is>
          <t>02186612945</t>
        </is>
      </c>
      <c r="D2" t="inlineStr">
        <is>
          <t>artdecointikreasii@gmail.com</t>
        </is>
      </c>
      <c r="E2" t="inlineStr">
        <is>
          <t>https://lpjk.pu.go.id/search-badan-usaha-detail/blNGaFdXeHExZkJTYWFFU0JjaWlXUT09</t>
        </is>
      </c>
      <c r="F2" t="n">
        <v>1</v>
      </c>
      <c r="G2" t="inlineStr">
        <is>
          <t>BG009</t>
        </is>
      </c>
      <c r="H2" t="inlineStr">
        <is>
          <t>5 Maret 2020</t>
        </is>
      </c>
      <c r="I2" s="2" t="n">
        <v>46290</v>
      </c>
      <c r="J2" t="inlineStr">
        <is>
          <t>Disetujui</t>
        </is>
      </c>
      <c r="K2" t="n">
        <v>30</v>
      </c>
      <c r="L2" t="inlineStr">
        <is>
          <t>25 September 2026</t>
        </is>
      </c>
      <c r="M2" t="inlineStr">
        <is>
          <t>Konstruksi Gedung Lainnya</t>
        </is>
      </c>
      <c r="N2" t="inlineStr">
        <is>
          <t>K</t>
        </is>
      </c>
      <c r="O2" t="inlineStr">
        <is>
          <t>20230309</t>
        </is>
      </c>
      <c r="P2" t="inlineStr">
        <is>
          <t>DKI Jakarta</t>
        </is>
      </c>
      <c r="Q2" t="inlineStr"/>
    </row>
    <row r="3">
      <c r="A3" t="inlineStr">
        <is>
          <t>DARAKA SOLUSI TAMA</t>
        </is>
      </c>
      <c r="B3" t="inlineStr">
        <is>
          <t>Kota Adm. Jakarta Timur</t>
        </is>
      </c>
      <c r="C3" t="inlineStr">
        <is>
          <t>02122086693</t>
        </is>
      </c>
      <c r="D3" t="inlineStr">
        <is>
          <t>daraka.st@gmail.com</t>
        </is>
      </c>
      <c r="E3" t="inlineStr">
        <is>
          <t>https://lpjk.pu.go.id/search-badan-usaha-detail/bjhwVUxuR2xwVFhkdFZmK29LV0ZEZz09</t>
        </is>
      </c>
      <c r="F3" t="n">
        <v>3</v>
      </c>
      <c r="G3" t="inlineStr">
        <is>
          <t>RK001, RK002, RK003</t>
        </is>
      </c>
      <c r="H3" t="inlineStr">
        <is>
          <t>15 Mei 2009</t>
        </is>
      </c>
      <c r="I3" s="2" t="n">
        <v>46290</v>
      </c>
      <c r="J3" t="inlineStr">
        <is>
          <t>Disetujui</t>
        </is>
      </c>
      <c r="K3" t="n">
        <v>30</v>
      </c>
      <c r="L3" t="inlineStr">
        <is>
          <t>25 September 2026</t>
        </is>
      </c>
      <c r="M3" t="inlineStr">
        <is>
          <t>Jasa Rekayasa Konstruksi Bangunan Gedung Hunian dan Non Hunian, Jasa Rekayasa Pekerjaan Teknik Sipil Sumber Daya Air, Jasa Rekayasa Pekerjaan Teknik Sipil Transportasi</t>
        </is>
      </c>
      <c r="N3" t="inlineStr">
        <is>
          <t>K</t>
        </is>
      </c>
      <c r="O3" t="inlineStr">
        <is>
          <t>20230219, 20230918</t>
        </is>
      </c>
      <c r="P3" t="inlineStr">
        <is>
          <t>DKI Jakarta</t>
        </is>
      </c>
      <c r="Q3" t="inlineStr"/>
    </row>
    <row r="4">
      <c r="A4" t="inlineStr">
        <is>
          <t>DINAR ARTHA UTAMA</t>
        </is>
      </c>
      <c r="B4" t="inlineStr">
        <is>
          <t>Kab. Bekasi</t>
        </is>
      </c>
      <c r="C4" t="inlineStr">
        <is>
          <t>02189325975</t>
        </is>
      </c>
      <c r="D4" t="inlineStr">
        <is>
          <t>a.purnomo@dinararthautama.com</t>
        </is>
      </c>
      <c r="E4" t="inlineStr">
        <is>
          <t>https://lpjk.pu.go.id/search-badan-usaha-detail/dm00OGJ5TVpKZHpvUFkyTVhhVHZTZz09</t>
        </is>
      </c>
      <c r="F4" t="n">
        <v>6</v>
      </c>
      <c r="G4" t="inlineStr">
        <is>
          <t>BG003, BG009</t>
        </is>
      </c>
      <c r="H4" t="inlineStr">
        <is>
          <t>7 Februari 2018</t>
        </is>
      </c>
      <c r="I4" s="2" t="n">
        <v>46290</v>
      </c>
      <c r="J4" t="inlineStr">
        <is>
          <t>Disetujui</t>
        </is>
      </c>
      <c r="K4" t="n">
        <v>30</v>
      </c>
      <c r="L4" t="inlineStr">
        <is>
          <t>25 September 2026</t>
        </is>
      </c>
      <c r="M4" t="inlineStr">
        <is>
          <t>Konstruksi Gedung Industri, Konstruksi Gedung Lainnya</t>
        </is>
      </c>
      <c r="N4" t="inlineStr">
        <is>
          <t>K</t>
        </is>
      </c>
      <c r="O4" t="inlineStr">
        <is>
          <t>20230925, 20230926</t>
        </is>
      </c>
      <c r="P4" t="inlineStr">
        <is>
          <t>Jawa Barat</t>
        </is>
      </c>
      <c r="Q4" t="inlineStr"/>
    </row>
    <row r="5">
      <c r="A5" t="inlineStr">
        <is>
          <t>DULANG BERKARYA</t>
        </is>
      </c>
      <c r="B5" t="inlineStr">
        <is>
          <t>Kota Bogor</t>
        </is>
      </c>
      <c r="C5" t="inlineStr">
        <is>
          <t>087886782405</t>
        </is>
      </c>
      <c r="D5" t="inlineStr">
        <is>
          <t>cv.dulangberkarya@yahoo.com</t>
        </is>
      </c>
      <c r="E5" t="inlineStr">
        <is>
          <t>https://lpjk.pu.go.id/search-badan-usaha-detail/MmxqL05WZ3hOSW5RUEdvOUxmdWVUQT09</t>
        </is>
      </c>
      <c r="F5" t="n">
        <v>4</v>
      </c>
      <c r="G5" t="inlineStr">
        <is>
          <t>BG002, BG006, BG009, BS006</t>
        </is>
      </c>
      <c r="H5" t="inlineStr">
        <is>
          <t>17 Maret 2016</t>
        </is>
      </c>
      <c r="I5" s="2" t="n">
        <v>46290</v>
      </c>
      <c r="J5" t="inlineStr">
        <is>
          <t>Disetujui</t>
        </is>
      </c>
      <c r="K5" t="n">
        <v>30</v>
      </c>
      <c r="L5" t="inlineStr">
        <is>
          <t>25 September 2026</t>
        </is>
      </c>
      <c r="M5" t="inlineStr">
        <is>
          <t>Konstruksi Bangunan Sipil Prasarana dan Sarana Sistem Pengolahan Limbah Padat, Cair, dan Gas, Konstruksi Gedung Lainnya, Konstruksi Gedung Pendidikan, Konstruksi Gedung Perkantoran</t>
        </is>
      </c>
      <c r="N5" t="inlineStr">
        <is>
          <t>K</t>
        </is>
      </c>
      <c r="O5" t="inlineStr">
        <is>
          <t>20230920</t>
        </is>
      </c>
      <c r="P5" t="inlineStr">
        <is>
          <t>Jawa Barat</t>
        </is>
      </c>
      <c r="Q5" s="3">
        <f>HYPERLINK("https://wa.me/6287886782405?text=*[Pengingat Masa Berlaku SBU DULANG BERKARYA]*%0A%0AYth. Pimpinan DULANG BERKARYA,%0AMohon izin menginformasikan status SBU Anda:%0A%0A📄 SBU: BG002, BG006, BG009, BS006%0A📅 Expired: 25 September 2026 (30 Hari Lagi)%0A%0AKami tim PT. ESDEA Assistance Management siap men-support proses perpanjangan segera agar administrasi proyek tidak terhambat%0A%0AApakah boleh saya bantu siapkan estimasi biaya dan waktu pengerjaannya?.", "Hubungi")</f>
        <v/>
      </c>
    </row>
    <row r="6">
      <c r="A6" t="inlineStr">
        <is>
          <t>KHARISMA KARYA PERSADA</t>
        </is>
      </c>
      <c r="B6" t="inlineStr">
        <is>
          <t>Kota Bekasi</t>
        </is>
      </c>
      <c r="C6" t="inlineStr">
        <is>
          <t>02182422120</t>
        </is>
      </c>
      <c r="D6" t="inlineStr">
        <is>
          <t>cv.kharismakaryapersada@gmail.com</t>
        </is>
      </c>
      <c r="E6" t="inlineStr">
        <is>
          <t>https://lpjk.pu.go.id/search-badan-usaha-detail/QU9LbHJIMks0RE42akRrZUR5R21ZQT09</t>
        </is>
      </c>
      <c r="F6" t="n">
        <v>8</v>
      </c>
      <c r="G6" t="inlineStr">
        <is>
          <t>BG002, BG003, BG007, BG009</t>
        </is>
      </c>
      <c r="H6" t="inlineStr">
        <is>
          <t>16 Desember 2000</t>
        </is>
      </c>
      <c r="I6" s="2" t="n">
        <v>46290</v>
      </c>
      <c r="J6" t="inlineStr">
        <is>
          <t>Disetujui</t>
        </is>
      </c>
      <c r="K6" t="n">
        <v>30</v>
      </c>
      <c r="L6" t="inlineStr">
        <is>
          <t>25 September 2026</t>
        </is>
      </c>
      <c r="M6" t="inlineStr">
        <is>
          <t>Konstruksi Gedung Industri, Konstruksi Gedung Lainnya, Konstruksi Gedung Penginapan, Konstruksi Gedung Perkantoran</t>
        </is>
      </c>
      <c r="N6" t="inlineStr">
        <is>
          <t>K</t>
        </is>
      </c>
      <c r="O6" t="inlineStr">
        <is>
          <t>20230921, 20230926, 20230927</t>
        </is>
      </c>
      <c r="P6" t="inlineStr">
        <is>
          <t>Jawa Barat</t>
        </is>
      </c>
      <c r="Q6" t="inlineStr"/>
    </row>
    <row r="7">
      <c r="A7" t="inlineStr">
        <is>
          <t>PUNCAK GEMILANG SEMESTA</t>
        </is>
      </c>
      <c r="B7" t="inlineStr">
        <is>
          <t>Kab. Bekasi</t>
        </is>
      </c>
      <c r="C7" t="inlineStr">
        <is>
          <t>02189118966</t>
        </is>
      </c>
      <c r="D7" t="inlineStr">
        <is>
          <t>pgs8801@gmail.com</t>
        </is>
      </c>
      <c r="E7" t="inlineStr">
        <is>
          <t>https://lpjk.pu.go.id/search-badan-usaha-detail/Mm01ck54eEszd1dqMy9pY2g4U0VGZz09</t>
        </is>
      </c>
      <c r="F7" t="n">
        <v>2</v>
      </c>
      <c r="G7" t="inlineStr">
        <is>
          <t>BG003, BG009</t>
        </is>
      </c>
      <c r="H7" t="inlineStr">
        <is>
          <t>12 Mei 2014</t>
        </is>
      </c>
      <c r="I7" s="2" t="n">
        <v>46290</v>
      </c>
      <c r="J7" t="inlineStr">
        <is>
          <t>Disetujui</t>
        </is>
      </c>
      <c r="K7" t="n">
        <v>30</v>
      </c>
      <c r="L7" t="inlineStr">
        <is>
          <t>25 September 2026</t>
        </is>
      </c>
      <c r="M7" t="inlineStr">
        <is>
          <t>Konstruksi Gedung Industri, Konstruksi Gedung Lainnya</t>
        </is>
      </c>
      <c r="N7" t="inlineStr">
        <is>
          <t>B</t>
        </is>
      </c>
      <c r="O7" t="inlineStr">
        <is>
          <t>20230904, 20230905</t>
        </is>
      </c>
      <c r="P7" t="inlineStr">
        <is>
          <t>Jawa Barat</t>
        </is>
      </c>
      <c r="Q7" t="inlineStr"/>
    </row>
    <row r="8">
      <c r="A8" t="inlineStr">
        <is>
          <t>SOLUNA BERLIMA PUTRA</t>
        </is>
      </c>
      <c r="B8" t="inlineStr">
        <is>
          <t>Kota Adm. Jakarta Timur</t>
        </is>
      </c>
      <c r="C8" t="inlineStr">
        <is>
          <t>02185918169</t>
        </is>
      </c>
      <c r="D8" t="inlineStr">
        <is>
          <t>soluna_5putra@yahoo.co.id</t>
        </is>
      </c>
      <c r="E8" t="inlineStr">
        <is>
          <t>https://lpjk.pu.go.id/search-badan-usaha-detail/ZmxRcDJYaFJ2bnFxMG9CUXJ1Y2E0UT09</t>
        </is>
      </c>
      <c r="F8" t="n">
        <v>5</v>
      </c>
      <c r="G8" t="inlineStr">
        <is>
          <t>BG002, BG008, BG009, BS001, BS004</t>
        </is>
      </c>
      <c r="H8" t="inlineStr">
        <is>
          <t>31 Oktober 2013</t>
        </is>
      </c>
      <c r="I8" s="2" t="n">
        <v>46290</v>
      </c>
      <c r="J8" t="inlineStr">
        <is>
          <t>Disetujui</t>
        </is>
      </c>
      <c r="K8" t="n">
        <v>30</v>
      </c>
      <c r="L8" t="inlineStr">
        <is>
          <t>25 September 2026</t>
        </is>
      </c>
      <c r="M8" t="inlineStr">
        <is>
          <t>Konstruksi Bangunan Sipil Jalan, Konstruksi Gedung Lainnya, Konstruksi Gedung Perkantoran, Konstruksi Gedung Tempat Hiburan dan Olahraga, Konstruksi Jaringan Irigasi dan Drainase</t>
        </is>
      </c>
      <c r="N8" t="inlineStr">
        <is>
          <t>K</t>
        </is>
      </c>
      <c r="O8" t="inlineStr">
        <is>
          <t>20230919</t>
        </is>
      </c>
      <c r="P8" t="inlineStr">
        <is>
          <t>DKI Jakarta</t>
        </is>
      </c>
      <c r="Q8" t="inlineStr"/>
    </row>
    <row r="9">
      <c r="A9" t="inlineStr">
        <is>
          <t>ABDI KARYA</t>
        </is>
      </c>
      <c r="B9" t="inlineStr">
        <is>
          <t>Kab. Gresik</t>
        </is>
      </c>
      <c r="C9" t="inlineStr">
        <is>
          <t>082232676199</t>
        </is>
      </c>
      <c r="D9" t="inlineStr">
        <is>
          <t>abdikaryagres@gmail.com</t>
        </is>
      </c>
      <c r="E9" t="inlineStr">
        <is>
          <t>https://lpjk.pu.go.id/search-badan-usaha-detail/YllZdGpiN1l6VVZvOVpab0pINHRXUT09</t>
        </is>
      </c>
      <c r="F9" t="n">
        <v>3</v>
      </c>
      <c r="G9" t="inlineStr">
        <is>
          <t>BG006, BG009</t>
        </is>
      </c>
      <c r="H9" t="inlineStr">
        <is>
          <t>14 Agustus 2023</t>
        </is>
      </c>
      <c r="I9" s="2" t="n">
        <v>46290</v>
      </c>
      <c r="J9" t="inlineStr">
        <is>
          <t>Disetujui</t>
        </is>
      </c>
      <c r="K9" t="n">
        <v>30</v>
      </c>
      <c r="L9" t="inlineStr">
        <is>
          <t>25 September 2026</t>
        </is>
      </c>
      <c r="M9" t="inlineStr">
        <is>
          <t>Konstruksi Gedung Lainnya, Konstruksi Gedung Pendidikan</t>
        </is>
      </c>
      <c r="N9" t="inlineStr">
        <is>
          <t>K</t>
        </is>
      </c>
      <c r="O9" t="inlineStr">
        <is>
          <t>20230920, 20230922</t>
        </is>
      </c>
      <c r="P9" t="inlineStr">
        <is>
          <t>Jawa Timur</t>
        </is>
      </c>
      <c r="Q9" t="inlineStr"/>
    </row>
    <row r="10">
      <c r="A10" t="inlineStr">
        <is>
          <t>ADHYATAMA</t>
        </is>
      </c>
      <c r="B10" t="inlineStr">
        <is>
          <t>Kota Binjai</t>
        </is>
      </c>
      <c r="C10" t="inlineStr">
        <is>
          <t>082164279771</t>
        </is>
      </c>
      <c r="D10" t="inlineStr">
        <is>
          <t>cvadhyatama2023@gmail.com</t>
        </is>
      </c>
      <c r="E10" t="inlineStr">
        <is>
          <t>https://lpjk.pu.go.id/search-badan-usaha-detail/QWJ0U0NLbGttaWFvZ2thNkhPZXI0dz09</t>
        </is>
      </c>
      <c r="F10" t="n">
        <v>4</v>
      </c>
      <c r="G10" t="inlineStr">
        <is>
          <t>BG006, BS001</t>
        </is>
      </c>
      <c r="H10" t="inlineStr">
        <is>
          <t>22 Juni 2012</t>
        </is>
      </c>
      <c r="I10" s="2" t="n">
        <v>46290</v>
      </c>
      <c r="J10" t="inlineStr">
        <is>
          <t>Disetujui</t>
        </is>
      </c>
      <c r="K10" t="n">
        <v>30</v>
      </c>
      <c r="L10" t="inlineStr">
        <is>
          <t>25 September 2026</t>
        </is>
      </c>
      <c r="M10" t="inlineStr">
        <is>
          <t>Konstruksi Bangunan Sipil Jalan, Konstruksi Gedung Pendidikan</t>
        </is>
      </c>
      <c r="N10" t="inlineStr">
        <is>
          <t>K</t>
        </is>
      </c>
      <c r="O10" t="inlineStr">
        <is>
          <t>20230925, 20230926</t>
        </is>
      </c>
      <c r="P10" t="inlineStr">
        <is>
          <t>Sumatera Utara</t>
        </is>
      </c>
      <c r="Q10" t="inlineStr"/>
    </row>
    <row r="11">
      <c r="A11" t="inlineStr">
        <is>
          <t>ADILOKA KHATULISTIWA</t>
        </is>
      </c>
      <c r="B11" t="inlineStr">
        <is>
          <t>Kab. Indramayu</t>
        </is>
      </c>
      <c r="C11" t="inlineStr">
        <is>
          <t>+6282115808950</t>
        </is>
      </c>
      <c r="D11" t="inlineStr">
        <is>
          <t>adiloka.cv@gmail.com</t>
        </is>
      </c>
      <c r="E11" t="inlineStr">
        <is>
          <t>https://lpjk.pu.go.id/search-badan-usaha-detail/SGFoZ1dacmpkdkxGdzRIaFVqWHUvQT09</t>
        </is>
      </c>
      <c r="F11" t="n">
        <v>2</v>
      </c>
      <c r="G11" t="inlineStr">
        <is>
          <t>BG008</t>
        </is>
      </c>
      <c r="H11" t="inlineStr">
        <is>
          <t>6 September 2023</t>
        </is>
      </c>
      <c r="I11" s="2" t="n">
        <v>46290</v>
      </c>
      <c r="J11" t="inlineStr">
        <is>
          <t>Disetujui</t>
        </is>
      </c>
      <c r="K11" t="n">
        <v>30</v>
      </c>
      <c r="L11" t="inlineStr">
        <is>
          <t>25 September 2026</t>
        </is>
      </c>
      <c r="M11" t="inlineStr">
        <is>
          <t>Konstruksi Gedung Tempat Hiburan dan Olahraga</t>
        </is>
      </c>
      <c r="N11" t="inlineStr">
        <is>
          <t>K</t>
        </is>
      </c>
      <c r="O11" t="inlineStr">
        <is>
          <t>20230920</t>
        </is>
      </c>
      <c r="P11" t="inlineStr">
        <is>
          <t>Jawa Barat</t>
        </is>
      </c>
      <c r="Q11" t="inlineStr"/>
    </row>
    <row r="12">
      <c r="A12" t="inlineStr">
        <is>
          <t>AIDAZ REZKY PARE</t>
        </is>
      </c>
      <c r="B12" t="inlineStr">
        <is>
          <t>Kota Pare Pare</t>
        </is>
      </c>
      <c r="C12" t="inlineStr">
        <is>
          <t>08124489897</t>
        </is>
      </c>
      <c r="D12" t="inlineStr">
        <is>
          <t>aidazrezkypare@gmail.com</t>
        </is>
      </c>
      <c r="E12" t="inlineStr">
        <is>
          <t>https://lpjk.pu.go.id/search-badan-usaha-detail/RG5xUENvZ29XcEd6bGQ3WVVjVDVRZz09</t>
        </is>
      </c>
      <c r="F12" t="n">
        <v>1</v>
      </c>
      <c r="G12" t="inlineStr">
        <is>
          <t>BS001</t>
        </is>
      </c>
      <c r="H12" t="inlineStr">
        <is>
          <t>11 Januari 2018</t>
        </is>
      </c>
      <c r="I12" s="2" t="n">
        <v>46290</v>
      </c>
      <c r="J12" t="inlineStr">
        <is>
          <t>Disetujui</t>
        </is>
      </c>
      <c r="K12" t="n">
        <v>30</v>
      </c>
      <c r="L12" t="inlineStr">
        <is>
          <t>25 September 2026</t>
        </is>
      </c>
      <c r="M12" t="inlineStr">
        <is>
          <t>Konstruksi Bangunan Sipil Jalan</t>
        </is>
      </c>
      <c r="N12" t="inlineStr">
        <is>
          <t>K</t>
        </is>
      </c>
      <c r="O12" t="inlineStr">
        <is>
          <t>20230120</t>
        </is>
      </c>
      <c r="P12" t="inlineStr">
        <is>
          <t>Sulawesi Selatan</t>
        </is>
      </c>
      <c r="Q12" t="inlineStr"/>
    </row>
    <row r="13">
      <c r="A13" t="inlineStr">
        <is>
          <t>ALDO PERMAI</t>
        </is>
      </c>
      <c r="B13" t="inlineStr">
        <is>
          <t>Kota Palembang</t>
        </is>
      </c>
      <c r="C13" t="inlineStr">
        <is>
          <t>082289351727</t>
        </is>
      </c>
      <c r="D13" t="inlineStr">
        <is>
          <t>aldo_permai_pt@yahoo.com</t>
        </is>
      </c>
      <c r="E13" t="inlineStr">
        <is>
          <t>https://lpjk.pu.go.id/search-badan-usaha-detail/QnV5b1F6YUx4THB2dHBhNUxSWEF1UT09</t>
        </is>
      </c>
      <c r="F13" t="n">
        <v>1</v>
      </c>
      <c r="G13" t="inlineStr">
        <is>
          <t>BS005</t>
        </is>
      </c>
      <c r="H13" t="inlineStr">
        <is>
          <t>10 Januari 2007</t>
        </is>
      </c>
      <c r="I13" s="2" t="n">
        <v>46290</v>
      </c>
      <c r="J13" t="inlineStr">
        <is>
          <t>Disetujui</t>
        </is>
      </c>
      <c r="K13" t="n">
        <v>30</v>
      </c>
      <c r="L13" t="inlineStr">
        <is>
          <t>25 September 2026</t>
        </is>
      </c>
      <c r="M13" t="inlineStr">
        <is>
          <t>Konstruksi Bangunan Sipil Pengolahan Air Bersih</t>
        </is>
      </c>
      <c r="N13" t="inlineStr">
        <is>
          <t>K</t>
        </is>
      </c>
      <c r="O13" t="inlineStr">
        <is>
          <t>20230906</t>
        </is>
      </c>
      <c r="P13" t="inlineStr">
        <is>
          <t>Sumatera Selatan</t>
        </is>
      </c>
      <c r="Q13" t="inlineStr"/>
    </row>
    <row r="14">
      <c r="A14" t="inlineStr">
        <is>
          <t>ANAK NEGERI</t>
        </is>
      </c>
      <c r="B14" t="inlineStr">
        <is>
          <t>Kab. Pemalang</t>
        </is>
      </c>
      <c r="C14" t="inlineStr">
        <is>
          <t>0818244614</t>
        </is>
      </c>
      <c r="D14" t="inlineStr">
        <is>
          <t>anaknegeripml@yahoo.com</t>
        </is>
      </c>
      <c r="E14" t="inlineStr">
        <is>
          <t>https://lpjk.pu.go.id/search-badan-usaha-detail/V1J0YUFCbndXTjRSdXllQkUzUkNTUT09</t>
        </is>
      </c>
      <c r="F14" t="n">
        <v>3</v>
      </c>
      <c r="G14" t="inlineStr">
        <is>
          <t>BG005, BS001, BS004</t>
        </is>
      </c>
      <c r="H14" t="inlineStr">
        <is>
          <t>31 Mei 2007</t>
        </is>
      </c>
      <c r="I14" s="2" t="n">
        <v>46290</v>
      </c>
      <c r="J14" t="inlineStr">
        <is>
          <t>Disetujui</t>
        </is>
      </c>
      <c r="K14" t="n">
        <v>30</v>
      </c>
      <c r="L14" t="inlineStr">
        <is>
          <t>25 September 2026</t>
        </is>
      </c>
      <c r="M14" t="inlineStr">
        <is>
          <t>Konstruksi Bangunan Sipil Jalan, Konstruksi Gedung Kesehatan, Konstruksi Jaringan Irigasi dan Drainase</t>
        </is>
      </c>
      <c r="N14" t="inlineStr">
        <is>
          <t>K</t>
        </is>
      </c>
      <c r="O14" t="inlineStr">
        <is>
          <t>20230918</t>
        </is>
      </c>
      <c r="P14" t="inlineStr">
        <is>
          <t>Jawa Tengah</t>
        </is>
      </c>
      <c r="Q14" t="inlineStr"/>
    </row>
    <row r="15">
      <c r="A15" t="inlineStr">
        <is>
          <t>ANEKA SENTRATAMA CAHAYA OPTIMA</t>
        </is>
      </c>
      <c r="B15" t="inlineStr">
        <is>
          <t>Kota Adm. Jakarta Utara</t>
        </is>
      </c>
      <c r="C15" t="inlineStr">
        <is>
          <t>N/A</t>
        </is>
      </c>
      <c r="D15" t="inlineStr">
        <is>
          <t>N/A</t>
        </is>
      </c>
      <c r="E15" t="inlineStr">
        <is>
          <t>https://lpjk.pu.go.id/search-badan-usaha-detail/NTh0K0l0bWVpK0JqSnUxaFhjUnJ3UT09</t>
        </is>
      </c>
      <c r="F15" t="n">
        <v>1</v>
      </c>
      <c r="G15" t="inlineStr">
        <is>
          <t>BG003</t>
        </is>
      </c>
      <c r="H15" t="inlineStr"/>
      <c r="I15" s="2" t="n">
        <v>46290</v>
      </c>
      <c r="J15" t="inlineStr">
        <is>
          <t>Pembekuan</t>
        </is>
      </c>
      <c r="K15" t="n">
        <v>30</v>
      </c>
      <c r="L15" t="inlineStr">
        <is>
          <t>25 September 2026</t>
        </is>
      </c>
      <c r="M15" t="inlineStr">
        <is>
          <t>Konstruksi Gedung Industri</t>
        </is>
      </c>
      <c r="N15" t="inlineStr">
        <is>
          <t>M</t>
        </is>
      </c>
      <c r="O15" t="inlineStr">
        <is>
          <t>20230915</t>
        </is>
      </c>
      <c r="P15" t="inlineStr">
        <is>
          <t>DKI Jakarta</t>
        </is>
      </c>
      <c r="Q15" t="inlineStr"/>
    </row>
    <row r="16">
      <c r="A16" t="inlineStr">
        <is>
          <t>ANGGA BALI JAYA</t>
        </is>
      </c>
      <c r="B16" t="inlineStr">
        <is>
          <t>Kab. Gianyar</t>
        </is>
      </c>
      <c r="C16" t="inlineStr">
        <is>
          <t>08123647568</t>
        </is>
      </c>
      <c r="D16" t="inlineStr">
        <is>
          <t>anggabalijaya@yahoo.com</t>
        </is>
      </c>
      <c r="E16" t="inlineStr">
        <is>
          <t>https://lpjk.pu.go.id/search-badan-usaha-detail/Q0ppbVJibU8wbnBGZC9WU0NNWlUwZz09</t>
        </is>
      </c>
      <c r="F16" t="n">
        <v>1</v>
      </c>
      <c r="G16" t="inlineStr">
        <is>
          <t>BG007</t>
        </is>
      </c>
      <c r="H16" t="inlineStr">
        <is>
          <t>24 Juli 2023</t>
        </is>
      </c>
      <c r="I16" s="2" t="n">
        <v>46290</v>
      </c>
      <c r="J16" t="inlineStr">
        <is>
          <t>Disetujui</t>
        </is>
      </c>
      <c r="K16" t="n">
        <v>30</v>
      </c>
      <c r="L16" t="inlineStr">
        <is>
          <t>25 September 2026</t>
        </is>
      </c>
      <c r="M16" t="inlineStr">
        <is>
          <t>Konstruksi Gedung Penginapan</t>
        </is>
      </c>
      <c r="N16" t="inlineStr">
        <is>
          <t>K</t>
        </is>
      </c>
      <c r="O16" t="inlineStr">
        <is>
          <t>20230925</t>
        </is>
      </c>
      <c r="P16" t="inlineStr">
        <is>
          <t>Bali</t>
        </is>
      </c>
      <c r="Q16" t="inlineStr"/>
    </row>
    <row r="17">
      <c r="A17" t="inlineStr">
        <is>
          <t>ANUGERAH MANDALA ABADI</t>
        </is>
      </c>
      <c r="B17" t="inlineStr">
        <is>
          <t>Kota Prabumulih</t>
        </is>
      </c>
      <c r="C17" t="inlineStr">
        <is>
          <t>085369575600</t>
        </is>
      </c>
      <c r="D17" t="inlineStr">
        <is>
          <t>ptanugerahmandalaabadi@gmail.com</t>
        </is>
      </c>
      <c r="E17" t="inlineStr">
        <is>
          <t>https://lpjk.pu.go.id/search-badan-usaha-detail/VitxMEJMbGFzdkM3Q1hMZVlWb0F4dz09</t>
        </is>
      </c>
      <c r="F17" t="n">
        <v>4</v>
      </c>
      <c r="G17" t="inlineStr">
        <is>
          <t>KK001, KK005, PL003, PL004</t>
        </is>
      </c>
      <c r="H17" t="inlineStr">
        <is>
          <t>25 Juli 2023</t>
        </is>
      </c>
      <c r="I17" s="2" t="n">
        <v>46290</v>
      </c>
      <c r="J17" t="inlineStr">
        <is>
          <t>Pencabutan</t>
        </is>
      </c>
      <c r="K17" t="n">
        <v>30</v>
      </c>
      <c r="L17" t="inlineStr">
        <is>
          <t>25 September 2026</t>
        </is>
      </c>
      <c r="M17" t="inlineStr">
        <is>
          <t>Pekerjaan Lapis Perkerasan Beton (Rigid Pavement), Pekerjaan Tanah, Penyiapan Lahan Konstruksi, Pondasi Konstruksi</t>
        </is>
      </c>
      <c r="N17" t="inlineStr">
        <is>
          <t>Spesialis</t>
        </is>
      </c>
      <c r="O17" t="inlineStr">
        <is>
          <t>20230917</t>
        </is>
      </c>
      <c r="P17" t="inlineStr">
        <is>
          <t>Sumatera Selatan</t>
        </is>
      </c>
      <c r="Q17" t="inlineStr"/>
    </row>
    <row r="18">
      <c r="A18" t="inlineStr">
        <is>
          <t>ARDA LAND PROPERTI</t>
        </is>
      </c>
      <c r="B18" t="inlineStr">
        <is>
          <t>Kota Pontianak</t>
        </is>
      </c>
      <c r="C18" t="inlineStr">
        <is>
          <t>085175268860</t>
        </is>
      </c>
      <c r="D18" t="inlineStr">
        <is>
          <t>ardalandproperti@gmail.com</t>
        </is>
      </c>
      <c r="E18" t="inlineStr">
        <is>
          <t>https://lpjk.pu.go.id/search-badan-usaha-detail/bnVxQVYyR3JPRnMwOW83WjFIRjBYQT09</t>
        </is>
      </c>
      <c r="F18" t="n">
        <v>1</v>
      </c>
      <c r="G18" t="inlineStr">
        <is>
          <t>BG001</t>
        </is>
      </c>
      <c r="H18" t="inlineStr">
        <is>
          <t>28 Agustus 2023</t>
        </is>
      </c>
      <c r="I18" s="2" t="n">
        <v>46290</v>
      </c>
      <c r="J18" t="inlineStr">
        <is>
          <t>Pencabutan</t>
        </is>
      </c>
      <c r="K18" t="n">
        <v>30</v>
      </c>
      <c r="L18" t="inlineStr">
        <is>
          <t>25 September 2026</t>
        </is>
      </c>
      <c r="M18" t="inlineStr">
        <is>
          <t>Konstruksi Gedung Hunian</t>
        </is>
      </c>
      <c r="N18" t="inlineStr">
        <is>
          <t>K</t>
        </is>
      </c>
      <c r="O18" t="inlineStr">
        <is>
          <t>20230926</t>
        </is>
      </c>
      <c r="P18" t="inlineStr">
        <is>
          <t>Kalimantan Barat</t>
        </is>
      </c>
      <c r="Q18" t="inlineStr"/>
    </row>
    <row r="19">
      <c r="A19" t="inlineStr">
        <is>
          <t>ARDIS</t>
        </is>
      </c>
      <c r="B19" t="inlineStr">
        <is>
          <t>Kota Bandung</t>
        </is>
      </c>
      <c r="C19" t="inlineStr">
        <is>
          <t>081320454578</t>
        </is>
      </c>
      <c r="D19" t="inlineStr">
        <is>
          <t>ardis.cv@yahoo.com</t>
        </is>
      </c>
      <c r="E19" t="inlineStr">
        <is>
          <t>https://lpjk.pu.go.id/search-badan-usaha-detail/MjhpRG5LVldJWWtzZjl4TnhnNHRudz09</t>
        </is>
      </c>
      <c r="F19" t="n">
        <v>2</v>
      </c>
      <c r="G19" t="inlineStr">
        <is>
          <t>BG005, BG009</t>
        </is>
      </c>
      <c r="H19" t="inlineStr">
        <is>
          <t>6 Desember 2006</t>
        </is>
      </c>
      <c r="I19" s="2" t="n">
        <v>46290</v>
      </c>
      <c r="J19" t="inlineStr">
        <is>
          <t>Disetujui</t>
        </is>
      </c>
      <c r="K19" t="n">
        <v>30</v>
      </c>
      <c r="L19" t="inlineStr">
        <is>
          <t>25 September 2026</t>
        </is>
      </c>
      <c r="M19" t="inlineStr">
        <is>
          <t>Konstruksi Gedung Kesehatan, Konstruksi Gedung Lainnya</t>
        </is>
      </c>
      <c r="N19" t="inlineStr">
        <is>
          <t>K</t>
        </is>
      </c>
      <c r="O19" t="inlineStr">
        <is>
          <t>20230920</t>
        </is>
      </c>
      <c r="P19" t="inlineStr">
        <is>
          <t>Jawa Barat</t>
        </is>
      </c>
      <c r="Q19" t="inlineStr"/>
    </row>
    <row r="20">
      <c r="A20" t="inlineStr">
        <is>
          <t>ARJUNA TRI SAKTI</t>
        </is>
      </c>
      <c r="B20" t="inlineStr">
        <is>
          <t>Kab. Indramayu</t>
        </is>
      </c>
      <c r="C20" t="inlineStr">
        <is>
          <t>081286252796</t>
        </is>
      </c>
      <c r="D20" t="inlineStr">
        <is>
          <t>jayalsbuid@gmail.com</t>
        </is>
      </c>
      <c r="E20" t="inlineStr">
        <is>
          <t>https://lpjk.pu.go.id/search-badan-usaha-detail/S2FVVzhQN3RsMU8zUlNyQ3RLMTBzdz09</t>
        </is>
      </c>
      <c r="F20" t="n">
        <v>2</v>
      </c>
      <c r="G20" t="inlineStr">
        <is>
          <t>BG006, BS001</t>
        </is>
      </c>
      <c r="H20" t="inlineStr">
        <is>
          <t>15 September 2021</t>
        </is>
      </c>
      <c r="I20" s="2" t="n">
        <v>46290</v>
      </c>
      <c r="J20" t="inlineStr">
        <is>
          <t>Disetujui</t>
        </is>
      </c>
      <c r="K20" t="n">
        <v>30</v>
      </c>
      <c r="L20" t="inlineStr">
        <is>
          <t>25 September 2026</t>
        </is>
      </c>
      <c r="M20" t="inlineStr">
        <is>
          <t>Konstruksi Bangunan Sipil Jalan, Konstruksi Gedung Pendidikan</t>
        </is>
      </c>
      <c r="N20" t="inlineStr">
        <is>
          <t>K</t>
        </is>
      </c>
      <c r="O20" t="inlineStr">
        <is>
          <t>20230920</t>
        </is>
      </c>
      <c r="P20" t="inlineStr">
        <is>
          <t>Jawa Barat</t>
        </is>
      </c>
      <c r="Q20" t="inlineStr"/>
    </row>
    <row r="21">
      <c r="A21" t="inlineStr">
        <is>
          <t>ARNOLD</t>
        </is>
      </c>
      <c r="B21" t="inlineStr">
        <is>
          <t>Kab. Dairi</t>
        </is>
      </c>
      <c r="C21" t="inlineStr">
        <is>
          <t>082161156312</t>
        </is>
      </c>
      <c r="D21" t="inlineStr">
        <is>
          <t>arnolcv217@gmail.com</t>
        </is>
      </c>
      <c r="E21" t="inlineStr">
        <is>
          <t>https://lpjk.pu.go.id/search-badan-usaha-detail/eUtxbmNYSnRpQUsvTnNOTVp6MUF1UT09</t>
        </is>
      </c>
      <c r="F21" t="n">
        <v>1</v>
      </c>
      <c r="G21" t="inlineStr">
        <is>
          <t>BS001</t>
        </is>
      </c>
      <c r="H21" t="inlineStr">
        <is>
          <t>9 Mei 2014</t>
        </is>
      </c>
      <c r="I21" s="2" t="n">
        <v>46290</v>
      </c>
      <c r="J21" t="inlineStr">
        <is>
          <t>Disetujui</t>
        </is>
      </c>
      <c r="K21" t="n">
        <v>30</v>
      </c>
      <c r="L21" t="inlineStr">
        <is>
          <t>25 September 2026</t>
        </is>
      </c>
      <c r="M21" t="inlineStr">
        <is>
          <t>Konstruksi Bangunan Sipil Jalan</t>
        </is>
      </c>
      <c r="N21" t="inlineStr">
        <is>
          <t>K</t>
        </is>
      </c>
      <c r="O21" t="inlineStr">
        <is>
          <t>20230916</t>
        </is>
      </c>
      <c r="P21" t="inlineStr">
        <is>
          <t>Sumatera Utara</t>
        </is>
      </c>
      <c r="Q21" t="inlineStr"/>
    </row>
    <row r="22">
      <c r="A22" t="inlineStr">
        <is>
          <t>AZKAJAYA MUDA PERKASA</t>
        </is>
      </c>
      <c r="B22" t="inlineStr">
        <is>
          <t>Kab. Kampar</t>
        </is>
      </c>
      <c r="C22" t="inlineStr">
        <is>
          <t>089654778788</t>
        </is>
      </c>
      <c r="D22" t="inlineStr">
        <is>
          <t>azkajaya5@gmail.com</t>
        </is>
      </c>
      <c r="E22" t="inlineStr">
        <is>
          <t>https://lpjk.pu.go.id/search-badan-usaha-detail/b1VYalZmVGpkbjFFMCtBcVJQelNJdz09</t>
        </is>
      </c>
      <c r="F22" t="n">
        <v>2</v>
      </c>
      <c r="G22" t="inlineStr">
        <is>
          <t>BG006, BG009</t>
        </is>
      </c>
      <c r="H22" t="inlineStr">
        <is>
          <t>22 Juni 2012</t>
        </is>
      </c>
      <c r="I22" s="2" t="n">
        <v>46290</v>
      </c>
      <c r="J22" t="inlineStr">
        <is>
          <t>Disetujui</t>
        </is>
      </c>
      <c r="K22" t="n">
        <v>30</v>
      </c>
      <c r="L22" t="inlineStr">
        <is>
          <t>25 September 2026</t>
        </is>
      </c>
      <c r="M22" t="inlineStr">
        <is>
          <t>Konstruksi Gedung Lainnya, Konstruksi Gedung Pendidikan</t>
        </is>
      </c>
      <c r="N22" t="inlineStr">
        <is>
          <t>K</t>
        </is>
      </c>
      <c r="O22" t="inlineStr">
        <is>
          <t>20230921</t>
        </is>
      </c>
      <c r="P22" t="inlineStr">
        <is>
          <t>Riau</t>
        </is>
      </c>
      <c r="Q22" t="inlineStr"/>
    </row>
    <row r="23">
      <c r="A23" t="inlineStr">
        <is>
          <t>BALONG AGUNG</t>
        </is>
      </c>
      <c r="B23" t="inlineStr">
        <is>
          <t>Kab. Nganjuk</t>
        </is>
      </c>
      <c r="C23" t="inlineStr">
        <is>
          <t>081336016667</t>
        </is>
      </c>
      <c r="D23" t="inlineStr">
        <is>
          <t>cvbalongagung@gmail.com</t>
        </is>
      </c>
      <c r="E23" t="inlineStr">
        <is>
          <t>https://lpjk.pu.go.id/search-badan-usaha-detail/RkNiYUhWTm94M3BvL1BJc0d2Znpkdz09</t>
        </is>
      </c>
      <c r="F23" t="n">
        <v>2</v>
      </c>
      <c r="G23" t="inlineStr">
        <is>
          <t>BS001, BS004</t>
        </is>
      </c>
      <c r="H23" t="inlineStr">
        <is>
          <t>11 Maret 1981</t>
        </is>
      </c>
      <c r="I23" s="2" t="n">
        <v>46290</v>
      </c>
      <c r="J23" t="inlineStr">
        <is>
          <t>Disetujui</t>
        </is>
      </c>
      <c r="K23" t="n">
        <v>30</v>
      </c>
      <c r="L23" t="inlineStr">
        <is>
          <t>25 September 2026</t>
        </is>
      </c>
      <c r="M23" t="inlineStr">
        <is>
          <t>Konstruksi Bangunan Sipil Jalan, Konstruksi Jaringan Irigasi dan Drainase</t>
        </is>
      </c>
      <c r="N23" t="inlineStr">
        <is>
          <t>K</t>
        </is>
      </c>
      <c r="O23" t="inlineStr">
        <is>
          <t>20230919</t>
        </is>
      </c>
      <c r="P23" t="inlineStr">
        <is>
          <t>Jawa Timur</t>
        </is>
      </c>
      <c r="Q23" t="inlineStr"/>
    </row>
    <row r="24">
      <c r="A24" t="inlineStr">
        <is>
          <t>BALQIS</t>
        </is>
      </c>
      <c r="B24" t="inlineStr">
        <is>
          <t>Kab. Jepara</t>
        </is>
      </c>
      <c r="C24" t="inlineStr">
        <is>
          <t>089698995090</t>
        </is>
      </c>
      <c r="D24" t="inlineStr">
        <is>
          <t>cvbalqisjepara@gmail.com</t>
        </is>
      </c>
      <c r="E24" t="inlineStr">
        <is>
          <t>https://lpjk.pu.go.id/search-badan-usaha-detail/NUVyazdGdHN1RXVCRXVmYThQQTA2Zz09</t>
        </is>
      </c>
      <c r="F24" t="n">
        <v>1</v>
      </c>
      <c r="G24" t="inlineStr">
        <is>
          <t>BS005</t>
        </is>
      </c>
      <c r="H24" t="inlineStr">
        <is>
          <t>26 Desember 2015</t>
        </is>
      </c>
      <c r="I24" s="2" t="n">
        <v>46290</v>
      </c>
      <c r="J24" t="inlineStr">
        <is>
          <t>Disetujui</t>
        </is>
      </c>
      <c r="K24" t="n">
        <v>30</v>
      </c>
      <c r="L24" t="inlineStr">
        <is>
          <t>25 September 2026</t>
        </is>
      </c>
      <c r="M24" t="inlineStr">
        <is>
          <t>Konstruksi Bangunan Sipil Pengolahan Air Bersih</t>
        </is>
      </c>
      <c r="N24" t="inlineStr">
        <is>
          <t>K</t>
        </is>
      </c>
      <c r="O24" t="inlineStr">
        <is>
          <t>20230926</t>
        </is>
      </c>
      <c r="P24" t="inlineStr">
        <is>
          <t>Jawa Tengah</t>
        </is>
      </c>
      <c r="Q24" t="inlineStr"/>
    </row>
    <row r="25">
      <c r="A25" t="inlineStr">
        <is>
          <t>BANGUN MANDIRI PERKASA</t>
        </is>
      </c>
      <c r="B25" t="inlineStr">
        <is>
          <t>Kab. Jember</t>
        </is>
      </c>
      <c r="C25" t="inlineStr">
        <is>
          <t>085233241913</t>
        </is>
      </c>
      <c r="D25" t="inlineStr">
        <is>
          <t>bmpgrup2019@gmail.com</t>
        </is>
      </c>
      <c r="E25" t="inlineStr">
        <is>
          <t>https://lpjk.pu.go.id/search-badan-usaha-detail/NDVreDJ2aUw5UERFL05TU1J3b3hiUT09</t>
        </is>
      </c>
      <c r="F25" t="n">
        <v>2</v>
      </c>
      <c r="G25" t="inlineStr">
        <is>
          <t>BS001, BS004</t>
        </is>
      </c>
      <c r="H25" t="inlineStr">
        <is>
          <t>25 Juni 2025</t>
        </is>
      </c>
      <c r="I25" s="2" t="n">
        <v>46290</v>
      </c>
      <c r="J25" t="inlineStr">
        <is>
          <t>Disetujui</t>
        </is>
      </c>
      <c r="K25" t="n">
        <v>30</v>
      </c>
      <c r="L25" t="inlineStr">
        <is>
          <t>25 September 2026</t>
        </is>
      </c>
      <c r="M25" t="inlineStr">
        <is>
          <t>Konstruksi Bangunan Sipil Jalan, Konstruksi Jaringan Irigasi dan Drainase</t>
        </is>
      </c>
      <c r="N25" t="inlineStr">
        <is>
          <t>K</t>
        </is>
      </c>
      <c r="O25" t="inlineStr">
        <is>
          <t>20230922</t>
        </is>
      </c>
      <c r="P25" t="inlineStr">
        <is>
          <t>Jawa Timur</t>
        </is>
      </c>
      <c r="Q25" t="inlineStr"/>
    </row>
    <row r="26">
      <c r="A26" t="inlineStr">
        <is>
          <t>BAROKAH BUMI KARYA</t>
        </is>
      </c>
      <c r="B26" t="inlineStr">
        <is>
          <t>Kab. Tuban</t>
        </is>
      </c>
      <c r="C26" t="inlineStr">
        <is>
          <t>081230596188</t>
        </is>
      </c>
      <c r="D26" t="inlineStr">
        <is>
          <t>pt.barokahbumikarya27@yahoo.com</t>
        </is>
      </c>
      <c r="E26" t="inlineStr">
        <is>
          <t>https://lpjk.pu.go.id/search-badan-usaha-detail/Y2dLU2VWeTd2Zkk1ZHlwYUFOejljQT09</t>
        </is>
      </c>
      <c r="F26" t="n">
        <v>2</v>
      </c>
      <c r="G26" t="inlineStr">
        <is>
          <t>BS001</t>
        </is>
      </c>
      <c r="H26" t="inlineStr">
        <is>
          <t>6 Juni 2014</t>
        </is>
      </c>
      <c r="I26" s="2" t="n">
        <v>46290</v>
      </c>
      <c r="J26" t="inlineStr">
        <is>
          <t>Disetujui</t>
        </is>
      </c>
      <c r="K26" t="n">
        <v>30</v>
      </c>
      <c r="L26" t="inlineStr">
        <is>
          <t>25 September 2026</t>
        </is>
      </c>
      <c r="M26" t="inlineStr">
        <is>
          <t>Konstruksi Bangunan Sipil Jalan</t>
        </is>
      </c>
      <c r="N26" t="inlineStr">
        <is>
          <t>K</t>
        </is>
      </c>
      <c r="O26" t="inlineStr">
        <is>
          <t>20230925</t>
        </is>
      </c>
      <c r="P26" t="inlineStr">
        <is>
          <t>Jawa Timur</t>
        </is>
      </c>
      <c r="Q26" t="inlineStr"/>
    </row>
    <row r="27">
      <c r="A27" t="inlineStr">
        <is>
          <t>BASKARA MULTI KONSTRUKSI</t>
        </is>
      </c>
      <c r="B27" t="inlineStr">
        <is>
          <t>Kota Tarakan</t>
        </is>
      </c>
      <c r="C27" t="inlineStr">
        <is>
          <t>08115910508</t>
        </is>
      </c>
      <c r="D27" t="inlineStr">
        <is>
          <t>bmk.konstruksi@gmail.com</t>
        </is>
      </c>
      <c r="E27" t="inlineStr">
        <is>
          <t>https://lpjk.pu.go.id/search-badan-usaha-detail/VGZ1bWVsUTBjbGYrYVVmTklFV0phZz09</t>
        </is>
      </c>
      <c r="F27" t="n">
        <v>3</v>
      </c>
      <c r="G27" t="inlineStr">
        <is>
          <t>BG001, BG006, BG009</t>
        </is>
      </c>
      <c r="H27" t="inlineStr">
        <is>
          <t>13 Januari 2023</t>
        </is>
      </c>
      <c r="I27" s="2" t="n">
        <v>46290</v>
      </c>
      <c r="J27" t="inlineStr">
        <is>
          <t>Disetujui</t>
        </is>
      </c>
      <c r="K27" t="n">
        <v>30</v>
      </c>
      <c r="L27" t="inlineStr">
        <is>
          <t>25 September 2026</t>
        </is>
      </c>
      <c r="M27" t="inlineStr">
        <is>
          <t>Konstruksi Gedung Hunian, Konstruksi Gedung Lainnya, Konstruksi Gedung Pendidikan</t>
        </is>
      </c>
      <c r="N27" t="inlineStr">
        <is>
          <t>K</t>
        </is>
      </c>
      <c r="O27" t="inlineStr">
        <is>
          <t>20230921</t>
        </is>
      </c>
      <c r="P27" t="inlineStr">
        <is>
          <t>Kalimantan Utara</t>
        </is>
      </c>
      <c r="Q27" t="inlineStr"/>
    </row>
    <row r="28">
      <c r="A28" t="inlineStr">
        <is>
          <t>BATRA JAYA</t>
        </is>
      </c>
      <c r="B28" t="inlineStr">
        <is>
          <t>Kab. Jember</t>
        </is>
      </c>
      <c r="C28" t="inlineStr">
        <is>
          <t>085313943617</t>
        </is>
      </c>
      <c r="D28" t="inlineStr">
        <is>
          <t>cvbatrajayajember@yahoo.com</t>
        </is>
      </c>
      <c r="E28" t="inlineStr">
        <is>
          <t>https://lpjk.pu.go.id/search-badan-usaha-detail/M2JnYjlCTEZaUnRoWkpPYVJJY2xFQT09</t>
        </is>
      </c>
      <c r="F28" t="n">
        <v>3</v>
      </c>
      <c r="G28" t="inlineStr">
        <is>
          <t>BG006, BG009, BS001</t>
        </is>
      </c>
      <c r="H28" t="inlineStr">
        <is>
          <t>17 Januari 2022</t>
        </is>
      </c>
      <c r="I28" s="2" t="n">
        <v>46290</v>
      </c>
      <c r="J28" t="inlineStr">
        <is>
          <t>Pencabutan</t>
        </is>
      </c>
      <c r="K28" t="n">
        <v>30</v>
      </c>
      <c r="L28" t="inlineStr">
        <is>
          <t>25 September 2026</t>
        </is>
      </c>
      <c r="M28" t="inlineStr">
        <is>
          <t>Konstruksi Bangunan Sipil Jalan, Konstruksi Gedung Lainnya, Konstruksi Gedung Pendidikan</t>
        </is>
      </c>
      <c r="N28" t="inlineStr">
        <is>
          <t>K</t>
        </is>
      </c>
      <c r="O28" t="inlineStr">
        <is>
          <t>20230919, 20230920</t>
        </is>
      </c>
      <c r="P28" t="inlineStr">
        <is>
          <t>Jawa Timur</t>
        </is>
      </c>
      <c r="Q28" t="inlineStr"/>
    </row>
    <row r="29">
      <c r="A29" t="inlineStr">
        <is>
          <t>BERKATINDO NUSANTARA BERSINAR</t>
        </is>
      </c>
      <c r="B29" t="inlineStr">
        <is>
          <t>Kota Medan</t>
        </is>
      </c>
      <c r="C29" t="inlineStr">
        <is>
          <t>082163833601</t>
        </is>
      </c>
      <c r="D29" t="inlineStr">
        <is>
          <t>berkatindonusantarabersinar@gmail.com</t>
        </is>
      </c>
      <c r="E29" t="inlineStr">
        <is>
          <t>https://lpjk.pu.go.id/search-badan-usaha-detail/T1MwUkR0VVRKVHh0WHZEQkdWUnhOQT09</t>
        </is>
      </c>
      <c r="F29" t="n">
        <v>10</v>
      </c>
      <c r="G29" t="inlineStr">
        <is>
          <t>BS005, BS006</t>
        </is>
      </c>
      <c r="H29" t="inlineStr">
        <is>
          <t>22 Maret 2019</t>
        </is>
      </c>
      <c r="I29" s="2" t="n">
        <v>46290</v>
      </c>
      <c r="J29" t="inlineStr">
        <is>
          <t>Disetujui</t>
        </is>
      </c>
      <c r="K29" t="n">
        <v>30</v>
      </c>
      <c r="L29" t="inlineStr">
        <is>
          <t>25 September 2026</t>
        </is>
      </c>
      <c r="M29" t="inlineStr">
        <is>
          <t>Konstruksi Bangunan Sipil Pengolahan Air Bersih, Konstruksi Bangunan Sipil Prasarana dan Sarana Sistem Pengolahan Limbah Padat, Cair, dan Gas</t>
        </is>
      </c>
      <c r="N29" t="inlineStr">
        <is>
          <t>K</t>
        </is>
      </c>
      <c r="O29" t="inlineStr">
        <is>
          <t>20230921</t>
        </is>
      </c>
      <c r="P29" t="inlineStr">
        <is>
          <t>Sumatera Utara</t>
        </is>
      </c>
      <c r="Q29" t="inlineStr"/>
    </row>
    <row r="30">
      <c r="A30" t="inlineStr">
        <is>
          <t>BERSAMA ANEKA PROAKTIF</t>
        </is>
      </c>
      <c r="B30" t="inlineStr">
        <is>
          <t>Kab. Indramayu</t>
        </is>
      </c>
      <c r="C30" t="inlineStr">
        <is>
          <t>081802372357</t>
        </is>
      </c>
      <c r="D30" t="inlineStr">
        <is>
          <t>Bersamaanekaproaktif@gmail.com</t>
        </is>
      </c>
      <c r="E30" t="inlineStr">
        <is>
          <t>https://lpjk.pu.go.id/search-badan-usaha-detail/M1BqaFBYS2xxT3VzRUpwQ0t5VENSZz09</t>
        </is>
      </c>
      <c r="F30" t="n">
        <v>8</v>
      </c>
      <c r="G30" t="inlineStr">
        <is>
          <t>BG001, BG005, BG006, BG009, BS001, BS002, BS004, BS008</t>
        </is>
      </c>
      <c r="H30" t="inlineStr">
        <is>
          <t>14 Agustus 2023</t>
        </is>
      </c>
      <c r="I30" s="2" t="n">
        <v>46290</v>
      </c>
      <c r="J30" t="inlineStr">
        <is>
          <t>Disetujui</t>
        </is>
      </c>
      <c r="K30" t="n">
        <v>30</v>
      </c>
      <c r="L30" t="inlineStr">
        <is>
          <t>25 September 2026</t>
        </is>
      </c>
      <c r="M30" t="inlineStr">
        <is>
          <t>Bangunan Sipil Jembatan, Jalan Layang, Fly Over, dan Underpass, Konstruksi Bangunan Sipil Jalan, Konstruksi Bangunan Sipil Telekomunikasi untuk Prasarana Transportasi, Konstruksi Gedung Hunian, Konstruksi Gedung Kesehatan, Konstruksi Gedung Lainnya, Konstruksi Gedung Pendidikan, Konstruksi Jaringan Irigasi dan Drainase</t>
        </is>
      </c>
      <c r="N30" t="inlineStr">
        <is>
          <t>K</t>
        </is>
      </c>
      <c r="O30" t="inlineStr">
        <is>
          <t>20230921</t>
        </is>
      </c>
      <c r="P30" t="inlineStr">
        <is>
          <t>Jawa Barat</t>
        </is>
      </c>
      <c r="Q30" t="inlineStr"/>
    </row>
    <row r="31">
      <c r="A31" t="inlineStr">
        <is>
          <t>BERSATU BANGUN PERTIWI</t>
        </is>
      </c>
      <c r="B31" t="inlineStr">
        <is>
          <t>Kab. Belitung</t>
        </is>
      </c>
      <c r="C31" t="inlineStr">
        <is>
          <t>0811799260</t>
        </is>
      </c>
      <c r="D31" t="inlineStr">
        <is>
          <t>bbppertiwi2012@gmail.com</t>
        </is>
      </c>
      <c r="E31" t="inlineStr">
        <is>
          <t>https://lpjk.pu.go.id/search-badan-usaha-detail/WGd2TXd2V3B3d0FrL0ZPYUdVOUdqdz09</t>
        </is>
      </c>
      <c r="F31" t="n">
        <v>1</v>
      </c>
      <c r="G31" t="inlineStr">
        <is>
          <t>BS011</t>
        </is>
      </c>
      <c r="H31" t="inlineStr">
        <is>
          <t>6 November 2012</t>
        </is>
      </c>
      <c r="I31" s="2" t="n">
        <v>46290</v>
      </c>
      <c r="J31" t="inlineStr">
        <is>
          <t>Pencabutan</t>
        </is>
      </c>
      <c r="K31" t="n">
        <v>30</v>
      </c>
      <c r="L31" t="inlineStr">
        <is>
          <t>25 September 2026</t>
        </is>
      </c>
      <c r="M31" t="inlineStr">
        <is>
          <t>Konstruksi Bangunan Pelabuhan Bukan Perikanan</t>
        </is>
      </c>
      <c r="N31" t="inlineStr">
        <is>
          <t>K</t>
        </is>
      </c>
      <c r="O31" t="inlineStr">
        <is>
          <t>20230925</t>
        </is>
      </c>
      <c r="P31" t="inlineStr">
        <is>
          <t>Kepulauan Bangka Belitung</t>
        </is>
      </c>
      <c r="Q31" t="inlineStr"/>
    </row>
    <row r="32">
      <c r="A32" t="inlineStr">
        <is>
          <t>BHAKTI MULIA MANDIRI</t>
        </is>
      </c>
      <c r="B32" t="inlineStr">
        <is>
          <t>Kota Banjarbaru</t>
        </is>
      </c>
      <c r="C32" t="inlineStr">
        <is>
          <t>085393111777</t>
        </is>
      </c>
      <c r="D32" t="inlineStr">
        <is>
          <t>ptbhaktimuliamandiri@gmail.com</t>
        </is>
      </c>
      <c r="E32" t="inlineStr">
        <is>
          <t>https://lpjk.pu.go.id/search-badan-usaha-detail/MEFEa0VLaVdac1NvbitUcC9hS1hvZz09</t>
        </is>
      </c>
      <c r="F32" t="n">
        <v>1</v>
      </c>
      <c r="G32" t="inlineStr">
        <is>
          <t>BG001</t>
        </is>
      </c>
      <c r="H32" t="inlineStr">
        <is>
          <t>28 April 2021</t>
        </is>
      </c>
      <c r="I32" s="2" t="n">
        <v>46290</v>
      </c>
      <c r="J32" t="inlineStr">
        <is>
          <t>Disetujui</t>
        </is>
      </c>
      <c r="K32" t="n">
        <v>30</v>
      </c>
      <c r="L32" t="inlineStr">
        <is>
          <t>25 September 2026</t>
        </is>
      </c>
      <c r="M32" t="inlineStr">
        <is>
          <t>Konstruksi Gedung Hunian</t>
        </is>
      </c>
      <c r="N32" t="inlineStr">
        <is>
          <t>K</t>
        </is>
      </c>
      <c r="O32" t="inlineStr">
        <is>
          <t>20230925</t>
        </is>
      </c>
      <c r="P32" t="inlineStr">
        <is>
          <t>Kalimantan Selatan</t>
        </is>
      </c>
      <c r="Q32" t="inlineStr"/>
    </row>
    <row r="33">
      <c r="A33" t="inlineStr">
        <is>
          <t>BHINNEKA CITRA PRIMA</t>
        </is>
      </c>
      <c r="B33" t="inlineStr">
        <is>
          <t>Kota Yogyakarta</t>
        </is>
      </c>
      <c r="C33" t="inlineStr">
        <is>
          <t>0274513977</t>
        </is>
      </c>
      <c r="D33" t="inlineStr">
        <is>
          <t>bcp_jogja@yahoo.com</t>
        </is>
      </c>
      <c r="E33" t="inlineStr">
        <is>
          <t>https://lpjk.pu.go.id/search-badan-usaha-detail/cEVFUkVUbGoyeXk4NlcvcHFwalcrZz09</t>
        </is>
      </c>
      <c r="F33" t="n">
        <v>1</v>
      </c>
      <c r="G33" t="inlineStr">
        <is>
          <t>BG009</t>
        </is>
      </c>
      <c r="H33" t="inlineStr">
        <is>
          <t>11 September 1990</t>
        </is>
      </c>
      <c r="I33" s="2" t="n">
        <v>46290</v>
      </c>
      <c r="J33" t="inlineStr">
        <is>
          <t>Disetujui</t>
        </is>
      </c>
      <c r="K33" t="n">
        <v>30</v>
      </c>
      <c r="L33" t="inlineStr">
        <is>
          <t>25 September 2026</t>
        </is>
      </c>
      <c r="M33" t="inlineStr">
        <is>
          <t>Konstruksi Gedung Lainnya</t>
        </is>
      </c>
      <c r="N33" t="inlineStr">
        <is>
          <t>M</t>
        </is>
      </c>
      <c r="O33" t="inlineStr">
        <is>
          <t>20230916</t>
        </is>
      </c>
      <c r="P33" t="inlineStr">
        <is>
          <t>DI Yogyakarta</t>
        </is>
      </c>
      <c r="Q33" t="inlineStr"/>
    </row>
    <row r="34">
      <c r="A34" t="inlineStr">
        <is>
          <t>BIMA MADIUN</t>
        </is>
      </c>
      <c r="B34" t="inlineStr">
        <is>
          <t>Kab. Madiun</t>
        </is>
      </c>
      <c r="C34" t="inlineStr">
        <is>
          <t>-</t>
        </is>
      </c>
      <c r="D34" t="inlineStr">
        <is>
          <t>cv.bimamadiun@yahoo.co.id</t>
        </is>
      </c>
      <c r="E34" t="inlineStr">
        <is>
          <t>https://lpjk.pu.go.id/search-badan-usaha-detail/a3BYTTFscGZjT1pLUkk4ZVNUdnI1UT09</t>
        </is>
      </c>
      <c r="F34" t="n">
        <v>4</v>
      </c>
      <c r="G34" t="inlineStr">
        <is>
          <t>BG002, BG006, BS001, BS002</t>
        </is>
      </c>
      <c r="H34" t="inlineStr">
        <is>
          <t>19 April 2000</t>
        </is>
      </c>
      <c r="I34" s="2" t="n">
        <v>46290</v>
      </c>
      <c r="J34" t="inlineStr">
        <is>
          <t>Disetujui</t>
        </is>
      </c>
      <c r="K34" t="n">
        <v>30</v>
      </c>
      <c r="L34" t="inlineStr">
        <is>
          <t>25 September 2026</t>
        </is>
      </c>
      <c r="M34" t="inlineStr">
        <is>
          <t>Bangunan Sipil Jembatan, Jalan Layang, Fly Over, dan Underpass, Konstruksi Bangunan Sipil Jalan, Konstruksi Gedung Pendidikan, Konstruksi Gedung Perkantoran</t>
        </is>
      </c>
      <c r="N34" t="inlineStr">
        <is>
          <t>K</t>
        </is>
      </c>
      <c r="O34" t="inlineStr">
        <is>
          <t>20230921, 20230922</t>
        </is>
      </c>
      <c r="P34" t="inlineStr">
        <is>
          <t>Jawa Timur</t>
        </is>
      </c>
      <c r="Q34" t="inlineStr"/>
    </row>
    <row r="35">
      <c r="A35" t="inlineStr">
        <is>
          <t>BINA CIPTA SARANA</t>
        </is>
      </c>
      <c r="B35" t="inlineStr">
        <is>
          <t>Kota Tarakan</t>
        </is>
      </c>
      <c r="C35" t="inlineStr">
        <is>
          <t>05513809931</t>
        </is>
      </c>
      <c r="D35" t="inlineStr">
        <is>
          <t>cv_bcs@yahoo.co.uk</t>
        </is>
      </c>
      <c r="E35" t="inlineStr">
        <is>
          <t>https://lpjk.pu.go.id/search-badan-usaha-detail/SmZlbGRSYnNzdEhZQVNNWEVBL2IxZz09</t>
        </is>
      </c>
      <c r="F35" t="n">
        <v>1</v>
      </c>
      <c r="G35" t="inlineStr">
        <is>
          <t>BS001</t>
        </is>
      </c>
      <c r="H35" t="inlineStr">
        <is>
          <t>27 Februari 1978</t>
        </is>
      </c>
      <c r="I35" s="2" t="n">
        <v>46290</v>
      </c>
      <c r="J35" t="inlineStr">
        <is>
          <t>Disetujui</t>
        </is>
      </c>
      <c r="K35" t="n">
        <v>30</v>
      </c>
      <c r="L35" t="inlineStr">
        <is>
          <t>25 September 2026</t>
        </is>
      </c>
      <c r="M35" t="inlineStr">
        <is>
          <t>Konstruksi Bangunan Sipil Jalan</t>
        </is>
      </c>
      <c r="N35" t="inlineStr">
        <is>
          <t>K</t>
        </is>
      </c>
      <c r="O35" t="inlineStr">
        <is>
          <t>20230919</t>
        </is>
      </c>
      <c r="P35" t="inlineStr">
        <is>
          <t>Kalimantan Utara</t>
        </is>
      </c>
      <c r="Q35" t="inlineStr"/>
    </row>
    <row r="36">
      <c r="A36" t="inlineStr">
        <is>
          <t>BINA KARYA</t>
        </is>
      </c>
      <c r="B36" t="inlineStr">
        <is>
          <t>Kab. Jember</t>
        </is>
      </c>
      <c r="C36" t="inlineStr">
        <is>
          <t>03314350125</t>
        </is>
      </c>
      <c r="D36" t="inlineStr">
        <is>
          <t>kbina20.cv@gmail.com</t>
        </is>
      </c>
      <c r="E36" t="inlineStr">
        <is>
          <t>https://lpjk.pu.go.id/search-badan-usaha-detail/WWdWclhkdFBTcTR3dGpPZ0VlTDFqZz09</t>
        </is>
      </c>
      <c r="F36" t="n">
        <v>2</v>
      </c>
      <c r="G36" t="inlineStr">
        <is>
          <t>BG004, BS001</t>
        </is>
      </c>
      <c r="H36" t="inlineStr">
        <is>
          <t>19 Oktober 1971</t>
        </is>
      </c>
      <c r="I36" s="2" t="n">
        <v>46290</v>
      </c>
      <c r="J36" t="inlineStr">
        <is>
          <t>Disetujui</t>
        </is>
      </c>
      <c r="K36" t="n">
        <v>30</v>
      </c>
      <c r="L36" t="inlineStr">
        <is>
          <t>25 September 2026</t>
        </is>
      </c>
      <c r="M36" t="inlineStr">
        <is>
          <t>Konstruksi Bangunan Sipil Jalan, Konstruksi Gedung Perbelanjaan</t>
        </is>
      </c>
      <c r="N36" t="inlineStr">
        <is>
          <t>K</t>
        </is>
      </c>
      <c r="O36" t="inlineStr">
        <is>
          <t>20230921, 20230926</t>
        </is>
      </c>
      <c r="P36" t="inlineStr">
        <is>
          <t>Jawa Timur</t>
        </is>
      </c>
      <c r="Q36" t="inlineStr"/>
    </row>
    <row r="37">
      <c r="A37" t="inlineStr">
        <is>
          <t>BINARA DUAJEE</t>
        </is>
      </c>
      <c r="B37" t="inlineStr">
        <is>
          <t>Kab. Semarang</t>
        </is>
      </c>
      <c r="C37" t="inlineStr">
        <is>
          <t>0811 2727 058_</t>
        </is>
      </c>
      <c r="D37" t="inlineStr">
        <is>
          <t>binaraduajee@gmail.com</t>
        </is>
      </c>
      <c r="E37" t="inlineStr">
        <is>
          <t>https://lpjk.pu.go.id/search-badan-usaha-detail/SXpDaWFQK3VTUUtMOEIxdWlNbjE3UT09</t>
        </is>
      </c>
      <c r="F37" t="n">
        <v>2</v>
      </c>
      <c r="G37" t="inlineStr">
        <is>
          <t>RK002</t>
        </is>
      </c>
      <c r="H37" t="inlineStr">
        <is>
          <t>15 Juli 2017</t>
        </is>
      </c>
      <c r="I37" s="2" t="n">
        <v>46290</v>
      </c>
      <c r="J37" t="inlineStr">
        <is>
          <t>Pencabutan</t>
        </is>
      </c>
      <c r="K37" t="n">
        <v>30</v>
      </c>
      <c r="L37" t="inlineStr">
        <is>
          <t>25 September 2026</t>
        </is>
      </c>
      <c r="M37" t="inlineStr">
        <is>
          <t>Jasa Rekayasa Pekerjaan Teknik Sipil Sumber Daya Air</t>
        </is>
      </c>
      <c r="N37" t="inlineStr">
        <is>
          <t>K</t>
        </is>
      </c>
      <c r="O37" t="inlineStr">
        <is>
          <t>20230825</t>
        </is>
      </c>
      <c r="P37" t="inlineStr">
        <is>
          <t>Jawa Tengah</t>
        </is>
      </c>
      <c r="Q37" t="inlineStr"/>
    </row>
    <row r="38">
      <c r="A38" t="inlineStr">
        <is>
          <t>BINTANG PERSADA</t>
        </is>
      </c>
      <c r="B38" t="inlineStr">
        <is>
          <t>Kota Payakumbuh</t>
        </is>
      </c>
      <c r="C38" t="inlineStr">
        <is>
          <t>085375757211</t>
        </is>
      </c>
      <c r="D38" t="inlineStr">
        <is>
          <t>bintang_persada17@yahoo.com</t>
        </is>
      </c>
      <c r="E38" t="inlineStr">
        <is>
          <t>https://lpjk.pu.go.id/search-badan-usaha-detail/bWRibXZTZ0ZVdnpadzkzc1ZvNGZFdz09</t>
        </is>
      </c>
      <c r="F38" t="n">
        <v>2</v>
      </c>
      <c r="G38" t="inlineStr">
        <is>
          <t>BS004</t>
        </is>
      </c>
      <c r="H38" t="inlineStr">
        <is>
          <t>14 Juli 2017</t>
        </is>
      </c>
      <c r="I38" s="2" t="n">
        <v>46290</v>
      </c>
      <c r="J38" t="inlineStr">
        <is>
          <t>Pencabutan</t>
        </is>
      </c>
      <c r="K38" t="n">
        <v>30</v>
      </c>
      <c r="L38" t="inlineStr">
        <is>
          <t>25 September 2026</t>
        </is>
      </c>
      <c r="M38" t="inlineStr">
        <is>
          <t>Konstruksi Jaringan Irigasi dan Drainase</t>
        </is>
      </c>
      <c r="N38" t="inlineStr">
        <is>
          <t>K</t>
        </is>
      </c>
      <c r="O38" t="inlineStr">
        <is>
          <t>20230227</t>
        </is>
      </c>
      <c r="P38" t="inlineStr">
        <is>
          <t>Sumatera Barat</t>
        </is>
      </c>
      <c r="Q38" t="inlineStr"/>
    </row>
    <row r="39">
      <c r="A39" t="inlineStr">
        <is>
          <t>BIRAMA BINAKOM</t>
        </is>
      </c>
      <c r="B39" t="inlineStr">
        <is>
          <t>Kota Adm. Jakarta Barat</t>
        </is>
      </c>
      <c r="C39" t="inlineStr">
        <is>
          <t>021530647</t>
        </is>
      </c>
      <c r="D39" t="inlineStr">
        <is>
          <t>binakom_adv@yahoo.com</t>
        </is>
      </c>
      <c r="E39" t="inlineStr">
        <is>
          <t>https://lpjk.pu.go.id/search-badan-usaha-detail/YkRKbitIY2I3UHdRMU9NM2RNcXVPQT09</t>
        </is>
      </c>
      <c r="F39" t="n">
        <v>1</v>
      </c>
      <c r="G39" t="inlineStr">
        <is>
          <t>BG002</t>
        </is>
      </c>
      <c r="H39" t="inlineStr">
        <is>
          <t>9 September 1998</t>
        </is>
      </c>
      <c r="I39" s="2" t="n">
        <v>46290</v>
      </c>
      <c r="J39" t="inlineStr">
        <is>
          <t>Disetujui</t>
        </is>
      </c>
      <c r="K39" t="n">
        <v>30</v>
      </c>
      <c r="L39" t="inlineStr">
        <is>
          <t>25 September 2026</t>
        </is>
      </c>
      <c r="M39" t="inlineStr">
        <is>
          <t>Konstruksi Gedung Perkantoran</t>
        </is>
      </c>
      <c r="N39" t="inlineStr">
        <is>
          <t>K</t>
        </is>
      </c>
      <c r="O39" t="inlineStr">
        <is>
          <t>20230921</t>
        </is>
      </c>
      <c r="P39" t="inlineStr">
        <is>
          <t>DKI Jakarta</t>
        </is>
      </c>
      <c r="Q39" t="inlineStr"/>
    </row>
    <row r="40">
      <c r="A40" t="inlineStr">
        <is>
          <t>BOMAKO STAR</t>
        </is>
      </c>
      <c r="B40" t="inlineStr">
        <is>
          <t>Kab. Supiori</t>
        </is>
      </c>
      <c r="C40" t="inlineStr">
        <is>
          <t>081251782254</t>
        </is>
      </c>
      <c r="D40" t="inlineStr">
        <is>
          <t>cv.bomako.star@gmail.com</t>
        </is>
      </c>
      <c r="E40" t="inlineStr">
        <is>
          <t>https://lpjk.pu.go.id/search-badan-usaha-detail/bXdkU2dCWnBlQlpoaDZUc0pUQTdDZz09</t>
        </is>
      </c>
      <c r="F40" t="n">
        <v>3</v>
      </c>
      <c r="G40" t="inlineStr">
        <is>
          <t>BG001, BG005, BG006</t>
        </is>
      </c>
      <c r="H40" t="inlineStr">
        <is>
          <t>14 Juli 2023</t>
        </is>
      </c>
      <c r="I40" s="2" t="n">
        <v>46290</v>
      </c>
      <c r="J40" t="inlineStr">
        <is>
          <t>Pencabutan</t>
        </is>
      </c>
      <c r="K40" t="n">
        <v>30</v>
      </c>
      <c r="L40" t="inlineStr">
        <is>
          <t>25 September 2026</t>
        </is>
      </c>
      <c r="M40" t="inlineStr">
        <is>
          <t>Konstruksi Gedung Hunian, Konstruksi Gedung Kesehatan, Konstruksi Gedung Pendidikan</t>
        </is>
      </c>
      <c r="N40" t="inlineStr">
        <is>
          <t>K</t>
        </is>
      </c>
      <c r="O40" t="inlineStr">
        <is>
          <t>20230922</t>
        </is>
      </c>
      <c r="P40" t="inlineStr">
        <is>
          <t>Papua</t>
        </is>
      </c>
      <c r="Q40" t="inlineStr"/>
    </row>
    <row r="41">
      <c r="A41" t="inlineStr">
        <is>
          <t>BORNEO BANGUN SEJAHTERA</t>
        </is>
      </c>
      <c r="B41" t="inlineStr">
        <is>
          <t>Kab. Kubu Raya</t>
        </is>
      </c>
      <c r="C41" t="inlineStr">
        <is>
          <t>082255902965</t>
        </is>
      </c>
      <c r="D41" t="inlineStr">
        <is>
          <t>cvborneobanguns@gmail.com</t>
        </is>
      </c>
      <c r="E41" t="inlineStr">
        <is>
          <t>https://lpjk.pu.go.id/search-badan-usaha-detail/ZHo1UHBZQVZWYVJlaDRBY0JQaytQUT09</t>
        </is>
      </c>
      <c r="F41" t="n">
        <v>1</v>
      </c>
      <c r="G41" t="inlineStr">
        <is>
          <t>BS001</t>
        </is>
      </c>
      <c r="H41" t="inlineStr">
        <is>
          <t>27 Juni 2023</t>
        </is>
      </c>
      <c r="I41" s="2" t="n">
        <v>46290</v>
      </c>
      <c r="J41" t="inlineStr">
        <is>
          <t>Disetujui</t>
        </is>
      </c>
      <c r="K41" t="n">
        <v>30</v>
      </c>
      <c r="L41" t="inlineStr">
        <is>
          <t>25 September 2026</t>
        </is>
      </c>
      <c r="M41" t="inlineStr">
        <is>
          <t>Konstruksi Bangunan Sipil Jalan</t>
        </is>
      </c>
      <c r="N41" t="inlineStr">
        <is>
          <t>K</t>
        </is>
      </c>
      <c r="O41" t="inlineStr">
        <is>
          <t>20230922</t>
        </is>
      </c>
      <c r="P41" t="inlineStr">
        <is>
          <t>Kalimantan Barat</t>
        </is>
      </c>
      <c r="Q41" t="inlineStr"/>
    </row>
    <row r="42">
      <c r="A42" t="inlineStr">
        <is>
          <t>BORNEO DZIBAN SEJAHTERA</t>
        </is>
      </c>
      <c r="B42" t="inlineStr">
        <is>
          <t>Kab. Kutai Timur</t>
        </is>
      </c>
      <c r="C42" t="inlineStr">
        <is>
          <t>081347400545</t>
        </is>
      </c>
      <c r="D42" t="inlineStr">
        <is>
          <t>cvborneods@gmail.com</t>
        </is>
      </c>
      <c r="E42" t="inlineStr">
        <is>
          <t>https://lpjk.pu.go.id/search-badan-usaha-detail/QkFIL0xLUFE4OE9ENjY1ZTE2R2JlZz09</t>
        </is>
      </c>
      <c r="F42" t="n">
        <v>1</v>
      </c>
      <c r="G42" t="inlineStr">
        <is>
          <t>BG005</t>
        </is>
      </c>
      <c r="H42" t="inlineStr">
        <is>
          <t>14 April 2023</t>
        </is>
      </c>
      <c r="I42" s="2" t="n">
        <v>46290</v>
      </c>
      <c r="J42" t="inlineStr">
        <is>
          <t>Disetujui</t>
        </is>
      </c>
      <c r="K42" t="n">
        <v>30</v>
      </c>
      <c r="L42" t="inlineStr">
        <is>
          <t>25 September 2026</t>
        </is>
      </c>
      <c r="M42" t="inlineStr">
        <is>
          <t>Konstruksi Gedung Kesehatan</t>
        </is>
      </c>
      <c r="N42" t="inlineStr">
        <is>
          <t>K</t>
        </is>
      </c>
      <c r="O42" t="inlineStr">
        <is>
          <t>20230914</t>
        </is>
      </c>
      <c r="P42" t="inlineStr">
        <is>
          <t>Kalimantan Timur</t>
        </is>
      </c>
      <c r="Q42" t="inlineStr"/>
    </row>
    <row r="43">
      <c r="A43" t="inlineStr">
        <is>
          <t>BUDI KARYA</t>
        </is>
      </c>
      <c r="B43" t="inlineStr">
        <is>
          <t>Kab. Tabanan</t>
        </is>
      </c>
      <c r="C43" t="inlineStr">
        <is>
          <t>0361811974</t>
        </is>
      </c>
      <c r="D43" t="inlineStr">
        <is>
          <t>cv.budikarya.85@gmail.com</t>
        </is>
      </c>
      <c r="E43" t="inlineStr">
        <is>
          <t>https://lpjk.pu.go.id/search-badan-usaha-detail/bjZLeTlNZkdDNUdUZkxLVmJaTUJSQT09</t>
        </is>
      </c>
      <c r="F43" t="n">
        <v>1</v>
      </c>
      <c r="G43" t="inlineStr">
        <is>
          <t>BS001</t>
        </is>
      </c>
      <c r="H43" t="inlineStr">
        <is>
          <t>3 Juni 1996</t>
        </is>
      </c>
      <c r="I43" s="2" t="n">
        <v>46290</v>
      </c>
      <c r="J43" t="inlineStr">
        <is>
          <t>Disetujui</t>
        </is>
      </c>
      <c r="K43" t="n">
        <v>30</v>
      </c>
      <c r="L43" t="inlineStr">
        <is>
          <t>25 September 2026</t>
        </is>
      </c>
      <c r="M43" t="inlineStr">
        <is>
          <t>Konstruksi Bangunan Sipil Jalan</t>
        </is>
      </c>
      <c r="N43" t="inlineStr">
        <is>
          <t>K</t>
        </is>
      </c>
      <c r="O43" t="inlineStr">
        <is>
          <t>20230908</t>
        </is>
      </c>
      <c r="P43" t="inlineStr">
        <is>
          <t>Bali</t>
        </is>
      </c>
      <c r="Q43" t="inlineStr"/>
    </row>
    <row r="44">
      <c r="A44" t="inlineStr">
        <is>
          <t>BUMI PADJAJARAN</t>
        </is>
      </c>
      <c r="B44" t="inlineStr">
        <is>
          <t>Kota Sukabumi</t>
        </is>
      </c>
      <c r="C44" t="inlineStr">
        <is>
          <t>082262161985</t>
        </is>
      </c>
      <c r="D44" t="inlineStr">
        <is>
          <t>padjajaran.cv@gmail.com</t>
        </is>
      </c>
      <c r="E44" t="inlineStr">
        <is>
          <t>https://lpjk.pu.go.id/search-badan-usaha-detail/bFhXTjBBcWc2Q3BZSlJRKzY0VjF3dz09</t>
        </is>
      </c>
      <c r="F44" t="n">
        <v>1</v>
      </c>
      <c r="G44" t="inlineStr">
        <is>
          <t>BS016</t>
        </is>
      </c>
      <c r="H44" t="inlineStr">
        <is>
          <t>13 Februari 2014</t>
        </is>
      </c>
      <c r="I44" s="2" t="n">
        <v>46290</v>
      </c>
      <c r="J44" t="inlineStr">
        <is>
          <t>Disetujui</t>
        </is>
      </c>
      <c r="K44" t="n">
        <v>30</v>
      </c>
      <c r="L44" t="inlineStr">
        <is>
          <t>25 September 2026</t>
        </is>
      </c>
      <c r="M44" t="inlineStr">
        <is>
          <t>Konstruksi Bangunan Sipil Fasilitas Olah Raga</t>
        </is>
      </c>
      <c r="N44" t="inlineStr">
        <is>
          <t>K</t>
        </is>
      </c>
      <c r="O44" t="inlineStr">
        <is>
          <t>20230920</t>
        </is>
      </c>
      <c r="P44" t="inlineStr">
        <is>
          <t>Jawa Barat</t>
        </is>
      </c>
      <c r="Q44" t="inlineStr"/>
    </row>
    <row r="45">
      <c r="A45" t="inlineStr">
        <is>
          <t>BUMI RAHAYU</t>
        </is>
      </c>
      <c r="B45" t="inlineStr">
        <is>
          <t>Kab. Blitar</t>
        </is>
      </c>
      <c r="C45" t="inlineStr">
        <is>
          <t>082231313945</t>
        </is>
      </c>
      <c r="D45" t="inlineStr">
        <is>
          <t>bumirahayu.cv01@gmail.com</t>
        </is>
      </c>
      <c r="E45" t="inlineStr">
        <is>
          <t>https://lpjk.pu.go.id/search-badan-usaha-detail/eHQzbjFKclB6dGFra2ViZURFNVhtdz09</t>
        </is>
      </c>
      <c r="F45" t="n">
        <v>2</v>
      </c>
      <c r="G45" t="inlineStr">
        <is>
          <t>BS001, BS004</t>
        </is>
      </c>
      <c r="H45" t="inlineStr">
        <is>
          <t>1 Agustus 2017</t>
        </is>
      </c>
      <c r="I45" s="2" t="n">
        <v>46290</v>
      </c>
      <c r="J45" t="inlineStr">
        <is>
          <t>Disetujui</t>
        </is>
      </c>
      <c r="K45" t="n">
        <v>30</v>
      </c>
      <c r="L45" t="inlineStr">
        <is>
          <t>25 September 2026</t>
        </is>
      </c>
      <c r="M45" t="inlineStr">
        <is>
          <t>Konstruksi Bangunan Sipil Jalan, Konstruksi Jaringan Irigasi dan Drainase</t>
        </is>
      </c>
      <c r="N45" t="inlineStr">
        <is>
          <t>K</t>
        </is>
      </c>
      <c r="O45" t="inlineStr">
        <is>
          <t>20230922</t>
        </is>
      </c>
      <c r="P45" t="inlineStr">
        <is>
          <t>Jawa Timur</t>
        </is>
      </c>
      <c r="Q45" t="inlineStr"/>
    </row>
    <row r="46">
      <c r="A46" t="inlineStr">
        <is>
          <t>CAHAYA TUNJUNG</t>
        </is>
      </c>
      <c r="B46" t="inlineStr">
        <is>
          <t>Kab. Lombok Tengah</t>
        </is>
      </c>
      <c r="C46" t="inlineStr">
        <is>
          <t>081917179640</t>
        </is>
      </c>
      <c r="D46" t="inlineStr">
        <is>
          <t>cahayatunjung@gmail.com</t>
        </is>
      </c>
      <c r="E46" t="inlineStr">
        <is>
          <t>https://lpjk.pu.go.id/search-badan-usaha-detail/L1cyMDh3WW1ySXpWTmQzcUQ5SFR4QT09</t>
        </is>
      </c>
      <c r="F46" t="n">
        <v>1</v>
      </c>
      <c r="G46" t="inlineStr">
        <is>
          <t>BG009</t>
        </is>
      </c>
      <c r="H46" t="inlineStr">
        <is>
          <t>20 Januari 2016</t>
        </is>
      </c>
      <c r="I46" s="2" t="n">
        <v>46290</v>
      </c>
      <c r="J46" t="inlineStr">
        <is>
          <t>Disetujui</t>
        </is>
      </c>
      <c r="K46" t="n">
        <v>30</v>
      </c>
      <c r="L46" t="inlineStr">
        <is>
          <t>25 September 2026</t>
        </is>
      </c>
      <c r="M46" t="inlineStr">
        <is>
          <t>Konstruksi Gedung Lainnya</t>
        </is>
      </c>
      <c r="N46" t="inlineStr">
        <is>
          <t>K</t>
        </is>
      </c>
      <c r="O46" t="inlineStr">
        <is>
          <t>20230920</t>
        </is>
      </c>
      <c r="P46" t="inlineStr">
        <is>
          <t>Nusa Tenggara Barat</t>
        </is>
      </c>
      <c r="Q46" t="inlineStr"/>
    </row>
    <row r="47">
      <c r="A47" t="inlineStr">
        <is>
          <t>CENDANA INDAH</t>
        </is>
      </c>
      <c r="B47" t="inlineStr">
        <is>
          <t>Kab. Sampang</t>
        </is>
      </c>
      <c r="C47" t="inlineStr">
        <is>
          <t>081949862346</t>
        </is>
      </c>
      <c r="D47" t="inlineStr">
        <is>
          <t>cendana.indah_cv@yahoo.com</t>
        </is>
      </c>
      <c r="E47" t="inlineStr">
        <is>
          <t>https://lpjk.pu.go.id/search-badan-usaha-detail/SDRHY2l0VDZLMXN0L1BNZUxXMWdpTENGM2x6Z0lEZXovblVzTmlDZFUxbz0</t>
        </is>
      </c>
      <c r="F47" t="n">
        <v>1</v>
      </c>
      <c r="G47" t="inlineStr">
        <is>
          <t>BG002</t>
        </is>
      </c>
      <c r="H47" t="inlineStr">
        <is>
          <t>2 April 2026</t>
        </is>
      </c>
      <c r="I47" s="2" t="n">
        <v>46290</v>
      </c>
      <c r="J47" t="inlineStr">
        <is>
          <t>Disetujui</t>
        </is>
      </c>
      <c r="K47" t="n">
        <v>30</v>
      </c>
      <c r="L47" t="inlineStr">
        <is>
          <t>25 September 2026</t>
        </is>
      </c>
      <c r="M47" t="inlineStr">
        <is>
          <t>Konstruksi Gedung Perkantoran</t>
        </is>
      </c>
      <c r="N47" t="inlineStr">
        <is>
          <t>K</t>
        </is>
      </c>
      <c r="O47" t="inlineStr">
        <is>
          <t>20230920</t>
        </is>
      </c>
      <c r="P47" t="inlineStr">
        <is>
          <t>Jawa Timur</t>
        </is>
      </c>
      <c r="Q47" t="inlineStr"/>
    </row>
    <row r="48">
      <c r="A48" t="inlineStr">
        <is>
          <t>CENTRAL ABADI TEHNIK UTAMA</t>
        </is>
      </c>
      <c r="B48" t="inlineStr">
        <is>
          <t>Kota Tangerang Selatan</t>
        </is>
      </c>
      <c r="C48" t="inlineStr">
        <is>
          <t>0812210716041</t>
        </is>
      </c>
      <c r="D48" t="inlineStr">
        <is>
          <t>dinaida66@gmail.com</t>
        </is>
      </c>
      <c r="E48" t="inlineStr">
        <is>
          <t>https://lpjk.pu.go.id/search-badan-usaha-detail/OVlsRklDbVcwQ3R3dktSbkF6V0h5Zz09</t>
        </is>
      </c>
      <c r="F48" t="n">
        <v>4</v>
      </c>
      <c r="G48" t="inlineStr">
        <is>
          <t>IN007, IN008</t>
        </is>
      </c>
      <c r="H48" t="inlineStr">
        <is>
          <t>22 Februari 2011</t>
        </is>
      </c>
      <c r="I48" s="2" t="n">
        <v>46290</v>
      </c>
      <c r="J48" t="inlineStr">
        <is>
          <t>Disetujui</t>
        </is>
      </c>
      <c r="K48" t="n">
        <v>30</v>
      </c>
      <c r="L48" t="inlineStr">
        <is>
          <t>25 September 2026</t>
        </is>
      </c>
      <c r="M48" t="inlineStr">
        <is>
          <t>Instalasi Pendingin Dan Ventilasi Udara, Instalasi Saluran Air (Plambing)</t>
        </is>
      </c>
      <c r="N48" t="inlineStr">
        <is>
          <t>Spesialis</t>
        </is>
      </c>
      <c r="O48" t="inlineStr">
        <is>
          <t>20230913</t>
        </is>
      </c>
      <c r="P48" t="inlineStr">
        <is>
          <t>Banten</t>
        </is>
      </c>
      <c r="Q48" t="inlineStr"/>
    </row>
    <row r="49">
      <c r="A49" t="inlineStr">
        <is>
          <t>CIPTA BANGUN SARANAJAYA</t>
        </is>
      </c>
      <c r="B49" t="inlineStr">
        <is>
          <t>Kota Surabaya</t>
        </is>
      </c>
      <c r="C49" t="inlineStr">
        <is>
          <t>0315922295</t>
        </is>
      </c>
      <c r="D49" t="inlineStr">
        <is>
          <t>cbs.konstruksi@gmail.com</t>
        </is>
      </c>
      <c r="E49" t="inlineStr">
        <is>
          <t>https://lpjk.pu.go.id/search-badan-usaha-detail/eVpoZWtxclluR0JHbG1pRXRacCt6dz09</t>
        </is>
      </c>
      <c r="F49" t="n">
        <v>6</v>
      </c>
      <c r="G49" t="inlineStr">
        <is>
          <t>BG001, BG002, BG003</t>
        </is>
      </c>
      <c r="H49" t="inlineStr">
        <is>
          <t>30 Maret 2015</t>
        </is>
      </c>
      <c r="I49" s="2" t="n">
        <v>46290</v>
      </c>
      <c r="J49" t="inlineStr">
        <is>
          <t>Disetujui</t>
        </is>
      </c>
      <c r="K49" t="n">
        <v>30</v>
      </c>
      <c r="L49" t="inlineStr">
        <is>
          <t>25 September 2026</t>
        </is>
      </c>
      <c r="M49" t="inlineStr">
        <is>
          <t>Konstruksi Gedung Hunian, Konstruksi Gedung Industri, Konstruksi Gedung Perkantoran</t>
        </is>
      </c>
      <c r="N49" t="inlineStr">
        <is>
          <t>K</t>
        </is>
      </c>
      <c r="O49" t="inlineStr">
        <is>
          <t>20230922, 20230926, 20230929</t>
        </is>
      </c>
      <c r="P49" t="inlineStr">
        <is>
          <t>Jawa Timur</t>
        </is>
      </c>
      <c r="Q49" t="inlineStr"/>
    </row>
    <row r="50">
      <c r="A50" t="inlineStr">
        <is>
          <t>CITRA ANGKASA PERSADA</t>
        </is>
      </c>
      <c r="B50" t="inlineStr">
        <is>
          <t>Kab. Tangerang</t>
        </is>
      </c>
      <c r="C50" t="inlineStr">
        <is>
          <t>0215473209</t>
        </is>
      </c>
      <c r="D50" t="inlineStr">
        <is>
          <t>citra_angkasapersada@sosrobahu.co.id</t>
        </is>
      </c>
      <c r="E50" t="inlineStr">
        <is>
          <t>https://lpjk.pu.go.id/search-badan-usaha-detail/RUdkSE5hYit6M0xhWTNZYjRnczRwdz09</t>
        </is>
      </c>
      <c r="F50" t="n">
        <v>1</v>
      </c>
      <c r="G50" t="inlineStr">
        <is>
          <t>BS002</t>
        </is>
      </c>
      <c r="H50" t="inlineStr">
        <is>
          <t>11 November 2008</t>
        </is>
      </c>
      <c r="I50" s="2" t="n">
        <v>46290</v>
      </c>
      <c r="J50" t="inlineStr">
        <is>
          <t>Pencabutan</t>
        </is>
      </c>
      <c r="K50" t="n">
        <v>30</v>
      </c>
      <c r="L50" t="inlineStr">
        <is>
          <t>25 September 2026</t>
        </is>
      </c>
      <c r="M50" t="inlineStr">
        <is>
          <t>Bangunan Sipil Jembatan, Jalan Layang, Fly Over, dan Underpass</t>
        </is>
      </c>
      <c r="N50" t="inlineStr">
        <is>
          <t>B</t>
        </is>
      </c>
      <c r="O50" t="inlineStr">
        <is>
          <t>20230911</t>
        </is>
      </c>
      <c r="P50" t="inlineStr">
        <is>
          <t>Banten</t>
        </is>
      </c>
      <c r="Q50" t="inlineStr"/>
    </row>
    <row r="51">
      <c r="A51" t="inlineStr">
        <is>
          <t>CV. BINTANG FAJAR</t>
        </is>
      </c>
      <c r="B51" t="inlineStr">
        <is>
          <t>Kab. Mamuju</t>
        </is>
      </c>
      <c r="C51" t="inlineStr">
        <is>
          <t>082296916074</t>
        </is>
      </c>
      <c r="D51" t="inlineStr">
        <is>
          <t>sahabatkreatif999@gmail.com</t>
        </is>
      </c>
      <c r="E51" t="inlineStr">
        <is>
          <t>https://lpjk.pu.go.id/search-badan-usaha-detail/bUhFdDhNSnhaTlkrb0toT2ViVGRzdz09</t>
        </is>
      </c>
      <c r="F51" t="n">
        <v>1</v>
      </c>
      <c r="G51" t="inlineStr">
        <is>
          <t>BS001</t>
        </is>
      </c>
      <c r="H51" t="inlineStr">
        <is>
          <t>11 Maret 2013</t>
        </is>
      </c>
      <c r="I51" s="2" t="n">
        <v>46290</v>
      </c>
      <c r="J51" t="inlineStr">
        <is>
          <t>Disetujui</t>
        </is>
      </c>
      <c r="K51" t="n">
        <v>30</v>
      </c>
      <c r="L51" t="inlineStr">
        <is>
          <t>25 September 2026</t>
        </is>
      </c>
      <c r="M51" t="inlineStr">
        <is>
          <t>Konstruksi Bangunan Sipil Jalan</t>
        </is>
      </c>
      <c r="N51" t="inlineStr">
        <is>
          <t>K</t>
        </is>
      </c>
      <c r="O51" t="inlineStr">
        <is>
          <t>20230918</t>
        </is>
      </c>
      <c r="P51" t="inlineStr">
        <is>
          <t>Sulawesi Barat</t>
        </is>
      </c>
      <c r="Q51" t="inlineStr"/>
    </row>
    <row r="52">
      <c r="A52" t="inlineStr">
        <is>
          <t>DANA REJA</t>
        </is>
      </c>
      <c r="B52" t="inlineStr">
        <is>
          <t>Kota Semarang</t>
        </is>
      </c>
      <c r="C52" t="inlineStr">
        <is>
          <t>02476635395</t>
        </is>
      </c>
      <c r="D52" t="inlineStr">
        <is>
          <t>danareja_cv@yahoo.co.id</t>
        </is>
      </c>
      <c r="E52" t="inlineStr">
        <is>
          <t>https://lpjk.pu.go.id/search-badan-usaha-detail/UXJWTTJ2dnl4aU9jRkwxV1AySGpQUT09</t>
        </is>
      </c>
      <c r="F52" t="n">
        <v>2</v>
      </c>
      <c r="G52" t="inlineStr">
        <is>
          <t>BS001, BS004</t>
        </is>
      </c>
      <c r="H52" t="inlineStr">
        <is>
          <t>11 November 2008</t>
        </is>
      </c>
      <c r="I52" s="2" t="n">
        <v>46290</v>
      </c>
      <c r="J52" t="inlineStr">
        <is>
          <t>Disetujui</t>
        </is>
      </c>
      <c r="K52" t="n">
        <v>30</v>
      </c>
      <c r="L52" t="inlineStr">
        <is>
          <t>25 September 2026</t>
        </is>
      </c>
      <c r="M52" t="inlineStr">
        <is>
          <t>Konstruksi Bangunan Sipil Jalan, Konstruksi Jaringan Irigasi dan Drainase</t>
        </is>
      </c>
      <c r="N52" t="inlineStr">
        <is>
          <t>K</t>
        </is>
      </c>
      <c r="O52" t="inlineStr">
        <is>
          <t>20230919</t>
        </is>
      </c>
      <c r="P52" t="inlineStr">
        <is>
          <t>Jawa Tengah</t>
        </is>
      </c>
      <c r="Q52" t="inlineStr"/>
    </row>
    <row r="53">
      <c r="A53" t="inlineStr">
        <is>
          <t>DEVARYO INTAN KONSULTAN</t>
        </is>
      </c>
      <c r="B53" t="inlineStr">
        <is>
          <t>Kab. Nabire</t>
        </is>
      </c>
      <c r="C53" t="inlineStr">
        <is>
          <t>085394893249</t>
        </is>
      </c>
      <c r="D53" t="inlineStr">
        <is>
          <t>devaryointankonsultan@gmail.com</t>
        </is>
      </c>
      <c r="E53" t="inlineStr">
        <is>
          <t>https://lpjk.pu.go.id/search-badan-usaha-detail/RDZ6Rk1SUy9QOEIzT0w0U3lwUVY1dz09</t>
        </is>
      </c>
      <c r="F53" t="n">
        <v>3</v>
      </c>
      <c r="G53" t="inlineStr">
        <is>
          <t>RK001, RK002, RK003</t>
        </is>
      </c>
      <c r="H53" t="inlineStr">
        <is>
          <t>3 Juli 2020</t>
        </is>
      </c>
      <c r="I53" s="2" t="n">
        <v>46290</v>
      </c>
      <c r="J53" t="inlineStr">
        <is>
          <t>Disetujui</t>
        </is>
      </c>
      <c r="K53" t="n">
        <v>30</v>
      </c>
      <c r="L53" t="inlineStr">
        <is>
          <t>25 September 2026</t>
        </is>
      </c>
      <c r="M53" t="inlineStr">
        <is>
          <t>Jasa Rekayasa Konstruksi Bangunan Gedung Hunian dan Non Hunian, Jasa Rekayasa Pekerjaan Teknik Sipil Sumber Daya Air, Jasa Rekayasa Pekerjaan Teknik Sipil Transportasi</t>
        </is>
      </c>
      <c r="N53" t="inlineStr">
        <is>
          <t>K</t>
        </is>
      </c>
      <c r="O53" t="inlineStr">
        <is>
          <t>20230916, 20230918</t>
        </is>
      </c>
      <c r="P53" t="inlineStr">
        <is>
          <t>Papua</t>
        </is>
      </c>
      <c r="Q53" t="inlineStr"/>
    </row>
    <row r="54">
      <c r="A54" t="inlineStr">
        <is>
          <t>DEVIE RAHAYU</t>
        </is>
      </c>
      <c r="B54" t="inlineStr">
        <is>
          <t>Kab. Sambas</t>
        </is>
      </c>
      <c r="C54" t="inlineStr">
        <is>
          <t>089694345196</t>
        </is>
      </c>
      <c r="D54" t="inlineStr">
        <is>
          <t>cv.devierahayu@gmail.com</t>
        </is>
      </c>
      <c r="E54" t="inlineStr">
        <is>
          <t>https://lpjk.pu.go.id/search-badan-usaha-detail/VGtaVTNZWnRNOWJTdlZ3aE1OSnV2UT09</t>
        </is>
      </c>
      <c r="F54" t="n">
        <v>1</v>
      </c>
      <c r="G54" t="inlineStr">
        <is>
          <t>BS002</t>
        </is>
      </c>
      <c r="H54" t="inlineStr">
        <is>
          <t>29 April 2019</t>
        </is>
      </c>
      <c r="I54" s="2" t="n">
        <v>46290</v>
      </c>
      <c r="J54" t="inlineStr">
        <is>
          <t>Pencabutan</t>
        </is>
      </c>
      <c r="K54" t="n">
        <v>30</v>
      </c>
      <c r="L54" t="inlineStr">
        <is>
          <t>25 September 2026</t>
        </is>
      </c>
      <c r="M54" t="inlineStr">
        <is>
          <t>Bangunan Sipil Jembatan, Jalan Layang, Fly Over, dan Underpass</t>
        </is>
      </c>
      <c r="N54" t="inlineStr">
        <is>
          <t>K</t>
        </is>
      </c>
      <c r="O54" t="inlineStr">
        <is>
          <t>20230924</t>
        </is>
      </c>
      <c r="P54" t="inlineStr">
        <is>
          <t>Kalimantan Barat</t>
        </is>
      </c>
      <c r="Q54" t="inlineStr"/>
    </row>
    <row r="55">
      <c r="A55" t="inlineStr">
        <is>
          <t>DUA PILAR ENERGITAMA</t>
        </is>
      </c>
      <c r="B55" t="inlineStr">
        <is>
          <t>Kota Surabaya</t>
        </is>
      </c>
      <c r="C55" t="inlineStr">
        <is>
          <t>0318968993</t>
        </is>
      </c>
      <c r="D55" t="inlineStr">
        <is>
          <t>info@duplen.id</t>
        </is>
      </c>
      <c r="E55" t="inlineStr">
        <is>
          <t>https://lpjk.pu.go.id/search-badan-usaha-detail/aEVXK2pkMGVxT1hrOUhpa1F0SVEyUT09</t>
        </is>
      </c>
      <c r="F55" t="n">
        <v>5</v>
      </c>
      <c r="G55" t="inlineStr">
        <is>
          <t>BS001, BS002, BS005, IN001, IN004</t>
        </is>
      </c>
      <c r="H55" t="inlineStr">
        <is>
          <t>9 Januari 2017</t>
        </is>
      </c>
      <c r="I55" s="2" t="n">
        <v>46290</v>
      </c>
      <c r="J55" t="inlineStr">
        <is>
          <t>Disetujui, Pembekuan</t>
        </is>
      </c>
      <c r="K55" t="n">
        <v>30</v>
      </c>
      <c r="L55" t="inlineStr">
        <is>
          <t>25 September 2026</t>
        </is>
      </c>
      <c r="M55" t="inlineStr">
        <is>
          <t>Bangunan Sipil Jembatan, Jalan Layang, Fly Over, dan Underpass, Instalasi Mekanikal, Instalasi Minyak dan Gas, Konstruksi Bangunan Sipil Jalan, Konstruksi Bangunan Sipil Pengolahan Air Bersih</t>
        </is>
      </c>
      <c r="N55" t="inlineStr">
        <is>
          <t>K, Spesialis</t>
        </is>
      </c>
      <c r="O55" t="inlineStr">
        <is>
          <t>20221130, 20230925</t>
        </is>
      </c>
      <c r="P55" t="inlineStr">
        <is>
          <t>Jawa Timur</t>
        </is>
      </c>
      <c r="Q55" t="inlineStr"/>
    </row>
    <row r="56">
      <c r="A56" t="inlineStr">
        <is>
          <t>DUA PUTRA JAYA</t>
        </is>
      </c>
      <c r="B56" t="inlineStr">
        <is>
          <t>Kota Palangkaraya</t>
        </is>
      </c>
      <c r="C56" t="inlineStr">
        <is>
          <t>081258430223</t>
        </is>
      </c>
      <c r="D56" t="inlineStr">
        <is>
          <t>duapjaya.plk@gmail.com</t>
        </is>
      </c>
      <c r="E56" t="inlineStr">
        <is>
          <t>https://lpjk.pu.go.id/search-badan-usaha-detail/Y1NLTXRtWmdLcmREWEMvMC9wVlJJUT09</t>
        </is>
      </c>
      <c r="F56" t="n">
        <v>1</v>
      </c>
      <c r="G56" t="inlineStr">
        <is>
          <t>BS006</t>
        </is>
      </c>
      <c r="H56" t="inlineStr">
        <is>
          <t>27 Desember 2013</t>
        </is>
      </c>
      <c r="I56" s="2" t="n">
        <v>46290</v>
      </c>
      <c r="J56" t="inlineStr">
        <is>
          <t>Disetujui</t>
        </is>
      </c>
      <c r="K56" t="n">
        <v>30</v>
      </c>
      <c r="L56" t="inlineStr">
        <is>
          <t>25 September 2026</t>
        </is>
      </c>
      <c r="M56" t="inlineStr">
        <is>
          <t>Konstruksi Bangunan Sipil Prasarana dan Sarana Sistem Pengolahan Limbah Padat, Cair, dan Gas</t>
        </is>
      </c>
      <c r="N56" t="inlineStr">
        <is>
          <t>K</t>
        </is>
      </c>
      <c r="O56" t="inlineStr">
        <is>
          <t>20230925</t>
        </is>
      </c>
      <c r="P56" t="inlineStr">
        <is>
          <t>Kalimantan Tengah</t>
        </is>
      </c>
      <c r="Q56" t="inlineStr"/>
    </row>
    <row r="57">
      <c r="A57" t="inlineStr">
        <is>
          <t>DUTA TEGAL BALI</t>
        </is>
      </c>
      <c r="B57" t="inlineStr">
        <is>
          <t>Kab. Badung</t>
        </is>
      </c>
      <c r="C57" t="inlineStr">
        <is>
          <t>08123829457</t>
        </is>
      </c>
      <c r="D57" t="inlineStr">
        <is>
          <t>tegalbaliduta@gmail.com</t>
        </is>
      </c>
      <c r="E57" t="inlineStr">
        <is>
          <t>https://lpjk.pu.go.id/search-badan-usaha-detail/OVhPZEhiRUNRSjlXZEZGNmdIWDVkQT09</t>
        </is>
      </c>
      <c r="F57" t="n">
        <v>4</v>
      </c>
      <c r="G57" t="inlineStr">
        <is>
          <t>BG002, BG005, BG006, BG009</t>
        </is>
      </c>
      <c r="H57" t="inlineStr">
        <is>
          <t>28 Januari 2022</t>
        </is>
      </c>
      <c r="I57" s="2" t="n">
        <v>46290</v>
      </c>
      <c r="J57" t="inlineStr">
        <is>
          <t>Disetujui</t>
        </is>
      </c>
      <c r="K57" t="n">
        <v>30</v>
      </c>
      <c r="L57" t="inlineStr">
        <is>
          <t>25 September 2026</t>
        </is>
      </c>
      <c r="M57" t="inlineStr">
        <is>
          <t>Konstruksi Gedung Kesehatan, Konstruksi Gedung Lainnya, Konstruksi Gedung Pendidikan, Konstruksi Gedung Perkantoran</t>
        </is>
      </c>
      <c r="N57" t="inlineStr">
        <is>
          <t>K</t>
        </is>
      </c>
      <c r="O57" t="inlineStr">
        <is>
          <t>20230926</t>
        </is>
      </c>
      <c r="P57" t="inlineStr">
        <is>
          <t>Bali</t>
        </is>
      </c>
      <c r="Q57" t="inlineStr"/>
    </row>
    <row r="58">
      <c r="A58" t="inlineStr">
        <is>
          <t>ELANG TIMUR RAYA</t>
        </is>
      </c>
      <c r="B58" t="inlineStr">
        <is>
          <t>Kab. Tulungagung</t>
        </is>
      </c>
      <c r="C58" t="inlineStr">
        <is>
          <t>08123247769</t>
        </is>
      </c>
      <c r="D58" t="inlineStr">
        <is>
          <t>etr_cv@yahoo.com</t>
        </is>
      </c>
      <c r="E58" t="inlineStr">
        <is>
          <t>https://lpjk.pu.go.id/search-badan-usaha-detail/TGh2cmllOW4rcFNSbVV6eHc1bVFKdz09</t>
        </is>
      </c>
      <c r="F58" t="n">
        <v>18</v>
      </c>
      <c r="G58" t="inlineStr">
        <is>
          <t>BG001, BG004, BG005, BG006, BS001, BS004, BS005, BS010, BS012</t>
        </is>
      </c>
      <c r="H58" t="inlineStr">
        <is>
          <t>29 April 2002</t>
        </is>
      </c>
      <c r="I58" s="2" t="n">
        <v>46290</v>
      </c>
      <c r="J58" t="inlineStr">
        <is>
          <t>Disetujui</t>
        </is>
      </c>
      <c r="K58" t="n">
        <v>30</v>
      </c>
      <c r="L58" t="inlineStr">
        <is>
          <t>25 September 2026</t>
        </is>
      </c>
      <c r="M58" t="inlineStr">
        <is>
          <t>Konstruksi Bangunan Pelabuhan Perikanan, Konstruksi Bangunan Prasarana Sumber Daya Air, Konstruksi Bangunan Sipil Jalan, Konstruksi Bangunan Sipil Pengolahan Air Bersih, Konstruksi Gedung Hunian, Konstruksi Gedung Kesehatan, Konstruksi Gedung Pendidikan, Konstruksi Gedung Perbelanjaan, Konstruksi Jaringan Irigasi dan Drainase</t>
        </is>
      </c>
      <c r="N58" t="inlineStr">
        <is>
          <t>K</t>
        </is>
      </c>
      <c r="O58" t="inlineStr">
        <is>
          <t>20230925, 20230926, 20230927</t>
        </is>
      </c>
      <c r="P58" t="inlineStr">
        <is>
          <t>Jawa Timur</t>
        </is>
      </c>
      <c r="Q58" t="inlineStr"/>
    </row>
    <row r="59">
      <c r="A59" t="inlineStr">
        <is>
          <t>ERAS GROUP</t>
        </is>
      </c>
      <c r="B59" t="inlineStr">
        <is>
          <t>Kota Banda Aceh</t>
        </is>
      </c>
      <c r="C59" t="inlineStr">
        <is>
          <t>08116896161</t>
        </is>
      </c>
      <c r="D59" t="inlineStr">
        <is>
          <t>erasco.id@gmail.com</t>
        </is>
      </c>
      <c r="E59" t="inlineStr">
        <is>
          <t>https://lpjk.pu.go.id/search-badan-usaha-detail/TEVqemk4KzFYTHlhblBpOWRnWEtPUT09</t>
        </is>
      </c>
      <c r="F59" t="n">
        <v>1</v>
      </c>
      <c r="G59" t="inlineStr">
        <is>
          <t>BG001</t>
        </is>
      </c>
      <c r="H59" t="inlineStr">
        <is>
          <t>11 Februari 2019</t>
        </is>
      </c>
      <c r="I59" s="2" t="n">
        <v>46290</v>
      </c>
      <c r="J59" t="inlineStr">
        <is>
          <t>Disetujui</t>
        </is>
      </c>
      <c r="K59" t="n">
        <v>30</v>
      </c>
      <c r="L59" t="inlineStr">
        <is>
          <t>25 September 2026</t>
        </is>
      </c>
      <c r="M59" t="inlineStr">
        <is>
          <t>Konstruksi Gedung Hunian</t>
        </is>
      </c>
      <c r="N59" t="inlineStr">
        <is>
          <t>K</t>
        </is>
      </c>
      <c r="O59" t="inlineStr">
        <is>
          <t>20230925</t>
        </is>
      </c>
      <c r="P59" t="inlineStr">
        <is>
          <t>Aceh</t>
        </is>
      </c>
      <c r="Q59" t="inlineStr"/>
    </row>
    <row r="60">
      <c r="A60" t="inlineStr">
        <is>
          <t>FAJAR MULIA</t>
        </is>
      </c>
      <c r="B60" t="inlineStr">
        <is>
          <t>Kab. Tuban</t>
        </is>
      </c>
      <c r="C60" t="inlineStr">
        <is>
          <t>082234222576</t>
        </is>
      </c>
      <c r="D60" t="inlineStr">
        <is>
          <t>fajarmuliatbn.baru@gmail.com</t>
        </is>
      </c>
      <c r="E60" t="inlineStr">
        <is>
          <t>https://lpjk.pu.go.id/search-badan-usaha-detail/WmxMMGJ3RysrUlBkRkllUGNRUlhvZz09</t>
        </is>
      </c>
      <c r="F60" t="n">
        <v>1</v>
      </c>
      <c r="G60" t="inlineStr">
        <is>
          <t>BS001</t>
        </is>
      </c>
      <c r="H60" t="inlineStr">
        <is>
          <t>2 Februari 2012</t>
        </is>
      </c>
      <c r="I60" s="2" t="n">
        <v>46290</v>
      </c>
      <c r="J60" t="inlineStr">
        <is>
          <t>Pencabutan</t>
        </is>
      </c>
      <c r="K60" t="n">
        <v>30</v>
      </c>
      <c r="L60" t="inlineStr">
        <is>
          <t>25 September 2026</t>
        </is>
      </c>
      <c r="M60" t="inlineStr">
        <is>
          <t>Konstruksi Bangunan Sipil Jalan</t>
        </is>
      </c>
      <c r="N60" t="inlineStr">
        <is>
          <t>K</t>
        </is>
      </c>
      <c r="O60" t="inlineStr">
        <is>
          <t>20230920</t>
        </is>
      </c>
      <c r="P60" t="inlineStr">
        <is>
          <t>Jawa Timur</t>
        </is>
      </c>
      <c r="Q60" t="inlineStr"/>
    </row>
    <row r="61">
      <c r="A61" t="inlineStr">
        <is>
          <t>FAZAR ANWARI ADIALOVA</t>
        </is>
      </c>
      <c r="B61" t="inlineStr">
        <is>
          <t>Kab. Bandung</t>
        </is>
      </c>
      <c r="C61" t="inlineStr">
        <is>
          <t>087823090007</t>
        </is>
      </c>
      <c r="D61" t="inlineStr">
        <is>
          <t>fajaradialova234@gmail.com</t>
        </is>
      </c>
      <c r="E61" t="inlineStr">
        <is>
          <t>https://lpjk.pu.go.id/search-badan-usaha-detail/b0d4WUVUdk9OQmFSSGtkWlZYY05BZz09</t>
        </is>
      </c>
      <c r="F61" t="n">
        <v>4</v>
      </c>
      <c r="G61" t="inlineStr">
        <is>
          <t>BS001, BS004</t>
        </is>
      </c>
      <c r="H61" t="inlineStr">
        <is>
          <t>26 Agustus 2019</t>
        </is>
      </c>
      <c r="I61" s="2" t="n">
        <v>46290</v>
      </c>
      <c r="J61" t="inlineStr">
        <is>
          <t>Disetujui</t>
        </is>
      </c>
      <c r="K61" t="n">
        <v>30</v>
      </c>
      <c r="L61" t="inlineStr">
        <is>
          <t>25 September 2026</t>
        </is>
      </c>
      <c r="M61" t="inlineStr">
        <is>
          <t>Konstruksi Bangunan Sipil Jalan, Konstruksi Jaringan Irigasi dan Drainase</t>
        </is>
      </c>
      <c r="N61" t="inlineStr">
        <is>
          <t>K</t>
        </is>
      </c>
      <c r="O61" t="inlineStr">
        <is>
          <t>20230926</t>
        </is>
      </c>
      <c r="P61" t="inlineStr">
        <is>
          <t>Jawa Barat</t>
        </is>
      </c>
      <c r="Q61" t="inlineStr"/>
    </row>
    <row r="62">
      <c r="A62" t="inlineStr">
        <is>
          <t>FIRAZ</t>
        </is>
      </c>
      <c r="B62" t="inlineStr">
        <is>
          <t>Kota Pontianak</t>
        </is>
      </c>
      <c r="C62" t="inlineStr">
        <is>
          <t>085650864402</t>
        </is>
      </c>
      <c r="D62" t="inlineStr">
        <is>
          <t>rika.fitriani@ymail.com</t>
        </is>
      </c>
      <c r="E62" t="inlineStr">
        <is>
          <t>https://lpjk.pu.go.id/search-badan-usaha-detail/aGJOWmVoSm5oRVZWcFB5NTFiOG9Zdz09</t>
        </is>
      </c>
      <c r="F62" t="n">
        <v>1</v>
      </c>
      <c r="G62" t="inlineStr">
        <is>
          <t>BG008</t>
        </is>
      </c>
      <c r="H62" t="inlineStr">
        <is>
          <t>16 Agustus 2008</t>
        </is>
      </c>
      <c r="I62" s="2" t="n">
        <v>46290</v>
      </c>
      <c r="J62" t="inlineStr">
        <is>
          <t>Pencabutan</t>
        </is>
      </c>
      <c r="K62" t="n">
        <v>30</v>
      </c>
      <c r="L62" t="inlineStr">
        <is>
          <t>25 September 2026</t>
        </is>
      </c>
      <c r="M62" t="inlineStr">
        <is>
          <t>Konstruksi Gedung Tempat Hiburan dan Olahraga</t>
        </is>
      </c>
      <c r="N62" t="inlineStr">
        <is>
          <t>K</t>
        </is>
      </c>
      <c r="O62" t="inlineStr">
        <is>
          <t>20230924</t>
        </is>
      </c>
      <c r="P62" t="inlineStr">
        <is>
          <t>Kalimantan Barat</t>
        </is>
      </c>
      <c r="Q62" t="inlineStr"/>
    </row>
    <row r="63">
      <c r="A63" t="inlineStr">
        <is>
          <t>FITRI BUMI MANDIRI</t>
        </is>
      </c>
      <c r="B63" t="inlineStr">
        <is>
          <t>Kab. Kolaka</t>
        </is>
      </c>
      <c r="C63" t="inlineStr">
        <is>
          <t>081341971910</t>
        </is>
      </c>
      <c r="D63" t="inlineStr">
        <is>
          <t>fitrimonginsidi@gmail.com</t>
        </is>
      </c>
      <c r="E63" t="inlineStr">
        <is>
          <t>https://lpjk.pu.go.id/search-badan-usaha-detail/L3BFM24vd0l3QW9PRG5hamRkaGdRZz09</t>
        </is>
      </c>
      <c r="F63" t="n">
        <v>1</v>
      </c>
      <c r="G63" t="inlineStr">
        <is>
          <t>BG009</t>
        </is>
      </c>
      <c r="H63" t="inlineStr">
        <is>
          <t>17 Desember 2015</t>
        </is>
      </c>
      <c r="I63" s="2" t="n">
        <v>46290</v>
      </c>
      <c r="J63" t="inlineStr">
        <is>
          <t>Disetujui</t>
        </is>
      </c>
      <c r="K63" t="n">
        <v>30</v>
      </c>
      <c r="L63" t="inlineStr">
        <is>
          <t>25 September 2026</t>
        </is>
      </c>
      <c r="M63" t="inlineStr">
        <is>
          <t>Konstruksi Gedung Lainnya</t>
        </is>
      </c>
      <c r="N63" t="inlineStr">
        <is>
          <t>K</t>
        </is>
      </c>
      <c r="O63" t="inlineStr">
        <is>
          <t>20230925</t>
        </is>
      </c>
      <c r="P63" t="inlineStr">
        <is>
          <t>Sulawesi Tenggara</t>
        </is>
      </c>
      <c r="Q63" t="inlineStr"/>
    </row>
    <row r="64">
      <c r="A64" t="inlineStr">
        <is>
          <t>GALUH PUSAKA</t>
        </is>
      </c>
      <c r="B64" t="inlineStr">
        <is>
          <t>Kab. Bandung Barat</t>
        </is>
      </c>
      <c r="C64" t="inlineStr">
        <is>
          <t>087821147394</t>
        </is>
      </c>
      <c r="D64" t="inlineStr">
        <is>
          <t>rasendria094@gmail.com</t>
        </is>
      </c>
      <c r="E64" t="inlineStr">
        <is>
          <t>https://lpjk.pu.go.id/search-badan-usaha-detail/QXgwdEN3QjJXVzd6RW1oSDdOOWNzUT09</t>
        </is>
      </c>
      <c r="F64" t="n">
        <v>3</v>
      </c>
      <c r="G64" t="inlineStr">
        <is>
          <t>BG006, BG009, BS004</t>
        </is>
      </c>
      <c r="H64" t="inlineStr">
        <is>
          <t>22 Juni 2012</t>
        </is>
      </c>
      <c r="I64" s="2" t="n">
        <v>46290</v>
      </c>
      <c r="J64" t="inlineStr">
        <is>
          <t>Disetujui</t>
        </is>
      </c>
      <c r="K64" t="n">
        <v>30</v>
      </c>
      <c r="L64" t="inlineStr">
        <is>
          <t>25 September 2026</t>
        </is>
      </c>
      <c r="M64" t="inlineStr">
        <is>
          <t>Konstruksi Gedung Lainnya, Konstruksi Gedung Pendidikan, Konstruksi Jaringan Irigasi dan Drainase</t>
        </is>
      </c>
      <c r="N64" t="inlineStr">
        <is>
          <t>K</t>
        </is>
      </c>
      <c r="O64" t="inlineStr">
        <is>
          <t>20230726, 20230731</t>
        </is>
      </c>
      <c r="P64" t="inlineStr">
        <is>
          <t>Jawa Barat</t>
        </is>
      </c>
      <c r="Q64" t="inlineStr"/>
    </row>
    <row r="65">
      <c r="A65" t="inlineStr">
        <is>
          <t>GELORA CIPTA UTAMA</t>
        </is>
      </c>
      <c r="B65" t="inlineStr">
        <is>
          <t>Kota Palangkaraya</t>
        </is>
      </c>
      <c r="C65" t="inlineStr">
        <is>
          <t>081352815552</t>
        </is>
      </c>
      <c r="D65" t="inlineStr">
        <is>
          <t>cv.geloraciptautama@gmail.com</t>
        </is>
      </c>
      <c r="E65" t="inlineStr">
        <is>
          <t>https://lpjk.pu.go.id/search-badan-usaha-detail/OW1OaENCRmhtUkJyY0JwQitDV04xZz09</t>
        </is>
      </c>
      <c r="F65" t="n">
        <v>7</v>
      </c>
      <c r="G65" t="inlineStr">
        <is>
          <t>BG001, BG002, BG005, BG006, BG009, BS001, BS004</t>
        </is>
      </c>
      <c r="H65" t="inlineStr">
        <is>
          <t>8 September 2023</t>
        </is>
      </c>
      <c r="I65" s="2" t="n">
        <v>46290</v>
      </c>
      <c r="J65" t="inlineStr">
        <is>
          <t>Disetujui</t>
        </is>
      </c>
      <c r="K65" t="n">
        <v>30</v>
      </c>
      <c r="L65" t="inlineStr">
        <is>
          <t>25 September 2026</t>
        </is>
      </c>
      <c r="M65" t="inlineStr">
        <is>
          <t>Konstruksi Bangunan Sipil Jalan, Konstruksi Gedung Hunian, Konstruksi Gedung Kesehatan, Konstruksi Gedung Lainnya, Konstruksi Gedung Pendidikan, Konstruksi Gedung Perkantoran, Konstruksi Jaringan Irigasi dan Drainase</t>
        </is>
      </c>
      <c r="N65" t="inlineStr">
        <is>
          <t>K</t>
        </is>
      </c>
      <c r="O65" t="inlineStr">
        <is>
          <t>20230921</t>
        </is>
      </c>
      <c r="P65" t="inlineStr">
        <is>
          <t>Kalimantan Tengah</t>
        </is>
      </c>
      <c r="Q65" t="inlineStr"/>
    </row>
    <row r="66">
      <c r="A66" t="inlineStr">
        <is>
          <t>GELORA NUSA PERSADA</t>
        </is>
      </c>
      <c r="B66" t="inlineStr">
        <is>
          <t>Kab. Majalengka</t>
        </is>
      </c>
      <c r="C66" t="inlineStr">
        <is>
          <t>0233882829</t>
        </is>
      </c>
      <c r="D66" t="inlineStr">
        <is>
          <t>email_numb5@yahoo.com</t>
        </is>
      </c>
      <c r="E66" t="inlineStr">
        <is>
          <t>https://lpjk.pu.go.id/search-badan-usaha-detail/cUtqUWVrenlIMzVvWkh4Z3NrSVVNQT09</t>
        </is>
      </c>
      <c r="F66" t="n">
        <v>1</v>
      </c>
      <c r="G66" t="inlineStr">
        <is>
          <t>BG009</t>
        </is>
      </c>
      <c r="H66" t="inlineStr">
        <is>
          <t>19 Desember 2002</t>
        </is>
      </c>
      <c r="I66" s="2" t="n">
        <v>46290</v>
      </c>
      <c r="J66" t="inlineStr">
        <is>
          <t>Disetujui</t>
        </is>
      </c>
      <c r="K66" t="n">
        <v>30</v>
      </c>
      <c r="L66" t="inlineStr">
        <is>
          <t>25 September 2026</t>
        </is>
      </c>
      <c r="M66" t="inlineStr">
        <is>
          <t>Konstruksi Gedung Lainnya</t>
        </is>
      </c>
      <c r="N66" t="inlineStr">
        <is>
          <t>K</t>
        </is>
      </c>
      <c r="O66" t="inlineStr">
        <is>
          <t>20230921</t>
        </is>
      </c>
      <c r="P66" t="inlineStr">
        <is>
          <t>Jawa Barat</t>
        </is>
      </c>
      <c r="Q66" t="inlineStr"/>
    </row>
    <row r="67">
      <c r="A67" t="inlineStr">
        <is>
          <t>GENTA WIJAYA</t>
        </is>
      </c>
      <c r="B67" t="inlineStr">
        <is>
          <t>Kab. Gresik</t>
        </is>
      </c>
      <c r="C67" t="inlineStr">
        <is>
          <t>082234431617</t>
        </is>
      </c>
      <c r="D67" t="inlineStr">
        <is>
          <t>genta_wijaya@ymail.com</t>
        </is>
      </c>
      <c r="E67" t="inlineStr">
        <is>
          <t>https://lpjk.pu.go.id/search-badan-usaha-detail/ZDhiWXRlUThORXJ5dkpCMW1CZW5ndz09</t>
        </is>
      </c>
      <c r="F67" t="n">
        <v>3</v>
      </c>
      <c r="G67" t="inlineStr">
        <is>
          <t>BG002, BG003, BG006</t>
        </is>
      </c>
      <c r="H67" t="inlineStr">
        <is>
          <t>20 Februari 2003</t>
        </is>
      </c>
      <c r="I67" s="2" t="n">
        <v>46290</v>
      </c>
      <c r="J67" t="inlineStr">
        <is>
          <t>Pencabutan</t>
        </is>
      </c>
      <c r="K67" t="n">
        <v>30</v>
      </c>
      <c r="L67" t="inlineStr">
        <is>
          <t>25 September 2026</t>
        </is>
      </c>
      <c r="M67" t="inlineStr">
        <is>
          <t>Konstruksi Gedung Industri, Konstruksi Gedung Pendidikan, Konstruksi Gedung Perkantoran</t>
        </is>
      </c>
      <c r="N67" t="inlineStr">
        <is>
          <t>K</t>
        </is>
      </c>
      <c r="O67" t="inlineStr">
        <is>
          <t>20230915, 20230922, 20230925</t>
        </is>
      </c>
      <c r="P67" t="inlineStr">
        <is>
          <t>Jawa Timur</t>
        </is>
      </c>
      <c r="Q67" t="inlineStr"/>
    </row>
    <row r="68">
      <c r="A68" t="inlineStr">
        <is>
          <t>GOLDEN CONSULTANT</t>
        </is>
      </c>
      <c r="B68" t="inlineStr">
        <is>
          <t>Kab. Kepulauan Anambas</t>
        </is>
      </c>
      <c r="C68" t="inlineStr">
        <is>
          <t>082285476893</t>
        </is>
      </c>
      <c r="D68" t="inlineStr">
        <is>
          <t>goldenconsultant27@gmail.com</t>
        </is>
      </c>
      <c r="E68" t="inlineStr">
        <is>
          <t>https://lpjk.pu.go.id/search-badan-usaha-detail/R2s5emMrNnRUSTZ2Wk02QndjOU9IZz09</t>
        </is>
      </c>
      <c r="F68" t="n">
        <v>2</v>
      </c>
      <c r="G68" t="inlineStr">
        <is>
          <t>RK003</t>
        </is>
      </c>
      <c r="H68" t="inlineStr">
        <is>
          <t>6 November 2019</t>
        </is>
      </c>
      <c r="I68" s="2" t="n">
        <v>46290</v>
      </c>
      <c r="J68" t="inlineStr">
        <is>
          <t>Disetujui</t>
        </is>
      </c>
      <c r="K68" t="n">
        <v>30</v>
      </c>
      <c r="L68" t="inlineStr">
        <is>
          <t>25 September 2026</t>
        </is>
      </c>
      <c r="M68" t="inlineStr">
        <is>
          <t>Jasa Rekayasa Pekerjaan Teknik Sipil Transportasi</t>
        </is>
      </c>
      <c r="N68" t="inlineStr">
        <is>
          <t>K</t>
        </is>
      </c>
      <c r="O68" t="inlineStr">
        <is>
          <t>20230705</t>
        </is>
      </c>
      <c r="P68" t="inlineStr">
        <is>
          <t>Kepulauan Riau</t>
        </is>
      </c>
      <c r="Q68" t="inlineStr"/>
    </row>
    <row r="69">
      <c r="A69" t="inlineStr">
        <is>
          <t>HADI UTAMA JAYA</t>
        </is>
      </c>
      <c r="B69" t="inlineStr">
        <is>
          <t>Kota Mataram</t>
        </is>
      </c>
      <c r="C69" t="inlineStr">
        <is>
          <t>081915858666</t>
        </is>
      </c>
      <c r="D69" t="inlineStr">
        <is>
          <t>hadiutamajaya@gmail.com</t>
        </is>
      </c>
      <c r="E69" t="inlineStr">
        <is>
          <t>https://lpjk.pu.go.id/search-badan-usaha-detail/TG1FZTRwMy91SjIrUUxCTDN2Zi9LZz09</t>
        </is>
      </c>
      <c r="F69" t="n">
        <v>1</v>
      </c>
      <c r="G69" t="inlineStr">
        <is>
          <t>BS001</t>
        </is>
      </c>
      <c r="H69" t="inlineStr">
        <is>
          <t>27 Februari 1993</t>
        </is>
      </c>
      <c r="I69" s="2" t="n">
        <v>46290</v>
      </c>
      <c r="J69" t="inlineStr">
        <is>
          <t>Disetujui</t>
        </is>
      </c>
      <c r="K69" t="n">
        <v>30</v>
      </c>
      <c r="L69" t="inlineStr">
        <is>
          <t>25 September 2026</t>
        </is>
      </c>
      <c r="M69" t="inlineStr">
        <is>
          <t>Konstruksi Bangunan Sipil Jalan</t>
        </is>
      </c>
      <c r="N69" t="inlineStr">
        <is>
          <t>K</t>
        </is>
      </c>
      <c r="O69" t="inlineStr">
        <is>
          <t>20230911</t>
        </is>
      </c>
      <c r="P69" t="inlineStr">
        <is>
          <t>Nusa Tenggara Barat</t>
        </is>
      </c>
      <c r="Q69" t="inlineStr"/>
    </row>
    <row r="70">
      <c r="A70" t="inlineStr">
        <is>
          <t>HAIDAR MAJU JAYA</t>
        </is>
      </c>
      <c r="B70" t="inlineStr">
        <is>
          <t>Kab. Tulungagung</t>
        </is>
      </c>
      <c r="C70" t="inlineStr">
        <is>
          <t>081386006126</t>
        </is>
      </c>
      <c r="D70" t="inlineStr">
        <is>
          <t>cvhaidarmajujaya@gmail.com</t>
        </is>
      </c>
      <c r="E70" t="inlineStr">
        <is>
          <t>https://lpjk.pu.go.id/search-badan-usaha-detail/Smd2TDJCLzRoTklEdkFzU0YxQVRxUT09</t>
        </is>
      </c>
      <c r="F70" t="n">
        <v>1</v>
      </c>
      <c r="G70" t="inlineStr">
        <is>
          <t>BG006</t>
        </is>
      </c>
      <c r="H70" t="inlineStr">
        <is>
          <t>25 Oktober 2022</t>
        </is>
      </c>
      <c r="I70" s="2" t="n">
        <v>46290</v>
      </c>
      <c r="J70" t="inlineStr">
        <is>
          <t>Pencabutan</t>
        </is>
      </c>
      <c r="K70" t="n">
        <v>30</v>
      </c>
      <c r="L70" t="inlineStr">
        <is>
          <t>25 September 2026</t>
        </is>
      </c>
      <c r="M70" t="inlineStr">
        <is>
          <t>Konstruksi Gedung Pendidikan</t>
        </is>
      </c>
      <c r="N70" t="inlineStr">
        <is>
          <t>K</t>
        </is>
      </c>
      <c r="O70" t="inlineStr">
        <is>
          <t>20230913</t>
        </is>
      </c>
      <c r="P70" t="inlineStr">
        <is>
          <t>Jawa Timur</t>
        </is>
      </c>
      <c r="Q70" t="inlineStr"/>
    </row>
    <row r="71">
      <c r="A71" t="inlineStr">
        <is>
          <t>HAN JAYA UTAMA</t>
        </is>
      </c>
      <c r="B71" t="inlineStr">
        <is>
          <t>Kab. Kampar</t>
        </is>
      </c>
      <c r="C71" t="inlineStr">
        <is>
          <t>087793297857</t>
        </is>
      </c>
      <c r="D71" t="inlineStr">
        <is>
          <t>cv.hanjayautama@gmail.com</t>
        </is>
      </c>
      <c r="E71" t="inlineStr">
        <is>
          <t>https://lpjk.pu.go.id/search-badan-usaha-detail/cm03Q3dTV0RGSnhXa3JVTUQxRlZFUT09</t>
        </is>
      </c>
      <c r="F71" t="n">
        <v>1</v>
      </c>
      <c r="G71" t="inlineStr">
        <is>
          <t>BG009</t>
        </is>
      </c>
      <c r="H71" t="inlineStr">
        <is>
          <t>6 Juni 2023</t>
        </is>
      </c>
      <c r="I71" s="2" t="n">
        <v>46290</v>
      </c>
      <c r="J71" t="inlineStr">
        <is>
          <t>Disetujui</t>
        </is>
      </c>
      <c r="K71" t="n">
        <v>30</v>
      </c>
      <c r="L71" t="inlineStr">
        <is>
          <t>25 September 2026</t>
        </is>
      </c>
      <c r="M71" t="inlineStr">
        <is>
          <t>Konstruksi Gedung Lainnya</t>
        </is>
      </c>
      <c r="N71" t="inlineStr">
        <is>
          <t>K</t>
        </is>
      </c>
      <c r="O71" t="inlineStr">
        <is>
          <t>20230925</t>
        </is>
      </c>
      <c r="P71" t="inlineStr">
        <is>
          <t>Riau</t>
        </is>
      </c>
      <c r="Q71" t="inlineStr"/>
    </row>
    <row r="72">
      <c r="A72" t="inlineStr">
        <is>
          <t>HARSA WIJAYA</t>
        </is>
      </c>
      <c r="B72" t="inlineStr">
        <is>
          <t>Kab. Lumajang</t>
        </is>
      </c>
      <c r="C72" t="inlineStr">
        <is>
          <t>082132640659</t>
        </is>
      </c>
      <c r="D72" t="inlineStr">
        <is>
          <t>harsa43@yahoo.com</t>
        </is>
      </c>
      <c r="E72" t="inlineStr">
        <is>
          <t>https://lpjk.pu.go.id/search-badan-usaha-detail/RytKd0FSMzcrODdOZE9VZW5ibXo2UT09</t>
        </is>
      </c>
      <c r="F72" t="n">
        <v>3</v>
      </c>
      <c r="G72" t="inlineStr">
        <is>
          <t>BG006, BG008, BS001</t>
        </is>
      </c>
      <c r="H72" t="inlineStr">
        <is>
          <t>28 November 1984</t>
        </is>
      </c>
      <c r="I72" s="2" t="n">
        <v>46290</v>
      </c>
      <c r="J72" t="inlineStr">
        <is>
          <t>Disetujui</t>
        </is>
      </c>
      <c r="K72" t="n">
        <v>30</v>
      </c>
      <c r="L72" t="inlineStr">
        <is>
          <t>25 September 2026</t>
        </is>
      </c>
      <c r="M72" t="inlineStr">
        <is>
          <t>Konstruksi Bangunan Sipil Jalan, Konstruksi Gedung Pendidikan, Konstruksi Gedung Tempat Hiburan dan Olahraga</t>
        </is>
      </c>
      <c r="N72" t="inlineStr">
        <is>
          <t>K</t>
        </is>
      </c>
      <c r="O72" t="inlineStr">
        <is>
          <t>20230921, 20230922, 20230927</t>
        </is>
      </c>
      <c r="P72" t="inlineStr">
        <is>
          <t>Jawa Timur</t>
        </is>
      </c>
      <c r="Q72" t="inlineStr"/>
    </row>
    <row r="73">
      <c r="A73" t="inlineStr">
        <is>
          <t>HASNA</t>
        </is>
      </c>
      <c r="B73" t="inlineStr">
        <is>
          <t>Kab. Banyuasin</t>
        </is>
      </c>
      <c r="C73" t="inlineStr">
        <is>
          <t>082260907868</t>
        </is>
      </c>
      <c r="D73" t="inlineStr">
        <is>
          <t>hasna.cv2@gmail.com</t>
        </is>
      </c>
      <c r="E73" t="inlineStr">
        <is>
          <t>https://lpjk.pu.go.id/search-badan-usaha-detail/aXN5VnhnWGdCVmErQVpVMjdZZTY1dz09</t>
        </is>
      </c>
      <c r="F73" t="n">
        <v>1</v>
      </c>
      <c r="G73" t="inlineStr">
        <is>
          <t>BG008</t>
        </is>
      </c>
      <c r="H73" t="inlineStr">
        <is>
          <t>1 Juni 1982</t>
        </is>
      </c>
      <c r="I73" s="2" t="n">
        <v>46290</v>
      </c>
      <c r="J73" t="inlineStr">
        <is>
          <t>Disetujui</t>
        </is>
      </c>
      <c r="K73" t="n">
        <v>30</v>
      </c>
      <c r="L73" t="inlineStr">
        <is>
          <t>25 September 2026</t>
        </is>
      </c>
      <c r="M73" t="inlineStr">
        <is>
          <t>Konstruksi Gedung Tempat Hiburan dan Olahraga</t>
        </is>
      </c>
      <c r="N73" t="inlineStr">
        <is>
          <t>K</t>
        </is>
      </c>
      <c r="O73" t="inlineStr">
        <is>
          <t>20230921</t>
        </is>
      </c>
      <c r="P73" t="inlineStr">
        <is>
          <t>Sumatera Selatan</t>
        </is>
      </c>
      <c r="Q73" t="inlineStr"/>
    </row>
    <row r="74">
      <c r="A74" t="inlineStr">
        <is>
          <t>HASTA REKA DHARMA</t>
        </is>
      </c>
      <c r="B74" t="inlineStr">
        <is>
          <t>Kab. Jember</t>
        </is>
      </c>
      <c r="C74" t="inlineStr">
        <is>
          <t>081339246493</t>
        </is>
      </c>
      <c r="D74" t="inlineStr">
        <is>
          <t>hastarekadarma22@gmail.com</t>
        </is>
      </c>
      <c r="E74" t="inlineStr">
        <is>
          <t>https://lpjk.pu.go.id/search-badan-usaha-detail/UkptS3k5dUJ1d0x5aGEySGtjS3IrZz09</t>
        </is>
      </c>
      <c r="F74" t="n">
        <v>2</v>
      </c>
      <c r="G74" t="inlineStr">
        <is>
          <t>RK001, RK003</t>
        </is>
      </c>
      <c r="H74" t="inlineStr">
        <is>
          <t>17 Februari 2023</t>
        </is>
      </c>
      <c r="I74" s="2" t="n">
        <v>46290</v>
      </c>
      <c r="J74" t="inlineStr">
        <is>
          <t>Disetujui</t>
        </is>
      </c>
      <c r="K74" t="n">
        <v>30</v>
      </c>
      <c r="L74" t="inlineStr">
        <is>
          <t>25 September 2026</t>
        </is>
      </c>
      <c r="M74" t="inlineStr">
        <is>
          <t>Jasa Rekayasa Konstruksi Bangunan Gedung Hunian dan Non Hunian, Jasa Rekayasa Pekerjaan Teknik Sipil Transportasi</t>
        </is>
      </c>
      <c r="N74" t="inlineStr">
        <is>
          <t>K</t>
        </is>
      </c>
      <c r="O74" t="inlineStr">
        <is>
          <t>20230915</t>
        </is>
      </c>
      <c r="P74" t="inlineStr">
        <is>
          <t>Jawa Timur</t>
        </is>
      </c>
      <c r="Q74" t="inlineStr"/>
    </row>
    <row r="75">
      <c r="A75" t="inlineStr">
        <is>
          <t>HIKMAH PERDANA PERKASA</t>
        </is>
      </c>
      <c r="B75" t="inlineStr">
        <is>
          <t>Kab. Kampar</t>
        </is>
      </c>
      <c r="C75" t="inlineStr">
        <is>
          <t>087793297857</t>
        </is>
      </c>
      <c r="D75" t="inlineStr">
        <is>
          <t>hikmahperdanaperkasa.cv@gmail.com</t>
        </is>
      </c>
      <c r="E75" t="inlineStr">
        <is>
          <t>https://lpjk.pu.go.id/search-badan-usaha-detail/eklXMnhHUWJvSm5rZ1NhTmM2STJBUT09</t>
        </is>
      </c>
      <c r="F75" t="n">
        <v>2</v>
      </c>
      <c r="G75" t="inlineStr">
        <is>
          <t>BS004</t>
        </is>
      </c>
      <c r="H75" t="inlineStr">
        <is>
          <t>27 April 2001</t>
        </is>
      </c>
      <c r="I75" s="2" t="n">
        <v>46290</v>
      </c>
      <c r="J75" t="inlineStr">
        <is>
          <t>Pencabutan</t>
        </is>
      </c>
      <c r="K75" t="n">
        <v>30</v>
      </c>
      <c r="L75" t="inlineStr">
        <is>
          <t>25 September 2026</t>
        </is>
      </c>
      <c r="M75" t="inlineStr">
        <is>
          <t>Konstruksi Jaringan Irigasi dan Drainase</t>
        </is>
      </c>
      <c r="N75" t="inlineStr">
        <is>
          <t>K</t>
        </is>
      </c>
      <c r="O75" t="inlineStr">
        <is>
          <t>20230925</t>
        </is>
      </c>
      <c r="P75" t="inlineStr">
        <is>
          <t>Riau</t>
        </is>
      </c>
      <c r="Q75" t="inlineStr"/>
    </row>
    <row r="76">
      <c r="A76" t="inlineStr">
        <is>
          <t>IDEANUSA MUTIARA</t>
        </is>
      </c>
      <c r="B76" t="inlineStr">
        <is>
          <t>Kota Langsa</t>
        </is>
      </c>
      <c r="C76" t="inlineStr">
        <is>
          <t>085296288184</t>
        </is>
      </c>
      <c r="D76" t="inlineStr">
        <is>
          <t>ideanusamutiaracv@gmail.com</t>
        </is>
      </c>
      <c r="E76" t="inlineStr">
        <is>
          <t>https://lpjk.pu.go.id/search-badan-usaha-detail/UTNjZlpFUDNoUjRZTmZTdmxQdWJFQT09</t>
        </is>
      </c>
      <c r="F76" t="n">
        <v>3</v>
      </c>
      <c r="G76" t="inlineStr">
        <is>
          <t>RK001, RK002, RK003</t>
        </is>
      </c>
      <c r="H76" t="inlineStr">
        <is>
          <t>19 Mei 2016</t>
        </is>
      </c>
      <c r="I76" s="2" t="n">
        <v>46290</v>
      </c>
      <c r="J76" t="inlineStr">
        <is>
          <t>Disetujui</t>
        </is>
      </c>
      <c r="K76" t="n">
        <v>30</v>
      </c>
      <c r="L76" t="inlineStr">
        <is>
          <t>25 September 2026</t>
        </is>
      </c>
      <c r="M76" t="inlineStr">
        <is>
          <t>Jasa Rekayasa Konstruksi Bangunan Gedung Hunian dan Non Hunian, Jasa Rekayasa Pekerjaan Teknik Sipil Sumber Daya Air, Jasa Rekayasa Pekerjaan Teknik Sipil Transportasi</t>
        </is>
      </c>
      <c r="N76" t="inlineStr">
        <is>
          <t>K</t>
        </is>
      </c>
      <c r="O76" t="inlineStr">
        <is>
          <t>20230918</t>
        </is>
      </c>
      <c r="P76" t="inlineStr">
        <is>
          <t>Aceh</t>
        </is>
      </c>
      <c r="Q76" t="inlineStr"/>
    </row>
    <row r="77">
      <c r="A77" t="inlineStr">
        <is>
          <t>INSANI ABADI</t>
        </is>
      </c>
      <c r="B77" t="inlineStr">
        <is>
          <t>Kota Tanjung Pinang</t>
        </is>
      </c>
      <c r="C77" t="inlineStr">
        <is>
          <t>085264492352</t>
        </is>
      </c>
      <c r="D77" t="inlineStr">
        <is>
          <t>insaniabadi@yahoo.co.id</t>
        </is>
      </c>
      <c r="E77" t="inlineStr">
        <is>
          <t>https://lpjk.pu.go.id/search-badan-usaha-detail/aUpNd0xrZGx2U2kxVElaaGd4TjhWQT09</t>
        </is>
      </c>
      <c r="F77" t="n">
        <v>2</v>
      </c>
      <c r="G77" t="inlineStr">
        <is>
          <t>BS005</t>
        </is>
      </c>
      <c r="H77" t="inlineStr">
        <is>
          <t>18 Februari 2003</t>
        </is>
      </c>
      <c r="I77" s="2" t="n">
        <v>46290</v>
      </c>
      <c r="J77" t="inlineStr">
        <is>
          <t>Disetujui</t>
        </is>
      </c>
      <c r="K77" t="n">
        <v>30</v>
      </c>
      <c r="L77" t="inlineStr">
        <is>
          <t>25 September 2026</t>
        </is>
      </c>
      <c r="M77" t="inlineStr">
        <is>
          <t>Konstruksi Bangunan Sipil Pengolahan Air Bersih</t>
        </is>
      </c>
      <c r="N77" t="inlineStr">
        <is>
          <t>K</t>
        </is>
      </c>
      <c r="O77" t="inlineStr">
        <is>
          <t>20230921</t>
        </is>
      </c>
      <c r="P77" t="inlineStr">
        <is>
          <t>Kepulauan Riau</t>
        </is>
      </c>
      <c r="Q77" t="inlineStr"/>
    </row>
    <row r="78">
      <c r="A78" t="inlineStr">
        <is>
          <t>JAYA SAKTI</t>
        </is>
      </c>
      <c r="B78" t="inlineStr">
        <is>
          <t>Kab. Nganjuk</t>
        </is>
      </c>
      <c r="C78" t="inlineStr">
        <is>
          <t>081230401680</t>
        </is>
      </c>
      <c r="D78" t="inlineStr">
        <is>
          <t>jayasakticv5@gmail.com</t>
        </is>
      </c>
      <c r="E78" t="inlineStr">
        <is>
          <t>https://lpjk.pu.go.id/search-badan-usaha-detail/SGtsRC94WWNVckpWK0lydmw2aE1MQT09</t>
        </is>
      </c>
      <c r="F78" t="n">
        <v>2</v>
      </c>
      <c r="G78" t="inlineStr">
        <is>
          <t>BS004, BS005</t>
        </is>
      </c>
      <c r="H78" t="inlineStr">
        <is>
          <t>9 Juli 2020</t>
        </is>
      </c>
      <c r="I78" s="2" t="n">
        <v>46290</v>
      </c>
      <c r="J78" t="inlineStr">
        <is>
          <t>Disetujui</t>
        </is>
      </c>
      <c r="K78" t="n">
        <v>30</v>
      </c>
      <c r="L78" t="inlineStr">
        <is>
          <t>25 September 2026</t>
        </is>
      </c>
      <c r="M78" t="inlineStr">
        <is>
          <t>Konstruksi Bangunan Sipil Pengolahan Air Bersih, Konstruksi Jaringan Irigasi dan Drainase</t>
        </is>
      </c>
      <c r="N78" t="inlineStr">
        <is>
          <t>K</t>
        </is>
      </c>
      <c r="O78" t="inlineStr">
        <is>
          <t>20230510</t>
        </is>
      </c>
      <c r="P78" t="inlineStr">
        <is>
          <t>Jawa Timur</t>
        </is>
      </c>
      <c r="Q78" t="inlineStr"/>
    </row>
    <row r="79">
      <c r="A79" t="inlineStr">
        <is>
          <t>KARISMA MULTI TALENTA</t>
        </is>
      </c>
      <c r="B79" t="inlineStr">
        <is>
          <t>Kota Adm. Jakarta Pusat</t>
        </is>
      </c>
      <c r="C79" t="inlineStr">
        <is>
          <t>02142802892</t>
        </is>
      </c>
      <c r="D79" t="inlineStr">
        <is>
          <t>karisma_multitalenta@yahoo.com</t>
        </is>
      </c>
      <c r="E79" t="inlineStr">
        <is>
          <t>https://lpjk.pu.go.id/search-badan-usaha-detail/UlJMZy82NWQzUGhyRkttMUUreDdvdz09</t>
        </is>
      </c>
      <c r="F79" t="n">
        <v>1</v>
      </c>
      <c r="G79" t="inlineStr">
        <is>
          <t>BG002</t>
        </is>
      </c>
      <c r="H79" t="inlineStr">
        <is>
          <t>9 September 2009</t>
        </is>
      </c>
      <c r="I79" s="2" t="n">
        <v>46290</v>
      </c>
      <c r="J79" t="inlineStr">
        <is>
          <t>Disetujui</t>
        </is>
      </c>
      <c r="K79" t="n">
        <v>30</v>
      </c>
      <c r="L79" t="inlineStr">
        <is>
          <t>25 September 2026</t>
        </is>
      </c>
      <c r="M79" t="inlineStr">
        <is>
          <t>Konstruksi Gedung Perkantoran</t>
        </is>
      </c>
      <c r="N79" t="inlineStr">
        <is>
          <t>K</t>
        </is>
      </c>
      <c r="O79" t="inlineStr">
        <is>
          <t>20230912</t>
        </is>
      </c>
      <c r="P79" t="inlineStr">
        <is>
          <t>DKI Jakarta</t>
        </is>
      </c>
      <c r="Q79" t="inlineStr"/>
    </row>
    <row r="80">
      <c r="A80" t="inlineStr">
        <is>
          <t>KARYA ABADI</t>
        </is>
      </c>
      <c r="B80" t="inlineStr">
        <is>
          <t>Kota Medan</t>
        </is>
      </c>
      <c r="C80" t="inlineStr">
        <is>
          <t>0614537395</t>
        </is>
      </c>
      <c r="D80" t="inlineStr">
        <is>
          <t>karyaabadimedancv@gmail.com</t>
        </is>
      </c>
      <c r="E80" t="inlineStr">
        <is>
          <t>https://lpjk.pu.go.id/search-badan-usaha-detail/Z3VlUkpoQjV5L0hHbWJEaEkwQWZZZz09</t>
        </is>
      </c>
      <c r="F80" t="n">
        <v>2</v>
      </c>
      <c r="G80" t="inlineStr">
        <is>
          <t>BG003, BS002</t>
        </is>
      </c>
      <c r="H80" t="inlineStr">
        <is>
          <t>16 November 2011</t>
        </is>
      </c>
      <c r="I80" s="2" t="n">
        <v>46290</v>
      </c>
      <c r="J80" t="inlineStr">
        <is>
          <t>Disetujui</t>
        </is>
      </c>
      <c r="K80" t="n">
        <v>30</v>
      </c>
      <c r="L80" t="inlineStr">
        <is>
          <t>25 September 2026</t>
        </is>
      </c>
      <c r="M80" t="inlineStr">
        <is>
          <t>Bangunan Sipil Jembatan, Jalan Layang, Fly Over, dan Underpass, Konstruksi Gedung Industri</t>
        </is>
      </c>
      <c r="N80" t="inlineStr">
        <is>
          <t>K</t>
        </is>
      </c>
      <c r="O80" t="inlineStr">
        <is>
          <t>20230922</t>
        </is>
      </c>
      <c r="P80" t="inlineStr">
        <is>
          <t>Sumatera Utara</t>
        </is>
      </c>
      <c r="Q80" t="inlineStr"/>
    </row>
    <row r="81">
      <c r="A81" t="inlineStr">
        <is>
          <t>KARYA NUGRAHA</t>
        </is>
      </c>
      <c r="B81" t="inlineStr">
        <is>
          <t>Kab. Barito Kuala</t>
        </is>
      </c>
      <c r="C81" t="inlineStr">
        <is>
          <t>082153009965</t>
        </is>
      </c>
      <c r="D81" t="inlineStr">
        <is>
          <t>cv.karyanugrahaoss@gmail.com</t>
        </is>
      </c>
      <c r="E81" t="inlineStr">
        <is>
          <t>https://lpjk.pu.go.id/search-badan-usaha-detail/OHNXZWRHdFcxWGhrQUI4ejd4QTAwQT09</t>
        </is>
      </c>
      <c r="F81" t="n">
        <v>1</v>
      </c>
      <c r="G81" t="inlineStr">
        <is>
          <t>BS001</t>
        </is>
      </c>
      <c r="H81" t="inlineStr">
        <is>
          <t>21 Juli 1997</t>
        </is>
      </c>
      <c r="I81" s="2" t="n">
        <v>46290</v>
      </c>
      <c r="J81" t="inlineStr">
        <is>
          <t>Disetujui</t>
        </is>
      </c>
      <c r="K81" t="n">
        <v>30</v>
      </c>
      <c r="L81" t="inlineStr">
        <is>
          <t>25 September 2026</t>
        </is>
      </c>
      <c r="M81" t="inlineStr">
        <is>
          <t>Konstruksi Bangunan Sipil Jalan</t>
        </is>
      </c>
      <c r="N81" t="inlineStr">
        <is>
          <t>K</t>
        </is>
      </c>
      <c r="O81" t="inlineStr">
        <is>
          <t>20230918</t>
        </is>
      </c>
      <c r="P81" t="inlineStr">
        <is>
          <t>Kalimantan Selatan</t>
        </is>
      </c>
      <c r="Q81" t="inlineStr"/>
    </row>
    <row r="82">
      <c r="A82" t="inlineStr">
        <is>
          <t>KARYA PUTERA ARU</t>
        </is>
      </c>
      <c r="B82" t="inlineStr">
        <is>
          <t>Kab. Kepulauan Aru</t>
        </is>
      </c>
      <c r="C82" t="inlineStr">
        <is>
          <t>08524791947</t>
        </is>
      </c>
      <c r="D82" t="inlineStr">
        <is>
          <t>yosepiyarmasa@gmail.com</t>
        </is>
      </c>
      <c r="E82" t="inlineStr">
        <is>
          <t>https://lpjk.pu.go.id/search-badan-usaha-detail/WjBydmIwTkdtR0JMMjBaS0JMQnppUT09</t>
        </is>
      </c>
      <c r="F82" t="n">
        <v>1</v>
      </c>
      <c r="G82" t="inlineStr">
        <is>
          <t>BS011</t>
        </is>
      </c>
      <c r="H82" t="inlineStr">
        <is>
          <t>22 Juni 2012</t>
        </is>
      </c>
      <c r="I82" s="2" t="n">
        <v>46290</v>
      </c>
      <c r="J82" t="inlineStr">
        <is>
          <t>Disetujui</t>
        </is>
      </c>
      <c r="K82" t="n">
        <v>30</v>
      </c>
      <c r="L82" t="inlineStr">
        <is>
          <t>25 September 2026</t>
        </is>
      </c>
      <c r="M82" t="inlineStr">
        <is>
          <t>Konstruksi Bangunan Pelabuhan Bukan Perikanan</t>
        </is>
      </c>
      <c r="N82" t="inlineStr">
        <is>
          <t>K</t>
        </is>
      </c>
      <c r="O82" t="inlineStr">
        <is>
          <t>20230925</t>
        </is>
      </c>
      <c r="P82" t="inlineStr">
        <is>
          <t>Maluku</t>
        </is>
      </c>
      <c r="Q82" t="inlineStr"/>
    </row>
    <row r="83">
      <c r="A83" t="inlineStr">
        <is>
          <t>KARYAWAN PT. KALTIM INDUSTRIAL ESTATE</t>
        </is>
      </c>
      <c r="B83" t="inlineStr">
        <is>
          <t>Kota Bontang</t>
        </is>
      </c>
      <c r="C83" t="inlineStr">
        <is>
          <t>054841379</t>
        </is>
      </c>
      <c r="D83" t="inlineStr">
        <is>
          <t>kopkarkiebontang@gmail.com</t>
        </is>
      </c>
      <c r="E83" t="inlineStr">
        <is>
          <t>https://lpjk.pu.go.id/search-badan-usaha-detail/bWVQWGlRZmxnNFR0SnJBSU5peitjUT09</t>
        </is>
      </c>
      <c r="F83" t="n">
        <v>4</v>
      </c>
      <c r="G83" t="inlineStr">
        <is>
          <t>BG001, BG002, BS001, BS004</t>
        </is>
      </c>
      <c r="H83" t="inlineStr">
        <is>
          <t>28 Juli 1993</t>
        </is>
      </c>
      <c r="I83" s="2" t="n">
        <v>46290</v>
      </c>
      <c r="J83" t="inlineStr">
        <is>
          <t>Disetujui</t>
        </is>
      </c>
      <c r="K83" t="n">
        <v>30</v>
      </c>
      <c r="L83" t="inlineStr">
        <is>
          <t>25 September 2026</t>
        </is>
      </c>
      <c r="M83" t="inlineStr">
        <is>
          <t>Konstruksi Bangunan Sipil Jalan, Konstruksi Gedung Hunian, Konstruksi Gedung Perkantoran, Konstruksi Jaringan Irigasi dan Drainase</t>
        </is>
      </c>
      <c r="N83" t="inlineStr">
        <is>
          <t>K</t>
        </is>
      </c>
      <c r="O83" t="inlineStr">
        <is>
          <t>20230926</t>
        </is>
      </c>
      <c r="P83" t="inlineStr">
        <is>
          <t>Kalimantan Timur</t>
        </is>
      </c>
      <c r="Q83" t="inlineStr"/>
    </row>
    <row r="84">
      <c r="A84" t="inlineStr">
        <is>
          <t>KAWAN KITA</t>
        </is>
      </c>
      <c r="B84" t="inlineStr">
        <is>
          <t>Kab. Trenggalek</t>
        </is>
      </c>
      <c r="C84" t="inlineStr">
        <is>
          <t>085330872251</t>
        </is>
      </c>
      <c r="D84" t="inlineStr">
        <is>
          <t>cvkawankita202@gmail.com</t>
        </is>
      </c>
      <c r="E84" t="inlineStr">
        <is>
          <t>https://lpjk.pu.go.id/search-badan-usaha-detail/RC8zbDdnTnVNeXZRVFF6RlVPRlhnZz09</t>
        </is>
      </c>
      <c r="F84" t="n">
        <v>2</v>
      </c>
      <c r="G84" t="inlineStr">
        <is>
          <t>BG009</t>
        </is>
      </c>
      <c r="H84" t="inlineStr">
        <is>
          <t>1 Februari 2019</t>
        </is>
      </c>
      <c r="I84" s="2" t="n">
        <v>46290</v>
      </c>
      <c r="J84" t="inlineStr">
        <is>
          <t>Disetujui</t>
        </is>
      </c>
      <c r="K84" t="n">
        <v>30</v>
      </c>
      <c r="L84" t="inlineStr">
        <is>
          <t>25 September 2026</t>
        </is>
      </c>
      <c r="M84" t="inlineStr">
        <is>
          <t>Konstruksi Gedung Lainnya</t>
        </is>
      </c>
      <c r="N84" t="inlineStr">
        <is>
          <t>K</t>
        </is>
      </c>
      <c r="O84" t="inlineStr">
        <is>
          <t>20230920</t>
        </is>
      </c>
      <c r="P84" t="inlineStr">
        <is>
          <t>Jawa Timur</t>
        </is>
      </c>
      <c r="Q84" t="inlineStr"/>
    </row>
    <row r="85">
      <c r="A85" t="inlineStr">
        <is>
          <t>KENCANA KARYA</t>
        </is>
      </c>
      <c r="B85" t="inlineStr">
        <is>
          <t>Kab. Kepulauan Mentawai</t>
        </is>
      </c>
      <c r="C85" t="inlineStr">
        <is>
          <t>085276200200</t>
        </is>
      </c>
      <c r="D85" t="inlineStr">
        <is>
          <t>kencanakarya2020@gmail.com</t>
        </is>
      </c>
      <c r="E85" t="inlineStr">
        <is>
          <t>https://lpjk.pu.go.id/search-badan-usaha-detail/NW5URkNLRjFtT1dhZUR6aW84Z2hEZz09</t>
        </is>
      </c>
      <c r="F85" t="n">
        <v>1</v>
      </c>
      <c r="G85" t="inlineStr">
        <is>
          <t>BS001</t>
        </is>
      </c>
      <c r="H85" t="inlineStr">
        <is>
          <t>13 Januari 2010</t>
        </is>
      </c>
      <c r="I85" s="2" t="n">
        <v>46290</v>
      </c>
      <c r="J85" t="inlineStr">
        <is>
          <t>Pencabutan</t>
        </is>
      </c>
      <c r="K85" t="n">
        <v>30</v>
      </c>
      <c r="L85" t="inlineStr">
        <is>
          <t>25 September 2026</t>
        </is>
      </c>
      <c r="M85" t="inlineStr">
        <is>
          <t>Konstruksi Bangunan Sipil Jalan</t>
        </is>
      </c>
      <c r="N85" t="inlineStr">
        <is>
          <t>K</t>
        </is>
      </c>
      <c r="O85" t="inlineStr">
        <is>
          <t>20230921</t>
        </is>
      </c>
      <c r="P85" t="inlineStr">
        <is>
          <t>Sumatera Barat</t>
        </is>
      </c>
      <c r="Q85" t="inlineStr"/>
    </row>
    <row r="86">
      <c r="A86" t="inlineStr">
        <is>
          <t>KHAIMAR TRI LESTARI</t>
        </is>
      </c>
      <c r="B86" t="inlineStr">
        <is>
          <t>Kota Bandung</t>
        </is>
      </c>
      <c r="C86" t="inlineStr">
        <is>
          <t>0227204156</t>
        </is>
      </c>
      <c r="D86" t="inlineStr">
        <is>
          <t>khaimar.trilestari@gmail.com</t>
        </is>
      </c>
      <c r="E86" t="inlineStr">
        <is>
          <t>https://lpjk.pu.go.id/search-badan-usaha-detail/NVp1SzVoeFBrd3p1aGxaVnpKWWxRdz09</t>
        </is>
      </c>
      <c r="F86" t="n">
        <v>3</v>
      </c>
      <c r="G86" t="inlineStr">
        <is>
          <t>BG002, BG006, BG009</t>
        </is>
      </c>
      <c r="H86" t="inlineStr">
        <is>
          <t>13 Desember 2019</t>
        </is>
      </c>
      <c r="I86" s="2" t="n">
        <v>46290</v>
      </c>
      <c r="J86" t="inlineStr">
        <is>
          <t>Disetujui</t>
        </is>
      </c>
      <c r="K86" t="n">
        <v>30</v>
      </c>
      <c r="L86" t="inlineStr">
        <is>
          <t>25 September 2026</t>
        </is>
      </c>
      <c r="M86" t="inlineStr">
        <is>
          <t>Konstruksi Gedung Lainnya, Konstruksi Gedung Pendidikan, Konstruksi Gedung Perkantoran</t>
        </is>
      </c>
      <c r="N86" t="inlineStr">
        <is>
          <t>K</t>
        </is>
      </c>
      <c r="O86" t="inlineStr">
        <is>
          <t>20230926</t>
        </is>
      </c>
      <c r="P86" t="inlineStr">
        <is>
          <t>Jawa Barat</t>
        </is>
      </c>
      <c r="Q86" t="inlineStr"/>
    </row>
    <row r="87">
      <c r="A87" t="inlineStr">
        <is>
          <t>KHANSA UTAMA</t>
        </is>
      </c>
      <c r="B87" t="inlineStr">
        <is>
          <t>Kab. Gayo Lues</t>
        </is>
      </c>
      <c r="C87" t="inlineStr">
        <is>
          <t>081240404860</t>
        </is>
      </c>
      <c r="D87" t="inlineStr">
        <is>
          <t>khansa.uta@gmail.com</t>
        </is>
      </c>
      <c r="E87" t="inlineStr">
        <is>
          <t>https://lpjk.pu.go.id/search-badan-usaha-detail/VzZBMTRUcE9Yd2Jwc3JIZTFBRmlvdz09</t>
        </is>
      </c>
      <c r="F87" t="n">
        <v>14</v>
      </c>
      <c r="G87" t="inlineStr">
        <is>
          <t>BG001, BG002, BG005, BG006, BG009, BS001, BS005</t>
        </is>
      </c>
      <c r="H87" t="inlineStr">
        <is>
          <t>7 November 2016</t>
        </is>
      </c>
      <c r="I87" s="2" t="n">
        <v>46290</v>
      </c>
      <c r="J87" t="inlineStr">
        <is>
          <t>Disetujui</t>
        </is>
      </c>
      <c r="K87" t="n">
        <v>30</v>
      </c>
      <c r="L87" t="inlineStr">
        <is>
          <t>25 September 2026</t>
        </is>
      </c>
      <c r="M87" t="inlineStr">
        <is>
          <t>Konstruksi Bangunan Sipil Jalan, Konstruksi Bangunan Sipil Pengolahan Air Bersih, Konstruksi Gedung Hunian, Konstruksi Gedung Kesehatan, Konstruksi Gedung Lainnya, Konstruksi Gedung Pendidikan, Konstruksi Gedung Perkantoran</t>
        </is>
      </c>
      <c r="N87" t="inlineStr">
        <is>
          <t>K</t>
        </is>
      </c>
      <c r="O87" t="inlineStr">
        <is>
          <t>20230922, 20230927, 20230928</t>
        </is>
      </c>
      <c r="P87" t="inlineStr">
        <is>
          <t>Aceh</t>
        </is>
      </c>
      <c r="Q87" t="inlineStr"/>
    </row>
    <row r="88">
      <c r="A88" t="inlineStr">
        <is>
          <t>KHARISMA BINA KONTRUKSI</t>
        </is>
      </c>
      <c r="B88" t="inlineStr">
        <is>
          <t>Kota Mojokerto</t>
        </is>
      </c>
      <c r="C88" t="inlineStr">
        <is>
          <t>0321 5282186</t>
        </is>
      </c>
      <c r="D88" t="inlineStr">
        <is>
          <t>kharismabinakontruksi@gmail.com</t>
        </is>
      </c>
      <c r="E88" t="inlineStr">
        <is>
          <t>https://lpjk.pu.go.id/search-badan-usaha-detail/QjMvUmx5YXhxK2dRM2RxeVEvcnVNZz09</t>
        </is>
      </c>
      <c r="F88" t="n">
        <v>2</v>
      </c>
      <c r="G88" t="inlineStr">
        <is>
          <t>BS010</t>
        </is>
      </c>
      <c r="H88" t="inlineStr">
        <is>
          <t>15 Februari 2005</t>
        </is>
      </c>
      <c r="I88" s="2" t="n">
        <v>46290</v>
      </c>
      <c r="J88" t="inlineStr">
        <is>
          <t>Disetujui</t>
        </is>
      </c>
      <c r="K88" t="n">
        <v>30</v>
      </c>
      <c r="L88" t="inlineStr">
        <is>
          <t>25 September 2026</t>
        </is>
      </c>
      <c r="M88" t="inlineStr">
        <is>
          <t>Konstruksi Bangunan Prasarana Sumber Daya Air</t>
        </is>
      </c>
      <c r="N88" t="inlineStr">
        <is>
          <t>B</t>
        </is>
      </c>
      <c r="O88" t="inlineStr">
        <is>
          <t>20230906</t>
        </is>
      </c>
      <c r="P88" t="inlineStr">
        <is>
          <t>Jawa Timur</t>
        </is>
      </c>
      <c r="Q88" t="inlineStr"/>
    </row>
    <row r="89">
      <c r="A89" t="inlineStr">
        <is>
          <t>KONSTRUKSI UFUK TIMUR</t>
        </is>
      </c>
      <c r="B89" t="inlineStr">
        <is>
          <t>Kab. Fak Fak</t>
        </is>
      </c>
      <c r="C89" t="inlineStr">
        <is>
          <t>081240929325</t>
        </is>
      </c>
      <c r="D89" t="inlineStr">
        <is>
          <t>konstruksiufuktimur@gmail.com</t>
        </is>
      </c>
      <c r="E89" t="inlineStr">
        <is>
          <t>https://lpjk.pu.go.id/search-badan-usaha-detail/VnBlOVBBM0thdmt3Y1NvOGRKYTd2UT09</t>
        </is>
      </c>
      <c r="F89" t="n">
        <v>1</v>
      </c>
      <c r="G89" t="inlineStr">
        <is>
          <t>BS005</t>
        </is>
      </c>
      <c r="H89" t="inlineStr">
        <is>
          <t>18 Agustus 2023</t>
        </is>
      </c>
      <c r="I89" s="2" t="n">
        <v>46290</v>
      </c>
      <c r="J89" t="inlineStr">
        <is>
          <t>Disetujui</t>
        </is>
      </c>
      <c r="K89" t="n">
        <v>30</v>
      </c>
      <c r="L89" t="inlineStr">
        <is>
          <t>25 September 2026</t>
        </is>
      </c>
      <c r="M89" t="inlineStr">
        <is>
          <t>Konstruksi Bangunan Sipil Pengolahan Air Bersih</t>
        </is>
      </c>
      <c r="N89" t="inlineStr">
        <is>
          <t>K</t>
        </is>
      </c>
      <c r="O89" t="inlineStr">
        <is>
          <t>20230925</t>
        </is>
      </c>
      <c r="P89" t="inlineStr">
        <is>
          <t>Papua Barat</t>
        </is>
      </c>
      <c r="Q89" t="inlineStr"/>
    </row>
    <row r="90">
      <c r="A90" t="inlineStr">
        <is>
          <t>KURNIA PERKASA</t>
        </is>
      </c>
      <c r="B90" t="inlineStr">
        <is>
          <t>Kota Semarang</t>
        </is>
      </c>
      <c r="C90" t="inlineStr">
        <is>
          <t>02476744145</t>
        </is>
      </c>
      <c r="D90" t="inlineStr">
        <is>
          <t>Kurniaperkasa@gmail.com</t>
        </is>
      </c>
      <c r="E90" t="inlineStr">
        <is>
          <t>https://lpjk.pu.go.id/search-badan-usaha-detail/cE5RaGZOQ0ZZWkF4Uys2ZENJT2NXdz09</t>
        </is>
      </c>
      <c r="F90" t="n">
        <v>4</v>
      </c>
      <c r="G90" t="inlineStr">
        <is>
          <t>BG001, BG002, BG003, BG007</t>
        </is>
      </c>
      <c r="H90" t="inlineStr">
        <is>
          <t>11 Maret 2017</t>
        </is>
      </c>
      <c r="I90" s="2" t="n">
        <v>46290</v>
      </c>
      <c r="J90" t="inlineStr">
        <is>
          <t>Disetujui</t>
        </is>
      </c>
      <c r="K90" t="n">
        <v>30</v>
      </c>
      <c r="L90" t="inlineStr">
        <is>
          <t>25 September 2026</t>
        </is>
      </c>
      <c r="M90" t="inlineStr">
        <is>
          <t>Konstruksi Gedung Hunian, Konstruksi Gedung Industri, Konstruksi Gedung Penginapan, Konstruksi Gedung Perkantoran</t>
        </is>
      </c>
      <c r="N90" t="inlineStr">
        <is>
          <t>K</t>
        </is>
      </c>
      <c r="O90" t="inlineStr">
        <is>
          <t>20230925</t>
        </is>
      </c>
      <c r="P90" t="inlineStr">
        <is>
          <t>Jawa Tengah</t>
        </is>
      </c>
      <c r="Q90" t="inlineStr"/>
    </row>
    <row r="91">
      <c r="A91" t="inlineStr">
        <is>
          <t>LANCAR TERUS</t>
        </is>
      </c>
      <c r="B91" t="inlineStr">
        <is>
          <t>Kab. Bojonegoro</t>
        </is>
      </c>
      <c r="C91" t="inlineStr">
        <is>
          <t>081236705370</t>
        </is>
      </c>
      <c r="D91" t="inlineStr">
        <is>
          <t>cvlancarterusnew@gmail.com</t>
        </is>
      </c>
      <c r="E91" t="inlineStr">
        <is>
          <t>https://lpjk.pu.go.id/search-badan-usaha-detail/QkZRakcrcGVCNk9Xdk9kZ2tCUUw5Zz09</t>
        </is>
      </c>
      <c r="F91" t="n">
        <v>1</v>
      </c>
      <c r="G91" t="inlineStr">
        <is>
          <t>BG002</t>
        </is>
      </c>
      <c r="H91" t="inlineStr">
        <is>
          <t>28 Mei 2020</t>
        </is>
      </c>
      <c r="I91" s="2" t="n">
        <v>46290</v>
      </c>
      <c r="J91" t="inlineStr">
        <is>
          <t>Disetujui</t>
        </is>
      </c>
      <c r="K91" t="n">
        <v>30</v>
      </c>
      <c r="L91" t="inlineStr">
        <is>
          <t>25 September 2026</t>
        </is>
      </c>
      <c r="M91" t="inlineStr">
        <is>
          <t>Konstruksi Gedung Perkantoran</t>
        </is>
      </c>
      <c r="N91" t="inlineStr">
        <is>
          <t>K</t>
        </is>
      </c>
      <c r="O91" t="inlineStr">
        <is>
          <t>20230926</t>
        </is>
      </c>
      <c r="P91" t="inlineStr">
        <is>
          <t>Jawa Timur</t>
        </is>
      </c>
      <c r="Q91" t="inlineStr"/>
    </row>
    <row r="92">
      <c r="A92" t="inlineStr">
        <is>
          <t>LANGGENG JAYA</t>
        </is>
      </c>
      <c r="B92" t="inlineStr">
        <is>
          <t>Kota Magelang</t>
        </is>
      </c>
      <c r="C92" t="inlineStr">
        <is>
          <t>N/A</t>
        </is>
      </c>
      <c r="D92" t="inlineStr">
        <is>
          <t>N/A</t>
        </is>
      </c>
      <c r="E92" t="inlineStr">
        <is>
          <t>https://lpjk.pu.go.id/search-badan-usaha-detail/eWtIODgvYmltOHpodUQyalN4SGhpZz09</t>
        </is>
      </c>
      <c r="F92" t="n">
        <v>3</v>
      </c>
      <c r="G92" t="inlineStr">
        <is>
          <t>BG002, BG006, BG009</t>
        </is>
      </c>
      <c r="H92" t="inlineStr"/>
      <c r="I92" s="2" t="n">
        <v>46290</v>
      </c>
      <c r="J92" t="inlineStr">
        <is>
          <t>Disetujui</t>
        </is>
      </c>
      <c r="K92" t="n">
        <v>30</v>
      </c>
      <c r="L92" t="inlineStr">
        <is>
          <t>25 September 2026</t>
        </is>
      </c>
      <c r="M92" t="inlineStr">
        <is>
          <t>Konstruksi Gedung Lainnya, Konstruksi Gedung Pendidikan, Konstruksi Gedung Perkantoran</t>
        </is>
      </c>
      <c r="N92" t="inlineStr">
        <is>
          <t>K</t>
        </is>
      </c>
      <c r="O92" t="inlineStr">
        <is>
          <t>20230919, 20230926, 20230927</t>
        </is>
      </c>
      <c r="P92" t="inlineStr">
        <is>
          <t>Jawa Tengah</t>
        </is>
      </c>
      <c r="Q92" t="inlineStr"/>
    </row>
    <row r="93">
      <c r="A93" t="inlineStr">
        <is>
          <t>LINGGA PERKASA JAYA LINE</t>
        </is>
      </c>
      <c r="B93" t="inlineStr">
        <is>
          <t>Kota Cilegon</t>
        </is>
      </c>
      <c r="C93" t="inlineStr">
        <is>
          <t>0254574451</t>
        </is>
      </c>
      <c r="D93" t="inlineStr">
        <is>
          <t>linggaperkasa.pertambangan@gmail.com</t>
        </is>
      </c>
      <c r="E93" t="inlineStr">
        <is>
          <t>https://lpjk.pu.go.id/search-badan-usaha-detail/YlVYTkI1VDluK3EwdFRRbVZVRHo2dz09</t>
        </is>
      </c>
      <c r="F93" t="n">
        <v>1</v>
      </c>
      <c r="G93" t="inlineStr">
        <is>
          <t>BS001</t>
        </is>
      </c>
      <c r="H93" t="inlineStr">
        <is>
          <t>30 Juni 2009</t>
        </is>
      </c>
      <c r="I93" s="2" t="n">
        <v>46290</v>
      </c>
      <c r="J93" t="inlineStr">
        <is>
          <t>Pencabutan</t>
        </is>
      </c>
      <c r="K93" t="n">
        <v>30</v>
      </c>
      <c r="L93" t="inlineStr">
        <is>
          <t>25 September 2026</t>
        </is>
      </c>
      <c r="M93" t="inlineStr">
        <is>
          <t>Konstruksi Bangunan Sipil Jalan</t>
        </is>
      </c>
      <c r="N93" t="inlineStr">
        <is>
          <t>M</t>
        </is>
      </c>
      <c r="O93" t="inlineStr">
        <is>
          <t>20230828</t>
        </is>
      </c>
      <c r="P93" t="inlineStr">
        <is>
          <t>Banten</t>
        </is>
      </c>
      <c r="Q93" t="inlineStr"/>
    </row>
    <row r="94">
      <c r="A94" t="inlineStr">
        <is>
          <t>LOKAL UTAMA</t>
        </is>
      </c>
      <c r="B94" t="inlineStr">
        <is>
          <t>Kab. Sumbawa Barat</t>
        </is>
      </c>
      <c r="C94" t="inlineStr">
        <is>
          <t>081339639396</t>
        </is>
      </c>
      <c r="D94" t="inlineStr">
        <is>
          <t>lokalutama@yahoo.com</t>
        </is>
      </c>
      <c r="E94" t="inlineStr">
        <is>
          <t>https://lpjk.pu.go.id/search-badan-usaha-detail/M2czZ21PWHhLcHRuRW5XQ1VyZlpxUT09</t>
        </is>
      </c>
      <c r="F94" t="n">
        <v>2</v>
      </c>
      <c r="G94" t="inlineStr">
        <is>
          <t>BG002, BG009</t>
        </is>
      </c>
      <c r="H94" t="inlineStr">
        <is>
          <t>19 Oktober 2001</t>
        </is>
      </c>
      <c r="I94" s="2" t="n">
        <v>46290</v>
      </c>
      <c r="J94" t="inlineStr">
        <is>
          <t>Disetujui</t>
        </is>
      </c>
      <c r="K94" t="n">
        <v>30</v>
      </c>
      <c r="L94" t="inlineStr">
        <is>
          <t>25 September 2026</t>
        </is>
      </c>
      <c r="M94" t="inlineStr">
        <is>
          <t>Konstruksi Gedung Lainnya, Konstruksi Gedung Perkantoran</t>
        </is>
      </c>
      <c r="N94" t="inlineStr">
        <is>
          <t>K</t>
        </is>
      </c>
      <c r="O94" t="inlineStr">
        <is>
          <t>20230920</t>
        </is>
      </c>
      <c r="P94" t="inlineStr">
        <is>
          <t>Nusa Tenggara Barat</t>
        </is>
      </c>
      <c r="Q94" t="inlineStr"/>
    </row>
    <row r="95">
      <c r="A95" t="inlineStr">
        <is>
          <t>MAHAKAM PERSADA</t>
        </is>
      </c>
      <c r="B95" t="inlineStr">
        <is>
          <t>Kota Samarinda</t>
        </is>
      </c>
      <c r="C95" t="inlineStr">
        <is>
          <t>08125361797</t>
        </is>
      </c>
      <c r="D95" t="inlineStr">
        <is>
          <t>mahakampersada@gmail.com</t>
        </is>
      </c>
      <c r="E95" t="inlineStr">
        <is>
          <t>https://lpjk.pu.go.id/search-badan-usaha-detail/VXpJcHU5d3dEQmVKNkg0bXdSbWczZz09</t>
        </is>
      </c>
      <c r="F95" t="n">
        <v>4</v>
      </c>
      <c r="G95" t="inlineStr">
        <is>
          <t>AL001, AL004</t>
        </is>
      </c>
      <c r="H95" t="inlineStr">
        <is>
          <t>22 Juni 2012</t>
        </is>
      </c>
      <c r="I95" s="2" t="n">
        <v>46290</v>
      </c>
      <c r="J95" t="inlineStr">
        <is>
          <t>Disetujui</t>
        </is>
      </c>
      <c r="K95" t="n">
        <v>30</v>
      </c>
      <c r="L95" t="inlineStr">
        <is>
          <t>25 September 2026</t>
        </is>
      </c>
      <c r="M95" t="inlineStr">
        <is>
          <t>Jasa Pengembangan Lingkungan Bangunan dan Lanskap, Jasa Pengembangan Pemanfaatan Ruang</t>
        </is>
      </c>
      <c r="N95" t="inlineStr">
        <is>
          <t>K</t>
        </is>
      </c>
      <c r="O95" t="inlineStr">
        <is>
          <t>20230920</t>
        </is>
      </c>
      <c r="P95" t="inlineStr">
        <is>
          <t>Kalimantan Timur</t>
        </is>
      </c>
      <c r="Q95" t="inlineStr"/>
    </row>
    <row r="96">
      <c r="A96" t="inlineStr">
        <is>
          <t>MANDIRI BERLIAN</t>
        </is>
      </c>
      <c r="B96" t="inlineStr">
        <is>
          <t>Kota Bandar Lampung</t>
        </is>
      </c>
      <c r="C96" t="inlineStr">
        <is>
          <t>081271463977</t>
        </is>
      </c>
      <c r="D96" t="inlineStr">
        <is>
          <t>cvmandiriberlian@gmail.com</t>
        </is>
      </c>
      <c r="E96" t="inlineStr">
        <is>
          <t>https://lpjk.pu.go.id/search-badan-usaha-detail/TGtneHd1R1MycnQwSS9xYVFVcmFheGFTcWZac3ZtVTF0OXRUTDRiRm1jMD0</t>
        </is>
      </c>
      <c r="F96" t="n">
        <v>1</v>
      </c>
      <c r="G96" t="inlineStr">
        <is>
          <t>BG001</t>
        </is>
      </c>
      <c r="H96" t="inlineStr">
        <is>
          <t>12 Januari 2021</t>
        </is>
      </c>
      <c r="I96" s="2" t="n">
        <v>46290</v>
      </c>
      <c r="J96" t="inlineStr">
        <is>
          <t>Disetujui</t>
        </is>
      </c>
      <c r="K96" t="n">
        <v>30</v>
      </c>
      <c r="L96" t="inlineStr">
        <is>
          <t>25 September 2026</t>
        </is>
      </c>
      <c r="M96" t="inlineStr">
        <is>
          <t>Konstruksi Gedung Hunian</t>
        </is>
      </c>
      <c r="N96" t="inlineStr">
        <is>
          <t>K</t>
        </is>
      </c>
      <c r="O96" t="inlineStr">
        <is>
          <t>20230919</t>
        </is>
      </c>
      <c r="P96" t="inlineStr">
        <is>
          <t>Lampung</t>
        </is>
      </c>
      <c r="Q96" t="inlineStr"/>
    </row>
    <row r="97">
      <c r="A97" t="inlineStr">
        <is>
          <t>MANDIRI JAYA PRIBUMI</t>
        </is>
      </c>
      <c r="B97" t="inlineStr">
        <is>
          <t>Kab. Tuban</t>
        </is>
      </c>
      <c r="C97" t="inlineStr">
        <is>
          <t>082139486681</t>
        </is>
      </c>
      <c r="D97" t="inlineStr">
        <is>
          <t>mandirijayap@yahoo.com</t>
        </is>
      </c>
      <c r="E97" t="inlineStr">
        <is>
          <t>https://lpjk.pu.go.id/search-badan-usaha-detail/TE9ibVlUVkZXVDFST2NqRDRneUduQT09</t>
        </is>
      </c>
      <c r="F97" t="n">
        <v>1</v>
      </c>
      <c r="G97" t="inlineStr">
        <is>
          <t>BG005</t>
        </is>
      </c>
      <c r="H97" t="inlineStr">
        <is>
          <t>27 Agustus 2014</t>
        </is>
      </c>
      <c r="I97" s="2" t="n">
        <v>46290</v>
      </c>
      <c r="J97" t="inlineStr">
        <is>
          <t>Disetujui</t>
        </is>
      </c>
      <c r="K97" t="n">
        <v>30</v>
      </c>
      <c r="L97" t="inlineStr">
        <is>
          <t>25 September 2026</t>
        </is>
      </c>
      <c r="M97" t="inlineStr">
        <is>
          <t>Konstruksi Gedung Kesehatan</t>
        </is>
      </c>
      <c r="N97" t="inlineStr">
        <is>
          <t>K</t>
        </is>
      </c>
      <c r="O97" t="inlineStr">
        <is>
          <t>20230902</t>
        </is>
      </c>
      <c r="P97" t="inlineStr">
        <is>
          <t>Jawa Timur</t>
        </is>
      </c>
      <c r="Q97" t="inlineStr"/>
    </row>
    <row r="98">
      <c r="A98" t="inlineStr">
        <is>
          <t>MANDIRI SEJAHTERA SENTOSA</t>
        </is>
      </c>
      <c r="B98" t="inlineStr">
        <is>
          <t>Kab. Cirebon</t>
        </is>
      </c>
      <c r="C98" t="inlineStr">
        <is>
          <t>081395946664</t>
        </is>
      </c>
      <c r="D98" t="inlineStr">
        <is>
          <t>mandirisejahtera0808@gmail.com</t>
        </is>
      </c>
      <c r="E98" t="inlineStr">
        <is>
          <t>https://lpjk.pu.go.id/search-badan-usaha-detail/QTgyQktydnJCOTNBbXlEL2djSXU0QT09</t>
        </is>
      </c>
      <c r="F98" t="n">
        <v>2</v>
      </c>
      <c r="G98" t="inlineStr">
        <is>
          <t>IN004, PL003</t>
        </is>
      </c>
      <c r="H98" t="inlineStr">
        <is>
          <t>8 November 2013</t>
        </is>
      </c>
      <c r="I98" s="2" t="n">
        <v>46290</v>
      </c>
      <c r="J98" t="inlineStr">
        <is>
          <t>Pembekuan</t>
        </is>
      </c>
      <c r="K98" t="n">
        <v>30</v>
      </c>
      <c r="L98" t="inlineStr">
        <is>
          <t>25 September 2026</t>
        </is>
      </c>
      <c r="M98" t="inlineStr">
        <is>
          <t>Instalasi Minyak dan Gas, Penyiapan Lahan Konstruksi</t>
        </is>
      </c>
      <c r="N98" t="inlineStr">
        <is>
          <t>Spesialis</t>
        </is>
      </c>
      <c r="O98" t="inlineStr">
        <is>
          <t>20230920, 20230921</t>
        </is>
      </c>
      <c r="P98" t="inlineStr">
        <is>
          <t>Jawa Barat</t>
        </is>
      </c>
      <c r="Q98" t="inlineStr"/>
    </row>
    <row r="99">
      <c r="A99" t="inlineStr">
        <is>
          <t>MARGA MULYA</t>
        </is>
      </c>
      <c r="B99" t="inlineStr">
        <is>
          <t>Kab. Ngawi</t>
        </is>
      </c>
      <c r="C99" t="inlineStr">
        <is>
          <t>082140339379</t>
        </is>
      </c>
      <c r="D99" t="inlineStr">
        <is>
          <t>kuncahyowhisnu@gmail.com</t>
        </is>
      </c>
      <c r="E99" t="inlineStr">
        <is>
          <t>https://lpjk.pu.go.id/search-badan-usaha-detail/aEcwU3ZUQk9lVU5yaktrcysxQjQxdz09</t>
        </is>
      </c>
      <c r="F99" t="n">
        <v>6</v>
      </c>
      <c r="G99" t="inlineStr">
        <is>
          <t>BG002, BG005, BG006, BS001, BS002, BS004</t>
        </is>
      </c>
      <c r="H99" t="inlineStr">
        <is>
          <t>19 Juni 2009</t>
        </is>
      </c>
      <c r="I99" s="2" t="n">
        <v>46290</v>
      </c>
      <c r="J99" t="inlineStr">
        <is>
          <t>Disetujui</t>
        </is>
      </c>
      <c r="K99" t="n">
        <v>30</v>
      </c>
      <c r="L99" t="inlineStr">
        <is>
          <t>25 September 2026</t>
        </is>
      </c>
      <c r="M99" t="inlineStr">
        <is>
          <t>Bangunan Sipil Jembatan, Jalan Layang, Fly Over, dan Underpass, Konstruksi Bangunan Sipil Jalan, Konstruksi Gedung Kesehatan, Konstruksi Gedung Pendidikan, Konstruksi Gedung Perkantoran, Konstruksi Jaringan Irigasi dan Drainase</t>
        </is>
      </c>
      <c r="N99" t="inlineStr">
        <is>
          <t>K</t>
        </is>
      </c>
      <c r="O99" t="inlineStr">
        <is>
          <t>20230919, 20230925</t>
        </is>
      </c>
      <c r="P99" t="inlineStr">
        <is>
          <t>Jawa Timur</t>
        </is>
      </c>
      <c r="Q99" t="inlineStr"/>
    </row>
    <row r="100">
      <c r="A100" t="inlineStr">
        <is>
          <t>MARSOSE PAPUA SEJAHTERA</t>
        </is>
      </c>
      <c r="B100" t="inlineStr">
        <is>
          <t>Kota Sorong</t>
        </is>
      </c>
      <c r="C100" t="inlineStr">
        <is>
          <t>082155438503</t>
        </is>
      </c>
      <c r="D100" t="inlineStr">
        <is>
          <t>frangklinsangkek@yahoo.de</t>
        </is>
      </c>
      <c r="E100" t="inlineStr">
        <is>
          <t>https://lpjk.pu.go.id/search-badan-usaha-detail/MG9uajZ6aWc3dDVxOERLeC9nS2orUT09</t>
        </is>
      </c>
      <c r="F100" t="n">
        <v>1</v>
      </c>
      <c r="G100" t="inlineStr">
        <is>
          <t>BS007</t>
        </is>
      </c>
      <c r="H100" t="inlineStr">
        <is>
          <t>29 Mei 2023</t>
        </is>
      </c>
      <c r="I100" s="2" t="n">
        <v>46290</v>
      </c>
      <c r="J100" t="inlineStr">
        <is>
          <t>Disetujui</t>
        </is>
      </c>
      <c r="K100" t="n">
        <v>30</v>
      </c>
      <c r="L100" t="inlineStr">
        <is>
          <t>25 September 2026</t>
        </is>
      </c>
      <c r="M100" t="inlineStr">
        <is>
          <t>Konstruksi Bangunan Sipil Elektrikal</t>
        </is>
      </c>
      <c r="N100" t="inlineStr">
        <is>
          <t>K</t>
        </is>
      </c>
      <c r="O100" t="inlineStr">
        <is>
          <t>20230925</t>
        </is>
      </c>
      <c r="P100" t="inlineStr">
        <is>
          <t>Papua Barat</t>
        </is>
      </c>
      <c r="Q100" t="inlineStr"/>
    </row>
    <row r="101">
      <c r="A101" t="inlineStr">
        <is>
          <t>MASA DEPAN</t>
        </is>
      </c>
      <c r="B101" t="inlineStr">
        <is>
          <t>Kota Kendari</t>
        </is>
      </c>
      <c r="C101" t="inlineStr">
        <is>
          <t>085299302139</t>
        </is>
      </c>
      <c r="D101" t="inlineStr">
        <is>
          <t>cvmasadepankdi@gmail.com</t>
        </is>
      </c>
      <c r="E101" t="inlineStr">
        <is>
          <t>https://lpjk.pu.go.id/search-badan-usaha-detail/MTVnOW1iR2xKMDhWMmNuRmg3ZVBHdz09</t>
        </is>
      </c>
      <c r="F101" t="n">
        <v>1</v>
      </c>
      <c r="G101" t="inlineStr">
        <is>
          <t>BS001</t>
        </is>
      </c>
      <c r="H101" t="inlineStr">
        <is>
          <t>2 Mei 2007</t>
        </is>
      </c>
      <c r="I101" s="2" t="n">
        <v>46290</v>
      </c>
      <c r="J101" t="inlineStr">
        <is>
          <t>Disetujui</t>
        </is>
      </c>
      <c r="K101" t="n">
        <v>30</v>
      </c>
      <c r="L101" t="inlineStr">
        <is>
          <t>25 September 2026</t>
        </is>
      </c>
      <c r="M101" t="inlineStr">
        <is>
          <t>Konstruksi Bangunan Sipil Jalan</t>
        </is>
      </c>
      <c r="N101" t="inlineStr">
        <is>
          <t>K</t>
        </is>
      </c>
      <c r="O101" t="inlineStr">
        <is>
          <t>20230913</t>
        </is>
      </c>
      <c r="P101" t="inlineStr">
        <is>
          <t>Sulawesi Tenggara</t>
        </is>
      </c>
      <c r="Q101" t="inlineStr"/>
    </row>
    <row r="102">
      <c r="A102" t="inlineStr">
        <is>
          <t>MATARAM TUNGGAL BORNEO</t>
        </is>
      </c>
      <c r="B102" t="inlineStr">
        <is>
          <t>Kota Samarinda</t>
        </is>
      </c>
      <c r="C102" t="inlineStr">
        <is>
          <t>081346253467</t>
        </is>
      </c>
      <c r="D102" t="inlineStr">
        <is>
          <t>cv.mataramtunggalborneo@gmail.com</t>
        </is>
      </c>
      <c r="E102" t="inlineStr">
        <is>
          <t>https://lpjk.pu.go.id/search-badan-usaha-detail/eWJhUFM1MGNvb0lybENnU3l2dXZoQT09</t>
        </is>
      </c>
      <c r="F102" t="n">
        <v>10</v>
      </c>
      <c r="G102" t="inlineStr">
        <is>
          <t>BG002, BG003, BG005, BG006, BG009</t>
        </is>
      </c>
      <c r="H102" t="inlineStr">
        <is>
          <t>28 Agustus 2019</t>
        </is>
      </c>
      <c r="I102" s="2" t="n">
        <v>46290</v>
      </c>
      <c r="J102" t="inlineStr">
        <is>
          <t>Disetujui</t>
        </is>
      </c>
      <c r="K102" t="n">
        <v>30</v>
      </c>
      <c r="L102" t="inlineStr">
        <is>
          <t>25 September 2026</t>
        </is>
      </c>
      <c r="M102" t="inlineStr">
        <is>
          <t>Konstruksi Gedung Industri, Konstruksi Gedung Kesehatan, Konstruksi Gedung Lainnya, Konstruksi Gedung Pendidikan, Konstruksi Gedung Perkantoran</t>
        </is>
      </c>
      <c r="N102" t="inlineStr">
        <is>
          <t>K</t>
        </is>
      </c>
      <c r="O102" t="inlineStr">
        <is>
          <t>20230920</t>
        </is>
      </c>
      <c r="P102" t="inlineStr">
        <is>
          <t>Kalimantan Timur</t>
        </is>
      </c>
      <c r="Q102" t="inlineStr"/>
    </row>
    <row r="103">
      <c r="A103" t="inlineStr">
        <is>
          <t>MEGA BUANA KARTANEGARA</t>
        </is>
      </c>
      <c r="B103" t="inlineStr">
        <is>
          <t>Kota Samarinda</t>
        </is>
      </c>
      <c r="C103" t="inlineStr">
        <is>
          <t>085242351294</t>
        </is>
      </c>
      <c r="D103" t="inlineStr">
        <is>
          <t>cv.megabuanakartanegara@gmail.com</t>
        </is>
      </c>
      <c r="E103" t="inlineStr">
        <is>
          <t>https://lpjk.pu.go.id/search-badan-usaha-detail/TitLNUpxa1d5MjdyTDl0MUsxOUZNdz09</t>
        </is>
      </c>
      <c r="F103" t="n">
        <v>8</v>
      </c>
      <c r="G103" t="inlineStr">
        <is>
          <t>BG001, BG002, BG005, BG006, BG009, BS001, BS002, BS004</t>
        </is>
      </c>
      <c r="H103" t="inlineStr">
        <is>
          <t>14 Juli 2023</t>
        </is>
      </c>
      <c r="I103" s="2" t="n">
        <v>46290</v>
      </c>
      <c r="J103" t="inlineStr">
        <is>
          <t>Disetujui</t>
        </is>
      </c>
      <c r="K103" t="n">
        <v>30</v>
      </c>
      <c r="L103" t="inlineStr">
        <is>
          <t>25 September 2026</t>
        </is>
      </c>
      <c r="M103" t="inlineStr">
        <is>
          <t>Bangunan Sipil Jembatan, Jalan Layang, Fly Over, dan Underpass, Konstruksi Bangunan Sipil Jalan, Konstruksi Gedung Hunian, Konstruksi Gedung Kesehatan, Konstruksi Gedung Lainnya, Konstruksi Gedung Pendidikan, Konstruksi Gedung Perkantoran, Konstruksi Jaringan Irigasi dan Drainase</t>
        </is>
      </c>
      <c r="N103" t="inlineStr">
        <is>
          <t>K</t>
        </is>
      </c>
      <c r="O103" t="inlineStr">
        <is>
          <t>20230922, 20230925</t>
        </is>
      </c>
      <c r="P103" t="inlineStr">
        <is>
          <t>Kalimantan Timur</t>
        </is>
      </c>
      <c r="Q103" t="inlineStr"/>
    </row>
    <row r="104">
      <c r="A104" t="inlineStr">
        <is>
          <t>MEGA PARAMITHA</t>
        </is>
      </c>
      <c r="B104" t="inlineStr">
        <is>
          <t>Kab. Sanggau</t>
        </is>
      </c>
      <c r="C104" t="inlineStr">
        <is>
          <t>081258914889</t>
        </is>
      </c>
      <c r="D104" t="inlineStr">
        <is>
          <t>cvmegaparamitha@gmail.com</t>
        </is>
      </c>
      <c r="E104" t="inlineStr">
        <is>
          <t>https://lpjk.pu.go.id/search-badan-usaha-detail/SFZvZWl1TFBRemZHQXYvV1BzNW94Zz09</t>
        </is>
      </c>
      <c r="F104" t="n">
        <v>1</v>
      </c>
      <c r="G104" t="inlineStr">
        <is>
          <t>BG002</t>
        </is>
      </c>
      <c r="H104" t="inlineStr">
        <is>
          <t>17 Juli 2023</t>
        </is>
      </c>
      <c r="I104" s="2" t="n">
        <v>46290</v>
      </c>
      <c r="J104" t="inlineStr">
        <is>
          <t>Pencabutan</t>
        </is>
      </c>
      <c r="K104" t="n">
        <v>30</v>
      </c>
      <c r="L104" t="inlineStr">
        <is>
          <t>25 September 2026</t>
        </is>
      </c>
      <c r="M104" t="inlineStr">
        <is>
          <t>Konstruksi Gedung Perkantoran</t>
        </is>
      </c>
      <c r="N104" t="inlineStr">
        <is>
          <t>K</t>
        </is>
      </c>
      <c r="O104" t="inlineStr">
        <is>
          <t>20230920</t>
        </is>
      </c>
      <c r="P104" t="inlineStr">
        <is>
          <t>Kalimantan Barat</t>
        </is>
      </c>
      <c r="Q104" t="inlineStr"/>
    </row>
    <row r="105">
      <c r="A105" t="inlineStr">
        <is>
          <t>MEKARINDO MITRASARANA</t>
        </is>
      </c>
      <c r="B105" t="inlineStr">
        <is>
          <t>Kota Adm. Jakarta Barat</t>
        </is>
      </c>
      <c r="C105" t="inlineStr">
        <is>
          <t>0215651185</t>
        </is>
      </c>
      <c r="D105" t="inlineStr">
        <is>
          <t>mekarindo.mitrasarana@gmail.com</t>
        </is>
      </c>
      <c r="E105" t="inlineStr">
        <is>
          <t>https://lpjk.pu.go.id/search-badan-usaha-detail/UmNGQXNwUU5jWU9RWWpoSHBtRlgvdz09</t>
        </is>
      </c>
      <c r="F105" t="n">
        <v>2</v>
      </c>
      <c r="G105" t="inlineStr">
        <is>
          <t>BG001</t>
        </is>
      </c>
      <c r="H105" t="inlineStr">
        <is>
          <t>11 Februari 2010</t>
        </is>
      </c>
      <c r="I105" s="2" t="n">
        <v>46290</v>
      </c>
      <c r="J105" t="inlineStr">
        <is>
          <t>Disetujui</t>
        </is>
      </c>
      <c r="K105" t="n">
        <v>30</v>
      </c>
      <c r="L105" t="inlineStr">
        <is>
          <t>25 September 2026</t>
        </is>
      </c>
      <c r="M105" t="inlineStr">
        <is>
          <t>Konstruksi Gedung Hunian</t>
        </is>
      </c>
      <c r="N105" t="inlineStr">
        <is>
          <t>K</t>
        </is>
      </c>
      <c r="O105" t="inlineStr">
        <is>
          <t>20230921</t>
        </is>
      </c>
      <c r="P105" t="inlineStr">
        <is>
          <t>DKI Jakarta</t>
        </is>
      </c>
      <c r="Q105" t="inlineStr"/>
    </row>
    <row r="106">
      <c r="A106" t="inlineStr">
        <is>
          <t>MELATI PASIR</t>
        </is>
      </c>
      <c r="B106" t="inlineStr">
        <is>
          <t>Kab. Paser</t>
        </is>
      </c>
      <c r="C106" t="inlineStr">
        <is>
          <t>085247197115</t>
        </is>
      </c>
      <c r="D106" t="inlineStr">
        <is>
          <t>cv.melatipasir14@gmail.com</t>
        </is>
      </c>
      <c r="E106" t="inlineStr">
        <is>
          <t>https://lpjk.pu.go.id/search-badan-usaha-detail/TXJKbmZsd0tFVWg2YUdvRGNlTDZudz09</t>
        </is>
      </c>
      <c r="F106" t="n">
        <v>2</v>
      </c>
      <c r="G106" t="inlineStr">
        <is>
          <t>BS001, BS004</t>
        </is>
      </c>
      <c r="H106" t="inlineStr">
        <is>
          <t>13 Desember 2002</t>
        </is>
      </c>
      <c r="I106" s="2" t="n">
        <v>46290</v>
      </c>
      <c r="J106" t="inlineStr">
        <is>
          <t>Disetujui</t>
        </is>
      </c>
      <c r="K106" t="n">
        <v>30</v>
      </c>
      <c r="L106" t="inlineStr">
        <is>
          <t>25 September 2026</t>
        </is>
      </c>
      <c r="M106" t="inlineStr">
        <is>
          <t>Konstruksi Bangunan Sipil Jalan, Konstruksi Jaringan Irigasi dan Drainase</t>
        </is>
      </c>
      <c r="N106" t="inlineStr">
        <is>
          <t>K</t>
        </is>
      </c>
      <c r="O106" t="inlineStr">
        <is>
          <t>20230920</t>
        </is>
      </c>
      <c r="P106" t="inlineStr">
        <is>
          <t>Kalimantan Timur</t>
        </is>
      </c>
      <c r="Q106" t="inlineStr"/>
    </row>
    <row r="107">
      <c r="A107" t="inlineStr">
        <is>
          <t>METAREUM PUTRO WELA</t>
        </is>
      </c>
      <c r="B107" t="inlineStr">
        <is>
          <t>Kota Banda Aceh</t>
        </is>
      </c>
      <c r="C107" t="inlineStr">
        <is>
          <t>08126928231</t>
        </is>
      </c>
      <c r="D107" t="inlineStr">
        <is>
          <t>mit_wel@yahoo.com</t>
        </is>
      </c>
      <c r="E107" t="inlineStr">
        <is>
          <t>https://lpjk.pu.go.id/search-badan-usaha-detail/ZTNXV081aWRRYTAxMkwyRHFXNlN1dz09</t>
        </is>
      </c>
      <c r="F107" t="n">
        <v>7</v>
      </c>
      <c r="G107" t="inlineStr">
        <is>
          <t>BG002, BG006, BG008, BG009</t>
        </is>
      </c>
      <c r="H107" t="inlineStr">
        <is>
          <t>25 April 2008</t>
        </is>
      </c>
      <c r="I107" s="2" t="n">
        <v>46290</v>
      </c>
      <c r="J107" t="inlineStr">
        <is>
          <t>Disetujui</t>
        </is>
      </c>
      <c r="K107" t="n">
        <v>30</v>
      </c>
      <c r="L107" t="inlineStr">
        <is>
          <t>25 September 2026</t>
        </is>
      </c>
      <c r="M107" t="inlineStr">
        <is>
          <t>Konstruksi Gedung Lainnya, Konstruksi Gedung Pendidikan, Konstruksi Gedung Perkantoran, Konstruksi Gedung Tempat Hiburan dan Olahraga</t>
        </is>
      </c>
      <c r="N107" t="inlineStr">
        <is>
          <t>K</t>
        </is>
      </c>
      <c r="O107" t="inlineStr">
        <is>
          <t>20230911, 20230920</t>
        </is>
      </c>
      <c r="P107" t="inlineStr">
        <is>
          <t>Aceh</t>
        </is>
      </c>
      <c r="Q107" t="inlineStr"/>
    </row>
    <row r="108">
      <c r="A108" t="inlineStr">
        <is>
          <t>MITRA AZAM</t>
        </is>
      </c>
      <c r="B108" t="inlineStr">
        <is>
          <t>Kab. Sumbawa</t>
        </is>
      </c>
      <c r="C108" t="inlineStr">
        <is>
          <t>0853 3935 3497</t>
        </is>
      </c>
      <c r="D108" t="inlineStr">
        <is>
          <t>cv.mitraazam@gmail.com</t>
        </is>
      </c>
      <c r="E108" t="inlineStr">
        <is>
          <t>https://lpjk.pu.go.id/search-badan-usaha-detail/WFJoUVdIazNPdWFWMGFwWHJZYVlydz09</t>
        </is>
      </c>
      <c r="F108" t="n">
        <v>2</v>
      </c>
      <c r="G108" t="inlineStr">
        <is>
          <t>BS004, BS006</t>
        </is>
      </c>
      <c r="H108" t="inlineStr">
        <is>
          <t>19 Januari 2017</t>
        </is>
      </c>
      <c r="I108" s="2" t="n">
        <v>46290</v>
      </c>
      <c r="J108" t="inlineStr">
        <is>
          <t>Disetujui</t>
        </is>
      </c>
      <c r="K108" t="n">
        <v>30</v>
      </c>
      <c r="L108" t="inlineStr">
        <is>
          <t>25 September 2026</t>
        </is>
      </c>
      <c r="M108" t="inlineStr">
        <is>
          <t>Konstruksi Bangunan Sipil Prasarana dan Sarana Sistem Pengolahan Limbah Padat, Cair, dan Gas, Konstruksi Jaringan Irigasi dan Drainase</t>
        </is>
      </c>
      <c r="N108" t="inlineStr">
        <is>
          <t>K</t>
        </is>
      </c>
      <c r="O108" t="inlineStr">
        <is>
          <t>20230925</t>
        </is>
      </c>
      <c r="P108" t="inlineStr">
        <is>
          <t>Nusa Tenggara Barat</t>
        </is>
      </c>
      <c r="Q108" t="inlineStr"/>
    </row>
    <row r="109">
      <c r="A109" t="inlineStr">
        <is>
          <t>MOEDJIARTO MANDIRI UTAMA</t>
        </is>
      </c>
      <c r="B109" t="inlineStr">
        <is>
          <t>Kota Cimahi</t>
        </is>
      </c>
      <c r="C109" t="inlineStr">
        <is>
          <t>08156043752</t>
        </is>
      </c>
      <c r="D109" t="inlineStr">
        <is>
          <t>mandiri3mmu@gmail.com</t>
        </is>
      </c>
      <c r="E109" t="inlineStr">
        <is>
          <t>https://lpjk.pu.go.id/search-badan-usaha-detail/MUFYMUt6a2VtMktTL08xZGl3djBOZz09</t>
        </is>
      </c>
      <c r="F109" t="n">
        <v>1</v>
      </c>
      <c r="G109" t="inlineStr">
        <is>
          <t>PL005</t>
        </is>
      </c>
      <c r="H109" t="inlineStr">
        <is>
          <t>28 Januari 2002</t>
        </is>
      </c>
      <c r="I109" s="2" t="n">
        <v>46290</v>
      </c>
      <c r="J109" t="inlineStr">
        <is>
          <t>Pembekuan</t>
        </is>
      </c>
      <c r="K109" t="n">
        <v>30</v>
      </c>
      <c r="L109" t="inlineStr">
        <is>
          <t>25 September 2026</t>
        </is>
      </c>
      <c r="M109" t="inlineStr">
        <is>
          <t>Pembuatan/Pengeboran Sumur Air Tanah</t>
        </is>
      </c>
      <c r="N109" t="inlineStr">
        <is>
          <t>Spesialis</t>
        </is>
      </c>
      <c r="O109" t="inlineStr">
        <is>
          <t>20230830</t>
        </is>
      </c>
      <c r="P109" t="inlineStr">
        <is>
          <t>Jawa Barat</t>
        </is>
      </c>
      <c r="Q109" t="inlineStr"/>
    </row>
    <row r="110">
      <c r="A110" t="inlineStr">
        <is>
          <t>MUARA INDAH</t>
        </is>
      </c>
      <c r="B110" t="inlineStr">
        <is>
          <t>Kab. Magetan</t>
        </is>
      </c>
      <c r="C110" t="inlineStr">
        <is>
          <t>0351439890</t>
        </is>
      </c>
      <c r="D110" t="inlineStr">
        <is>
          <t>cvmuaraindah073@gmail.com</t>
        </is>
      </c>
      <c r="E110" t="inlineStr">
        <is>
          <t>https://lpjk.pu.go.id/search-badan-usaha-detail/RUhsMW9yc1JOYzRyTlc4NVZSVS9xZz09</t>
        </is>
      </c>
      <c r="F110" t="n">
        <v>1</v>
      </c>
      <c r="G110" t="inlineStr">
        <is>
          <t>BS001</t>
        </is>
      </c>
      <c r="H110" t="inlineStr">
        <is>
          <t>7 Agustus 1992</t>
        </is>
      </c>
      <c r="I110" s="2" t="n">
        <v>46290</v>
      </c>
      <c r="J110" t="inlineStr">
        <is>
          <t>Disetujui</t>
        </is>
      </c>
      <c r="K110" t="n">
        <v>30</v>
      </c>
      <c r="L110" t="inlineStr">
        <is>
          <t>25 September 2026</t>
        </is>
      </c>
      <c r="M110" t="inlineStr">
        <is>
          <t>Konstruksi Bangunan Sipil Jalan</t>
        </is>
      </c>
      <c r="N110" t="inlineStr">
        <is>
          <t>K</t>
        </is>
      </c>
      <c r="O110" t="inlineStr">
        <is>
          <t>20230320</t>
        </is>
      </c>
      <c r="P110" t="inlineStr">
        <is>
          <t>Jawa Timur</t>
        </is>
      </c>
      <c r="Q110" t="inlineStr"/>
    </row>
    <row r="111">
      <c r="A111" t="inlineStr">
        <is>
          <t>MUARA TIRTA</t>
        </is>
      </c>
      <c r="B111" t="inlineStr">
        <is>
          <t>Kab. Ngawi</t>
        </is>
      </c>
      <c r="C111" t="inlineStr">
        <is>
          <t>087817230235</t>
        </is>
      </c>
      <c r="D111" t="inlineStr">
        <is>
          <t>cvmuaratirta@gmail.com</t>
        </is>
      </c>
      <c r="E111" t="inlineStr">
        <is>
          <t>https://lpjk.pu.go.id/search-badan-usaha-detail/blk1N3lNUjZhelFWKytiWnZzQjk4QT09</t>
        </is>
      </c>
      <c r="F111" t="n">
        <v>1</v>
      </c>
      <c r="G111" t="inlineStr">
        <is>
          <t>PL005</t>
        </is>
      </c>
      <c r="H111" t="inlineStr">
        <is>
          <t>23 Juni 2021</t>
        </is>
      </c>
      <c r="I111" s="2" t="n">
        <v>46290</v>
      </c>
      <c r="J111" t="inlineStr">
        <is>
          <t>Pembekuan</t>
        </is>
      </c>
      <c r="K111" t="n">
        <v>30</v>
      </c>
      <c r="L111" t="inlineStr">
        <is>
          <t>25 September 2026</t>
        </is>
      </c>
      <c r="M111" t="inlineStr">
        <is>
          <t>Pembuatan/Pengeboran Sumur Air Tanah</t>
        </is>
      </c>
      <c r="N111" t="inlineStr">
        <is>
          <t>Spesialis</t>
        </is>
      </c>
      <c r="O111" t="inlineStr">
        <is>
          <t>20230919</t>
        </is>
      </c>
      <c r="P111" t="inlineStr">
        <is>
          <t>Jawa Timur</t>
        </is>
      </c>
      <c r="Q111" t="inlineStr"/>
    </row>
    <row r="112">
      <c r="A112" t="inlineStr">
        <is>
          <t>MUGI MERDEKA SEJAHTERA</t>
        </is>
      </c>
      <c r="B112" t="inlineStr">
        <is>
          <t>Kab. Tangerang</t>
        </is>
      </c>
      <c r="C112" t="inlineStr">
        <is>
          <t>089604196757</t>
        </is>
      </c>
      <c r="D112" t="inlineStr">
        <is>
          <t>mugimerdekasejahtera251120@gmail.com</t>
        </is>
      </c>
      <c r="E112" t="inlineStr">
        <is>
          <t>https://lpjk.pu.go.id/search-badan-usaha-detail/RTlVTkpqVlBJV3AvUS9xUkgvNXdZQT09</t>
        </is>
      </c>
      <c r="F112" t="n">
        <v>2</v>
      </c>
      <c r="G112" t="inlineStr">
        <is>
          <t>BS001, BS004</t>
        </is>
      </c>
      <c r="H112" t="inlineStr">
        <is>
          <t>2 September 2022</t>
        </is>
      </c>
      <c r="I112" s="2" t="n">
        <v>46290</v>
      </c>
      <c r="J112" t="inlineStr">
        <is>
          <t>Disetujui</t>
        </is>
      </c>
      <c r="K112" t="n">
        <v>30</v>
      </c>
      <c r="L112" t="inlineStr">
        <is>
          <t>25 September 2026</t>
        </is>
      </c>
      <c r="M112" t="inlineStr">
        <is>
          <t>Konstruksi Bangunan Sipil Jalan, Konstruksi Jaringan Irigasi dan Drainase</t>
        </is>
      </c>
      <c r="N112" t="inlineStr">
        <is>
          <t>K</t>
        </is>
      </c>
      <c r="O112" t="inlineStr">
        <is>
          <t>20230919</t>
        </is>
      </c>
      <c r="P112" t="inlineStr">
        <is>
          <t>Banten</t>
        </is>
      </c>
      <c r="Q112" t="inlineStr"/>
    </row>
    <row r="113">
      <c r="A113" t="inlineStr">
        <is>
          <t>MUKTI ADHI SEJAHTERA</t>
        </is>
      </c>
      <c r="B113" t="inlineStr">
        <is>
          <t>Kota Surabaya</t>
        </is>
      </c>
      <c r="C113" t="inlineStr">
        <is>
          <t>0318477805</t>
        </is>
      </c>
      <c r="D113" t="inlineStr">
        <is>
          <t>muktiadhi.sejahtera@gmail.com</t>
        </is>
      </c>
      <c r="E113" t="inlineStr">
        <is>
          <t>https://lpjk.pu.go.id/search-badan-usaha-detail/VG5YNjYwZm1Ra3VScUhmZ0htb3Y5QT09</t>
        </is>
      </c>
      <c r="F113" t="n">
        <v>4</v>
      </c>
      <c r="G113" t="inlineStr">
        <is>
          <t>BG003, BG004, BG006, BG007</t>
        </is>
      </c>
      <c r="H113" t="inlineStr">
        <is>
          <t>9 September 2008</t>
        </is>
      </c>
      <c r="I113" s="2" t="n">
        <v>46290</v>
      </c>
      <c r="J113" t="inlineStr">
        <is>
          <t>Disetujui, Pencabutan</t>
        </is>
      </c>
      <c r="K113" t="n">
        <v>30</v>
      </c>
      <c r="L113" t="inlineStr">
        <is>
          <t>25 September 2026</t>
        </is>
      </c>
      <c r="M113" t="inlineStr">
        <is>
          <t>Konstruksi Gedung Industri, Konstruksi Gedung Pendidikan, Konstruksi Gedung Penginapan, Konstruksi Gedung Perbelanjaan</t>
        </is>
      </c>
      <c r="N113" t="inlineStr">
        <is>
          <t>K, M</t>
        </is>
      </c>
      <c r="O113" t="inlineStr">
        <is>
          <t>20221124, 20230920, 20230922</t>
        </is>
      </c>
      <c r="P113" t="inlineStr">
        <is>
          <t>Jawa Timur</t>
        </is>
      </c>
      <c r="Q113" t="inlineStr"/>
    </row>
    <row r="114">
      <c r="A114" t="inlineStr">
        <is>
          <t>MULTI USAHA PRADANA</t>
        </is>
      </c>
      <c r="B114" t="inlineStr">
        <is>
          <t>Kota Padang</t>
        </is>
      </c>
      <c r="C114" t="inlineStr">
        <is>
          <t>082283788858</t>
        </is>
      </c>
      <c r="D114" t="inlineStr">
        <is>
          <t>multiusahapradana@gmail.com</t>
        </is>
      </c>
      <c r="E114" t="inlineStr">
        <is>
          <t>https://lpjk.pu.go.id/search-badan-usaha-detail/VEFCOGtNR0VIazVtUGV6MCtzTFE3dz09</t>
        </is>
      </c>
      <c r="F114" t="n">
        <v>2</v>
      </c>
      <c r="G114" t="inlineStr">
        <is>
          <t>BS002, BS004</t>
        </is>
      </c>
      <c r="H114" t="inlineStr">
        <is>
          <t>22 November 2019</t>
        </is>
      </c>
      <c r="I114" s="2" t="n">
        <v>46290</v>
      </c>
      <c r="J114" t="inlineStr">
        <is>
          <t>Pencabutan</t>
        </is>
      </c>
      <c r="K114" t="n">
        <v>30</v>
      </c>
      <c r="L114" t="inlineStr">
        <is>
          <t>25 September 2026</t>
        </is>
      </c>
      <c r="M114" t="inlineStr">
        <is>
          <t>Bangunan Sipil Jembatan, Jalan Layang, Fly Over, dan Underpass, Konstruksi Jaringan Irigasi dan Drainase</t>
        </is>
      </c>
      <c r="N114" t="inlineStr">
        <is>
          <t>K</t>
        </is>
      </c>
      <c r="O114" t="inlineStr">
        <is>
          <t>20230921</t>
        </is>
      </c>
      <c r="P114" t="inlineStr">
        <is>
          <t>Sumatera Barat</t>
        </is>
      </c>
      <c r="Q114" t="inlineStr"/>
    </row>
    <row r="115">
      <c r="A115" t="inlineStr">
        <is>
          <t>NADIA PRADANA ABADI</t>
        </is>
      </c>
      <c r="B115" t="inlineStr">
        <is>
          <t>Kota Balikpapan</t>
        </is>
      </c>
      <c r="C115" t="inlineStr">
        <is>
          <t>082149089996</t>
        </is>
      </c>
      <c r="D115" t="inlineStr">
        <is>
          <t>abadicvnadiapradana@gmail.com</t>
        </is>
      </c>
      <c r="E115" t="inlineStr">
        <is>
          <t>https://lpjk.pu.go.id/search-badan-usaha-detail/RFhlaE9zYkp4RHlSeWEyTmx5UXRFdz09</t>
        </is>
      </c>
      <c r="F115" t="n">
        <v>1</v>
      </c>
      <c r="G115" t="inlineStr">
        <is>
          <t>BS001</t>
        </is>
      </c>
      <c r="H115" t="inlineStr">
        <is>
          <t>19 Juni 2023</t>
        </is>
      </c>
      <c r="I115" s="2" t="n">
        <v>46290</v>
      </c>
      <c r="J115" t="inlineStr">
        <is>
          <t>Disetujui</t>
        </is>
      </c>
      <c r="K115" t="n">
        <v>30</v>
      </c>
      <c r="L115" t="inlineStr">
        <is>
          <t>25 September 2026</t>
        </is>
      </c>
      <c r="M115" t="inlineStr">
        <is>
          <t>Konstruksi Bangunan Sipil Jalan</t>
        </is>
      </c>
      <c r="N115" t="inlineStr">
        <is>
          <t>K</t>
        </is>
      </c>
      <c r="O115" t="inlineStr">
        <is>
          <t>20230921</t>
        </is>
      </c>
      <c r="P115" t="inlineStr">
        <is>
          <t>Kalimantan Timur</t>
        </is>
      </c>
      <c r="Q115" t="inlineStr"/>
    </row>
    <row r="116">
      <c r="A116" t="inlineStr">
        <is>
          <t>NALAR CIPTA SUKSES</t>
        </is>
      </c>
      <c r="B116" t="inlineStr">
        <is>
          <t>Kab. Banjar</t>
        </is>
      </c>
      <c r="C116" t="inlineStr">
        <is>
          <t>08125025848</t>
        </is>
      </c>
      <c r="D116" t="inlineStr">
        <is>
          <t>budihidayat225@gmail.com</t>
        </is>
      </c>
      <c r="E116" t="inlineStr">
        <is>
          <t>https://lpjk.pu.go.id/search-badan-usaha-detail/VElTOWYwb3RGNDNsWkwzUkp0UUxFQT09</t>
        </is>
      </c>
      <c r="F116" t="n">
        <v>4</v>
      </c>
      <c r="G116" t="inlineStr">
        <is>
          <t>BG006, BS001, BS002, BS004</t>
        </is>
      </c>
      <c r="H116" t="inlineStr">
        <is>
          <t>16 November 2002</t>
        </is>
      </c>
      <c r="I116" s="2" t="n">
        <v>46290</v>
      </c>
      <c r="J116" t="inlineStr">
        <is>
          <t>Disetujui</t>
        </is>
      </c>
      <c r="K116" t="n">
        <v>30</v>
      </c>
      <c r="L116" t="inlineStr">
        <is>
          <t>25 September 2026</t>
        </is>
      </c>
      <c r="M116" t="inlineStr">
        <is>
          <t>Bangunan Sipil Jembatan, Jalan Layang, Fly Over, dan Underpass, Konstruksi Bangunan Sipil Jalan, Konstruksi Gedung Pendidikan, Konstruksi Jaringan Irigasi dan Drainase</t>
        </is>
      </c>
      <c r="N116" t="inlineStr">
        <is>
          <t>K</t>
        </is>
      </c>
      <c r="O116" t="inlineStr">
        <is>
          <t>20230919</t>
        </is>
      </c>
      <c r="P116" t="inlineStr">
        <is>
          <t>Kalimantan Selatan</t>
        </is>
      </c>
      <c r="Q116" t="inlineStr"/>
    </row>
    <row r="117">
      <c r="A117" t="inlineStr">
        <is>
          <t>NATAMA KARYA JAYA</t>
        </is>
      </c>
      <c r="B117" t="inlineStr">
        <is>
          <t>Kota Medan</t>
        </is>
      </c>
      <c r="C117" t="inlineStr">
        <is>
          <t>0617861651</t>
        </is>
      </c>
      <c r="D117" t="inlineStr">
        <is>
          <t>natamakaryajaya@gmail.com</t>
        </is>
      </c>
      <c r="E117" t="inlineStr">
        <is>
          <t>https://lpjk.pu.go.id/search-badan-usaha-detail/V2d0N2RnZGp4U3AvR1kxMFBFSFZYUT09</t>
        </is>
      </c>
      <c r="F117" t="n">
        <v>2</v>
      </c>
      <c r="G117" t="inlineStr">
        <is>
          <t>BS001, BS006</t>
        </is>
      </c>
      <c r="H117" t="inlineStr">
        <is>
          <t>13 April 2007</t>
        </is>
      </c>
      <c r="I117" s="2" t="n">
        <v>46290</v>
      </c>
      <c r="J117" t="inlineStr">
        <is>
          <t>Pembekuan</t>
        </is>
      </c>
      <c r="K117" t="n">
        <v>30</v>
      </c>
      <c r="L117" t="inlineStr">
        <is>
          <t>25 September 2026</t>
        </is>
      </c>
      <c r="M117" t="inlineStr">
        <is>
          <t>Konstruksi Bangunan Sipil Jalan, Konstruksi Bangunan Sipil Prasarana dan Sarana Sistem Pengolahan Limbah Padat, Cair, dan Gas</t>
        </is>
      </c>
      <c r="N117" t="inlineStr">
        <is>
          <t>M</t>
        </is>
      </c>
      <c r="O117" t="inlineStr">
        <is>
          <t>20230925, 20230926</t>
        </is>
      </c>
      <c r="P117" t="inlineStr">
        <is>
          <t>Sumatera Utara</t>
        </is>
      </c>
      <c r="Q117" t="inlineStr"/>
    </row>
    <row r="118">
      <c r="A118" t="inlineStr">
        <is>
          <t>NAZWA BERKAH TEKNIK</t>
        </is>
      </c>
      <c r="B118" t="inlineStr">
        <is>
          <t>Kota Banjarmasin</t>
        </is>
      </c>
      <c r="C118" t="inlineStr">
        <is>
          <t>085251332223</t>
        </is>
      </c>
      <c r="D118" t="inlineStr">
        <is>
          <t>nazwaberkahteknik17@gmail.com</t>
        </is>
      </c>
      <c r="E118" t="inlineStr">
        <is>
          <t>https://lpjk.pu.go.id/search-badan-usaha-detail/VDZVaGt1UEsxaURUaHlCMmpjU0tEdz09</t>
        </is>
      </c>
      <c r="F118" t="n">
        <v>2</v>
      </c>
      <c r="G118" t="inlineStr">
        <is>
          <t>RK002, RK003</t>
        </is>
      </c>
      <c r="H118" t="inlineStr">
        <is>
          <t>8 Oktober 2015</t>
        </is>
      </c>
      <c r="I118" s="2" t="n">
        <v>46290</v>
      </c>
      <c r="J118" t="inlineStr">
        <is>
          <t>Disetujui</t>
        </is>
      </c>
      <c r="K118" t="n">
        <v>30</v>
      </c>
      <c r="L118" t="inlineStr">
        <is>
          <t>25 September 2026</t>
        </is>
      </c>
      <c r="M118" t="inlineStr">
        <is>
          <t>Jasa Rekayasa Pekerjaan Teknik Sipil Sumber Daya Air, Jasa Rekayasa Pekerjaan Teknik Sipil Transportasi</t>
        </is>
      </c>
      <c r="N118" t="inlineStr">
        <is>
          <t>K</t>
        </is>
      </c>
      <c r="O118" t="inlineStr">
        <is>
          <t>20230816, 20230904</t>
        </is>
      </c>
      <c r="P118" t="inlineStr">
        <is>
          <t>Kalimantan Selatan</t>
        </is>
      </c>
      <c r="Q118" t="inlineStr"/>
    </row>
    <row r="119">
      <c r="A119" t="inlineStr">
        <is>
          <t>PAMAN SEJAHTERA</t>
        </is>
      </c>
      <c r="B119" t="inlineStr">
        <is>
          <t>Kota Bandung</t>
        </is>
      </c>
      <c r="C119" t="inlineStr">
        <is>
          <t>08112346555</t>
        </is>
      </c>
      <c r="D119" t="inlineStr">
        <is>
          <t>ptpsbandung@gmail.com</t>
        </is>
      </c>
      <c r="E119" t="inlineStr">
        <is>
          <t>https://lpjk.pu.go.id/search-badan-usaha-detail/RXZ1Z0RrSHhEVFgyaW1TcXF3dWJiUT09</t>
        </is>
      </c>
      <c r="F119" t="n">
        <v>1</v>
      </c>
      <c r="G119" t="inlineStr">
        <is>
          <t>BG009</t>
        </is>
      </c>
      <c r="H119" t="inlineStr">
        <is>
          <t>4 Juli 2005</t>
        </is>
      </c>
      <c r="I119" s="2" t="n">
        <v>46290</v>
      </c>
      <c r="J119" t="inlineStr">
        <is>
          <t>Disetujui</t>
        </is>
      </c>
      <c r="K119" t="n">
        <v>30</v>
      </c>
      <c r="L119" t="inlineStr">
        <is>
          <t>25 September 2026</t>
        </is>
      </c>
      <c r="M119" t="inlineStr">
        <is>
          <t>Konstruksi Gedung Lainnya</t>
        </is>
      </c>
      <c r="N119" t="inlineStr">
        <is>
          <t>K</t>
        </is>
      </c>
      <c r="O119" t="inlineStr">
        <is>
          <t>20230922</t>
        </is>
      </c>
      <c r="P119" t="inlineStr">
        <is>
          <t>Jawa Barat</t>
        </is>
      </c>
      <c r="Q119" t="inlineStr"/>
    </row>
    <row r="120">
      <c r="A120" t="inlineStr">
        <is>
          <t>PANEN CIPTA MANGGALA</t>
        </is>
      </c>
      <c r="B120" t="inlineStr">
        <is>
          <t>Kota Pontianak</t>
        </is>
      </c>
      <c r="C120" t="inlineStr">
        <is>
          <t>0813 5056 8310</t>
        </is>
      </c>
      <c r="D120" t="inlineStr">
        <is>
          <t>mf786614@gmail.com</t>
        </is>
      </c>
      <c r="E120" t="inlineStr">
        <is>
          <t>https://lpjk.pu.go.id/search-badan-usaha-detail/WkJrMFNIcDlydi9GTVFOeVNjeW9QQT09</t>
        </is>
      </c>
      <c r="F120" t="n">
        <v>1</v>
      </c>
      <c r="G120" t="inlineStr">
        <is>
          <t>BG009</t>
        </is>
      </c>
      <c r="H120" t="inlineStr">
        <is>
          <t>2 Desember 2019</t>
        </is>
      </c>
      <c r="I120" s="2" t="n">
        <v>46290</v>
      </c>
      <c r="J120" t="inlineStr">
        <is>
          <t>Pencabutan</t>
        </is>
      </c>
      <c r="K120" t="n">
        <v>30</v>
      </c>
      <c r="L120" t="inlineStr">
        <is>
          <t>25 September 2026</t>
        </is>
      </c>
      <c r="M120" t="inlineStr">
        <is>
          <t>Konstruksi Gedung Lainnya</t>
        </is>
      </c>
      <c r="N120" t="inlineStr">
        <is>
          <t>K</t>
        </is>
      </c>
      <c r="O120" t="inlineStr">
        <is>
          <t>20230605</t>
        </is>
      </c>
      <c r="P120" t="inlineStr">
        <is>
          <t>Kalimantan Barat</t>
        </is>
      </c>
      <c r="Q120" t="inlineStr"/>
    </row>
    <row r="121">
      <c r="A121" t="inlineStr">
        <is>
          <t>PERINTIS UTAMA</t>
        </is>
      </c>
      <c r="B121" t="inlineStr">
        <is>
          <t>Kab. Boyolali</t>
        </is>
      </c>
      <c r="C121" t="inlineStr">
        <is>
          <t>081393528008</t>
        </is>
      </c>
      <c r="D121" t="inlineStr">
        <is>
          <t>jokowi84@yahoo.com</t>
        </is>
      </c>
      <c r="E121" t="inlineStr">
        <is>
          <t>https://lpjk.pu.go.id/search-badan-usaha-detail/Yml1QW5zTkd4Q21yS1VHYzNKSXRwQT09</t>
        </is>
      </c>
      <c r="F121" t="n">
        <v>1</v>
      </c>
      <c r="G121" t="inlineStr">
        <is>
          <t>BG001</t>
        </is>
      </c>
      <c r="H121" t="inlineStr">
        <is>
          <t>3 Maret 2000</t>
        </is>
      </c>
      <c r="I121" s="2" t="n">
        <v>46290</v>
      </c>
      <c r="J121" t="inlineStr">
        <is>
          <t>Disetujui</t>
        </is>
      </c>
      <c r="K121" t="n">
        <v>30</v>
      </c>
      <c r="L121" t="inlineStr">
        <is>
          <t>25 September 2026</t>
        </is>
      </c>
      <c r="M121" t="inlineStr">
        <is>
          <t>Konstruksi Gedung Hunian</t>
        </is>
      </c>
      <c r="N121" t="inlineStr">
        <is>
          <t>K</t>
        </is>
      </c>
      <c r="O121" t="inlineStr">
        <is>
          <t>20230921</t>
        </is>
      </c>
      <c r="P121" t="inlineStr">
        <is>
          <t>Jawa Tengah</t>
        </is>
      </c>
      <c r="Q121" t="inlineStr"/>
    </row>
    <row r="122">
      <c r="A122" t="inlineStr">
        <is>
          <t>PRAMESTI NAWASENA</t>
        </is>
      </c>
      <c r="B122" t="inlineStr">
        <is>
          <t>Kota Surabaya</t>
        </is>
      </c>
      <c r="C122" t="inlineStr">
        <is>
          <t>082132970739</t>
        </is>
      </c>
      <c r="D122" t="inlineStr">
        <is>
          <t>pramestinawasena@gmail.com</t>
        </is>
      </c>
      <c r="E122" t="inlineStr">
        <is>
          <t>https://lpjk.pu.go.id/search-badan-usaha-detail/RWR6WlZpMFZtOFhIUi9ScjBKR0RaUT09</t>
        </is>
      </c>
      <c r="F122" t="n">
        <v>4</v>
      </c>
      <c r="G122" t="inlineStr">
        <is>
          <t>BS001, BS004</t>
        </is>
      </c>
      <c r="H122" t="inlineStr">
        <is>
          <t>7 Agustus 2023</t>
        </is>
      </c>
      <c r="I122" s="2" t="n">
        <v>46290</v>
      </c>
      <c r="J122" t="inlineStr">
        <is>
          <t>Disetujui</t>
        </is>
      </c>
      <c r="K122" t="n">
        <v>30</v>
      </c>
      <c r="L122" t="inlineStr">
        <is>
          <t>25 September 2026</t>
        </is>
      </c>
      <c r="M122" t="inlineStr">
        <is>
          <t>Konstruksi Bangunan Sipil Jalan, Konstruksi Jaringan Irigasi dan Drainase</t>
        </is>
      </c>
      <c r="N122" t="inlineStr">
        <is>
          <t>K</t>
        </is>
      </c>
      <c r="O122" t="inlineStr">
        <is>
          <t>20230921, 20230925</t>
        </is>
      </c>
      <c r="P122" t="inlineStr">
        <is>
          <t>Jawa Timur</t>
        </is>
      </c>
      <c r="Q122" t="inlineStr"/>
    </row>
    <row r="123">
      <c r="A123" t="inlineStr">
        <is>
          <t>PRIMA INTI RODA</t>
        </is>
      </c>
      <c r="B123" t="inlineStr">
        <is>
          <t>Kab. Gresik</t>
        </is>
      </c>
      <c r="C123" t="inlineStr">
        <is>
          <t>0313952192</t>
        </is>
      </c>
      <c r="D123" t="inlineStr">
        <is>
          <t>primainti.roda@yahoo.com</t>
        </is>
      </c>
      <c r="E123" t="inlineStr">
        <is>
          <t>https://lpjk.pu.go.id/search-badan-usaha-detail/QTZxY2pQZVlGVjJFaTBWclVhbXhzdz09</t>
        </is>
      </c>
      <c r="F123" t="n">
        <v>4</v>
      </c>
      <c r="G123" t="inlineStr">
        <is>
          <t>BG005, BG006, BG008, BG009</t>
        </is>
      </c>
      <c r="H123" t="inlineStr">
        <is>
          <t>16 Februari 2005</t>
        </is>
      </c>
      <c r="I123" s="2" t="n">
        <v>46290</v>
      </c>
      <c r="J123" t="inlineStr">
        <is>
          <t>Disetujui</t>
        </is>
      </c>
      <c r="K123" t="n">
        <v>30</v>
      </c>
      <c r="L123" t="inlineStr">
        <is>
          <t>25 September 2026</t>
        </is>
      </c>
      <c r="M123" t="inlineStr">
        <is>
          <t>Konstruksi Gedung Kesehatan, Konstruksi Gedung Lainnya, Konstruksi Gedung Pendidikan, Konstruksi Gedung Tempat Hiburan dan Olahraga</t>
        </is>
      </c>
      <c r="N123" t="inlineStr">
        <is>
          <t>K</t>
        </is>
      </c>
      <c r="O123" t="inlineStr">
        <is>
          <t>20230919</t>
        </is>
      </c>
      <c r="P123" t="inlineStr">
        <is>
          <t>Jawa Timur</t>
        </is>
      </c>
      <c r="Q123" t="inlineStr"/>
    </row>
    <row r="124">
      <c r="A124" t="inlineStr">
        <is>
          <t>PRIMA SHINA CAHAYA</t>
        </is>
      </c>
      <c r="B124" t="inlineStr">
        <is>
          <t>Kota Bandung</t>
        </is>
      </c>
      <c r="C124" t="inlineStr">
        <is>
          <t>08112030367</t>
        </is>
      </c>
      <c r="D124" t="inlineStr">
        <is>
          <t>primashina.pt@gmail.com</t>
        </is>
      </c>
      <c r="E124" t="inlineStr">
        <is>
          <t>https://lpjk.pu.go.id/search-badan-usaha-detail/VklmNW1PZm9wV29NVlRvR2QwK09vUT09</t>
        </is>
      </c>
      <c r="F124" t="n">
        <v>1</v>
      </c>
      <c r="G124" t="inlineStr">
        <is>
          <t>BS016</t>
        </is>
      </c>
      <c r="H124" t="inlineStr">
        <is>
          <t>2 Desember 2014</t>
        </is>
      </c>
      <c r="I124" s="2" t="n">
        <v>46290</v>
      </c>
      <c r="J124" t="inlineStr">
        <is>
          <t>Disetujui</t>
        </is>
      </c>
      <c r="K124" t="n">
        <v>30</v>
      </c>
      <c r="L124" t="inlineStr">
        <is>
          <t>25 September 2026</t>
        </is>
      </c>
      <c r="M124" t="inlineStr">
        <is>
          <t>Konstruksi Bangunan Sipil Fasilitas Olah Raga</t>
        </is>
      </c>
      <c r="N124" t="inlineStr">
        <is>
          <t>M</t>
        </is>
      </c>
      <c r="O124" t="inlineStr">
        <is>
          <t>20230922</t>
        </is>
      </c>
      <c r="P124" t="inlineStr">
        <is>
          <t>Jawa Barat</t>
        </is>
      </c>
      <c r="Q124" t="inlineStr"/>
    </row>
    <row r="125">
      <c r="A125" t="inlineStr">
        <is>
          <t>PURNA BRIGUNA MANDIRI</t>
        </is>
      </c>
      <c r="B125" t="inlineStr">
        <is>
          <t>Kab. Pandeglang</t>
        </is>
      </c>
      <c r="C125" t="inlineStr">
        <is>
          <t>081293800166</t>
        </is>
      </c>
      <c r="D125" t="inlineStr">
        <is>
          <t>purnabrigunamandiri@gmail.com</t>
        </is>
      </c>
      <c r="E125" t="inlineStr">
        <is>
          <t>https://lpjk.pu.go.id/search-badan-usaha-detail/NHZIWFlrWll4SXlmdWZSS3RwWHArZz09</t>
        </is>
      </c>
      <c r="F125" t="n">
        <v>4</v>
      </c>
      <c r="G125" t="inlineStr">
        <is>
          <t>BG002, BG006, BG009, BS001</t>
        </is>
      </c>
      <c r="H125" t="inlineStr">
        <is>
          <t>12 Januari 2010</t>
        </is>
      </c>
      <c r="I125" s="2" t="n">
        <v>46290</v>
      </c>
      <c r="J125" t="inlineStr">
        <is>
          <t>Disetujui</t>
        </is>
      </c>
      <c r="K125" t="n">
        <v>30</v>
      </c>
      <c r="L125" t="inlineStr">
        <is>
          <t>25 September 2026</t>
        </is>
      </c>
      <c r="M125" t="inlineStr">
        <is>
          <t>Konstruksi Bangunan Sipil Jalan, Konstruksi Gedung Lainnya, Konstruksi Gedung Pendidikan, Konstruksi Gedung Perkantoran</t>
        </is>
      </c>
      <c r="N125" t="inlineStr">
        <is>
          <t>K</t>
        </is>
      </c>
      <c r="O125" t="inlineStr">
        <is>
          <t>20230925</t>
        </is>
      </c>
      <c r="P125" t="inlineStr">
        <is>
          <t>Banten</t>
        </is>
      </c>
      <c r="Q125" t="inlineStr"/>
    </row>
    <row r="126">
      <c r="A126" t="inlineStr">
        <is>
          <t>PUTRA ABU BAKAR</t>
        </is>
      </c>
      <c r="B126" t="inlineStr">
        <is>
          <t>Kab. Bandung</t>
        </is>
      </c>
      <c r="C126" t="inlineStr">
        <is>
          <t>082130294225</t>
        </is>
      </c>
      <c r="D126" t="inlineStr">
        <is>
          <t>putraabubakarcv@gmail.com</t>
        </is>
      </c>
      <c r="E126" t="inlineStr">
        <is>
          <t>https://lpjk.pu.go.id/search-badan-usaha-detail/aGF0bk1vcXJ4V3lqM2M3cXJZL3lldz09</t>
        </is>
      </c>
      <c r="F126" t="n">
        <v>5</v>
      </c>
      <c r="G126" t="inlineStr">
        <is>
          <t>BG005, BG006, BG009, BS001, BS004</t>
        </is>
      </c>
      <c r="H126" t="inlineStr">
        <is>
          <t>23 Agustus 2021</t>
        </is>
      </c>
      <c r="I126" s="2" t="n">
        <v>46290</v>
      </c>
      <c r="J126" t="inlineStr">
        <is>
          <t>Disetujui</t>
        </is>
      </c>
      <c r="K126" t="n">
        <v>30</v>
      </c>
      <c r="L126" t="inlineStr">
        <is>
          <t>25 September 2026</t>
        </is>
      </c>
      <c r="M126" t="inlineStr">
        <is>
          <t>Konstruksi Bangunan Sipil Jalan, Konstruksi Gedung Kesehatan, Konstruksi Gedung Lainnya, Konstruksi Gedung Pendidikan, Konstruksi Jaringan Irigasi dan Drainase</t>
        </is>
      </c>
      <c r="N126" t="inlineStr">
        <is>
          <t>K</t>
        </is>
      </c>
      <c r="O126" t="inlineStr">
        <is>
          <t>20230921</t>
        </is>
      </c>
      <c r="P126" t="inlineStr">
        <is>
          <t>Jawa Barat</t>
        </is>
      </c>
      <c r="Q126" t="inlineStr"/>
    </row>
    <row r="127">
      <c r="A127" t="inlineStr">
        <is>
          <t>PUTRA PHOENNA</t>
        </is>
      </c>
      <c r="B127" t="inlineStr">
        <is>
          <t>Kab. Aceh Timur</t>
        </is>
      </c>
      <c r="C127" t="inlineStr">
        <is>
          <t>085277608843</t>
        </is>
      </c>
      <c r="D127" t="inlineStr">
        <is>
          <t>cvputraphoenna@yahoo.com</t>
        </is>
      </c>
      <c r="E127" t="inlineStr">
        <is>
          <t>https://lpjk.pu.go.id/search-badan-usaha-detail/L2haSTlISGI0RjNuZ09ISk90RzhPZz09</t>
        </is>
      </c>
      <c r="F127" t="n">
        <v>2</v>
      </c>
      <c r="G127" t="inlineStr">
        <is>
          <t>BG001, BS004</t>
        </is>
      </c>
      <c r="H127" t="inlineStr">
        <is>
          <t>28 Juli 2020</t>
        </is>
      </c>
      <c r="I127" s="2" t="n">
        <v>46290</v>
      </c>
      <c r="J127" t="inlineStr">
        <is>
          <t>Disetujui</t>
        </is>
      </c>
      <c r="K127" t="n">
        <v>30</v>
      </c>
      <c r="L127" t="inlineStr">
        <is>
          <t>25 September 2026</t>
        </is>
      </c>
      <c r="M127" t="inlineStr">
        <is>
          <t>Konstruksi Gedung Hunian, Konstruksi Jaringan Irigasi dan Drainase</t>
        </is>
      </c>
      <c r="N127" t="inlineStr">
        <is>
          <t>K</t>
        </is>
      </c>
      <c r="O127" t="inlineStr">
        <is>
          <t>20220909, 20230101</t>
        </is>
      </c>
      <c r="P127" t="inlineStr">
        <is>
          <t>Aceh</t>
        </is>
      </c>
      <c r="Q127" t="inlineStr"/>
    </row>
    <row r="128">
      <c r="A128" t="inlineStr">
        <is>
          <t>PUTRA SAING MANDIRI</t>
        </is>
      </c>
      <c r="B128" t="inlineStr">
        <is>
          <t>Kab. Balangan</t>
        </is>
      </c>
      <c r="C128" t="inlineStr">
        <is>
          <t>085349941164</t>
        </is>
      </c>
      <c r="D128" t="inlineStr">
        <is>
          <t>putrasaingmandiri2@gmail.com</t>
        </is>
      </c>
      <c r="E128" t="inlineStr">
        <is>
          <t>https://lpjk.pu.go.id/search-badan-usaha-detail/UndJdDg5TWJKT1VFMG4vTXNCanRHdz09</t>
        </is>
      </c>
      <c r="F128" t="n">
        <v>3</v>
      </c>
      <c r="G128" t="inlineStr">
        <is>
          <t>BS001, BS004, BS010</t>
        </is>
      </c>
      <c r="H128" t="inlineStr">
        <is>
          <t>18 Maret 2022</t>
        </is>
      </c>
      <c r="I128" s="2" t="n">
        <v>46290</v>
      </c>
      <c r="J128" t="inlineStr">
        <is>
          <t>Disetujui</t>
        </is>
      </c>
      <c r="K128" t="n">
        <v>30</v>
      </c>
      <c r="L128" t="inlineStr">
        <is>
          <t>25 September 2026</t>
        </is>
      </c>
      <c r="M128" t="inlineStr">
        <is>
          <t>Konstruksi Bangunan Prasarana Sumber Daya Air, Konstruksi Bangunan Sipil Jalan, Konstruksi Jaringan Irigasi dan Drainase</t>
        </is>
      </c>
      <c r="N128" t="inlineStr">
        <is>
          <t>K</t>
        </is>
      </c>
      <c r="O128" t="inlineStr">
        <is>
          <t>20230922</t>
        </is>
      </c>
      <c r="P128" t="inlineStr">
        <is>
          <t>Kalimantan Selatan</t>
        </is>
      </c>
      <c r="Q128" t="inlineStr"/>
    </row>
    <row r="129">
      <c r="A129" t="inlineStr">
        <is>
          <t>PUTRA SARIN JAYA</t>
        </is>
      </c>
      <c r="B129" t="inlineStr">
        <is>
          <t>Kab. Kudus</t>
        </is>
      </c>
      <c r="C129" t="inlineStr">
        <is>
          <t>085225817671</t>
        </is>
      </c>
      <c r="D129" t="inlineStr">
        <is>
          <t>cv.putrasarinjaya@gmail.com</t>
        </is>
      </c>
      <c r="E129" t="inlineStr">
        <is>
          <t>https://lpjk.pu.go.id/search-badan-usaha-detail/eHU3Y1VwMS9wQ1JKZm9yaUJLNDUyQT09</t>
        </is>
      </c>
      <c r="F129" t="n">
        <v>1</v>
      </c>
      <c r="G129" t="inlineStr">
        <is>
          <t>BG005</t>
        </is>
      </c>
      <c r="H129" t="inlineStr">
        <is>
          <t>14 September 2021</t>
        </is>
      </c>
      <c r="I129" s="2" t="n">
        <v>46290</v>
      </c>
      <c r="J129" t="inlineStr">
        <is>
          <t>Disetujui</t>
        </is>
      </c>
      <c r="K129" t="n">
        <v>30</v>
      </c>
      <c r="L129" t="inlineStr">
        <is>
          <t>25 September 2026</t>
        </is>
      </c>
      <c r="M129" t="inlineStr">
        <is>
          <t>Konstruksi Gedung Kesehatan</t>
        </is>
      </c>
      <c r="N129" t="inlineStr">
        <is>
          <t>K</t>
        </is>
      </c>
      <c r="O129" t="inlineStr">
        <is>
          <t>20230925</t>
        </is>
      </c>
      <c r="P129" t="inlineStr">
        <is>
          <t>Jawa Tengah</t>
        </is>
      </c>
      <c r="Q129" t="inlineStr"/>
    </row>
    <row r="130">
      <c r="A130" t="inlineStr">
        <is>
          <t>RAHAAYU PUTRA MANDIRI</t>
        </is>
      </c>
      <c r="B130" t="inlineStr">
        <is>
          <t>Kota Tasikmalaya</t>
        </is>
      </c>
      <c r="C130" t="inlineStr">
        <is>
          <t>082219436963</t>
        </is>
      </c>
      <c r="D130" t="inlineStr">
        <is>
          <t>rahaayuputramandiri@gmail.com</t>
        </is>
      </c>
      <c r="E130" t="inlineStr">
        <is>
          <t>https://lpjk.pu.go.id/search-badan-usaha-detail/SW5KK1JMRjlVV1BLNzBPQXp1UENDUT09</t>
        </is>
      </c>
      <c r="F130" t="n">
        <v>1</v>
      </c>
      <c r="G130" t="inlineStr">
        <is>
          <t>BS001</t>
        </is>
      </c>
      <c r="H130" t="inlineStr">
        <is>
          <t>8 Mei 2023</t>
        </is>
      </c>
      <c r="I130" s="2" t="n">
        <v>46290</v>
      </c>
      <c r="J130" t="inlineStr">
        <is>
          <t>Disetujui</t>
        </is>
      </c>
      <c r="K130" t="n">
        <v>30</v>
      </c>
      <c r="L130" t="inlineStr">
        <is>
          <t>25 September 2026</t>
        </is>
      </c>
      <c r="M130" t="inlineStr">
        <is>
          <t>Konstruksi Bangunan Sipil Jalan</t>
        </is>
      </c>
      <c r="N130" t="inlineStr">
        <is>
          <t>K</t>
        </is>
      </c>
      <c r="O130" t="inlineStr">
        <is>
          <t>20230913</t>
        </is>
      </c>
      <c r="P130" t="inlineStr">
        <is>
          <t>Jawa Barat</t>
        </is>
      </c>
      <c r="Q130" t="inlineStr"/>
    </row>
    <row r="131">
      <c r="A131" t="inlineStr">
        <is>
          <t>RAJAWALI KUTIM GEMILANG</t>
        </is>
      </c>
      <c r="B131" t="inlineStr">
        <is>
          <t>Kab. Kutai Timur</t>
        </is>
      </c>
      <c r="C131" t="inlineStr">
        <is>
          <t>08229800098</t>
        </is>
      </c>
      <c r="D131" t="inlineStr">
        <is>
          <t>rajawalukutimgemilangcv@gmail.com</t>
        </is>
      </c>
      <c r="E131" t="inlineStr">
        <is>
          <t>https://lpjk.pu.go.id/search-badan-usaha-detail/RGwvRWdnSkV4a0s5elArbjE1bmYydz09</t>
        </is>
      </c>
      <c r="F131" t="n">
        <v>2</v>
      </c>
      <c r="G131" t="inlineStr">
        <is>
          <t>BS004</t>
        </is>
      </c>
      <c r="H131" t="inlineStr">
        <is>
          <t>26 Juni 2023</t>
        </is>
      </c>
      <c r="I131" s="2" t="n">
        <v>46290</v>
      </c>
      <c r="J131" t="inlineStr">
        <is>
          <t>Disetujui</t>
        </is>
      </c>
      <c r="K131" t="n">
        <v>30</v>
      </c>
      <c r="L131" t="inlineStr">
        <is>
          <t>25 September 2026</t>
        </is>
      </c>
      <c r="M131" t="inlineStr">
        <is>
          <t>Konstruksi Jaringan Irigasi dan Drainase</t>
        </is>
      </c>
      <c r="N131" t="inlineStr">
        <is>
          <t>K</t>
        </is>
      </c>
      <c r="O131" t="inlineStr">
        <is>
          <t>20230926</t>
        </is>
      </c>
      <c r="P131" t="inlineStr">
        <is>
          <t>Kalimantan Timur</t>
        </is>
      </c>
      <c r="Q131" t="inlineStr"/>
    </row>
    <row r="132">
      <c r="A132" t="inlineStr">
        <is>
          <t>REJEKI BARU</t>
        </is>
      </c>
      <c r="B132" t="inlineStr">
        <is>
          <t>Kab. Berau</t>
        </is>
      </c>
      <c r="C132" t="inlineStr">
        <is>
          <t>081260542070</t>
        </is>
      </c>
      <c r="D132" t="inlineStr">
        <is>
          <t>rejekibaru92@gmail.com</t>
        </is>
      </c>
      <c r="E132" t="inlineStr">
        <is>
          <t>https://lpjk.pu.go.id/search-badan-usaha-detail/a1ZLc0lQWGVKU1hJdE1Hazk4WHBHZz09</t>
        </is>
      </c>
      <c r="F132" t="n">
        <v>4</v>
      </c>
      <c r="G132" t="inlineStr">
        <is>
          <t>BG002, BG009, BS001, BS005</t>
        </is>
      </c>
      <c r="H132" t="inlineStr">
        <is>
          <t>7 September 1995</t>
        </is>
      </c>
      <c r="I132" s="2" t="n">
        <v>46290</v>
      </c>
      <c r="J132" t="inlineStr">
        <is>
          <t>Disetujui</t>
        </is>
      </c>
      <c r="K132" t="n">
        <v>30</v>
      </c>
      <c r="L132" t="inlineStr">
        <is>
          <t>25 September 2026</t>
        </is>
      </c>
      <c r="M132" t="inlineStr">
        <is>
          <t>Konstruksi Bangunan Sipil Jalan, Konstruksi Bangunan Sipil Pengolahan Air Bersih, Konstruksi Gedung Lainnya, Konstruksi Gedung Perkantoran</t>
        </is>
      </c>
      <c r="N132" t="inlineStr">
        <is>
          <t>K</t>
        </is>
      </c>
      <c r="O132" t="inlineStr">
        <is>
          <t>20230920, 20230921</t>
        </is>
      </c>
      <c r="P132" t="inlineStr">
        <is>
          <t>Kalimantan Timur</t>
        </is>
      </c>
      <c r="Q132" t="inlineStr"/>
    </row>
    <row r="133">
      <c r="A133" t="inlineStr">
        <is>
          <t>REKA LARAS MULIA</t>
        </is>
      </c>
      <c r="B133" t="inlineStr">
        <is>
          <t>Kota Adm. Jakarta Selatan</t>
        </is>
      </c>
      <c r="C133" t="inlineStr">
        <is>
          <t>081318844508</t>
        </is>
      </c>
      <c r="D133" t="inlineStr">
        <is>
          <t>ptrekalarasmulia@gmail.com</t>
        </is>
      </c>
      <c r="E133" t="inlineStr">
        <is>
          <t>https://lpjk.pu.go.id/search-badan-usaha-detail/SWtyVU5DS2lqbHlkcktyUDhUR2ZSdz09</t>
        </is>
      </c>
      <c r="F133" t="n">
        <v>7</v>
      </c>
      <c r="G133" t="inlineStr">
        <is>
          <t>BG001, BG002, BG003, BG004, BG005, BG006, BG007</t>
        </is>
      </c>
      <c r="H133" t="inlineStr">
        <is>
          <t>20 Juli 2023</t>
        </is>
      </c>
      <c r="I133" s="2" t="n">
        <v>46290</v>
      </c>
      <c r="J133" t="inlineStr">
        <is>
          <t>Disetujui, Pencabutan</t>
        </is>
      </c>
      <c r="K133" t="n">
        <v>30</v>
      </c>
      <c r="L133" t="inlineStr">
        <is>
          <t>25 September 2026</t>
        </is>
      </c>
      <c r="M133" t="inlineStr">
        <is>
          <t>Konstruksi Gedung Hunian, Konstruksi Gedung Industri, Konstruksi Gedung Kesehatan, Konstruksi Gedung Pendidikan, Konstruksi Gedung Penginapan, Konstruksi Gedung Perbelanjaan, Konstruksi Gedung Perkantoran</t>
        </is>
      </c>
      <c r="N133" t="inlineStr">
        <is>
          <t>K</t>
        </is>
      </c>
      <c r="O133" t="inlineStr">
        <is>
          <t>20230925, 20230926</t>
        </is>
      </c>
      <c r="P133" t="inlineStr">
        <is>
          <t>DKI Jakarta</t>
        </is>
      </c>
      <c r="Q133" t="inlineStr"/>
    </row>
    <row r="134">
      <c r="A134" t="inlineStr">
        <is>
          <t>REKAYASA UTAMA</t>
        </is>
      </c>
      <c r="B134" t="inlineStr">
        <is>
          <t>Kab. Tabanan</t>
        </is>
      </c>
      <c r="C134" t="inlineStr">
        <is>
          <t>0361814164</t>
        </is>
      </c>
      <c r="D134" t="inlineStr">
        <is>
          <t>rekayasautamautama@yahoo.co.id</t>
        </is>
      </c>
      <c r="E134" t="inlineStr">
        <is>
          <t>https://lpjk.pu.go.id/search-badan-usaha-detail/ci9sQWlnTjBHUGo1aGI0bFN5Z0VOZz09</t>
        </is>
      </c>
      <c r="F134" t="n">
        <v>4</v>
      </c>
      <c r="G134" t="inlineStr">
        <is>
          <t>BG002, BG005</t>
        </is>
      </c>
      <c r="H134" t="inlineStr">
        <is>
          <t>23 Juni 1994</t>
        </is>
      </c>
      <c r="I134" s="2" t="n">
        <v>46290</v>
      </c>
      <c r="J134" t="inlineStr">
        <is>
          <t>Disetujui</t>
        </is>
      </c>
      <c r="K134" t="n">
        <v>30</v>
      </c>
      <c r="L134" t="inlineStr">
        <is>
          <t>25 September 2026</t>
        </is>
      </c>
      <c r="M134" t="inlineStr">
        <is>
          <t>Konstruksi Gedung Kesehatan, Konstruksi Gedung Perkantoran</t>
        </is>
      </c>
      <c r="N134" t="inlineStr">
        <is>
          <t>K</t>
        </is>
      </c>
      <c r="O134" t="inlineStr">
        <is>
          <t>20230921, 20230925</t>
        </is>
      </c>
      <c r="P134" t="inlineStr">
        <is>
          <t>Bali</t>
        </is>
      </c>
      <c r="Q134" t="inlineStr"/>
    </row>
    <row r="135">
      <c r="A135" t="inlineStr">
        <is>
          <t>REKSA REKATAMA</t>
        </is>
      </c>
      <c r="B135" t="inlineStr">
        <is>
          <t>Kota Adm. Jakarta Pusat</t>
        </is>
      </c>
      <c r="C135" t="inlineStr">
        <is>
          <t>02157903302</t>
        </is>
      </c>
      <c r="D135" t="inlineStr">
        <is>
          <t>reksa@equalindo.com</t>
        </is>
      </c>
      <c r="E135" t="inlineStr">
        <is>
          <t>https://lpjk.pu.go.id/search-badan-usaha-detail/cW16Tk85MnAxOVBoeDM5L2gya25WZz09</t>
        </is>
      </c>
      <c r="F135" t="n">
        <v>1</v>
      </c>
      <c r="G135" t="inlineStr">
        <is>
          <t>PL004</t>
        </is>
      </c>
      <c r="H135" t="inlineStr">
        <is>
          <t>27 Januari 2011</t>
        </is>
      </c>
      <c r="I135" s="2" t="n">
        <v>46290</v>
      </c>
      <c r="J135" t="inlineStr">
        <is>
          <t>Disetujui</t>
        </is>
      </c>
      <c r="K135" t="n">
        <v>30</v>
      </c>
      <c r="L135" t="inlineStr">
        <is>
          <t>25 September 2026</t>
        </is>
      </c>
      <c r="M135" t="inlineStr">
        <is>
          <t>Pekerjaan Tanah</t>
        </is>
      </c>
      <c r="N135" t="inlineStr">
        <is>
          <t>Spesialis</t>
        </is>
      </c>
      <c r="O135" t="inlineStr">
        <is>
          <t>20230922</t>
        </is>
      </c>
      <c r="P135" t="inlineStr">
        <is>
          <t>DKI Jakarta</t>
        </is>
      </c>
      <c r="Q135" t="inlineStr"/>
    </row>
    <row r="136">
      <c r="A136" t="inlineStr">
        <is>
          <t>RICCATD</t>
        </is>
      </c>
      <c r="B136" t="inlineStr">
        <is>
          <t>Kab. Humbang Hasundutan</t>
        </is>
      </c>
      <c r="C136" t="inlineStr">
        <is>
          <t>081397200904</t>
        </is>
      </c>
      <c r="D136" t="inlineStr">
        <is>
          <t>cvriccat@gmail.com</t>
        </is>
      </c>
      <c r="E136" t="inlineStr">
        <is>
          <t>https://lpjk.pu.go.id/search-badan-usaha-detail/MmhoLzIwY25vNmRoWUdlcDNodDdwUT09</t>
        </is>
      </c>
      <c r="F136" t="n">
        <v>1</v>
      </c>
      <c r="G136" t="inlineStr">
        <is>
          <t>BG009</t>
        </is>
      </c>
      <c r="H136" t="inlineStr">
        <is>
          <t>21 Januari 2020</t>
        </is>
      </c>
      <c r="I136" s="2" t="n">
        <v>46290</v>
      </c>
      <c r="J136" t="inlineStr">
        <is>
          <t>Disetujui</t>
        </is>
      </c>
      <c r="K136" t="n">
        <v>30</v>
      </c>
      <c r="L136" t="inlineStr">
        <is>
          <t>25 September 2026</t>
        </is>
      </c>
      <c r="M136" t="inlineStr">
        <is>
          <t>Konstruksi Gedung Lainnya</t>
        </is>
      </c>
      <c r="N136" t="inlineStr">
        <is>
          <t>K</t>
        </is>
      </c>
      <c r="O136" t="inlineStr">
        <is>
          <t>20230925</t>
        </is>
      </c>
      <c r="P136" t="inlineStr">
        <is>
          <t>Sumatera Utara</t>
        </is>
      </c>
      <c r="Q136" t="inlineStr"/>
    </row>
    <row r="137">
      <c r="A137" t="inlineStr">
        <is>
          <t>SABILA WARDHANA</t>
        </is>
      </c>
      <c r="B137" t="inlineStr">
        <is>
          <t>Kota Semarang</t>
        </is>
      </c>
      <c r="C137" t="inlineStr">
        <is>
          <t>081329668668</t>
        </is>
      </c>
      <c r="D137" t="inlineStr">
        <is>
          <t>sabila_wardhana@yahoo.com</t>
        </is>
      </c>
      <c r="E137" t="inlineStr">
        <is>
          <t>https://lpjk.pu.go.id/search-badan-usaha-detail/OWFoUXZ1K0tDbisxVmJraFdsQ1hhdz09</t>
        </is>
      </c>
      <c r="F137" t="n">
        <v>2</v>
      </c>
      <c r="G137" t="inlineStr">
        <is>
          <t>BS004, BS010</t>
        </is>
      </c>
      <c r="H137" t="inlineStr">
        <is>
          <t>19 September 2005</t>
        </is>
      </c>
      <c r="I137" s="2" t="n">
        <v>46290</v>
      </c>
      <c r="J137" t="inlineStr">
        <is>
          <t>Pencabutan</t>
        </is>
      </c>
      <c r="K137" t="n">
        <v>30</v>
      </c>
      <c r="L137" t="inlineStr">
        <is>
          <t>25 September 2026</t>
        </is>
      </c>
      <c r="M137" t="inlineStr">
        <is>
          <t>Konstruksi Bangunan Prasarana Sumber Daya Air, Konstruksi Jaringan Irigasi dan Drainase</t>
        </is>
      </c>
      <c r="N137" t="inlineStr">
        <is>
          <t>K</t>
        </is>
      </c>
      <c r="O137" t="inlineStr">
        <is>
          <t>20230918, 20230921</t>
        </is>
      </c>
      <c r="P137" t="inlineStr">
        <is>
          <t>Jawa Tengah</t>
        </is>
      </c>
      <c r="Q137" t="inlineStr"/>
    </row>
    <row r="138">
      <c r="A138" t="inlineStr">
        <is>
          <t>SASCO GLOBAL INDONESIA</t>
        </is>
      </c>
      <c r="B138" t="inlineStr">
        <is>
          <t>Kota Bandung</t>
        </is>
      </c>
      <c r="C138" t="inlineStr">
        <is>
          <t>081321123029</t>
        </is>
      </c>
      <c r="D138" t="inlineStr">
        <is>
          <t>information@sasco-gi.com</t>
        </is>
      </c>
      <c r="E138" t="inlineStr">
        <is>
          <t>https://lpjk.pu.go.id/search-badan-usaha-detail/VWprUFYvc0h1QzJaQkpreEU5RkFRQT09</t>
        </is>
      </c>
      <c r="F138" t="n">
        <v>1</v>
      </c>
      <c r="G138" t="inlineStr">
        <is>
          <t>IT002</t>
        </is>
      </c>
      <c r="H138" t="inlineStr">
        <is>
          <t>3 November 2021</t>
        </is>
      </c>
      <c r="I138" s="2" t="n">
        <v>46290</v>
      </c>
      <c r="J138" t="inlineStr">
        <is>
          <t>Disetujui</t>
        </is>
      </c>
      <c r="K138" t="n">
        <v>30</v>
      </c>
      <c r="L138" t="inlineStr">
        <is>
          <t>25 September 2026</t>
        </is>
      </c>
      <c r="M138" t="inlineStr">
        <is>
          <t>Jasa Konsultansi Ilmiah dan Teknis Bawah Tanah</t>
        </is>
      </c>
      <c r="N138" t="inlineStr">
        <is>
          <t>Spesialis</t>
        </is>
      </c>
      <c r="O138" t="inlineStr">
        <is>
          <t>20230106</t>
        </is>
      </c>
      <c r="P138" t="inlineStr">
        <is>
          <t>Jawa Barat</t>
        </is>
      </c>
      <c r="Q138" t="inlineStr"/>
    </row>
    <row r="139">
      <c r="A139" t="inlineStr">
        <is>
          <t>SATRIA UTAMA ABADI</t>
        </is>
      </c>
      <c r="B139" t="inlineStr">
        <is>
          <t>Kota Surabaya</t>
        </is>
      </c>
      <c r="C139" t="inlineStr">
        <is>
          <t>0315463073</t>
        </is>
      </c>
      <c r="D139" t="inlineStr">
        <is>
          <t>satriautamaabadi2018@gmail.com</t>
        </is>
      </c>
      <c r="E139" t="inlineStr">
        <is>
          <t>https://lpjk.pu.go.id/search-badan-usaha-detail/d1Q2eExVM0pNK1V3azZyZ3FsVUVaUT09</t>
        </is>
      </c>
      <c r="F139" t="n">
        <v>1</v>
      </c>
      <c r="G139" t="inlineStr">
        <is>
          <t>BG009</t>
        </is>
      </c>
      <c r="H139" t="inlineStr">
        <is>
          <t>29 Maret 2022</t>
        </is>
      </c>
      <c r="I139" s="2" t="n">
        <v>46290</v>
      </c>
      <c r="J139" t="inlineStr">
        <is>
          <t>Pencabutan</t>
        </is>
      </c>
      <c r="K139" t="n">
        <v>30</v>
      </c>
      <c r="L139" t="inlineStr">
        <is>
          <t>25 September 2026</t>
        </is>
      </c>
      <c r="M139" t="inlineStr">
        <is>
          <t>Konstruksi Gedung Lainnya</t>
        </is>
      </c>
      <c r="N139" t="inlineStr">
        <is>
          <t>K</t>
        </is>
      </c>
      <c r="O139" t="inlineStr">
        <is>
          <t>20230531</t>
        </is>
      </c>
      <c r="P139" t="inlineStr">
        <is>
          <t>Jawa Timur</t>
        </is>
      </c>
      <c r="Q139" t="inlineStr"/>
    </row>
    <row r="140">
      <c r="A140" t="inlineStr">
        <is>
          <t>SEJAHTERA JAYA ABADI LAMARAN</t>
        </is>
      </c>
      <c r="B140" t="inlineStr">
        <is>
          <t>Kab. Subang</t>
        </is>
      </c>
      <c r="C140" t="inlineStr">
        <is>
          <t>085221842231</t>
        </is>
      </c>
      <c r="D140" t="inlineStr">
        <is>
          <t>cvsejahterajayaabadilamaran@gmail.com</t>
        </is>
      </c>
      <c r="E140" t="inlineStr">
        <is>
          <t>https://lpjk.pu.go.id/search-badan-usaha-detail/bG5EYXkvcFlTbmFLcFNndk5rU2JiUT09</t>
        </is>
      </c>
      <c r="F140" t="n">
        <v>1</v>
      </c>
      <c r="G140" t="inlineStr">
        <is>
          <t>BS001</t>
        </is>
      </c>
      <c r="H140" t="inlineStr">
        <is>
          <t>5 Juni 2023</t>
        </is>
      </c>
      <c r="I140" s="2" t="n">
        <v>46290</v>
      </c>
      <c r="J140" t="inlineStr">
        <is>
          <t>Disetujui</t>
        </is>
      </c>
      <c r="K140" t="n">
        <v>30</v>
      </c>
      <c r="L140" t="inlineStr">
        <is>
          <t>25 September 2026</t>
        </is>
      </c>
      <c r="M140" t="inlineStr">
        <is>
          <t>Konstruksi Bangunan Sipil Jalan</t>
        </is>
      </c>
      <c r="N140" t="inlineStr">
        <is>
          <t>K</t>
        </is>
      </c>
      <c r="O140" t="inlineStr">
        <is>
          <t>20230825</t>
        </is>
      </c>
      <c r="P140" t="inlineStr">
        <is>
          <t>Jawa Barat</t>
        </is>
      </c>
      <c r="Q140" t="inlineStr"/>
    </row>
    <row r="141">
      <c r="A141" t="inlineStr">
        <is>
          <t>SENTRA CININTYA INDONESIA</t>
        </is>
      </c>
      <c r="B141" t="inlineStr">
        <is>
          <t>Kota Padang</t>
        </is>
      </c>
      <c r="C141" t="inlineStr">
        <is>
          <t>0811662649</t>
        </is>
      </c>
      <c r="D141" t="inlineStr">
        <is>
          <t>pt.cinintya@gmail.com</t>
        </is>
      </c>
      <c r="E141" t="inlineStr">
        <is>
          <t>https://lpjk.pu.go.id/search-badan-usaha-detail/amVpdDhydEErUnVqb3NpUTg5U09DQT09</t>
        </is>
      </c>
      <c r="F141" t="n">
        <v>1</v>
      </c>
      <c r="G141" t="inlineStr">
        <is>
          <t>BS005</t>
        </is>
      </c>
      <c r="H141" t="inlineStr">
        <is>
          <t>25 Juni 2009</t>
        </is>
      </c>
      <c r="I141" s="2" t="n">
        <v>46290</v>
      </c>
      <c r="J141" t="inlineStr">
        <is>
          <t>Disetujui</t>
        </is>
      </c>
      <c r="K141" t="n">
        <v>30</v>
      </c>
      <c r="L141" t="inlineStr">
        <is>
          <t>25 September 2026</t>
        </is>
      </c>
      <c r="M141" t="inlineStr">
        <is>
          <t>Konstruksi Bangunan Sipil Pengolahan Air Bersih</t>
        </is>
      </c>
      <c r="N141" t="inlineStr">
        <is>
          <t>M</t>
        </is>
      </c>
      <c r="O141" t="inlineStr">
        <is>
          <t>20230516</t>
        </is>
      </c>
      <c r="P141" t="inlineStr">
        <is>
          <t>Sumatera Barat</t>
        </is>
      </c>
      <c r="Q141" t="inlineStr"/>
    </row>
    <row r="142">
      <c r="A142" t="inlineStr">
        <is>
          <t>SINAR AGROTAMA</t>
        </is>
      </c>
      <c r="B142" t="inlineStr">
        <is>
          <t>Kab. Dompu</t>
        </is>
      </c>
      <c r="C142" t="inlineStr">
        <is>
          <t>085238744972</t>
        </is>
      </c>
      <c r="D142" t="inlineStr">
        <is>
          <t>cv.sinaragrotama@gmail.com</t>
        </is>
      </c>
      <c r="E142" t="inlineStr">
        <is>
          <t>https://lpjk.pu.go.id/search-badan-usaha-detail/UFdyZjlHL3A4V3IrRC94Q01tUk5uQT09</t>
        </is>
      </c>
      <c r="F142" t="n">
        <v>4</v>
      </c>
      <c r="G142" t="inlineStr">
        <is>
          <t>BG005, BG006, BG009, BS001</t>
        </is>
      </c>
      <c r="H142" t="inlineStr">
        <is>
          <t>5 Juni 2023</t>
        </is>
      </c>
      <c r="I142" s="2" t="n">
        <v>46290</v>
      </c>
      <c r="J142" t="inlineStr">
        <is>
          <t>Disetujui</t>
        </is>
      </c>
      <c r="K142" t="n">
        <v>30</v>
      </c>
      <c r="L142" t="inlineStr">
        <is>
          <t>25 September 2026</t>
        </is>
      </c>
      <c r="M142" t="inlineStr">
        <is>
          <t>Konstruksi Bangunan Sipil Jalan, Konstruksi Gedung Kesehatan, Konstruksi Gedung Lainnya, Konstruksi Gedung Pendidikan</t>
        </is>
      </c>
      <c r="N142" t="inlineStr">
        <is>
          <t>K</t>
        </is>
      </c>
      <c r="O142" t="inlineStr">
        <is>
          <t>20230926</t>
        </is>
      </c>
      <c r="P142" t="inlineStr">
        <is>
          <t>Nusa Tenggara Barat</t>
        </is>
      </c>
      <c r="Q142" t="inlineStr"/>
    </row>
    <row r="143">
      <c r="A143" t="inlineStr">
        <is>
          <t>SINAR LOGAM</t>
        </is>
      </c>
      <c r="B143" t="inlineStr">
        <is>
          <t>Kota Kupang</t>
        </is>
      </c>
      <c r="C143" t="inlineStr">
        <is>
          <t>08135572578</t>
        </is>
      </c>
      <c r="D143" t="inlineStr">
        <is>
          <t>wijayalindasl83@gmail.com</t>
        </is>
      </c>
      <c r="E143" t="inlineStr">
        <is>
          <t>https://lpjk.pu.go.id/search-badan-usaha-detail/MUZwK014cUxRMC82d1VHSGNVNDYyUT09</t>
        </is>
      </c>
      <c r="F143" t="n">
        <v>1</v>
      </c>
      <c r="G143" t="inlineStr">
        <is>
          <t>BG004</t>
        </is>
      </c>
      <c r="H143" t="inlineStr">
        <is>
          <t>23 Januari 2013</t>
        </is>
      </c>
      <c r="I143" s="2" t="n">
        <v>46290</v>
      </c>
      <c r="J143" t="inlineStr">
        <is>
          <t>Pencabutan</t>
        </is>
      </c>
      <c r="K143" t="n">
        <v>30</v>
      </c>
      <c r="L143" t="inlineStr">
        <is>
          <t>25 September 2026</t>
        </is>
      </c>
      <c r="M143" t="inlineStr">
        <is>
          <t>Konstruksi Gedung Perbelanjaan</t>
        </is>
      </c>
      <c r="N143" t="inlineStr">
        <is>
          <t>K</t>
        </is>
      </c>
      <c r="O143" t="inlineStr">
        <is>
          <t>20230920</t>
        </is>
      </c>
      <c r="P143" t="inlineStr">
        <is>
          <t>Nusa Tenggara Timur</t>
        </is>
      </c>
      <c r="Q143" t="inlineStr"/>
    </row>
    <row r="144">
      <c r="A144" t="inlineStr">
        <is>
          <t>SOLATA PERMAI</t>
        </is>
      </c>
      <c r="B144" t="inlineStr">
        <is>
          <t>Kab. Fak Fak</t>
        </is>
      </c>
      <c r="C144" t="inlineStr">
        <is>
          <t>081248943039</t>
        </is>
      </c>
      <c r="D144" t="inlineStr">
        <is>
          <t>cv.solatapermai@gmail.com</t>
        </is>
      </c>
      <c r="E144" t="inlineStr">
        <is>
          <t>https://lpjk.pu.go.id/search-badan-usaha-detail/NXZNaXJ4ZWQzSFNoQndZZEZCMWZrdz09</t>
        </is>
      </c>
      <c r="F144" t="n">
        <v>12</v>
      </c>
      <c r="G144" t="inlineStr">
        <is>
          <t>BG001, BG002, BG005, BG006, BG009, BS001</t>
        </is>
      </c>
      <c r="H144" t="inlineStr">
        <is>
          <t>21 Desember 2010</t>
        </is>
      </c>
      <c r="I144" s="2" t="n">
        <v>46290</v>
      </c>
      <c r="J144" t="inlineStr">
        <is>
          <t>Disetujui</t>
        </is>
      </c>
      <c r="K144" t="n">
        <v>30</v>
      </c>
      <c r="L144" t="inlineStr">
        <is>
          <t>25 September 2026</t>
        </is>
      </c>
      <c r="M144" t="inlineStr">
        <is>
          <t>Konstruksi Bangunan Sipil Jalan, Konstruksi Gedung Hunian, Konstruksi Gedung Kesehatan, Konstruksi Gedung Lainnya, Konstruksi Gedung Pendidikan, Konstruksi Gedung Perkantoran</t>
        </is>
      </c>
      <c r="N144" t="inlineStr">
        <is>
          <t>K</t>
        </is>
      </c>
      <c r="O144" t="inlineStr">
        <is>
          <t>20230919</t>
        </is>
      </c>
      <c r="P144" t="inlineStr">
        <is>
          <t>Papua Barat</t>
        </is>
      </c>
      <c r="Q144" t="inlineStr"/>
    </row>
    <row r="145">
      <c r="A145" t="inlineStr">
        <is>
          <t>SUMBER BERKAH WIJAYA</t>
        </is>
      </c>
      <c r="B145" t="inlineStr">
        <is>
          <t>Kab. Lampung Selatan</t>
        </is>
      </c>
      <c r="C145" t="inlineStr">
        <is>
          <t>082373797658</t>
        </is>
      </c>
      <c r="D145" t="inlineStr">
        <is>
          <t>Sumberberkahwijaya50@gmail.com</t>
        </is>
      </c>
      <c r="E145" t="inlineStr">
        <is>
          <t>https://lpjk.pu.go.id/search-badan-usaha-detail/cXl0ZnFiVkxDQ0ZKRkZnd3dHdUlDUT09</t>
        </is>
      </c>
      <c r="F145" t="n">
        <v>1</v>
      </c>
      <c r="G145" t="inlineStr">
        <is>
          <t>BG001</t>
        </is>
      </c>
      <c r="H145" t="inlineStr">
        <is>
          <t>1 Januari 2018</t>
        </is>
      </c>
      <c r="I145" s="2" t="n">
        <v>46290</v>
      </c>
      <c r="J145" t="inlineStr">
        <is>
          <t>Disetujui</t>
        </is>
      </c>
      <c r="K145" t="n">
        <v>30</v>
      </c>
      <c r="L145" t="inlineStr">
        <is>
          <t>25 September 2026</t>
        </is>
      </c>
      <c r="M145" t="inlineStr">
        <is>
          <t>Konstruksi Gedung Hunian</t>
        </is>
      </c>
      <c r="N145" t="inlineStr">
        <is>
          <t>K</t>
        </is>
      </c>
      <c r="O145" t="inlineStr">
        <is>
          <t>20230918</t>
        </is>
      </c>
      <c r="P145" t="inlineStr">
        <is>
          <t>Lampung</t>
        </is>
      </c>
      <c r="Q145" t="inlineStr"/>
    </row>
    <row r="146">
      <c r="A146" t="inlineStr">
        <is>
          <t>SUMBER REZEKI</t>
        </is>
      </c>
      <c r="B146" t="inlineStr">
        <is>
          <t>Kota Palembang</t>
        </is>
      </c>
      <c r="C146" t="inlineStr">
        <is>
          <t>081273315598</t>
        </is>
      </c>
      <c r="D146" t="inlineStr">
        <is>
          <t>sumberrezekicvplbg@gmail.com</t>
        </is>
      </c>
      <c r="E146" t="inlineStr">
        <is>
          <t>https://lpjk.pu.go.id/search-badan-usaha-detail/a1llVVNaRE9QUStEamNJQyt2Tzd0UT09</t>
        </is>
      </c>
      <c r="F146" t="n">
        <v>1</v>
      </c>
      <c r="G146" t="inlineStr">
        <is>
          <t>AR001</t>
        </is>
      </c>
      <c r="H146" t="inlineStr">
        <is>
          <t>11 Mei 2022</t>
        </is>
      </c>
      <c r="I146" s="2" t="n">
        <v>46290</v>
      </c>
      <c r="J146" t="inlineStr">
        <is>
          <t>Disetujui</t>
        </is>
      </c>
      <c r="K146" t="n">
        <v>30</v>
      </c>
      <c r="L146" t="inlineStr">
        <is>
          <t>25 September 2026</t>
        </is>
      </c>
      <c r="M146" t="inlineStr">
        <is>
          <t>Jasa Arsitektural Bangunan Gedung Hunian dan Non Hunian</t>
        </is>
      </c>
      <c r="N146" t="inlineStr">
        <is>
          <t>K</t>
        </is>
      </c>
      <c r="O146" t="inlineStr">
        <is>
          <t>20230821</t>
        </is>
      </c>
      <c r="P146" t="inlineStr">
        <is>
          <t>Sumatera Selatan</t>
        </is>
      </c>
      <c r="Q146" t="inlineStr"/>
    </row>
    <row r="147">
      <c r="A147" t="inlineStr">
        <is>
          <t>SURYA ABADI RAYA</t>
        </is>
      </c>
      <c r="B147" t="inlineStr">
        <is>
          <t>Kota Samarinda</t>
        </is>
      </c>
      <c r="C147" t="inlineStr">
        <is>
          <t>085347475888</t>
        </is>
      </c>
      <c r="D147" t="inlineStr">
        <is>
          <t>suryaabadiraya5@gmail.com</t>
        </is>
      </c>
      <c r="E147" t="inlineStr">
        <is>
          <t>https://lpjk.pu.go.id/search-badan-usaha-detail/WkJEMVF0QVlLa1VIMUZjRkt4aHZEZz09</t>
        </is>
      </c>
      <c r="F147" t="n">
        <v>5</v>
      </c>
      <c r="G147" t="inlineStr">
        <is>
          <t>BG002, BG003, BG006, BG008</t>
        </is>
      </c>
      <c r="H147" t="inlineStr">
        <is>
          <t>31 Mei 2023</t>
        </is>
      </c>
      <c r="I147" s="2" t="n">
        <v>46290</v>
      </c>
      <c r="J147" t="inlineStr">
        <is>
          <t>Disetujui</t>
        </is>
      </c>
      <c r="K147" t="n">
        <v>30</v>
      </c>
      <c r="L147" t="inlineStr">
        <is>
          <t>25 September 2026</t>
        </is>
      </c>
      <c r="M147" t="inlineStr">
        <is>
          <t>Konstruksi Gedung Industri, Konstruksi Gedung Pendidikan, Konstruksi Gedung Perkantoran, Konstruksi Gedung Tempat Hiburan dan Olahraga</t>
        </is>
      </c>
      <c r="N147" t="inlineStr">
        <is>
          <t>K</t>
        </is>
      </c>
      <c r="O147" t="inlineStr">
        <is>
          <t>20230925</t>
        </is>
      </c>
      <c r="P147" t="inlineStr">
        <is>
          <t>Kalimantan Timur</t>
        </is>
      </c>
      <c r="Q147" t="inlineStr"/>
    </row>
    <row r="148">
      <c r="A148" t="inlineStr">
        <is>
          <t>TATA NUSANTARA INDAH</t>
        </is>
      </c>
      <c r="B148" t="inlineStr">
        <is>
          <t>Kota Probolinggo</t>
        </is>
      </c>
      <c r="C148" t="inlineStr">
        <is>
          <t>081234164625</t>
        </is>
      </c>
      <c r="D148" t="inlineStr">
        <is>
          <t>tatanusantaraindah@gmail.com</t>
        </is>
      </c>
      <c r="E148" t="inlineStr">
        <is>
          <t>https://lpjk.pu.go.id/search-badan-usaha-detail/OEkvK3BDbXlLblV0dm11dThmbG9Fdz09</t>
        </is>
      </c>
      <c r="F148" t="n">
        <v>1</v>
      </c>
      <c r="G148" t="inlineStr">
        <is>
          <t>RK002</t>
        </is>
      </c>
      <c r="H148" t="inlineStr">
        <is>
          <t>10 Juni 2002</t>
        </is>
      </c>
      <c r="I148" s="2" t="n">
        <v>46290</v>
      </c>
      <c r="J148" t="inlineStr">
        <is>
          <t>Disetujui</t>
        </is>
      </c>
      <c r="K148" t="n">
        <v>30</v>
      </c>
      <c r="L148" t="inlineStr">
        <is>
          <t>25 September 2026</t>
        </is>
      </c>
      <c r="M148" t="inlineStr">
        <is>
          <t>Jasa Rekayasa Pekerjaan Teknik Sipil Sumber Daya Air</t>
        </is>
      </c>
      <c r="N148" t="inlineStr">
        <is>
          <t>K</t>
        </is>
      </c>
      <c r="O148" t="inlineStr">
        <is>
          <t>20230920</t>
        </is>
      </c>
      <c r="P148" t="inlineStr">
        <is>
          <t>Jawa Timur</t>
        </is>
      </c>
      <c r="Q148" t="inlineStr"/>
    </row>
    <row r="149">
      <c r="A149" t="inlineStr">
        <is>
          <t>TETRA D JAYA MANDIRI</t>
        </is>
      </c>
      <c r="B149" t="inlineStr">
        <is>
          <t>Kota Tangerang Selatan</t>
        </is>
      </c>
      <c r="C149" t="inlineStr">
        <is>
          <t>0217427550</t>
        </is>
      </c>
      <c r="D149" t="inlineStr">
        <is>
          <t>cvtetradjayamandiri2025@gmail.com</t>
        </is>
      </c>
      <c r="E149" t="inlineStr">
        <is>
          <t>https://lpjk.pu.go.id/search-badan-usaha-detail/eGYyT3FXY1pzdDdycVB4TnV5Tm1JUT09</t>
        </is>
      </c>
      <c r="F149" t="n">
        <v>1</v>
      </c>
      <c r="G149" t="inlineStr">
        <is>
          <t>BS001</t>
        </is>
      </c>
      <c r="H149" t="inlineStr">
        <is>
          <t>6 Januari 2010</t>
        </is>
      </c>
      <c r="I149" s="2" t="n">
        <v>46290</v>
      </c>
      <c r="J149" t="inlineStr">
        <is>
          <t>Disetujui</t>
        </is>
      </c>
      <c r="K149" t="n">
        <v>30</v>
      </c>
      <c r="L149" t="inlineStr">
        <is>
          <t>25 September 2026</t>
        </is>
      </c>
      <c r="M149" t="inlineStr">
        <is>
          <t>Konstruksi Bangunan Sipil Jalan</t>
        </is>
      </c>
      <c r="N149" t="inlineStr">
        <is>
          <t>K</t>
        </is>
      </c>
      <c r="O149" t="inlineStr">
        <is>
          <t>20230915</t>
        </is>
      </c>
      <c r="P149" t="inlineStr">
        <is>
          <t>Banten</t>
        </is>
      </c>
      <c r="Q149" t="inlineStr"/>
    </row>
    <row r="150">
      <c r="A150" t="inlineStr">
        <is>
          <t>TIARA AGUNG</t>
        </is>
      </c>
      <c r="B150" t="inlineStr">
        <is>
          <t>Kab. Sumbawa</t>
        </is>
      </c>
      <c r="C150" t="inlineStr">
        <is>
          <t>085293778854</t>
        </is>
      </c>
      <c r="D150" t="inlineStr">
        <is>
          <t>tiaraagungcv@gmail.com</t>
        </is>
      </c>
      <c r="E150" t="inlineStr">
        <is>
          <t>https://lpjk.pu.go.id/search-badan-usaha-detail/Q012bExyZHB1SC9yYU9hWkV5dStWZz09</t>
        </is>
      </c>
      <c r="F150" t="n">
        <v>1</v>
      </c>
      <c r="G150" t="inlineStr">
        <is>
          <t>BS010</t>
        </is>
      </c>
      <c r="H150" t="inlineStr">
        <is>
          <t>13 November 2001</t>
        </is>
      </c>
      <c r="I150" s="2" t="n">
        <v>46290</v>
      </c>
      <c r="J150" t="inlineStr">
        <is>
          <t>Disetujui</t>
        </is>
      </c>
      <c r="K150" t="n">
        <v>30</v>
      </c>
      <c r="L150" t="inlineStr">
        <is>
          <t>25 September 2026</t>
        </is>
      </c>
      <c r="M150" t="inlineStr">
        <is>
          <t>Konstruksi Bangunan Prasarana Sumber Daya Air</t>
        </is>
      </c>
      <c r="N150" t="inlineStr">
        <is>
          <t>K</t>
        </is>
      </c>
      <c r="O150" t="inlineStr">
        <is>
          <t>20230921</t>
        </is>
      </c>
      <c r="P150" t="inlineStr">
        <is>
          <t>Nusa Tenggara Barat</t>
        </is>
      </c>
      <c r="Q150" t="inlineStr"/>
    </row>
    <row r="151">
      <c r="A151" t="inlineStr">
        <is>
          <t>TIGA MANUNGGAL</t>
        </is>
      </c>
      <c r="B151" t="inlineStr">
        <is>
          <t>Kab. Kulon Progo</t>
        </is>
      </c>
      <c r="C151" t="inlineStr">
        <is>
          <t>087821922228</t>
        </is>
      </c>
      <c r="D151" t="inlineStr">
        <is>
          <t>manunggaltiga@gmail.com</t>
        </is>
      </c>
      <c r="E151" t="inlineStr">
        <is>
          <t>https://lpjk.pu.go.id/search-badan-usaha-detail/aXBlSXBQVzlOdTJIMndqc1ZoeWtOUT09</t>
        </is>
      </c>
      <c r="F151" t="n">
        <v>6</v>
      </c>
      <c r="G151" t="inlineStr">
        <is>
          <t>BG002, BG004, BG005, BG006, BG009</t>
        </is>
      </c>
      <c r="H151" t="inlineStr">
        <is>
          <t>30 Desember 2013</t>
        </is>
      </c>
      <c r="I151" s="2" t="n">
        <v>46290</v>
      </c>
      <c r="J151" t="inlineStr">
        <is>
          <t>Disetujui</t>
        </is>
      </c>
      <c r="K151" t="n">
        <v>30</v>
      </c>
      <c r="L151" t="inlineStr">
        <is>
          <t>25 September 2026</t>
        </is>
      </c>
      <c r="M151" t="inlineStr">
        <is>
          <t>Konstruksi Gedung Kesehatan, Konstruksi Gedung Lainnya, Konstruksi Gedung Pendidikan, Konstruksi Gedung Perbelanjaan, Konstruksi Gedung Perkantoran</t>
        </is>
      </c>
      <c r="N151" t="inlineStr">
        <is>
          <t>K</t>
        </is>
      </c>
      <c r="O151" t="inlineStr">
        <is>
          <t>20230920, 20230921</t>
        </is>
      </c>
      <c r="P151" t="inlineStr">
        <is>
          <t>DI Yogyakarta</t>
        </is>
      </c>
      <c r="Q151" t="inlineStr"/>
    </row>
    <row r="152">
      <c r="A152" t="inlineStr">
        <is>
          <t>TIGA MUARA JAYA</t>
        </is>
      </c>
      <c r="B152" t="inlineStr">
        <is>
          <t>Kota Surabaya</t>
        </is>
      </c>
      <c r="C152" t="inlineStr">
        <is>
          <t>0315042362</t>
        </is>
      </c>
      <c r="D152" t="inlineStr">
        <is>
          <t>-</t>
        </is>
      </c>
      <c r="E152" t="inlineStr">
        <is>
          <t>https://lpjk.pu.go.id/search-badan-usaha-detail/THdFd2ROVnlkcnE0cUtaVm9Gd0NqUT09</t>
        </is>
      </c>
      <c r="F152" t="n">
        <v>4</v>
      </c>
      <c r="G152" t="inlineStr">
        <is>
          <t>BG001, BG002, BG003, BG009</t>
        </is>
      </c>
      <c r="H152" t="inlineStr">
        <is>
          <t>1 November 2002</t>
        </is>
      </c>
      <c r="I152" s="2" t="n">
        <v>46290</v>
      </c>
      <c r="J152" t="inlineStr">
        <is>
          <t>Disetujui, Pencabutan</t>
        </is>
      </c>
      <c r="K152" t="n">
        <v>30</v>
      </c>
      <c r="L152" t="inlineStr">
        <is>
          <t>25 September 2026</t>
        </is>
      </c>
      <c r="M152" t="inlineStr">
        <is>
          <t>Konstruksi Gedung Hunian, Konstruksi Gedung Industri, Konstruksi Gedung Lainnya, Konstruksi Gedung Perkantoran</t>
        </is>
      </c>
      <c r="N152" t="inlineStr">
        <is>
          <t>M</t>
        </is>
      </c>
      <c r="O152" t="inlineStr">
        <is>
          <t>20230925</t>
        </is>
      </c>
      <c r="P152" t="inlineStr">
        <is>
          <t>Jawa Timur</t>
        </is>
      </c>
      <c r="Q152" t="inlineStr"/>
    </row>
    <row r="153">
      <c r="A153" t="inlineStr">
        <is>
          <t>TIGA PUTRA</t>
        </is>
      </c>
      <c r="B153" t="inlineStr">
        <is>
          <t>Kab. Jember</t>
        </is>
      </c>
      <c r="C153" t="inlineStr">
        <is>
          <t>081294477575</t>
        </is>
      </c>
      <c r="D153" t="inlineStr">
        <is>
          <t>putra.hairul@yahoo.com</t>
        </is>
      </c>
      <c r="E153" t="inlineStr">
        <is>
          <t>https://lpjk.pu.go.id/search-badan-usaha-detail/ZGFCckgwTmdlWXQxaUtqWWt6c3YyUT09</t>
        </is>
      </c>
      <c r="F153" t="n">
        <v>1</v>
      </c>
      <c r="G153" t="inlineStr">
        <is>
          <t>BS004</t>
        </is>
      </c>
      <c r="H153" t="inlineStr">
        <is>
          <t>26 Februari 1997</t>
        </is>
      </c>
      <c r="I153" s="2" t="n">
        <v>46290</v>
      </c>
      <c r="J153" t="inlineStr">
        <is>
          <t>Disetujui</t>
        </is>
      </c>
      <c r="K153" t="n">
        <v>30</v>
      </c>
      <c r="L153" t="inlineStr">
        <is>
          <t>25 September 2026</t>
        </is>
      </c>
      <c r="M153" t="inlineStr">
        <is>
          <t>Konstruksi Jaringan Irigasi dan Drainase</t>
        </is>
      </c>
      <c r="N153" t="inlineStr">
        <is>
          <t>K</t>
        </is>
      </c>
      <c r="O153" t="inlineStr">
        <is>
          <t>20230919</t>
        </is>
      </c>
      <c r="P153" t="inlineStr">
        <is>
          <t>Jawa Timur</t>
        </is>
      </c>
      <c r="Q153" t="inlineStr"/>
    </row>
    <row r="154">
      <c r="A154" t="inlineStr">
        <is>
          <t>TIGA SAUDARA</t>
        </is>
      </c>
      <c r="B154" t="inlineStr">
        <is>
          <t>Kab. Solok Selatan</t>
        </is>
      </c>
      <c r="C154" t="inlineStr">
        <is>
          <t>0822 8352 0843</t>
        </is>
      </c>
      <c r="D154" t="inlineStr">
        <is>
          <t>cvtigasaudara1990@gmail.com</t>
        </is>
      </c>
      <c r="E154" t="inlineStr">
        <is>
          <t>https://lpjk.pu.go.id/search-badan-usaha-detail/TGxhQUtrQXZjcHN4Sjk0QjZWMXVRQT09</t>
        </is>
      </c>
      <c r="F154" t="n">
        <v>4</v>
      </c>
      <c r="G154" t="inlineStr">
        <is>
          <t>BG002, BG004, BG006, BG009</t>
        </is>
      </c>
      <c r="H154" t="inlineStr">
        <is>
          <t>19 Desember 2009</t>
        </is>
      </c>
      <c r="I154" s="2" t="n">
        <v>46290</v>
      </c>
      <c r="J154" t="inlineStr">
        <is>
          <t>Disetujui</t>
        </is>
      </c>
      <c r="K154" t="n">
        <v>30</v>
      </c>
      <c r="L154" t="inlineStr">
        <is>
          <t>25 September 2026</t>
        </is>
      </c>
      <c r="M154" t="inlineStr">
        <is>
          <t>Konstruksi Gedung Lainnya, Konstruksi Gedung Pendidikan, Konstruksi Gedung Perbelanjaan, Konstruksi Gedung Perkantoran</t>
        </is>
      </c>
      <c r="N154" t="inlineStr">
        <is>
          <t>K</t>
        </is>
      </c>
      <c r="O154" t="inlineStr">
        <is>
          <t>20230921</t>
        </is>
      </c>
      <c r="P154" t="inlineStr">
        <is>
          <t>Sumatera Barat</t>
        </is>
      </c>
      <c r="Q154" t="inlineStr"/>
    </row>
    <row r="155">
      <c r="A155" t="inlineStr">
        <is>
          <t>TIMUR MAKMUR</t>
        </is>
      </c>
      <c r="B155" t="inlineStr">
        <is>
          <t>Kab. Kayong Utara</t>
        </is>
      </c>
      <c r="C155" t="inlineStr">
        <is>
          <t>089612562728</t>
        </is>
      </c>
      <c r="D155" t="inlineStr">
        <is>
          <t>afizahmuntaz@gmail.com</t>
        </is>
      </c>
      <c r="E155" t="inlineStr">
        <is>
          <t>https://lpjk.pu.go.id/search-badan-usaha-detail/QnhIZUNKZzhTWEswZWN3SUE3UFgrdz09</t>
        </is>
      </c>
      <c r="F155" t="n">
        <v>1</v>
      </c>
      <c r="G155" t="inlineStr">
        <is>
          <t>BG006</t>
        </is>
      </c>
      <c r="H155" t="inlineStr">
        <is>
          <t>11 Januari 2008</t>
        </is>
      </c>
      <c r="I155" s="2" t="n">
        <v>46290</v>
      </c>
      <c r="J155" t="inlineStr">
        <is>
          <t>Disetujui</t>
        </is>
      </c>
      <c r="K155" t="n">
        <v>30</v>
      </c>
      <c r="L155" t="inlineStr">
        <is>
          <t>25 September 2026</t>
        </is>
      </c>
      <c r="M155" t="inlineStr">
        <is>
          <t>Konstruksi Gedung Pendidikan</t>
        </is>
      </c>
      <c r="N155" t="inlineStr">
        <is>
          <t>K</t>
        </is>
      </c>
      <c r="O155" t="inlineStr">
        <is>
          <t>20230914</t>
        </is>
      </c>
      <c r="P155" t="inlineStr">
        <is>
          <t>Kalimantan Barat</t>
        </is>
      </c>
      <c r="Q155" t="inlineStr"/>
    </row>
    <row r="156">
      <c r="A156" t="inlineStr">
        <is>
          <t>TUAH PERKASA</t>
        </is>
      </c>
      <c r="B156" t="inlineStr">
        <is>
          <t>Kab. Pelalawan</t>
        </is>
      </c>
      <c r="C156" t="inlineStr">
        <is>
          <t>082258551342</t>
        </is>
      </c>
      <c r="D156" t="inlineStr">
        <is>
          <t>Agustiaraguscikmat@gmail.com</t>
        </is>
      </c>
      <c r="E156" t="inlineStr">
        <is>
          <t>https://lpjk.pu.go.id/search-badan-usaha-detail/b1dTOGUwQWgrclFQMjU1eEpQbDZBZz09</t>
        </is>
      </c>
      <c r="F156" t="n">
        <v>2</v>
      </c>
      <c r="G156" t="inlineStr">
        <is>
          <t>BG005, BG009</t>
        </is>
      </c>
      <c r="H156" t="inlineStr">
        <is>
          <t>24 Agustus 2009</t>
        </is>
      </c>
      <c r="I156" s="2" t="n">
        <v>46290</v>
      </c>
      <c r="J156" t="inlineStr">
        <is>
          <t>Disetujui</t>
        </is>
      </c>
      <c r="K156" t="n">
        <v>30</v>
      </c>
      <c r="L156" t="inlineStr">
        <is>
          <t>25 September 2026</t>
        </is>
      </c>
      <c r="M156" t="inlineStr">
        <is>
          <t>Konstruksi Gedung Kesehatan, Konstruksi Gedung Lainnya</t>
        </is>
      </c>
      <c r="N156" t="inlineStr">
        <is>
          <t>K</t>
        </is>
      </c>
      <c r="O156" t="inlineStr">
        <is>
          <t>20230926</t>
        </is>
      </c>
      <c r="P156" t="inlineStr">
        <is>
          <t>Riau</t>
        </is>
      </c>
      <c r="Q156" t="inlineStr"/>
    </row>
    <row r="157">
      <c r="A157" t="inlineStr">
        <is>
          <t>TUJUH MENARA</t>
        </is>
      </c>
      <c r="B157" t="inlineStr">
        <is>
          <t>Kota Malang</t>
        </is>
      </c>
      <c r="C157" t="inlineStr">
        <is>
          <t>081333362230</t>
        </is>
      </c>
      <c r="D157" t="inlineStr">
        <is>
          <t>cv.tujuhmenara@gmail.com</t>
        </is>
      </c>
      <c r="E157" t="inlineStr">
        <is>
          <t>https://lpjk.pu.go.id/search-badan-usaha-detail/ZVV0d0tKMlhDbGpSNjl0Z0lCa0pudz09</t>
        </is>
      </c>
      <c r="F157" t="n">
        <v>1</v>
      </c>
      <c r="G157" t="inlineStr">
        <is>
          <t>BG001</t>
        </is>
      </c>
      <c r="H157" t="inlineStr">
        <is>
          <t>25 April 2012</t>
        </is>
      </c>
      <c r="I157" s="2" t="n">
        <v>46290</v>
      </c>
      <c r="J157" t="inlineStr">
        <is>
          <t>Disetujui</t>
        </is>
      </c>
      <c r="K157" t="n">
        <v>30</v>
      </c>
      <c r="L157" t="inlineStr">
        <is>
          <t>25 September 2026</t>
        </is>
      </c>
      <c r="M157" t="inlineStr">
        <is>
          <t>Konstruksi Gedung Hunian</t>
        </is>
      </c>
      <c r="N157" t="inlineStr">
        <is>
          <t>K</t>
        </is>
      </c>
      <c r="O157" t="inlineStr">
        <is>
          <t>20230921</t>
        </is>
      </c>
      <c r="P157" t="inlineStr">
        <is>
          <t>Jawa Timur</t>
        </is>
      </c>
      <c r="Q157" t="inlineStr"/>
    </row>
    <row r="158">
      <c r="A158" t="inlineStr">
        <is>
          <t>ULFA FAJRUL MUSTANIR</t>
        </is>
      </c>
      <c r="B158" t="inlineStr">
        <is>
          <t>Kab. Aceh Selatan</t>
        </is>
      </c>
      <c r="C158" t="inlineStr">
        <is>
          <t>085260840034</t>
        </is>
      </c>
      <c r="D158" t="inlineStr">
        <is>
          <t>cv.ulfafajrul@gmail.com</t>
        </is>
      </c>
      <c r="E158" t="inlineStr">
        <is>
          <t>https://lpjk.pu.go.id/search-badan-usaha-detail/YnJoZ2YxWDYxa0c2bnRQdXUzdEpaUT09</t>
        </is>
      </c>
      <c r="F158" t="n">
        <v>1</v>
      </c>
      <c r="G158" t="inlineStr">
        <is>
          <t>BS004</t>
        </is>
      </c>
      <c r="H158" t="inlineStr">
        <is>
          <t>15 Mei 2020</t>
        </is>
      </c>
      <c r="I158" s="2" t="n">
        <v>46290</v>
      </c>
      <c r="J158" t="inlineStr">
        <is>
          <t>Disetujui</t>
        </is>
      </c>
      <c r="K158" t="n">
        <v>30</v>
      </c>
      <c r="L158" t="inlineStr">
        <is>
          <t>25 September 2026</t>
        </is>
      </c>
      <c r="M158" t="inlineStr">
        <is>
          <t>Konstruksi Jaringan Irigasi dan Drainase</t>
        </is>
      </c>
      <c r="N158" t="inlineStr">
        <is>
          <t>K</t>
        </is>
      </c>
      <c r="O158" t="inlineStr">
        <is>
          <t>20230920</t>
        </is>
      </c>
      <c r="P158" t="inlineStr">
        <is>
          <t>Aceh</t>
        </is>
      </c>
      <c r="Q158" t="inlineStr"/>
    </row>
    <row r="159">
      <c r="A159" t="inlineStr">
        <is>
          <t>VISIPLAN KONSULTAN</t>
        </is>
      </c>
      <c r="B159" t="inlineStr">
        <is>
          <t>Kota Banda Aceh</t>
        </is>
      </c>
      <c r="C159" t="inlineStr">
        <is>
          <t>08126361540</t>
        </is>
      </c>
      <c r="D159" t="inlineStr">
        <is>
          <t>vipkons_aceh@yahoo.com</t>
        </is>
      </c>
      <c r="E159" t="inlineStr">
        <is>
          <t>https://lpjk.pu.go.id/search-badan-usaha-detail/cit2MjVzcXJ0L1hoS3JoR2pNOEo2UT09</t>
        </is>
      </c>
      <c r="F159" t="n">
        <v>1</v>
      </c>
      <c r="G159" t="inlineStr">
        <is>
          <t>AR001</t>
        </is>
      </c>
      <c r="H159" t="inlineStr">
        <is>
          <t>22 Juni 1999</t>
        </is>
      </c>
      <c r="I159" s="2" t="n">
        <v>46290</v>
      </c>
      <c r="J159" t="inlineStr">
        <is>
          <t>Disetujui</t>
        </is>
      </c>
      <c r="K159" t="n">
        <v>30</v>
      </c>
      <c r="L159" t="inlineStr">
        <is>
          <t>25 September 2026</t>
        </is>
      </c>
      <c r="M159" t="inlineStr">
        <is>
          <t>Jasa Arsitektural Bangunan Gedung Hunian dan Non Hunian</t>
        </is>
      </c>
      <c r="N159" t="inlineStr">
        <is>
          <t>M</t>
        </is>
      </c>
      <c r="O159" t="inlineStr">
        <is>
          <t>20230920</t>
        </is>
      </c>
      <c r="P159" t="inlineStr">
        <is>
          <t>Aceh</t>
        </is>
      </c>
      <c r="Q159" t="inlineStr"/>
    </row>
    <row r="160">
      <c r="A160" t="inlineStr">
        <is>
          <t>WIRA AGUNG</t>
        </is>
      </c>
      <c r="B160" t="inlineStr">
        <is>
          <t>Kab. Indramayu</t>
        </is>
      </c>
      <c r="C160" t="inlineStr">
        <is>
          <t>0234271740</t>
        </is>
      </c>
      <c r="D160" t="inlineStr">
        <is>
          <t>wira.agung88@gmail.com</t>
        </is>
      </c>
      <c r="E160" t="inlineStr">
        <is>
          <t>https://lpjk.pu.go.id/search-badan-usaha-detail/aXBLc3ptUEFQeGdWM2R5c0JocGl4dz09</t>
        </is>
      </c>
      <c r="F160" t="n">
        <v>1</v>
      </c>
      <c r="G160" t="inlineStr">
        <is>
          <t>PL003</t>
        </is>
      </c>
      <c r="H160" t="inlineStr">
        <is>
          <t>30 Januari 2003</t>
        </is>
      </c>
      <c r="I160" s="2" t="n">
        <v>46290</v>
      </c>
      <c r="J160" t="inlineStr">
        <is>
          <t>Disetujui</t>
        </is>
      </c>
      <c r="K160" t="n">
        <v>30</v>
      </c>
      <c r="L160" t="inlineStr">
        <is>
          <t>25 September 2026</t>
        </is>
      </c>
      <c r="M160" t="inlineStr">
        <is>
          <t>Penyiapan Lahan Konstruksi</t>
        </is>
      </c>
      <c r="N160" t="inlineStr">
        <is>
          <t>Spesialis</t>
        </is>
      </c>
      <c r="O160" t="inlineStr">
        <is>
          <t>20230920</t>
        </is>
      </c>
      <c r="P160" t="inlineStr">
        <is>
          <t>Jawa Barat</t>
        </is>
      </c>
      <c r="Q160" t="inlineStr"/>
    </row>
    <row r="161">
      <c r="A161" t="inlineStr">
        <is>
          <t>YANA MAJU BERSAMA</t>
        </is>
      </c>
      <c r="B161" t="inlineStr">
        <is>
          <t>Kab. Banyuwangi</t>
        </is>
      </c>
      <c r="C161" t="inlineStr">
        <is>
          <t>081238139788</t>
        </is>
      </c>
      <c r="D161" t="inlineStr">
        <is>
          <t>yanamajubersama@gmail.com</t>
        </is>
      </c>
      <c r="E161" t="inlineStr">
        <is>
          <t>https://lpjk.pu.go.id/search-badan-usaha-detail/Y2tFYU80Qzl4eVplekQyZGJMbytFdz09</t>
        </is>
      </c>
      <c r="F161" t="n">
        <v>4</v>
      </c>
      <c r="G161" t="inlineStr">
        <is>
          <t>BG002, BG006, BG009, BS004</t>
        </is>
      </c>
      <c r="H161" t="inlineStr">
        <is>
          <t>25 April 2016</t>
        </is>
      </c>
      <c r="I161" s="2" t="n">
        <v>46290</v>
      </c>
      <c r="J161" t="inlineStr">
        <is>
          <t>Disetujui</t>
        </is>
      </c>
      <c r="K161" t="n">
        <v>30</v>
      </c>
      <c r="L161" t="inlineStr">
        <is>
          <t>25 September 2026</t>
        </is>
      </c>
      <c r="M161" t="inlineStr">
        <is>
          <t>Konstruksi Gedung Lainnya, Konstruksi Gedung Pendidikan, Konstruksi Gedung Perkantoran, Konstruksi Jaringan Irigasi dan Drainase</t>
        </is>
      </c>
      <c r="N161" t="inlineStr">
        <is>
          <t>K</t>
        </is>
      </c>
      <c r="O161" t="inlineStr">
        <is>
          <t>20230921</t>
        </is>
      </c>
      <c r="P161" t="inlineStr">
        <is>
          <t>Jawa Timur</t>
        </is>
      </c>
      <c r="Q161" t="inlineStr"/>
    </row>
    <row r="162">
      <c r="A162" t="inlineStr">
        <is>
          <t>YUMAR MUSTIKA JAYA</t>
        </is>
      </c>
      <c r="B162" t="inlineStr">
        <is>
          <t>Kota Balikpapan</t>
        </is>
      </c>
      <c r="C162" t="inlineStr">
        <is>
          <t>085752915351</t>
        </is>
      </c>
      <c r="D162" t="inlineStr">
        <is>
          <t>yumarmustikajaya@gmail.com</t>
        </is>
      </c>
      <c r="E162" t="inlineStr">
        <is>
          <t>https://lpjk.pu.go.id/search-badan-usaha-detail/RmZ1N0tYN2N5ZGNrN1pUeTFUd2hZUT09</t>
        </is>
      </c>
      <c r="F162" t="n">
        <v>1</v>
      </c>
      <c r="G162" t="inlineStr">
        <is>
          <t>BS001</t>
        </is>
      </c>
      <c r="H162" t="inlineStr">
        <is>
          <t>7 Juni 2023</t>
        </is>
      </c>
      <c r="I162" s="2" t="n">
        <v>46290</v>
      </c>
      <c r="J162" t="inlineStr">
        <is>
          <t>Disetujui</t>
        </is>
      </c>
      <c r="K162" t="n">
        <v>30</v>
      </c>
      <c r="L162" t="inlineStr">
        <is>
          <t>25 September 2026</t>
        </is>
      </c>
      <c r="M162" t="inlineStr">
        <is>
          <t>Konstruksi Bangunan Sipil Jalan</t>
        </is>
      </c>
      <c r="N162" t="inlineStr">
        <is>
          <t>K</t>
        </is>
      </c>
      <c r="O162" t="inlineStr">
        <is>
          <t>20230920</t>
        </is>
      </c>
      <c r="P162" t="inlineStr">
        <is>
          <t>Kalimantan Timur</t>
        </is>
      </c>
      <c r="Q162" t="inlineStr"/>
    </row>
    <row r="163">
      <c r="A163" t="inlineStr">
        <is>
          <t>ZAHRA UTAMA PERKASA</t>
        </is>
      </c>
      <c r="B163" t="inlineStr">
        <is>
          <t>Kab. Kapuas</t>
        </is>
      </c>
      <c r="C163" t="inlineStr">
        <is>
          <t>085314728226</t>
        </is>
      </c>
      <c r="D163" t="inlineStr">
        <is>
          <t>cvzahrautamaperkasa@yahoo.com</t>
        </is>
      </c>
      <c r="E163" t="inlineStr">
        <is>
          <t>https://lpjk.pu.go.id/search-badan-usaha-detail/dHRUaEJ6ZG1OdU9tSk8zZFN3elUvZz09</t>
        </is>
      </c>
      <c r="F163" t="n">
        <v>2</v>
      </c>
      <c r="G163" t="inlineStr">
        <is>
          <t>BS001</t>
        </is>
      </c>
      <c r="H163" t="inlineStr">
        <is>
          <t>18 Agustus 2023</t>
        </is>
      </c>
      <c r="I163" s="2" t="n">
        <v>46290</v>
      </c>
      <c r="J163" t="inlineStr">
        <is>
          <t>Disetujui</t>
        </is>
      </c>
      <c r="K163" t="n">
        <v>30</v>
      </c>
      <c r="L163" t="inlineStr">
        <is>
          <t>25 September 2026</t>
        </is>
      </c>
      <c r="M163" t="inlineStr">
        <is>
          <t>Konstruksi Bangunan Sipil Jalan</t>
        </is>
      </c>
      <c r="N163" t="inlineStr">
        <is>
          <t>K</t>
        </is>
      </c>
      <c r="O163" t="inlineStr">
        <is>
          <t>20230926</t>
        </is>
      </c>
      <c r="P163" t="inlineStr">
        <is>
          <t>Kalimantan Tengah</t>
        </is>
      </c>
      <c r="Q163" t="inlineStr"/>
    </row>
    <row r="164">
      <c r="A164" t="inlineStr">
        <is>
          <t>ZAIN KONSTRUKSI</t>
        </is>
      </c>
      <c r="B164" t="inlineStr">
        <is>
          <t>Kab. Rokan Hulu</t>
        </is>
      </c>
      <c r="C164" t="inlineStr">
        <is>
          <t>085356221011</t>
        </is>
      </c>
      <c r="D164" t="inlineStr">
        <is>
          <t>alf.zfa@gmail.com</t>
        </is>
      </c>
      <c r="E164" t="inlineStr">
        <is>
          <t>https://lpjk.pu.go.id/search-badan-usaha-detail/OEwvVHFxZ0xjYm04TE1tbjVHZW4yQT09</t>
        </is>
      </c>
      <c r="F164" t="n">
        <v>2</v>
      </c>
      <c r="G164" t="inlineStr">
        <is>
          <t>BG006, BS002</t>
        </is>
      </c>
      <c r="H164" t="inlineStr">
        <is>
          <t>14 Januari 2021</t>
        </is>
      </c>
      <c r="I164" s="2" t="n">
        <v>46290</v>
      </c>
      <c r="J164" t="inlineStr">
        <is>
          <t>Disetujui</t>
        </is>
      </c>
      <c r="K164" t="n">
        <v>30</v>
      </c>
      <c r="L164" t="inlineStr">
        <is>
          <t>25 September 2026</t>
        </is>
      </c>
      <c r="M164" t="inlineStr">
        <is>
          <t>Bangunan Sipil Jembatan, Jalan Layang, Fly Over, dan Underpass, Konstruksi Gedung Pendidikan</t>
        </is>
      </c>
      <c r="N164" t="inlineStr">
        <is>
          <t>K</t>
        </is>
      </c>
      <c r="O164" t="inlineStr">
        <is>
          <t>20230908</t>
        </is>
      </c>
      <c r="P164" t="inlineStr">
        <is>
          <t>Riau</t>
        </is>
      </c>
      <c r="Q1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2026-08-26T03:15:52Z</dcterms:created>
  <dcterms:modified xsi:type="dcterms:W3CDTF">2026-08-26T03:15:52Z</dcterms:modified>
</cp:coreProperties>
</file>