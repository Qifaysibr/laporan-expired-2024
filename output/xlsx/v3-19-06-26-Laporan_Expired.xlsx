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0_Hari_Expired" sheetId="1" state="visible" r:id="rId1"/>
    <sheet name="60_Hari_Expired" sheetId="2" state="visible" r:id="rId2"/>
    <sheet name="30_Hari_Expir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000FF"/>
      <u val="single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16" customWidth="1" min="3" max="3"/>
    <col width="39" customWidth="1" min="4" max="4"/>
    <col width="50" customWidth="1" min="5" max="5"/>
    <col width="18" customWidth="1" min="6" max="6"/>
    <col width="42" customWidth="1" min="7" max="7"/>
    <col width="20" customWidth="1" min="8" max="8"/>
    <col width="28" customWidth="1" min="9" max="9"/>
    <col width="45" customWidth="1" min="10" max="10"/>
    <col width="11" customWidth="1" min="11" max="11"/>
    <col width="19" customWidth="1" min="12" max="12"/>
    <col width="50" customWidth="1" min="13" max="13"/>
    <col width="13" customWidth="1" min="14" max="14"/>
    <col width="30" customWidth="1" min="15" max="15"/>
    <col width="27" customWidth="1" min="16" max="16"/>
    <col width="50" customWidth="1" min="17" max="17"/>
  </cols>
  <sheetData>
    <row r="1">
      <c r="A1" s="1" t="inlineStr">
        <is>
          <t>Nama Perusahaan</t>
        </is>
      </c>
      <c r="B1" s="1" t="inlineStr">
        <is>
          <t>Kabupaten/Kota</t>
        </is>
      </c>
      <c r="C1" s="1" t="inlineStr">
        <is>
          <t>Telepon</t>
        </is>
      </c>
      <c r="D1" s="1" t="inlineStr">
        <is>
          <t>Email</t>
        </is>
      </c>
      <c r="E1" s="1" t="inlineStr">
        <is>
          <t>Link</t>
        </is>
      </c>
      <c r="F1" s="1" t="inlineStr">
        <is>
          <t>Jumlah KBLI 2020</t>
        </is>
      </c>
      <c r="G1" s="1" t="inlineStr">
        <is>
          <t>Kode Subklasifikasi</t>
        </is>
      </c>
      <c r="H1" s="1" t="inlineStr">
        <is>
          <t>Tanggal Ditetapkan</t>
        </is>
      </c>
      <c r="I1" s="1" t="inlineStr">
        <is>
          <t>Tanggal Habis Masa Berlaku</t>
        </is>
      </c>
      <c r="J1" s="1" t="inlineStr">
        <is>
          <t>Status</t>
        </is>
      </c>
      <c r="K1" s="1" t="inlineStr">
        <is>
          <t>Sisa Hari</t>
        </is>
      </c>
      <c r="L1" s="1" t="inlineStr">
        <is>
          <t>Tanggal Expired</t>
        </is>
      </c>
      <c r="M1" s="1" t="inlineStr">
        <is>
          <t>Subklasifikasi</t>
        </is>
      </c>
      <c r="N1" s="1" t="inlineStr">
        <is>
          <t>Kualifikasi</t>
        </is>
      </c>
      <c r="O1" s="1" t="inlineStr">
        <is>
          <t>ID Subklasifikasi</t>
        </is>
      </c>
      <c r="P1" s="1" t="inlineStr">
        <is>
          <t>Provinsi</t>
        </is>
      </c>
      <c r="Q1" s="1" t="inlineStr">
        <is>
          <t>Link WhatsApp</t>
        </is>
      </c>
    </row>
    <row r="2">
      <c r="A2" t="inlineStr">
        <is>
          <t>ADHI RAJASA TEKNIK</t>
        </is>
      </c>
      <c r="B2" t="inlineStr">
        <is>
          <t>Kab. Bogor</t>
        </is>
      </c>
      <c r="C2" t="inlineStr">
        <is>
          <t>081219542372</t>
        </is>
      </c>
      <c r="D2" t="inlineStr">
        <is>
          <t>adhirajasa.teknik@gmail.com</t>
        </is>
      </c>
      <c r="E2" t="inlineStr">
        <is>
          <t>https://lpjk.pu.go.id/search-badan-usaha-detail/M0ZLRnlHUXFQSkN0aDc4Qnpjd1pzUT09</t>
        </is>
      </c>
      <c r="F2" t="n">
        <v>2</v>
      </c>
      <c r="G2" t="inlineStr">
        <is>
          <t>BG003, BG009</t>
        </is>
      </c>
      <c r="H2" t="inlineStr">
        <is>
          <t>24 Februari 2020</t>
        </is>
      </c>
      <c r="I2" s="2" t="n">
        <v>46282</v>
      </c>
      <c r="J2" t="inlineStr">
        <is>
          <t>Disetujui</t>
        </is>
      </c>
      <c r="K2" t="n">
        <v>90</v>
      </c>
      <c r="L2" t="inlineStr">
        <is>
          <t>17 September 2026</t>
        </is>
      </c>
      <c r="M2" t="inlineStr">
        <is>
          <t>Konstruksi Gedung Industri, Konstruksi Gedung Lainnya</t>
        </is>
      </c>
      <c r="N2" t="inlineStr">
        <is>
          <t>K</t>
        </is>
      </c>
      <c r="O2" t="inlineStr">
        <is>
          <t>20230416, 20230912</t>
        </is>
      </c>
      <c r="P2" t="inlineStr">
        <is>
          <t>Jawa Barat</t>
        </is>
      </c>
      <c r="Q2" s="3">
        <f>HYPERLINK("https://wa.me/6281219542372?text=Selamat siang Bapak/Ibu pimpinan ADHI RAJASA TEKNIK,%0A%0ASemoga Bapak/Ibu dalam keadaan baik.%0ASaya Ibrahim dari PT. Esdea Assistance Management. Kami berfokus membantu perusahaan seperti perusahaan Bapak/Ibu agar urusan legalitas dan perizinan bisa berjalan lancar dan efisien.%0A%0AOleh karena itu, kami hadir untuk membantu tim Bapak/Ibu, baik untuk:%0A- Penerbitan dan perpanjangan SBU%0A- Sertifikasi Kompetensi Kerja (SKK)%0A- Sertifikasi ISO (Akreditasi dan Non Akreditasi)%0A- Sertifikasi SNI%0A- Sertifikasi K3, SIO, SILO%0A- Audit Akuntan Publik (LAI)%0A- Laporan keuangan dan pajak (Bulanan/tahunan)%0A%0AApakah saat ini ada kebutuhan terkait layanan di atas yang sedang menjadi prioritas perusahaan Bapak/Ibu?%0ABoleh info ke siapa saya bisa kirimkan company profile kami?%0A%0AIbrahim%0APT Esdea Assistance Management%0Ahttps://esdeassistance.com", "Hubungi")</f>
        <v/>
      </c>
    </row>
    <row r="3">
      <c r="A3" t="inlineStr">
        <is>
          <t>ARSILOKA RUPA CITRA</t>
        </is>
      </c>
      <c r="B3" t="inlineStr">
        <is>
          <t>Kota Bekasi</t>
        </is>
      </c>
      <c r="C3" t="inlineStr">
        <is>
          <t>081295281344</t>
        </is>
      </c>
      <c r="D3" t="inlineStr">
        <is>
          <t>arsilokarupacitra@gmail.com</t>
        </is>
      </c>
      <c r="E3" t="inlineStr">
        <is>
          <t>https://lpjk.pu.go.id/search-badan-usaha-detail/TkVrVVBFOWloaVNrR2pjVGE3bS9jUT09</t>
        </is>
      </c>
      <c r="F3" t="n">
        <v>4</v>
      </c>
      <c r="G3" t="inlineStr">
        <is>
          <t>RK001, RK002, RK003, RK005</t>
        </is>
      </c>
      <c r="H3" t="inlineStr">
        <is>
          <t>8 November 2022</t>
        </is>
      </c>
      <c r="I3" s="2" t="n">
        <v>46282</v>
      </c>
      <c r="J3" t="inlineStr">
        <is>
          <t>Disetujui</t>
        </is>
      </c>
      <c r="K3" t="n">
        <v>90</v>
      </c>
      <c r="L3" t="inlineStr">
        <is>
          <t>17 September 2026</t>
        </is>
      </c>
      <c r="M3" t="inlineStr">
        <is>
          <t>Jasa Rekayasa Konstruksi Bangunan Gedung Hunian dan Non Hunian, Jasa Rekayasa Lainnya, Jasa Rekayasa Pekerjaan Teknik Sipil Sumber Daya Air, Jasa Rekayasa Pekerjaan Teknik Sipil Transportasi</t>
        </is>
      </c>
      <c r="N3" t="inlineStr">
        <is>
          <t>K</t>
        </is>
      </c>
      <c r="O3" t="inlineStr">
        <is>
          <t>20230227, 20230907</t>
        </is>
      </c>
      <c r="P3" t="inlineStr">
        <is>
          <t>Jawa Barat</t>
        </is>
      </c>
      <c r="Q3" s="3">
        <f>HYPERLINK("https://wa.me/6281295281344?text=Selamat siang Bapak/Ibu pimpinan ARSILOKA RUPA CITRA,%0A%0ASemoga Bapak/Ibu dalam keadaan baik.%0ASaya Ibrahim dari PT. Esdea Assistance Management. Kami berfokus membantu perusahaan seperti perusahaan Bapak/Ibu agar urusan legalitas dan perizinan bisa berjalan lancar dan efisien.%0A%0AOleh karena itu, kami hadir untuk membantu tim Bapak/Ibu, baik untuk:%0A- Penerbitan dan perpanjangan SBU%0A- Sertifikasi Kompetensi Kerja (SKK)%0A- Sertifikasi ISO (Akreditasi dan Non Akreditasi)%0A- Sertifikasi SNI%0A- Sertifikasi K3, SIO, SILO%0A- Audit Akuntan Publik (LAI)%0A- Laporan keuangan dan pajak (Bulanan/tahunan)%0A%0AApakah saat ini ada kebutuhan terkait layanan di atas yang sedang menjadi prioritas perusahaan Bapak/Ibu?%0ABoleh info ke siapa saya bisa kirimkan company profile kami?%0A%0AIbrahim%0APT Esdea Assistance Management%0Ahttps://esdeassistance.com", "Hubungi")</f>
        <v/>
      </c>
    </row>
    <row r="4">
      <c r="A4" t="inlineStr">
        <is>
          <t>ARSYA PRATAMA RAYA</t>
        </is>
      </c>
      <c r="B4" t="inlineStr">
        <is>
          <t>Kota Bekasi</t>
        </is>
      </c>
      <c r="C4" t="inlineStr">
        <is>
          <t>082112353648</t>
        </is>
      </c>
      <c r="D4" t="inlineStr">
        <is>
          <t>ptarsyapratamaraya@gmail.com</t>
        </is>
      </c>
      <c r="E4" t="inlineStr">
        <is>
          <t>https://lpjk.pu.go.id/search-badan-usaha-detail/WW83Q0xjNmswZ1JjZXJZSlJ2UmhjUT09</t>
        </is>
      </c>
      <c r="F4" t="n">
        <v>1</v>
      </c>
      <c r="G4" t="inlineStr">
        <is>
          <t>BG002</t>
        </is>
      </c>
      <c r="H4" t="inlineStr">
        <is>
          <t>31 Mei 2018</t>
        </is>
      </c>
      <c r="I4" s="2" t="n">
        <v>46282</v>
      </c>
      <c r="J4" t="inlineStr">
        <is>
          <t>Pencabutan</t>
        </is>
      </c>
      <c r="K4" t="n">
        <v>90</v>
      </c>
      <c r="L4" t="inlineStr">
        <is>
          <t>17 September 2026</t>
        </is>
      </c>
      <c r="M4" t="inlineStr">
        <is>
          <t>Konstruksi Gedung Perkantoran</t>
        </is>
      </c>
      <c r="N4" t="inlineStr">
        <is>
          <t>M</t>
        </is>
      </c>
      <c r="O4" t="inlineStr">
        <is>
          <t>20230904</t>
        </is>
      </c>
      <c r="P4" t="inlineStr">
        <is>
          <t>Jawa Barat</t>
        </is>
      </c>
      <c r="Q4" s="3">
        <f>HYPERLINK("https://wa.me/6282112353648?text=Selamat siang Bapak/Ibu pimpinan ARSYA PRATAMA RAYA,%0A%0ASemoga Bapak/Ibu dalam keadaan baik.%0ASaya Ibrahim dari PT. Esdea Assistance Management. Kami berfokus membantu perusahaan seperti perusahaan Bapak/Ibu agar urusan legalitas dan perizinan bisa berjalan lancar dan efisien.%0A%0AOleh karena itu, kami hadir untuk membantu tim Bapak/Ibu, baik untuk:%0A- Penerbitan dan perpanjangan SBU%0A- Sertifikasi Kompetensi Kerja (SKK)%0A- Sertifikasi ISO (Akreditasi dan Non Akreditasi)%0A- Sertifikasi SNI%0A- Sertifikasi K3, SIO, SILO%0A- Audit Akuntan Publik (LAI)%0A- Laporan keuangan dan pajak (Bulanan/tahunan)%0A%0AApakah saat ini ada kebutuhan terkait layanan di atas yang sedang menjadi prioritas perusahaan Bapak/Ibu?%0ABoleh info ke siapa saya bisa kirimkan company profile kami?%0A%0AIbrahim%0APT Esdea Assistance Management%0Ahttps://esdeassistance.com", "Hubungi")</f>
        <v/>
      </c>
    </row>
    <row r="5">
      <c r="A5" t="inlineStr">
        <is>
          <t>BANGUN PERSADA NUSANTARA</t>
        </is>
      </c>
      <c r="B5" t="inlineStr">
        <is>
          <t>Kab. Bekasi</t>
        </is>
      </c>
      <c r="C5" t="inlineStr">
        <is>
          <t>081318180478</t>
        </is>
      </c>
      <c r="D5" t="inlineStr">
        <is>
          <t>cv.bpn.bks@gmail.com</t>
        </is>
      </c>
      <c r="E5" t="inlineStr">
        <is>
          <t>https://lpjk.pu.go.id/search-badan-usaha-detail/bkQ2WmhsWUlUbG1kS3V4Zm9ZNEExZz09</t>
        </is>
      </c>
      <c r="F5" t="n">
        <v>4</v>
      </c>
      <c r="G5" t="inlineStr">
        <is>
          <t>BG006, BS004</t>
        </is>
      </c>
      <c r="H5" t="inlineStr">
        <is>
          <t>14 Maret 2012</t>
        </is>
      </c>
      <c r="I5" s="2" t="n">
        <v>46282</v>
      </c>
      <c r="J5" t="inlineStr">
        <is>
          <t>Disetujui</t>
        </is>
      </c>
      <c r="K5" t="n">
        <v>90</v>
      </c>
      <c r="L5" t="inlineStr">
        <is>
          <t>17 September 2026</t>
        </is>
      </c>
      <c r="M5" t="inlineStr">
        <is>
          <t>Konstruksi Gedung Pendidikan, Konstruksi Jaringan Irigasi dan Drainase</t>
        </is>
      </c>
      <c r="N5" t="inlineStr">
        <is>
          <t>K</t>
        </is>
      </c>
      <c r="O5" t="inlineStr">
        <is>
          <t>20230912, 20230913</t>
        </is>
      </c>
      <c r="P5" t="inlineStr">
        <is>
          <t>Jawa Barat</t>
        </is>
      </c>
      <c r="Q5" s="3">
        <f>HYPERLINK("https://wa.me/6281318180478?text=Selamat siang Bapak/Ibu pimpinan BANGUN PERSADA NUSANTARA,%0A%0ASemoga Bapak/Ibu dalam keadaan baik.%0ASaya Ibrahim dari PT. Esdea Assistance Management. Kami berfokus membantu perusahaan seperti perusahaan Bapak/Ibu agar urusan legalitas dan perizinan bisa berjalan lancar dan efisien.%0A%0AOleh karena itu, kami hadir untuk membantu tim Bapak/Ibu, baik untuk:%0A- Penerbitan dan perpanjangan SBU%0A- Sertifikasi Kompetensi Kerja (SKK)%0A- Sertifikasi ISO (Akreditasi dan Non Akreditasi)%0A- Sertifikasi SNI%0A- Sertifikasi K3, SIO, SILO%0A- Audit Akuntan Publik (LAI)%0A- Laporan keuangan dan pajak (Bulanan/tahunan)%0A%0AApakah saat ini ada kebutuhan terkait layanan di atas yang sedang menjadi prioritas perusahaan Bapak/Ibu?%0ABoleh info ke siapa saya bisa kirimkan company profile kami?%0A%0AIbrahim%0APT Esdea Assistance Management%0Ahttps://esdeassistance.com", "Hubungi")</f>
        <v/>
      </c>
    </row>
    <row r="6">
      <c r="A6" t="inlineStr">
        <is>
          <t>BANJAR SAGU-SAGU</t>
        </is>
      </c>
      <c r="B6" t="inlineStr">
        <is>
          <t>Kota Bekasi</t>
        </is>
      </c>
      <c r="C6" t="inlineStr">
        <is>
          <t>02182428634</t>
        </is>
      </c>
      <c r="D6" t="inlineStr">
        <is>
          <t>banjar.sagusagu@yahoo.com</t>
        </is>
      </c>
      <c r="E6" t="inlineStr">
        <is>
          <t>https://lpjk.pu.go.id/search-badan-usaha-detail/V0Z6WVIyTUhHTHhOblc1V0I5b1lJUT09</t>
        </is>
      </c>
      <c r="F6" t="n">
        <v>1</v>
      </c>
      <c r="G6" t="inlineStr">
        <is>
          <t>BG006</t>
        </is>
      </c>
      <c r="H6" t="inlineStr">
        <is>
          <t>8 Januari 2015</t>
        </is>
      </c>
      <c r="I6" s="2" t="n">
        <v>46282</v>
      </c>
      <c r="J6" t="inlineStr">
        <is>
          <t>Disetujui</t>
        </is>
      </c>
      <c r="K6" t="n">
        <v>90</v>
      </c>
      <c r="L6" t="inlineStr">
        <is>
          <t>17 September 2026</t>
        </is>
      </c>
      <c r="M6" t="inlineStr">
        <is>
          <t>Konstruksi Gedung Pendidikan</t>
        </is>
      </c>
      <c r="N6" t="inlineStr">
        <is>
          <t>K</t>
        </is>
      </c>
      <c r="O6" t="inlineStr">
        <is>
          <t>20230913</t>
        </is>
      </c>
      <c r="P6" t="inlineStr">
        <is>
          <t>Jawa Barat</t>
        </is>
      </c>
      <c r="Q6" t="inlineStr"/>
    </row>
    <row r="7">
      <c r="A7" t="inlineStr">
        <is>
          <t>CATUR PUTRA MANUNGGAL</t>
        </is>
      </c>
      <c r="B7" t="inlineStr">
        <is>
          <t>Kota Adm. Jakarta Timur</t>
        </is>
      </c>
      <c r="C7" t="inlineStr">
        <is>
          <t>02122466436</t>
        </is>
      </c>
      <c r="D7" t="inlineStr">
        <is>
          <t>cpm.jakartagardencity@gmail.com</t>
        </is>
      </c>
      <c r="E7" t="inlineStr">
        <is>
          <t>https://lpjk.pu.go.id/search-badan-usaha-detail/YlpWMnZmakNhcnRzZmZaYS9ZeUJXdz09</t>
        </is>
      </c>
      <c r="F7" t="n">
        <v>2</v>
      </c>
      <c r="G7" t="inlineStr">
        <is>
          <t>PL003, PL004</t>
        </is>
      </c>
      <c r="H7" t="inlineStr">
        <is>
          <t>9 Februari 1999</t>
        </is>
      </c>
      <c r="I7" s="2" t="n">
        <v>46282</v>
      </c>
      <c r="J7" t="inlineStr">
        <is>
          <t>Disetujui</t>
        </is>
      </c>
      <c r="K7" t="n">
        <v>90</v>
      </c>
      <c r="L7" t="inlineStr">
        <is>
          <t>17 September 2026</t>
        </is>
      </c>
      <c r="M7" t="inlineStr">
        <is>
          <t>Pekerjaan Tanah, Penyiapan Lahan Konstruksi</t>
        </is>
      </c>
      <c r="N7" t="inlineStr">
        <is>
          <t>Spesialis</t>
        </is>
      </c>
      <c r="O7" t="inlineStr">
        <is>
          <t>20230904, 20230905</t>
        </is>
      </c>
      <c r="P7" t="inlineStr">
        <is>
          <t>DKI Jakarta</t>
        </is>
      </c>
      <c r="Q7" t="inlineStr"/>
    </row>
    <row r="8">
      <c r="A8" t="inlineStr">
        <is>
          <t>FIRNIE ALATAZ MALANIHAT</t>
        </is>
      </c>
      <c r="B8" t="inlineStr">
        <is>
          <t>Kab. Bogor</t>
        </is>
      </c>
      <c r="C8" t="inlineStr">
        <is>
          <t>08119104023</t>
        </is>
      </c>
      <c r="D8" t="inlineStr">
        <is>
          <t>berkahfam@yahoo.com</t>
        </is>
      </c>
      <c r="E8" t="inlineStr">
        <is>
          <t>https://lpjk.pu.go.id/search-badan-usaha-detail/R2dUVWFIaWZJOE5oTnI1NmlWVTN5Zz09</t>
        </is>
      </c>
      <c r="F8" t="n">
        <v>3</v>
      </c>
      <c r="G8" t="inlineStr">
        <is>
          <t>BS001, BS007, BS009</t>
        </is>
      </c>
      <c r="H8" t="inlineStr">
        <is>
          <t>24 September 2021</t>
        </is>
      </c>
      <c r="I8" s="2" t="n">
        <v>46282</v>
      </c>
      <c r="J8" t="inlineStr">
        <is>
          <t>Disetujui</t>
        </is>
      </c>
      <c r="K8" t="n">
        <v>90</v>
      </c>
      <c r="L8" t="inlineStr">
        <is>
          <t>17 September 2026</t>
        </is>
      </c>
      <c r="M8" t="inlineStr">
        <is>
          <t>Konstruksi Bangunan Sipil Elektrikal, Konstruksi Bangunan Sipil Jalan, Konstruksi Sentral Telekomunikasi</t>
        </is>
      </c>
      <c r="N8" t="inlineStr">
        <is>
          <t>K</t>
        </is>
      </c>
      <c r="O8" t="inlineStr">
        <is>
          <t>20230914, 20230915</t>
        </is>
      </c>
      <c r="P8" t="inlineStr">
        <is>
          <t>Jawa Barat</t>
        </is>
      </c>
      <c r="Q8" s="3">
        <f>HYPERLINK("https://wa.me/628119104023?text=Selamat siang Bapak/Ibu pimpinan FIRNIE ALATAZ MALANIHAT,%0A%0ASemoga Bapak/Ibu dalam keadaan baik.%0ASaya Ibrahim dari PT. Esdea Assistance Management. Kami berfokus membantu perusahaan seperti perusahaan Bapak/Ibu agar urusan legalitas dan perizinan bisa berjalan lancar dan efisien.%0A%0AOleh karena itu, kami hadir untuk membantu tim Bapak/Ibu, baik untuk:%0A- Penerbitan dan perpanjangan SBU%0A- Sertifikasi Kompetensi Kerja (SKK)%0A- Sertifikasi ISO (Akreditasi dan Non Akreditasi)%0A- Sertifikasi SNI%0A- Sertifikasi K3, SIO, SILO%0A- Audit Akuntan Publik (LAI)%0A- Laporan keuangan dan pajak (Bulanan/tahunan)%0A%0AApakah saat ini ada kebutuhan terkait layanan di atas yang sedang menjadi prioritas perusahaan Bapak/Ibu?%0ABoleh info ke siapa saya bisa kirimkan company profile kami?%0A%0AIbrahim%0APT Esdea Assistance Management%0Ahttps://esdeassistance.com", "Hubungi")</f>
        <v/>
      </c>
    </row>
    <row r="9">
      <c r="A9" t="inlineStr">
        <is>
          <t>KARYA GEMILANG UTAMA</t>
        </is>
      </c>
      <c r="B9" t="inlineStr">
        <is>
          <t>Kota Bekasi</t>
        </is>
      </c>
      <c r="C9" t="inlineStr">
        <is>
          <t>818910796</t>
        </is>
      </c>
      <c r="D9" t="inlineStr">
        <is>
          <t>ptkaryagemilangutama05@gmail.com</t>
        </is>
      </c>
      <c r="E9" t="inlineStr">
        <is>
          <t>https://lpjk.pu.go.id/search-badan-usaha-detail/V2QzQ2p5THg4UHlWZE16QVQvR3VWQT09</t>
        </is>
      </c>
      <c r="F9" t="n">
        <v>1</v>
      </c>
      <c r="G9" t="inlineStr">
        <is>
          <t>BS002</t>
        </is>
      </c>
      <c r="H9" t="inlineStr">
        <is>
          <t>29 Desember 2004</t>
        </is>
      </c>
      <c r="I9" s="2" t="n">
        <v>46282</v>
      </c>
      <c r="J9" t="inlineStr">
        <is>
          <t>Disetujui</t>
        </is>
      </c>
      <c r="K9" t="n">
        <v>90</v>
      </c>
      <c r="L9" t="inlineStr">
        <is>
          <t>17 September 2026</t>
        </is>
      </c>
      <c r="M9" t="inlineStr">
        <is>
          <t>Bangunan Sipil Jembatan, Jalan Layang, Fly Over, dan Underpass</t>
        </is>
      </c>
      <c r="N9" t="inlineStr">
        <is>
          <t>K</t>
        </is>
      </c>
      <c r="O9" t="inlineStr">
        <is>
          <t>20230916</t>
        </is>
      </c>
      <c r="P9" t="inlineStr">
        <is>
          <t>Jawa Barat</t>
        </is>
      </c>
      <c r="Q9" s="3">
        <f>HYPERLINK("https://wa.me/62818910796?text=Selamat siang Bapak/Ibu pimpinan KARYA GEMILANG UTAMA,%0A%0ASemoga Bapak/Ibu dalam keadaan baik.%0ASaya Ibrahim dari PT. Esdea Assistance Management. Kami berfokus membantu perusahaan seperti perusahaan Bapak/Ibu agar urusan legalitas dan perizinan bisa berjalan lancar dan efisien.%0A%0AOleh karena itu, kami hadir untuk membantu tim Bapak/Ibu, baik untuk:%0A- Penerbitan dan perpanjangan SBU%0A- Sertifikasi Kompetensi Kerja (SKK)%0A- Sertifikasi ISO (Akreditasi dan Non Akreditasi)%0A- Sertifikasi SNI%0A- Sertifikasi K3, SIO, SILO%0A- Audit Akuntan Publik (LAI)%0A- Laporan keuangan dan pajak (Bulanan/tahunan)%0A%0AApakah saat ini ada kebutuhan terkait layanan di atas yang sedang menjadi prioritas perusahaan Bapak/Ibu?%0ABoleh info ke siapa saya bisa kirimkan company profile kami?%0A%0AIbrahim%0APT Esdea Assistance Management%0Ahttps://esdeassistance.com", "Hubungi")</f>
        <v/>
      </c>
    </row>
    <row r="10">
      <c r="A10" t="inlineStr">
        <is>
          <t>MARINEZ EL RAZAN</t>
        </is>
      </c>
      <c r="B10" t="inlineStr">
        <is>
          <t>Kota Bogor</t>
        </is>
      </c>
      <c r="C10" t="inlineStr">
        <is>
          <t>081927484380</t>
        </is>
      </c>
      <c r="D10" t="inlineStr">
        <is>
          <t>marinez.razan@gmail.com</t>
        </is>
      </c>
      <c r="E10" t="inlineStr">
        <is>
          <t>https://lpjk.pu.go.id/search-badan-usaha-detail/ejRlcW5OSUlrcUNpbEtiWEt1MmU2UT09</t>
        </is>
      </c>
      <c r="F10" t="n">
        <v>2</v>
      </c>
      <c r="G10" t="inlineStr">
        <is>
          <t>BG006, BS006</t>
        </is>
      </c>
      <c r="H10" t="inlineStr">
        <is>
          <t>22 Juni 2012</t>
        </is>
      </c>
      <c r="I10" s="2" t="n">
        <v>46282</v>
      </c>
      <c r="J10" t="inlineStr">
        <is>
          <t>Disetujui</t>
        </is>
      </c>
      <c r="K10" t="n">
        <v>90</v>
      </c>
      <c r="L10" t="inlineStr">
        <is>
          <t>17 September 2026</t>
        </is>
      </c>
      <c r="M10" t="inlineStr">
        <is>
          <t>Konstruksi Bangunan Sipil Prasarana dan Sarana Sistem Pengolahan Limbah Padat, Cair, dan Gas, Konstruksi Gedung Pendidikan</t>
        </is>
      </c>
      <c r="N10" t="inlineStr">
        <is>
          <t>K</t>
        </is>
      </c>
      <c r="O10" t="inlineStr">
        <is>
          <t>20230915</t>
        </is>
      </c>
      <c r="P10" t="inlineStr">
        <is>
          <t>Jawa Barat</t>
        </is>
      </c>
      <c r="Q10" s="3">
        <f>HYPERLINK("https://wa.me/6281927484380?text=Selamat siang Bapak/Ibu pimpinan MARINEZ EL RAZAN,%0A%0ASemoga Bapak/Ibu dalam keadaan baik.%0ASaya Ibrahim dari PT. Esdea Assistance Management. Kami berfokus membantu perusahaan seperti perusahaan Bapak/Ibu agar urusan legalitas dan perizinan bisa berjalan lancar dan efisien.%0A%0AOleh karena itu, kami hadir untuk membantu tim Bapak/Ibu, baik untuk:%0A- Penerbitan dan perpanjangan SBU%0A- Sertifikasi Kompetensi Kerja (SKK)%0A- Sertifikasi ISO (Akreditasi dan Non Akreditasi)%0A- Sertifikasi SNI%0A- Sertifikasi K3, SIO, SILO%0A- Audit Akuntan Publik (LAI)%0A- Laporan keuangan dan pajak (Bulanan/tahunan)%0A%0AApakah saat ini ada kebutuhan terkait layanan di atas yang sedang menjadi prioritas perusahaan Bapak/Ibu?%0ABoleh info ke siapa saya bisa kirimkan company profile kami?%0A%0AIbrahim%0APT Esdea Assistance Management%0Ahttps://esdeassistance.com", "Hubungi")</f>
        <v/>
      </c>
    </row>
    <row r="11">
      <c r="A11" t="inlineStr">
        <is>
          <t>MATARAM JAYA SEJATI</t>
        </is>
      </c>
      <c r="B11" t="inlineStr">
        <is>
          <t>Kota Adm. Jakarta Timur</t>
        </is>
      </c>
      <c r="C11" t="inlineStr">
        <is>
          <t>081284131323</t>
        </is>
      </c>
      <c r="D11" t="inlineStr">
        <is>
          <t>mataramjayasejati@gmail.com</t>
        </is>
      </c>
      <c r="E11" t="inlineStr">
        <is>
          <t>https://lpjk.pu.go.id/search-badan-usaha-detail/RFIrdUhSN0lSS0ZwQ3hvaHI1NTlRQT09</t>
        </is>
      </c>
      <c r="F11" t="n">
        <v>4</v>
      </c>
      <c r="G11" t="inlineStr">
        <is>
          <t>BG005, BG009</t>
        </is>
      </c>
      <c r="H11" t="inlineStr">
        <is>
          <t>6 Desember 2021</t>
        </is>
      </c>
      <c r="I11" s="2" t="n">
        <v>46282</v>
      </c>
      <c r="J11" t="inlineStr">
        <is>
          <t>Disetujui</t>
        </is>
      </c>
      <c r="K11" t="n">
        <v>90</v>
      </c>
      <c r="L11" t="inlineStr">
        <is>
          <t>17 September 2026</t>
        </is>
      </c>
      <c r="M11" t="inlineStr">
        <is>
          <t>Konstruksi Gedung Kesehatan, Konstruksi Gedung Lainnya</t>
        </is>
      </c>
      <c r="N11" t="inlineStr">
        <is>
          <t>K</t>
        </is>
      </c>
      <c r="O11" t="inlineStr">
        <is>
          <t>20230913, 20230914</t>
        </is>
      </c>
      <c r="P11" t="inlineStr">
        <is>
          <t>DKI Jakarta</t>
        </is>
      </c>
      <c r="Q11" s="3">
        <f>HYPERLINK("https://wa.me/6281284131323?text=Selamat siang Bapak/Ibu pimpinan MATARAM JAYA SEJATI,%0A%0ASemoga Bapak/Ibu dalam keadaan baik.%0ASaya Ibrahim dari PT. Esdea Assistance Management. Kami berfokus membantu perusahaan seperti perusahaan Bapak/Ibu agar urusan legalitas dan perizinan bisa berjalan lancar dan efisien.%0A%0AOleh karena itu, kami hadir untuk membantu tim Bapak/Ibu, baik untuk:%0A- Penerbitan dan perpanjangan SBU%0A- Sertifikasi Kompetensi Kerja (SKK)%0A- Sertifikasi ISO (Akreditasi dan Non Akreditasi)%0A- Sertifikasi SNI%0A- Sertifikasi K3, SIO, SILO%0A- Audit Akuntan Publik (LAI)%0A- Laporan keuangan dan pajak (Bulanan/tahunan)%0A%0AApakah saat ini ada kebutuhan terkait layanan di atas yang sedang menjadi prioritas perusahaan Bapak/Ibu?%0ABoleh info ke siapa saya bisa kirimkan company profile kami?%0A%0AIbrahim%0APT Esdea Assistance Management%0Ahttps://esdeassistance.com", "Hubungi")</f>
        <v/>
      </c>
    </row>
    <row r="12">
      <c r="A12" t="inlineStr">
        <is>
          <t>MEGAH GELORA UTAMA</t>
        </is>
      </c>
      <c r="B12" t="inlineStr">
        <is>
          <t>Kota Bekasi</t>
        </is>
      </c>
      <c r="C12" t="inlineStr">
        <is>
          <t>081310066673</t>
        </is>
      </c>
      <c r="D12" t="inlineStr">
        <is>
          <t>megah.gelora.utama@gmail.com</t>
        </is>
      </c>
      <c r="E12" t="inlineStr">
        <is>
          <t>https://lpjk.pu.go.id/search-badan-usaha-detail/VzhSWWl4QjFkN1pMci9WTGdzcUVJZz09</t>
        </is>
      </c>
      <c r="F12" t="n">
        <v>4</v>
      </c>
      <c r="G12" t="inlineStr">
        <is>
          <t>BG002, BG006</t>
        </is>
      </c>
      <c r="H12" t="inlineStr">
        <is>
          <t>22 September 2014</t>
        </is>
      </c>
      <c r="I12" s="2" t="n">
        <v>46282</v>
      </c>
      <c r="J12" t="inlineStr">
        <is>
          <t>Disetujui, Pencabutan</t>
        </is>
      </c>
      <c r="K12" t="n">
        <v>90</v>
      </c>
      <c r="L12" t="inlineStr">
        <is>
          <t>17 September 2026</t>
        </is>
      </c>
      <c r="M12" t="inlineStr">
        <is>
          <t>Konstruksi Gedung Pendidikan, Konstruksi Gedung Perkantoran</t>
        </is>
      </c>
      <c r="N12" t="inlineStr">
        <is>
          <t>K</t>
        </is>
      </c>
      <c r="O12" t="inlineStr">
        <is>
          <t>20230916, 20230917</t>
        </is>
      </c>
      <c r="P12" t="inlineStr">
        <is>
          <t>Jawa Barat</t>
        </is>
      </c>
      <c r="Q12" s="3">
        <f>HYPERLINK("https://wa.me/6281310066673?text=Selamat siang Bapak/Ibu pimpinan MEGAH GELORA UTAMA,%0A%0ASemoga Bapak/Ibu dalam keadaan baik.%0ASaya Ibrahim dari PT. Esdea Assistance Management. Kami berfokus membantu perusahaan seperti perusahaan Bapak/Ibu agar urusan legalitas dan perizinan bisa berjalan lancar dan efisien.%0A%0AOleh karena itu, kami hadir untuk membantu tim Bapak/Ibu, baik untuk:%0A- Penerbitan dan perpanjangan SBU%0A- Sertifikasi Kompetensi Kerja (SKK)%0A- Sertifikasi ISO (Akreditasi dan Non Akreditasi)%0A- Sertifikasi SNI%0A- Sertifikasi K3, SIO, SILO%0A- Audit Akuntan Publik (LAI)%0A- Laporan keuangan dan pajak (Bulanan/tahunan)%0A%0AApakah saat ini ada kebutuhan terkait layanan di atas yang sedang menjadi prioritas perusahaan Bapak/Ibu?%0ABoleh info ke siapa saya bisa kirimkan company profile kami?%0A%0AIbrahim%0APT Esdea Assistance Management%0Ahttps://esdeassistance.com", "Hubungi")</f>
        <v/>
      </c>
    </row>
    <row r="13">
      <c r="A13" t="inlineStr">
        <is>
          <t>MORA JAYA</t>
        </is>
      </c>
      <c r="B13" t="inlineStr">
        <is>
          <t>Kota Adm. Jakarta Timur</t>
        </is>
      </c>
      <c r="C13" t="inlineStr">
        <is>
          <t>02129840526</t>
        </is>
      </c>
      <c r="D13" t="inlineStr">
        <is>
          <t>morajaya456@gmail.com</t>
        </is>
      </c>
      <c r="E13" t="inlineStr">
        <is>
          <t>https://lpjk.pu.go.id/search-badan-usaha-detail/WWlqeEVoS0VrWEYvOXBUcGRJdXY4Zz09</t>
        </is>
      </c>
      <c r="F13" t="n">
        <v>1</v>
      </c>
      <c r="G13" t="inlineStr">
        <is>
          <t>BS004</t>
        </is>
      </c>
      <c r="H13" t="inlineStr">
        <is>
          <t>22 Maret 2018</t>
        </is>
      </c>
      <c r="I13" s="2" t="n">
        <v>46282</v>
      </c>
      <c r="J13" t="inlineStr">
        <is>
          <t>Pencabutan</t>
        </is>
      </c>
      <c r="K13" t="n">
        <v>90</v>
      </c>
      <c r="L13" t="inlineStr">
        <is>
          <t>17 September 2026</t>
        </is>
      </c>
      <c r="M13" t="inlineStr">
        <is>
          <t>Konstruksi Jaringan Irigasi dan Drainase</t>
        </is>
      </c>
      <c r="N13" t="inlineStr">
        <is>
          <t>K</t>
        </is>
      </c>
      <c r="O13" t="inlineStr">
        <is>
          <t>20230915</t>
        </is>
      </c>
      <c r="P13" t="inlineStr">
        <is>
          <t>DKI Jakarta</t>
        </is>
      </c>
      <c r="Q13" t="inlineStr"/>
    </row>
    <row r="14">
      <c r="A14" t="inlineStr">
        <is>
          <t>PANCANAKA INDONESIA</t>
        </is>
      </c>
      <c r="B14" t="inlineStr">
        <is>
          <t>Kota Adm. Jakarta Timur</t>
        </is>
      </c>
      <c r="C14" t="inlineStr">
        <is>
          <t>08125430125</t>
        </is>
      </c>
      <c r="D14" t="inlineStr">
        <is>
          <t>pancanakaindonesia@gmail.com</t>
        </is>
      </c>
      <c r="E14" t="inlineStr">
        <is>
          <t>https://lpjk.pu.go.id/search-badan-usaha-detail/MkdpTjFHd0xmRkovWDFxRWs2c2NoZz09</t>
        </is>
      </c>
      <c r="F14" t="n">
        <v>2</v>
      </c>
      <c r="G14" t="inlineStr">
        <is>
          <t>BG001</t>
        </is>
      </c>
      <c r="H14" t="inlineStr">
        <is>
          <t>11 November 2011</t>
        </is>
      </c>
      <c r="I14" s="2" t="n">
        <v>46282</v>
      </c>
      <c r="J14" t="inlineStr">
        <is>
          <t>Pencabutan</t>
        </is>
      </c>
      <c r="K14" t="n">
        <v>90</v>
      </c>
      <c r="L14" t="inlineStr">
        <is>
          <t>17 September 2026</t>
        </is>
      </c>
      <c r="M14" t="inlineStr">
        <is>
          <t>Konstruksi Gedung Hunian</t>
        </is>
      </c>
      <c r="N14" t="inlineStr">
        <is>
          <t>K</t>
        </is>
      </c>
      <c r="O14" t="inlineStr">
        <is>
          <t>20230901</t>
        </is>
      </c>
      <c r="P14" t="inlineStr">
        <is>
          <t>DKI Jakarta</t>
        </is>
      </c>
      <c r="Q14" s="3">
        <f>HYPERLINK("https://wa.me/628125430125?text=Selamat siang Bapak/Ibu pimpinan PANCANAKA INDONESIA,%0A%0ASemoga Bapak/Ibu dalam keadaan baik.%0ASaya Ibrahim dari PT. Esdea Assistance Management. Kami berfokus membantu perusahaan seperti perusahaan Bapak/Ibu agar urusan legalitas dan perizinan bisa berjalan lancar dan efisien.%0A%0AOleh karena itu, kami hadir untuk membantu tim Bapak/Ibu, baik untuk:%0A- Penerbitan dan perpanjangan SBU%0A- Sertifikasi Kompetensi Kerja (SKK)%0A- Sertifikasi ISO (Akreditasi dan Non Akreditasi)%0A- Sertifikasi SNI%0A- Sertifikasi K3, SIO, SILO%0A- Audit Akuntan Publik (LAI)%0A- Laporan keuangan dan pajak (Bulanan/tahunan)%0A%0AApakah saat ini ada kebutuhan terkait layanan di atas yang sedang menjadi prioritas perusahaan Bapak/Ibu?%0ABoleh info ke siapa saya bisa kirimkan company profile kami?%0A%0AIbrahim%0APT Esdea Assistance Management%0Ahttps://esdeassistance.com", "Hubungi")</f>
        <v/>
      </c>
    </row>
    <row r="15">
      <c r="A15" t="inlineStr">
        <is>
          <t>PERMATA EMAS BERLIAN</t>
        </is>
      </c>
      <c r="B15" t="inlineStr">
        <is>
          <t>Kota Depok</t>
        </is>
      </c>
      <c r="C15" t="inlineStr">
        <is>
          <t>02177801604</t>
        </is>
      </c>
      <c r="D15" t="inlineStr">
        <is>
          <t>permataemasberlian@gmail.com</t>
        </is>
      </c>
      <c r="E15" t="inlineStr">
        <is>
          <t>https://lpjk.pu.go.id/search-badan-usaha-detail/bHUxQWg4QnhYTVBSc2JmZ2hTQmNRZz09</t>
        </is>
      </c>
      <c r="F15" t="n">
        <v>5</v>
      </c>
      <c r="G15" t="inlineStr">
        <is>
          <t>BG004, BG005, BG006, BG008, BG009</t>
        </is>
      </c>
      <c r="H15" t="inlineStr">
        <is>
          <t>9 November 2022</t>
        </is>
      </c>
      <c r="I15" s="2" t="n">
        <v>46282</v>
      </c>
      <c r="J15" t="inlineStr">
        <is>
          <t>Disetujui, Pencabutan</t>
        </is>
      </c>
      <c r="K15" t="n">
        <v>90</v>
      </c>
      <c r="L15" t="inlineStr">
        <is>
          <t>17 September 2026</t>
        </is>
      </c>
      <c r="M15" t="inlineStr">
        <is>
          <t>Konstruksi Gedung Kesehatan, Konstruksi Gedung Lainnya, Konstruksi Gedung Pendidikan, Konstruksi Gedung Perbelanjaan, Konstruksi Gedung Tempat Hiburan dan Olahraga</t>
        </is>
      </c>
      <c r="N15" t="inlineStr">
        <is>
          <t>K</t>
        </is>
      </c>
      <c r="O15" t="inlineStr">
        <is>
          <t>20230219, 20230917</t>
        </is>
      </c>
      <c r="P15" t="inlineStr">
        <is>
          <t>Jawa Barat</t>
        </is>
      </c>
      <c r="Q15" t="inlineStr"/>
    </row>
    <row r="16">
      <c r="A16" t="inlineStr">
        <is>
          <t>PUTRA BAGUS KUNING</t>
        </is>
      </c>
      <c r="B16" t="inlineStr">
        <is>
          <t>Kota Depok</t>
        </is>
      </c>
      <c r="C16" t="inlineStr">
        <is>
          <t>02184592009</t>
        </is>
      </c>
      <c r="D16" t="inlineStr">
        <is>
          <t>info@putra-bk.com</t>
        </is>
      </c>
      <c r="E16" t="inlineStr">
        <is>
          <t>https://lpjk.pu.go.id/search-badan-usaha-detail/a2pjUkRlV3NNTlNoVWVEamg3bHJEQT09</t>
        </is>
      </c>
      <c r="F16" t="n">
        <v>2</v>
      </c>
      <c r="G16" t="inlineStr">
        <is>
          <t>BG001, BG002</t>
        </is>
      </c>
      <c r="H16" t="inlineStr">
        <is>
          <t>20 Mei 2016</t>
        </is>
      </c>
      <c r="I16" s="2" t="n">
        <v>46282</v>
      </c>
      <c r="J16" t="inlineStr">
        <is>
          <t>Disetujui</t>
        </is>
      </c>
      <c r="K16" t="n">
        <v>90</v>
      </c>
      <c r="L16" t="inlineStr">
        <is>
          <t>17 September 2026</t>
        </is>
      </c>
      <c r="M16" t="inlineStr">
        <is>
          <t>Konstruksi Gedung Hunian, Konstruksi Gedung Perkantoran</t>
        </is>
      </c>
      <c r="N16" t="inlineStr">
        <is>
          <t>K</t>
        </is>
      </c>
      <c r="O16" t="inlineStr">
        <is>
          <t>20230912</t>
        </is>
      </c>
      <c r="P16" t="inlineStr">
        <is>
          <t>Jawa Barat</t>
        </is>
      </c>
      <c r="Q16" t="inlineStr"/>
    </row>
    <row r="17">
      <c r="A17" t="inlineStr">
        <is>
          <t>RETINDO JAYA</t>
        </is>
      </c>
      <c r="B17" t="inlineStr">
        <is>
          <t>Kota Bekasi</t>
        </is>
      </c>
      <c r="C17" t="inlineStr">
        <is>
          <t>02184301092</t>
        </is>
      </c>
      <c r="D17" t="inlineStr">
        <is>
          <t>info_retindo@yahoo.com</t>
        </is>
      </c>
      <c r="E17" t="inlineStr">
        <is>
          <t>https://lpjk.pu.go.id/search-badan-usaha-detail/S0xaZEtxVVhQeCtRamszb1k4em1Ydz09</t>
        </is>
      </c>
      <c r="F17" t="n">
        <v>3</v>
      </c>
      <c r="G17" t="inlineStr">
        <is>
          <t>BG003, BG004, BG005</t>
        </is>
      </c>
      <c r="H17" t="inlineStr">
        <is>
          <t>12 Juli 2001</t>
        </is>
      </c>
      <c r="I17" s="2" t="n">
        <v>46282</v>
      </c>
      <c r="J17" t="inlineStr">
        <is>
          <t>Disetujui</t>
        </is>
      </c>
      <c r="K17" t="n">
        <v>90</v>
      </c>
      <c r="L17" t="inlineStr">
        <is>
          <t>17 September 2026</t>
        </is>
      </c>
      <c r="M17" t="inlineStr">
        <is>
          <t>Konstruksi Gedung Industri, Konstruksi Gedung Kesehatan, Konstruksi Gedung Perbelanjaan</t>
        </is>
      </c>
      <c r="N17" t="inlineStr">
        <is>
          <t>M</t>
        </is>
      </c>
      <c r="O17" t="inlineStr">
        <is>
          <t>20230906</t>
        </is>
      </c>
      <c r="P17" t="inlineStr">
        <is>
          <t>Jawa Barat</t>
        </is>
      </c>
      <c r="Q17" t="inlineStr"/>
    </row>
    <row r="18">
      <c r="A18" t="inlineStr">
        <is>
          <t>TAMANSARI TIGA ENAM PULUH</t>
        </is>
      </c>
      <c r="B18" t="inlineStr">
        <is>
          <t>Kab. Bogor</t>
        </is>
      </c>
      <c r="C18" t="inlineStr">
        <is>
          <t>081284889277</t>
        </is>
      </c>
      <c r="D18" t="inlineStr">
        <is>
          <t>tamansari360@gmail.com</t>
        </is>
      </c>
      <c r="E18" t="inlineStr">
        <is>
          <t>https://lpjk.pu.go.id/search-badan-usaha-detail/VGhScjdFWUhkam1kR0psdUNpSzV4dz09</t>
        </is>
      </c>
      <c r="F18" t="n">
        <v>3</v>
      </c>
      <c r="G18" t="inlineStr">
        <is>
          <t>BS005</t>
        </is>
      </c>
      <c r="H18" t="inlineStr">
        <is>
          <t>27 Januari 2017</t>
        </is>
      </c>
      <c r="I18" s="2" t="n">
        <v>46282</v>
      </c>
      <c r="J18" t="inlineStr">
        <is>
          <t>Disetujui</t>
        </is>
      </c>
      <c r="K18" t="n">
        <v>90</v>
      </c>
      <c r="L18" t="inlineStr">
        <is>
          <t>17 September 2026</t>
        </is>
      </c>
      <c r="M18" t="inlineStr">
        <is>
          <t>Konstruksi Bangunan Sipil Pengolahan Air Bersih</t>
        </is>
      </c>
      <c r="N18" t="inlineStr">
        <is>
          <t>K</t>
        </is>
      </c>
      <c r="O18" t="inlineStr">
        <is>
          <t>20230918</t>
        </is>
      </c>
      <c r="P18" t="inlineStr">
        <is>
          <t>Jawa Barat</t>
        </is>
      </c>
      <c r="Q18" s="3">
        <f>HYPERLINK("https://wa.me/6281284889277?text=Selamat siang Bapak/Ibu pimpinan TAMANSARI TIGA ENAM PULUH,%0A%0ASemoga Bapak/Ibu dalam keadaan baik.%0ASaya Ibrahim dari PT. Esdea Assistance Management. Kami berfokus membantu perusahaan seperti perusahaan Bapak/Ibu agar urusan legalitas dan perizinan bisa berjalan lancar dan efisien.%0A%0AOleh karena itu, kami hadir untuk membantu tim Bapak/Ibu, baik untuk:%0A- Penerbitan dan perpanjangan SBU%0A- Sertifikasi Kompetensi Kerja (SKK)%0A- Sertifikasi ISO (Akreditasi dan Non Akreditasi)%0A- Sertifikasi SNI%0A- Sertifikasi K3, SIO, SILO%0A- Audit Akuntan Publik (LAI)%0A- Laporan keuangan dan pajak (Bulanan/tahunan)%0A%0AApakah saat ini ada kebutuhan terkait layanan di atas yang sedang menjadi prioritas perusahaan Bapak/Ibu?%0ABoleh info ke siapa saya bisa kirimkan company profile kami?%0A%0AIbrahim%0APT Esdea Assistance Management%0Ahttps://esdeassistance.com", "Hubungi")</f>
        <v/>
      </c>
    </row>
    <row r="19">
      <c r="A19" t="inlineStr">
        <is>
          <t>ADHI BANGUN SARANA</t>
        </is>
      </c>
      <c r="B19" t="inlineStr">
        <is>
          <t>Kota Malang</t>
        </is>
      </c>
      <c r="C19" t="inlineStr">
        <is>
          <t>081232207979</t>
        </is>
      </c>
      <c r="D19" t="inlineStr">
        <is>
          <t>adhibangunsarana@gmail.com</t>
        </is>
      </c>
      <c r="E19" t="inlineStr">
        <is>
          <t>https://lpjk.pu.go.id/search-badan-usaha-detail/eG1HM1NSalQrQUxXcW5zYzcwQWVJQT09</t>
        </is>
      </c>
      <c r="F19" t="n">
        <v>1</v>
      </c>
      <c r="G19" t="inlineStr">
        <is>
          <t>BG005</t>
        </is>
      </c>
      <c r="H19" t="inlineStr">
        <is>
          <t>23 Agustus 2023</t>
        </is>
      </c>
      <c r="I19" s="2" t="n">
        <v>46282</v>
      </c>
      <c r="J19" t="inlineStr">
        <is>
          <t>Disetujui</t>
        </is>
      </c>
      <c r="K19" t="n">
        <v>90</v>
      </c>
      <c r="L19" t="inlineStr">
        <is>
          <t>17 September 2026</t>
        </is>
      </c>
      <c r="M19" t="inlineStr">
        <is>
          <t>Konstruksi Gedung Kesehatan</t>
        </is>
      </c>
      <c r="N19" t="inlineStr">
        <is>
          <t>K</t>
        </is>
      </c>
      <c r="O19" t="inlineStr">
        <is>
          <t>20230907</t>
        </is>
      </c>
      <c r="P19" t="inlineStr">
        <is>
          <t>Jawa Timur</t>
        </is>
      </c>
      <c r="Q19" t="inlineStr"/>
    </row>
    <row r="20">
      <c r="A20" t="inlineStr">
        <is>
          <t>ADHI RAJASA KARYA</t>
        </is>
      </c>
      <c r="B20" t="inlineStr">
        <is>
          <t>Kab. Muna</t>
        </is>
      </c>
      <c r="C20" t="inlineStr">
        <is>
          <t>082196750775</t>
        </is>
      </c>
      <c r="D20" t="inlineStr">
        <is>
          <t>adhirajasakarya02@gmail.com</t>
        </is>
      </c>
      <c r="E20" t="inlineStr">
        <is>
          <t>https://lpjk.pu.go.id/search-badan-usaha-detail/Z0dDQ2p4bGc5c25yWXdOMW5USm5yQT09</t>
        </is>
      </c>
      <c r="F20" t="n">
        <v>1</v>
      </c>
      <c r="G20" t="inlineStr">
        <is>
          <t>BS005</t>
        </is>
      </c>
      <c r="H20" t="inlineStr">
        <is>
          <t>15 Februari 2023</t>
        </is>
      </c>
      <c r="I20" s="2" t="n">
        <v>46282</v>
      </c>
      <c r="J20" t="inlineStr">
        <is>
          <t>Disetujui</t>
        </is>
      </c>
      <c r="K20" t="n">
        <v>90</v>
      </c>
      <c r="L20" t="inlineStr">
        <is>
          <t>17 September 2026</t>
        </is>
      </c>
      <c r="M20" t="inlineStr">
        <is>
          <t>Konstruksi Bangunan Sipil Pengolahan Air Bersih</t>
        </is>
      </c>
      <c r="N20" t="inlineStr">
        <is>
          <t>K</t>
        </is>
      </c>
      <c r="O20" t="inlineStr">
        <is>
          <t>20230915</t>
        </is>
      </c>
      <c r="P20" t="inlineStr">
        <is>
          <t>Sulawesi Tenggara</t>
        </is>
      </c>
      <c r="Q20" t="inlineStr"/>
    </row>
    <row r="21">
      <c r="A21" t="inlineStr">
        <is>
          <t>ADILOKA KHATULISTIWA</t>
        </is>
      </c>
      <c r="B21" t="inlineStr">
        <is>
          <t>Kab. Indramayu</t>
        </is>
      </c>
      <c r="C21" t="inlineStr">
        <is>
          <t>+6282115808950</t>
        </is>
      </c>
      <c r="D21" t="inlineStr">
        <is>
          <t>adiloka.cv@gmail.com</t>
        </is>
      </c>
      <c r="E21" t="inlineStr">
        <is>
          <t>https://lpjk.pu.go.id/search-badan-usaha-detail/SGFoZ1dacmpkdkxGdzRIaFVqWHUvQT09</t>
        </is>
      </c>
      <c r="F21" t="n">
        <v>2</v>
      </c>
      <c r="G21" t="inlineStr">
        <is>
          <t>BG006</t>
        </is>
      </c>
      <c r="H21" t="inlineStr">
        <is>
          <t>6 September 2023</t>
        </is>
      </c>
      <c r="I21" s="2" t="n">
        <v>46282</v>
      </c>
      <c r="J21" t="inlineStr">
        <is>
          <t>Disetujui</t>
        </is>
      </c>
      <c r="K21" t="n">
        <v>90</v>
      </c>
      <c r="L21" t="inlineStr">
        <is>
          <t>17 September 2026</t>
        </is>
      </c>
      <c r="M21" t="inlineStr">
        <is>
          <t>Konstruksi Gedung Pendidikan</t>
        </is>
      </c>
      <c r="N21" t="inlineStr">
        <is>
          <t>K</t>
        </is>
      </c>
      <c r="O21" t="inlineStr">
        <is>
          <t>20230915</t>
        </is>
      </c>
      <c r="P21" t="inlineStr">
        <is>
          <t>Jawa Barat</t>
        </is>
      </c>
      <c r="Q21" t="inlineStr"/>
    </row>
    <row r="22">
      <c r="A22" t="inlineStr">
        <is>
          <t>ADITYA PRANATA</t>
        </is>
      </c>
      <c r="B22" t="inlineStr">
        <is>
          <t>Kab. Bangka</t>
        </is>
      </c>
      <c r="C22" t="inlineStr">
        <is>
          <t>085283603236</t>
        </is>
      </c>
      <c r="D22" t="inlineStr">
        <is>
          <t>cv_aditya_pranata@yahoo.co.id</t>
        </is>
      </c>
      <c r="E22" t="inlineStr">
        <is>
          <t>https://lpjk.pu.go.id/search-badan-usaha-detail/RC9IcjJmU2dHVnYrQXBNeXRzOUJuZz09</t>
        </is>
      </c>
      <c r="F22" t="n">
        <v>4</v>
      </c>
      <c r="G22" t="inlineStr">
        <is>
          <t>BG006, BS001, BS004</t>
        </is>
      </c>
      <c r="H22" t="inlineStr">
        <is>
          <t>22 Januari 2013</t>
        </is>
      </c>
      <c r="I22" s="2" t="n">
        <v>46282</v>
      </c>
      <c r="J22" t="inlineStr">
        <is>
          <t>Disetujui</t>
        </is>
      </c>
      <c r="K22" t="n">
        <v>90</v>
      </c>
      <c r="L22" t="inlineStr">
        <is>
          <t>17 September 2026</t>
        </is>
      </c>
      <c r="M22" t="inlineStr">
        <is>
          <t>Konstruksi Bangunan Sipil Jalan, Konstruksi Gedung Pendidikan, Konstruksi Jaringan Irigasi dan Drainase</t>
        </is>
      </c>
      <c r="N22" t="inlineStr">
        <is>
          <t>K</t>
        </is>
      </c>
      <c r="O22" t="inlineStr">
        <is>
          <t>20230914</t>
        </is>
      </c>
      <c r="P22" t="inlineStr">
        <is>
          <t>Kepulauan Bangka Belitung</t>
        </is>
      </c>
      <c r="Q22" t="inlineStr"/>
    </row>
    <row r="23">
      <c r="A23" t="inlineStr">
        <is>
          <t>AGUNG ABADI</t>
        </is>
      </c>
      <c r="B23" t="inlineStr">
        <is>
          <t>Kab. Boyolali</t>
        </is>
      </c>
      <c r="C23" t="inlineStr">
        <is>
          <t>085728802913</t>
        </is>
      </c>
      <c r="D23" t="inlineStr">
        <is>
          <t>cv.agung.abadi.byl@gmail.com</t>
        </is>
      </c>
      <c r="E23" t="inlineStr">
        <is>
          <t>https://lpjk.pu.go.id/search-badan-usaha-detail/U1dobXpvMmk0dXB2RGtaWTFwcnl3Zz09</t>
        </is>
      </c>
      <c r="F23" t="n">
        <v>2</v>
      </c>
      <c r="G23" t="inlineStr">
        <is>
          <t>BG009</t>
        </is>
      </c>
      <c r="H23" t="inlineStr">
        <is>
          <t>7 Februari 1997</t>
        </is>
      </c>
      <c r="I23" s="2" t="n">
        <v>46282</v>
      </c>
      <c r="J23" t="inlineStr">
        <is>
          <t>Disetujui</t>
        </is>
      </c>
      <c r="K23" t="n">
        <v>90</v>
      </c>
      <c r="L23" t="inlineStr">
        <is>
          <t>17 September 2026</t>
        </is>
      </c>
      <c r="M23" t="inlineStr">
        <is>
          <t>Konstruksi Gedung Lainnya</t>
        </is>
      </c>
      <c r="N23" t="inlineStr">
        <is>
          <t>K</t>
        </is>
      </c>
      <c r="O23" t="inlineStr">
        <is>
          <t>20230914</t>
        </is>
      </c>
      <c r="P23" t="inlineStr">
        <is>
          <t>Jawa Tengah</t>
        </is>
      </c>
      <c r="Q23" t="inlineStr"/>
    </row>
    <row r="24">
      <c r="A24" t="inlineStr">
        <is>
          <t>AKSA INDO MANUFAKTUR</t>
        </is>
      </c>
      <c r="B24" t="inlineStr">
        <is>
          <t>Kota Palu</t>
        </is>
      </c>
      <c r="C24" t="inlineStr">
        <is>
          <t>08114534393</t>
        </is>
      </c>
      <c r="D24" t="inlineStr">
        <is>
          <t>aksaindomanufaktur@gmail.com</t>
        </is>
      </c>
      <c r="E24" t="inlineStr">
        <is>
          <t>https://lpjk.pu.go.id/search-badan-usaha-detail/L1B1WkZTR1dpTUIzVkRXSkpJL01vdz09</t>
        </is>
      </c>
      <c r="F24" t="n">
        <v>1</v>
      </c>
      <c r="G24" t="inlineStr">
        <is>
          <t>BG009</t>
        </is>
      </c>
      <c r="H24" t="inlineStr">
        <is>
          <t>9 Januari 2023</t>
        </is>
      </c>
      <c r="I24" s="2" t="n">
        <v>46282</v>
      </c>
      <c r="J24" t="inlineStr">
        <is>
          <t>Disetujui</t>
        </is>
      </c>
      <c r="K24" t="n">
        <v>90</v>
      </c>
      <c r="L24" t="inlineStr">
        <is>
          <t>17 September 2026</t>
        </is>
      </c>
      <c r="M24" t="inlineStr">
        <is>
          <t>Konstruksi Gedung Lainnya</t>
        </is>
      </c>
      <c r="N24" t="inlineStr">
        <is>
          <t>K</t>
        </is>
      </c>
      <c r="O24" t="inlineStr">
        <is>
          <t>20230914</t>
        </is>
      </c>
      <c r="P24" t="inlineStr">
        <is>
          <t>Sulawesi Tengah</t>
        </is>
      </c>
      <c r="Q24" t="inlineStr"/>
    </row>
    <row r="25">
      <c r="A25" t="inlineStr">
        <is>
          <t>ALAM HASIL MULIA</t>
        </is>
      </c>
      <c r="B25" t="inlineStr">
        <is>
          <t>Kota Adm. Jakarta Barat</t>
        </is>
      </c>
      <c r="C25" t="inlineStr">
        <is>
          <t>08111575995</t>
        </is>
      </c>
      <c r="D25" t="inlineStr">
        <is>
          <t>alamhasilmulia@gmail.com</t>
        </is>
      </c>
      <c r="E25" t="inlineStr">
        <is>
          <t>https://lpjk.pu.go.id/search-badan-usaha-detail/dzVWQXdrTXZWVnprVlp0T2JrOWNpdz09</t>
        </is>
      </c>
      <c r="F25" t="n">
        <v>1</v>
      </c>
      <c r="G25" t="inlineStr">
        <is>
          <t>BG009</t>
        </is>
      </c>
      <c r="H25" t="inlineStr">
        <is>
          <t>6 April 2023</t>
        </is>
      </c>
      <c r="I25" s="2" t="n">
        <v>46282</v>
      </c>
      <c r="J25" t="inlineStr">
        <is>
          <t>Disetujui</t>
        </is>
      </c>
      <c r="K25" t="n">
        <v>90</v>
      </c>
      <c r="L25" t="inlineStr">
        <is>
          <t>17 September 2026</t>
        </is>
      </c>
      <c r="M25" t="inlineStr">
        <is>
          <t>Konstruksi Gedung Lainnya</t>
        </is>
      </c>
      <c r="N25" t="inlineStr">
        <is>
          <t>K</t>
        </is>
      </c>
      <c r="O25" t="inlineStr">
        <is>
          <t>20230825</t>
        </is>
      </c>
      <c r="P25" t="inlineStr">
        <is>
          <t>DKI Jakarta</t>
        </is>
      </c>
      <c r="Q25" t="inlineStr"/>
    </row>
    <row r="26">
      <c r="A26" t="inlineStr">
        <is>
          <t>ALASCO</t>
        </is>
      </c>
      <c r="B26" t="inlineStr">
        <is>
          <t>Kab. Donggala</t>
        </is>
      </c>
      <c r="C26" t="inlineStr">
        <is>
          <t>-</t>
        </is>
      </c>
      <c r="D26" t="inlineStr">
        <is>
          <t>cvalasco171@gmail.com</t>
        </is>
      </c>
      <c r="E26" t="inlineStr">
        <is>
          <t>https://lpjk.pu.go.id/search-badan-usaha-detail/Qk8rdGZvK1R3RWdRazdPODBkZ2hBUT09</t>
        </is>
      </c>
      <c r="F26" t="n">
        <v>1</v>
      </c>
      <c r="G26" t="inlineStr">
        <is>
          <t>BS001</t>
        </is>
      </c>
      <c r="H26" t="inlineStr">
        <is>
          <t>13 Maret 1982</t>
        </is>
      </c>
      <c r="I26" s="2" t="n">
        <v>46282</v>
      </c>
      <c r="J26" t="inlineStr">
        <is>
          <t>Disetujui</t>
        </is>
      </c>
      <c r="K26" t="n">
        <v>90</v>
      </c>
      <c r="L26" t="inlineStr">
        <is>
          <t>17 September 2026</t>
        </is>
      </c>
      <c r="M26" t="inlineStr">
        <is>
          <t>Konstruksi Bangunan Sipil Jalan</t>
        </is>
      </c>
      <c r="N26" t="inlineStr">
        <is>
          <t>K</t>
        </is>
      </c>
      <c r="O26" t="inlineStr">
        <is>
          <t>20230906</t>
        </is>
      </c>
      <c r="P26" t="inlineStr">
        <is>
          <t>Sulawesi Tengah</t>
        </is>
      </c>
      <c r="Q26" t="inlineStr"/>
    </row>
    <row r="27">
      <c r="A27" t="inlineStr">
        <is>
          <t>ALFIAN DINAMIKA ENGINEER</t>
        </is>
      </c>
      <c r="B27" t="inlineStr">
        <is>
          <t>Kota Pontianak</t>
        </is>
      </c>
      <c r="C27" t="inlineStr">
        <is>
          <t>085245010122</t>
        </is>
      </c>
      <c r="D27" t="inlineStr">
        <is>
          <t>alfian.dinamika@gmail.com</t>
        </is>
      </c>
      <c r="E27" t="inlineStr">
        <is>
          <t>https://lpjk.pu.go.id/search-badan-usaha-detail/aHR0Wm1td3NsNjBJN2pEQXNhS0JNdz09</t>
        </is>
      </c>
      <c r="F27" t="n">
        <v>5</v>
      </c>
      <c r="G27" t="inlineStr">
        <is>
          <t>BG001, BG002, BG005, BG006, BG009</t>
        </is>
      </c>
      <c r="H27" t="inlineStr">
        <is>
          <t>22 Juni 2012</t>
        </is>
      </c>
      <c r="I27" s="2" t="n">
        <v>46282</v>
      </c>
      <c r="J27" t="inlineStr">
        <is>
          <t>Disetujui</t>
        </is>
      </c>
      <c r="K27" t="n">
        <v>90</v>
      </c>
      <c r="L27" t="inlineStr">
        <is>
          <t>17 September 2026</t>
        </is>
      </c>
      <c r="M27" t="inlineStr">
        <is>
          <t>Konstruksi Gedung Hunian, Konstruksi Gedung Kesehatan, Konstruksi Gedung Lainnya, Konstruksi Gedung Pendidikan, Konstruksi Gedung Perkantoran</t>
        </is>
      </c>
      <c r="N27" t="inlineStr">
        <is>
          <t>K</t>
        </is>
      </c>
      <c r="O27" t="inlineStr">
        <is>
          <t>20230913</t>
        </is>
      </c>
      <c r="P27" t="inlineStr">
        <is>
          <t>Kalimantan Barat</t>
        </is>
      </c>
      <c r="Q27" t="inlineStr"/>
    </row>
    <row r="28">
      <c r="A28" t="inlineStr">
        <is>
          <t>ALPHA CENTAURI INTERNATIONAL</t>
        </is>
      </c>
      <c r="B28" t="inlineStr">
        <is>
          <t>Kota Adm. Jakarta Selatan</t>
        </is>
      </c>
      <c r="C28" t="inlineStr">
        <is>
          <t>02180641967</t>
        </is>
      </c>
      <c r="D28" t="inlineStr">
        <is>
          <t>corporate@alphacentauri.id</t>
        </is>
      </c>
      <c r="E28" t="inlineStr">
        <is>
          <t>https://lpjk.pu.go.id/search-badan-usaha-detail/cWI0UkpxQ05rWDdCUnNBek1ZSGNSQT09</t>
        </is>
      </c>
      <c r="F28" t="n">
        <v>1</v>
      </c>
      <c r="G28" t="inlineStr">
        <is>
          <t>BG005</t>
        </is>
      </c>
      <c r="H28" t="inlineStr">
        <is>
          <t>25 Juni 2016</t>
        </is>
      </c>
      <c r="I28" s="2" t="n">
        <v>46282</v>
      </c>
      <c r="J28" t="inlineStr">
        <is>
          <t>Pencabutan</t>
        </is>
      </c>
      <c r="K28" t="n">
        <v>90</v>
      </c>
      <c r="L28" t="inlineStr">
        <is>
          <t>17 September 2026</t>
        </is>
      </c>
      <c r="M28" t="inlineStr">
        <is>
          <t>Konstruksi Gedung Kesehatan</t>
        </is>
      </c>
      <c r="N28" t="inlineStr">
        <is>
          <t>K</t>
        </is>
      </c>
      <c r="O28" t="inlineStr">
        <is>
          <t>20230914</t>
        </is>
      </c>
      <c r="P28" t="inlineStr">
        <is>
          <t>DKI Jakarta</t>
        </is>
      </c>
      <c r="Q28" t="inlineStr"/>
    </row>
    <row r="29">
      <c r="A29" t="inlineStr">
        <is>
          <t>ALPHA OMEGA TERMAL</t>
        </is>
      </c>
      <c r="B29" t="inlineStr">
        <is>
          <t>Kota Surabaya</t>
        </is>
      </c>
      <c r="C29" t="inlineStr">
        <is>
          <t>0315030287</t>
        </is>
      </c>
      <c r="D29" t="inlineStr">
        <is>
          <t>info@cv-ao.com</t>
        </is>
      </c>
      <c r="E29" t="inlineStr">
        <is>
          <t>https://lpjk.pu.go.id/search-badan-usaha-detail/Q0JmWlI3Rzh4ZkhYZXB1OVBKR0pUZz09</t>
        </is>
      </c>
      <c r="F29" t="n">
        <v>1</v>
      </c>
      <c r="G29" t="inlineStr">
        <is>
          <t>IN001</t>
        </is>
      </c>
      <c r="H29" t="inlineStr">
        <is>
          <t>11 September 2017</t>
        </is>
      </c>
      <c r="I29" s="2" t="n">
        <v>46282</v>
      </c>
      <c r="J29" t="inlineStr">
        <is>
          <t>Disetujui</t>
        </is>
      </c>
      <c r="K29" t="n">
        <v>90</v>
      </c>
      <c r="L29" t="inlineStr">
        <is>
          <t>17 September 2026</t>
        </is>
      </c>
      <c r="M29" t="inlineStr">
        <is>
          <t>Instalasi Mekanikal</t>
        </is>
      </c>
      <c r="N29" t="inlineStr">
        <is>
          <t>Spesialis</t>
        </is>
      </c>
      <c r="O29" t="inlineStr">
        <is>
          <t>20230913</t>
        </is>
      </c>
      <c r="P29" t="inlineStr">
        <is>
          <t>Jawa Timur</t>
        </is>
      </c>
      <c r="Q29" t="inlineStr"/>
    </row>
    <row r="30">
      <c r="A30" t="inlineStr">
        <is>
          <t>ANEKA RAYA KONSTRUKSI</t>
        </is>
      </c>
      <c r="B30" t="inlineStr">
        <is>
          <t>Kab. Sintang</t>
        </is>
      </c>
      <c r="C30" t="inlineStr">
        <is>
          <t>085251585682</t>
        </is>
      </c>
      <c r="D30" t="inlineStr">
        <is>
          <t>anekarayakontruktion@gmail.com</t>
        </is>
      </c>
      <c r="E30" t="inlineStr">
        <is>
          <t>https://lpjk.pu.go.id/search-badan-usaha-detail/UUt2OUc4NzQzemtEdVo3bURLK2twZz09</t>
        </is>
      </c>
      <c r="F30" t="n">
        <v>2</v>
      </c>
      <c r="G30" t="inlineStr">
        <is>
          <t>BS001</t>
        </is>
      </c>
      <c r="H30" t="inlineStr">
        <is>
          <t>6 Februari 2023</t>
        </is>
      </c>
      <c r="I30" s="2" t="n">
        <v>46282</v>
      </c>
      <c r="J30" t="inlineStr">
        <is>
          <t>Disetujui</t>
        </is>
      </c>
      <c r="K30" t="n">
        <v>90</v>
      </c>
      <c r="L30" t="inlineStr">
        <is>
          <t>17 September 2026</t>
        </is>
      </c>
      <c r="M30" t="inlineStr">
        <is>
          <t>Konstruksi Bangunan Sipil Jalan</t>
        </is>
      </c>
      <c r="N30" t="inlineStr">
        <is>
          <t>K</t>
        </is>
      </c>
      <c r="O30" t="inlineStr">
        <is>
          <t>20230910</t>
        </is>
      </c>
      <c r="P30" t="inlineStr">
        <is>
          <t>Kalimantan Barat</t>
        </is>
      </c>
      <c r="Q30" t="inlineStr"/>
    </row>
    <row r="31">
      <c r="A31" t="inlineStr">
        <is>
          <t>ANGGREK TEKNIK</t>
        </is>
      </c>
      <c r="B31" t="inlineStr">
        <is>
          <t>Kab. Lombok Tengah</t>
        </is>
      </c>
      <c r="C31" t="inlineStr">
        <is>
          <t>08175738507</t>
        </is>
      </c>
      <c r="D31" t="inlineStr">
        <is>
          <t>cvanggrekteknik@gmail.com</t>
        </is>
      </c>
      <c r="E31" t="inlineStr">
        <is>
          <t>https://lpjk.pu.go.id/search-badan-usaha-detail/RW1tQ2Z2ZU5tSHlFeVk0R0NlNUlUZz09</t>
        </is>
      </c>
      <c r="F31" t="n">
        <v>1</v>
      </c>
      <c r="G31" t="inlineStr">
        <is>
          <t>BG009</t>
        </is>
      </c>
      <c r="H31" t="inlineStr">
        <is>
          <t>24 November 2021</t>
        </is>
      </c>
      <c r="I31" s="2" t="n">
        <v>46282</v>
      </c>
      <c r="J31" t="inlineStr">
        <is>
          <t>Pencabutan</t>
        </is>
      </c>
      <c r="K31" t="n">
        <v>90</v>
      </c>
      <c r="L31" t="inlineStr">
        <is>
          <t>17 September 2026</t>
        </is>
      </c>
      <c r="M31" t="inlineStr">
        <is>
          <t>Konstruksi Gedung Lainnya</t>
        </is>
      </c>
      <c r="N31" t="inlineStr">
        <is>
          <t>K</t>
        </is>
      </c>
      <c r="O31" t="inlineStr">
        <is>
          <t>20230915</t>
        </is>
      </c>
      <c r="P31" t="inlineStr">
        <is>
          <t>Nusa Tenggara Barat</t>
        </is>
      </c>
      <c r="Q31" t="inlineStr"/>
    </row>
    <row r="32">
      <c r="A32" t="inlineStr">
        <is>
          <t>ANTIKA PURNAMA JAYA</t>
        </is>
      </c>
      <c r="B32" t="inlineStr">
        <is>
          <t>Kab. Gresik</t>
        </is>
      </c>
      <c r="C32" t="inlineStr">
        <is>
          <t>081334714500</t>
        </is>
      </c>
      <c r="D32" t="inlineStr">
        <is>
          <t>cv.antikapurnamajaya@gmail.com</t>
        </is>
      </c>
      <c r="E32" t="inlineStr">
        <is>
          <t>https://lpjk.pu.go.id/search-badan-usaha-detail/UUM1T3ZQNXduaTJlMHVESkc0aXZMdz09</t>
        </is>
      </c>
      <c r="F32" t="n">
        <v>1</v>
      </c>
      <c r="G32" t="inlineStr">
        <is>
          <t>BG006</t>
        </is>
      </c>
      <c r="H32" t="inlineStr">
        <is>
          <t>21 Februari 2023</t>
        </is>
      </c>
      <c r="I32" s="2" t="n">
        <v>46282</v>
      </c>
      <c r="J32" t="inlineStr">
        <is>
          <t>Disetujui</t>
        </is>
      </c>
      <c r="K32" t="n">
        <v>90</v>
      </c>
      <c r="L32" t="inlineStr">
        <is>
          <t>17 September 2026</t>
        </is>
      </c>
      <c r="M32" t="inlineStr">
        <is>
          <t>Konstruksi Gedung Pendidikan</t>
        </is>
      </c>
      <c r="N32" t="inlineStr">
        <is>
          <t>K</t>
        </is>
      </c>
      <c r="O32" t="inlineStr">
        <is>
          <t>20230903</t>
        </is>
      </c>
      <c r="P32" t="inlineStr">
        <is>
          <t>Jawa Timur</t>
        </is>
      </c>
      <c r="Q32" t="inlineStr"/>
    </row>
    <row r="33">
      <c r="A33" t="inlineStr">
        <is>
          <t>ANUGERAH DUA PUTRI</t>
        </is>
      </c>
      <c r="B33" t="inlineStr">
        <is>
          <t>Kota Pekanbaru</t>
        </is>
      </c>
      <c r="C33" t="inlineStr">
        <is>
          <t>081378202755</t>
        </is>
      </c>
      <c r="D33" t="inlineStr">
        <is>
          <t>anugerahduaputri@gmail.com</t>
        </is>
      </c>
      <c r="E33" t="inlineStr">
        <is>
          <t>https://lpjk.pu.go.id/search-badan-usaha-detail/aXBuNklUWmFUNUxpVEpjK0FRV0s0UT09</t>
        </is>
      </c>
      <c r="F33" t="n">
        <v>1</v>
      </c>
      <c r="G33" t="inlineStr">
        <is>
          <t>BG001</t>
        </is>
      </c>
      <c r="H33" t="inlineStr">
        <is>
          <t>2 November 2020</t>
        </is>
      </c>
      <c r="I33" s="2" t="n">
        <v>46282</v>
      </c>
      <c r="J33" t="inlineStr">
        <is>
          <t>Disetujui</t>
        </is>
      </c>
      <c r="K33" t="n">
        <v>90</v>
      </c>
      <c r="L33" t="inlineStr">
        <is>
          <t>17 September 2026</t>
        </is>
      </c>
      <c r="M33" t="inlineStr">
        <is>
          <t>Konstruksi Gedung Hunian</t>
        </is>
      </c>
      <c r="N33" t="inlineStr">
        <is>
          <t>K</t>
        </is>
      </c>
      <c r="O33" t="inlineStr">
        <is>
          <t>20230912</t>
        </is>
      </c>
      <c r="P33" t="inlineStr">
        <is>
          <t>Riau</t>
        </is>
      </c>
      <c r="Q33" t="inlineStr"/>
    </row>
    <row r="34">
      <c r="A34" t="inlineStr">
        <is>
          <t>ANUGERAH SETIA PERDANA</t>
        </is>
      </c>
      <c r="B34" t="inlineStr">
        <is>
          <t>Kota Palembang</t>
        </is>
      </c>
      <c r="C34" t="inlineStr">
        <is>
          <t>0711519738</t>
        </is>
      </c>
      <c r="D34" t="inlineStr">
        <is>
          <t>pt.anugerahsetia@gmail.com</t>
        </is>
      </c>
      <c r="E34" t="inlineStr">
        <is>
          <t>https://lpjk.pu.go.id/search-badan-usaha-detail/VFZWcmw3YUxqVkk5cUw1RzQxNnFNdz09</t>
        </is>
      </c>
      <c r="F34" t="n">
        <v>2</v>
      </c>
      <c r="G34" t="inlineStr">
        <is>
          <t>BG001, BG009</t>
        </is>
      </c>
      <c r="H34" t="inlineStr">
        <is>
          <t>21 April 2010</t>
        </is>
      </c>
      <c r="I34" s="2" t="n">
        <v>46282</v>
      </c>
      <c r="J34" t="inlineStr">
        <is>
          <t>Disetujui</t>
        </is>
      </c>
      <c r="K34" t="n">
        <v>90</v>
      </c>
      <c r="L34" t="inlineStr">
        <is>
          <t>17 September 2026</t>
        </is>
      </c>
      <c r="M34" t="inlineStr">
        <is>
          <t>Konstruksi Gedung Hunian, Konstruksi Gedung Lainnya</t>
        </is>
      </c>
      <c r="N34" t="inlineStr">
        <is>
          <t>K</t>
        </is>
      </c>
      <c r="O34" t="inlineStr">
        <is>
          <t>20230912, 20230913</t>
        </is>
      </c>
      <c r="P34" t="inlineStr">
        <is>
          <t>Sumatera Selatan</t>
        </is>
      </c>
      <c r="Q34" t="inlineStr"/>
    </row>
    <row r="35">
      <c r="A35" t="inlineStr">
        <is>
          <t>ARIE POETRA</t>
        </is>
      </c>
      <c r="B35" t="inlineStr">
        <is>
          <t>Kota Palembang</t>
        </is>
      </c>
      <c r="C35" t="inlineStr">
        <is>
          <t>081377744435</t>
        </is>
      </c>
      <c r="D35" t="inlineStr">
        <is>
          <t>cv.ariepoetra@gmail.com</t>
        </is>
      </c>
      <c r="E35" t="inlineStr">
        <is>
          <t>https://lpjk.pu.go.id/search-badan-usaha-detail/d2Q3M2k1UEphdzRxMUd3VHlxcXBsZz09</t>
        </is>
      </c>
      <c r="F35" t="n">
        <v>1</v>
      </c>
      <c r="G35" t="inlineStr">
        <is>
          <t>BS001</t>
        </is>
      </c>
      <c r="H35" t="inlineStr">
        <is>
          <t>9 Januari 2009</t>
        </is>
      </c>
      <c r="I35" s="2" t="n">
        <v>46282</v>
      </c>
      <c r="J35" t="inlineStr">
        <is>
          <t>Disetujui</t>
        </is>
      </c>
      <c r="K35" t="n">
        <v>90</v>
      </c>
      <c r="L35" t="inlineStr">
        <is>
          <t>17 September 2026</t>
        </is>
      </c>
      <c r="M35" t="inlineStr">
        <is>
          <t>Konstruksi Bangunan Sipil Jalan</t>
        </is>
      </c>
      <c r="N35" t="inlineStr">
        <is>
          <t>K</t>
        </is>
      </c>
      <c r="O35" t="inlineStr">
        <is>
          <t>20230916</t>
        </is>
      </c>
      <c r="P35" t="inlineStr">
        <is>
          <t>Sumatera Selatan</t>
        </is>
      </c>
      <c r="Q35" t="inlineStr"/>
    </row>
    <row r="36">
      <c r="A36" t="inlineStr">
        <is>
          <t>ARKA WINATA JAYA</t>
        </is>
      </c>
      <c r="B36" t="inlineStr">
        <is>
          <t>Kota Palembang</t>
        </is>
      </c>
      <c r="C36" t="inlineStr">
        <is>
          <t>081379207770</t>
        </is>
      </c>
      <c r="D36" t="inlineStr">
        <is>
          <t>cvarkawinatajaya@gmail.com</t>
        </is>
      </c>
      <c r="E36" t="inlineStr">
        <is>
          <t>https://lpjk.pu.go.id/search-badan-usaha-detail/WUM4cU83WHorRXhZRVk2eCs2QXh4QT09</t>
        </is>
      </c>
      <c r="F36" t="n">
        <v>1</v>
      </c>
      <c r="G36" t="inlineStr">
        <is>
          <t>BS004</t>
        </is>
      </c>
      <c r="H36" t="inlineStr">
        <is>
          <t>31 Januari 2023</t>
        </is>
      </c>
      <c r="I36" s="2" t="n">
        <v>46282</v>
      </c>
      <c r="J36" t="inlineStr">
        <is>
          <t>Pencabutan</t>
        </is>
      </c>
      <c r="K36" t="n">
        <v>90</v>
      </c>
      <c r="L36" t="inlineStr">
        <is>
          <t>17 September 2026</t>
        </is>
      </c>
      <c r="M36" t="inlineStr">
        <is>
          <t>Konstruksi Jaringan Irigasi dan Drainase</t>
        </is>
      </c>
      <c r="N36" t="inlineStr">
        <is>
          <t>K</t>
        </is>
      </c>
      <c r="O36" t="inlineStr">
        <is>
          <t>20230913</t>
        </is>
      </c>
      <c r="P36" t="inlineStr">
        <is>
          <t>Sumatera Selatan</t>
        </is>
      </c>
      <c r="Q36" t="inlineStr"/>
    </row>
    <row r="37">
      <c r="A37" t="inlineStr">
        <is>
          <t>ARKANANTA KARYA KONSTRUKSI</t>
        </is>
      </c>
      <c r="B37" t="inlineStr">
        <is>
          <t>Kota Samarinda</t>
        </is>
      </c>
      <c r="C37" t="inlineStr">
        <is>
          <t>08125476643</t>
        </is>
      </c>
      <c r="D37" t="inlineStr">
        <is>
          <t>cv.arkanantakaryakonstruksi@gmail.com</t>
        </is>
      </c>
      <c r="E37" t="inlineStr">
        <is>
          <t>https://lpjk.pu.go.id/search-badan-usaha-detail/bElRMzdNcFFFbU9icVd4Wmt2ZXFpUT09</t>
        </is>
      </c>
      <c r="F37" t="n">
        <v>20</v>
      </c>
      <c r="G37" t="inlineStr">
        <is>
          <t>BG001, BG002, BG005, BG006, BS001</t>
        </is>
      </c>
      <c r="H37" t="inlineStr">
        <is>
          <t>6 Januari 2023</t>
        </is>
      </c>
      <c r="I37" s="2" t="n">
        <v>46282</v>
      </c>
      <c r="J37" t="inlineStr">
        <is>
          <t>Disetujui</t>
        </is>
      </c>
      <c r="K37" t="n">
        <v>90</v>
      </c>
      <c r="L37" t="inlineStr">
        <is>
          <t>17 September 2026</t>
        </is>
      </c>
      <c r="M37" t="inlineStr">
        <is>
          <t>Konstruksi Bangunan Sipil Jalan, Konstruksi Gedung Hunian, Konstruksi Gedung Kesehatan, Konstruksi Gedung Pendidikan, Konstruksi Gedung Perkantoran</t>
        </is>
      </c>
      <c r="N37" t="inlineStr">
        <is>
          <t>K</t>
        </is>
      </c>
      <c r="O37" t="inlineStr">
        <is>
          <t>20230914, 20230916</t>
        </is>
      </c>
      <c r="P37" t="inlineStr">
        <is>
          <t>Kalimantan Timur</t>
        </is>
      </c>
      <c r="Q37" t="inlineStr"/>
    </row>
    <row r="38">
      <c r="A38" t="inlineStr">
        <is>
          <t>ARSAKHA PARAHITA</t>
        </is>
      </c>
      <c r="B38" t="inlineStr">
        <is>
          <t>Kab. Bojonegoro</t>
        </is>
      </c>
      <c r="C38" t="inlineStr">
        <is>
          <t>085232135222</t>
        </is>
      </c>
      <c r="D38" t="inlineStr">
        <is>
          <t>ARSHKAP@GMAILL.COM</t>
        </is>
      </c>
      <c r="E38" t="inlineStr">
        <is>
          <t>https://lpjk.pu.go.id/search-badan-usaha-detail/ODVTdzlLNTNDS0VpemVjNk1rai9ZUT09</t>
        </is>
      </c>
      <c r="F38" t="n">
        <v>1</v>
      </c>
      <c r="G38" t="inlineStr">
        <is>
          <t>BG003</t>
        </is>
      </c>
      <c r="H38" t="inlineStr">
        <is>
          <t>6 November 2020</t>
        </is>
      </c>
      <c r="I38" s="2" t="n">
        <v>46282</v>
      </c>
      <c r="J38" t="inlineStr">
        <is>
          <t>Pencabutan</t>
        </is>
      </c>
      <c r="K38" t="n">
        <v>90</v>
      </c>
      <c r="L38" t="inlineStr">
        <is>
          <t>17 September 2026</t>
        </is>
      </c>
      <c r="M38" t="inlineStr">
        <is>
          <t>Konstruksi Gedung Industri</t>
        </is>
      </c>
      <c r="N38" t="inlineStr">
        <is>
          <t>K</t>
        </is>
      </c>
      <c r="O38" t="inlineStr">
        <is>
          <t>20230808</t>
        </is>
      </c>
      <c r="P38" t="inlineStr">
        <is>
          <t>Jawa Timur</t>
        </is>
      </c>
      <c r="Q38" t="inlineStr"/>
    </row>
    <row r="39">
      <c r="A39" t="inlineStr">
        <is>
          <t>ARSITA INTERKREASI</t>
        </is>
      </c>
      <c r="B39" t="inlineStr">
        <is>
          <t>Kota Adm. Jakarta Pusat</t>
        </is>
      </c>
      <c r="C39" t="inlineStr">
        <is>
          <t>0214892635</t>
        </is>
      </c>
      <c r="D39" t="inlineStr">
        <is>
          <t>arsitainter@cbn.net.id</t>
        </is>
      </c>
      <c r="E39" t="inlineStr">
        <is>
          <t>https://lpjk.pu.go.id/search-badan-usaha-detail/TFN1c0M3VVI3L1pGbjh3RWxBSkoyQT09</t>
        </is>
      </c>
      <c r="F39" t="n">
        <v>2</v>
      </c>
      <c r="G39" t="inlineStr">
        <is>
          <t>AR001, AR003</t>
        </is>
      </c>
      <c r="H39" t="inlineStr">
        <is>
          <t>23 September 1991</t>
        </is>
      </c>
      <c r="I39" s="2" t="n">
        <v>46282</v>
      </c>
      <c r="J39" t="inlineStr">
        <is>
          <t>Disetujui</t>
        </is>
      </c>
      <c r="K39" t="n">
        <v>90</v>
      </c>
      <c r="L39" t="inlineStr">
        <is>
          <t>17 September 2026</t>
        </is>
      </c>
      <c r="M39" t="inlineStr">
        <is>
          <t>Jasa Arsitektural Bangunan Gedung Hunian dan Non Hunian, Jasa Desain Interior pada Bangunan Gedung dan Bangunan Sipil</t>
        </is>
      </c>
      <c r="N39" t="inlineStr">
        <is>
          <t>K</t>
        </is>
      </c>
      <c r="O39" t="inlineStr">
        <is>
          <t>20230905</t>
        </is>
      </c>
      <c r="P39" t="inlineStr">
        <is>
          <t>DKI Jakarta</t>
        </is>
      </c>
      <c r="Q39" t="inlineStr"/>
    </row>
    <row r="40">
      <c r="A40" t="inlineStr">
        <is>
          <t>ASIA CITRA KAYUBE</t>
        </is>
      </c>
      <c r="B40" t="inlineStr">
        <is>
          <t>Kab. Sumbawa Barat</t>
        </is>
      </c>
      <c r="C40" t="inlineStr">
        <is>
          <t>081339744047</t>
        </is>
      </c>
      <c r="D40" t="inlineStr">
        <is>
          <t>amjadkayube@gmail.com</t>
        </is>
      </c>
      <c r="E40" t="inlineStr">
        <is>
          <t>https://lpjk.pu.go.id/search-badan-usaha-detail/VXFQYm1rL2pSSkRkZ1VJMi9ROUxUQT09</t>
        </is>
      </c>
      <c r="F40" t="n">
        <v>2</v>
      </c>
      <c r="G40" t="inlineStr">
        <is>
          <t>BG005, BG006</t>
        </is>
      </c>
      <c r="H40" t="inlineStr">
        <is>
          <t>21 Desember 2009</t>
        </is>
      </c>
      <c r="I40" s="2" t="n">
        <v>46282</v>
      </c>
      <c r="J40" t="inlineStr">
        <is>
          <t>Pencabutan</t>
        </is>
      </c>
      <c r="K40" t="n">
        <v>90</v>
      </c>
      <c r="L40" t="inlineStr">
        <is>
          <t>17 September 2026</t>
        </is>
      </c>
      <c r="M40" t="inlineStr">
        <is>
          <t>Konstruksi Gedung Kesehatan, Konstruksi Gedung Pendidikan</t>
        </is>
      </c>
      <c r="N40" t="inlineStr">
        <is>
          <t>K</t>
        </is>
      </c>
      <c r="O40" t="inlineStr">
        <is>
          <t>20230918</t>
        </is>
      </c>
      <c r="P40" t="inlineStr">
        <is>
          <t>Nusa Tenggara Barat</t>
        </is>
      </c>
      <c r="Q40" t="inlineStr"/>
    </row>
    <row r="41">
      <c r="A41" t="inlineStr">
        <is>
          <t>ATMAJAYA</t>
        </is>
      </c>
      <c r="B41" t="inlineStr">
        <is>
          <t>Kab. Ponorogo</t>
        </is>
      </c>
      <c r="C41" t="inlineStr">
        <is>
          <t>0352 7526 70__</t>
        </is>
      </c>
      <c r="D41" t="inlineStr">
        <is>
          <t>purwantosumoroto@gmail.com</t>
        </is>
      </c>
      <c r="E41" t="inlineStr">
        <is>
          <t>https://lpjk.pu.go.id/search-badan-usaha-detail/T09naXVNKzQ1V0hGOCtvNjZiLzRtUT09</t>
        </is>
      </c>
      <c r="F41" t="n">
        <v>2</v>
      </c>
      <c r="G41" t="inlineStr">
        <is>
          <t>BG005</t>
        </is>
      </c>
      <c r="H41" t="inlineStr">
        <is>
          <t>15 Januari 2014</t>
        </is>
      </c>
      <c r="I41" s="2" t="n">
        <v>46282</v>
      </c>
      <c r="J41" t="inlineStr">
        <is>
          <t>Disetujui</t>
        </is>
      </c>
      <c r="K41" t="n">
        <v>90</v>
      </c>
      <c r="L41" t="inlineStr">
        <is>
          <t>17 September 2026</t>
        </is>
      </c>
      <c r="M41" t="inlineStr">
        <is>
          <t>Konstruksi Gedung Kesehatan</t>
        </is>
      </c>
      <c r="N41" t="inlineStr">
        <is>
          <t>K</t>
        </is>
      </c>
      <c r="O41" t="inlineStr">
        <is>
          <t>20230913</t>
        </is>
      </c>
      <c r="P41" t="inlineStr">
        <is>
          <t>Jawa Timur</t>
        </is>
      </c>
      <c r="Q41" t="inlineStr"/>
    </row>
    <row r="42">
      <c r="A42" t="inlineStr">
        <is>
          <t>AUFA SUKSES BAROKAH</t>
        </is>
      </c>
      <c r="B42" t="inlineStr">
        <is>
          <t>Kota Jambi</t>
        </is>
      </c>
      <c r="C42" t="inlineStr">
        <is>
          <t>081315499185</t>
        </is>
      </c>
      <c r="D42" t="inlineStr">
        <is>
          <t>cvaufasuksesbarokah@gmail.com</t>
        </is>
      </c>
      <c r="E42" t="inlineStr">
        <is>
          <t>https://lpjk.pu.go.id/search-badan-usaha-detail/bnhmOFgrVTQwOEhzcTE2SDNZekxVQT09</t>
        </is>
      </c>
      <c r="F42" t="n">
        <v>5</v>
      </c>
      <c r="G42" t="inlineStr">
        <is>
          <t>BG001, BG002, BG004, BG006, BG009</t>
        </is>
      </c>
      <c r="H42" t="inlineStr">
        <is>
          <t>1 November 2022</t>
        </is>
      </c>
      <c r="I42" s="2" t="n">
        <v>46282</v>
      </c>
      <c r="J42" t="inlineStr">
        <is>
          <t>Disetujui</t>
        </is>
      </c>
      <c r="K42" t="n">
        <v>90</v>
      </c>
      <c r="L42" t="inlineStr">
        <is>
          <t>17 September 2026</t>
        </is>
      </c>
      <c r="M42" t="inlineStr">
        <is>
          <t>Konstruksi Gedung Hunian, Konstruksi Gedung Lainnya, Konstruksi Gedung Pendidikan, Konstruksi Gedung Perbelanjaan, Konstruksi Gedung Perkantoran</t>
        </is>
      </c>
      <c r="N42" t="inlineStr">
        <is>
          <t>K</t>
        </is>
      </c>
      <c r="O42" t="inlineStr">
        <is>
          <t>20230915</t>
        </is>
      </c>
      <c r="P42" t="inlineStr">
        <is>
          <t>Jambi</t>
        </is>
      </c>
      <c r="Q42" t="inlineStr"/>
    </row>
    <row r="43">
      <c r="A43" t="inlineStr">
        <is>
          <t>AWAN TRIBUANA MAJU</t>
        </is>
      </c>
      <c r="B43" t="inlineStr">
        <is>
          <t>Kota Pontianak</t>
        </is>
      </c>
      <c r="C43" t="inlineStr">
        <is>
          <t>08125729309</t>
        </is>
      </c>
      <c r="D43" t="inlineStr">
        <is>
          <t>awan_tribuanamaju@yahoo.com</t>
        </is>
      </c>
      <c r="E43" t="inlineStr">
        <is>
          <t>https://lpjk.pu.go.id/search-badan-usaha-detail/MHAzNm9oT2R6TFNZRXZoM2ZhTkNYdz09</t>
        </is>
      </c>
      <c r="F43" t="n">
        <v>2</v>
      </c>
      <c r="G43" t="inlineStr">
        <is>
          <t>BG001, BG009</t>
        </is>
      </c>
      <c r="H43" t="inlineStr">
        <is>
          <t>13 Agustus 2007</t>
        </is>
      </c>
      <c r="I43" s="2" t="n">
        <v>46282</v>
      </c>
      <c r="J43" t="inlineStr">
        <is>
          <t>Disetujui</t>
        </is>
      </c>
      <c r="K43" t="n">
        <v>90</v>
      </c>
      <c r="L43" t="inlineStr">
        <is>
          <t>17 September 2026</t>
        </is>
      </c>
      <c r="M43" t="inlineStr">
        <is>
          <t>Konstruksi Gedung Hunian, Konstruksi Gedung Lainnya</t>
        </is>
      </c>
      <c r="N43" t="inlineStr">
        <is>
          <t>K</t>
        </is>
      </c>
      <c r="O43" t="inlineStr">
        <is>
          <t>20230914, 20230915</t>
        </is>
      </c>
      <c r="P43" t="inlineStr">
        <is>
          <t>Kalimantan Barat</t>
        </is>
      </c>
      <c r="Q43" t="inlineStr"/>
    </row>
    <row r="44">
      <c r="A44" t="inlineStr">
        <is>
          <t>AWAN WIRAKARYA</t>
        </is>
      </c>
      <c r="B44" t="inlineStr">
        <is>
          <t>Kota Samarinda</t>
        </is>
      </c>
      <c r="C44" t="inlineStr">
        <is>
          <t>081549666696</t>
        </is>
      </c>
      <c r="D44" t="inlineStr">
        <is>
          <t>cv.awan.wirakarya@gmail.com</t>
        </is>
      </c>
      <c r="E44" t="inlineStr">
        <is>
          <t>https://lpjk.pu.go.id/search-badan-usaha-detail/NjlBd2ZGNDBZUWNkODNmMUZVOXd2UT09</t>
        </is>
      </c>
      <c r="F44" t="n">
        <v>1</v>
      </c>
      <c r="G44" t="inlineStr">
        <is>
          <t>BS001</t>
        </is>
      </c>
      <c r="H44" t="inlineStr">
        <is>
          <t>13 Februari 2023</t>
        </is>
      </c>
      <c r="I44" s="2" t="n">
        <v>46282</v>
      </c>
      <c r="J44" t="inlineStr">
        <is>
          <t>Disetujui</t>
        </is>
      </c>
      <c r="K44" t="n">
        <v>90</v>
      </c>
      <c r="L44" t="inlineStr">
        <is>
          <t>17 September 2026</t>
        </is>
      </c>
      <c r="M44" t="inlineStr">
        <is>
          <t>Konstruksi Bangunan Sipil Jalan</t>
        </is>
      </c>
      <c r="N44" t="inlineStr">
        <is>
          <t>K</t>
        </is>
      </c>
      <c r="O44" t="inlineStr">
        <is>
          <t>20230915</t>
        </is>
      </c>
      <c r="P44" t="inlineStr">
        <is>
          <t>Kalimantan Timur</t>
        </is>
      </c>
      <c r="Q44" t="inlineStr"/>
    </row>
    <row r="45">
      <c r="A45" t="inlineStr">
        <is>
          <t>AWANG SATRIA</t>
        </is>
      </c>
      <c r="B45" t="inlineStr">
        <is>
          <t>Kab. Siak</t>
        </is>
      </c>
      <c r="C45" t="inlineStr">
        <is>
          <t>081268145378</t>
        </is>
      </c>
      <c r="D45" t="inlineStr">
        <is>
          <t>jonpangaribuan@gmail.com</t>
        </is>
      </c>
      <c r="E45" t="inlineStr">
        <is>
          <t>https://lpjk.pu.go.id/search-badan-usaha-detail/Y3ZETFZDd2VQaHBJeEF4Z1BGRnlGdz09</t>
        </is>
      </c>
      <c r="F45" t="n">
        <v>8</v>
      </c>
      <c r="G45" t="inlineStr">
        <is>
          <t>BG001, BG005, BG006, BG009</t>
        </is>
      </c>
      <c r="H45" t="inlineStr">
        <is>
          <t>14 November 2000</t>
        </is>
      </c>
      <c r="I45" s="2" t="n">
        <v>46282</v>
      </c>
      <c r="J45" t="inlineStr">
        <is>
          <t>Disetujui</t>
        </is>
      </c>
      <c r="K45" t="n">
        <v>90</v>
      </c>
      <c r="L45" t="inlineStr">
        <is>
          <t>17 September 2026</t>
        </is>
      </c>
      <c r="M45" t="inlineStr">
        <is>
          <t>Konstruksi Gedung Hunian, Konstruksi Gedung Kesehatan, Konstruksi Gedung Lainnya, Konstruksi Gedung Pendidikan</t>
        </is>
      </c>
      <c r="N45" t="inlineStr">
        <is>
          <t>K</t>
        </is>
      </c>
      <c r="O45" t="inlineStr">
        <is>
          <t>20230912</t>
        </is>
      </c>
      <c r="P45" t="inlineStr">
        <is>
          <t>Riau</t>
        </is>
      </c>
      <c r="Q45" t="inlineStr"/>
    </row>
    <row r="46">
      <c r="A46" t="inlineStr">
        <is>
          <t>AZFAR KARYA LESTARI</t>
        </is>
      </c>
      <c r="B46" t="inlineStr">
        <is>
          <t>Kota Makassar</t>
        </is>
      </c>
      <c r="C46" t="inlineStr">
        <is>
          <t>081342424679</t>
        </is>
      </c>
      <c r="D46" t="inlineStr">
        <is>
          <t>azfarkaryalestari@gmail.com</t>
        </is>
      </c>
      <c r="E46" t="inlineStr">
        <is>
          <t>https://lpjk.pu.go.id/search-badan-usaha-detail/NXI4b0hxQjY4eTIwd2tCNE9YWFVVUT09</t>
        </is>
      </c>
      <c r="F46" t="n">
        <v>1</v>
      </c>
      <c r="G46" t="inlineStr">
        <is>
          <t>BG001</t>
        </is>
      </c>
      <c r="H46" t="inlineStr">
        <is>
          <t>20 Desember 2018</t>
        </is>
      </c>
      <c r="I46" s="2" t="n">
        <v>46282</v>
      </c>
      <c r="J46" t="inlineStr">
        <is>
          <t>Disetujui</t>
        </is>
      </c>
      <c r="K46" t="n">
        <v>90</v>
      </c>
      <c r="L46" t="inlineStr">
        <is>
          <t>17 September 2026</t>
        </is>
      </c>
      <c r="M46" t="inlineStr">
        <is>
          <t>Konstruksi Gedung Hunian</t>
        </is>
      </c>
      <c r="N46" t="inlineStr">
        <is>
          <t>K</t>
        </is>
      </c>
      <c r="O46" t="inlineStr">
        <is>
          <t>20230916</t>
        </is>
      </c>
      <c r="P46" t="inlineStr">
        <is>
          <t>Sulawesi Selatan</t>
        </is>
      </c>
      <c r="Q46" t="inlineStr"/>
    </row>
    <row r="47">
      <c r="A47" t="inlineStr">
        <is>
          <t>AZIZA</t>
        </is>
      </c>
      <c r="B47" t="inlineStr">
        <is>
          <t>Kab. Kolaka Timur</t>
        </is>
      </c>
      <c r="C47" t="inlineStr">
        <is>
          <t>085222201457</t>
        </is>
      </c>
      <c r="D47" t="inlineStr">
        <is>
          <t>azizaasman@gmail.com</t>
        </is>
      </c>
      <c r="E47" t="inlineStr">
        <is>
          <t>https://lpjk.pu.go.id/search-badan-usaha-detail/bW9mWVNIRzdXeXExc05MRWcrbU5Ydz09</t>
        </is>
      </c>
      <c r="F47" t="n">
        <v>3</v>
      </c>
      <c r="G47" t="inlineStr">
        <is>
          <t>BG006</t>
        </is>
      </c>
      <c r="H47" t="inlineStr">
        <is>
          <t>20 Januari 2014</t>
        </is>
      </c>
      <c r="I47" s="2" t="n">
        <v>46282</v>
      </c>
      <c r="J47" t="inlineStr">
        <is>
          <t>Disetujui</t>
        </is>
      </c>
      <c r="K47" t="n">
        <v>90</v>
      </c>
      <c r="L47" t="inlineStr">
        <is>
          <t>17 September 2026</t>
        </is>
      </c>
      <c r="M47" t="inlineStr">
        <is>
          <t>Konstruksi Gedung Pendidikan</t>
        </is>
      </c>
      <c r="N47" t="inlineStr">
        <is>
          <t>K</t>
        </is>
      </c>
      <c r="O47" t="inlineStr">
        <is>
          <t>20230914</t>
        </is>
      </c>
      <c r="P47" t="inlineStr">
        <is>
          <t>Sulawesi Tenggara</t>
        </is>
      </c>
      <c r="Q47" t="inlineStr"/>
    </row>
    <row r="48">
      <c r="A48" t="inlineStr">
        <is>
          <t>BANGUNCIPTA MEGAH PERSADA</t>
        </is>
      </c>
      <c r="B48" t="inlineStr">
        <is>
          <t>Kota Medan</t>
        </is>
      </c>
      <c r="C48" t="inlineStr">
        <is>
          <t>082166353339</t>
        </is>
      </c>
      <c r="D48" t="inlineStr">
        <is>
          <t>bmp248660@gmail.com</t>
        </is>
      </c>
      <c r="E48" t="inlineStr">
        <is>
          <t>https://lpjk.pu.go.id/search-badan-usaha-detail/RUM2V09wU1F6K3o2MHBNZFd3LzcxZz09</t>
        </is>
      </c>
      <c r="F48" t="n">
        <v>2</v>
      </c>
      <c r="G48" t="inlineStr">
        <is>
          <t>BG001</t>
        </is>
      </c>
      <c r="H48" t="inlineStr">
        <is>
          <t>15 Agustus 2022</t>
        </is>
      </c>
      <c r="I48" s="2" t="n">
        <v>46282</v>
      </c>
      <c r="J48" t="inlineStr">
        <is>
          <t>Disetujui</t>
        </is>
      </c>
      <c r="K48" t="n">
        <v>90</v>
      </c>
      <c r="L48" t="inlineStr">
        <is>
          <t>17 September 2026</t>
        </is>
      </c>
      <c r="M48" t="inlineStr">
        <is>
          <t>Konstruksi Gedung Hunian</t>
        </is>
      </c>
      <c r="N48" t="inlineStr">
        <is>
          <t>K</t>
        </is>
      </c>
      <c r="O48" t="inlineStr">
        <is>
          <t>20230913</t>
        </is>
      </c>
      <c r="P48" t="inlineStr">
        <is>
          <t>Sumatera Utara</t>
        </is>
      </c>
      <c r="Q48" t="inlineStr"/>
    </row>
    <row r="49">
      <c r="A49" t="inlineStr">
        <is>
          <t>BELANTARA KARYA BAKTI</t>
        </is>
      </c>
      <c r="B49" t="inlineStr">
        <is>
          <t>Kota Cilegon</t>
        </is>
      </c>
      <c r="C49" t="inlineStr">
        <is>
          <t>08179190997</t>
        </is>
      </c>
      <c r="D49" t="inlineStr">
        <is>
          <t>belantarakaryabakti@gmail.com</t>
        </is>
      </c>
      <c r="E49" t="inlineStr">
        <is>
          <t>https://lpjk.pu.go.id/search-badan-usaha-detail/SS8xTTZuWGVCRzhpWUpqdlNMTWdQUT09</t>
        </is>
      </c>
      <c r="F49" t="n">
        <v>4</v>
      </c>
      <c r="G49" t="inlineStr">
        <is>
          <t>BG003, BG009</t>
        </is>
      </c>
      <c r="H49" t="inlineStr">
        <is>
          <t>21 April 2014</t>
        </is>
      </c>
      <c r="I49" s="2" t="n">
        <v>46282</v>
      </c>
      <c r="J49" t="inlineStr">
        <is>
          <t>Disetujui</t>
        </is>
      </c>
      <c r="K49" t="n">
        <v>90</v>
      </c>
      <c r="L49" t="inlineStr">
        <is>
          <t>17 September 2026</t>
        </is>
      </c>
      <c r="M49" t="inlineStr">
        <is>
          <t>Konstruksi Gedung Industri, Konstruksi Gedung Lainnya</t>
        </is>
      </c>
      <c r="N49" t="inlineStr">
        <is>
          <t>K</t>
        </is>
      </c>
      <c r="O49" t="inlineStr">
        <is>
          <t>20230915, 20230918</t>
        </is>
      </c>
      <c r="P49" t="inlineStr">
        <is>
          <t>Banten</t>
        </is>
      </c>
      <c r="Q49" t="inlineStr"/>
    </row>
    <row r="50">
      <c r="A50" t="inlineStr">
        <is>
          <t>BERDIKARI</t>
        </is>
      </c>
      <c r="B50" t="inlineStr">
        <is>
          <t>Kab. Indramayu</t>
        </is>
      </c>
      <c r="C50" t="inlineStr">
        <is>
          <t>087828943340</t>
        </is>
      </c>
      <c r="D50" t="inlineStr">
        <is>
          <t>berdikari57@yahoo.co.id</t>
        </is>
      </c>
      <c r="E50" t="inlineStr">
        <is>
          <t>https://lpjk.pu.go.id/search-badan-usaha-detail/aTQvU3lIQ0pGKzJZZUZNaFJrcE5WUT09</t>
        </is>
      </c>
      <c r="F50" t="n">
        <v>1</v>
      </c>
      <c r="G50" t="inlineStr">
        <is>
          <t>BS004</t>
        </is>
      </c>
      <c r="H50" t="inlineStr">
        <is>
          <t>12 Agustus 1996</t>
        </is>
      </c>
      <c r="I50" s="2" t="n">
        <v>46282</v>
      </c>
      <c r="J50" t="inlineStr">
        <is>
          <t>Disetujui</t>
        </is>
      </c>
      <c r="K50" t="n">
        <v>90</v>
      </c>
      <c r="L50" t="inlineStr">
        <is>
          <t>17 September 2026</t>
        </is>
      </c>
      <c r="M50" t="inlineStr">
        <is>
          <t>Konstruksi Jaringan Irigasi dan Drainase</t>
        </is>
      </c>
      <c r="N50" t="inlineStr">
        <is>
          <t>K</t>
        </is>
      </c>
      <c r="O50" t="inlineStr">
        <is>
          <t>20230914</t>
        </is>
      </c>
      <c r="P50" t="inlineStr">
        <is>
          <t>Jawa Barat</t>
        </is>
      </c>
      <c r="Q50" t="inlineStr"/>
    </row>
    <row r="51">
      <c r="A51" t="inlineStr">
        <is>
          <t>BERKAH MANDIRI BATULICIN</t>
        </is>
      </c>
      <c r="B51" t="inlineStr">
        <is>
          <t>Kab. Tanah Bumbu</t>
        </is>
      </c>
      <c r="C51" t="inlineStr">
        <is>
          <t>081392534916</t>
        </is>
      </c>
      <c r="D51" t="inlineStr">
        <is>
          <t>berkahmandiribatulicin@gmail.com</t>
        </is>
      </c>
      <c r="E51" t="inlineStr">
        <is>
          <t>https://lpjk.pu.go.id/search-badan-usaha-detail/TXFmYzRCTklCR0E2eGZRL1hrSmJBQT09</t>
        </is>
      </c>
      <c r="F51" t="n">
        <v>8</v>
      </c>
      <c r="G51" t="inlineStr">
        <is>
          <t>BG001, BG006, BG009, BS001</t>
        </is>
      </c>
      <c r="H51" t="inlineStr">
        <is>
          <t>28 Januari 2022</t>
        </is>
      </c>
      <c r="I51" s="2" t="n">
        <v>46282</v>
      </c>
      <c r="J51" t="inlineStr">
        <is>
          <t>Pencabutan</t>
        </is>
      </c>
      <c r="K51" t="n">
        <v>90</v>
      </c>
      <c r="L51" t="inlineStr">
        <is>
          <t>17 September 2026</t>
        </is>
      </c>
      <c r="M51" t="inlineStr">
        <is>
          <t>Konstruksi Bangunan Sipil Jalan, Konstruksi Gedung Hunian, Konstruksi Gedung Lainnya, Konstruksi Gedung Pendidikan</t>
        </is>
      </c>
      <c r="N51" t="inlineStr">
        <is>
          <t>K</t>
        </is>
      </c>
      <c r="O51" t="inlineStr">
        <is>
          <t>20230915</t>
        </is>
      </c>
      <c r="P51" t="inlineStr">
        <is>
          <t>Kalimantan Selatan</t>
        </is>
      </c>
      <c r="Q51" t="inlineStr"/>
    </row>
    <row r="52">
      <c r="A52" t="inlineStr">
        <is>
          <t>BIMA UTAMA RAYA</t>
        </is>
      </c>
      <c r="B52" t="inlineStr">
        <is>
          <t>Kab. Bojonegoro</t>
        </is>
      </c>
      <c r="C52" t="inlineStr">
        <is>
          <t>085335655295</t>
        </is>
      </c>
      <c r="D52" t="inlineStr">
        <is>
          <t>cvbimautamaraya@gmail.com</t>
        </is>
      </c>
      <c r="E52" t="inlineStr">
        <is>
          <t>https://lpjk.pu.go.id/search-badan-usaha-detail/dGdRNVg3UFpvVVBKY1pKYm15WWludz09</t>
        </is>
      </c>
      <c r="F52" t="n">
        <v>1</v>
      </c>
      <c r="G52" t="inlineStr">
        <is>
          <t>BS001</t>
        </is>
      </c>
      <c r="H52" t="inlineStr">
        <is>
          <t>8 Juni 2023</t>
        </is>
      </c>
      <c r="I52" s="2" t="n">
        <v>46282</v>
      </c>
      <c r="J52" t="inlineStr">
        <is>
          <t>Disetujui</t>
        </is>
      </c>
      <c r="K52" t="n">
        <v>90</v>
      </c>
      <c r="L52" t="inlineStr">
        <is>
          <t>17 September 2026</t>
        </is>
      </c>
      <c r="M52" t="inlineStr">
        <is>
          <t>Konstruksi Bangunan Sipil Jalan</t>
        </is>
      </c>
      <c r="N52" t="inlineStr">
        <is>
          <t>K</t>
        </is>
      </c>
      <c r="O52" t="inlineStr">
        <is>
          <t>20230818</t>
        </is>
      </c>
      <c r="P52" t="inlineStr">
        <is>
          <t>Jawa Timur</t>
        </is>
      </c>
      <c r="Q52" t="inlineStr"/>
    </row>
    <row r="53">
      <c r="A53" t="inlineStr">
        <is>
          <t>BINA USAHA ABADI</t>
        </is>
      </c>
      <c r="B53" t="inlineStr">
        <is>
          <t>Kab. Ketapang</t>
        </is>
      </c>
      <c r="C53" t="inlineStr">
        <is>
          <t>08125731663</t>
        </is>
      </c>
      <c r="D53" t="inlineStr">
        <is>
          <t>pt.binausahaabadi@yahoo.co.id</t>
        </is>
      </c>
      <c r="E53" t="inlineStr">
        <is>
          <t>https://lpjk.pu.go.id/search-badan-usaha-detail/dVUrTk1LYUcvYzllaWl5bjRrd2pFZz09</t>
        </is>
      </c>
      <c r="F53" t="n">
        <v>1</v>
      </c>
      <c r="G53" t="inlineStr">
        <is>
          <t>BS001</t>
        </is>
      </c>
      <c r="H53" t="inlineStr">
        <is>
          <t>25 September 2008</t>
        </is>
      </c>
      <c r="I53" s="2" t="n">
        <v>46282</v>
      </c>
      <c r="J53" t="inlineStr">
        <is>
          <t>Disetujui</t>
        </is>
      </c>
      <c r="K53" t="n">
        <v>90</v>
      </c>
      <c r="L53" t="inlineStr">
        <is>
          <t>17 September 2026</t>
        </is>
      </c>
      <c r="M53" t="inlineStr">
        <is>
          <t>Konstruksi Bangunan Sipil Jalan</t>
        </is>
      </c>
      <c r="N53" t="inlineStr">
        <is>
          <t>M</t>
        </is>
      </c>
      <c r="O53" t="inlineStr">
        <is>
          <t>20230821</t>
        </is>
      </c>
      <c r="P53" t="inlineStr">
        <is>
          <t>Kalimantan Barat</t>
        </is>
      </c>
      <c r="Q53" t="inlineStr"/>
    </row>
    <row r="54">
      <c r="A54" t="inlineStr">
        <is>
          <t>BUMI KHATULISTIWA PUTERA</t>
        </is>
      </c>
      <c r="B54" t="inlineStr">
        <is>
          <t>Kota Pontianak</t>
        </is>
      </c>
      <c r="C54" t="inlineStr">
        <is>
          <t>085845209686</t>
        </is>
      </c>
      <c r="D54" t="inlineStr">
        <is>
          <t>puterakahtulistiwa@gmail.com</t>
        </is>
      </c>
      <c r="E54" t="inlineStr">
        <is>
          <t>https://lpjk.pu.go.id/search-badan-usaha-detail/R3pYUmJCZWlzeWMwOTRiakp0eTM5Zz09</t>
        </is>
      </c>
      <c r="F54" t="n">
        <v>1</v>
      </c>
      <c r="G54" t="inlineStr">
        <is>
          <t>BG003</t>
        </is>
      </c>
      <c r="H54" t="inlineStr">
        <is>
          <t>7 Maret 2007</t>
        </is>
      </c>
      <c r="I54" s="2" t="n">
        <v>46282</v>
      </c>
      <c r="J54" t="inlineStr">
        <is>
          <t>Disetujui</t>
        </is>
      </c>
      <c r="K54" t="n">
        <v>90</v>
      </c>
      <c r="L54" t="inlineStr">
        <is>
          <t>17 September 2026</t>
        </is>
      </c>
      <c r="M54" t="inlineStr">
        <is>
          <t>Konstruksi Gedung Industri</t>
        </is>
      </c>
      <c r="N54" t="inlineStr">
        <is>
          <t>K</t>
        </is>
      </c>
      <c r="O54" t="inlineStr">
        <is>
          <t>20230917</t>
        </is>
      </c>
      <c r="P54" t="inlineStr">
        <is>
          <t>Kalimantan Barat</t>
        </is>
      </c>
      <c r="Q54" t="inlineStr"/>
    </row>
    <row r="55">
      <c r="A55" t="inlineStr">
        <is>
          <t>BUMI MANDIRI BERDIKARI</t>
        </is>
      </c>
      <c r="B55" t="inlineStr">
        <is>
          <t>Kota Tangerang Selatan</t>
        </is>
      </c>
      <c r="C55" t="inlineStr">
        <is>
          <t>02174776205</t>
        </is>
      </c>
      <c r="D55" t="inlineStr">
        <is>
          <t>bmb.crd222@gmail.com</t>
        </is>
      </c>
      <c r="E55" t="inlineStr">
        <is>
          <t>https://lpjk.pu.go.id/search-badan-usaha-detail/aWNpVlJ1WnBmWmIyWHFuL09EcDg4dz09</t>
        </is>
      </c>
      <c r="F55" t="n">
        <v>1</v>
      </c>
      <c r="G55" t="inlineStr">
        <is>
          <t>BS004</t>
        </is>
      </c>
      <c r="H55" t="inlineStr">
        <is>
          <t>5 Februari 2016</t>
        </is>
      </c>
      <c r="I55" s="2" t="n">
        <v>46282</v>
      </c>
      <c r="J55" t="inlineStr">
        <is>
          <t>Disetujui</t>
        </is>
      </c>
      <c r="K55" t="n">
        <v>90</v>
      </c>
      <c r="L55" t="inlineStr">
        <is>
          <t>17 September 2026</t>
        </is>
      </c>
      <c r="M55" t="inlineStr">
        <is>
          <t>Konstruksi Jaringan Irigasi dan Drainase</t>
        </is>
      </c>
      <c r="N55" t="inlineStr">
        <is>
          <t>K</t>
        </is>
      </c>
      <c r="O55" t="inlineStr">
        <is>
          <t>20230915</t>
        </is>
      </c>
      <c r="P55" t="inlineStr">
        <is>
          <t>Banten</t>
        </is>
      </c>
      <c r="Q55" t="inlineStr"/>
    </row>
    <row r="56">
      <c r="A56" t="inlineStr">
        <is>
          <t>CAHAYA BERKAH</t>
        </is>
      </c>
      <c r="B56" t="inlineStr">
        <is>
          <t>Kab. Bandung</t>
        </is>
      </c>
      <c r="C56" t="inlineStr">
        <is>
          <t>081322212787</t>
        </is>
      </c>
      <c r="D56" t="inlineStr">
        <is>
          <t>cahayaberkah32@yahoo.com</t>
        </is>
      </c>
      <c r="E56" t="inlineStr">
        <is>
          <t>https://lpjk.pu.go.id/search-badan-usaha-detail/U1R0VzZmNFdqUElvYWZ3Mko1Y0FZQT09</t>
        </is>
      </c>
      <c r="F56" t="n">
        <v>1</v>
      </c>
      <c r="G56" t="inlineStr">
        <is>
          <t>BG002</t>
        </is>
      </c>
      <c r="H56" t="inlineStr">
        <is>
          <t>12 Agustus 2016</t>
        </is>
      </c>
      <c r="I56" s="2" t="n">
        <v>46282</v>
      </c>
      <c r="J56" t="inlineStr">
        <is>
          <t>Disetujui</t>
        </is>
      </c>
      <c r="K56" t="n">
        <v>90</v>
      </c>
      <c r="L56" t="inlineStr">
        <is>
          <t>17 September 2026</t>
        </is>
      </c>
      <c r="M56" t="inlineStr">
        <is>
          <t>Konstruksi Gedung Perkantoran</t>
        </is>
      </c>
      <c r="N56" t="inlineStr">
        <is>
          <t>K</t>
        </is>
      </c>
      <c r="O56" t="inlineStr">
        <is>
          <t>20230912</t>
        </is>
      </c>
      <c r="P56" t="inlineStr">
        <is>
          <t>Jawa Barat</t>
        </is>
      </c>
      <c r="Q56" t="inlineStr"/>
    </row>
    <row r="57">
      <c r="A57" t="inlineStr">
        <is>
          <t>CID CONSULTANT</t>
        </is>
      </c>
      <c r="B57" t="inlineStr">
        <is>
          <t>Kab. Tasikmalaya</t>
        </is>
      </c>
      <c r="C57" t="inlineStr">
        <is>
          <t>081214147518</t>
        </is>
      </c>
      <c r="D57" t="inlineStr">
        <is>
          <t>cv.cidconsultant2020@gmail.com</t>
        </is>
      </c>
      <c r="E57" t="inlineStr">
        <is>
          <t>https://lpjk.pu.go.id/search-badan-usaha-detail/bVdEckV6RVJjOGlQb2J3VFM4Vit4QT09</t>
        </is>
      </c>
      <c r="F57" t="n">
        <v>1</v>
      </c>
      <c r="G57" t="inlineStr">
        <is>
          <t>RK001</t>
        </is>
      </c>
      <c r="H57" t="inlineStr">
        <is>
          <t>31 Agustus 2020</t>
        </is>
      </c>
      <c r="I57" s="2" t="n">
        <v>46282</v>
      </c>
      <c r="J57" t="inlineStr">
        <is>
          <t>Disetujui</t>
        </is>
      </c>
      <c r="K57" t="n">
        <v>90</v>
      </c>
      <c r="L57" t="inlineStr">
        <is>
          <t>17 September 2026</t>
        </is>
      </c>
      <c r="M57" t="inlineStr">
        <is>
          <t>Jasa Rekayasa Konstruksi Bangunan Gedung Hunian dan Non Hunian</t>
        </is>
      </c>
      <c r="N57" t="inlineStr">
        <is>
          <t>K</t>
        </is>
      </c>
      <c r="O57" t="inlineStr">
        <is>
          <t>20230911</t>
        </is>
      </c>
      <c r="P57" t="inlineStr">
        <is>
          <t>Jawa Barat</t>
        </is>
      </c>
      <c r="Q57" t="inlineStr"/>
    </row>
    <row r="58">
      <c r="A58" t="inlineStr">
        <is>
          <t>CIPTATAMA ABADI</t>
        </is>
      </c>
      <c r="B58" t="inlineStr">
        <is>
          <t>Kota Jambi</t>
        </is>
      </c>
      <c r="C58" t="inlineStr">
        <is>
          <t>081273909555</t>
        </is>
      </c>
      <c r="D58" t="inlineStr">
        <is>
          <t>ciptatamaabadi@gmail.com</t>
        </is>
      </c>
      <c r="E58" t="inlineStr">
        <is>
          <t>https://lpjk.pu.go.id/search-badan-usaha-detail/Wnp0dVNXcTNRTW5OZURyajFsTFAvZz09</t>
        </is>
      </c>
      <c r="F58" t="n">
        <v>2</v>
      </c>
      <c r="G58" t="inlineStr">
        <is>
          <t>BG001</t>
        </is>
      </c>
      <c r="H58" t="inlineStr">
        <is>
          <t>9 Juni 2014</t>
        </is>
      </c>
      <c r="I58" s="2" t="n">
        <v>46282</v>
      </c>
      <c r="J58" t="inlineStr">
        <is>
          <t>Pencabutan</t>
        </is>
      </c>
      <c r="K58" t="n">
        <v>90</v>
      </c>
      <c r="L58" t="inlineStr">
        <is>
          <t>17 September 2026</t>
        </is>
      </c>
      <c r="M58" t="inlineStr">
        <is>
          <t>Konstruksi Gedung Hunian</t>
        </is>
      </c>
      <c r="N58" t="inlineStr">
        <is>
          <t>K</t>
        </is>
      </c>
      <c r="O58" t="inlineStr">
        <is>
          <t>20230914</t>
        </is>
      </c>
      <c r="P58" t="inlineStr">
        <is>
          <t>Jambi</t>
        </is>
      </c>
      <c r="Q58" t="inlineStr"/>
    </row>
    <row r="59">
      <c r="A59" t="inlineStr">
        <is>
          <t>CITRA KARYA SANTOSA</t>
        </is>
      </c>
      <c r="B59" t="inlineStr">
        <is>
          <t>Kab. Kotawaringin Timur</t>
        </is>
      </c>
      <c r="C59" t="inlineStr">
        <is>
          <t>0</t>
        </is>
      </c>
      <c r="D59" t="inlineStr">
        <is>
          <t>citrakarya168@yahoo.com</t>
        </is>
      </c>
      <c r="E59" t="inlineStr">
        <is>
          <t>https://lpjk.pu.go.id/search-badan-usaha-detail/ajFmb0E4Nk1DOHZUcnVROSt4YlFpZz09</t>
        </is>
      </c>
      <c r="F59" t="n">
        <v>1</v>
      </c>
      <c r="G59" t="inlineStr">
        <is>
          <t>BS004</t>
        </is>
      </c>
      <c r="H59" t="inlineStr">
        <is>
          <t>1 Juli 2008</t>
        </is>
      </c>
      <c r="I59" s="2" t="n">
        <v>46282</v>
      </c>
      <c r="J59" t="inlineStr">
        <is>
          <t>Disetujui</t>
        </is>
      </c>
      <c r="K59" t="n">
        <v>90</v>
      </c>
      <c r="L59" t="inlineStr">
        <is>
          <t>17 September 2026</t>
        </is>
      </c>
      <c r="M59" t="inlineStr">
        <is>
          <t>Konstruksi Jaringan Irigasi dan Drainase</t>
        </is>
      </c>
      <c r="N59" t="inlineStr">
        <is>
          <t>K</t>
        </is>
      </c>
      <c r="O59" t="inlineStr">
        <is>
          <t>20230912</t>
        </is>
      </c>
      <c r="P59" t="inlineStr">
        <is>
          <t>Kalimantan Tengah</t>
        </is>
      </c>
      <c r="Q59" t="inlineStr"/>
    </row>
    <row r="60">
      <c r="A60" t="inlineStr">
        <is>
          <t>DANADYAKSA</t>
        </is>
      </c>
      <c r="B60" t="inlineStr">
        <is>
          <t>Kota Palembang</t>
        </is>
      </c>
      <c r="C60" t="inlineStr">
        <is>
          <t>081901800219</t>
        </is>
      </c>
      <c r="D60" t="inlineStr">
        <is>
          <t>cvdadyaksapalembang@gmail.com</t>
        </is>
      </c>
      <c r="E60" t="inlineStr">
        <is>
          <t>https://lpjk.pu.go.id/search-badan-usaha-detail/WVdMMkhySnNjZnFEQjJYWWlMYWZBZz09</t>
        </is>
      </c>
      <c r="F60" t="n">
        <v>3</v>
      </c>
      <c r="G60" t="inlineStr">
        <is>
          <t>BG006, BS001, BS004</t>
        </is>
      </c>
      <c r="H60" t="inlineStr">
        <is>
          <t>12 April 2017</t>
        </is>
      </c>
      <c r="I60" s="2" t="n">
        <v>46282</v>
      </c>
      <c r="J60" t="inlineStr">
        <is>
          <t>Disetujui</t>
        </is>
      </c>
      <c r="K60" t="n">
        <v>90</v>
      </c>
      <c r="L60" t="inlineStr">
        <is>
          <t>17 September 2026</t>
        </is>
      </c>
      <c r="M60" t="inlineStr">
        <is>
          <t>Konstruksi Bangunan Sipil Jalan, Konstruksi Gedung Pendidikan, Konstruksi Jaringan Irigasi dan Drainase</t>
        </is>
      </c>
      <c r="N60" t="inlineStr">
        <is>
          <t>K</t>
        </is>
      </c>
      <c r="O60" t="inlineStr">
        <is>
          <t>20230914, 20230915</t>
        </is>
      </c>
      <c r="P60" t="inlineStr">
        <is>
          <t>Sumatera Selatan</t>
        </is>
      </c>
      <c r="Q60" t="inlineStr"/>
    </row>
    <row r="61">
      <c r="A61" t="inlineStr">
        <is>
          <t>DIKA SEJAHTERA ABADI</t>
        </is>
      </c>
      <c r="B61" t="inlineStr">
        <is>
          <t>Kab. Sukabumi</t>
        </is>
      </c>
      <c r="C61" t="inlineStr">
        <is>
          <t>085722110201</t>
        </is>
      </c>
      <c r="D61" t="inlineStr">
        <is>
          <t>dikasejahtera.cv@gmail.com</t>
        </is>
      </c>
      <c r="E61" t="inlineStr">
        <is>
          <t>https://lpjk.pu.go.id/search-badan-usaha-detail/N3VJbm1Hb2xZeVpVdzQ5bDN0WEJIZz09</t>
        </is>
      </c>
      <c r="F61" t="n">
        <v>1</v>
      </c>
      <c r="G61" t="inlineStr">
        <is>
          <t>BS005</t>
        </is>
      </c>
      <c r="H61" t="inlineStr">
        <is>
          <t>31 Agustus 2021</t>
        </is>
      </c>
      <c r="I61" s="2" t="n">
        <v>46282</v>
      </c>
      <c r="J61" t="inlineStr">
        <is>
          <t>Disetujui</t>
        </is>
      </c>
      <c r="K61" t="n">
        <v>90</v>
      </c>
      <c r="L61" t="inlineStr">
        <is>
          <t>17 September 2026</t>
        </is>
      </c>
      <c r="M61" t="inlineStr">
        <is>
          <t>Konstruksi Bangunan Sipil Pengolahan Air Bersih</t>
        </is>
      </c>
      <c r="N61" t="inlineStr">
        <is>
          <t>K</t>
        </is>
      </c>
      <c r="O61" t="inlineStr">
        <is>
          <t>20230914</t>
        </is>
      </c>
      <c r="P61" t="inlineStr">
        <is>
          <t>Jawa Barat</t>
        </is>
      </c>
      <c r="Q61" t="inlineStr"/>
    </row>
    <row r="62">
      <c r="A62" t="inlineStr">
        <is>
          <t>DIVAN STG</t>
        </is>
      </c>
      <c r="B62" t="inlineStr">
        <is>
          <t>Kota Medan</t>
        </is>
      </c>
      <c r="C62" t="inlineStr">
        <is>
          <t>08126016579</t>
        </is>
      </c>
      <c r="D62" t="inlineStr">
        <is>
          <t>divanstg.cv@gmail.com</t>
        </is>
      </c>
      <c r="E62" t="inlineStr">
        <is>
          <t>https://lpjk.pu.go.id/search-badan-usaha-detail/ZitnUkhyREV1YU1rQ3FGbURvTmZCZz09</t>
        </is>
      </c>
      <c r="F62" t="n">
        <v>5</v>
      </c>
      <c r="G62" t="inlineStr">
        <is>
          <t>BG001, BG002, BG005, BG006, BG009</t>
        </is>
      </c>
      <c r="H62" t="inlineStr">
        <is>
          <t>10 Maret 2020</t>
        </is>
      </c>
      <c r="I62" s="2" t="n">
        <v>46282</v>
      </c>
      <c r="J62" t="inlineStr">
        <is>
          <t>Disetujui</t>
        </is>
      </c>
      <c r="K62" t="n">
        <v>90</v>
      </c>
      <c r="L62" t="inlineStr">
        <is>
          <t>17 September 2026</t>
        </is>
      </c>
      <c r="M62" t="inlineStr">
        <is>
          <t>Konstruksi Gedung Hunian, Konstruksi Gedung Kesehatan, Konstruksi Gedung Lainnya, Konstruksi Gedung Pendidikan, Konstruksi Gedung Perkantoran</t>
        </is>
      </c>
      <c r="N62" t="inlineStr">
        <is>
          <t>K</t>
        </is>
      </c>
      <c r="O62" t="inlineStr">
        <is>
          <t>20230908, 20230911, 20230913</t>
        </is>
      </c>
      <c r="P62" t="inlineStr">
        <is>
          <t>Sumatera Utara</t>
        </is>
      </c>
      <c r="Q62" t="inlineStr"/>
    </row>
    <row r="63">
      <c r="A63" t="inlineStr">
        <is>
          <t>DUA PUTRI NUSANTARA PROBOLINGGO</t>
        </is>
      </c>
      <c r="B63" t="inlineStr">
        <is>
          <t>Kab. Probolinggo</t>
        </is>
      </c>
      <c r="C63" t="inlineStr">
        <is>
          <t>08123460488</t>
        </is>
      </c>
      <c r="D63" t="inlineStr">
        <is>
          <t>duaputrinusantara@gmail.com</t>
        </is>
      </c>
      <c r="E63" t="inlineStr">
        <is>
          <t>https://lpjk.pu.go.id/search-badan-usaha-detail/RlZLaS9qUzFKVGVJZ2pNZXl4RVlvUT09</t>
        </is>
      </c>
      <c r="F63" t="n">
        <v>4</v>
      </c>
      <c r="G63" t="inlineStr">
        <is>
          <t>BG006, BG009, BS001, BS004</t>
        </is>
      </c>
      <c r="H63" t="inlineStr">
        <is>
          <t>27 Maret 2023</t>
        </is>
      </c>
      <c r="I63" s="2" t="n">
        <v>46282</v>
      </c>
      <c r="J63" t="inlineStr">
        <is>
          <t>Disetujui, Permohonan Perubahan Non Asesmen</t>
        </is>
      </c>
      <c r="K63" t="n">
        <v>90</v>
      </c>
      <c r="L63" t="inlineStr">
        <is>
          <t>17 September 2026</t>
        </is>
      </c>
      <c r="M63" t="inlineStr">
        <is>
          <t>Konstruksi Bangunan Sipil Jalan, Konstruksi Gedung Lainnya, Konstruksi Gedung Pendidikan, Konstruksi Jaringan Irigasi dan Drainase</t>
        </is>
      </c>
      <c r="N63" t="inlineStr">
        <is>
          <t>K</t>
        </is>
      </c>
      <c r="O63" t="inlineStr">
        <is>
          <t>20230912, 20230914</t>
        </is>
      </c>
      <c r="P63" t="inlineStr">
        <is>
          <t>Jawa Timur</t>
        </is>
      </c>
      <c r="Q63" t="inlineStr"/>
    </row>
    <row r="64">
      <c r="A64" t="inlineStr">
        <is>
          <t>DUTA JASA REKAYASA</t>
        </is>
      </c>
      <c r="B64" t="inlineStr">
        <is>
          <t>Kota Bandung</t>
        </is>
      </c>
      <c r="C64" t="inlineStr">
        <is>
          <t>08121437135</t>
        </is>
      </c>
      <c r="D64" t="inlineStr">
        <is>
          <t>duta.jasarekayasa@gmail.com</t>
        </is>
      </c>
      <c r="E64" t="inlineStr">
        <is>
          <t>https://lpjk.pu.go.id/search-badan-usaha-detail/bjVHZXB2MmZQd2JUQkJKOG9oa0JUdz09</t>
        </is>
      </c>
      <c r="F64" t="n">
        <v>2</v>
      </c>
      <c r="G64" t="inlineStr">
        <is>
          <t>RK001, RK005</t>
        </is>
      </c>
      <c r="H64" t="inlineStr">
        <is>
          <t>14 Februari 2022</t>
        </is>
      </c>
      <c r="I64" s="2" t="n">
        <v>46282</v>
      </c>
      <c r="J64" t="inlineStr">
        <is>
          <t>Disetujui</t>
        </is>
      </c>
      <c r="K64" t="n">
        <v>90</v>
      </c>
      <c r="L64" t="inlineStr">
        <is>
          <t>17 September 2026</t>
        </is>
      </c>
      <c r="M64" t="inlineStr">
        <is>
          <t>Jasa Rekayasa Konstruksi Bangunan Gedung Hunian dan Non Hunian, Jasa Rekayasa Lainnya</t>
        </is>
      </c>
      <c r="N64" t="inlineStr">
        <is>
          <t>K</t>
        </is>
      </c>
      <c r="O64" t="inlineStr">
        <is>
          <t>20230905</t>
        </is>
      </c>
      <c r="P64" t="inlineStr">
        <is>
          <t>Jawa Barat</t>
        </is>
      </c>
      <c r="Q64" t="inlineStr"/>
    </row>
    <row r="65">
      <c r="A65" t="inlineStr">
        <is>
          <t>DUTA KONSTRUKSI PRIBADI</t>
        </is>
      </c>
      <c r="B65" t="inlineStr">
        <is>
          <t>Kota Pontianak</t>
        </is>
      </c>
      <c r="C65" t="inlineStr">
        <is>
          <t>085252523778</t>
        </is>
      </c>
      <c r="D65" t="inlineStr">
        <is>
          <t>dutakontruksi888@gmail.com</t>
        </is>
      </c>
      <c r="E65" t="inlineStr">
        <is>
          <t>https://lpjk.pu.go.id/search-badan-usaha-detail/djBMM212eEQ5djZsUWRZMjJVNFkzQT09</t>
        </is>
      </c>
      <c r="F65" t="n">
        <v>1</v>
      </c>
      <c r="G65" t="inlineStr">
        <is>
          <t>BG002</t>
        </is>
      </c>
      <c r="H65" t="inlineStr">
        <is>
          <t>9 Januari 2020</t>
        </is>
      </c>
      <c r="I65" s="2" t="n">
        <v>46282</v>
      </c>
      <c r="J65" t="inlineStr">
        <is>
          <t>Disetujui</t>
        </is>
      </c>
      <c r="K65" t="n">
        <v>90</v>
      </c>
      <c r="L65" t="inlineStr">
        <is>
          <t>17 September 2026</t>
        </is>
      </c>
      <c r="M65" t="inlineStr">
        <is>
          <t>Konstruksi Gedung Perkantoran</t>
        </is>
      </c>
      <c r="N65" t="inlineStr">
        <is>
          <t>K</t>
        </is>
      </c>
      <c r="O65" t="inlineStr">
        <is>
          <t>20230914</t>
        </is>
      </c>
      <c r="P65" t="inlineStr">
        <is>
          <t>Kalimantan Barat</t>
        </is>
      </c>
      <c r="Q65" t="inlineStr"/>
    </row>
    <row r="66">
      <c r="A66" t="inlineStr">
        <is>
          <t>DUTA WAKATE</t>
        </is>
      </c>
      <c r="B66" t="inlineStr">
        <is>
          <t>Kab. Seram Bagian Timur</t>
        </is>
      </c>
      <c r="C66" t="inlineStr">
        <is>
          <t>082199603656</t>
        </is>
      </c>
      <c r="D66" t="inlineStr">
        <is>
          <t>dutawakatecv@yahoo.com</t>
        </is>
      </c>
      <c r="E66" t="inlineStr">
        <is>
          <t>https://lpjk.pu.go.id/search-badan-usaha-detail/S2xRL2dCUlFVRHZtNDJoM2lDZXM0Zz09</t>
        </is>
      </c>
      <c r="F66" t="n">
        <v>3</v>
      </c>
      <c r="G66" t="inlineStr">
        <is>
          <t>BG006, BG009, BS001</t>
        </is>
      </c>
      <c r="H66" t="inlineStr">
        <is>
          <t>2 Maret 2006</t>
        </is>
      </c>
      <c r="I66" s="2" t="n">
        <v>46282</v>
      </c>
      <c r="J66" t="inlineStr">
        <is>
          <t>Disetujui</t>
        </is>
      </c>
      <c r="K66" t="n">
        <v>90</v>
      </c>
      <c r="L66" t="inlineStr">
        <is>
          <t>17 September 2026</t>
        </is>
      </c>
      <c r="M66" t="inlineStr">
        <is>
          <t>Konstruksi Bangunan Sipil Jalan, Konstruksi Gedung Lainnya, Konstruksi Gedung Pendidikan</t>
        </is>
      </c>
      <c r="N66" t="inlineStr">
        <is>
          <t>K</t>
        </is>
      </c>
      <c r="O66" t="inlineStr">
        <is>
          <t>20230918</t>
        </is>
      </c>
      <c r="P66" t="inlineStr">
        <is>
          <t>Maluku</t>
        </is>
      </c>
      <c r="Q66" t="inlineStr"/>
    </row>
    <row r="67">
      <c r="A67" t="inlineStr">
        <is>
          <t>ELANG JAYA</t>
        </is>
      </c>
      <c r="B67" t="inlineStr">
        <is>
          <t>Kab. Bangkalan</t>
        </is>
      </c>
      <c r="C67" t="inlineStr">
        <is>
          <t>082337120829</t>
        </is>
      </c>
      <c r="D67" t="inlineStr">
        <is>
          <t>cv.elangjaya2104@gmail.com</t>
        </is>
      </c>
      <c r="E67" t="inlineStr">
        <is>
          <t>https://lpjk.pu.go.id/search-badan-usaha-detail/TVE4Q245aHFRa0gzdjVraTc1dUZkdz09</t>
        </is>
      </c>
      <c r="F67" t="n">
        <v>2</v>
      </c>
      <c r="G67" t="inlineStr">
        <is>
          <t>BS004</t>
        </is>
      </c>
      <c r="H67" t="inlineStr">
        <is>
          <t>28 Februari 2014</t>
        </is>
      </c>
      <c r="I67" s="2" t="n">
        <v>46282</v>
      </c>
      <c r="J67" t="inlineStr">
        <is>
          <t>Pencabutan</t>
        </is>
      </c>
      <c r="K67" t="n">
        <v>90</v>
      </c>
      <c r="L67" t="inlineStr">
        <is>
          <t>17 September 2026</t>
        </is>
      </c>
      <c r="M67" t="inlineStr">
        <is>
          <t>Konstruksi Jaringan Irigasi dan Drainase</t>
        </is>
      </c>
      <c r="N67" t="inlineStr">
        <is>
          <t>K</t>
        </is>
      </c>
      <c r="O67" t="inlineStr">
        <is>
          <t>20230707</t>
        </is>
      </c>
      <c r="P67" t="inlineStr">
        <is>
          <t>Jawa Timur</t>
        </is>
      </c>
      <c r="Q67" t="inlineStr"/>
    </row>
    <row r="68">
      <c r="A68" t="inlineStr">
        <is>
          <t>ELKA ABADI</t>
        </is>
      </c>
      <c r="B68" t="inlineStr">
        <is>
          <t>Kab. Madiun</t>
        </is>
      </c>
      <c r="C68" t="inlineStr">
        <is>
          <t>081336883522</t>
        </is>
      </c>
      <c r="D68" t="inlineStr">
        <is>
          <t>elkaabadi22@gmail.com</t>
        </is>
      </c>
      <c r="E68" t="inlineStr">
        <is>
          <t>https://lpjk.pu.go.id/search-badan-usaha-detail/VXU4UTk5ZXJQTmpkUlZXdTBKN2NBZz09</t>
        </is>
      </c>
      <c r="F68" t="n">
        <v>2</v>
      </c>
      <c r="G68" t="inlineStr">
        <is>
          <t>BG009, BS004</t>
        </is>
      </c>
      <c r="H68" t="inlineStr">
        <is>
          <t>5 September 2023</t>
        </is>
      </c>
      <c r="I68" s="2" t="n">
        <v>46282</v>
      </c>
      <c r="J68" t="inlineStr">
        <is>
          <t>Disetujui</t>
        </is>
      </c>
      <c r="K68" t="n">
        <v>90</v>
      </c>
      <c r="L68" t="inlineStr">
        <is>
          <t>17 September 2026</t>
        </is>
      </c>
      <c r="M68" t="inlineStr">
        <is>
          <t>Konstruksi Gedung Lainnya, Konstruksi Jaringan Irigasi dan Drainase</t>
        </is>
      </c>
      <c r="N68" t="inlineStr">
        <is>
          <t>K</t>
        </is>
      </c>
      <c r="O68" t="inlineStr">
        <is>
          <t>20230914</t>
        </is>
      </c>
      <c r="P68" t="inlineStr">
        <is>
          <t>Jawa Timur</t>
        </is>
      </c>
      <c r="Q68" t="inlineStr"/>
    </row>
    <row r="69">
      <c r="A69" t="inlineStr">
        <is>
          <t>EMPAT BERSAUDARA</t>
        </is>
      </c>
      <c r="B69" t="inlineStr">
        <is>
          <t>Kota Padang Sidempuan</t>
        </is>
      </c>
      <c r="C69" t="inlineStr">
        <is>
          <t>08126430646</t>
        </is>
      </c>
      <c r="D69" t="inlineStr">
        <is>
          <t>cvempatbersaudarapsp01@gmail.com</t>
        </is>
      </c>
      <c r="E69" t="inlineStr">
        <is>
          <t>https://lpjk.pu.go.id/search-badan-usaha-detail/akMxemdRS2VWbGN4aTdGQ2NndWk1UT09</t>
        </is>
      </c>
      <c r="F69" t="n">
        <v>1</v>
      </c>
      <c r="G69" t="inlineStr">
        <is>
          <t>BS001</t>
        </is>
      </c>
      <c r="H69" t="inlineStr">
        <is>
          <t>5 Januari 2015</t>
        </is>
      </c>
      <c r="I69" s="2" t="n">
        <v>46282</v>
      </c>
      <c r="J69" t="inlineStr">
        <is>
          <t>Disetujui</t>
        </is>
      </c>
      <c r="K69" t="n">
        <v>90</v>
      </c>
      <c r="L69" t="inlineStr">
        <is>
          <t>17 September 2026</t>
        </is>
      </c>
      <c r="M69" t="inlineStr">
        <is>
          <t>Konstruksi Bangunan Sipil Jalan</t>
        </is>
      </c>
      <c r="N69" t="inlineStr">
        <is>
          <t>K</t>
        </is>
      </c>
      <c r="O69" t="inlineStr">
        <is>
          <t>20230918</t>
        </is>
      </c>
      <c r="P69" t="inlineStr">
        <is>
          <t>Sumatera Utara</t>
        </is>
      </c>
      <c r="Q69" t="inlineStr"/>
    </row>
    <row r="70">
      <c r="A70" t="inlineStr">
        <is>
          <t>ENAM SATU ENAM PROJECT</t>
        </is>
      </c>
      <c r="B70" t="inlineStr">
        <is>
          <t>Kab. Tanah Bumbu</t>
        </is>
      </c>
      <c r="C70" t="inlineStr">
        <is>
          <t>082251863867</t>
        </is>
      </c>
      <c r="D70" t="inlineStr">
        <is>
          <t>cv.616project@gmail.com</t>
        </is>
      </c>
      <c r="E70" t="inlineStr">
        <is>
          <t>https://lpjk.pu.go.id/search-badan-usaha-detail/QlNMbjhTVnpLRXhDT1pTbi82NENHdz09</t>
        </is>
      </c>
      <c r="F70" t="n">
        <v>1</v>
      </c>
      <c r="G70" t="inlineStr">
        <is>
          <t>BS001</t>
        </is>
      </c>
      <c r="H70" t="inlineStr">
        <is>
          <t>5 November 2021</t>
        </is>
      </c>
      <c r="I70" s="2" t="n">
        <v>46282</v>
      </c>
      <c r="J70" t="inlineStr">
        <is>
          <t>Disetujui</t>
        </is>
      </c>
      <c r="K70" t="n">
        <v>90</v>
      </c>
      <c r="L70" t="inlineStr">
        <is>
          <t>17 September 2026</t>
        </is>
      </c>
      <c r="M70" t="inlineStr">
        <is>
          <t>Konstruksi Bangunan Sipil Jalan</t>
        </is>
      </c>
      <c r="N70" t="inlineStr">
        <is>
          <t>K</t>
        </is>
      </c>
      <c r="O70" t="inlineStr">
        <is>
          <t>20230912</t>
        </is>
      </c>
      <c r="P70" t="inlineStr">
        <is>
          <t>Kalimantan Selatan</t>
        </is>
      </c>
      <c r="Q70" t="inlineStr"/>
    </row>
    <row r="71">
      <c r="A71" t="inlineStr">
        <is>
          <t>ETIKA SARANA ABADI</t>
        </is>
      </c>
      <c r="B71" t="inlineStr">
        <is>
          <t>Kab. Indramayu</t>
        </is>
      </c>
      <c r="C71" t="inlineStr">
        <is>
          <t>087875121651</t>
        </is>
      </c>
      <c r="D71" t="inlineStr">
        <is>
          <t>etikasaranaabadipt@gmail.com</t>
        </is>
      </c>
      <c r="E71" t="inlineStr">
        <is>
          <t>https://lpjk.pu.go.id/search-badan-usaha-detail/ZHlZTUFwaXRwbmNua2hsaUt5eUtvZz09</t>
        </is>
      </c>
      <c r="F71" t="n">
        <v>1</v>
      </c>
      <c r="G71" t="inlineStr">
        <is>
          <t>BG001</t>
        </is>
      </c>
      <c r="H71" t="inlineStr">
        <is>
          <t>8 Maret 2021</t>
        </is>
      </c>
      <c r="I71" s="2" t="n">
        <v>46282</v>
      </c>
      <c r="J71" t="inlineStr">
        <is>
          <t>Pencabutan</t>
        </is>
      </c>
      <c r="K71" t="n">
        <v>90</v>
      </c>
      <c r="L71" t="inlineStr">
        <is>
          <t>17 September 2026</t>
        </is>
      </c>
      <c r="M71" t="inlineStr">
        <is>
          <t>Konstruksi Gedung Hunian</t>
        </is>
      </c>
      <c r="N71" t="inlineStr">
        <is>
          <t>K</t>
        </is>
      </c>
      <c r="O71" t="inlineStr">
        <is>
          <t>20230913</t>
        </is>
      </c>
      <c r="P71" t="inlineStr">
        <is>
          <t>Jawa Barat</t>
        </is>
      </c>
      <c r="Q71" t="inlineStr"/>
    </row>
    <row r="72">
      <c r="A72" t="inlineStr">
        <is>
          <t>FAJAR PRATAMA TEKNIK</t>
        </is>
      </c>
      <c r="B72" t="inlineStr">
        <is>
          <t>Kota Bontang</t>
        </is>
      </c>
      <c r="C72" t="inlineStr">
        <is>
          <t>081350998989</t>
        </is>
      </c>
      <c r="D72" t="inlineStr">
        <is>
          <t>famatek007@gmail.com</t>
        </is>
      </c>
      <c r="E72" t="inlineStr">
        <is>
          <t>https://lpjk.pu.go.id/search-badan-usaha-detail/ZSt1MGZVa3ZmUzNFQUF1ZnlOWXJoQT09</t>
        </is>
      </c>
      <c r="F72" t="n">
        <v>4</v>
      </c>
      <c r="G72" t="inlineStr">
        <is>
          <t>BG002, BG005, BG006, BG009</t>
        </is>
      </c>
      <c r="H72" t="inlineStr">
        <is>
          <t>7 Juli 2007</t>
        </is>
      </c>
      <c r="I72" s="2" t="n">
        <v>46282</v>
      </c>
      <c r="J72" t="inlineStr">
        <is>
          <t>Disetujui</t>
        </is>
      </c>
      <c r="K72" t="n">
        <v>90</v>
      </c>
      <c r="L72" t="inlineStr">
        <is>
          <t>17 September 2026</t>
        </is>
      </c>
      <c r="M72" t="inlineStr">
        <is>
          <t>Konstruksi Gedung Kesehatan, Konstruksi Gedung Lainnya, Konstruksi Gedung Pendidikan, Konstruksi Gedung Perkantoran</t>
        </is>
      </c>
      <c r="N72" t="inlineStr">
        <is>
          <t>K</t>
        </is>
      </c>
      <c r="O72" t="inlineStr">
        <is>
          <t>20230911, 20230912</t>
        </is>
      </c>
      <c r="P72" t="inlineStr">
        <is>
          <t>Kalimantan Timur</t>
        </is>
      </c>
      <c r="Q72" t="inlineStr"/>
    </row>
    <row r="73">
      <c r="A73" t="inlineStr">
        <is>
          <t>FARIZ JASA CONTRACTORS</t>
        </is>
      </c>
      <c r="B73" t="inlineStr">
        <is>
          <t>Kab. Tanjung Jabung Barat</t>
        </is>
      </c>
      <c r="C73" t="inlineStr">
        <is>
          <t>081278227313</t>
        </is>
      </c>
      <c r="D73" t="inlineStr">
        <is>
          <t>farizjasa2009@gmail.com</t>
        </is>
      </c>
      <c r="E73" t="inlineStr">
        <is>
          <t>https://lpjk.pu.go.id/search-badan-usaha-detail/alhaeHFMSStnN2dVN0UrQnJLRTREdz09</t>
        </is>
      </c>
      <c r="F73" t="n">
        <v>1</v>
      </c>
      <c r="G73" t="inlineStr">
        <is>
          <t>BG002</t>
        </is>
      </c>
      <c r="H73" t="inlineStr">
        <is>
          <t>19 Agustus 2009</t>
        </is>
      </c>
      <c r="I73" s="2" t="n">
        <v>46282</v>
      </c>
      <c r="J73" t="inlineStr">
        <is>
          <t>Disetujui</t>
        </is>
      </c>
      <c r="K73" t="n">
        <v>90</v>
      </c>
      <c r="L73" t="inlineStr">
        <is>
          <t>17 September 2026</t>
        </is>
      </c>
      <c r="M73" t="inlineStr">
        <is>
          <t>Konstruksi Gedung Perkantoran</t>
        </is>
      </c>
      <c r="N73" t="inlineStr">
        <is>
          <t>K</t>
        </is>
      </c>
      <c r="O73" t="inlineStr">
        <is>
          <t>20230912</t>
        </is>
      </c>
      <c r="P73" t="inlineStr">
        <is>
          <t>Jambi</t>
        </is>
      </c>
      <c r="Q73" t="inlineStr"/>
    </row>
    <row r="74">
      <c r="A74" t="inlineStr">
        <is>
          <t>GALAXY EKSEKUTIF KONTRAKTOR</t>
        </is>
      </c>
      <c r="B74" t="inlineStr">
        <is>
          <t>Kab. Tanah Bumbu</t>
        </is>
      </c>
      <c r="C74" t="inlineStr">
        <is>
          <t>082346127576</t>
        </is>
      </c>
      <c r="D74" t="inlineStr">
        <is>
          <t>galaxyeksekutifkontraktor@gmail.com</t>
        </is>
      </c>
      <c r="E74" t="inlineStr">
        <is>
          <t>https://lpjk.pu.go.id/search-badan-usaha-detail/ZkZKM1l5MmZEVGNqOWlDU1dPblMyQT09</t>
        </is>
      </c>
      <c r="F74" t="n">
        <v>4</v>
      </c>
      <c r="G74" t="inlineStr">
        <is>
          <t>BG002, BG005, BG006, BG009</t>
        </is>
      </c>
      <c r="H74" t="inlineStr">
        <is>
          <t>27 Desember 2022</t>
        </is>
      </c>
      <c r="I74" s="2" t="n">
        <v>46282</v>
      </c>
      <c r="J74" t="inlineStr">
        <is>
          <t>Disetujui</t>
        </is>
      </c>
      <c r="K74" t="n">
        <v>90</v>
      </c>
      <c r="L74" t="inlineStr">
        <is>
          <t>17 September 2026</t>
        </is>
      </c>
      <c r="M74" t="inlineStr">
        <is>
          <t>Konstruksi Gedung Kesehatan, Konstruksi Gedung Lainnya, Konstruksi Gedung Pendidikan, Konstruksi Gedung Perkantoran</t>
        </is>
      </c>
      <c r="N74" t="inlineStr">
        <is>
          <t>K</t>
        </is>
      </c>
      <c r="O74" t="inlineStr">
        <is>
          <t>20230915</t>
        </is>
      </c>
      <c r="P74" t="inlineStr">
        <is>
          <t>Kalimantan Selatan</t>
        </is>
      </c>
      <c r="Q74" t="inlineStr"/>
    </row>
    <row r="75">
      <c r="A75" t="inlineStr">
        <is>
          <t>GALIH KENCANA</t>
        </is>
      </c>
      <c r="B75" t="inlineStr">
        <is>
          <t>Kab. Bandung</t>
        </is>
      </c>
      <c r="C75" t="inlineStr">
        <is>
          <t>0226010155</t>
        </is>
      </c>
      <c r="D75" t="inlineStr">
        <is>
          <t>rianakencana89@yahoo.com</t>
        </is>
      </c>
      <c r="E75" t="inlineStr">
        <is>
          <t>https://lpjk.pu.go.id/search-badan-usaha-detail/S0l6MlNKOEpqYmQ1cnpkK1ZVSFNLZz09</t>
        </is>
      </c>
      <c r="F75" t="n">
        <v>2</v>
      </c>
      <c r="G75" t="inlineStr">
        <is>
          <t>BG004</t>
        </is>
      </c>
      <c r="H75" t="inlineStr">
        <is>
          <t>11 Februari 1986</t>
        </is>
      </c>
      <c r="I75" s="2" t="n">
        <v>46282</v>
      </c>
      <c r="J75" t="inlineStr">
        <is>
          <t>Pencabutan</t>
        </is>
      </c>
      <c r="K75" t="n">
        <v>90</v>
      </c>
      <c r="L75" t="inlineStr">
        <is>
          <t>17 September 2026</t>
        </is>
      </c>
      <c r="M75" t="inlineStr">
        <is>
          <t>Konstruksi Gedung Perbelanjaan</t>
        </is>
      </c>
      <c r="N75" t="inlineStr">
        <is>
          <t>K</t>
        </is>
      </c>
      <c r="O75" t="inlineStr">
        <is>
          <t>20230914</t>
        </is>
      </c>
      <c r="P75" t="inlineStr">
        <is>
          <t>Jawa Barat</t>
        </is>
      </c>
      <c r="Q75" t="inlineStr"/>
    </row>
    <row r="76">
      <c r="A76" t="inlineStr">
        <is>
          <t>GEMILANG</t>
        </is>
      </c>
      <c r="B76" t="inlineStr">
        <is>
          <t>Kab. Tulungagung</t>
        </is>
      </c>
      <c r="C76" t="inlineStr">
        <is>
          <t>082131673059</t>
        </is>
      </c>
      <c r="D76" t="inlineStr">
        <is>
          <t>gemilang_tulungagung@yahoo.com</t>
        </is>
      </c>
      <c r="E76" t="inlineStr">
        <is>
          <t>https://lpjk.pu.go.id/search-badan-usaha-detail/ZWJ6NVNMc2NjR09aT0RiUWorR2xxdz09</t>
        </is>
      </c>
      <c r="F76" t="n">
        <v>4</v>
      </c>
      <c r="G76" t="inlineStr">
        <is>
          <t>BG009</t>
        </is>
      </c>
      <c r="H76" t="inlineStr">
        <is>
          <t>8 Desember 1999</t>
        </is>
      </c>
      <c r="I76" s="2" t="n">
        <v>46282</v>
      </c>
      <c r="J76" t="inlineStr">
        <is>
          <t>Disetujui</t>
        </is>
      </c>
      <c r="K76" t="n">
        <v>90</v>
      </c>
      <c r="L76" t="inlineStr">
        <is>
          <t>17 September 2026</t>
        </is>
      </c>
      <c r="M76" t="inlineStr">
        <is>
          <t>Konstruksi Gedung Lainnya</t>
        </is>
      </c>
      <c r="N76" t="inlineStr">
        <is>
          <t>K</t>
        </is>
      </c>
      <c r="O76" t="inlineStr">
        <is>
          <t>20230908</t>
        </is>
      </c>
      <c r="P76" t="inlineStr">
        <is>
          <t>Jawa Timur</t>
        </is>
      </c>
      <c r="Q76" t="inlineStr"/>
    </row>
    <row r="77">
      <c r="A77" t="inlineStr">
        <is>
          <t>GEO UTAMA CONSULTANT</t>
        </is>
      </c>
      <c r="B77" t="inlineStr">
        <is>
          <t>Kota Padang</t>
        </is>
      </c>
      <c r="C77" t="inlineStr">
        <is>
          <t>085274049899</t>
        </is>
      </c>
      <c r="D77" t="inlineStr">
        <is>
          <t>geoutamaconsultant@gmail.com</t>
        </is>
      </c>
      <c r="E77" t="inlineStr">
        <is>
          <t>https://lpjk.pu.go.id/search-badan-usaha-detail/YnVXVDVMcGlsWmNISkdia1plUHIwQT09</t>
        </is>
      </c>
      <c r="F77" t="n">
        <v>1</v>
      </c>
      <c r="G77" t="inlineStr">
        <is>
          <t>RK003</t>
        </is>
      </c>
      <c r="H77" t="inlineStr">
        <is>
          <t>5 Juni 2023</t>
        </is>
      </c>
      <c r="I77" s="2" t="n">
        <v>46282</v>
      </c>
      <c r="J77" t="inlineStr">
        <is>
          <t>Disetujui</t>
        </is>
      </c>
      <c r="K77" t="n">
        <v>90</v>
      </c>
      <c r="L77" t="inlineStr">
        <is>
          <t>17 September 2026</t>
        </is>
      </c>
      <c r="M77" t="inlineStr">
        <is>
          <t>Jasa Rekayasa Pekerjaan Teknik Sipil Transportasi</t>
        </is>
      </c>
      <c r="N77" t="inlineStr">
        <is>
          <t>K</t>
        </is>
      </c>
      <c r="O77" t="inlineStr">
        <is>
          <t>20230803</t>
        </is>
      </c>
      <c r="P77" t="inlineStr">
        <is>
          <t>Sumatera Barat</t>
        </is>
      </c>
      <c r="Q77" t="inlineStr"/>
    </row>
    <row r="78">
      <c r="A78" t="inlineStr">
        <is>
          <t>GEOTAMA INTI BOR</t>
        </is>
      </c>
      <c r="B78" t="inlineStr">
        <is>
          <t>Kota Pontianak</t>
        </is>
      </c>
      <c r="C78" t="inlineStr">
        <is>
          <t>081250190772</t>
        </is>
      </c>
      <c r="D78" t="inlineStr">
        <is>
          <t>inibayuadi@yahoo.com</t>
        </is>
      </c>
      <c r="E78" t="inlineStr">
        <is>
          <t>https://lpjk.pu.go.id/search-badan-usaha-detail/djFtTHdCTjlmY2k2NDRPZW9OSE44UT09</t>
        </is>
      </c>
      <c r="F78" t="n">
        <v>1</v>
      </c>
      <c r="G78" t="inlineStr">
        <is>
          <t>PL005</t>
        </is>
      </c>
      <c r="H78" t="inlineStr">
        <is>
          <t>24 Mei 2019</t>
        </is>
      </c>
      <c r="I78" s="2" t="n">
        <v>46282</v>
      </c>
      <c r="J78" t="inlineStr">
        <is>
          <t>Disetujui</t>
        </is>
      </c>
      <c r="K78" t="n">
        <v>90</v>
      </c>
      <c r="L78" t="inlineStr">
        <is>
          <t>17 September 2026</t>
        </is>
      </c>
      <c r="M78" t="inlineStr">
        <is>
          <t>Pembuatan/Pengeboran Sumur Air Tanah</t>
        </is>
      </c>
      <c r="N78" t="inlineStr">
        <is>
          <t>Spesialis</t>
        </is>
      </c>
      <c r="O78" t="inlineStr">
        <is>
          <t>20230912</t>
        </is>
      </c>
      <c r="P78" t="inlineStr">
        <is>
          <t>Kalimantan Barat</t>
        </is>
      </c>
      <c r="Q78" t="inlineStr"/>
    </row>
    <row r="79">
      <c r="A79" t="inlineStr">
        <is>
          <t>GIRI KENCANA</t>
        </is>
      </c>
      <c r="B79" t="inlineStr">
        <is>
          <t>Kab. Gunungkidul</t>
        </is>
      </c>
      <c r="C79" t="inlineStr">
        <is>
          <t>085290509231</t>
        </is>
      </c>
      <c r="D79" t="inlineStr">
        <is>
          <t>girikencanacv29@gmail.com</t>
        </is>
      </c>
      <c r="E79" t="inlineStr">
        <is>
          <t>https://lpjk.pu.go.id/search-badan-usaha-detail/UUFFRUpBMXMxMWdHQkdkeTdvdDVPQT09</t>
        </is>
      </c>
      <c r="F79" t="n">
        <v>1</v>
      </c>
      <c r="G79" t="inlineStr">
        <is>
          <t>BG002</t>
        </is>
      </c>
      <c r="H79" t="inlineStr">
        <is>
          <t>19 Maret 1984</t>
        </is>
      </c>
      <c r="I79" s="2" t="n">
        <v>46282</v>
      </c>
      <c r="J79" t="inlineStr">
        <is>
          <t>Disetujui</t>
        </is>
      </c>
      <c r="K79" t="n">
        <v>90</v>
      </c>
      <c r="L79" t="inlineStr">
        <is>
          <t>17 September 2026</t>
        </is>
      </c>
      <c r="M79" t="inlineStr">
        <is>
          <t>Konstruksi Gedung Perkantoran</t>
        </is>
      </c>
      <c r="N79" t="inlineStr">
        <is>
          <t>K</t>
        </is>
      </c>
      <c r="O79" t="inlineStr">
        <is>
          <t>20230911</t>
        </is>
      </c>
      <c r="P79" t="inlineStr">
        <is>
          <t>DI Yogyakarta</t>
        </is>
      </c>
      <c r="Q79" t="inlineStr"/>
    </row>
    <row r="80">
      <c r="A80" t="inlineStr">
        <is>
          <t>GLOBAL TRUST MEDIA</t>
        </is>
      </c>
      <c r="B80" t="inlineStr">
        <is>
          <t>Kota Cilegon</t>
        </is>
      </c>
      <c r="C80" t="inlineStr">
        <is>
          <t>085946772071</t>
        </is>
      </c>
      <c r="D80" t="inlineStr">
        <is>
          <t>globaltrustmedia191118@gmail.com</t>
        </is>
      </c>
      <c r="E80" t="inlineStr">
        <is>
          <t>https://lpjk.pu.go.id/search-badan-usaha-detail/UWQ2S0pZbGxPTEhadmhCS0ZIQ2I2QT09</t>
        </is>
      </c>
      <c r="F80" t="n">
        <v>2</v>
      </c>
      <c r="G80" t="inlineStr">
        <is>
          <t>BS001</t>
        </is>
      </c>
      <c r="H80" t="inlineStr">
        <is>
          <t>19 November 2018</t>
        </is>
      </c>
      <c r="I80" s="2" t="n">
        <v>46282</v>
      </c>
      <c r="J80" t="inlineStr">
        <is>
          <t>Disetujui</t>
        </is>
      </c>
      <c r="K80" t="n">
        <v>90</v>
      </c>
      <c r="L80" t="inlineStr">
        <is>
          <t>17 September 2026</t>
        </is>
      </c>
      <c r="M80" t="inlineStr">
        <is>
          <t>Konstruksi Bangunan Sipil Jalan</t>
        </is>
      </c>
      <c r="N80" t="inlineStr">
        <is>
          <t>K</t>
        </is>
      </c>
      <c r="O80" t="inlineStr">
        <is>
          <t>20230908</t>
        </is>
      </c>
      <c r="P80" t="inlineStr">
        <is>
          <t>Banten</t>
        </is>
      </c>
      <c r="Q80" t="inlineStr"/>
    </row>
    <row r="81">
      <c r="A81" t="inlineStr">
        <is>
          <t>HADIGUNA PERKASA</t>
        </is>
      </c>
      <c r="B81" t="inlineStr">
        <is>
          <t>Kab. Tapanuli Selatan</t>
        </is>
      </c>
      <c r="C81" t="inlineStr">
        <is>
          <t>082364128882</t>
        </is>
      </c>
      <c r="D81" t="inlineStr">
        <is>
          <t>info@hadiguna.com</t>
        </is>
      </c>
      <c r="E81" t="inlineStr">
        <is>
          <t>https://lpjk.pu.go.id/search-badan-usaha-detail/cFhIUndqM1dDME9VbUVmMEJQR1Z1dz09</t>
        </is>
      </c>
      <c r="F81" t="n">
        <v>1</v>
      </c>
      <c r="G81" t="inlineStr">
        <is>
          <t>BG006</t>
        </is>
      </c>
      <c r="H81" t="inlineStr">
        <is>
          <t>11 Desember 2009</t>
        </is>
      </c>
      <c r="I81" s="2" t="n">
        <v>46282</v>
      </c>
      <c r="J81" t="inlineStr">
        <is>
          <t>Pencabutan</t>
        </is>
      </c>
      <c r="K81" t="n">
        <v>90</v>
      </c>
      <c r="L81" t="inlineStr">
        <is>
          <t>17 September 2026</t>
        </is>
      </c>
      <c r="M81" t="inlineStr">
        <is>
          <t>Konstruksi Gedung Pendidikan</t>
        </is>
      </c>
      <c r="N81" t="inlineStr">
        <is>
          <t>K</t>
        </is>
      </c>
      <c r="O81" t="inlineStr">
        <is>
          <t>20230908</t>
        </is>
      </c>
      <c r="P81" t="inlineStr">
        <is>
          <t>Sumatera Utara</t>
        </is>
      </c>
      <c r="Q81" t="inlineStr"/>
    </row>
    <row r="82">
      <c r="A82" t="inlineStr">
        <is>
          <t>HANDAYANI</t>
        </is>
      </c>
      <c r="B82" t="inlineStr">
        <is>
          <t>Kota Banjarbaru</t>
        </is>
      </c>
      <c r="C82" t="inlineStr">
        <is>
          <t>085248814369</t>
        </is>
      </c>
      <c r="D82" t="inlineStr">
        <is>
          <t>cv.handayanibjb@yahoo.com</t>
        </is>
      </c>
      <c r="E82" t="inlineStr">
        <is>
          <t>https://lpjk.pu.go.id/search-badan-usaha-detail/aEp5K3htWEs5OEdlQXkySWVlT0dCQT09</t>
        </is>
      </c>
      <c r="F82" t="n">
        <v>2</v>
      </c>
      <c r="G82" t="inlineStr">
        <is>
          <t>BS004</t>
        </is>
      </c>
      <c r="H82" t="inlineStr">
        <is>
          <t>11 Desember 1981</t>
        </is>
      </c>
      <c r="I82" s="2" t="n">
        <v>46282</v>
      </c>
      <c r="J82" t="inlineStr">
        <is>
          <t>Disetujui</t>
        </is>
      </c>
      <c r="K82" t="n">
        <v>90</v>
      </c>
      <c r="L82" t="inlineStr">
        <is>
          <t>17 September 2026</t>
        </is>
      </c>
      <c r="M82" t="inlineStr">
        <is>
          <t>Konstruksi Jaringan Irigasi dan Drainase</t>
        </is>
      </c>
      <c r="N82" t="inlineStr">
        <is>
          <t>K</t>
        </is>
      </c>
      <c r="O82" t="inlineStr">
        <is>
          <t>20230914</t>
        </is>
      </c>
      <c r="P82" t="inlineStr">
        <is>
          <t>Kalimantan Selatan</t>
        </is>
      </c>
      <c r="Q82" t="inlineStr"/>
    </row>
    <row r="83">
      <c r="A83" t="inlineStr">
        <is>
          <t>HASNA</t>
        </is>
      </c>
      <c r="B83" t="inlineStr">
        <is>
          <t>Kab. Banyuasin</t>
        </is>
      </c>
      <c r="C83" t="inlineStr">
        <is>
          <t>082260907868</t>
        </is>
      </c>
      <c r="D83" t="inlineStr">
        <is>
          <t>hasna.cv2@gmail.com</t>
        </is>
      </c>
      <c r="E83" t="inlineStr">
        <is>
          <t>https://lpjk.pu.go.id/search-badan-usaha-detail/aXN5VnhnWGdCVmErQVpVMjdZZTY1dz09</t>
        </is>
      </c>
      <c r="F83" t="n">
        <v>4</v>
      </c>
      <c r="G83" t="inlineStr">
        <is>
          <t>BG002, BG005, BG006, BG009</t>
        </is>
      </c>
      <c r="H83" t="inlineStr">
        <is>
          <t>1 Juni 1982</t>
        </is>
      </c>
      <c r="I83" s="2" t="n">
        <v>46282</v>
      </c>
      <c r="J83" t="inlineStr">
        <is>
          <t>Disetujui</t>
        </is>
      </c>
      <c r="K83" t="n">
        <v>90</v>
      </c>
      <c r="L83" t="inlineStr">
        <is>
          <t>17 September 2026</t>
        </is>
      </c>
      <c r="M83" t="inlineStr">
        <is>
          <t>Konstruksi Gedung Kesehatan, Konstruksi Gedung Lainnya, Konstruksi Gedung Pendidikan, Konstruksi Gedung Perkantoran</t>
        </is>
      </c>
      <c r="N83" t="inlineStr">
        <is>
          <t>K</t>
        </is>
      </c>
      <c r="O83" t="inlineStr">
        <is>
          <t>20230911</t>
        </is>
      </c>
      <c r="P83" t="inlineStr">
        <is>
          <t>Sumatera Selatan</t>
        </is>
      </c>
      <c r="Q83" t="inlineStr"/>
    </row>
    <row r="84">
      <c r="A84" t="inlineStr">
        <is>
          <t>HIKMAH MULIA KONSULTAN</t>
        </is>
      </c>
      <c r="B84" t="inlineStr">
        <is>
          <t>Kota Banjarbaru</t>
        </is>
      </c>
      <c r="C84" t="inlineStr">
        <is>
          <t>085248862584</t>
        </is>
      </c>
      <c r="D84" t="inlineStr">
        <is>
          <t>hikmahmuliakonsultan@gmail.com</t>
        </is>
      </c>
      <c r="E84" t="inlineStr">
        <is>
          <t>https://lpjk.pu.go.id/search-badan-usaha-detail/aDN6SFBYc0lEVmZyT3J5YmhSdzBMZz09</t>
        </is>
      </c>
      <c r="F84" t="n">
        <v>3</v>
      </c>
      <c r="G84" t="inlineStr">
        <is>
          <t>RK001, RK002, RK003</t>
        </is>
      </c>
      <c r="H84" t="inlineStr">
        <is>
          <t>13 Januari 2016</t>
        </is>
      </c>
      <c r="I84" s="2" t="n">
        <v>46282</v>
      </c>
      <c r="J84" t="inlineStr">
        <is>
          <t>Disetujui</t>
        </is>
      </c>
      <c r="K84" t="n">
        <v>90</v>
      </c>
      <c r="L84" t="inlineStr">
        <is>
          <t>17 September 2026</t>
        </is>
      </c>
      <c r="M84" t="inlineStr">
        <is>
          <t>Jasa Rekayasa Konstruksi Bangunan Gedung Hunian dan Non Hunian, Jasa Rekayasa Pekerjaan Teknik Sipil Sumber Daya Air, Jasa Rekayasa Pekerjaan Teknik Sipil Transportasi</t>
        </is>
      </c>
      <c r="N84" t="inlineStr">
        <is>
          <t>K</t>
        </is>
      </c>
      <c r="O84" t="inlineStr">
        <is>
          <t>20221217, 20230904, 20230907</t>
        </is>
      </c>
      <c r="P84" t="inlineStr">
        <is>
          <t>Kalimantan Selatan</t>
        </is>
      </c>
      <c r="Q84" t="inlineStr"/>
    </row>
    <row r="85">
      <c r="A85" t="inlineStr">
        <is>
          <t>HILMAN PRIMA PERKASA</t>
        </is>
      </c>
      <c r="B85" t="inlineStr">
        <is>
          <t>Kota Adm. Jakarta Selatan</t>
        </is>
      </c>
      <c r="C85" t="inlineStr">
        <is>
          <t>0217356432</t>
        </is>
      </c>
      <c r="D85" t="inlineStr">
        <is>
          <t>hilmanprimaperkasa@gmail.com</t>
        </is>
      </c>
      <c r="E85" t="inlineStr">
        <is>
          <t>https://lpjk.pu.go.id/search-badan-usaha-detail/ams5SHB5VFArd1h0Sk53UG9ZVFBGdz09</t>
        </is>
      </c>
      <c r="F85" t="n">
        <v>2</v>
      </c>
      <c r="G85" t="inlineStr">
        <is>
          <t>BG009, BS003</t>
        </is>
      </c>
      <c r="H85" t="inlineStr">
        <is>
          <t>19 Mei 2010</t>
        </is>
      </c>
      <c r="I85" s="2" t="n">
        <v>46282</v>
      </c>
      <c r="J85" t="inlineStr">
        <is>
          <t>Disetujui</t>
        </is>
      </c>
      <c r="K85" t="n">
        <v>90</v>
      </c>
      <c r="L85" t="inlineStr">
        <is>
          <t>17 September 2026</t>
        </is>
      </c>
      <c r="M85" t="inlineStr">
        <is>
          <t>Konstruksi Gedung Lainnya, Konstruksi Jalan Rel</t>
        </is>
      </c>
      <c r="N85" t="inlineStr">
        <is>
          <t>K</t>
        </is>
      </c>
      <c r="O85" t="inlineStr">
        <is>
          <t>20230814, 20230912</t>
        </is>
      </c>
      <c r="P85" t="inlineStr">
        <is>
          <t>DKI Jakarta</t>
        </is>
      </c>
      <c r="Q85" t="inlineStr"/>
    </row>
    <row r="86">
      <c r="A86" t="inlineStr">
        <is>
          <t>INDO KARYA SOLUSI</t>
        </is>
      </c>
      <c r="B86" t="inlineStr">
        <is>
          <t>Kota Adm. Jakarta Selatan</t>
        </is>
      </c>
      <c r="C86" t="inlineStr">
        <is>
          <t>082114098179</t>
        </is>
      </c>
      <c r="D86" t="inlineStr">
        <is>
          <t>pt.indokaryasolusi@gmail.com</t>
        </is>
      </c>
      <c r="E86" t="inlineStr">
        <is>
          <t>https://lpjk.pu.go.id/search-badan-usaha-detail/dzhQVDNidDJ0UjZpUjd6TTlqS1g4QT09</t>
        </is>
      </c>
      <c r="F86" t="n">
        <v>1</v>
      </c>
      <c r="G86" t="inlineStr">
        <is>
          <t>BS009</t>
        </is>
      </c>
      <c r="H86" t="inlineStr">
        <is>
          <t>25 Agustus 2023</t>
        </is>
      </c>
      <c r="I86" s="2" t="n">
        <v>46282</v>
      </c>
      <c r="J86" t="inlineStr">
        <is>
          <t>Disetujui</t>
        </is>
      </c>
      <c r="K86" t="n">
        <v>90</v>
      </c>
      <c r="L86" t="inlineStr">
        <is>
          <t>17 September 2026</t>
        </is>
      </c>
      <c r="M86" t="inlineStr">
        <is>
          <t>Konstruksi Sentral Telekomunikasi</t>
        </is>
      </c>
      <c r="N86" t="inlineStr">
        <is>
          <t>K</t>
        </is>
      </c>
      <c r="O86" t="inlineStr">
        <is>
          <t>20230913</t>
        </is>
      </c>
      <c r="P86" t="inlineStr">
        <is>
          <t>DKI Jakarta</t>
        </is>
      </c>
      <c r="Q86" t="inlineStr"/>
    </row>
    <row r="87">
      <c r="A87" t="inlineStr">
        <is>
          <t>INTAN SAGA MERAH</t>
        </is>
      </c>
      <c r="B87" t="inlineStr">
        <is>
          <t>Kab. Sijunjung</t>
        </is>
      </c>
      <c r="C87" t="inlineStr">
        <is>
          <t>082123082757</t>
        </is>
      </c>
      <c r="D87" t="inlineStr">
        <is>
          <t>cvintansagamerah@gmail.com</t>
        </is>
      </c>
      <c r="E87" t="inlineStr">
        <is>
          <t>https://lpjk.pu.go.id/search-badan-usaha-detail/ZU0xd2svRkxwV0VJRGMvYWdjS2Fxdz09</t>
        </is>
      </c>
      <c r="F87" t="n">
        <v>2</v>
      </c>
      <c r="G87" t="inlineStr">
        <is>
          <t>BG006, BS001</t>
        </is>
      </c>
      <c r="H87" t="inlineStr">
        <is>
          <t>18 Februari 1997</t>
        </is>
      </c>
      <c r="I87" s="2" t="n">
        <v>46282</v>
      </c>
      <c r="J87" t="inlineStr">
        <is>
          <t>Disetujui</t>
        </is>
      </c>
      <c r="K87" t="n">
        <v>90</v>
      </c>
      <c r="L87" t="inlineStr">
        <is>
          <t>17 September 2026</t>
        </is>
      </c>
      <c r="M87" t="inlineStr">
        <is>
          <t>Konstruksi Bangunan Sipil Jalan, Konstruksi Gedung Pendidikan</t>
        </is>
      </c>
      <c r="N87" t="inlineStr">
        <is>
          <t>K</t>
        </is>
      </c>
      <c r="O87" t="inlineStr">
        <is>
          <t>20230916</t>
        </is>
      </c>
      <c r="P87" t="inlineStr">
        <is>
          <t>Sumatera Barat</t>
        </is>
      </c>
      <c r="Q87" t="inlineStr"/>
    </row>
    <row r="88">
      <c r="A88" t="inlineStr">
        <is>
          <t>JASA MITRA MANUNGGAL</t>
        </is>
      </c>
      <c r="B88" t="inlineStr">
        <is>
          <t>Kota Bandung</t>
        </is>
      </c>
      <c r="C88" t="inlineStr">
        <is>
          <t>0227536425</t>
        </is>
      </c>
      <c r="D88" t="inlineStr">
        <is>
          <t>jasamitra83@gmail.com</t>
        </is>
      </c>
      <c r="E88" t="inlineStr">
        <is>
          <t>https://lpjk.pu.go.id/search-badan-usaha-detail/STk4bVZZbDhELzhxcURJM2VaWXVSdz09</t>
        </is>
      </c>
      <c r="F88" t="n">
        <v>1</v>
      </c>
      <c r="G88" t="inlineStr">
        <is>
          <t>IT003</t>
        </is>
      </c>
      <c r="H88" t="inlineStr">
        <is>
          <t>16 Agustus 1983</t>
        </is>
      </c>
      <c r="I88" s="2" t="n">
        <v>46282</v>
      </c>
      <c r="J88" t="inlineStr">
        <is>
          <t>Disetujui</t>
        </is>
      </c>
      <c r="K88" t="n">
        <v>90</v>
      </c>
      <c r="L88" t="inlineStr">
        <is>
          <t>17 September 2026</t>
        </is>
      </c>
      <c r="M88" t="inlineStr">
        <is>
          <t>Jasa Konsultansi Ilmiah dan Teknis Permukaan Tanah dan Pembuatan Peta</t>
        </is>
      </c>
      <c r="N88" t="inlineStr">
        <is>
          <t>Spesialis</t>
        </is>
      </c>
      <c r="O88" t="inlineStr">
        <is>
          <t>20230830</t>
        </is>
      </c>
      <c r="P88" t="inlineStr">
        <is>
          <t>Jawa Barat</t>
        </is>
      </c>
      <c r="Q88" t="inlineStr"/>
    </row>
    <row r="89">
      <c r="A89" t="inlineStr">
        <is>
          <t>JATRA INDO TEKNIK</t>
        </is>
      </c>
      <c r="B89" t="inlineStr">
        <is>
          <t>Kab. Karawang</t>
        </is>
      </c>
      <c r="C89" t="inlineStr">
        <is>
          <t>081334722200</t>
        </is>
      </c>
      <c r="D89" t="inlineStr">
        <is>
          <t>jatraindoteknik@gmail.com</t>
        </is>
      </c>
      <c r="E89" t="inlineStr">
        <is>
          <t>https://lpjk.pu.go.id/search-badan-usaha-detail/TEUraHZ2d0MxV05KNG9uUDVsekNWUT09</t>
        </is>
      </c>
      <c r="F89" t="n">
        <v>2</v>
      </c>
      <c r="G89" t="inlineStr">
        <is>
          <t>BG003</t>
        </is>
      </c>
      <c r="H89" t="inlineStr">
        <is>
          <t>1 Juli 2023</t>
        </is>
      </c>
      <c r="I89" s="2" t="n">
        <v>46282</v>
      </c>
      <c r="J89" t="inlineStr">
        <is>
          <t>Disetujui</t>
        </is>
      </c>
      <c r="K89" t="n">
        <v>90</v>
      </c>
      <c r="L89" t="inlineStr">
        <is>
          <t>17 September 2026</t>
        </is>
      </c>
      <c r="M89" t="inlineStr">
        <is>
          <t>Konstruksi Gedung Industri</t>
        </is>
      </c>
      <c r="N89" t="inlineStr">
        <is>
          <t>K</t>
        </is>
      </c>
      <c r="O89" t="inlineStr">
        <is>
          <t>20230907</t>
        </is>
      </c>
      <c r="P89" t="inlineStr">
        <is>
          <t>Jawa Barat</t>
        </is>
      </c>
      <c r="Q89" t="inlineStr"/>
    </row>
    <row r="90">
      <c r="A90" t="inlineStr">
        <is>
          <t>JAWA DWIPHA</t>
        </is>
      </c>
      <c r="B90" t="inlineStr">
        <is>
          <t>Kota Magelang</t>
        </is>
      </c>
      <c r="C90" t="inlineStr">
        <is>
          <t>361133</t>
        </is>
      </c>
      <c r="D90" t="inlineStr">
        <is>
          <t>cvjawadwipha@gmail.com</t>
        </is>
      </c>
      <c r="E90" t="inlineStr">
        <is>
          <t>https://lpjk.pu.go.id/search-badan-usaha-detail/ZkgyNUJua25qdnptUVoxejlsdUlGdz09</t>
        </is>
      </c>
      <c r="F90" t="n">
        <v>1</v>
      </c>
      <c r="G90" t="inlineStr">
        <is>
          <t>BG002</t>
        </is>
      </c>
      <c r="H90" t="inlineStr">
        <is>
          <t>25 September 1991</t>
        </is>
      </c>
      <c r="I90" s="2" t="n">
        <v>46282</v>
      </c>
      <c r="J90" t="inlineStr">
        <is>
          <t>Disetujui</t>
        </is>
      </c>
      <c r="K90" t="n">
        <v>90</v>
      </c>
      <c r="L90" t="inlineStr">
        <is>
          <t>17 September 2026</t>
        </is>
      </c>
      <c r="M90" t="inlineStr">
        <is>
          <t>Konstruksi Gedung Perkantoran</t>
        </is>
      </c>
      <c r="N90" t="inlineStr">
        <is>
          <t>K</t>
        </is>
      </c>
      <c r="O90" t="inlineStr">
        <is>
          <t>20230904</t>
        </is>
      </c>
      <c r="P90" t="inlineStr">
        <is>
          <t>Jawa Tengah</t>
        </is>
      </c>
      <c r="Q90" t="inlineStr"/>
    </row>
    <row r="91">
      <c r="A91" t="inlineStr">
        <is>
          <t>JAYA MANTRA</t>
        </is>
      </c>
      <c r="B91" t="inlineStr">
        <is>
          <t>Kab. Jembrana</t>
        </is>
      </c>
      <c r="C91" t="inlineStr">
        <is>
          <t>036543754</t>
        </is>
      </c>
      <c r="D91" t="inlineStr">
        <is>
          <t>cvjayamantra@gmail.com</t>
        </is>
      </c>
      <c r="E91" t="inlineStr">
        <is>
          <t>https://lpjk.pu.go.id/search-badan-usaha-detail/NUY1R0xMYWRhTnJEVTVnVlh6MkI5UT09</t>
        </is>
      </c>
      <c r="F91" t="n">
        <v>1</v>
      </c>
      <c r="G91" t="inlineStr">
        <is>
          <t>BS001</t>
        </is>
      </c>
      <c r="H91" t="inlineStr">
        <is>
          <t>5 Mei 2011</t>
        </is>
      </c>
      <c r="I91" s="2" t="n">
        <v>46282</v>
      </c>
      <c r="J91" t="inlineStr">
        <is>
          <t>Disetujui</t>
        </is>
      </c>
      <c r="K91" t="n">
        <v>90</v>
      </c>
      <c r="L91" t="inlineStr">
        <is>
          <t>17 September 2026</t>
        </is>
      </c>
      <c r="M91" t="inlineStr">
        <is>
          <t>Konstruksi Bangunan Sipil Jalan</t>
        </is>
      </c>
      <c r="N91" t="inlineStr">
        <is>
          <t>K</t>
        </is>
      </c>
      <c r="O91" t="inlineStr">
        <is>
          <t>20230912</t>
        </is>
      </c>
      <c r="P91" t="inlineStr">
        <is>
          <t>Bali</t>
        </is>
      </c>
      <c r="Q91" t="inlineStr"/>
    </row>
    <row r="92">
      <c r="A92" t="inlineStr">
        <is>
          <t>JIWA ABDI MANDIRI</t>
        </is>
      </c>
      <c r="B92" t="inlineStr">
        <is>
          <t>Kota Tangerang</t>
        </is>
      </c>
      <c r="C92" t="inlineStr">
        <is>
          <t>0895375639033</t>
        </is>
      </c>
      <c r="D92" t="inlineStr">
        <is>
          <t>cv.jam.21@gmail.com</t>
        </is>
      </c>
      <c r="E92" t="inlineStr">
        <is>
          <t>https://lpjk.pu.go.id/search-badan-usaha-detail/MWxDc3VLVW1oM2pEWFpybERXdzRiZz09</t>
        </is>
      </c>
      <c r="F92" t="n">
        <v>2</v>
      </c>
      <c r="G92" t="inlineStr">
        <is>
          <t>BG005, BG009</t>
        </is>
      </c>
      <c r="H92" t="inlineStr">
        <is>
          <t>16 Agustus 2021</t>
        </is>
      </c>
      <c r="I92" s="2" t="n">
        <v>46282</v>
      </c>
      <c r="J92" t="inlineStr">
        <is>
          <t>Pencabutan</t>
        </is>
      </c>
      <c r="K92" t="n">
        <v>90</v>
      </c>
      <c r="L92" t="inlineStr">
        <is>
          <t>17 September 2026</t>
        </is>
      </c>
      <c r="M92" t="inlineStr">
        <is>
          <t>Konstruksi Gedung Kesehatan, Konstruksi Gedung Lainnya</t>
        </is>
      </c>
      <c r="N92" t="inlineStr">
        <is>
          <t>K</t>
        </is>
      </c>
      <c r="O92" t="inlineStr">
        <is>
          <t>20230822, 20230914</t>
        </is>
      </c>
      <c r="P92" t="inlineStr">
        <is>
          <t>Banten</t>
        </is>
      </c>
      <c r="Q92" t="inlineStr"/>
    </row>
    <row r="93">
      <c r="A93" t="inlineStr">
        <is>
          <t>KALAM LEVERAGE MULIA</t>
        </is>
      </c>
      <c r="B93" t="inlineStr">
        <is>
          <t>Kab. Sidoarjo</t>
        </is>
      </c>
      <c r="C93" t="inlineStr">
        <is>
          <t>0318941773</t>
        </is>
      </c>
      <c r="D93" t="inlineStr">
        <is>
          <t>informasi.klm@gmail.com</t>
        </is>
      </c>
      <c r="E93" t="inlineStr">
        <is>
          <t>https://lpjk.pu.go.id/search-badan-usaha-detail/RmZ6Vk1iY29WeUdVa1RjcUlvR0hJZz09</t>
        </is>
      </c>
      <c r="F93" t="n">
        <v>2</v>
      </c>
      <c r="G93" t="inlineStr">
        <is>
          <t>BS005, BS006</t>
        </is>
      </c>
      <c r="H93" t="inlineStr">
        <is>
          <t>25 April 2016</t>
        </is>
      </c>
      <c r="I93" s="2" t="n">
        <v>46282</v>
      </c>
      <c r="J93" t="inlineStr">
        <is>
          <t>Disetujui</t>
        </is>
      </c>
      <c r="K93" t="n">
        <v>90</v>
      </c>
      <c r="L93" t="inlineStr">
        <is>
          <t>17 September 2026</t>
        </is>
      </c>
      <c r="M93" t="inlineStr">
        <is>
          <t>Konstruksi Bangunan Sipil Pengolahan Air Bersih, Konstruksi Bangunan Sipil Prasarana dan Sarana Sistem Pengolahan Limbah Padat, Cair, dan Gas</t>
        </is>
      </c>
      <c r="N93" t="inlineStr">
        <is>
          <t>K</t>
        </is>
      </c>
      <c r="O93" t="inlineStr">
        <is>
          <t>20230613</t>
        </is>
      </c>
      <c r="P93" t="inlineStr">
        <is>
          <t>Jawa Timur</t>
        </is>
      </c>
      <c r="Q93" t="inlineStr"/>
    </row>
    <row r="94">
      <c r="A94" t="inlineStr">
        <is>
          <t>KARSA PRAWIRA</t>
        </is>
      </c>
      <c r="B94" t="inlineStr">
        <is>
          <t>Kab. Kulon Progo</t>
        </is>
      </c>
      <c r="C94" t="inlineStr">
        <is>
          <t>02745304821</t>
        </is>
      </c>
      <c r="D94" t="inlineStr">
        <is>
          <t>karsaprawira.cv@gmail.com</t>
        </is>
      </c>
      <c r="E94" t="inlineStr">
        <is>
          <t>https://lpjk.pu.go.id/search-badan-usaha-detail/c0dOWlhIVy9iclF2RWRhdFh5S3B5QT09</t>
        </is>
      </c>
      <c r="F94" t="n">
        <v>4</v>
      </c>
      <c r="G94" t="inlineStr">
        <is>
          <t>RK001, RK002, RK003</t>
        </is>
      </c>
      <c r="H94" t="inlineStr">
        <is>
          <t>17 Januari 2002</t>
        </is>
      </c>
      <c r="I94" s="2" t="n">
        <v>46282</v>
      </c>
      <c r="J94" t="inlineStr">
        <is>
          <t>Disetujui</t>
        </is>
      </c>
      <c r="K94" t="n">
        <v>90</v>
      </c>
      <c r="L94" t="inlineStr">
        <is>
          <t>17 September 2026</t>
        </is>
      </c>
      <c r="M94" t="inlineStr">
        <is>
          <t>Jasa Rekayasa Konstruksi Bangunan Gedung Hunian dan Non Hunian, Jasa Rekayasa Pekerjaan Teknik Sipil Sumber Daya Air, Jasa Rekayasa Pekerjaan Teknik Sipil Transportasi</t>
        </is>
      </c>
      <c r="N94" t="inlineStr">
        <is>
          <t>K</t>
        </is>
      </c>
      <c r="O94" t="inlineStr">
        <is>
          <t>20230907, 20230908</t>
        </is>
      </c>
      <c r="P94" t="inlineStr">
        <is>
          <t>DI Yogyakarta</t>
        </is>
      </c>
      <c r="Q94" t="inlineStr"/>
    </row>
    <row r="95">
      <c r="A95" t="inlineStr">
        <is>
          <t>KARYA AGUNG</t>
        </is>
      </c>
      <c r="B95" t="inlineStr">
        <is>
          <t>Kab. Sukoharjo</t>
        </is>
      </c>
      <c r="C95" t="inlineStr">
        <is>
          <t>0271621737</t>
        </is>
      </c>
      <c r="D95" t="inlineStr">
        <is>
          <t>karyaagung83@yahoo.com</t>
        </is>
      </c>
      <c r="E95" t="inlineStr">
        <is>
          <t>https://lpjk.pu.go.id/search-badan-usaha-detail/RUpTajR0aFRLTW0zaEsxNnVHdVdPUT09</t>
        </is>
      </c>
      <c r="F95" t="n">
        <v>1</v>
      </c>
      <c r="G95" t="inlineStr">
        <is>
          <t>BS001</t>
        </is>
      </c>
      <c r="H95" t="inlineStr">
        <is>
          <t>2 Februari 1983</t>
        </is>
      </c>
      <c r="I95" s="2" t="n">
        <v>46282</v>
      </c>
      <c r="J95" t="inlineStr">
        <is>
          <t>Disetujui</t>
        </is>
      </c>
      <c r="K95" t="n">
        <v>90</v>
      </c>
      <c r="L95" t="inlineStr">
        <is>
          <t>17 September 2026</t>
        </is>
      </c>
      <c r="M95" t="inlineStr">
        <is>
          <t>Konstruksi Bangunan Sipil Jalan</t>
        </is>
      </c>
      <c r="N95" t="inlineStr">
        <is>
          <t>K</t>
        </is>
      </c>
      <c r="O95" t="inlineStr">
        <is>
          <t>20230914</t>
        </is>
      </c>
      <c r="P95" t="inlineStr">
        <is>
          <t>Jawa Tengah</t>
        </is>
      </c>
      <c r="Q95" t="inlineStr"/>
    </row>
    <row r="96">
      <c r="A96" t="inlineStr">
        <is>
          <t>KARYA ARTHA DUTA</t>
        </is>
      </c>
      <c r="B96" t="inlineStr">
        <is>
          <t>Kab. Ogan Komering Ulu</t>
        </is>
      </c>
      <c r="C96" t="inlineStr">
        <is>
          <t>081368717775</t>
        </is>
      </c>
      <c r="D96" t="inlineStr">
        <is>
          <t>cvkaryaarthaduta@gmail.com</t>
        </is>
      </c>
      <c r="E96" t="inlineStr">
        <is>
          <t>https://lpjk.pu.go.id/search-badan-usaha-detail/WlRZZGRWVVhyK3R1elNzcXF4Rzh6UT09</t>
        </is>
      </c>
      <c r="F96" t="n">
        <v>1</v>
      </c>
      <c r="G96" t="inlineStr">
        <is>
          <t>BS004</t>
        </is>
      </c>
      <c r="H96" t="inlineStr">
        <is>
          <t>6 Februari 2023</t>
        </is>
      </c>
      <c r="I96" s="2" t="n">
        <v>46282</v>
      </c>
      <c r="J96" t="inlineStr">
        <is>
          <t>Disetujui</t>
        </is>
      </c>
      <c r="K96" t="n">
        <v>90</v>
      </c>
      <c r="L96" t="inlineStr">
        <is>
          <t>17 September 2026</t>
        </is>
      </c>
      <c r="M96" t="inlineStr">
        <is>
          <t>Konstruksi Jaringan Irigasi dan Drainase</t>
        </is>
      </c>
      <c r="N96" t="inlineStr">
        <is>
          <t>K</t>
        </is>
      </c>
      <c r="O96" t="inlineStr">
        <is>
          <t>20230831</t>
        </is>
      </c>
      <c r="P96" t="inlineStr">
        <is>
          <t>Sumatera Selatan</t>
        </is>
      </c>
      <c r="Q96" t="inlineStr"/>
    </row>
    <row r="97">
      <c r="A97" t="inlineStr">
        <is>
          <t>KARYA DHUHA</t>
        </is>
      </c>
      <c r="B97" t="inlineStr">
        <is>
          <t>Kab. Lombok Timur</t>
        </is>
      </c>
      <c r="C97" t="inlineStr">
        <is>
          <t>087863444440</t>
        </is>
      </c>
      <c r="D97" t="inlineStr">
        <is>
          <t>cvkaryadhuha6@gmail.com</t>
        </is>
      </c>
      <c r="E97" t="inlineStr">
        <is>
          <t>https://lpjk.pu.go.id/search-badan-usaha-detail/cG16NlJyaGhKcllPWmxqc1dzSk1oQT09</t>
        </is>
      </c>
      <c r="F97" t="n">
        <v>1</v>
      </c>
      <c r="G97" t="inlineStr">
        <is>
          <t>BS001</t>
        </is>
      </c>
      <c r="H97" t="inlineStr">
        <is>
          <t>2 Maret 2005</t>
        </is>
      </c>
      <c r="I97" s="2" t="n">
        <v>46282</v>
      </c>
      <c r="J97" t="inlineStr">
        <is>
          <t>Disetujui</t>
        </is>
      </c>
      <c r="K97" t="n">
        <v>90</v>
      </c>
      <c r="L97" t="inlineStr">
        <is>
          <t>17 September 2026</t>
        </is>
      </c>
      <c r="M97" t="inlineStr">
        <is>
          <t>Konstruksi Bangunan Sipil Jalan</t>
        </is>
      </c>
      <c r="N97" t="inlineStr">
        <is>
          <t>K</t>
        </is>
      </c>
      <c r="O97" t="inlineStr">
        <is>
          <t>20230914</t>
        </is>
      </c>
      <c r="P97" t="inlineStr">
        <is>
          <t>Nusa Tenggara Barat</t>
        </is>
      </c>
      <c r="Q97" t="inlineStr"/>
    </row>
    <row r="98">
      <c r="A98" t="inlineStr">
        <is>
          <t>KARYA ESHA UTAMA</t>
        </is>
      </c>
      <c r="B98" t="inlineStr">
        <is>
          <t>Kab. Trenggalek</t>
        </is>
      </c>
      <c r="C98" t="inlineStr">
        <is>
          <t>085156036395</t>
        </is>
      </c>
      <c r="D98" t="inlineStr">
        <is>
          <t>cv.karyaeshautama@gmail.com</t>
        </is>
      </c>
      <c r="E98" t="inlineStr">
        <is>
          <t>https://lpjk.pu.go.id/search-badan-usaha-detail/UjV3TTFSNzJqakdQcC9vNjRYY0p3Zz09</t>
        </is>
      </c>
      <c r="F98" t="n">
        <v>1</v>
      </c>
      <c r="G98" t="inlineStr">
        <is>
          <t>BG005</t>
        </is>
      </c>
      <c r="H98" t="inlineStr">
        <is>
          <t>13 Juli 1994</t>
        </is>
      </c>
      <c r="I98" s="2" t="n">
        <v>46282</v>
      </c>
      <c r="J98" t="inlineStr">
        <is>
          <t>Disetujui</t>
        </is>
      </c>
      <c r="K98" t="n">
        <v>90</v>
      </c>
      <c r="L98" t="inlineStr">
        <is>
          <t>17 September 2026</t>
        </is>
      </c>
      <c r="M98" t="inlineStr">
        <is>
          <t>Konstruksi Gedung Kesehatan</t>
        </is>
      </c>
      <c r="N98" t="inlineStr">
        <is>
          <t>K</t>
        </is>
      </c>
      <c r="O98" t="inlineStr">
        <is>
          <t>20230912</t>
        </is>
      </c>
      <c r="P98" t="inlineStr">
        <is>
          <t>Jawa Timur</t>
        </is>
      </c>
      <c r="Q98" t="inlineStr"/>
    </row>
    <row r="99">
      <c r="A99" t="inlineStr">
        <is>
          <t>KARYA GADING</t>
        </is>
      </c>
      <c r="B99" t="inlineStr">
        <is>
          <t>Kab. Hulu Sungai Utara</t>
        </is>
      </c>
      <c r="C99" t="inlineStr">
        <is>
          <t>085215401255</t>
        </is>
      </c>
      <c r="D99" t="inlineStr">
        <is>
          <t>Karyagading.Amt@Gmail.com</t>
        </is>
      </c>
      <c r="E99" t="inlineStr">
        <is>
          <t>https://lpjk.pu.go.id/search-badan-usaha-detail/eFZEc082cWJNTzk3eGdBckZML0lBZz09</t>
        </is>
      </c>
      <c r="F99" t="n">
        <v>1</v>
      </c>
      <c r="G99" t="inlineStr">
        <is>
          <t>BG005</t>
        </is>
      </c>
      <c r="H99" t="inlineStr">
        <is>
          <t>6 Januari 2022</t>
        </is>
      </c>
      <c r="I99" s="2" t="n">
        <v>46282</v>
      </c>
      <c r="J99" t="inlineStr">
        <is>
          <t>Disetujui</t>
        </is>
      </c>
      <c r="K99" t="n">
        <v>90</v>
      </c>
      <c r="L99" t="inlineStr">
        <is>
          <t>17 September 2026</t>
        </is>
      </c>
      <c r="M99" t="inlineStr">
        <is>
          <t>Konstruksi Gedung Kesehatan</t>
        </is>
      </c>
      <c r="N99" t="inlineStr">
        <is>
          <t>K</t>
        </is>
      </c>
      <c r="O99" t="inlineStr">
        <is>
          <t>20230830</t>
        </is>
      </c>
      <c r="P99" t="inlineStr">
        <is>
          <t>Kalimantan Selatan</t>
        </is>
      </c>
      <c r="Q99" t="inlineStr"/>
    </row>
    <row r="100">
      <c r="A100" t="inlineStr">
        <is>
          <t>KARYA KONTRINDO</t>
        </is>
      </c>
      <c r="B100" t="inlineStr">
        <is>
          <t>Kab. Jember</t>
        </is>
      </c>
      <c r="C100" t="inlineStr">
        <is>
          <t>0331338833</t>
        </is>
      </c>
      <c r="D100" t="inlineStr">
        <is>
          <t>karyakontrindo@yahoo.com</t>
        </is>
      </c>
      <c r="E100" t="inlineStr">
        <is>
          <t>https://lpjk.pu.go.id/search-badan-usaha-detail/VEI4eEdsZVdQTVhsLzhiVFh0a1ZEZz09</t>
        </is>
      </c>
      <c r="F100" t="n">
        <v>2</v>
      </c>
      <c r="G100" t="inlineStr">
        <is>
          <t>BG002, BG009</t>
        </is>
      </c>
      <c r="H100" t="inlineStr">
        <is>
          <t>21 September 2012</t>
        </is>
      </c>
      <c r="I100" s="2" t="n">
        <v>46282</v>
      </c>
      <c r="J100" t="inlineStr">
        <is>
          <t>Disetujui</t>
        </is>
      </c>
      <c r="K100" t="n">
        <v>90</v>
      </c>
      <c r="L100" t="inlineStr">
        <is>
          <t>17 September 2026</t>
        </is>
      </c>
      <c r="M100" t="inlineStr">
        <is>
          <t>Konstruksi Gedung Lainnya, Konstruksi Gedung Perkantoran</t>
        </is>
      </c>
      <c r="N100" t="inlineStr">
        <is>
          <t>K</t>
        </is>
      </c>
      <c r="O100" t="inlineStr">
        <is>
          <t>20230912</t>
        </is>
      </c>
      <c r="P100" t="inlineStr">
        <is>
          <t>Jawa Timur</t>
        </is>
      </c>
      <c r="Q100" t="inlineStr"/>
    </row>
    <row r="101">
      <c r="A101" t="inlineStr">
        <is>
          <t>KARYA ONE</t>
        </is>
      </c>
      <c r="B101" t="inlineStr">
        <is>
          <t>Kab. Tangerang</t>
        </is>
      </c>
      <c r="C101" t="inlineStr">
        <is>
          <t>085782034775</t>
        </is>
      </c>
      <c r="D101" t="inlineStr">
        <is>
          <t>cv.karyaone@gmail.com</t>
        </is>
      </c>
      <c r="E101" t="inlineStr">
        <is>
          <t>https://lpjk.pu.go.id/search-badan-usaha-detail/RVFIQUJnTlV5YTYwK0gvSUNDaU1vdz09</t>
        </is>
      </c>
      <c r="F101" t="n">
        <v>1</v>
      </c>
      <c r="G101" t="inlineStr">
        <is>
          <t>RK001</t>
        </is>
      </c>
      <c r="H101" t="inlineStr">
        <is>
          <t>22 Juni 2012</t>
        </is>
      </c>
      <c r="I101" s="2" t="n">
        <v>46282</v>
      </c>
      <c r="J101" t="inlineStr">
        <is>
          <t>Disetujui</t>
        </is>
      </c>
      <c r="K101" t="n">
        <v>90</v>
      </c>
      <c r="L101" t="inlineStr">
        <is>
          <t>17 September 2026</t>
        </is>
      </c>
      <c r="M101" t="inlineStr">
        <is>
          <t>Jasa Rekayasa Konstruksi Bangunan Gedung Hunian dan Non Hunian</t>
        </is>
      </c>
      <c r="N101" t="inlineStr">
        <is>
          <t>K</t>
        </is>
      </c>
      <c r="O101" t="inlineStr">
        <is>
          <t>20230904</t>
        </is>
      </c>
      <c r="P101" t="inlineStr">
        <is>
          <t>Banten</t>
        </is>
      </c>
      <c r="Q101" t="inlineStr"/>
    </row>
    <row r="102">
      <c r="A102" t="inlineStr">
        <is>
          <t>KARYA TRISTA ASRI</t>
        </is>
      </c>
      <c r="B102" t="inlineStr">
        <is>
          <t>Kab. Bandung</t>
        </is>
      </c>
      <c r="C102" t="inlineStr">
        <is>
          <t>08122359113</t>
        </is>
      </c>
      <c r="D102" t="inlineStr">
        <is>
          <t>karya.trista@yahoo.co.id</t>
        </is>
      </c>
      <c r="E102" t="inlineStr">
        <is>
          <t>https://lpjk.pu.go.id/search-badan-usaha-detail/b2FqN2sxa0VMQnYzMWxkMG9lVVFFUT09</t>
        </is>
      </c>
      <c r="F102" t="n">
        <v>1</v>
      </c>
      <c r="G102" t="inlineStr">
        <is>
          <t>BS005</t>
        </is>
      </c>
      <c r="H102" t="inlineStr">
        <is>
          <t>15 Agustus 2003</t>
        </is>
      </c>
      <c r="I102" s="2" t="n">
        <v>46282</v>
      </c>
      <c r="J102" t="inlineStr">
        <is>
          <t>Disetujui</t>
        </is>
      </c>
      <c r="K102" t="n">
        <v>90</v>
      </c>
      <c r="L102" t="inlineStr">
        <is>
          <t>17 September 2026</t>
        </is>
      </c>
      <c r="M102" t="inlineStr">
        <is>
          <t>Konstruksi Bangunan Sipil Pengolahan Air Bersih</t>
        </is>
      </c>
      <c r="N102" t="inlineStr">
        <is>
          <t>K</t>
        </is>
      </c>
      <c r="O102" t="inlineStr">
        <is>
          <t>20230905</t>
        </is>
      </c>
      <c r="P102" t="inlineStr">
        <is>
          <t>Jawa Barat</t>
        </is>
      </c>
      <c r="Q102" t="inlineStr"/>
    </row>
    <row r="103">
      <c r="A103" t="inlineStr">
        <is>
          <t>KAYU LAUT BERKARYA</t>
        </is>
      </c>
      <c r="B103" t="inlineStr">
        <is>
          <t>Kab. Tapanuli Selatan</t>
        </is>
      </c>
      <c r="C103" t="inlineStr">
        <is>
          <t>081360992594</t>
        </is>
      </c>
      <c r="D103" t="inlineStr">
        <is>
          <t>Kayulautberkarya@gmail.com</t>
        </is>
      </c>
      <c r="E103" t="inlineStr">
        <is>
          <t>https://lpjk.pu.go.id/search-badan-usaha-detail/aDI5Y1gwNnl1ZFRFeG1WS0h6d2Ivdz09</t>
        </is>
      </c>
      <c r="F103" t="n">
        <v>4</v>
      </c>
      <c r="G103" t="inlineStr">
        <is>
          <t>BG005, BG006, BS001, BS004</t>
        </is>
      </c>
      <c r="H103" t="inlineStr">
        <is>
          <t>8 September 2023</t>
        </is>
      </c>
      <c r="I103" s="2" t="n">
        <v>46282</v>
      </c>
      <c r="J103" t="inlineStr">
        <is>
          <t>Disetujui</t>
        </is>
      </c>
      <c r="K103" t="n">
        <v>90</v>
      </c>
      <c r="L103" t="inlineStr">
        <is>
          <t>17 September 2026</t>
        </is>
      </c>
      <c r="M103" t="inlineStr">
        <is>
          <t>Konstruksi Bangunan Sipil Jalan, Konstruksi Gedung Kesehatan, Konstruksi Gedung Pendidikan, Konstruksi Jaringan Irigasi dan Drainase</t>
        </is>
      </c>
      <c r="N103" t="inlineStr">
        <is>
          <t>K</t>
        </is>
      </c>
      <c r="O103" t="inlineStr">
        <is>
          <t>20230915</t>
        </is>
      </c>
      <c r="P103" t="inlineStr">
        <is>
          <t>Sumatera Utara</t>
        </is>
      </c>
      <c r="Q103" t="inlineStr"/>
    </row>
    <row r="104">
      <c r="A104" t="inlineStr">
        <is>
          <t>KEMBAR JAYA BITUNG</t>
        </is>
      </c>
      <c r="B104" t="inlineStr">
        <is>
          <t>Kota Bitung</t>
        </is>
      </c>
      <c r="C104" t="inlineStr">
        <is>
          <t>081356618392</t>
        </is>
      </c>
      <c r="D104" t="inlineStr">
        <is>
          <t>rudiytjandra1969@gmail.com</t>
        </is>
      </c>
      <c r="E104" t="inlineStr">
        <is>
          <t>https://lpjk.pu.go.id/search-badan-usaha-detail/QjJaeHNvUTVGOFJDeUpJVWZXRlVVZz09</t>
        </is>
      </c>
      <c r="F104" t="n">
        <v>1</v>
      </c>
      <c r="G104" t="inlineStr">
        <is>
          <t>BS004</t>
        </is>
      </c>
      <c r="H104" t="inlineStr">
        <is>
          <t>24 Februari 2006</t>
        </is>
      </c>
      <c r="I104" s="2" t="n">
        <v>46282</v>
      </c>
      <c r="J104" t="inlineStr">
        <is>
          <t>Disetujui</t>
        </is>
      </c>
      <c r="K104" t="n">
        <v>90</v>
      </c>
      <c r="L104" t="inlineStr">
        <is>
          <t>17 September 2026</t>
        </is>
      </c>
      <c r="M104" t="inlineStr">
        <is>
          <t>Konstruksi Jaringan Irigasi dan Drainase</t>
        </is>
      </c>
      <c r="N104" t="inlineStr">
        <is>
          <t>K</t>
        </is>
      </c>
      <c r="O104" t="inlineStr">
        <is>
          <t>20230907</t>
        </is>
      </c>
      <c r="P104" t="inlineStr">
        <is>
          <t>Sulawesi Utara</t>
        </is>
      </c>
      <c r="Q104" t="inlineStr"/>
    </row>
    <row r="105">
      <c r="A105" t="inlineStr">
        <is>
          <t>KENCANA KARYA</t>
        </is>
      </c>
      <c r="B105" t="inlineStr">
        <is>
          <t>Kab. Kepulauan Mentawai</t>
        </is>
      </c>
      <c r="C105" t="inlineStr">
        <is>
          <t>085276200200</t>
        </is>
      </c>
      <c r="D105" t="inlineStr">
        <is>
          <t>kencanakarya2020@gmail.com</t>
        </is>
      </c>
      <c r="E105" t="inlineStr">
        <is>
          <t>https://lpjk.pu.go.id/search-badan-usaha-detail/NW5URkNLRjFtT1dhZUR6aW84Z2hEZz09</t>
        </is>
      </c>
      <c r="F105" t="n">
        <v>1</v>
      </c>
      <c r="G105" t="inlineStr">
        <is>
          <t>BS004</t>
        </is>
      </c>
      <c r="H105" t="inlineStr">
        <is>
          <t>13 Januari 2010</t>
        </is>
      </c>
      <c r="I105" s="2" t="n">
        <v>46282</v>
      </c>
      <c r="J105" t="inlineStr">
        <is>
          <t>Pencabutan</t>
        </is>
      </c>
      <c r="K105" t="n">
        <v>90</v>
      </c>
      <c r="L105" t="inlineStr">
        <is>
          <t>17 September 2026</t>
        </is>
      </c>
      <c r="M105" t="inlineStr">
        <is>
          <t>Konstruksi Jaringan Irigasi dan Drainase</t>
        </is>
      </c>
      <c r="N105" t="inlineStr">
        <is>
          <t>K</t>
        </is>
      </c>
      <c r="O105" t="inlineStr">
        <is>
          <t>20230908</t>
        </is>
      </c>
      <c r="P105" t="inlineStr">
        <is>
          <t>Sumatera Barat</t>
        </is>
      </c>
      <c r="Q105" t="inlineStr"/>
    </row>
    <row r="106">
      <c r="A106" t="inlineStr">
        <is>
          <t>KURNIA MITRA JAYA ABADI</t>
        </is>
      </c>
      <c r="B106" t="inlineStr">
        <is>
          <t>Kab. Rokan Hilir</t>
        </is>
      </c>
      <c r="C106" t="inlineStr">
        <is>
          <t>082286183211</t>
        </is>
      </c>
      <c r="D106" t="inlineStr">
        <is>
          <t>cvkurniamitrajayaabadi@gmail.com</t>
        </is>
      </c>
      <c r="E106" t="inlineStr">
        <is>
          <t>https://lpjk.pu.go.id/search-badan-usaha-detail/V24rVkt4a21vS3VKeVhwNndmQ09Zdz09</t>
        </is>
      </c>
      <c r="F106" t="n">
        <v>2</v>
      </c>
      <c r="G106" t="inlineStr">
        <is>
          <t>BG001, BG009</t>
        </is>
      </c>
      <c r="H106" t="inlineStr">
        <is>
          <t>8 Desember 2021</t>
        </is>
      </c>
      <c r="I106" s="2" t="n">
        <v>46282</v>
      </c>
      <c r="J106" t="inlineStr">
        <is>
          <t>Disetujui</t>
        </is>
      </c>
      <c r="K106" t="n">
        <v>90</v>
      </c>
      <c r="L106" t="inlineStr">
        <is>
          <t>17 September 2026</t>
        </is>
      </c>
      <c r="M106" t="inlineStr">
        <is>
          <t>Konstruksi Gedung Hunian, Konstruksi Gedung Lainnya</t>
        </is>
      </c>
      <c r="N106" t="inlineStr">
        <is>
          <t>K</t>
        </is>
      </c>
      <c r="O106" t="inlineStr">
        <is>
          <t>20230918</t>
        </is>
      </c>
      <c r="P106" t="inlineStr">
        <is>
          <t>Riau</t>
        </is>
      </c>
      <c r="Q106" t="inlineStr"/>
    </row>
    <row r="107">
      <c r="A107" t="inlineStr">
        <is>
          <t>LINTANG UTARA</t>
        </is>
      </c>
      <c r="B107" t="inlineStr">
        <is>
          <t>Kab. Indramayu</t>
        </is>
      </c>
      <c r="C107" t="inlineStr">
        <is>
          <t>087727032527</t>
        </is>
      </c>
      <c r="D107" t="inlineStr">
        <is>
          <t>lintangutara2023@gmail.com</t>
        </is>
      </c>
      <c r="E107" t="inlineStr">
        <is>
          <t>https://lpjk.pu.go.id/search-badan-usaha-detail/NExsWGplVlhCU1JEQVFUZFVSTERxQT09</t>
        </is>
      </c>
      <c r="F107" t="n">
        <v>10</v>
      </c>
      <c r="G107" t="inlineStr">
        <is>
          <t>BG006, BG009, BS001, BS002, BS004</t>
        </is>
      </c>
      <c r="H107" t="inlineStr">
        <is>
          <t>30 Juli 2020</t>
        </is>
      </c>
      <c r="I107" s="2" t="n">
        <v>46282</v>
      </c>
      <c r="J107" t="inlineStr">
        <is>
          <t>Disetujui</t>
        </is>
      </c>
      <c r="K107" t="n">
        <v>90</v>
      </c>
      <c r="L107" t="inlineStr">
        <is>
          <t>17 September 2026</t>
        </is>
      </c>
      <c r="M107" t="inlineStr">
        <is>
          <t>Bangunan Sipil Jembatan, Jalan Layang, Fly Over, dan Underpass, Konstruksi Bangunan Sipil Jalan, Konstruksi Gedung Lainnya, Konstruksi Gedung Pendidikan, Konstruksi Jaringan Irigasi dan Drainase</t>
        </is>
      </c>
      <c r="N107" t="inlineStr">
        <is>
          <t>K</t>
        </is>
      </c>
      <c r="O107" t="inlineStr">
        <is>
          <t>20230913</t>
        </is>
      </c>
      <c r="P107" t="inlineStr">
        <is>
          <t>Jawa Barat</t>
        </is>
      </c>
      <c r="Q107" t="inlineStr"/>
    </row>
    <row r="108">
      <c r="A108" t="inlineStr">
        <is>
          <t>MADYA SEJATI</t>
        </is>
      </c>
      <c r="B108" t="inlineStr">
        <is>
          <t>Kab. Ponorogo</t>
        </is>
      </c>
      <c r="C108" t="inlineStr">
        <is>
          <t>085236387073</t>
        </is>
      </c>
      <c r="D108" t="inlineStr">
        <is>
          <t>cvmadyasejati@yahoo.co.id</t>
        </is>
      </c>
      <c r="E108" t="inlineStr">
        <is>
          <t>https://lpjk.pu.go.id/search-badan-usaha-detail/eHYrVzNoQ3k3cXlsQlM2VS9KSStKQT09</t>
        </is>
      </c>
      <c r="F108" t="n">
        <v>2</v>
      </c>
      <c r="G108" t="inlineStr">
        <is>
          <t>BS001, BS004</t>
        </is>
      </c>
      <c r="H108" t="inlineStr">
        <is>
          <t>16 November 2006</t>
        </is>
      </c>
      <c r="I108" s="2" t="n">
        <v>46282</v>
      </c>
      <c r="J108" t="inlineStr">
        <is>
          <t>Disetujui</t>
        </is>
      </c>
      <c r="K108" t="n">
        <v>90</v>
      </c>
      <c r="L108" t="inlineStr">
        <is>
          <t>17 September 2026</t>
        </is>
      </c>
      <c r="M108" t="inlineStr">
        <is>
          <t>Konstruksi Bangunan Sipil Jalan, Konstruksi Jaringan Irigasi dan Drainase</t>
        </is>
      </c>
      <c r="N108" t="inlineStr">
        <is>
          <t>K</t>
        </is>
      </c>
      <c r="O108" t="inlineStr">
        <is>
          <t>20230904, 20230913</t>
        </is>
      </c>
      <c r="P108" t="inlineStr">
        <is>
          <t>Jawa Timur</t>
        </is>
      </c>
      <c r="Q108" t="inlineStr"/>
    </row>
    <row r="109">
      <c r="A109" t="inlineStr">
        <is>
          <t>MAKNA KARYA SEJAHTERA</t>
        </is>
      </c>
      <c r="B109" t="inlineStr">
        <is>
          <t>Kab. Deli Serdang</t>
        </is>
      </c>
      <c r="C109" t="inlineStr">
        <is>
          <t>081360263008</t>
        </is>
      </c>
      <c r="D109" t="inlineStr">
        <is>
          <t>pt.maknakaryasejahtera@gmail.com</t>
        </is>
      </c>
      <c r="E109" t="inlineStr">
        <is>
          <t>https://lpjk.pu.go.id/search-badan-usaha-detail/MG5qYXpBb2F3aW5xSzFlTVZaeXZnZz09</t>
        </is>
      </c>
      <c r="F109" t="n">
        <v>1</v>
      </c>
      <c r="G109" t="inlineStr">
        <is>
          <t>BS001</t>
        </is>
      </c>
      <c r="H109" t="inlineStr">
        <is>
          <t>23 Agustus 2023</t>
        </is>
      </c>
      <c r="I109" s="2" t="n">
        <v>46282</v>
      </c>
      <c r="J109" t="inlineStr">
        <is>
          <t>Disetujui</t>
        </is>
      </c>
      <c r="K109" t="n">
        <v>90</v>
      </c>
      <c r="L109" t="inlineStr">
        <is>
          <t>17 September 2026</t>
        </is>
      </c>
      <c r="M109" t="inlineStr">
        <is>
          <t>Konstruksi Bangunan Sipil Jalan</t>
        </is>
      </c>
      <c r="N109" t="inlineStr">
        <is>
          <t>K</t>
        </is>
      </c>
      <c r="O109" t="inlineStr">
        <is>
          <t>20230915</t>
        </is>
      </c>
      <c r="P109" t="inlineStr">
        <is>
          <t>Sumatera Utara</t>
        </is>
      </c>
      <c r="Q109" t="inlineStr"/>
    </row>
    <row r="110">
      <c r="A110" t="inlineStr">
        <is>
          <t>MANGGALA JAYA KONSTRUKSI</t>
        </is>
      </c>
      <c r="B110" t="inlineStr">
        <is>
          <t>Kab. Musi Banyuasin</t>
        </is>
      </c>
      <c r="C110" t="inlineStr">
        <is>
          <t>081373907220</t>
        </is>
      </c>
      <c r="D110" t="inlineStr">
        <is>
          <t>kmanggalajaya@gmail.com</t>
        </is>
      </c>
      <c r="E110" t="inlineStr">
        <is>
          <t>https://lpjk.pu.go.id/search-badan-usaha-detail/Y00rUjhZc2pqNGJYQjVWQWJaam5pQT09</t>
        </is>
      </c>
      <c r="F110" t="n">
        <v>1</v>
      </c>
      <c r="G110" t="inlineStr">
        <is>
          <t>BG009</t>
        </is>
      </c>
      <c r="H110" t="inlineStr">
        <is>
          <t>4 Februari 2022</t>
        </is>
      </c>
      <c r="I110" s="2" t="n">
        <v>46282</v>
      </c>
      <c r="J110" t="inlineStr">
        <is>
          <t>Disetujui</t>
        </is>
      </c>
      <c r="K110" t="n">
        <v>90</v>
      </c>
      <c r="L110" t="inlineStr">
        <is>
          <t>17 September 2026</t>
        </is>
      </c>
      <c r="M110" t="inlineStr">
        <is>
          <t>Konstruksi Gedung Lainnya</t>
        </is>
      </c>
      <c r="N110" t="inlineStr">
        <is>
          <t>K</t>
        </is>
      </c>
      <c r="O110" t="inlineStr">
        <is>
          <t>20230810</t>
        </is>
      </c>
      <c r="P110" t="inlineStr">
        <is>
          <t>Sumatera Selatan</t>
        </is>
      </c>
      <c r="Q110" t="inlineStr"/>
    </row>
    <row r="111">
      <c r="A111" t="inlineStr">
        <is>
          <t>MANUNGGAL MULTIDAYA</t>
        </is>
      </c>
      <c r="B111" t="inlineStr">
        <is>
          <t>Kota Adm. Jakarta Utara</t>
        </is>
      </c>
      <c r="C111" t="inlineStr">
        <is>
          <t>0214522894</t>
        </is>
      </c>
      <c r="D111" t="inlineStr">
        <is>
          <t>manunggalmultidaya@gmail.com</t>
        </is>
      </c>
      <c r="E111" t="inlineStr">
        <is>
          <t>https://lpjk.pu.go.id/search-badan-usaha-detail/LzVOMDNVQ1pjWHZHQ0dLc0NGNFlsUT09</t>
        </is>
      </c>
      <c r="F111" t="n">
        <v>6</v>
      </c>
      <c r="G111" t="inlineStr">
        <is>
          <t>BG003, BG008, BG009</t>
        </is>
      </c>
      <c r="H111" t="inlineStr">
        <is>
          <t>7 Juli 1994</t>
        </is>
      </c>
      <c r="I111" s="2" t="n">
        <v>46282</v>
      </c>
      <c r="J111" t="inlineStr">
        <is>
          <t>Disetujui</t>
        </is>
      </c>
      <c r="K111" t="n">
        <v>90</v>
      </c>
      <c r="L111" t="inlineStr">
        <is>
          <t>17 September 2026</t>
        </is>
      </c>
      <c r="M111" t="inlineStr">
        <is>
          <t>Konstruksi Gedung Industri, Konstruksi Gedung Lainnya, Konstruksi Gedung Tempat Hiburan dan Olahraga</t>
        </is>
      </c>
      <c r="N111" t="inlineStr">
        <is>
          <t>K</t>
        </is>
      </c>
      <c r="O111" t="inlineStr">
        <is>
          <t>20230911, 20230912</t>
        </is>
      </c>
      <c r="P111" t="inlineStr">
        <is>
          <t>DKI Jakarta</t>
        </is>
      </c>
      <c r="Q111" t="inlineStr"/>
    </row>
    <row r="112">
      <c r="A112" t="inlineStr">
        <is>
          <t>MARGANA DIRJA MAKMUR</t>
        </is>
      </c>
      <c r="B112" t="inlineStr">
        <is>
          <t>Kota Banjar</t>
        </is>
      </c>
      <c r="C112" t="inlineStr">
        <is>
          <t>081914590334</t>
        </is>
      </c>
      <c r="D112" t="inlineStr">
        <is>
          <t>cvmarganadirjamakmur@gmail.com</t>
        </is>
      </c>
      <c r="E112" t="inlineStr">
        <is>
          <t>https://lpjk.pu.go.id/search-badan-usaha-detail/TVVDcmtsUWdpOWU5cVdobXljaHhjQT09</t>
        </is>
      </c>
      <c r="F112" t="n">
        <v>6</v>
      </c>
      <c r="G112" t="inlineStr">
        <is>
          <t>BS001, BS003, BS004</t>
        </is>
      </c>
      <c r="H112" t="inlineStr">
        <is>
          <t>12 Januari 2023</t>
        </is>
      </c>
      <c r="I112" s="2" t="n">
        <v>46282</v>
      </c>
      <c r="J112" t="inlineStr">
        <is>
          <t>Disetujui</t>
        </is>
      </c>
      <c r="K112" t="n">
        <v>90</v>
      </c>
      <c r="L112" t="inlineStr">
        <is>
          <t>17 September 2026</t>
        </is>
      </c>
      <c r="M112" t="inlineStr">
        <is>
          <t>Konstruksi Bangunan Sipil Jalan, Konstruksi Jalan Rel, Konstruksi Jaringan Irigasi dan Drainase</t>
        </is>
      </c>
      <c r="N112" t="inlineStr">
        <is>
          <t>K</t>
        </is>
      </c>
      <c r="O112" t="inlineStr">
        <is>
          <t>20230908</t>
        </is>
      </c>
      <c r="P112" t="inlineStr">
        <is>
          <t>Jawa Barat</t>
        </is>
      </c>
      <c r="Q112" t="inlineStr"/>
    </row>
    <row r="113">
      <c r="A113" t="inlineStr">
        <is>
          <t>MASA BAROKAH</t>
        </is>
      </c>
      <c r="B113" t="inlineStr">
        <is>
          <t>Kab. Gresik</t>
        </is>
      </c>
      <c r="C113" t="inlineStr">
        <is>
          <t>081375354354</t>
        </is>
      </c>
      <c r="D113" t="inlineStr">
        <is>
          <t>masabarokah@gmail.com</t>
        </is>
      </c>
      <c r="E113" t="inlineStr">
        <is>
          <t>https://lpjk.pu.go.id/search-badan-usaha-detail/UmRjb2xwQTRGTmVDY1RBeUVmZkRUZz09</t>
        </is>
      </c>
      <c r="F113" t="n">
        <v>2</v>
      </c>
      <c r="G113" t="inlineStr">
        <is>
          <t>BG004, BS001</t>
        </is>
      </c>
      <c r="H113" t="inlineStr">
        <is>
          <t>28 Desember 2017</t>
        </is>
      </c>
      <c r="I113" s="2" t="n">
        <v>46282</v>
      </c>
      <c r="J113" t="inlineStr">
        <is>
          <t>Disetujui, Pencabutan</t>
        </is>
      </c>
      <c r="K113" t="n">
        <v>90</v>
      </c>
      <c r="L113" t="inlineStr">
        <is>
          <t>17 September 2026</t>
        </is>
      </c>
      <c r="M113" t="inlineStr">
        <is>
          <t>Konstruksi Bangunan Sipil Jalan, Konstruksi Gedung Perbelanjaan</t>
        </is>
      </c>
      <c r="N113" t="inlineStr">
        <is>
          <t>K</t>
        </is>
      </c>
      <c r="O113" t="inlineStr">
        <is>
          <t>20230914</t>
        </is>
      </c>
      <c r="P113" t="inlineStr">
        <is>
          <t>Jawa Timur</t>
        </is>
      </c>
      <c r="Q113" t="inlineStr"/>
    </row>
    <row r="114">
      <c r="A114" t="inlineStr">
        <is>
          <t>MEGA GUSTRIA</t>
        </is>
      </c>
      <c r="B114" t="inlineStr">
        <is>
          <t>Kab. Kuningan</t>
        </is>
      </c>
      <c r="C114" t="inlineStr">
        <is>
          <t>081283679023</t>
        </is>
      </c>
      <c r="D114" t="inlineStr">
        <is>
          <t>didiset2@gmail.com</t>
        </is>
      </c>
      <c r="E114" t="inlineStr">
        <is>
          <t>https://lpjk.pu.go.id/search-badan-usaha-detail/R0lvT09yWDB6UXUySDNvMlpwWkROZz09</t>
        </is>
      </c>
      <c r="F114" t="n">
        <v>1</v>
      </c>
      <c r="G114" t="inlineStr">
        <is>
          <t>BS001</t>
        </is>
      </c>
      <c r="H114" t="inlineStr">
        <is>
          <t>14 Juni 2012</t>
        </is>
      </c>
      <c r="I114" s="2" t="n">
        <v>46282</v>
      </c>
      <c r="J114" t="inlineStr">
        <is>
          <t>Disetujui</t>
        </is>
      </c>
      <c r="K114" t="n">
        <v>90</v>
      </c>
      <c r="L114" t="inlineStr">
        <is>
          <t>17 September 2026</t>
        </is>
      </c>
      <c r="M114" t="inlineStr">
        <is>
          <t>Konstruksi Bangunan Sipil Jalan</t>
        </is>
      </c>
      <c r="N114" t="inlineStr">
        <is>
          <t>K</t>
        </is>
      </c>
      <c r="O114" t="inlineStr">
        <is>
          <t>20230914</t>
        </is>
      </c>
      <c r="P114" t="inlineStr">
        <is>
          <t>Jawa Barat</t>
        </is>
      </c>
      <c r="Q114" t="inlineStr"/>
    </row>
    <row r="115">
      <c r="A115" t="inlineStr">
        <is>
          <t>MEGA PARAMITHA</t>
        </is>
      </c>
      <c r="B115" t="inlineStr">
        <is>
          <t>Kab. Sanggau</t>
        </is>
      </c>
      <c r="C115" t="inlineStr">
        <is>
          <t>081258914889</t>
        </is>
      </c>
      <c r="D115" t="inlineStr">
        <is>
          <t>cvmegaparamitha@gmail.com</t>
        </is>
      </c>
      <c r="E115" t="inlineStr">
        <is>
          <t>https://lpjk.pu.go.id/search-badan-usaha-detail/SFZvZWl1TFBRemZHQXYvV1BzNW94Zz09</t>
        </is>
      </c>
      <c r="F115" t="n">
        <v>1</v>
      </c>
      <c r="G115" t="inlineStr">
        <is>
          <t>BS001</t>
        </is>
      </c>
      <c r="H115" t="inlineStr">
        <is>
          <t>17 Juli 2023</t>
        </is>
      </c>
      <c r="I115" s="2" t="n">
        <v>46282</v>
      </c>
      <c r="J115" t="inlineStr">
        <is>
          <t>Pencabutan</t>
        </is>
      </c>
      <c r="K115" t="n">
        <v>90</v>
      </c>
      <c r="L115" t="inlineStr">
        <is>
          <t>17 September 2026</t>
        </is>
      </c>
      <c r="M115" t="inlineStr">
        <is>
          <t>Konstruksi Bangunan Sipil Jalan</t>
        </is>
      </c>
      <c r="N115" t="inlineStr">
        <is>
          <t>K</t>
        </is>
      </c>
      <c r="O115" t="inlineStr">
        <is>
          <t>20230915</t>
        </is>
      </c>
      <c r="P115" t="inlineStr">
        <is>
          <t>Kalimantan Barat</t>
        </is>
      </c>
      <c r="Q115" t="inlineStr"/>
    </row>
    <row r="116">
      <c r="A116" t="inlineStr">
        <is>
          <t>MEGAH PERKASA KONSTRUKSI</t>
        </is>
      </c>
      <c r="B116" t="inlineStr">
        <is>
          <t>Kota Salatiga</t>
        </is>
      </c>
      <c r="C116" t="inlineStr">
        <is>
          <t>0817426512</t>
        </is>
      </c>
      <c r="D116" t="inlineStr">
        <is>
          <t>cvmegahperkasakonstruksi@gmail.com</t>
        </is>
      </c>
      <c r="E116" t="inlineStr">
        <is>
          <t>https://lpjk.pu.go.id/search-badan-usaha-detail/QWdkeS9Vcno2OUQweU9wWnRta1dDZz09</t>
        </is>
      </c>
      <c r="F116" t="n">
        <v>3</v>
      </c>
      <c r="G116" t="inlineStr">
        <is>
          <t>BG006</t>
        </is>
      </c>
      <c r="H116" t="inlineStr">
        <is>
          <t>12 Juni 2023</t>
        </is>
      </c>
      <c r="I116" s="2" t="n">
        <v>46282</v>
      </c>
      <c r="J116" t="inlineStr">
        <is>
          <t>Disetujui</t>
        </is>
      </c>
      <c r="K116" t="n">
        <v>90</v>
      </c>
      <c r="L116" t="inlineStr">
        <is>
          <t>17 September 2026</t>
        </is>
      </c>
      <c r="M116" t="inlineStr">
        <is>
          <t>Konstruksi Gedung Pendidikan</t>
        </is>
      </c>
      <c r="N116" t="inlineStr">
        <is>
          <t>K</t>
        </is>
      </c>
      <c r="O116" t="inlineStr">
        <is>
          <t>20230908</t>
        </is>
      </c>
      <c r="P116" t="inlineStr">
        <is>
          <t>Jawa Tengah</t>
        </is>
      </c>
      <c r="Q116" t="inlineStr"/>
    </row>
    <row r="117">
      <c r="A117" t="inlineStr">
        <is>
          <t>MEGATEC ABADI</t>
        </is>
      </c>
      <c r="B117" t="inlineStr">
        <is>
          <t>Kota Kupang</t>
        </is>
      </c>
      <c r="C117" t="inlineStr">
        <is>
          <t>085338371255</t>
        </is>
      </c>
      <c r="D117" t="inlineStr">
        <is>
          <t>megatecabadi5@gmail.com</t>
        </is>
      </c>
      <c r="E117" t="inlineStr">
        <is>
          <t>https://lpjk.pu.go.id/search-badan-usaha-detail/RGRkeEE1dGFxdmNldXkxK1VSQnBMQT09</t>
        </is>
      </c>
      <c r="F117" t="n">
        <v>4</v>
      </c>
      <c r="G117" t="inlineStr">
        <is>
          <t>BG002, BG003, BG005, BG009</t>
        </is>
      </c>
      <c r="H117" t="inlineStr">
        <is>
          <t>17 Desember 2021</t>
        </is>
      </c>
      <c r="I117" s="2" t="n">
        <v>46282</v>
      </c>
      <c r="J117" t="inlineStr">
        <is>
          <t>Disetujui</t>
        </is>
      </c>
      <c r="K117" t="n">
        <v>90</v>
      </c>
      <c r="L117" t="inlineStr">
        <is>
          <t>17 September 2026</t>
        </is>
      </c>
      <c r="M117" t="inlineStr">
        <is>
          <t>Konstruksi Gedung Industri, Konstruksi Gedung Kesehatan, Konstruksi Gedung Lainnya, Konstruksi Gedung Perkantoran</t>
        </is>
      </c>
      <c r="N117" t="inlineStr">
        <is>
          <t>K</t>
        </is>
      </c>
      <c r="O117" t="inlineStr">
        <is>
          <t>20230731, 20230906</t>
        </is>
      </c>
      <c r="P117" t="inlineStr">
        <is>
          <t>Nusa Tenggara Timur</t>
        </is>
      </c>
      <c r="Q117" t="inlineStr"/>
    </row>
    <row r="118">
      <c r="A118" t="inlineStr">
        <is>
          <t>MEKAR SEJAHTERA</t>
        </is>
      </c>
      <c r="B118" t="inlineStr">
        <is>
          <t>Kab. Bantul</t>
        </is>
      </c>
      <c r="C118" t="inlineStr">
        <is>
          <t>087738392620</t>
        </is>
      </c>
      <c r="D118" t="inlineStr">
        <is>
          <t>NURIKHSANHIDAYAT33@gmail.com</t>
        </is>
      </c>
      <c r="E118" t="inlineStr">
        <is>
          <t>https://lpjk.pu.go.id/search-badan-usaha-detail/MHRQWk1aTW1MbS8ySWEwNmpBRGszdz09</t>
        </is>
      </c>
      <c r="F118" t="n">
        <v>2</v>
      </c>
      <c r="G118" t="inlineStr">
        <is>
          <t>BS001</t>
        </is>
      </c>
      <c r="H118" t="inlineStr">
        <is>
          <t>16 Januari 2006</t>
        </is>
      </c>
      <c r="I118" s="2" t="n">
        <v>46282</v>
      </c>
      <c r="J118" t="inlineStr">
        <is>
          <t>Disetujui</t>
        </is>
      </c>
      <c r="K118" t="n">
        <v>90</v>
      </c>
      <c r="L118" t="inlineStr">
        <is>
          <t>17 September 2026</t>
        </is>
      </c>
      <c r="M118" t="inlineStr">
        <is>
          <t>Konstruksi Bangunan Sipil Jalan</t>
        </is>
      </c>
      <c r="N118" t="inlineStr">
        <is>
          <t>K</t>
        </is>
      </c>
      <c r="O118" t="inlineStr">
        <is>
          <t>20230904</t>
        </is>
      </c>
      <c r="P118" t="inlineStr">
        <is>
          <t>DI Yogyakarta</t>
        </is>
      </c>
      <c r="Q118" t="inlineStr"/>
    </row>
    <row r="119">
      <c r="A119" t="inlineStr">
        <is>
          <t>MELATI MANDIRI</t>
        </is>
      </c>
      <c r="B119" t="inlineStr">
        <is>
          <t>Kota Pontianak</t>
        </is>
      </c>
      <c r="C119" t="inlineStr">
        <is>
          <t>089601461519</t>
        </is>
      </c>
      <c r="D119" t="inlineStr">
        <is>
          <t>melati_mandiri@ymail.com</t>
        </is>
      </c>
      <c r="E119" t="inlineStr">
        <is>
          <t>https://lpjk.pu.go.id/search-badan-usaha-detail/ZEZrVDBaZ090WFhTODFsWnRQTU1QZz09</t>
        </is>
      </c>
      <c r="F119" t="n">
        <v>3</v>
      </c>
      <c r="G119" t="inlineStr">
        <is>
          <t>BG001, BG002, BS001</t>
        </is>
      </c>
      <c r="H119" t="inlineStr">
        <is>
          <t>29 November 1993</t>
        </is>
      </c>
      <c r="I119" s="2" t="n">
        <v>46282</v>
      </c>
      <c r="J119" t="inlineStr">
        <is>
          <t>Disetujui</t>
        </is>
      </c>
      <c r="K119" t="n">
        <v>90</v>
      </c>
      <c r="L119" t="inlineStr">
        <is>
          <t>17 September 2026</t>
        </is>
      </c>
      <c r="M119" t="inlineStr">
        <is>
          <t>Konstruksi Bangunan Sipil Jalan, Konstruksi Gedung Hunian, Konstruksi Gedung Perkantoran</t>
        </is>
      </c>
      <c r="N119" t="inlineStr">
        <is>
          <t>K</t>
        </is>
      </c>
      <c r="O119" t="inlineStr">
        <is>
          <t>20230915, 20230917</t>
        </is>
      </c>
      <c r="P119" t="inlineStr">
        <is>
          <t>Kalimantan Barat</t>
        </is>
      </c>
      <c r="Q119" t="inlineStr"/>
    </row>
    <row r="120">
      <c r="A120" t="inlineStr">
        <is>
          <t>MENARA PERSADA</t>
        </is>
      </c>
      <c r="B120" t="inlineStr">
        <is>
          <t>Kab. Sidoarjo</t>
        </is>
      </c>
      <c r="C120" t="inlineStr">
        <is>
          <t>081377268768</t>
        </is>
      </c>
      <c r="D120" t="inlineStr">
        <is>
          <t>menarapersada@gmail.com</t>
        </is>
      </c>
      <c r="E120" t="inlineStr">
        <is>
          <t>https://lpjk.pu.go.id/search-badan-usaha-detail/eEVuZktpYkNnY3NKWVNxc2prSGgxUT09</t>
        </is>
      </c>
      <c r="F120" t="n">
        <v>2</v>
      </c>
      <c r="G120" t="inlineStr">
        <is>
          <t>BG009, BS001</t>
        </is>
      </c>
      <c r="H120" t="inlineStr">
        <is>
          <t>9 Agustus 2005</t>
        </is>
      </c>
      <c r="I120" s="2" t="n">
        <v>46282</v>
      </c>
      <c r="J120" t="inlineStr">
        <is>
          <t>Disetujui</t>
        </is>
      </c>
      <c r="K120" t="n">
        <v>90</v>
      </c>
      <c r="L120" t="inlineStr">
        <is>
          <t>17 September 2026</t>
        </is>
      </c>
      <c r="M120" t="inlineStr">
        <is>
          <t>Konstruksi Bangunan Sipil Jalan, Konstruksi Gedung Lainnya</t>
        </is>
      </c>
      <c r="N120" t="inlineStr">
        <is>
          <t>K</t>
        </is>
      </c>
      <c r="O120" t="inlineStr">
        <is>
          <t>20230905, 20230909</t>
        </is>
      </c>
      <c r="P120" t="inlineStr">
        <is>
          <t>Jawa Timur</t>
        </is>
      </c>
      <c r="Q120" t="inlineStr"/>
    </row>
    <row r="121">
      <c r="A121" t="inlineStr">
        <is>
          <t>MERAH PUTIH</t>
        </is>
      </c>
      <c r="B121" t="inlineStr">
        <is>
          <t>Kota Semarang</t>
        </is>
      </c>
      <c r="C121" t="inlineStr">
        <is>
          <t>02470465569</t>
        </is>
      </c>
      <c r="D121" t="inlineStr">
        <is>
          <t>riskykiki21221@yahoo.com</t>
        </is>
      </c>
      <c r="E121" t="inlineStr">
        <is>
          <t>https://lpjk.pu.go.id/search-badan-usaha-detail/U0hXdjNkdzNSYVFWVThjeitxVndLUT09</t>
        </is>
      </c>
      <c r="F121" t="n">
        <v>3</v>
      </c>
      <c r="G121" t="inlineStr">
        <is>
          <t>BG002, BG006, BG009</t>
        </is>
      </c>
      <c r="H121" t="inlineStr">
        <is>
          <t>12 Januari 2010</t>
        </is>
      </c>
      <c r="I121" s="2" t="n">
        <v>46282</v>
      </c>
      <c r="J121" t="inlineStr">
        <is>
          <t>Disetujui</t>
        </is>
      </c>
      <c r="K121" t="n">
        <v>90</v>
      </c>
      <c r="L121" t="inlineStr">
        <is>
          <t>17 September 2026</t>
        </is>
      </c>
      <c r="M121" t="inlineStr">
        <is>
          <t>Konstruksi Gedung Lainnya, Konstruksi Gedung Pendidikan, Konstruksi Gedung Perkantoran</t>
        </is>
      </c>
      <c r="N121" t="inlineStr">
        <is>
          <t>K</t>
        </is>
      </c>
      <c r="O121" t="inlineStr">
        <is>
          <t>20230911, 20230912, 20230913</t>
        </is>
      </c>
      <c r="P121" t="inlineStr">
        <is>
          <t>Jawa Tengah</t>
        </is>
      </c>
      <c r="Q121" t="inlineStr"/>
    </row>
    <row r="122">
      <c r="A122" t="inlineStr">
        <is>
          <t>MITRA HOSINDO SEJAHTERA</t>
        </is>
      </c>
      <c r="B122" t="inlineStr">
        <is>
          <t>Kota Batam</t>
        </is>
      </c>
      <c r="C122" t="inlineStr">
        <is>
          <t>0811693434</t>
        </is>
      </c>
      <c r="D122" t="inlineStr">
        <is>
          <t>mitrahosindo@yahoo.co.id</t>
        </is>
      </c>
      <c r="E122" t="inlineStr">
        <is>
          <t>https://lpjk.pu.go.id/search-badan-usaha-detail/QmU1QUdreFBWdWVJQmE0cWpscUdIZz09</t>
        </is>
      </c>
      <c r="F122" t="n">
        <v>1</v>
      </c>
      <c r="G122" t="inlineStr">
        <is>
          <t>BS009</t>
        </is>
      </c>
      <c r="H122" t="inlineStr">
        <is>
          <t>22 Juli 1998</t>
        </is>
      </c>
      <c r="I122" s="2" t="n">
        <v>46282</v>
      </c>
      <c r="J122" t="inlineStr">
        <is>
          <t>Disetujui</t>
        </is>
      </c>
      <c r="K122" t="n">
        <v>90</v>
      </c>
      <c r="L122" t="inlineStr">
        <is>
          <t>17 September 2026</t>
        </is>
      </c>
      <c r="M122" t="inlineStr">
        <is>
          <t>Konstruksi Sentral Telekomunikasi</t>
        </is>
      </c>
      <c r="N122" t="inlineStr">
        <is>
          <t>K</t>
        </is>
      </c>
      <c r="O122" t="inlineStr">
        <is>
          <t>20230918</t>
        </is>
      </c>
      <c r="P122" t="inlineStr">
        <is>
          <t>Kepulauan Riau</t>
        </is>
      </c>
      <c r="Q122" t="inlineStr"/>
    </row>
    <row r="123">
      <c r="A123" t="inlineStr">
        <is>
          <t>MITRA KARYA LESTARI</t>
        </is>
      </c>
      <c r="B123" t="inlineStr">
        <is>
          <t>Kab. Belitung Timur</t>
        </is>
      </c>
      <c r="C123" t="inlineStr">
        <is>
          <t>081279975280</t>
        </is>
      </c>
      <c r="D123" t="inlineStr">
        <is>
          <t>cv.mitrakaryalestari@yahoo.com</t>
        </is>
      </c>
      <c r="E123" t="inlineStr">
        <is>
          <t>https://lpjk.pu.go.id/search-badan-usaha-detail/VVIvbDE0cEswOCtha1hySHJ6YXdiUT09</t>
        </is>
      </c>
      <c r="F123" t="n">
        <v>1</v>
      </c>
      <c r="G123" t="inlineStr">
        <is>
          <t>BS001</t>
        </is>
      </c>
      <c r="H123" t="inlineStr">
        <is>
          <t>7 Januari 2020</t>
        </is>
      </c>
      <c r="I123" s="2" t="n">
        <v>46282</v>
      </c>
      <c r="J123" t="inlineStr">
        <is>
          <t>Disetujui</t>
        </is>
      </c>
      <c r="K123" t="n">
        <v>90</v>
      </c>
      <c r="L123" t="inlineStr">
        <is>
          <t>17 September 2026</t>
        </is>
      </c>
      <c r="M123" t="inlineStr">
        <is>
          <t>Konstruksi Bangunan Sipil Jalan</t>
        </is>
      </c>
      <c r="N123" t="inlineStr">
        <is>
          <t>K</t>
        </is>
      </c>
      <c r="O123" t="inlineStr">
        <is>
          <t>20230724</t>
        </is>
      </c>
      <c r="P123" t="inlineStr">
        <is>
          <t>Kepulauan Bangka Belitung</t>
        </is>
      </c>
      <c r="Q123" t="inlineStr"/>
    </row>
    <row r="124">
      <c r="A124" t="inlineStr">
        <is>
          <t>MITRA MUTIARA</t>
        </is>
      </c>
      <c r="B124" t="inlineStr">
        <is>
          <t>Kab. Maros</t>
        </is>
      </c>
      <c r="C124" t="inlineStr">
        <is>
          <t>085345406501</t>
        </is>
      </c>
      <c r="D124" t="inlineStr">
        <is>
          <t>cv.mitra_mutiara@yahoo.com</t>
        </is>
      </c>
      <c r="E124" t="inlineStr">
        <is>
          <t>https://lpjk.pu.go.id/search-badan-usaha-detail/dkl0djNENUQrVnF0eDhta21yK1FBdz09</t>
        </is>
      </c>
      <c r="F124" t="n">
        <v>1</v>
      </c>
      <c r="G124" t="inlineStr">
        <is>
          <t>BS002</t>
        </is>
      </c>
      <c r="H124" t="inlineStr">
        <is>
          <t>4 Mei 1999</t>
        </is>
      </c>
      <c r="I124" s="2" t="n">
        <v>46282</v>
      </c>
      <c r="J124" t="inlineStr">
        <is>
          <t>Disetujui</t>
        </is>
      </c>
      <c r="K124" t="n">
        <v>90</v>
      </c>
      <c r="L124" t="inlineStr">
        <is>
          <t>17 September 2026</t>
        </is>
      </c>
      <c r="M124" t="inlineStr">
        <is>
          <t>Bangunan Sipil Jembatan, Jalan Layang, Fly Over, dan Underpass</t>
        </is>
      </c>
      <c r="N124" t="inlineStr">
        <is>
          <t>K</t>
        </is>
      </c>
      <c r="O124" t="inlineStr">
        <is>
          <t>20230731</t>
        </is>
      </c>
      <c r="P124" t="inlineStr">
        <is>
          <t>Sulawesi Selatan</t>
        </is>
      </c>
      <c r="Q124" t="inlineStr"/>
    </row>
    <row r="125">
      <c r="A125" t="inlineStr">
        <is>
          <t>MITRAKARYA TEGUHSETIA</t>
        </is>
      </c>
      <c r="B125" t="inlineStr">
        <is>
          <t>Kota Adm. Jakarta Barat</t>
        </is>
      </c>
      <c r="C125" t="inlineStr">
        <is>
          <t>08129930629</t>
        </is>
      </c>
      <c r="D125" t="inlineStr">
        <is>
          <t>teguhsetiam@gmail.com</t>
        </is>
      </c>
      <c r="E125" t="inlineStr">
        <is>
          <t>https://lpjk.pu.go.id/search-badan-usaha-detail/S0lLQitiRG83T2YranlqN2k3T1lmUT09</t>
        </is>
      </c>
      <c r="F125" t="n">
        <v>1</v>
      </c>
      <c r="G125" t="inlineStr">
        <is>
          <t>PB001</t>
        </is>
      </c>
      <c r="H125" t="inlineStr">
        <is>
          <t>10 November 1995</t>
        </is>
      </c>
      <c r="I125" s="2" t="n">
        <v>46282</v>
      </c>
      <c r="J125" t="inlineStr">
        <is>
          <t>Pencabutan</t>
        </is>
      </c>
      <c r="K125" t="n">
        <v>90</v>
      </c>
      <c r="L125" t="inlineStr">
        <is>
          <t>17 September 2026</t>
        </is>
      </c>
      <c r="M125" t="inlineStr">
        <is>
          <t>Pengerjaan Pemasangan Kaca dan Alumunium</t>
        </is>
      </c>
      <c r="N125" t="inlineStr">
        <is>
          <t>Spesialis</t>
        </is>
      </c>
      <c r="O125" t="inlineStr">
        <is>
          <t>20230914</t>
        </is>
      </c>
      <c r="P125" t="inlineStr">
        <is>
          <t>DKI Jakarta</t>
        </is>
      </c>
      <c r="Q125" t="inlineStr"/>
    </row>
    <row r="126">
      <c r="A126" t="inlineStr">
        <is>
          <t>MUBARAK</t>
        </is>
      </c>
      <c r="B126" t="inlineStr">
        <is>
          <t>Kab. Majene</t>
        </is>
      </c>
      <c r="C126" t="inlineStr">
        <is>
          <t>081355201798</t>
        </is>
      </c>
      <c r="D126" t="inlineStr">
        <is>
          <t>mubarak77cv@gmail.com</t>
        </is>
      </c>
      <c r="E126" t="inlineStr">
        <is>
          <t>https://lpjk.pu.go.id/search-badan-usaha-detail/SlQvQXprcVR2RlUrNlhvc2FRWmMyUT09</t>
        </is>
      </c>
      <c r="F126" t="n">
        <v>1</v>
      </c>
      <c r="G126" t="inlineStr">
        <is>
          <t>BG002</t>
        </is>
      </c>
      <c r="H126" t="inlineStr">
        <is>
          <t>11 April 2002</t>
        </is>
      </c>
      <c r="I126" s="2" t="n">
        <v>46282</v>
      </c>
      <c r="J126" t="inlineStr">
        <is>
          <t>Pencabutan</t>
        </is>
      </c>
      <c r="K126" t="n">
        <v>90</v>
      </c>
      <c r="L126" t="inlineStr">
        <is>
          <t>17 September 2026</t>
        </is>
      </c>
      <c r="M126" t="inlineStr">
        <is>
          <t>Konstruksi Gedung Perkantoran</t>
        </is>
      </c>
      <c r="N126" t="inlineStr">
        <is>
          <t>K</t>
        </is>
      </c>
      <c r="O126" t="inlineStr">
        <is>
          <t>20230915</t>
        </is>
      </c>
      <c r="P126" t="inlineStr">
        <is>
          <t>Sulawesi Barat</t>
        </is>
      </c>
      <c r="Q126" t="inlineStr"/>
    </row>
    <row r="127">
      <c r="A127" t="inlineStr">
        <is>
          <t>MUHAMMAD JUSUP SUMARDHY</t>
        </is>
      </c>
      <c r="B127" t="inlineStr">
        <is>
          <t>Kab. Bulungan</t>
        </is>
      </c>
      <c r="C127" t="inlineStr">
        <is>
          <t>081253577861</t>
        </is>
      </c>
      <c r="D127" t="inlineStr">
        <is>
          <t>muhammadjusup812@gmail.com</t>
        </is>
      </c>
      <c r="E127" t="inlineStr">
        <is>
          <t>https://lpjk.pu.go.id/search-badan-usaha-detail/YlZxMTllSUtRWUd1RHk5dEFHRnZ6Zz09</t>
        </is>
      </c>
      <c r="F127" t="n">
        <v>1</v>
      </c>
      <c r="G127" t="inlineStr">
        <is>
          <t>BS001</t>
        </is>
      </c>
      <c r="H127" t="inlineStr">
        <is>
          <t>21 Januari 2014</t>
        </is>
      </c>
      <c r="I127" s="2" t="n">
        <v>46282</v>
      </c>
      <c r="J127" t="inlineStr">
        <is>
          <t>Disetujui</t>
        </is>
      </c>
      <c r="K127" t="n">
        <v>90</v>
      </c>
      <c r="L127" t="inlineStr">
        <is>
          <t>17 September 2026</t>
        </is>
      </c>
      <c r="M127" t="inlineStr">
        <is>
          <t>Konstruksi Bangunan Sipil Jalan</t>
        </is>
      </c>
      <c r="N127" t="inlineStr">
        <is>
          <t>K</t>
        </is>
      </c>
      <c r="O127" t="inlineStr">
        <is>
          <t>20230912</t>
        </is>
      </c>
      <c r="P127" t="inlineStr">
        <is>
          <t>Kalimantan Utara</t>
        </is>
      </c>
      <c r="Q127" t="inlineStr"/>
    </row>
    <row r="128">
      <c r="A128" t="inlineStr">
        <is>
          <t>MUTIA PRATAMA KONSTRUKSI</t>
        </is>
      </c>
      <c r="B128" t="inlineStr">
        <is>
          <t>Kab. Indragiri Hulu</t>
        </is>
      </c>
      <c r="C128" t="inlineStr">
        <is>
          <t>085271801856</t>
        </is>
      </c>
      <c r="D128" t="inlineStr">
        <is>
          <t>mutiapratamakonstruksi@gmail.com</t>
        </is>
      </c>
      <c r="E128" t="inlineStr">
        <is>
          <t>https://lpjk.pu.go.id/search-badan-usaha-detail/VnEzZG9tWnhQQWxvVlRrWlYrbm5wZz09</t>
        </is>
      </c>
      <c r="F128" t="n">
        <v>3</v>
      </c>
      <c r="G128" t="inlineStr">
        <is>
          <t>BG009, BS001, BS004</t>
        </is>
      </c>
      <c r="H128" t="inlineStr">
        <is>
          <t>6 Juni 2023</t>
        </is>
      </c>
      <c r="I128" s="2" t="n">
        <v>46282</v>
      </c>
      <c r="J128" t="inlineStr">
        <is>
          <t>Disetujui</t>
        </is>
      </c>
      <c r="K128" t="n">
        <v>90</v>
      </c>
      <c r="L128" t="inlineStr">
        <is>
          <t>17 September 2026</t>
        </is>
      </c>
      <c r="M128" t="inlineStr">
        <is>
          <t>Konstruksi Bangunan Sipil Jalan, Konstruksi Gedung Lainnya, Konstruksi Jaringan Irigasi dan Drainase</t>
        </is>
      </c>
      <c r="N128" t="inlineStr">
        <is>
          <t>K</t>
        </is>
      </c>
      <c r="O128" t="inlineStr">
        <is>
          <t>20230613, 20230918</t>
        </is>
      </c>
      <c r="P128" t="inlineStr">
        <is>
          <t>Riau</t>
        </is>
      </c>
      <c r="Q128" t="inlineStr"/>
    </row>
    <row r="129">
      <c r="A129" t="inlineStr">
        <is>
          <t>MUTIARA ABADI</t>
        </is>
      </c>
      <c r="B129" t="inlineStr">
        <is>
          <t>Kab. Ciamis</t>
        </is>
      </c>
      <c r="C129" t="inlineStr">
        <is>
          <t>0265773807</t>
        </is>
      </c>
      <c r="D129" t="inlineStr">
        <is>
          <t>mutiara_abadi03@yahoo.co.id</t>
        </is>
      </c>
      <c r="E129" t="inlineStr">
        <is>
          <t>https://lpjk.pu.go.id/search-badan-usaha-detail/V2lEaUFuclgzd25OdmZ4REcwRVRCdz09</t>
        </is>
      </c>
      <c r="F129" t="n">
        <v>2</v>
      </c>
      <c r="G129" t="inlineStr">
        <is>
          <t>BG005</t>
        </is>
      </c>
      <c r="H129" t="inlineStr">
        <is>
          <t>20 Maret 2007</t>
        </is>
      </c>
      <c r="I129" s="2" t="n">
        <v>46282</v>
      </c>
      <c r="J129" t="inlineStr">
        <is>
          <t>Disetujui</t>
        </is>
      </c>
      <c r="K129" t="n">
        <v>90</v>
      </c>
      <c r="L129" t="inlineStr">
        <is>
          <t>17 September 2026</t>
        </is>
      </c>
      <c r="M129" t="inlineStr">
        <is>
          <t>Konstruksi Gedung Kesehatan</t>
        </is>
      </c>
      <c r="N129" t="inlineStr">
        <is>
          <t>K</t>
        </is>
      </c>
      <c r="O129" t="inlineStr">
        <is>
          <t>20230911</t>
        </is>
      </c>
      <c r="P129" t="inlineStr">
        <is>
          <t>Jawa Barat</t>
        </is>
      </c>
      <c r="Q129" t="inlineStr"/>
    </row>
    <row r="130">
      <c r="A130" t="inlineStr">
        <is>
          <t>MUTIARA DEBU SEJAHTERA</t>
        </is>
      </c>
      <c r="B130" t="inlineStr">
        <is>
          <t>Kota Serang</t>
        </is>
      </c>
      <c r="C130" t="inlineStr">
        <is>
          <t>081906088822</t>
        </is>
      </c>
      <c r="D130" t="inlineStr">
        <is>
          <t>mutiaradebu2020@gmail.com</t>
        </is>
      </c>
      <c r="E130" t="inlineStr">
        <is>
          <t>https://lpjk.pu.go.id/search-badan-usaha-detail/eWtTajJPV0VKS05yUUhjMit6ei8wUT09</t>
        </is>
      </c>
      <c r="F130" t="n">
        <v>6</v>
      </c>
      <c r="G130" t="inlineStr">
        <is>
          <t>RK001, RK002, RK003</t>
        </is>
      </c>
      <c r="H130" t="inlineStr">
        <is>
          <t>23 Juni 2020</t>
        </is>
      </c>
      <c r="I130" s="2" t="n">
        <v>46282</v>
      </c>
      <c r="J130" t="inlineStr">
        <is>
          <t>Disetujui, Pencabutan</t>
        </is>
      </c>
      <c r="K130" t="n">
        <v>90</v>
      </c>
      <c r="L130" t="inlineStr">
        <is>
          <t>17 September 2026</t>
        </is>
      </c>
      <c r="M130" t="inlineStr">
        <is>
          <t>Jasa Rekayasa Konstruksi Bangunan Gedung Hunian dan Non Hunian, Jasa Rekayasa Pekerjaan Teknik Sipil Sumber Daya Air, Jasa Rekayasa Pekerjaan Teknik Sipil Transportasi</t>
        </is>
      </c>
      <c r="N130" t="inlineStr">
        <is>
          <t>K</t>
        </is>
      </c>
      <c r="O130" t="inlineStr">
        <is>
          <t>20230831, 20230905</t>
        </is>
      </c>
      <c r="P130" t="inlineStr">
        <is>
          <t>Banten</t>
        </is>
      </c>
      <c r="Q130" t="inlineStr"/>
    </row>
    <row r="131">
      <c r="A131" t="inlineStr">
        <is>
          <t>NABILA JAYA ABADI</t>
        </is>
      </c>
      <c r="B131" t="inlineStr">
        <is>
          <t>Kab. Tanah Bumbu</t>
        </is>
      </c>
      <c r="C131" t="inlineStr">
        <is>
          <t>081253807387</t>
        </is>
      </c>
      <c r="D131" t="inlineStr">
        <is>
          <t>nabilajayaabadi123@gmail.com</t>
        </is>
      </c>
      <c r="E131" t="inlineStr">
        <is>
          <t>https://lpjk.pu.go.id/search-badan-usaha-detail/ZUU4OUlybVBQdmI2SExuMWE5b0hXdz09</t>
        </is>
      </c>
      <c r="F131" t="n">
        <v>2</v>
      </c>
      <c r="G131" t="inlineStr">
        <is>
          <t>BG009</t>
        </is>
      </c>
      <c r="H131" t="inlineStr">
        <is>
          <t>28 Juni 2014</t>
        </is>
      </c>
      <c r="I131" s="2" t="n">
        <v>46282</v>
      </c>
      <c r="J131" t="inlineStr">
        <is>
          <t>Disetujui</t>
        </is>
      </c>
      <c r="K131" t="n">
        <v>90</v>
      </c>
      <c r="L131" t="inlineStr">
        <is>
          <t>17 September 2026</t>
        </is>
      </c>
      <c r="M131" t="inlineStr">
        <is>
          <t>Konstruksi Gedung Lainnya</t>
        </is>
      </c>
      <c r="N131" t="inlineStr">
        <is>
          <t>K</t>
        </is>
      </c>
      <c r="O131" t="inlineStr">
        <is>
          <t>20230915</t>
        </is>
      </c>
      <c r="P131" t="inlineStr">
        <is>
          <t>Kalimantan Selatan</t>
        </is>
      </c>
      <c r="Q131" t="inlineStr"/>
    </row>
    <row r="132">
      <c r="A132" t="inlineStr">
        <is>
          <t>NABILA KARUNIA UTAMA</t>
        </is>
      </c>
      <c r="B132" t="inlineStr">
        <is>
          <t>Kota Pekanbaru</t>
        </is>
      </c>
      <c r="C132" t="inlineStr">
        <is>
          <t>082388158890</t>
        </is>
      </c>
      <c r="D132" t="inlineStr">
        <is>
          <t>nabila_karunia@yahoo.com</t>
        </is>
      </c>
      <c r="E132" t="inlineStr">
        <is>
          <t>https://lpjk.pu.go.id/search-badan-usaha-detail/ejVOZHZNb0ZHUW5PRnh4VTdpa3g4dz09</t>
        </is>
      </c>
      <c r="F132" t="n">
        <v>2</v>
      </c>
      <c r="G132" t="inlineStr">
        <is>
          <t>BS001</t>
        </is>
      </c>
      <c r="H132" t="inlineStr">
        <is>
          <t>11 April 2017</t>
        </is>
      </c>
      <c r="I132" s="2" t="n">
        <v>46282</v>
      </c>
      <c r="J132" t="inlineStr">
        <is>
          <t>Pencabutan</t>
        </is>
      </c>
      <c r="K132" t="n">
        <v>90</v>
      </c>
      <c r="L132" t="inlineStr">
        <is>
          <t>17 September 2026</t>
        </is>
      </c>
      <c r="M132" t="inlineStr">
        <is>
          <t>Konstruksi Bangunan Sipil Jalan</t>
        </is>
      </c>
      <c r="N132" t="inlineStr">
        <is>
          <t>K</t>
        </is>
      </c>
      <c r="O132" t="inlineStr">
        <is>
          <t>20230909</t>
        </is>
      </c>
      <c r="P132" t="inlineStr">
        <is>
          <t>Riau</t>
        </is>
      </c>
      <c r="Q132" t="inlineStr"/>
    </row>
    <row r="133">
      <c r="A133" t="inlineStr">
        <is>
          <t>NAGARI LUKINDO SEJAHTERA</t>
        </is>
      </c>
      <c r="B133" t="inlineStr">
        <is>
          <t>Kota Padang</t>
        </is>
      </c>
      <c r="C133" t="inlineStr">
        <is>
          <t>081363338800</t>
        </is>
      </c>
      <c r="D133" t="inlineStr">
        <is>
          <t>mardialselas@yahoo.com</t>
        </is>
      </c>
      <c r="E133" t="inlineStr">
        <is>
          <t>https://lpjk.pu.go.id/search-badan-usaha-detail/M1g5NXZxcGZZc216dmFCWndtUW1zdz09</t>
        </is>
      </c>
      <c r="F133" t="n">
        <v>2</v>
      </c>
      <c r="G133" t="inlineStr">
        <is>
          <t>BG005, BG009</t>
        </is>
      </c>
      <c r="H133" t="inlineStr">
        <is>
          <t>5 Mei 2011</t>
        </is>
      </c>
      <c r="I133" s="2" t="n">
        <v>46282</v>
      </c>
      <c r="J133" t="inlineStr">
        <is>
          <t>Disetujui</t>
        </is>
      </c>
      <c r="K133" t="n">
        <v>90</v>
      </c>
      <c r="L133" t="inlineStr">
        <is>
          <t>17 September 2026</t>
        </is>
      </c>
      <c r="M133" t="inlineStr">
        <is>
          <t>Konstruksi Gedung Kesehatan, Konstruksi Gedung Lainnya</t>
        </is>
      </c>
      <c r="N133" t="inlineStr">
        <is>
          <t>K</t>
        </is>
      </c>
      <c r="O133" t="inlineStr">
        <is>
          <t>20230912</t>
        </is>
      </c>
      <c r="P133" t="inlineStr">
        <is>
          <t>Sumatera Barat</t>
        </is>
      </c>
      <c r="Q133" t="inlineStr"/>
    </row>
    <row r="134">
      <c r="A134" t="inlineStr">
        <is>
          <t>NAUFAL BERKARYA</t>
        </is>
      </c>
      <c r="B134" t="inlineStr">
        <is>
          <t>Kota Bandar Lampung</t>
        </is>
      </c>
      <c r="C134" t="inlineStr">
        <is>
          <t>082175480791</t>
        </is>
      </c>
      <c r="D134" t="inlineStr">
        <is>
          <t>naufalberkarya.cv@yahoo.com</t>
        </is>
      </c>
      <c r="E134" t="inlineStr">
        <is>
          <t>https://lpjk.pu.go.id/search-badan-usaha-detail/UXlldGpZQ0huNFU1REJDVXNyNFh3QT09</t>
        </is>
      </c>
      <c r="F134" t="n">
        <v>4</v>
      </c>
      <c r="G134" t="inlineStr">
        <is>
          <t>BG002, BG009, BS001, BS004</t>
        </is>
      </c>
      <c r="H134" t="inlineStr">
        <is>
          <t>5 Februari 2018</t>
        </is>
      </c>
      <c r="I134" s="2" t="n">
        <v>46282</v>
      </c>
      <c r="J134" t="inlineStr">
        <is>
          <t>Disetujui</t>
        </is>
      </c>
      <c r="K134" t="n">
        <v>90</v>
      </c>
      <c r="L134" t="inlineStr">
        <is>
          <t>17 September 2026</t>
        </is>
      </c>
      <c r="M134" t="inlineStr">
        <is>
          <t>Konstruksi Bangunan Sipil Jalan, Konstruksi Gedung Lainnya, Konstruksi Gedung Perkantoran, Konstruksi Jaringan Irigasi dan Drainase</t>
        </is>
      </c>
      <c r="N134" t="inlineStr">
        <is>
          <t>K</t>
        </is>
      </c>
      <c r="O134" t="inlineStr">
        <is>
          <t>20230827, 20230829, 20230911</t>
        </is>
      </c>
      <c r="P134" t="inlineStr">
        <is>
          <t>Lampung</t>
        </is>
      </c>
      <c r="Q134" t="inlineStr"/>
    </row>
    <row r="135">
      <c r="A135" t="inlineStr">
        <is>
          <t>NOBEL PRATAMA KONTRAKTOR</t>
        </is>
      </c>
      <c r="B135" t="inlineStr">
        <is>
          <t>Kab. Demak</t>
        </is>
      </c>
      <c r="C135" t="inlineStr">
        <is>
          <t>081226111134</t>
        </is>
      </c>
      <c r="D135" t="inlineStr">
        <is>
          <t>nobelpratama22@gmail.com</t>
        </is>
      </c>
      <c r="E135" t="inlineStr">
        <is>
          <t>https://lpjk.pu.go.id/search-badan-usaha-detail/UExmYmJmRTZwb0p4akRMcVQyQ3Q0UT09</t>
        </is>
      </c>
      <c r="F135" t="n">
        <v>5</v>
      </c>
      <c r="G135" t="inlineStr">
        <is>
          <t>BG002, BG006, BG009, BS001, BS004</t>
        </is>
      </c>
      <c r="H135" t="inlineStr">
        <is>
          <t>30 Juni 2009</t>
        </is>
      </c>
      <c r="I135" s="2" t="n">
        <v>46282</v>
      </c>
      <c r="J135" t="inlineStr">
        <is>
          <t>Disetujui</t>
        </is>
      </c>
      <c r="K135" t="n">
        <v>90</v>
      </c>
      <c r="L135" t="inlineStr">
        <is>
          <t>17 September 2026</t>
        </is>
      </c>
      <c r="M135" t="inlineStr">
        <is>
          <t>Konstruksi Bangunan Sipil Jalan, Konstruksi Gedung Lainnya, Konstruksi Gedung Pendidikan, Konstruksi Gedung Perkantoran, Konstruksi Jaringan Irigasi dan Drainase</t>
        </is>
      </c>
      <c r="N135" t="inlineStr">
        <is>
          <t>K</t>
        </is>
      </c>
      <c r="O135" t="inlineStr">
        <is>
          <t>20230913, 20230914</t>
        </is>
      </c>
      <c r="P135" t="inlineStr">
        <is>
          <t>Jawa Tengah</t>
        </is>
      </c>
      <c r="Q135" t="inlineStr"/>
    </row>
    <row r="136">
      <c r="A136" t="inlineStr">
        <is>
          <t>NUR TIGA UTAMA</t>
        </is>
      </c>
      <c r="B136" t="inlineStr">
        <is>
          <t>Kab. Kotawaringin Barat</t>
        </is>
      </c>
      <c r="C136" t="inlineStr">
        <is>
          <t>082140971711</t>
        </is>
      </c>
      <c r="D136" t="inlineStr">
        <is>
          <t>cvnurtigautama@gmail.com</t>
        </is>
      </c>
      <c r="E136" t="inlineStr">
        <is>
          <t>https://lpjk.pu.go.id/search-badan-usaha-detail/SGVzL1hLOS9aSzRSU1JDMmlJNUlxUT09</t>
        </is>
      </c>
      <c r="F136" t="n">
        <v>4</v>
      </c>
      <c r="G136" t="inlineStr">
        <is>
          <t>BG009, BS001, BS002, BS004</t>
        </is>
      </c>
      <c r="H136" t="inlineStr">
        <is>
          <t>12 Januari 2023</t>
        </is>
      </c>
      <c r="I136" s="2" t="n">
        <v>46282</v>
      </c>
      <c r="J136" t="inlineStr">
        <is>
          <t>Disetujui</t>
        </is>
      </c>
      <c r="K136" t="n">
        <v>90</v>
      </c>
      <c r="L136" t="inlineStr">
        <is>
          <t>17 September 2026</t>
        </is>
      </c>
      <c r="M136" t="inlineStr">
        <is>
          <t>Bangunan Sipil Jembatan, Jalan Layang, Fly Over, dan Underpass, Konstruksi Bangunan Sipil Jalan, Konstruksi Gedung Lainnya, Konstruksi Jaringan Irigasi dan Drainase</t>
        </is>
      </c>
      <c r="N136" t="inlineStr">
        <is>
          <t>K</t>
        </is>
      </c>
      <c r="O136" t="inlineStr">
        <is>
          <t>20230913</t>
        </is>
      </c>
      <c r="P136" t="inlineStr">
        <is>
          <t>Kalimantan Tengah</t>
        </is>
      </c>
      <c r="Q136" t="inlineStr"/>
    </row>
    <row r="137">
      <c r="A137" t="inlineStr">
        <is>
          <t>NURA KARYA KONSULTAN</t>
        </is>
      </c>
      <c r="B137" t="inlineStr">
        <is>
          <t>Kota Serang</t>
        </is>
      </c>
      <c r="C137" t="inlineStr">
        <is>
          <t>082127233911</t>
        </is>
      </c>
      <c r="D137" t="inlineStr">
        <is>
          <t>cv.nurakaryakonsultan@gmail.com</t>
        </is>
      </c>
      <c r="E137" t="inlineStr">
        <is>
          <t>https://lpjk.pu.go.id/search-badan-usaha-detail/SStpVk5aemorYjY3TTlTVzBTd3RJZz09</t>
        </is>
      </c>
      <c r="F137" t="n">
        <v>1</v>
      </c>
      <c r="G137" t="inlineStr">
        <is>
          <t>RK001</t>
        </is>
      </c>
      <c r="H137" t="inlineStr">
        <is>
          <t>7 Januari 2021</t>
        </is>
      </c>
      <c r="I137" s="2" t="n">
        <v>46282</v>
      </c>
      <c r="J137" t="inlineStr">
        <is>
          <t>Disetujui</t>
        </is>
      </c>
      <c r="K137" t="n">
        <v>90</v>
      </c>
      <c r="L137" t="inlineStr">
        <is>
          <t>17 September 2026</t>
        </is>
      </c>
      <c r="M137" t="inlineStr">
        <is>
          <t>Jasa Rekayasa Konstruksi Bangunan Gedung Hunian dan Non Hunian</t>
        </is>
      </c>
      <c r="N137" t="inlineStr">
        <is>
          <t>K</t>
        </is>
      </c>
      <c r="O137" t="inlineStr">
        <is>
          <t>20230904</t>
        </is>
      </c>
      <c r="P137" t="inlineStr">
        <is>
          <t>Banten</t>
        </is>
      </c>
      <c r="Q137" t="inlineStr"/>
    </row>
    <row r="138">
      <c r="A138" t="inlineStr">
        <is>
          <t>PADJADJARAN</t>
        </is>
      </c>
      <c r="B138" t="inlineStr">
        <is>
          <t>Kab. Tasikmalaya</t>
        </is>
      </c>
      <c r="C138" t="inlineStr">
        <is>
          <t>081220237536</t>
        </is>
      </c>
      <c r="D138" t="inlineStr">
        <is>
          <t>cv.padjadjarankm21@gmail.com</t>
        </is>
      </c>
      <c r="E138" t="inlineStr">
        <is>
          <t>https://lpjk.pu.go.id/search-badan-usaha-detail/eHAzVlNjVUhOaDFFZExrUmRva0Y4UT09</t>
        </is>
      </c>
      <c r="F138" t="n">
        <v>3</v>
      </c>
      <c r="G138" t="inlineStr">
        <is>
          <t>BG006, BG009, BS001</t>
        </is>
      </c>
      <c r="H138" t="inlineStr">
        <is>
          <t>9 September 1999</t>
        </is>
      </c>
      <c r="I138" s="2" t="n">
        <v>46282</v>
      </c>
      <c r="J138" t="inlineStr">
        <is>
          <t>Disetujui</t>
        </is>
      </c>
      <c r="K138" t="n">
        <v>90</v>
      </c>
      <c r="L138" t="inlineStr">
        <is>
          <t>17 September 2026</t>
        </is>
      </c>
      <c r="M138" t="inlineStr">
        <is>
          <t>Konstruksi Bangunan Sipil Jalan, Konstruksi Gedung Lainnya, Konstruksi Gedung Pendidikan</t>
        </is>
      </c>
      <c r="N138" t="inlineStr">
        <is>
          <t>K</t>
        </is>
      </c>
      <c r="O138" t="inlineStr">
        <is>
          <t>20230914, 20230917</t>
        </is>
      </c>
      <c r="P138" t="inlineStr">
        <is>
          <t>Jawa Barat</t>
        </is>
      </c>
      <c r="Q138" t="inlineStr"/>
    </row>
    <row r="139">
      <c r="A139" t="inlineStr">
        <is>
          <t>PANCA BERSAUDARA</t>
        </is>
      </c>
      <c r="B139" t="inlineStr">
        <is>
          <t>Kota Palembang</t>
        </is>
      </c>
      <c r="C139" t="inlineStr">
        <is>
          <t>081273945577</t>
        </is>
      </c>
      <c r="D139" t="inlineStr">
        <is>
          <t>cv.pancabersaudara@yahoo.co.id</t>
        </is>
      </c>
      <c r="E139" t="inlineStr">
        <is>
          <t>https://lpjk.pu.go.id/search-badan-usaha-detail/VDJLNExBMnVLK0tROUVtd0JiUjRaZz09</t>
        </is>
      </c>
      <c r="F139" t="n">
        <v>3</v>
      </c>
      <c r="G139" t="inlineStr">
        <is>
          <t>BG001, BG009, BS001</t>
        </is>
      </c>
      <c r="H139" t="inlineStr">
        <is>
          <t>4 Januari 2007</t>
        </is>
      </c>
      <c r="I139" s="2" t="n">
        <v>46282</v>
      </c>
      <c r="J139" t="inlineStr">
        <is>
          <t>Disetujui</t>
        </is>
      </c>
      <c r="K139" t="n">
        <v>90</v>
      </c>
      <c r="L139" t="inlineStr">
        <is>
          <t>17 September 2026</t>
        </is>
      </c>
      <c r="M139" t="inlineStr">
        <is>
          <t>Konstruksi Bangunan Sipil Jalan, Konstruksi Gedung Hunian, Konstruksi Gedung Lainnya</t>
        </is>
      </c>
      <c r="N139" t="inlineStr">
        <is>
          <t>K</t>
        </is>
      </c>
      <c r="O139" t="inlineStr">
        <is>
          <t>20230908, 20230909</t>
        </is>
      </c>
      <c r="P139" t="inlineStr">
        <is>
          <t>Sumatera Selatan</t>
        </is>
      </c>
      <c r="Q139" t="inlineStr"/>
    </row>
    <row r="140">
      <c r="A140" t="inlineStr">
        <is>
          <t>PANCA DUTA KARYA ABADI</t>
        </is>
      </c>
      <c r="B140" t="inlineStr">
        <is>
          <t>Kota Jayapura</t>
        </is>
      </c>
      <c r="C140" t="inlineStr">
        <is>
          <t>0967537776</t>
        </is>
      </c>
      <c r="D140" t="inlineStr">
        <is>
          <t>jayapura_ptpdka@yahoo.com</t>
        </is>
      </c>
      <c r="E140" t="inlineStr">
        <is>
          <t>https://lpjk.pu.go.id/search-badan-usaha-detail/d3F4TG41dGMzd0Vhbm4xQ2NJVmFBZz09</t>
        </is>
      </c>
      <c r="F140" t="n">
        <v>2</v>
      </c>
      <c r="G140" t="inlineStr">
        <is>
          <t>BG006, BS002</t>
        </is>
      </c>
      <c r="H140" t="inlineStr">
        <is>
          <t>21 Mei 1983</t>
        </is>
      </c>
      <c r="I140" s="2" t="n">
        <v>46282</v>
      </c>
      <c r="J140" t="inlineStr">
        <is>
          <t>Disetujui</t>
        </is>
      </c>
      <c r="K140" t="n">
        <v>90</v>
      </c>
      <c r="L140" t="inlineStr">
        <is>
          <t>17 September 2026</t>
        </is>
      </c>
      <c r="M140" t="inlineStr">
        <is>
          <t>Bangunan Sipil Jembatan, Jalan Layang, Fly Over, dan Underpass, Konstruksi Gedung Pendidikan</t>
        </is>
      </c>
      <c r="N140" t="inlineStr">
        <is>
          <t>K</t>
        </is>
      </c>
      <c r="O140" t="inlineStr">
        <is>
          <t>20230607</t>
        </is>
      </c>
      <c r="P140" t="inlineStr">
        <is>
          <t>Papua</t>
        </is>
      </c>
      <c r="Q140" t="inlineStr"/>
    </row>
    <row r="141">
      <c r="A141" t="inlineStr">
        <is>
          <t>PANTJA WARNA ABADI</t>
        </is>
      </c>
      <c r="B141" t="inlineStr">
        <is>
          <t>Kota Malang</t>
        </is>
      </c>
      <c r="C141" t="inlineStr">
        <is>
          <t>082189313212</t>
        </is>
      </c>
      <c r="D141" t="inlineStr">
        <is>
          <t>pantjawarnaabadi@gmail.com</t>
        </is>
      </c>
      <c r="E141" t="inlineStr">
        <is>
          <t>https://lpjk.pu.go.id/search-badan-usaha-detail/dDlJaFM4MUcwV2l6ZFNMVmNPbWVGUT09</t>
        </is>
      </c>
      <c r="F141" t="n">
        <v>2</v>
      </c>
      <c r="G141" t="inlineStr">
        <is>
          <t>BG001, BG009</t>
        </is>
      </c>
      <c r="H141" t="inlineStr">
        <is>
          <t>11 Oktober 2021</t>
        </is>
      </c>
      <c r="I141" s="2" t="n">
        <v>46282</v>
      </c>
      <c r="J141" t="inlineStr">
        <is>
          <t>Disetujui</t>
        </is>
      </c>
      <c r="K141" t="n">
        <v>90</v>
      </c>
      <c r="L141" t="inlineStr">
        <is>
          <t>17 September 2026</t>
        </is>
      </c>
      <c r="M141" t="inlineStr">
        <is>
          <t>Konstruksi Gedung Hunian, Konstruksi Gedung Lainnya</t>
        </is>
      </c>
      <c r="N141" t="inlineStr">
        <is>
          <t>K</t>
        </is>
      </c>
      <c r="O141" t="inlineStr">
        <is>
          <t>20230914</t>
        </is>
      </c>
      <c r="P141" t="inlineStr">
        <is>
          <t>Jawa Timur</t>
        </is>
      </c>
      <c r="Q141" t="inlineStr"/>
    </row>
    <row r="142">
      <c r="A142" t="inlineStr">
        <is>
          <t>PASTI MAKMUR BERSAMA</t>
        </is>
      </c>
      <c r="B142" t="inlineStr">
        <is>
          <t>Kota Batam</t>
        </is>
      </c>
      <c r="C142" t="inlineStr">
        <is>
          <t>07788096115</t>
        </is>
      </c>
      <c r="D142" t="inlineStr">
        <is>
          <t>batam_pmb@yahoo.com</t>
        </is>
      </c>
      <c r="E142" t="inlineStr">
        <is>
          <t>https://lpjk.pu.go.id/search-badan-usaha-detail/K3M3dXpha1RiSlg3cnpFVFhPRUZGQT09</t>
        </is>
      </c>
      <c r="F142" t="n">
        <v>1</v>
      </c>
      <c r="G142" t="inlineStr">
        <is>
          <t>BG005</t>
        </is>
      </c>
      <c r="H142" t="inlineStr">
        <is>
          <t>11 Juni 2013</t>
        </is>
      </c>
      <c r="I142" s="2" t="n">
        <v>46282</v>
      </c>
      <c r="J142" t="inlineStr">
        <is>
          <t>Pencabutan</t>
        </is>
      </c>
      <c r="K142" t="n">
        <v>90</v>
      </c>
      <c r="L142" t="inlineStr">
        <is>
          <t>17 September 2026</t>
        </is>
      </c>
      <c r="M142" t="inlineStr">
        <is>
          <t>Konstruksi Gedung Kesehatan</t>
        </is>
      </c>
      <c r="N142" t="inlineStr">
        <is>
          <t>K</t>
        </is>
      </c>
      <c r="O142" t="inlineStr">
        <is>
          <t>20230911</t>
        </is>
      </c>
      <c r="P142" t="inlineStr">
        <is>
          <t>Kepulauan Riau</t>
        </is>
      </c>
      <c r="Q142" t="inlineStr"/>
    </row>
    <row r="143">
      <c r="A143" t="inlineStr">
        <is>
          <t>PELANGI INDAH</t>
        </is>
      </c>
      <c r="B143" t="inlineStr">
        <is>
          <t>Kab. Jayapura</t>
        </is>
      </c>
      <c r="C143" t="inlineStr">
        <is>
          <t>081248007774</t>
        </is>
      </c>
      <c r="D143" t="inlineStr">
        <is>
          <t>pi.pelangiindah70@gmail.com</t>
        </is>
      </c>
      <c r="E143" t="inlineStr">
        <is>
          <t>https://lpjk.pu.go.id/search-badan-usaha-detail/WnhNbm5idEJFVXphMC9rZXpDSlNFQT09</t>
        </is>
      </c>
      <c r="F143" t="n">
        <v>4</v>
      </c>
      <c r="G143" t="inlineStr">
        <is>
          <t>BG001, BG002, BG005, BG006</t>
        </is>
      </c>
      <c r="H143" t="inlineStr">
        <is>
          <t>20 Februari 1989</t>
        </is>
      </c>
      <c r="I143" s="2" t="n">
        <v>46282</v>
      </c>
      <c r="J143" t="inlineStr">
        <is>
          <t>Disetujui</t>
        </is>
      </c>
      <c r="K143" t="n">
        <v>90</v>
      </c>
      <c r="L143" t="inlineStr">
        <is>
          <t>17 September 2026</t>
        </is>
      </c>
      <c r="M143" t="inlineStr">
        <is>
          <t>Konstruksi Gedung Hunian, Konstruksi Gedung Kesehatan, Konstruksi Gedung Pendidikan, Konstruksi Gedung Perkantoran</t>
        </is>
      </c>
      <c r="N143" t="inlineStr">
        <is>
          <t>K</t>
        </is>
      </c>
      <c r="O143" t="inlineStr">
        <is>
          <t>20230918</t>
        </is>
      </c>
      <c r="P143" t="inlineStr">
        <is>
          <t>Papua</t>
        </is>
      </c>
      <c r="Q143" t="inlineStr"/>
    </row>
    <row r="144">
      <c r="A144" t="inlineStr">
        <is>
          <t>PILAR PERMATA ABADI</t>
        </is>
      </c>
      <c r="B144" t="inlineStr">
        <is>
          <t>Kota Pontianak</t>
        </is>
      </c>
      <c r="C144" t="inlineStr">
        <is>
          <t>082157880958</t>
        </is>
      </c>
      <c r="D144" t="inlineStr">
        <is>
          <t>cv.ppa.2020@gmail.com</t>
        </is>
      </c>
      <c r="E144" t="inlineStr">
        <is>
          <t>https://lpjk.pu.go.id/search-badan-usaha-detail/cElGTHY3ODVmeVBtU0hnL2hLaFVTQT09</t>
        </is>
      </c>
      <c r="F144" t="n">
        <v>2</v>
      </c>
      <c r="G144" t="inlineStr">
        <is>
          <t>BG006, BG008</t>
        </is>
      </c>
      <c r="H144" t="inlineStr">
        <is>
          <t>7 Januari 2020</t>
        </is>
      </c>
      <c r="I144" s="2" t="n">
        <v>46282</v>
      </c>
      <c r="J144" t="inlineStr">
        <is>
          <t>Disetujui</t>
        </is>
      </c>
      <c r="K144" t="n">
        <v>90</v>
      </c>
      <c r="L144" t="inlineStr">
        <is>
          <t>17 September 2026</t>
        </is>
      </c>
      <c r="M144" t="inlineStr">
        <is>
          <t>Konstruksi Gedung Pendidikan, Konstruksi Gedung Tempat Hiburan dan Olahraga</t>
        </is>
      </c>
      <c r="N144" t="inlineStr">
        <is>
          <t>K</t>
        </is>
      </c>
      <c r="O144" t="inlineStr">
        <is>
          <t>20230909</t>
        </is>
      </c>
      <c r="P144" t="inlineStr">
        <is>
          <t>Kalimantan Barat</t>
        </is>
      </c>
      <c r="Q144" t="inlineStr"/>
    </row>
    <row r="145">
      <c r="A145" t="inlineStr">
        <is>
          <t>PRATAMA PERSADA AIRBORNE</t>
        </is>
      </c>
      <c r="B145" t="inlineStr">
        <is>
          <t>Kota Adm. Jakarta Selatan</t>
        </is>
      </c>
      <c r="C145" t="inlineStr">
        <is>
          <t>081212120909</t>
        </is>
      </c>
      <c r="D145" t="inlineStr">
        <is>
          <t>info.ppairborne@gmail.com</t>
        </is>
      </c>
      <c r="E145" t="inlineStr">
        <is>
          <t>https://lpjk.pu.go.id/search-badan-usaha-detail/cVlHYkM4dUxpaEhid1hiQzJJU3lwZz09</t>
        </is>
      </c>
      <c r="F145" t="n">
        <v>2</v>
      </c>
      <c r="G145" t="inlineStr">
        <is>
          <t>IT001, IT002</t>
        </is>
      </c>
      <c r="H145" t="inlineStr">
        <is>
          <t>29 Desember 2016</t>
        </is>
      </c>
      <c r="I145" s="2" t="n">
        <v>46282</v>
      </c>
      <c r="J145" t="inlineStr">
        <is>
          <t>Disetujui</t>
        </is>
      </c>
      <c r="K145" t="n">
        <v>90</v>
      </c>
      <c r="L145" t="inlineStr">
        <is>
          <t>17 September 2026</t>
        </is>
      </c>
      <c r="M145" t="inlineStr">
        <is>
          <t>Jasa Konsultansi Ilmiah dan Teknis Bawah Tanah, Jasa Pembuatan Prospektus Geologi dan Geofisika</t>
        </is>
      </c>
      <c r="N145" t="inlineStr">
        <is>
          <t>Spesialis</t>
        </is>
      </c>
      <c r="O145" t="inlineStr">
        <is>
          <t>20230912</t>
        </is>
      </c>
      <c r="P145" t="inlineStr">
        <is>
          <t>DKI Jakarta</t>
        </is>
      </c>
      <c r="Q145" t="inlineStr"/>
    </row>
    <row r="146">
      <c r="A146" t="inlineStr">
        <is>
          <t>PURNAMA BAHAGIA</t>
        </is>
      </c>
      <c r="B146" t="inlineStr">
        <is>
          <t>Kab. Sumbawa</t>
        </is>
      </c>
      <c r="C146" t="inlineStr">
        <is>
          <t>081359709814</t>
        </is>
      </c>
      <c r="D146" t="inlineStr">
        <is>
          <t>purnamabahagia20@gmail.com</t>
        </is>
      </c>
      <c r="E146" t="inlineStr">
        <is>
          <t>https://lpjk.pu.go.id/search-badan-usaha-detail/OFN0SUxSRlMyK3A3alk5S000SS94UT09</t>
        </is>
      </c>
      <c r="F146" t="n">
        <v>4</v>
      </c>
      <c r="G146" t="inlineStr">
        <is>
          <t>BG009, BS004</t>
        </is>
      </c>
      <c r="H146" t="inlineStr">
        <is>
          <t>8 Oktober 2019</t>
        </is>
      </c>
      <c r="I146" s="2" t="n">
        <v>46282</v>
      </c>
      <c r="J146" t="inlineStr">
        <is>
          <t>Pencabutan</t>
        </is>
      </c>
      <c r="K146" t="n">
        <v>90</v>
      </c>
      <c r="L146" t="inlineStr">
        <is>
          <t>17 September 2026</t>
        </is>
      </c>
      <c r="M146" t="inlineStr">
        <is>
          <t>Konstruksi Gedung Lainnya, Konstruksi Jaringan Irigasi dan Drainase</t>
        </is>
      </c>
      <c r="N146" t="inlineStr">
        <is>
          <t>K</t>
        </is>
      </c>
      <c r="O146" t="inlineStr">
        <is>
          <t>20230904, 20230912</t>
        </is>
      </c>
      <c r="P146" t="inlineStr">
        <is>
          <t>Nusa Tenggara Barat</t>
        </is>
      </c>
      <c r="Q146" t="inlineStr"/>
    </row>
    <row r="147">
      <c r="A147" t="inlineStr">
        <is>
          <t>PURNAMA CIPTA LESTARI</t>
        </is>
      </c>
      <c r="B147" t="inlineStr">
        <is>
          <t>Kab. Tangerang</t>
        </is>
      </c>
      <c r="C147" t="inlineStr">
        <is>
          <t>085285613283</t>
        </is>
      </c>
      <c r="D147" t="inlineStr">
        <is>
          <t>ciptalestaripurnama@gmail.com</t>
        </is>
      </c>
      <c r="E147" t="inlineStr">
        <is>
          <t>https://lpjk.pu.go.id/search-badan-usaha-detail/emtTZjBqdHRzZ3RGU1Fyd2ZuZ0lPQT09</t>
        </is>
      </c>
      <c r="F147" t="n">
        <v>10</v>
      </c>
      <c r="G147" t="inlineStr">
        <is>
          <t>BG006, BG009, BS001, BS004, BS010</t>
        </is>
      </c>
      <c r="H147" t="inlineStr">
        <is>
          <t>27 Desember 2010</t>
        </is>
      </c>
      <c r="I147" s="2" t="n">
        <v>46282</v>
      </c>
      <c r="J147" t="inlineStr">
        <is>
          <t>Disetujui</t>
        </is>
      </c>
      <c r="K147" t="n">
        <v>90</v>
      </c>
      <c r="L147" t="inlineStr">
        <is>
          <t>17 September 2026</t>
        </is>
      </c>
      <c r="M147" t="inlineStr">
        <is>
          <t>Konstruksi Bangunan Prasarana Sumber Daya Air, Konstruksi Bangunan Sipil Jalan, Konstruksi Gedung Lainnya, Konstruksi Gedung Pendidikan, Konstruksi Jaringan Irigasi dan Drainase</t>
        </is>
      </c>
      <c r="N147" t="inlineStr">
        <is>
          <t>K</t>
        </is>
      </c>
      <c r="O147" t="inlineStr">
        <is>
          <t>20230914</t>
        </is>
      </c>
      <c r="P147" t="inlineStr">
        <is>
          <t>Banten</t>
        </is>
      </c>
      <c r="Q147" t="inlineStr"/>
    </row>
    <row r="148">
      <c r="A148" t="inlineStr">
        <is>
          <t>PURNAMA KARYA NUGRAHA</t>
        </is>
      </c>
      <c r="B148" t="inlineStr">
        <is>
          <t>Kota Makassar</t>
        </is>
      </c>
      <c r="C148" t="inlineStr">
        <is>
          <t>081241870242</t>
        </is>
      </c>
      <c r="D148" t="inlineStr">
        <is>
          <t>purnamakaryanugraha@yahoo.com</t>
        </is>
      </c>
      <c r="E148" t="inlineStr">
        <is>
          <t>https://lpjk.pu.go.id/search-badan-usaha-detail/SkpJaTd0MzJ1ZEhMRm5SYkFUZjFIQT09</t>
        </is>
      </c>
      <c r="F148" t="n">
        <v>2</v>
      </c>
      <c r="G148" t="inlineStr">
        <is>
          <t>BS001</t>
        </is>
      </c>
      <c r="H148" t="inlineStr">
        <is>
          <t>14 Januari 2008</t>
        </is>
      </c>
      <c r="I148" s="2" t="n">
        <v>46282</v>
      </c>
      <c r="J148" t="inlineStr">
        <is>
          <t>Pencabutan</t>
        </is>
      </c>
      <c r="K148" t="n">
        <v>90</v>
      </c>
      <c r="L148" t="inlineStr">
        <is>
          <t>17 September 2026</t>
        </is>
      </c>
      <c r="M148" t="inlineStr">
        <is>
          <t>Konstruksi Bangunan Sipil Jalan</t>
        </is>
      </c>
      <c r="N148" t="inlineStr">
        <is>
          <t>M</t>
        </is>
      </c>
      <c r="O148" t="inlineStr">
        <is>
          <t>20230907</t>
        </is>
      </c>
      <c r="P148" t="inlineStr">
        <is>
          <t>Sulawesi Selatan</t>
        </is>
      </c>
      <c r="Q148" t="inlineStr"/>
    </row>
    <row r="149">
      <c r="A149" t="inlineStr">
        <is>
          <t>PURNAPAM PDAM KOTA DENPASAR</t>
        </is>
      </c>
      <c r="B149" t="inlineStr">
        <is>
          <t>Kota Denpasar</t>
        </is>
      </c>
      <c r="C149" t="inlineStr">
        <is>
          <t>03618442471</t>
        </is>
      </c>
      <c r="D149" t="inlineStr">
        <is>
          <t>koperasipurnapam@yahoo.com</t>
        </is>
      </c>
      <c r="E149" t="inlineStr">
        <is>
          <t>https://lpjk.pu.go.id/search-badan-usaha-detail/S3dtZzFmQW1JYlFndjlJRmxOZDRhUT09</t>
        </is>
      </c>
      <c r="F149" t="n">
        <v>1</v>
      </c>
      <c r="G149" t="inlineStr">
        <is>
          <t>BS005</t>
        </is>
      </c>
      <c r="H149" t="inlineStr">
        <is>
          <t>16 November 2010</t>
        </is>
      </c>
      <c r="I149" s="2" t="n">
        <v>46282</v>
      </c>
      <c r="J149" t="inlineStr">
        <is>
          <t>Disetujui</t>
        </is>
      </c>
      <c r="K149" t="n">
        <v>90</v>
      </c>
      <c r="L149" t="inlineStr">
        <is>
          <t>17 September 2026</t>
        </is>
      </c>
      <c r="M149" t="inlineStr">
        <is>
          <t>Konstruksi Bangunan Sipil Pengolahan Air Bersih</t>
        </is>
      </c>
      <c r="N149" t="inlineStr">
        <is>
          <t>K</t>
        </is>
      </c>
      <c r="O149" t="inlineStr">
        <is>
          <t>20230908</t>
        </is>
      </c>
      <c r="P149" t="inlineStr">
        <is>
          <t>Bali</t>
        </is>
      </c>
      <c r="Q149" t="inlineStr"/>
    </row>
    <row r="150">
      <c r="A150" t="inlineStr">
        <is>
          <t>PURWA KARYA</t>
        </is>
      </c>
      <c r="B150" t="inlineStr">
        <is>
          <t>Kab. Pemalang</t>
        </is>
      </c>
      <c r="C150" t="inlineStr">
        <is>
          <t>081903608909</t>
        </is>
      </c>
      <c r="D150" t="inlineStr">
        <is>
          <t>cv.purwakarya@gmail.com</t>
        </is>
      </c>
      <c r="E150" t="inlineStr">
        <is>
          <t>https://lpjk.pu.go.id/search-badan-usaha-detail/aFI2dlZYZWJmeit2RW1HSllzUzAzdz09</t>
        </is>
      </c>
      <c r="F150" t="n">
        <v>2</v>
      </c>
      <c r="G150" t="inlineStr">
        <is>
          <t>BS001, BS005</t>
        </is>
      </c>
      <c r="H150" t="inlineStr">
        <is>
          <t>2 November 1990</t>
        </is>
      </c>
      <c r="I150" s="2" t="n">
        <v>46282</v>
      </c>
      <c r="J150" t="inlineStr">
        <is>
          <t>Disetujui</t>
        </is>
      </c>
      <c r="K150" t="n">
        <v>90</v>
      </c>
      <c r="L150" t="inlineStr">
        <is>
          <t>17 September 2026</t>
        </is>
      </c>
      <c r="M150" t="inlineStr">
        <is>
          <t>Konstruksi Bangunan Sipil Jalan, Konstruksi Bangunan Sipil Pengolahan Air Bersih</t>
        </is>
      </c>
      <c r="N150" t="inlineStr">
        <is>
          <t>K</t>
        </is>
      </c>
      <c r="O150" t="inlineStr">
        <is>
          <t>20230912, 20230914</t>
        </is>
      </c>
      <c r="P150" t="inlineStr">
        <is>
          <t>Jawa Tengah</t>
        </is>
      </c>
      <c r="Q150" t="inlineStr"/>
    </row>
    <row r="151">
      <c r="A151" t="inlineStr">
        <is>
          <t>PUSAKA TEKNIK UTAMA</t>
        </is>
      </c>
      <c r="B151" t="inlineStr">
        <is>
          <t>Kota Surabaya</t>
        </is>
      </c>
      <c r="C151" t="inlineStr">
        <is>
          <t>08113050844</t>
        </is>
      </c>
      <c r="D151" t="inlineStr">
        <is>
          <t>ptpusakateknikutama@gmail.com</t>
        </is>
      </c>
      <c r="E151" t="inlineStr">
        <is>
          <t>https://lpjk.pu.go.id/search-badan-usaha-detail/cDdqUWZIL3c5ajZmL0JOQXV0RFBEQT09</t>
        </is>
      </c>
      <c r="F151" t="n">
        <v>1</v>
      </c>
      <c r="G151" t="inlineStr">
        <is>
          <t>BG009</t>
        </is>
      </c>
      <c r="H151" t="inlineStr">
        <is>
          <t>12 Mei 2022</t>
        </is>
      </c>
      <c r="I151" s="2" t="n">
        <v>46282</v>
      </c>
      <c r="J151" t="inlineStr">
        <is>
          <t>Disetujui</t>
        </is>
      </c>
      <c r="K151" t="n">
        <v>90</v>
      </c>
      <c r="L151" t="inlineStr">
        <is>
          <t>17 September 2026</t>
        </is>
      </c>
      <c r="M151" t="inlineStr">
        <is>
          <t>Konstruksi Gedung Lainnya</t>
        </is>
      </c>
      <c r="N151" t="inlineStr">
        <is>
          <t>K</t>
        </is>
      </c>
      <c r="O151" t="inlineStr">
        <is>
          <t>20230913</t>
        </is>
      </c>
      <c r="P151" t="inlineStr">
        <is>
          <t>Jawa Timur</t>
        </is>
      </c>
      <c r="Q151" t="inlineStr"/>
    </row>
    <row r="152">
      <c r="A152" t="inlineStr">
        <is>
          <t>PUTRA BINTANG SEMESTA</t>
        </is>
      </c>
      <c r="B152" t="inlineStr">
        <is>
          <t>Kota Pangkal Pinang</t>
        </is>
      </c>
      <c r="C152" t="inlineStr">
        <is>
          <t>082278615975</t>
        </is>
      </c>
      <c r="D152" t="inlineStr">
        <is>
          <t>putrabintangsemesta2021@gmail.com</t>
        </is>
      </c>
      <c r="E152" t="inlineStr">
        <is>
          <t>https://lpjk.pu.go.id/search-badan-usaha-detail/VjdvNy9nNUd3TGg0Y0ozK2hlQVMzdz09</t>
        </is>
      </c>
      <c r="F152" t="n">
        <v>2</v>
      </c>
      <c r="G152" t="inlineStr">
        <is>
          <t>BG002, BG005</t>
        </is>
      </c>
      <c r="H152" t="inlineStr">
        <is>
          <t>21 Februari 2023</t>
        </is>
      </c>
      <c r="I152" s="2" t="n">
        <v>46282</v>
      </c>
      <c r="J152" t="inlineStr">
        <is>
          <t>Disetujui</t>
        </is>
      </c>
      <c r="K152" t="n">
        <v>90</v>
      </c>
      <c r="L152" t="inlineStr">
        <is>
          <t>17 September 2026</t>
        </is>
      </c>
      <c r="M152" t="inlineStr">
        <is>
          <t>Konstruksi Gedung Kesehatan, Konstruksi Gedung Perkantoran</t>
        </is>
      </c>
      <c r="N152" t="inlineStr">
        <is>
          <t>K</t>
        </is>
      </c>
      <c r="O152" t="inlineStr">
        <is>
          <t>20230824</t>
        </is>
      </c>
      <c r="P152" t="inlineStr">
        <is>
          <t>Kepulauan Bangka Belitung</t>
        </is>
      </c>
      <c r="Q152" t="inlineStr"/>
    </row>
    <row r="153">
      <c r="A153" t="inlineStr">
        <is>
          <t>PUTRA MAHKOTA</t>
        </is>
      </c>
      <c r="B153" t="inlineStr">
        <is>
          <t>Kab. Sintang</t>
        </is>
      </c>
      <c r="C153" t="inlineStr">
        <is>
          <t>085252607434</t>
        </is>
      </c>
      <c r="D153" t="inlineStr">
        <is>
          <t>cv.putramahkota02@gmail.com</t>
        </is>
      </c>
      <c r="E153" t="inlineStr">
        <is>
          <t>https://lpjk.pu.go.id/search-badan-usaha-detail/WmxDUEQ2VGM2eFE1QStaSGRqV2lWQT09</t>
        </is>
      </c>
      <c r="F153" t="n">
        <v>1</v>
      </c>
      <c r="G153" t="inlineStr">
        <is>
          <t>BS001</t>
        </is>
      </c>
      <c r="H153" t="inlineStr">
        <is>
          <t>11 Januari 2018</t>
        </is>
      </c>
      <c r="I153" s="2" t="n">
        <v>46282</v>
      </c>
      <c r="J153" t="inlineStr">
        <is>
          <t>Disetujui</t>
        </is>
      </c>
      <c r="K153" t="n">
        <v>90</v>
      </c>
      <c r="L153" t="inlineStr">
        <is>
          <t>17 September 2026</t>
        </is>
      </c>
      <c r="M153" t="inlineStr">
        <is>
          <t>Konstruksi Bangunan Sipil Jalan</t>
        </is>
      </c>
      <c r="N153" t="inlineStr">
        <is>
          <t>K</t>
        </is>
      </c>
      <c r="O153" t="inlineStr">
        <is>
          <t>20230917</t>
        </is>
      </c>
      <c r="P153" t="inlineStr">
        <is>
          <t>Kalimantan Barat</t>
        </is>
      </c>
      <c r="Q153" t="inlineStr"/>
    </row>
    <row r="154">
      <c r="A154" t="inlineStr">
        <is>
          <t>PUTRA MANDIRI</t>
        </is>
      </c>
      <c r="B154" t="inlineStr">
        <is>
          <t>Kab. Maros</t>
        </is>
      </c>
      <c r="C154" t="inlineStr">
        <is>
          <t>081356961558</t>
        </is>
      </c>
      <c r="D154" t="inlineStr">
        <is>
          <t>andhy233@gmail.com</t>
        </is>
      </c>
      <c r="E154" t="inlineStr">
        <is>
          <t>https://lpjk.pu.go.id/search-badan-usaha-detail/OWFtZlR0c1dxZ0ZrTWhDZHhWcUlNUT09</t>
        </is>
      </c>
      <c r="F154" t="n">
        <v>5</v>
      </c>
      <c r="G154" t="inlineStr">
        <is>
          <t>BG002, BG006, BG009, BS001, BS010</t>
        </is>
      </c>
      <c r="H154" t="inlineStr">
        <is>
          <t>28 Februari 2014</t>
        </is>
      </c>
      <c r="I154" s="2" t="n">
        <v>46282</v>
      </c>
      <c r="J154" t="inlineStr">
        <is>
          <t>Disetujui</t>
        </is>
      </c>
      <c r="K154" t="n">
        <v>90</v>
      </c>
      <c r="L154" t="inlineStr">
        <is>
          <t>17 September 2026</t>
        </is>
      </c>
      <c r="M154" t="inlineStr">
        <is>
          <t>Konstruksi Bangunan Prasarana Sumber Daya Air, Konstruksi Bangunan Sipil Jalan, Konstruksi Gedung Lainnya, Konstruksi Gedung Pendidikan, Konstruksi Gedung Perkantoran</t>
        </is>
      </c>
      <c r="N154" t="inlineStr">
        <is>
          <t>K</t>
        </is>
      </c>
      <c r="O154" t="inlineStr">
        <is>
          <t>20230914, 20230915</t>
        </is>
      </c>
      <c r="P154" t="inlineStr">
        <is>
          <t>Sulawesi Selatan</t>
        </is>
      </c>
      <c r="Q154" t="inlineStr"/>
    </row>
    <row r="155">
      <c r="A155" t="inlineStr">
        <is>
          <t>PUTRA PHOENNA</t>
        </is>
      </c>
      <c r="B155" t="inlineStr">
        <is>
          <t>Kab. Aceh Timur</t>
        </is>
      </c>
      <c r="C155" t="inlineStr">
        <is>
          <t>085277608843</t>
        </is>
      </c>
      <c r="D155" t="inlineStr">
        <is>
          <t>cvputraphoenna@yahoo.com</t>
        </is>
      </c>
      <c r="E155" t="inlineStr">
        <is>
          <t>https://lpjk.pu.go.id/search-badan-usaha-detail/L2haSTlISGI0RjNuZ09ISk90RzhPZz09</t>
        </is>
      </c>
      <c r="F155" t="n">
        <v>1</v>
      </c>
      <c r="G155" t="inlineStr">
        <is>
          <t>BS001</t>
        </is>
      </c>
      <c r="H155" t="inlineStr">
        <is>
          <t>28 Juli 2020</t>
        </is>
      </c>
      <c r="I155" s="2" t="n">
        <v>46282</v>
      </c>
      <c r="J155" t="inlineStr">
        <is>
          <t>Disetujui</t>
        </is>
      </c>
      <c r="K155" t="n">
        <v>90</v>
      </c>
      <c r="L155" t="inlineStr">
        <is>
          <t>17 September 2026</t>
        </is>
      </c>
      <c r="M155" t="inlineStr">
        <is>
          <t>Konstruksi Bangunan Sipil Jalan</t>
        </is>
      </c>
      <c r="N155" t="inlineStr">
        <is>
          <t>K</t>
        </is>
      </c>
      <c r="O155" t="inlineStr">
        <is>
          <t>20220909</t>
        </is>
      </c>
      <c r="P155" t="inlineStr">
        <is>
          <t>Aceh</t>
        </is>
      </c>
      <c r="Q155" t="inlineStr"/>
    </row>
    <row r="156">
      <c r="A156" t="inlineStr">
        <is>
          <t>PUTRA RAHMAN GRESINDO</t>
        </is>
      </c>
      <c r="B156" t="inlineStr">
        <is>
          <t>Kab. Lombok Timur</t>
        </is>
      </c>
      <c r="C156" t="inlineStr">
        <is>
          <t>081779677459</t>
        </is>
      </c>
      <c r="D156" t="inlineStr">
        <is>
          <t>cvputrarahmangresindo@gmail.com</t>
        </is>
      </c>
      <c r="E156" t="inlineStr">
        <is>
          <t>https://lpjk.pu.go.id/search-badan-usaha-detail/SWx0RzhmVm9PSEtubUNqOXRXOU91Zz09</t>
        </is>
      </c>
      <c r="F156" t="n">
        <v>1</v>
      </c>
      <c r="G156" t="inlineStr">
        <is>
          <t>BS002</t>
        </is>
      </c>
      <c r="H156" t="inlineStr">
        <is>
          <t>2 April 2020</t>
        </is>
      </c>
      <c r="I156" s="2" t="n">
        <v>46282</v>
      </c>
      <c r="J156" t="inlineStr">
        <is>
          <t>Pencabutan</t>
        </is>
      </c>
      <c r="K156" t="n">
        <v>90</v>
      </c>
      <c r="L156" t="inlineStr">
        <is>
          <t>17 September 2026</t>
        </is>
      </c>
      <c r="M156" t="inlineStr">
        <is>
          <t>Bangunan Sipil Jembatan, Jalan Layang, Fly Over, dan Underpass</t>
        </is>
      </c>
      <c r="N156" t="inlineStr">
        <is>
          <t>K</t>
        </is>
      </c>
      <c r="O156" t="inlineStr">
        <is>
          <t>20230903</t>
        </is>
      </c>
      <c r="P156" t="inlineStr">
        <is>
          <t>Nusa Tenggara Barat</t>
        </is>
      </c>
      <c r="Q156" t="inlineStr"/>
    </row>
    <row r="157">
      <c r="A157" t="inlineStr">
        <is>
          <t>PUTRA SAMBUNGDUA</t>
        </is>
      </c>
      <c r="B157" t="inlineStr">
        <is>
          <t>Kota Palembang</t>
        </is>
      </c>
      <c r="C157" t="inlineStr">
        <is>
          <t>081367997336</t>
        </is>
      </c>
      <c r="D157" t="inlineStr">
        <is>
          <t>cv.putrasambungdua@gmail.com</t>
        </is>
      </c>
      <c r="E157" t="inlineStr">
        <is>
          <t>https://lpjk.pu.go.id/search-badan-usaha-detail/QzRPa2xubWQ0T3BRMzFnOWJjd1ZYZz09</t>
        </is>
      </c>
      <c r="F157" t="n">
        <v>2</v>
      </c>
      <c r="G157" t="inlineStr">
        <is>
          <t>BG003, BG009</t>
        </is>
      </c>
      <c r="H157" t="inlineStr">
        <is>
          <t>1 Juni 2020</t>
        </is>
      </c>
      <c r="I157" s="2" t="n">
        <v>46282</v>
      </c>
      <c r="J157" t="inlineStr">
        <is>
          <t>Disetujui</t>
        </is>
      </c>
      <c r="K157" t="n">
        <v>90</v>
      </c>
      <c r="L157" t="inlineStr">
        <is>
          <t>17 September 2026</t>
        </is>
      </c>
      <c r="M157" t="inlineStr">
        <is>
          <t>Konstruksi Gedung Industri, Konstruksi Gedung Lainnya</t>
        </is>
      </c>
      <c r="N157" t="inlineStr">
        <is>
          <t>K</t>
        </is>
      </c>
      <c r="O157" t="inlineStr">
        <is>
          <t>20230917</t>
        </is>
      </c>
      <c r="P157" t="inlineStr">
        <is>
          <t>Sumatera Selatan</t>
        </is>
      </c>
      <c r="Q157" t="inlineStr"/>
    </row>
    <row r="158">
      <c r="A158" t="inlineStr">
        <is>
          <t>PUTRA SILABAH JAYA</t>
        </is>
      </c>
      <c r="B158" t="inlineStr">
        <is>
          <t>Kota Batam</t>
        </is>
      </c>
      <c r="C158" t="inlineStr">
        <is>
          <t>081396670058</t>
        </is>
      </c>
      <c r="D158" t="inlineStr">
        <is>
          <t>cv.silabahjaya@gmail.com</t>
        </is>
      </c>
      <c r="E158" t="inlineStr">
        <is>
          <t>https://lpjk.pu.go.id/search-badan-usaha-detail/QURNK0N2RWEzWjNpZ1hldFAxdkdEdz09</t>
        </is>
      </c>
      <c r="F158" t="n">
        <v>1</v>
      </c>
      <c r="G158" t="inlineStr">
        <is>
          <t>BG008</t>
        </is>
      </c>
      <c r="H158" t="inlineStr">
        <is>
          <t>6 Juli 2015</t>
        </is>
      </c>
      <c r="I158" s="2" t="n">
        <v>46282</v>
      </c>
      <c r="J158" t="inlineStr">
        <is>
          <t>Disetujui</t>
        </is>
      </c>
      <c r="K158" t="n">
        <v>90</v>
      </c>
      <c r="L158" t="inlineStr">
        <is>
          <t>17 September 2026</t>
        </is>
      </c>
      <c r="M158" t="inlineStr">
        <is>
          <t>Konstruksi Gedung Tempat Hiburan dan Olahraga</t>
        </is>
      </c>
      <c r="N158" t="inlineStr">
        <is>
          <t>K</t>
        </is>
      </c>
      <c r="O158" t="inlineStr">
        <is>
          <t>20230916</t>
        </is>
      </c>
      <c r="P158" t="inlineStr">
        <is>
          <t>Kepulauan Riau</t>
        </is>
      </c>
      <c r="Q158" t="inlineStr"/>
    </row>
    <row r="159">
      <c r="A159" t="inlineStr">
        <is>
          <t>PUTRA YAWON</t>
        </is>
      </c>
      <c r="B159" t="inlineStr">
        <is>
          <t>Kota Jayapura</t>
        </is>
      </c>
      <c r="C159" t="inlineStr">
        <is>
          <t>081248579101</t>
        </is>
      </c>
      <c r="D159" t="inlineStr">
        <is>
          <t>putrayawon385@gmail.com</t>
        </is>
      </c>
      <c r="E159" t="inlineStr">
        <is>
          <t>https://lpjk.pu.go.id/search-badan-usaha-detail/Q1g3SThzK0FLTllWVCs1Mm1uMHlBZz09</t>
        </is>
      </c>
      <c r="F159" t="n">
        <v>1</v>
      </c>
      <c r="G159" t="inlineStr">
        <is>
          <t>BS001</t>
        </is>
      </c>
      <c r="H159" t="inlineStr">
        <is>
          <t>6 Januari 2017</t>
        </is>
      </c>
      <c r="I159" s="2" t="n">
        <v>46282</v>
      </c>
      <c r="J159" t="inlineStr">
        <is>
          <t>Pembekuan</t>
        </is>
      </c>
      <c r="K159" t="n">
        <v>90</v>
      </c>
      <c r="L159" t="inlineStr">
        <is>
          <t>17 September 2026</t>
        </is>
      </c>
      <c r="M159" t="inlineStr">
        <is>
          <t>Konstruksi Bangunan Sipil Jalan</t>
        </is>
      </c>
      <c r="N159" t="inlineStr">
        <is>
          <t>K</t>
        </is>
      </c>
      <c r="O159" t="inlineStr">
        <is>
          <t>20230915</t>
        </is>
      </c>
      <c r="P159" t="inlineStr">
        <is>
          <t>Papua</t>
        </is>
      </c>
      <c r="Q159" t="inlineStr"/>
    </row>
    <row r="160">
      <c r="A160" t="inlineStr">
        <is>
          <t>PUTRI MAHARANI</t>
        </is>
      </c>
      <c r="B160" t="inlineStr">
        <is>
          <t>Kab. Bandung</t>
        </is>
      </c>
      <c r="C160" t="inlineStr">
        <is>
          <t>082129534002</t>
        </is>
      </c>
      <c r="D160" t="inlineStr">
        <is>
          <t>maharani_putri8284@yahoo.com</t>
        </is>
      </c>
      <c r="E160" t="inlineStr">
        <is>
          <t>https://lpjk.pu.go.id/search-badan-usaha-detail/VEg4UEVFS2NGdUJqc2tDcmFFZUtmdz09</t>
        </is>
      </c>
      <c r="F160" t="n">
        <v>2</v>
      </c>
      <c r="G160" t="inlineStr">
        <is>
          <t>BS001, BS004</t>
        </is>
      </c>
      <c r="H160" t="inlineStr">
        <is>
          <t>27 April 2018</t>
        </is>
      </c>
      <c r="I160" s="2" t="n">
        <v>46282</v>
      </c>
      <c r="J160" t="inlineStr">
        <is>
          <t>Disetujui</t>
        </is>
      </c>
      <c r="K160" t="n">
        <v>90</v>
      </c>
      <c r="L160" t="inlineStr">
        <is>
          <t>17 September 2026</t>
        </is>
      </c>
      <c r="M160" t="inlineStr">
        <is>
          <t>Konstruksi Bangunan Sipil Jalan, Konstruksi Jaringan Irigasi dan Drainase</t>
        </is>
      </c>
      <c r="N160" t="inlineStr">
        <is>
          <t>K</t>
        </is>
      </c>
      <c r="O160" t="inlineStr">
        <is>
          <t>20230914, 20230918</t>
        </is>
      </c>
      <c r="P160" t="inlineStr">
        <is>
          <t>Jawa Barat</t>
        </is>
      </c>
      <c r="Q160" t="inlineStr"/>
    </row>
    <row r="161">
      <c r="A161" t="inlineStr">
        <is>
          <t>RAFFI JAYA PERKASA</t>
        </is>
      </c>
      <c r="B161" t="inlineStr">
        <is>
          <t>Kab. Musi Banyuasin</t>
        </is>
      </c>
      <c r="C161" t="inlineStr">
        <is>
          <t>082286966767</t>
        </is>
      </c>
      <c r="D161" t="inlineStr">
        <is>
          <t>cv.raffijayaperkasa2022@gmail.com</t>
        </is>
      </c>
      <c r="E161" t="inlineStr">
        <is>
          <t>https://lpjk.pu.go.id/search-badan-usaha-detail/WFFQUGRhM2dMa0xxcE45bEpLanVlUT09</t>
        </is>
      </c>
      <c r="F161" t="n">
        <v>6</v>
      </c>
      <c r="G161" t="inlineStr">
        <is>
          <t>BG006, BG009, BS001, BS004, BS005, BS010</t>
        </is>
      </c>
      <c r="H161" t="inlineStr">
        <is>
          <t>19 Juli 2005</t>
        </is>
      </c>
      <c r="I161" s="2" t="n">
        <v>46282</v>
      </c>
      <c r="J161" t="inlineStr">
        <is>
          <t>Disetujui</t>
        </is>
      </c>
      <c r="K161" t="n">
        <v>90</v>
      </c>
      <c r="L161" t="inlineStr">
        <is>
          <t>17 September 2026</t>
        </is>
      </c>
      <c r="M161" t="inlineStr">
        <is>
          <t>Konstruksi Bangunan Prasarana Sumber Daya Air, Konstruksi Bangunan Sipil Jalan, Konstruksi Bangunan Sipil Pengolahan Air Bersih, Konstruksi Gedung Lainnya, Konstruksi Gedung Pendidikan, Konstruksi Jaringan Irigasi dan Drainase</t>
        </is>
      </c>
      <c r="N161" t="inlineStr">
        <is>
          <t>K</t>
        </is>
      </c>
      <c r="O161" t="inlineStr">
        <is>
          <t>20230911</t>
        </is>
      </c>
      <c r="P161" t="inlineStr">
        <is>
          <t>Sumatera Selatan</t>
        </is>
      </c>
      <c r="Q161" t="inlineStr"/>
    </row>
    <row r="162">
      <c r="A162" t="inlineStr">
        <is>
          <t>RAFFI LAKSONO</t>
        </is>
      </c>
      <c r="B162" t="inlineStr">
        <is>
          <t>Kab. Nganjuk</t>
        </is>
      </c>
      <c r="C162" t="inlineStr">
        <is>
          <t>081359234569</t>
        </is>
      </c>
      <c r="D162" t="inlineStr">
        <is>
          <t>gadingklopo@gmail.com</t>
        </is>
      </c>
      <c r="E162" t="inlineStr">
        <is>
          <t>https://lpjk.pu.go.id/search-badan-usaha-detail/UXozWi9rOEFvMW8yZmFaaWM0bHlLQT09</t>
        </is>
      </c>
      <c r="F162" t="n">
        <v>6</v>
      </c>
      <c r="G162" t="inlineStr">
        <is>
          <t>BG002, BG005, BG006, BG009, BS001, BS004</t>
        </is>
      </c>
      <c r="H162" t="inlineStr">
        <is>
          <t>13 Desember 2006</t>
        </is>
      </c>
      <c r="I162" s="2" t="n">
        <v>46282</v>
      </c>
      <c r="J162" t="inlineStr">
        <is>
          <t>Disetujui</t>
        </is>
      </c>
      <c r="K162" t="n">
        <v>90</v>
      </c>
      <c r="L162" t="inlineStr">
        <is>
          <t>17 September 2026</t>
        </is>
      </c>
      <c r="M162" t="inlineStr">
        <is>
          <t>Konstruksi Bangunan Sipil Jalan, Konstruksi Gedung Kesehatan, Konstruksi Gedung Lainnya, Konstruksi Gedung Pendidikan, Konstruksi Gedung Perkantoran, Konstruksi Jaringan Irigasi dan Drainase</t>
        </is>
      </c>
      <c r="N162" t="inlineStr">
        <is>
          <t>K</t>
        </is>
      </c>
      <c r="O162" t="inlineStr">
        <is>
          <t>20230914, 20230915</t>
        </is>
      </c>
      <c r="P162" t="inlineStr">
        <is>
          <t>Jawa Timur</t>
        </is>
      </c>
      <c r="Q162" t="inlineStr"/>
    </row>
    <row r="163">
      <c r="A163" t="inlineStr">
        <is>
          <t>RAFIATAMA MANDIRI</t>
        </is>
      </c>
      <c r="B163" t="inlineStr">
        <is>
          <t>Kota Semarang</t>
        </is>
      </c>
      <c r="C163" t="inlineStr">
        <is>
          <t>024 - 6581997</t>
        </is>
      </c>
      <c r="D163" t="inlineStr">
        <is>
          <t>rafiatama.mandiri@yahoo.com</t>
        </is>
      </c>
      <c r="E163" t="inlineStr">
        <is>
          <t>https://lpjk.pu.go.id/search-badan-usaha-detail/Z2V3aHJoeWFNcE9kcUJQbndHTDlHZz09</t>
        </is>
      </c>
      <c r="F163" t="n">
        <v>1</v>
      </c>
      <c r="G163" t="inlineStr">
        <is>
          <t>BG005</t>
        </is>
      </c>
      <c r="H163" t="inlineStr">
        <is>
          <t>8 Januari 2007</t>
        </is>
      </c>
      <c r="I163" s="2" t="n">
        <v>46282</v>
      </c>
      <c r="J163" t="inlineStr">
        <is>
          <t>Disetujui</t>
        </is>
      </c>
      <c r="K163" t="n">
        <v>90</v>
      </c>
      <c r="L163" t="inlineStr">
        <is>
          <t>17 September 2026</t>
        </is>
      </c>
      <c r="M163" t="inlineStr">
        <is>
          <t>Konstruksi Gedung Kesehatan</t>
        </is>
      </c>
      <c r="N163" t="inlineStr">
        <is>
          <t>K</t>
        </is>
      </c>
      <c r="O163" t="inlineStr">
        <is>
          <t>20230908</t>
        </is>
      </c>
      <c r="P163" t="inlineStr">
        <is>
          <t>Jawa Tengah</t>
        </is>
      </c>
      <c r="Q163" t="inlineStr"/>
    </row>
    <row r="164">
      <c r="A164" t="inlineStr">
        <is>
          <t>RAHMA AULIA MANDIRI</t>
        </is>
      </c>
      <c r="B164" t="inlineStr">
        <is>
          <t>Kab. Bandung Barat</t>
        </is>
      </c>
      <c r="C164" t="inlineStr">
        <is>
          <t>083822781148</t>
        </is>
      </c>
      <c r="D164" t="inlineStr">
        <is>
          <t>rahma.auliamandirikbb223@gmail.com</t>
        </is>
      </c>
      <c r="E164" t="inlineStr">
        <is>
          <t>https://lpjk.pu.go.id/search-badan-usaha-detail/cGFVQktFUEFOK1NKcWMyZUFxNEpVdz09</t>
        </is>
      </c>
      <c r="F164" t="n">
        <v>1</v>
      </c>
      <c r="G164" t="inlineStr">
        <is>
          <t>BS004</t>
        </is>
      </c>
      <c r="H164" t="inlineStr">
        <is>
          <t>25 Januari 2019</t>
        </is>
      </c>
      <c r="I164" s="2" t="n">
        <v>46282</v>
      </c>
      <c r="J164" t="inlineStr">
        <is>
          <t>Disetujui</t>
        </is>
      </c>
      <c r="K164" t="n">
        <v>90</v>
      </c>
      <c r="L164" t="inlineStr">
        <is>
          <t>17 September 2026</t>
        </is>
      </c>
      <c r="M164" t="inlineStr">
        <is>
          <t>Konstruksi Jaringan Irigasi dan Drainase</t>
        </is>
      </c>
      <c r="N164" t="inlineStr">
        <is>
          <t>K</t>
        </is>
      </c>
      <c r="O164" t="inlineStr">
        <is>
          <t>20230913</t>
        </is>
      </c>
      <c r="P164" t="inlineStr">
        <is>
          <t>Jawa Barat</t>
        </is>
      </c>
      <c r="Q164" t="inlineStr"/>
    </row>
    <row r="165">
      <c r="A165" t="inlineStr">
        <is>
          <t>RAMA SUKSES MANDIRI</t>
        </is>
      </c>
      <c r="B165" t="inlineStr">
        <is>
          <t>Kota Semarang</t>
        </is>
      </c>
      <c r="C165" t="inlineStr">
        <is>
          <t>0248508134</t>
        </is>
      </c>
      <c r="D165" t="inlineStr">
        <is>
          <t>ptrama.sm@gmail.com</t>
        </is>
      </c>
      <c r="E165" t="inlineStr">
        <is>
          <t>https://lpjk.pu.go.id/search-badan-usaha-detail/WE81NUVDZGxacU9yQ3RGdGRBR1F3dz09</t>
        </is>
      </c>
      <c r="F165" t="n">
        <v>2</v>
      </c>
      <c r="G165" t="inlineStr">
        <is>
          <t>PL005, PL006</t>
        </is>
      </c>
      <c r="H165" t="inlineStr">
        <is>
          <t>22 Maret 2010</t>
        </is>
      </c>
      <c r="I165" s="2" t="n">
        <v>46282</v>
      </c>
      <c r="J165" t="inlineStr">
        <is>
          <t>Disetujui</t>
        </is>
      </c>
      <c r="K165" t="n">
        <v>90</v>
      </c>
      <c r="L165" t="inlineStr">
        <is>
          <t>17 September 2026</t>
        </is>
      </c>
      <c r="M165" t="inlineStr">
        <is>
          <t>Pelaksanaan Pekerjaan Utilitas, Pembuatan/Pengeboran Sumur Air Tanah</t>
        </is>
      </c>
      <c r="N165" t="inlineStr">
        <is>
          <t>Spesialis</t>
        </is>
      </c>
      <c r="O165" t="inlineStr">
        <is>
          <t>20230904</t>
        </is>
      </c>
      <c r="P165" t="inlineStr">
        <is>
          <t>Jawa Tengah</t>
        </is>
      </c>
      <c r="Q165" t="inlineStr"/>
    </row>
    <row r="166">
      <c r="A166" t="inlineStr">
        <is>
          <t>RONA PAPUA</t>
        </is>
      </c>
      <c r="B166" t="inlineStr">
        <is>
          <t>Kota Sorong</t>
        </is>
      </c>
      <c r="C166" t="inlineStr">
        <is>
          <t>-</t>
        </is>
      </c>
      <c r="D166" t="inlineStr">
        <is>
          <t>cv.ronapapua@gmail.com</t>
        </is>
      </c>
      <c r="E166" t="inlineStr">
        <is>
          <t>https://lpjk.pu.go.id/search-badan-usaha-detail/QWZUemZFM2lVVVdDQkVhMS80cGxRdz09</t>
        </is>
      </c>
      <c r="F166" t="n">
        <v>2</v>
      </c>
      <c r="G166" t="inlineStr">
        <is>
          <t>BG004, BG009</t>
        </is>
      </c>
      <c r="H166" t="inlineStr">
        <is>
          <t>2 September 2020</t>
        </is>
      </c>
      <c r="I166" s="2" t="n">
        <v>46282</v>
      </c>
      <c r="J166" t="inlineStr">
        <is>
          <t>Disetujui</t>
        </is>
      </c>
      <c r="K166" t="n">
        <v>90</v>
      </c>
      <c r="L166" t="inlineStr">
        <is>
          <t>17 September 2026</t>
        </is>
      </c>
      <c r="M166" t="inlineStr">
        <is>
          <t>Konstruksi Gedung Lainnya, Konstruksi Gedung Perbelanjaan</t>
        </is>
      </c>
      <c r="N166" t="inlineStr">
        <is>
          <t>K</t>
        </is>
      </c>
      <c r="O166" t="inlineStr">
        <is>
          <t>20230917</t>
        </is>
      </c>
      <c r="P166" t="inlineStr">
        <is>
          <t>Papua Barat</t>
        </is>
      </c>
      <c r="Q166" t="inlineStr"/>
    </row>
    <row r="167">
      <c r="A167" t="inlineStr">
        <is>
          <t>RONAL BERKAT KALAHIEN</t>
        </is>
      </c>
      <c r="B167" t="inlineStr">
        <is>
          <t>Kab. Barito Selatan</t>
        </is>
      </c>
      <c r="C167" t="inlineStr">
        <is>
          <t>081248565285</t>
        </is>
      </c>
      <c r="D167" t="inlineStr">
        <is>
          <t>cvronalberkatkalahien@gmail.com</t>
        </is>
      </c>
      <c r="E167" t="inlineStr">
        <is>
          <t>https://lpjk.pu.go.id/search-badan-usaha-detail/SVlzVWJaQVowNWk3MGU0a3pMdGVmdz09</t>
        </is>
      </c>
      <c r="F167" t="n">
        <v>6</v>
      </c>
      <c r="G167" t="inlineStr">
        <is>
          <t>BG002, BG005, BG006, BG009, BS001, BS004</t>
        </is>
      </c>
      <c r="H167" t="inlineStr">
        <is>
          <t>13 Juli 2023</t>
        </is>
      </c>
      <c r="I167" s="2" t="n">
        <v>46282</v>
      </c>
      <c r="J167" t="inlineStr">
        <is>
          <t>Disetujui</t>
        </is>
      </c>
      <c r="K167" t="n">
        <v>90</v>
      </c>
      <c r="L167" t="inlineStr">
        <is>
          <t>17 September 2026</t>
        </is>
      </c>
      <c r="M167" t="inlineStr">
        <is>
          <t>Konstruksi Bangunan Sipil Jalan, Konstruksi Gedung Kesehatan, Konstruksi Gedung Lainnya, Konstruksi Gedung Pendidikan, Konstruksi Gedung Perkantoran, Konstruksi Jaringan Irigasi dan Drainase</t>
        </is>
      </c>
      <c r="N167" t="inlineStr">
        <is>
          <t>K</t>
        </is>
      </c>
      <c r="O167" t="inlineStr">
        <is>
          <t>20230913</t>
        </is>
      </c>
      <c r="P167" t="inlineStr">
        <is>
          <t>Kalimantan Tengah</t>
        </is>
      </c>
      <c r="Q167" t="inlineStr"/>
    </row>
    <row r="168">
      <c r="A168" t="inlineStr">
        <is>
          <t>RUDIN</t>
        </is>
      </c>
      <c r="B168" t="inlineStr">
        <is>
          <t>Kab. Yahukimo</t>
        </is>
      </c>
      <c r="C168" t="inlineStr">
        <is>
          <t>081247141553</t>
        </is>
      </c>
      <c r="D168" t="inlineStr">
        <is>
          <t>rudinyahukimo304@gmail.com</t>
        </is>
      </c>
      <c r="E168" t="inlineStr">
        <is>
          <t>https://lpjk.pu.go.id/search-badan-usaha-detail/ekV6QXlTNElKNUowVHhBMGgyQzd2dz09</t>
        </is>
      </c>
      <c r="F168" t="n">
        <v>1</v>
      </c>
      <c r="G168" t="inlineStr">
        <is>
          <t>BG009</t>
        </is>
      </c>
      <c r="H168" t="inlineStr">
        <is>
          <t>9 Juni 2009</t>
        </is>
      </c>
      <c r="I168" s="2" t="n">
        <v>46282</v>
      </c>
      <c r="J168" t="inlineStr">
        <is>
          <t>Disetujui</t>
        </is>
      </c>
      <c r="K168" t="n">
        <v>90</v>
      </c>
      <c r="L168" t="inlineStr">
        <is>
          <t>17 September 2026</t>
        </is>
      </c>
      <c r="M168" t="inlineStr">
        <is>
          <t>Konstruksi Gedung Lainnya</t>
        </is>
      </c>
      <c r="N168" t="inlineStr">
        <is>
          <t>K</t>
        </is>
      </c>
      <c r="O168" t="inlineStr">
        <is>
          <t>20230918</t>
        </is>
      </c>
      <c r="P168" t="inlineStr">
        <is>
          <t>Papua</t>
        </is>
      </c>
      <c r="Q168" t="inlineStr"/>
    </row>
    <row r="169">
      <c r="A169" t="inlineStr">
        <is>
          <t>SALSABILA</t>
        </is>
      </c>
      <c r="B169" t="inlineStr">
        <is>
          <t>Kab. Sumedang</t>
        </is>
      </c>
      <c r="C169" t="inlineStr">
        <is>
          <t>08112408008</t>
        </is>
      </c>
      <c r="D169" t="inlineStr">
        <is>
          <t>salsabilacv88@gmail.com</t>
        </is>
      </c>
      <c r="E169" t="inlineStr">
        <is>
          <t>https://lpjk.pu.go.id/search-badan-usaha-detail/aWRTUndYdCt5bTZqUTFBSjF5M0d0UT09</t>
        </is>
      </c>
      <c r="F169" t="n">
        <v>2</v>
      </c>
      <c r="G169" t="inlineStr">
        <is>
          <t>BS001, BS004</t>
        </is>
      </c>
      <c r="H169" t="inlineStr">
        <is>
          <t>22 Januari 2009</t>
        </is>
      </c>
      <c r="I169" s="2" t="n">
        <v>46282</v>
      </c>
      <c r="J169" t="inlineStr">
        <is>
          <t>Disetujui</t>
        </is>
      </c>
      <c r="K169" t="n">
        <v>90</v>
      </c>
      <c r="L169" t="inlineStr">
        <is>
          <t>17 September 2026</t>
        </is>
      </c>
      <c r="M169" t="inlineStr">
        <is>
          <t>Konstruksi Bangunan Sipil Jalan, Konstruksi Jaringan Irigasi dan Drainase</t>
        </is>
      </c>
      <c r="N169" t="inlineStr">
        <is>
          <t>K</t>
        </is>
      </c>
      <c r="O169" t="inlineStr">
        <is>
          <t>20230912</t>
        </is>
      </c>
      <c r="P169" t="inlineStr">
        <is>
          <t>Jawa Barat</t>
        </is>
      </c>
      <c r="Q169" t="inlineStr"/>
    </row>
    <row r="170">
      <c r="A170" t="inlineStr">
        <is>
          <t>SANGGA BHUMI KONSTRUKSI</t>
        </is>
      </c>
      <c r="B170" t="inlineStr">
        <is>
          <t>Kota Pontianak</t>
        </is>
      </c>
      <c r="C170" t="inlineStr">
        <is>
          <t>081258615889</t>
        </is>
      </c>
      <c r="D170" t="inlineStr">
        <is>
          <t>pt.sbk.08@gmail.com</t>
        </is>
      </c>
      <c r="E170" t="inlineStr">
        <is>
          <t>https://lpjk.pu.go.id/search-badan-usaha-detail/ZjFQWUJYenQ4ZTRxb1FSOGZsRWt5Zz09</t>
        </is>
      </c>
      <c r="F170" t="n">
        <v>4</v>
      </c>
      <c r="G170" t="inlineStr">
        <is>
          <t>RK002, RK003</t>
        </is>
      </c>
      <c r="H170" t="inlineStr">
        <is>
          <t>23 Februari 2023</t>
        </is>
      </c>
      <c r="I170" s="2" t="n">
        <v>46282</v>
      </c>
      <c r="J170" t="inlineStr">
        <is>
          <t>Disetujui</t>
        </is>
      </c>
      <c r="K170" t="n">
        <v>90</v>
      </c>
      <c r="L170" t="inlineStr">
        <is>
          <t>17 September 2026</t>
        </is>
      </c>
      <c r="M170" t="inlineStr">
        <is>
          <t>Jasa Rekayasa Pekerjaan Teknik Sipil Sumber Daya Air, Jasa Rekayasa Pekerjaan Teknik Sipil Transportasi</t>
        </is>
      </c>
      <c r="N170" t="inlineStr">
        <is>
          <t>K</t>
        </is>
      </c>
      <c r="O170" t="inlineStr">
        <is>
          <t>20230904, 20230905</t>
        </is>
      </c>
      <c r="P170" t="inlineStr">
        <is>
          <t>Kalimantan Barat</t>
        </is>
      </c>
      <c r="Q170" t="inlineStr"/>
    </row>
    <row r="171">
      <c r="A171" t="inlineStr">
        <is>
          <t>SANJAYA SAHAJA PUTRA</t>
        </is>
      </c>
      <c r="B171" t="inlineStr">
        <is>
          <t>Kab. Tegal</t>
        </is>
      </c>
      <c r="C171" t="inlineStr">
        <is>
          <t>0895411326964</t>
        </is>
      </c>
      <c r="D171" t="inlineStr">
        <is>
          <t>sanjayasahajap@gmail.com</t>
        </is>
      </c>
      <c r="E171" t="inlineStr">
        <is>
          <t>https://lpjk.pu.go.id/search-badan-usaha-detail/aGJCVlVtVlVhdXZFbktaSW8xT3dVZz09</t>
        </is>
      </c>
      <c r="F171" t="n">
        <v>4</v>
      </c>
      <c r="G171" t="inlineStr">
        <is>
          <t>BG001, BG005</t>
        </is>
      </c>
      <c r="H171" t="inlineStr">
        <is>
          <t>11 Januari 2023</t>
        </is>
      </c>
      <c r="I171" s="2" t="n">
        <v>46282</v>
      </c>
      <c r="J171" t="inlineStr">
        <is>
          <t>Pencabutan</t>
        </is>
      </c>
      <c r="K171" t="n">
        <v>90</v>
      </c>
      <c r="L171" t="inlineStr">
        <is>
          <t>17 September 2026</t>
        </is>
      </c>
      <c r="M171" t="inlineStr">
        <is>
          <t>Konstruksi Gedung Hunian, Konstruksi Gedung Kesehatan</t>
        </is>
      </c>
      <c r="N171" t="inlineStr">
        <is>
          <t>K</t>
        </is>
      </c>
      <c r="O171" t="inlineStr">
        <is>
          <t>20230917</t>
        </is>
      </c>
      <c r="P171" t="inlineStr">
        <is>
          <t>Jawa Tengah</t>
        </is>
      </c>
      <c r="Q171" t="inlineStr"/>
    </row>
    <row r="172">
      <c r="A172" t="inlineStr">
        <is>
          <t>SARANA BINA KONSTRUKSI</t>
        </is>
      </c>
      <c r="B172" t="inlineStr">
        <is>
          <t>Kab. Tabanan</t>
        </is>
      </c>
      <c r="C172" t="inlineStr">
        <is>
          <t>082144862955</t>
        </is>
      </c>
      <c r="D172" t="inlineStr">
        <is>
          <t>saranabinakonstruksi01@gmail.com</t>
        </is>
      </c>
      <c r="E172" t="inlineStr">
        <is>
          <t>https://lpjk.pu.go.id/search-badan-usaha-detail/TEFJWjVLeklpaCtBU0dZcVpTK3FxQT09</t>
        </is>
      </c>
      <c r="F172" t="n">
        <v>2</v>
      </c>
      <c r="G172" t="inlineStr">
        <is>
          <t>AR001, RK001</t>
        </is>
      </c>
      <c r="H172" t="inlineStr">
        <is>
          <t>9 Juli 2021</t>
        </is>
      </c>
      <c r="I172" s="2" t="n">
        <v>46282</v>
      </c>
      <c r="J172" t="inlineStr">
        <is>
          <t>Disetujui</t>
        </is>
      </c>
      <c r="K172" t="n">
        <v>90</v>
      </c>
      <c r="L172" t="inlineStr">
        <is>
          <t>17 September 2026</t>
        </is>
      </c>
      <c r="M172" t="inlineStr">
        <is>
          <t>Jasa Arsitektural Bangunan Gedung Hunian dan Non Hunian, Jasa Rekayasa Konstruksi Bangunan Gedung Hunian dan Non Hunian</t>
        </is>
      </c>
      <c r="N172" t="inlineStr">
        <is>
          <t>K</t>
        </is>
      </c>
      <c r="O172" t="inlineStr">
        <is>
          <t>20230914</t>
        </is>
      </c>
      <c r="P172" t="inlineStr">
        <is>
          <t>Bali</t>
        </is>
      </c>
      <c r="Q172" t="inlineStr"/>
    </row>
    <row r="173">
      <c r="A173" t="inlineStr">
        <is>
          <t>SATRIA BHAKTI</t>
        </is>
      </c>
      <c r="B173" t="inlineStr">
        <is>
          <t>Kab. Sumenep</t>
        </is>
      </c>
      <c r="C173" t="inlineStr">
        <is>
          <t>081222525401</t>
        </is>
      </c>
      <c r="D173" t="inlineStr">
        <is>
          <t>agungcahya94@gmail.com</t>
        </is>
      </c>
      <c r="E173" t="inlineStr">
        <is>
          <t>https://lpjk.pu.go.id/search-badan-usaha-detail/RGpGZE56c01SK2J4VDZTREk2MERnQT09</t>
        </is>
      </c>
      <c r="F173" t="n">
        <v>4</v>
      </c>
      <c r="G173" t="inlineStr">
        <is>
          <t>BG004, BG005, BG006, BG009</t>
        </is>
      </c>
      <c r="H173" t="inlineStr">
        <is>
          <t>13 Februari 1999</t>
        </is>
      </c>
      <c r="I173" s="2" t="n">
        <v>46282</v>
      </c>
      <c r="J173" t="inlineStr">
        <is>
          <t>Disetujui</t>
        </is>
      </c>
      <c r="K173" t="n">
        <v>90</v>
      </c>
      <c r="L173" t="inlineStr">
        <is>
          <t>17 September 2026</t>
        </is>
      </c>
      <c r="M173" t="inlineStr">
        <is>
          <t>Konstruksi Gedung Kesehatan, Konstruksi Gedung Lainnya, Konstruksi Gedung Pendidikan, Konstruksi Gedung Perbelanjaan</t>
        </is>
      </c>
      <c r="N173" t="inlineStr">
        <is>
          <t>K</t>
        </is>
      </c>
      <c r="O173" t="inlineStr">
        <is>
          <t>20230911, 20230912</t>
        </is>
      </c>
      <c r="P173" t="inlineStr">
        <is>
          <t>Jawa Timur</t>
        </is>
      </c>
      <c r="Q173" t="inlineStr"/>
    </row>
    <row r="174">
      <c r="A174" t="inlineStr">
        <is>
          <t>SEGITIGA EMAS KONSULTAN</t>
        </is>
      </c>
      <c r="B174" t="inlineStr">
        <is>
          <t>Kota Banda Aceh</t>
        </is>
      </c>
      <c r="C174" t="inlineStr">
        <is>
          <t>085260021888</t>
        </is>
      </c>
      <c r="D174" t="inlineStr">
        <is>
          <t>segitigaemasconsultant@yahoo.co.id</t>
        </is>
      </c>
      <c r="E174" t="inlineStr">
        <is>
          <t>https://lpjk.pu.go.id/search-badan-usaha-detail/ckJ6Sm1rajVhWVAvTnYxOEZUT3pwUT09</t>
        </is>
      </c>
      <c r="F174" t="n">
        <v>1</v>
      </c>
      <c r="G174" t="inlineStr">
        <is>
          <t>RK005</t>
        </is>
      </c>
      <c r="H174" t="inlineStr">
        <is>
          <t>21 Agustus 2007</t>
        </is>
      </c>
      <c r="I174" s="2" t="n">
        <v>46282</v>
      </c>
      <c r="J174" t="inlineStr">
        <is>
          <t>Disetujui</t>
        </is>
      </c>
      <c r="K174" t="n">
        <v>90</v>
      </c>
      <c r="L174" t="inlineStr">
        <is>
          <t>17 September 2026</t>
        </is>
      </c>
      <c r="M174" t="inlineStr">
        <is>
          <t>Jasa Rekayasa Lainnya</t>
        </is>
      </c>
      <c r="N174" t="inlineStr">
        <is>
          <t>K</t>
        </is>
      </c>
      <c r="O174" t="inlineStr">
        <is>
          <t>20230901</t>
        </is>
      </c>
      <c r="P174" t="inlineStr">
        <is>
          <t>Aceh</t>
        </is>
      </c>
      <c r="Q174" t="inlineStr"/>
    </row>
    <row r="175">
      <c r="A175" t="inlineStr">
        <is>
          <t>SINAR JAYA</t>
        </is>
      </c>
      <c r="B175" t="inlineStr">
        <is>
          <t>Kota Medan</t>
        </is>
      </c>
      <c r="C175" t="inlineStr">
        <is>
          <t>085830287900</t>
        </is>
      </c>
      <c r="D175" t="inlineStr">
        <is>
          <t>cvsinarjaya@rocketmail.com</t>
        </is>
      </c>
      <c r="E175" t="inlineStr">
        <is>
          <t>https://lpjk.pu.go.id/search-badan-usaha-detail/WnpQSC81alljdE1GeC9BUWZ6RG9NZz09</t>
        </is>
      </c>
      <c r="F175" t="n">
        <v>1</v>
      </c>
      <c r="G175" t="inlineStr">
        <is>
          <t>BS006</t>
        </is>
      </c>
      <c r="H175" t="inlineStr">
        <is>
          <t>18 Oktober 2005</t>
        </is>
      </c>
      <c r="I175" s="2" t="n">
        <v>46282</v>
      </c>
      <c r="J175" t="inlineStr">
        <is>
          <t>Disetujui</t>
        </is>
      </c>
      <c r="K175" t="n">
        <v>90</v>
      </c>
      <c r="L175" t="inlineStr">
        <is>
          <t>17 September 2026</t>
        </is>
      </c>
      <c r="M175" t="inlineStr">
        <is>
          <t>Konstruksi Bangunan Sipil Prasarana dan Sarana Sistem Pengolahan Limbah Padat, Cair, dan Gas</t>
        </is>
      </c>
      <c r="N175" t="inlineStr">
        <is>
          <t>K</t>
        </is>
      </c>
      <c r="O175" t="inlineStr">
        <is>
          <t>20230916</t>
        </is>
      </c>
      <c r="P175" t="inlineStr">
        <is>
          <t>Sumatera Utara</t>
        </is>
      </c>
      <c r="Q175" t="inlineStr"/>
    </row>
    <row r="176">
      <c r="A176" t="inlineStr">
        <is>
          <t>SINAR MENTARI</t>
        </is>
      </c>
      <c r="B176" t="inlineStr">
        <is>
          <t>Kota Bandung</t>
        </is>
      </c>
      <c r="C176" t="inlineStr">
        <is>
          <t>08122059695</t>
        </is>
      </c>
      <c r="D176" t="inlineStr">
        <is>
          <t>mentaricvsinar@gmail.com</t>
        </is>
      </c>
      <c r="E176" t="inlineStr">
        <is>
          <t>https://lpjk.pu.go.id/search-badan-usaha-detail/dE9PdzEyYlptVEFXblNhR01xakZ5UT09</t>
        </is>
      </c>
      <c r="F176" t="n">
        <v>1</v>
      </c>
      <c r="G176" t="inlineStr">
        <is>
          <t>BS001</t>
        </is>
      </c>
      <c r="H176" t="inlineStr">
        <is>
          <t>24 Januari 2023</t>
        </is>
      </c>
      <c r="I176" s="2" t="n">
        <v>46282</v>
      </c>
      <c r="J176" t="inlineStr">
        <is>
          <t>Disetujui</t>
        </is>
      </c>
      <c r="K176" t="n">
        <v>90</v>
      </c>
      <c r="L176" t="inlineStr">
        <is>
          <t>17 September 2026</t>
        </is>
      </c>
      <c r="M176" t="inlineStr">
        <is>
          <t>Konstruksi Bangunan Sipil Jalan</t>
        </is>
      </c>
      <c r="N176" t="inlineStr">
        <is>
          <t>K</t>
        </is>
      </c>
      <c r="O176" t="inlineStr">
        <is>
          <t>20230912</t>
        </is>
      </c>
      <c r="P176" t="inlineStr">
        <is>
          <t>Jawa Barat</t>
        </is>
      </c>
      <c r="Q176" t="inlineStr"/>
    </row>
    <row r="177">
      <c r="A177" t="inlineStr">
        <is>
          <t>SUBUR DAYA PERKASA</t>
        </is>
      </c>
      <c r="B177" t="inlineStr">
        <is>
          <t>Kab. Sidoarjo</t>
        </is>
      </c>
      <c r="C177" t="inlineStr">
        <is>
          <t>0318537928</t>
        </is>
      </c>
      <c r="D177" t="inlineStr">
        <is>
          <t>cv.suburdayaperkasa.info@gmail.com</t>
        </is>
      </c>
      <c r="E177" t="inlineStr">
        <is>
          <t>https://lpjk.pu.go.id/search-badan-usaha-detail/NjlVLy93eTN6UVN4eEdNbldWLy9yZz09</t>
        </is>
      </c>
      <c r="F177" t="n">
        <v>2</v>
      </c>
      <c r="G177" t="inlineStr">
        <is>
          <t>BG001</t>
        </is>
      </c>
      <c r="H177" t="inlineStr">
        <is>
          <t>3 Agustus 2009</t>
        </is>
      </c>
      <c r="I177" s="2" t="n">
        <v>46282</v>
      </c>
      <c r="J177" t="inlineStr">
        <is>
          <t>Disetujui</t>
        </is>
      </c>
      <c r="K177" t="n">
        <v>90</v>
      </c>
      <c r="L177" t="inlineStr">
        <is>
          <t>17 September 2026</t>
        </is>
      </c>
      <c r="M177" t="inlineStr">
        <is>
          <t>Konstruksi Gedung Hunian</t>
        </is>
      </c>
      <c r="N177" t="inlineStr">
        <is>
          <t>K</t>
        </is>
      </c>
      <c r="O177" t="inlineStr">
        <is>
          <t>20230911</t>
        </is>
      </c>
      <c r="P177" t="inlineStr">
        <is>
          <t>Jawa Timur</t>
        </is>
      </c>
      <c r="Q177" t="inlineStr"/>
    </row>
    <row r="178">
      <c r="A178" t="inlineStr">
        <is>
          <t>SUMBER ARTHA MAKMUR</t>
        </is>
      </c>
      <c r="B178" t="inlineStr">
        <is>
          <t>Kota Semarang</t>
        </is>
      </c>
      <c r="C178" t="inlineStr">
        <is>
          <t>082242148399</t>
        </is>
      </c>
      <c r="D178" t="inlineStr">
        <is>
          <t>sumberarthamakmur292@gmail.com</t>
        </is>
      </c>
      <c r="E178" t="inlineStr">
        <is>
          <t>https://lpjk.pu.go.id/search-badan-usaha-detail/MndrZHBPSGF1VG5QciszVk4vcS9rZz09</t>
        </is>
      </c>
      <c r="F178" t="n">
        <v>1</v>
      </c>
      <c r="G178" t="inlineStr">
        <is>
          <t>BS004</t>
        </is>
      </c>
      <c r="H178" t="inlineStr">
        <is>
          <t>22 Juni 2012</t>
        </is>
      </c>
      <c r="I178" s="2" t="n">
        <v>46282</v>
      </c>
      <c r="J178" t="inlineStr">
        <is>
          <t>Disetujui</t>
        </is>
      </c>
      <c r="K178" t="n">
        <v>90</v>
      </c>
      <c r="L178" t="inlineStr">
        <is>
          <t>17 September 2026</t>
        </is>
      </c>
      <c r="M178" t="inlineStr">
        <is>
          <t>Konstruksi Jaringan Irigasi dan Drainase</t>
        </is>
      </c>
      <c r="N178" t="inlineStr">
        <is>
          <t>K</t>
        </is>
      </c>
      <c r="O178" t="inlineStr">
        <is>
          <t>20230913</t>
        </is>
      </c>
      <c r="P178" t="inlineStr">
        <is>
          <t>Jawa Tengah</t>
        </is>
      </c>
      <c r="Q178" t="inlineStr"/>
    </row>
    <row r="179">
      <c r="A179" t="inlineStr">
        <is>
          <t>SURYA ADHI DAYA</t>
        </is>
      </c>
      <c r="B179" t="inlineStr">
        <is>
          <t>Kota Surabaya</t>
        </is>
      </c>
      <c r="C179" t="inlineStr">
        <is>
          <t>081233433466</t>
        </is>
      </c>
      <c r="D179" t="inlineStr">
        <is>
          <t>suryaadhidaya@yahoo.com</t>
        </is>
      </c>
      <c r="E179" t="inlineStr">
        <is>
          <t>https://lpjk.pu.go.id/search-badan-usaha-detail/R1h4bGoxLzh2dElxSlpzeDl0QWlkZz09</t>
        </is>
      </c>
      <c r="F179" t="n">
        <v>1</v>
      </c>
      <c r="G179" t="inlineStr">
        <is>
          <t>BG001</t>
        </is>
      </c>
      <c r="H179" t="inlineStr">
        <is>
          <t>25 Juli 2023</t>
        </is>
      </c>
      <c r="I179" s="2" t="n">
        <v>46282</v>
      </c>
      <c r="J179" t="inlineStr">
        <is>
          <t>Disetujui</t>
        </is>
      </c>
      <c r="K179" t="n">
        <v>90</v>
      </c>
      <c r="L179" t="inlineStr">
        <is>
          <t>17 September 2026</t>
        </is>
      </c>
      <c r="M179" t="inlineStr">
        <is>
          <t>Konstruksi Gedung Hunian</t>
        </is>
      </c>
      <c r="N179" t="inlineStr">
        <is>
          <t>K</t>
        </is>
      </c>
      <c r="O179" t="inlineStr">
        <is>
          <t>20230918</t>
        </is>
      </c>
      <c r="P179" t="inlineStr">
        <is>
          <t>Jawa Timur</t>
        </is>
      </c>
      <c r="Q179" t="inlineStr"/>
    </row>
    <row r="180">
      <c r="A180" t="inlineStr">
        <is>
          <t>TATA BANGUN PRESISI</t>
        </is>
      </c>
      <c r="B180" t="inlineStr">
        <is>
          <t>Kab. Gowa</t>
        </is>
      </c>
      <c r="C180" t="inlineStr">
        <is>
          <t>081298879988</t>
        </is>
      </c>
      <c r="D180" t="inlineStr">
        <is>
          <t>tatabangunpresisi@gmail.com</t>
        </is>
      </c>
      <c r="E180" t="inlineStr">
        <is>
          <t>https://lpjk.pu.go.id/search-badan-usaha-detail/SWpGY21EUVh5cTNGQ3czSEw5akxKZz09</t>
        </is>
      </c>
      <c r="F180" t="n">
        <v>1</v>
      </c>
      <c r="G180" t="inlineStr">
        <is>
          <t>BG006</t>
        </is>
      </c>
      <c r="H180" t="inlineStr">
        <is>
          <t>6 Juli 2023</t>
        </is>
      </c>
      <c r="I180" s="2" t="n">
        <v>46282</v>
      </c>
      <c r="J180" t="inlineStr">
        <is>
          <t>Disetujui</t>
        </is>
      </c>
      <c r="K180" t="n">
        <v>90</v>
      </c>
      <c r="L180" t="inlineStr">
        <is>
          <t>17 September 2026</t>
        </is>
      </c>
      <c r="M180" t="inlineStr">
        <is>
          <t>Konstruksi Gedung Pendidikan</t>
        </is>
      </c>
      <c r="N180" t="inlineStr">
        <is>
          <t>K</t>
        </is>
      </c>
      <c r="O180" t="inlineStr">
        <is>
          <t>20230914</t>
        </is>
      </c>
      <c r="P180" t="inlineStr">
        <is>
          <t>Sulawesi Selatan</t>
        </is>
      </c>
      <c r="Q180" t="inlineStr"/>
    </row>
    <row r="181">
      <c r="A181" t="inlineStr">
        <is>
          <t>TIGA TIGA TUJUH CONSULTANT</t>
        </is>
      </c>
      <c r="B181" t="inlineStr">
        <is>
          <t>Kota Makassar</t>
        </is>
      </c>
      <c r="C181" t="inlineStr">
        <is>
          <t>085399098839</t>
        </is>
      </c>
      <c r="D181" t="inlineStr">
        <is>
          <t>tiga3tujuh.consultant@gmail.com</t>
        </is>
      </c>
      <c r="E181" t="inlineStr">
        <is>
          <t>https://lpjk.pu.go.id/search-badan-usaha-detail/YzkzQTRUOXRGQkVZS1JnZkVLR3k1dz09</t>
        </is>
      </c>
      <c r="F181" t="n">
        <v>1</v>
      </c>
      <c r="G181" t="inlineStr">
        <is>
          <t>AR002</t>
        </is>
      </c>
      <c r="H181" t="inlineStr">
        <is>
          <t>22 Februari 2016</t>
        </is>
      </c>
      <c r="I181" s="2" t="n">
        <v>46282</v>
      </c>
      <c r="J181" t="inlineStr">
        <is>
          <t>Disetujui</t>
        </is>
      </c>
      <c r="K181" t="n">
        <v>90</v>
      </c>
      <c r="L181" t="inlineStr">
        <is>
          <t>17 September 2026</t>
        </is>
      </c>
      <c r="M181" t="inlineStr">
        <is>
          <t>Jasa Arsitektural Lainnya</t>
        </is>
      </c>
      <c r="N181" t="inlineStr">
        <is>
          <t>K</t>
        </is>
      </c>
      <c r="O181" t="inlineStr">
        <is>
          <t>20230904</t>
        </is>
      </c>
      <c r="P181" t="inlineStr">
        <is>
          <t>Sulawesi Selatan</t>
        </is>
      </c>
      <c r="Q181" t="inlineStr"/>
    </row>
    <row r="182">
      <c r="A182" t="inlineStr">
        <is>
          <t>TIGA UTAMA</t>
        </is>
      </c>
      <c r="B182" t="inlineStr">
        <is>
          <t>Kab. Indramayu</t>
        </is>
      </c>
      <c r="C182" t="inlineStr">
        <is>
          <t>087828986040</t>
        </is>
      </c>
      <c r="D182" t="inlineStr">
        <is>
          <t>tigautama194@yahoo.com</t>
        </is>
      </c>
      <c r="E182" t="inlineStr">
        <is>
          <t>https://lpjk.pu.go.id/search-badan-usaha-detail/QzkxR3VGMncxcUhQcTNGVUFIYTFUdz09</t>
        </is>
      </c>
      <c r="F182" t="n">
        <v>3</v>
      </c>
      <c r="G182" t="inlineStr">
        <is>
          <t>BG005, BG006, BG009</t>
        </is>
      </c>
      <c r="H182" t="inlineStr">
        <is>
          <t>2 Oktober 2002</t>
        </is>
      </c>
      <c r="I182" s="2" t="n">
        <v>46282</v>
      </c>
      <c r="J182" t="inlineStr">
        <is>
          <t>Disetujui</t>
        </is>
      </c>
      <c r="K182" t="n">
        <v>90</v>
      </c>
      <c r="L182" t="inlineStr">
        <is>
          <t>17 September 2026</t>
        </is>
      </c>
      <c r="M182" t="inlineStr">
        <is>
          <t>Konstruksi Gedung Kesehatan, Konstruksi Gedung Lainnya, Konstruksi Gedung Pendidikan</t>
        </is>
      </c>
      <c r="N182" t="inlineStr">
        <is>
          <t>K</t>
        </is>
      </c>
      <c r="O182" t="inlineStr">
        <is>
          <t>20230915</t>
        </is>
      </c>
      <c r="P182" t="inlineStr">
        <is>
          <t>Jawa Barat</t>
        </is>
      </c>
      <c r="Q182" t="inlineStr"/>
    </row>
    <row r="183">
      <c r="A183" t="inlineStr">
        <is>
          <t>TIRTA MULIA</t>
        </is>
      </c>
      <c r="B183" t="inlineStr">
        <is>
          <t>Kab. Banggai Laut</t>
        </is>
      </c>
      <c r="C183" t="inlineStr">
        <is>
          <t>085341463994</t>
        </is>
      </c>
      <c r="D183" t="inlineStr">
        <is>
          <t>tirtamulia.cv@gmail.com</t>
        </is>
      </c>
      <c r="E183" t="inlineStr">
        <is>
          <t>https://lpjk.pu.go.id/search-badan-usaha-detail/SWo0QWY5T2xuWktDbkJzaTBIbmVsdz09</t>
        </is>
      </c>
      <c r="F183" t="n">
        <v>2</v>
      </c>
      <c r="G183" t="inlineStr">
        <is>
          <t>BG002, BG009</t>
        </is>
      </c>
      <c r="H183" t="inlineStr">
        <is>
          <t>24 Mei 2004</t>
        </is>
      </c>
      <c r="I183" s="2" t="n">
        <v>46282</v>
      </c>
      <c r="J183" t="inlineStr">
        <is>
          <t>Disetujui</t>
        </is>
      </c>
      <c r="K183" t="n">
        <v>90</v>
      </c>
      <c r="L183" t="inlineStr">
        <is>
          <t>17 September 2026</t>
        </is>
      </c>
      <c r="M183" t="inlineStr">
        <is>
          <t>Konstruksi Gedung Lainnya, Konstruksi Gedung Perkantoran</t>
        </is>
      </c>
      <c r="N183" t="inlineStr">
        <is>
          <t>K</t>
        </is>
      </c>
      <c r="O183" t="inlineStr">
        <is>
          <t>20230918</t>
        </is>
      </c>
      <c r="P183" t="inlineStr">
        <is>
          <t>Sulawesi Tengah</t>
        </is>
      </c>
      <c r="Q183" t="inlineStr"/>
    </row>
    <row r="184">
      <c r="A184" t="inlineStr">
        <is>
          <t>TIRTA UTAMA KONSTRUKSI</t>
        </is>
      </c>
      <c r="B184" t="inlineStr">
        <is>
          <t>Kab. Lombok Tengah</t>
        </is>
      </c>
      <c r="C184" t="inlineStr">
        <is>
          <t>081805554141</t>
        </is>
      </c>
      <c r="D184" t="inlineStr">
        <is>
          <t>tirtautamakonstruksi@gmail.com</t>
        </is>
      </c>
      <c r="E184" t="inlineStr">
        <is>
          <t>https://lpjk.pu.go.id/search-badan-usaha-detail/ZTNsNzFjUXpOcllVRzFYbGdZWURWUT09</t>
        </is>
      </c>
      <c r="F184" t="n">
        <v>1</v>
      </c>
      <c r="G184" t="inlineStr">
        <is>
          <t>BS004</t>
        </is>
      </c>
      <c r="H184" t="inlineStr">
        <is>
          <t>3 Agustus 2023</t>
        </is>
      </c>
      <c r="I184" s="2" t="n">
        <v>46282</v>
      </c>
      <c r="J184" t="inlineStr">
        <is>
          <t>Disetujui</t>
        </is>
      </c>
      <c r="K184" t="n">
        <v>90</v>
      </c>
      <c r="L184" t="inlineStr">
        <is>
          <t>17 September 2026</t>
        </is>
      </c>
      <c r="M184" t="inlineStr">
        <is>
          <t>Konstruksi Jaringan Irigasi dan Drainase</t>
        </is>
      </c>
      <c r="N184" t="inlineStr">
        <is>
          <t>K</t>
        </is>
      </c>
      <c r="O184" t="inlineStr">
        <is>
          <t>20230918</t>
        </is>
      </c>
      <c r="P184" t="inlineStr">
        <is>
          <t>Nusa Tenggara Barat</t>
        </is>
      </c>
      <c r="Q184" t="inlineStr"/>
    </row>
    <row r="185">
      <c r="A185" t="inlineStr">
        <is>
          <t>TITIAN JATI</t>
        </is>
      </c>
      <c r="B185" t="inlineStr">
        <is>
          <t>Kab. Lombok Barat</t>
        </is>
      </c>
      <c r="C185" t="inlineStr">
        <is>
          <t>081907066440</t>
        </is>
      </c>
      <c r="D185" t="inlineStr">
        <is>
          <t>titianjati.cv@gmail.com</t>
        </is>
      </c>
      <c r="E185" t="inlineStr">
        <is>
          <t>https://lpjk.pu.go.id/search-badan-usaha-detail/K3dieVJrMW53eGdKMFNmY0lZLzQ2dz09</t>
        </is>
      </c>
      <c r="F185" t="n">
        <v>2</v>
      </c>
      <c r="G185" t="inlineStr">
        <is>
          <t>BG006</t>
        </is>
      </c>
      <c r="H185" t="inlineStr">
        <is>
          <t>12 Desember 1998</t>
        </is>
      </c>
      <c r="I185" s="2" t="n">
        <v>46282</v>
      </c>
      <c r="J185" t="inlineStr">
        <is>
          <t>Disetujui</t>
        </is>
      </c>
      <c r="K185" t="n">
        <v>90</v>
      </c>
      <c r="L185" t="inlineStr">
        <is>
          <t>17 September 2026</t>
        </is>
      </c>
      <c r="M185" t="inlineStr">
        <is>
          <t>Konstruksi Gedung Pendidikan</t>
        </is>
      </c>
      <c r="N185" t="inlineStr">
        <is>
          <t>K</t>
        </is>
      </c>
      <c r="O185" t="inlineStr">
        <is>
          <t>20230913</t>
        </is>
      </c>
      <c r="P185" t="inlineStr">
        <is>
          <t>Nusa Tenggara Barat</t>
        </is>
      </c>
      <c r="Q185" t="inlineStr"/>
    </row>
    <row r="186">
      <c r="A186" t="inlineStr">
        <is>
          <t>TRI BASKARA</t>
        </is>
      </c>
      <c r="B186" t="inlineStr">
        <is>
          <t>Kab. Tuban</t>
        </is>
      </c>
      <c r="C186" t="inlineStr">
        <is>
          <t>081331115152</t>
        </is>
      </c>
      <c r="D186" t="inlineStr">
        <is>
          <t>tribaskara.tuban@yahoo.com</t>
        </is>
      </c>
      <c r="E186" t="inlineStr">
        <is>
          <t>https://lpjk.pu.go.id/search-badan-usaha-detail/YU8xTGJ4S1YrQWw3dVdMMWJCNERjUT09</t>
        </is>
      </c>
      <c r="F186" t="n">
        <v>2</v>
      </c>
      <c r="G186" t="inlineStr">
        <is>
          <t>BG002, BG006</t>
        </is>
      </c>
      <c r="H186" t="inlineStr">
        <is>
          <t>17 November 2015</t>
        </is>
      </c>
      <c r="I186" s="2" t="n">
        <v>46282</v>
      </c>
      <c r="J186" t="inlineStr">
        <is>
          <t>Disetujui</t>
        </is>
      </c>
      <c r="K186" t="n">
        <v>90</v>
      </c>
      <c r="L186" t="inlineStr">
        <is>
          <t>17 September 2026</t>
        </is>
      </c>
      <c r="M186" t="inlineStr">
        <is>
          <t>Konstruksi Gedung Pendidikan, Konstruksi Gedung Perkantoran</t>
        </is>
      </c>
      <c r="N186" t="inlineStr">
        <is>
          <t>K</t>
        </is>
      </c>
      <c r="O186" t="inlineStr">
        <is>
          <t>20230911, 20230912</t>
        </is>
      </c>
      <c r="P186" t="inlineStr">
        <is>
          <t>Jawa Timur</t>
        </is>
      </c>
      <c r="Q186" t="inlineStr"/>
    </row>
    <row r="187">
      <c r="A187" t="inlineStr">
        <is>
          <t>TRI KARYA PRIMA</t>
        </is>
      </c>
      <c r="B187" t="inlineStr">
        <is>
          <t>Kab. Sleman</t>
        </is>
      </c>
      <c r="C187" t="inlineStr">
        <is>
          <t>081215084014</t>
        </is>
      </c>
      <c r="D187" t="inlineStr">
        <is>
          <t>trikaryaprima2023@gmail.com</t>
        </is>
      </c>
      <c r="E187" t="inlineStr">
        <is>
          <t>https://lpjk.pu.go.id/search-badan-usaha-detail/bkNOaFVSQ0VrbFdXRjNqVFpTSDY2QT09</t>
        </is>
      </c>
      <c r="F187" t="n">
        <v>1</v>
      </c>
      <c r="G187" t="inlineStr">
        <is>
          <t>AR001</t>
        </is>
      </c>
      <c r="H187" t="inlineStr">
        <is>
          <t>9 Februari 2023</t>
        </is>
      </c>
      <c r="I187" s="2" t="n">
        <v>46282</v>
      </c>
      <c r="J187" t="inlineStr">
        <is>
          <t>Disetujui</t>
        </is>
      </c>
      <c r="K187" t="n">
        <v>90</v>
      </c>
      <c r="L187" t="inlineStr">
        <is>
          <t>17 September 2026</t>
        </is>
      </c>
      <c r="M187" t="inlineStr">
        <is>
          <t>Jasa Arsitektural Bangunan Gedung Hunian dan Non Hunian</t>
        </is>
      </c>
      <c r="N187" t="inlineStr">
        <is>
          <t>K</t>
        </is>
      </c>
      <c r="O187" t="inlineStr">
        <is>
          <t>20230821</t>
        </is>
      </c>
      <c r="P187" t="inlineStr">
        <is>
          <t>DI Yogyakarta</t>
        </is>
      </c>
      <c r="Q187" t="inlineStr"/>
    </row>
    <row r="188">
      <c r="A188" t="inlineStr">
        <is>
          <t>TUAH ENERGY NUSANTARA</t>
        </is>
      </c>
      <c r="B188" t="inlineStr">
        <is>
          <t>Kota Adm. Jakarta Selatan</t>
        </is>
      </c>
      <c r="C188" t="inlineStr">
        <is>
          <t>02127624174</t>
        </is>
      </c>
      <c r="D188" t="inlineStr">
        <is>
          <t>tuahenergy.nusantara@gmail.com</t>
        </is>
      </c>
      <c r="E188" t="inlineStr">
        <is>
          <t>https://lpjk.pu.go.id/search-badan-usaha-detail/QWtFRFRxZ2VPdnFNS3drc2hEV0Z3dz09</t>
        </is>
      </c>
      <c r="F188" t="n">
        <v>1</v>
      </c>
      <c r="G188" t="inlineStr">
        <is>
          <t>RT003</t>
        </is>
      </c>
      <c r="H188" t="inlineStr">
        <is>
          <t>21 Juli 2023</t>
        </is>
      </c>
      <c r="I188" s="2" t="n">
        <v>46282</v>
      </c>
      <c r="J188" t="inlineStr">
        <is>
          <t>Disetujui</t>
        </is>
      </c>
      <c r="K188" t="n">
        <v>90</v>
      </c>
      <c r="L188" t="inlineStr">
        <is>
          <t>17 September 2026</t>
        </is>
      </c>
      <c r="M188" t="inlineStr">
        <is>
          <t>Jasa Rekayasa Konstruksi Proses Industrial, Produksi, dan Fasilitas Produksi</t>
        </is>
      </c>
      <c r="N188" t="inlineStr">
        <is>
          <t>K</t>
        </is>
      </c>
      <c r="O188" t="inlineStr">
        <is>
          <t>20230821</t>
        </is>
      </c>
      <c r="P188" t="inlineStr">
        <is>
          <t>DKI Jakarta</t>
        </is>
      </c>
      <c r="Q188" t="inlineStr"/>
    </row>
    <row r="189">
      <c r="A189" t="inlineStr">
        <is>
          <t>UNGGUL BUANA</t>
        </is>
      </c>
      <c r="B189" t="inlineStr">
        <is>
          <t>Kab. Purwakarta</t>
        </is>
      </c>
      <c r="C189" t="inlineStr">
        <is>
          <t>087879716066</t>
        </is>
      </c>
      <c r="D189" t="inlineStr">
        <is>
          <t>unggulbuana@hotmail.com</t>
        </is>
      </c>
      <c r="E189" t="inlineStr">
        <is>
          <t>https://lpjk.pu.go.id/search-badan-usaha-detail/Z0R0b1RZQmhuWnpwdTV2Qzc0OU1xZz09</t>
        </is>
      </c>
      <c r="F189" t="n">
        <v>1</v>
      </c>
      <c r="G189" t="inlineStr">
        <is>
          <t>BG009</t>
        </is>
      </c>
      <c r="H189" t="inlineStr">
        <is>
          <t>12 November 2018</t>
        </is>
      </c>
      <c r="I189" s="2" t="n">
        <v>46282</v>
      </c>
      <c r="J189" t="inlineStr">
        <is>
          <t>Disetujui</t>
        </is>
      </c>
      <c r="K189" t="n">
        <v>90</v>
      </c>
      <c r="L189" t="inlineStr">
        <is>
          <t>17 September 2026</t>
        </is>
      </c>
      <c r="M189" t="inlineStr">
        <is>
          <t>Konstruksi Gedung Lainnya</t>
        </is>
      </c>
      <c r="N189" t="inlineStr">
        <is>
          <t>K</t>
        </is>
      </c>
      <c r="O189" t="inlineStr">
        <is>
          <t>20230818</t>
        </is>
      </c>
      <c r="P189" t="inlineStr">
        <is>
          <t>Jawa Barat</t>
        </is>
      </c>
      <c r="Q189" t="inlineStr"/>
    </row>
    <row r="190">
      <c r="A190" t="inlineStr">
        <is>
          <t>USAHA MULTI GUNA</t>
        </is>
      </c>
      <c r="B190" t="inlineStr">
        <is>
          <t>Kota Semarang</t>
        </is>
      </c>
      <c r="C190" t="inlineStr">
        <is>
          <t>02476636993</t>
        </is>
      </c>
      <c r="D190" t="inlineStr">
        <is>
          <t>usahamultiguna.pt@gmail.com</t>
        </is>
      </c>
      <c r="E190" t="inlineStr">
        <is>
          <t>https://lpjk.pu.go.id/search-badan-usaha-detail/eU9wLzVYNjVlUkowOFQ2SlVDaTJPdz09</t>
        </is>
      </c>
      <c r="F190" t="n">
        <v>1</v>
      </c>
      <c r="G190" t="inlineStr">
        <is>
          <t>IN012</t>
        </is>
      </c>
      <c r="H190" t="inlineStr">
        <is>
          <t>29 Januari 2004</t>
        </is>
      </c>
      <c r="I190" s="2" t="n">
        <v>46282</v>
      </c>
      <c r="J190" t="inlineStr">
        <is>
          <t>Disetujui</t>
        </is>
      </c>
      <c r="K190" t="n">
        <v>90</v>
      </c>
      <c r="L190" t="inlineStr">
        <is>
          <t>17 September 2026</t>
        </is>
      </c>
      <c r="M190" t="inlineStr">
        <is>
          <t>Instalasi Sinyal dan Telekomunikasi Kereta Api</t>
        </is>
      </c>
      <c r="N190" t="inlineStr">
        <is>
          <t>Spesialis</t>
        </is>
      </c>
      <c r="O190" t="inlineStr">
        <is>
          <t>20230822</t>
        </is>
      </c>
      <c r="P190" t="inlineStr">
        <is>
          <t>Jawa Tengah</t>
        </is>
      </c>
      <c r="Q190" t="inlineStr"/>
    </row>
    <row r="191">
      <c r="A191" t="inlineStr">
        <is>
          <t>VISTATAMA MULTI ENGINEERING CONSULTANT</t>
        </is>
      </c>
      <c r="B191" t="inlineStr">
        <is>
          <t>Kota Tanjung Pinang</t>
        </is>
      </c>
      <c r="C191" t="inlineStr">
        <is>
          <t>081371651252</t>
        </is>
      </c>
      <c r="D191" t="inlineStr">
        <is>
          <t>vistatama_cons@yahoo.co.id</t>
        </is>
      </c>
      <c r="E191" t="inlineStr">
        <is>
          <t>https://lpjk.pu.go.id/search-badan-usaha-detail/bmw5d1RCMkRrbTlWQys4blRxdlNtQT09</t>
        </is>
      </c>
      <c r="F191" t="n">
        <v>1</v>
      </c>
      <c r="G191" t="inlineStr">
        <is>
          <t>RK003</t>
        </is>
      </c>
      <c r="H191" t="inlineStr">
        <is>
          <t>8 Maret 2008</t>
        </is>
      </c>
      <c r="I191" s="2" t="n">
        <v>46282</v>
      </c>
      <c r="J191" t="inlineStr">
        <is>
          <t>Disetujui</t>
        </is>
      </c>
      <c r="K191" t="n">
        <v>90</v>
      </c>
      <c r="L191" t="inlineStr">
        <is>
          <t>17 September 2026</t>
        </is>
      </c>
      <c r="M191" t="inlineStr">
        <is>
          <t>Jasa Rekayasa Pekerjaan Teknik Sipil Transportasi</t>
        </is>
      </c>
      <c r="N191" t="inlineStr">
        <is>
          <t>K</t>
        </is>
      </c>
      <c r="O191" t="inlineStr">
        <is>
          <t>20230909</t>
        </is>
      </c>
      <c r="P191" t="inlineStr">
        <is>
          <t>Kepulauan Riau</t>
        </is>
      </c>
      <c r="Q191" t="inlineStr"/>
    </row>
    <row r="192">
      <c r="A192" t="inlineStr">
        <is>
          <t>WAHANA KONSTRUKSI TEKNIK</t>
        </is>
      </c>
      <c r="B192" t="inlineStr">
        <is>
          <t>Kab. Serdang Bedagai</t>
        </is>
      </c>
      <c r="C192" t="inlineStr">
        <is>
          <t>081260117685</t>
        </is>
      </c>
      <c r="D192" t="inlineStr">
        <is>
          <t>ptwahanakonstruksi@yahoo.com</t>
        </is>
      </c>
      <c r="E192" t="inlineStr">
        <is>
          <t>https://lpjk.pu.go.id/search-badan-usaha-detail/amNBRmVCcHAzUzI0UjRCMFN3eTh0QT09</t>
        </is>
      </c>
      <c r="F192" t="n">
        <v>1</v>
      </c>
      <c r="G192" t="inlineStr">
        <is>
          <t>BG006</t>
        </is>
      </c>
      <c r="H192" t="inlineStr">
        <is>
          <t>26 Mei 2023</t>
        </is>
      </c>
      <c r="I192" s="2" t="n">
        <v>46282</v>
      </c>
      <c r="J192" t="inlineStr">
        <is>
          <t>Disetujui</t>
        </is>
      </c>
      <c r="K192" t="n">
        <v>90</v>
      </c>
      <c r="L192" t="inlineStr">
        <is>
          <t>17 September 2026</t>
        </is>
      </c>
      <c r="M192" t="inlineStr">
        <is>
          <t>Konstruksi Gedung Pendidikan</t>
        </is>
      </c>
      <c r="N192" t="inlineStr">
        <is>
          <t>K</t>
        </is>
      </c>
      <c r="O192" t="inlineStr">
        <is>
          <t>20230916</t>
        </is>
      </c>
      <c r="P192" t="inlineStr">
        <is>
          <t>Sumatera Utara</t>
        </is>
      </c>
      <c r="Q192" t="inlineStr"/>
    </row>
    <row r="193">
      <c r="A193" t="inlineStr">
        <is>
          <t>WAHANA SULAWESI</t>
        </is>
      </c>
      <c r="B193" t="inlineStr">
        <is>
          <t>Kota Palu</t>
        </is>
      </c>
      <c r="C193" t="inlineStr">
        <is>
          <t>085230135325</t>
        </is>
      </c>
      <c r="D193" t="inlineStr">
        <is>
          <t>wahana_sulawesi@yahoo.co.id</t>
        </is>
      </c>
      <c r="E193" t="inlineStr">
        <is>
          <t>https://lpjk.pu.go.id/search-badan-usaha-detail/akVTYklrYXRQNnZydFZRUmY3Ni9Kdz09</t>
        </is>
      </c>
      <c r="F193" t="n">
        <v>1</v>
      </c>
      <c r="G193" t="inlineStr">
        <is>
          <t>BG009</t>
        </is>
      </c>
      <c r="H193" t="inlineStr">
        <is>
          <t>25 Juni 1997</t>
        </is>
      </c>
      <c r="I193" s="2" t="n">
        <v>46282</v>
      </c>
      <c r="J193" t="inlineStr">
        <is>
          <t>Disetujui</t>
        </is>
      </c>
      <c r="K193" t="n">
        <v>90</v>
      </c>
      <c r="L193" t="inlineStr">
        <is>
          <t>17 September 2026</t>
        </is>
      </c>
      <c r="M193" t="inlineStr">
        <is>
          <t>Konstruksi Gedung Lainnya</t>
        </is>
      </c>
      <c r="N193" t="inlineStr">
        <is>
          <t>K</t>
        </is>
      </c>
      <c r="O193" t="inlineStr">
        <is>
          <t>20230914</t>
        </is>
      </c>
      <c r="P193" t="inlineStr">
        <is>
          <t>Sulawesi Tengah</t>
        </is>
      </c>
      <c r="Q193" t="inlineStr"/>
    </row>
    <row r="194">
      <c r="A194" t="inlineStr">
        <is>
          <t>WAHYU MEGAH ABADI</t>
        </is>
      </c>
      <c r="B194" t="inlineStr">
        <is>
          <t>Kab. Banyuwangi</t>
        </is>
      </c>
      <c r="C194" t="inlineStr">
        <is>
          <t>081221008117</t>
        </is>
      </c>
      <c r="D194" t="inlineStr">
        <is>
          <t>pt.wmabanyuwangi@gmail.com</t>
        </is>
      </c>
      <c r="E194" t="inlineStr">
        <is>
          <t>https://lpjk.pu.go.id/search-badan-usaha-detail/eGR5Q1VuN3lIaEJ1N096Qjg5QnlIQT09</t>
        </is>
      </c>
      <c r="F194" t="n">
        <v>1</v>
      </c>
      <c r="G194" t="inlineStr">
        <is>
          <t>BG009</t>
        </is>
      </c>
      <c r="H194" t="inlineStr">
        <is>
          <t>20 Maret 1998</t>
        </is>
      </c>
      <c r="I194" s="2" t="n">
        <v>46282</v>
      </c>
      <c r="J194" t="inlineStr">
        <is>
          <t>Disetujui</t>
        </is>
      </c>
      <c r="K194" t="n">
        <v>90</v>
      </c>
      <c r="L194" t="inlineStr">
        <is>
          <t>17 September 2026</t>
        </is>
      </c>
      <c r="M194" t="inlineStr">
        <is>
          <t>Konstruksi Gedung Lainnya</t>
        </is>
      </c>
      <c r="N194" t="inlineStr">
        <is>
          <t>K</t>
        </is>
      </c>
      <c r="O194" t="inlineStr">
        <is>
          <t>20230908</t>
        </is>
      </c>
      <c r="P194" t="inlineStr">
        <is>
          <t>Jawa Timur</t>
        </is>
      </c>
      <c r="Q194" t="inlineStr"/>
    </row>
    <row r="195">
      <c r="A195" t="inlineStr">
        <is>
          <t>WAHYU RAMADHAN</t>
        </is>
      </c>
      <c r="B195" t="inlineStr">
        <is>
          <t>Kota Batu</t>
        </is>
      </c>
      <c r="C195" t="inlineStr">
        <is>
          <t>0341468181</t>
        </is>
      </c>
      <c r="D195" t="inlineStr">
        <is>
          <t>wahyuramadhan.cv@gmail.com</t>
        </is>
      </c>
      <c r="E195" t="inlineStr">
        <is>
          <t>https://lpjk.pu.go.id/search-badan-usaha-detail/T2drMnVYOHB0NHJaZWxZdG93Nlg1QT09</t>
        </is>
      </c>
      <c r="F195" t="n">
        <v>1</v>
      </c>
      <c r="G195" t="inlineStr">
        <is>
          <t>BS002</t>
        </is>
      </c>
      <c r="H195" t="inlineStr">
        <is>
          <t>29 Agustus 2009</t>
        </is>
      </c>
      <c r="I195" s="2" t="n">
        <v>46282</v>
      </c>
      <c r="J195" t="inlineStr">
        <is>
          <t>Validasi</t>
        </is>
      </c>
      <c r="K195" t="n">
        <v>90</v>
      </c>
      <c r="L195" t="inlineStr">
        <is>
          <t>17 September 2026</t>
        </is>
      </c>
      <c r="M195" t="inlineStr">
        <is>
          <t>Bangunan Sipil Jembatan, Jalan Layang, Fly Over, dan Underpass</t>
        </is>
      </c>
      <c r="N195" t="inlineStr">
        <is>
          <t>K</t>
        </is>
      </c>
      <c r="O195" t="inlineStr">
        <is>
          <t>20230911</t>
        </is>
      </c>
      <c r="P195" t="inlineStr">
        <is>
          <t>Jawa Timur</t>
        </is>
      </c>
      <c r="Q195" t="inlineStr"/>
    </row>
    <row r="196">
      <c r="A196" t="inlineStr">
        <is>
          <t>WIRA BHAKTI MULIA</t>
        </is>
      </c>
      <c r="B196" t="inlineStr">
        <is>
          <t>Kota Surakarta</t>
        </is>
      </c>
      <c r="C196" t="inlineStr">
        <is>
          <t>02712931191</t>
        </is>
      </c>
      <c r="D196" t="inlineStr">
        <is>
          <t>pt.wirabhaktimulia@yahoo.com</t>
        </is>
      </c>
      <c r="E196" t="inlineStr">
        <is>
          <t>https://lpjk.pu.go.id/search-badan-usaha-detail/N2wrbml4Q1gxZDRoV0U1MG9hdFVhdz09</t>
        </is>
      </c>
      <c r="F196" t="n">
        <v>1</v>
      </c>
      <c r="G196" t="inlineStr">
        <is>
          <t>BG004</t>
        </is>
      </c>
      <c r="H196" t="inlineStr">
        <is>
          <t>8 Mei 2013</t>
        </is>
      </c>
      <c r="I196" s="2" t="n">
        <v>46282</v>
      </c>
      <c r="J196" t="inlineStr">
        <is>
          <t>Disetujui</t>
        </is>
      </c>
      <c r="K196" t="n">
        <v>90</v>
      </c>
      <c r="L196" t="inlineStr">
        <is>
          <t>17 September 2026</t>
        </is>
      </c>
      <c r="M196" t="inlineStr">
        <is>
          <t>Konstruksi Gedung Perbelanjaan</t>
        </is>
      </c>
      <c r="N196" t="inlineStr">
        <is>
          <t>M</t>
        </is>
      </c>
      <c r="O196" t="inlineStr">
        <is>
          <t>20230912</t>
        </is>
      </c>
      <c r="P196" t="inlineStr">
        <is>
          <t>Jawa Tengah</t>
        </is>
      </c>
      <c r="Q196" t="inlineStr"/>
    </row>
    <row r="197">
      <c r="A197" t="inlineStr">
        <is>
          <t>WIRA BIMA KARYA</t>
        </is>
      </c>
      <c r="B197" t="inlineStr">
        <is>
          <t>Kota Medan</t>
        </is>
      </c>
      <c r="C197" t="inlineStr">
        <is>
          <t>081360388960</t>
        </is>
      </c>
      <c r="D197" t="inlineStr">
        <is>
          <t>Wirabimakarya@gmail.com</t>
        </is>
      </c>
      <c r="E197" t="inlineStr">
        <is>
          <t>https://lpjk.pu.go.id/search-badan-usaha-detail/YkllTzZpNjlRczJTR1B6RVFKTlVzZz09</t>
        </is>
      </c>
      <c r="F197" t="n">
        <v>1</v>
      </c>
      <c r="G197" t="inlineStr">
        <is>
          <t>BG006</t>
        </is>
      </c>
      <c r="H197" t="inlineStr">
        <is>
          <t>6 Juli 2023</t>
        </is>
      </c>
      <c r="I197" s="2" t="n">
        <v>46282</v>
      </c>
      <c r="J197" t="inlineStr">
        <is>
          <t>Disetujui</t>
        </is>
      </c>
      <c r="K197" t="n">
        <v>90</v>
      </c>
      <c r="L197" t="inlineStr">
        <is>
          <t>17 September 2026</t>
        </is>
      </c>
      <c r="M197" t="inlineStr">
        <is>
          <t>Konstruksi Gedung Pendidikan</t>
        </is>
      </c>
      <c r="N197" t="inlineStr">
        <is>
          <t>K</t>
        </is>
      </c>
      <c r="O197" t="inlineStr">
        <is>
          <t>20230914</t>
        </is>
      </c>
      <c r="P197" t="inlineStr">
        <is>
          <t>Sumatera Utara</t>
        </is>
      </c>
      <c r="Q197" t="inlineStr"/>
    </row>
    <row r="198">
      <c r="A198" t="inlineStr">
        <is>
          <t>WIRATAMA SENTOSA</t>
        </is>
      </c>
      <c r="B198" t="inlineStr">
        <is>
          <t>Kota Palembang</t>
        </is>
      </c>
      <c r="C198" t="inlineStr">
        <is>
          <t>081278570061</t>
        </is>
      </c>
      <c r="D198" t="inlineStr">
        <is>
          <t>wiratamasentosa21@gmail.com</t>
        </is>
      </c>
      <c r="E198" t="inlineStr">
        <is>
          <t>https://lpjk.pu.go.id/search-badan-usaha-detail/WmZHY2d4THFFZis5UWNYcStsNVFsdz09</t>
        </is>
      </c>
      <c r="F198" t="n">
        <v>4</v>
      </c>
      <c r="G198" t="inlineStr">
        <is>
          <t>BG003, BG009</t>
        </is>
      </c>
      <c r="H198" t="inlineStr">
        <is>
          <t>9 September 2018</t>
        </is>
      </c>
      <c r="I198" s="2" t="n">
        <v>46282</v>
      </c>
      <c r="J198" t="inlineStr">
        <is>
          <t>Disetujui</t>
        </is>
      </c>
      <c r="K198" t="n">
        <v>90</v>
      </c>
      <c r="L198" t="inlineStr">
        <is>
          <t>17 September 2026</t>
        </is>
      </c>
      <c r="M198" t="inlineStr">
        <is>
          <t>Konstruksi Gedung Industri, Konstruksi Gedung Lainnya</t>
        </is>
      </c>
      <c r="N198" t="inlineStr">
        <is>
          <t>K</t>
        </is>
      </c>
      <c r="O198" t="inlineStr">
        <is>
          <t>20230914, 20230915</t>
        </is>
      </c>
      <c r="P198" t="inlineStr">
        <is>
          <t>Sumatera Selatan</t>
        </is>
      </c>
      <c r="Q198" t="inlineStr"/>
    </row>
    <row r="199">
      <c r="A199" t="inlineStr">
        <is>
          <t>YANA MAJU BERSAMA</t>
        </is>
      </c>
      <c r="B199" t="inlineStr">
        <is>
          <t>Kab. Banyuwangi</t>
        </is>
      </c>
      <c r="C199" t="inlineStr">
        <is>
          <t>081238139788</t>
        </is>
      </c>
      <c r="D199" t="inlineStr">
        <is>
          <t>yanamajubersama@gmail.com</t>
        </is>
      </c>
      <c r="E199" t="inlineStr">
        <is>
          <t>https://lpjk.pu.go.id/search-badan-usaha-detail/Y2tFYU80Qzl4eVplekQyZGJMbytFdz09</t>
        </is>
      </c>
      <c r="F199" t="n">
        <v>1</v>
      </c>
      <c r="G199" t="inlineStr">
        <is>
          <t>BG005</t>
        </is>
      </c>
      <c r="H199" t="inlineStr">
        <is>
          <t>25 April 2016</t>
        </is>
      </c>
      <c r="I199" s="2" t="n">
        <v>46282</v>
      </c>
      <c r="J199" t="inlineStr">
        <is>
          <t>Disetujui</t>
        </is>
      </c>
      <c r="K199" t="n">
        <v>90</v>
      </c>
      <c r="L199" t="inlineStr">
        <is>
          <t>17 September 2026</t>
        </is>
      </c>
      <c r="M199" t="inlineStr">
        <is>
          <t>Konstruksi Gedung Kesehatan</t>
        </is>
      </c>
      <c r="N199" t="inlineStr">
        <is>
          <t>K</t>
        </is>
      </c>
      <c r="O199" t="inlineStr">
        <is>
          <t>20230914</t>
        </is>
      </c>
      <c r="P199" t="inlineStr">
        <is>
          <t>Jawa Timur</t>
        </is>
      </c>
      <c r="Q199" t="inlineStr"/>
    </row>
    <row r="200">
      <c r="A200" t="inlineStr">
        <is>
          <t>YOGA DESAIN ARSITEK</t>
        </is>
      </c>
      <c r="B200" t="inlineStr">
        <is>
          <t>Kota Denpasar</t>
        </is>
      </c>
      <c r="C200" t="inlineStr">
        <is>
          <t>081339397039</t>
        </is>
      </c>
      <c r="D200" t="inlineStr">
        <is>
          <t>cvyogadesignarchitect@gmail.com</t>
        </is>
      </c>
      <c r="E200" t="inlineStr">
        <is>
          <t>https://lpjk.pu.go.id/search-badan-usaha-detail/QjFNSDdTZmhFWnBuTG5nWFVOREdyZz09</t>
        </is>
      </c>
      <c r="F200" t="n">
        <v>2</v>
      </c>
      <c r="G200" t="inlineStr">
        <is>
          <t>AR001, AR002</t>
        </is>
      </c>
      <c r="H200" t="inlineStr">
        <is>
          <t>2 September 2022</t>
        </is>
      </c>
      <c r="I200" s="2" t="n">
        <v>46282</v>
      </c>
      <c r="J200" t="inlineStr">
        <is>
          <t>Disetujui</t>
        </is>
      </c>
      <c r="K200" t="n">
        <v>90</v>
      </c>
      <c r="L200" t="inlineStr">
        <is>
          <t>17 September 2026</t>
        </is>
      </c>
      <c r="M200" t="inlineStr">
        <is>
          <t>Jasa Arsitektural Bangunan Gedung Hunian dan Non Hunian, Jasa Arsitektural Lainnya</t>
        </is>
      </c>
      <c r="N200" t="inlineStr">
        <is>
          <t>K</t>
        </is>
      </c>
      <c r="O200" t="inlineStr">
        <is>
          <t>20230912</t>
        </is>
      </c>
      <c r="P200" t="inlineStr">
        <is>
          <t>Bali</t>
        </is>
      </c>
      <c r="Q200" t="inlineStr"/>
    </row>
    <row r="201">
      <c r="A201" t="inlineStr">
        <is>
          <t>ZHAFRAN PUTRA UTAMA</t>
        </is>
      </c>
      <c r="B201" t="inlineStr">
        <is>
          <t>Kab. Soppeng</t>
        </is>
      </c>
      <c r="C201" t="inlineStr">
        <is>
          <t>085241770198</t>
        </is>
      </c>
      <c r="D201" t="inlineStr">
        <is>
          <t>pt.zhafranputrautama@gmail.com</t>
        </is>
      </c>
      <c r="E201" t="inlineStr">
        <is>
          <t>https://lpjk.pu.go.id/search-badan-usaha-detail/VE1EbExQeDdwWkdoQVZWMEpXNmEyZz09</t>
        </is>
      </c>
      <c r="F201" t="n">
        <v>1</v>
      </c>
      <c r="G201" t="inlineStr">
        <is>
          <t>BS001</t>
        </is>
      </c>
      <c r="H201" t="inlineStr">
        <is>
          <t>30 September 2019</t>
        </is>
      </c>
      <c r="I201" s="2" t="n">
        <v>46282</v>
      </c>
      <c r="J201" t="inlineStr">
        <is>
          <t>Disetujui</t>
        </is>
      </c>
      <c r="K201" t="n">
        <v>90</v>
      </c>
      <c r="L201" t="inlineStr">
        <is>
          <t>17 September 2026</t>
        </is>
      </c>
      <c r="M201" t="inlineStr">
        <is>
          <t>Konstruksi Bangunan Sipil Jalan</t>
        </is>
      </c>
      <c r="N201" t="inlineStr">
        <is>
          <t>K</t>
        </is>
      </c>
      <c r="O201" t="inlineStr">
        <is>
          <t>20230907</t>
        </is>
      </c>
      <c r="P201" t="inlineStr">
        <is>
          <t>Sulawesi Selatan</t>
        </is>
      </c>
      <c r="Q2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0"/>
  <sheetViews>
    <sheetView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16" customWidth="1" min="3" max="3"/>
    <col width="42" customWidth="1" min="4" max="4"/>
    <col width="50" customWidth="1" min="5" max="5"/>
    <col width="18" customWidth="1" min="6" max="6"/>
    <col width="42" customWidth="1" min="7" max="7"/>
    <col width="20" customWidth="1" min="8" max="8"/>
    <col width="28" customWidth="1" min="9" max="9"/>
    <col width="23" customWidth="1" min="10" max="10"/>
    <col width="11" customWidth="1" min="11" max="11"/>
    <col width="17" customWidth="1" min="12" max="12"/>
    <col width="50" customWidth="1" min="13" max="13"/>
    <col width="13" customWidth="1" min="14" max="14"/>
    <col width="30" customWidth="1" min="15" max="15"/>
    <col width="27" customWidth="1" min="16" max="16"/>
    <col width="50" customWidth="1" min="17" max="17"/>
  </cols>
  <sheetData>
    <row r="1">
      <c r="A1" s="1" t="inlineStr">
        <is>
          <t>Nama Perusahaan</t>
        </is>
      </c>
      <c r="B1" s="1" t="inlineStr">
        <is>
          <t>Kabupaten/Kota</t>
        </is>
      </c>
      <c r="C1" s="1" t="inlineStr">
        <is>
          <t>Telepon</t>
        </is>
      </c>
      <c r="D1" s="1" t="inlineStr">
        <is>
          <t>Email</t>
        </is>
      </c>
      <c r="E1" s="1" t="inlineStr">
        <is>
          <t>Link</t>
        </is>
      </c>
      <c r="F1" s="1" t="inlineStr">
        <is>
          <t>Jumlah KBLI 2020</t>
        </is>
      </c>
      <c r="G1" s="1" t="inlineStr">
        <is>
          <t>Kode Subklasifikasi</t>
        </is>
      </c>
      <c r="H1" s="1" t="inlineStr">
        <is>
          <t>Tanggal Ditetapkan</t>
        </is>
      </c>
      <c r="I1" s="1" t="inlineStr">
        <is>
          <t>Tanggal Habis Masa Berlaku</t>
        </is>
      </c>
      <c r="J1" s="1" t="inlineStr">
        <is>
          <t>Status</t>
        </is>
      </c>
      <c r="K1" s="1" t="inlineStr">
        <is>
          <t>Sisa Hari</t>
        </is>
      </c>
      <c r="L1" s="1" t="inlineStr">
        <is>
          <t>Tanggal Expired</t>
        </is>
      </c>
      <c r="M1" s="1" t="inlineStr">
        <is>
          <t>Subklasifikasi</t>
        </is>
      </c>
      <c r="N1" s="1" t="inlineStr">
        <is>
          <t>Kualifikasi</t>
        </is>
      </c>
      <c r="O1" s="1" t="inlineStr">
        <is>
          <t>ID Subklasifikasi</t>
        </is>
      </c>
      <c r="P1" s="1" t="inlineStr">
        <is>
          <t>Provinsi</t>
        </is>
      </c>
      <c r="Q1" s="1" t="inlineStr">
        <is>
          <t>Link WhatsApp</t>
        </is>
      </c>
    </row>
    <row r="2">
      <c r="A2" t="inlineStr">
        <is>
          <t>ABDI PRATAMA</t>
        </is>
      </c>
      <c r="B2" t="inlineStr">
        <is>
          <t>Kota Adm. Jakarta Timur</t>
        </is>
      </c>
      <c r="C2" t="inlineStr">
        <is>
          <t>02184311087</t>
        </is>
      </c>
      <c r="D2" t="inlineStr">
        <is>
          <t>abdiprtm750@gmail.com</t>
        </is>
      </c>
      <c r="E2" t="inlineStr">
        <is>
          <t>https://lpjk.pu.go.id/search-badan-usaha-detail/UVdMZE95WmRSWkxaNi85NWd1ajN0Zz09</t>
        </is>
      </c>
      <c r="F2" t="n">
        <v>1</v>
      </c>
      <c r="G2" t="inlineStr">
        <is>
          <t>BG001</t>
        </is>
      </c>
      <c r="H2" t="inlineStr">
        <is>
          <t>10 Februari 2006</t>
        </is>
      </c>
      <c r="I2" s="2" t="n">
        <v>46252</v>
      </c>
      <c r="J2" t="inlineStr">
        <is>
          <t>Disetujui</t>
        </is>
      </c>
      <c r="K2" t="n">
        <v>60</v>
      </c>
      <c r="L2" t="inlineStr">
        <is>
          <t>18 Agustus 2026</t>
        </is>
      </c>
      <c r="M2" t="inlineStr">
        <is>
          <t>Konstruksi Gedung Hunian</t>
        </is>
      </c>
      <c r="N2" t="inlineStr">
        <is>
          <t>K</t>
        </is>
      </c>
      <c r="O2" t="inlineStr">
        <is>
          <t>20230811</t>
        </is>
      </c>
      <c r="P2" t="inlineStr">
        <is>
          <t>DKI Jakarta</t>
        </is>
      </c>
      <c r="Q2" t="inlineStr"/>
    </row>
    <row r="3">
      <c r="A3" t="inlineStr">
        <is>
          <t>ABDULMUHYI ARCHITECTS</t>
        </is>
      </c>
      <c r="B3" t="inlineStr">
        <is>
          <t>Kab. Bogor</t>
        </is>
      </c>
      <c r="C3" t="inlineStr">
        <is>
          <t>08111132222</t>
        </is>
      </c>
      <c r="D3" t="inlineStr">
        <is>
          <t>abdulmuhyi.arc@gmail.com</t>
        </is>
      </c>
      <c r="E3" t="inlineStr">
        <is>
          <t>https://lpjk.pu.go.id/search-badan-usaha-detail/cXA0ODM3ZXNyblp3RW1ENnN4OVdwdz09</t>
        </is>
      </c>
      <c r="F3" t="n">
        <v>2</v>
      </c>
      <c r="G3" t="inlineStr">
        <is>
          <t>AR001</t>
        </is>
      </c>
      <c r="H3" t="inlineStr">
        <is>
          <t>29 Desember 2017</t>
        </is>
      </c>
      <c r="I3" s="2" t="n">
        <v>46252</v>
      </c>
      <c r="J3" t="inlineStr">
        <is>
          <t>Disetujui</t>
        </is>
      </c>
      <c r="K3" t="n">
        <v>60</v>
      </c>
      <c r="L3" t="inlineStr">
        <is>
          <t>18 Agustus 2026</t>
        </is>
      </c>
      <c r="M3" t="inlineStr">
        <is>
          <t>Jasa Arsitektural Bangunan Gedung Hunian dan Non Hunian</t>
        </is>
      </c>
      <c r="N3" t="inlineStr">
        <is>
          <t>K</t>
        </is>
      </c>
      <c r="O3" t="inlineStr">
        <is>
          <t>20230727</t>
        </is>
      </c>
      <c r="P3" t="inlineStr">
        <is>
          <t>Jawa Barat</t>
        </is>
      </c>
      <c r="Q3" s="3">
        <f>HYPERLINK("https://wa.me/628111132222?text=*[PENGINGAT MASA BERLAKU SBU ABDULMUHYI ARCHITECTS]*%0A%0AYth. Pimpinan ABDULMUHYI ARCHITECTS,%0AMohon izin menginformasikan status SBU Anda di sistem LPJK:%0A%0A📄 SBU: AR001%0A📅 Expired: 18 Agustus 2026 (60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4">
      <c r="A4" t="inlineStr">
        <is>
          <t>ALUMINDO METAL SEJAHTERA</t>
        </is>
      </c>
      <c r="B4" t="inlineStr">
        <is>
          <t>Kab. Bogor</t>
        </is>
      </c>
      <c r="C4" t="inlineStr">
        <is>
          <t>081282077003</t>
        </is>
      </c>
      <c r="D4" t="inlineStr">
        <is>
          <t>alumindometal2014@gmail.com</t>
        </is>
      </c>
      <c r="E4" t="inlineStr">
        <is>
          <t>https://lpjk.pu.go.id/search-badan-usaha-detail/Q1ZIRThVYWp1SC9OWC9tU0Zxd1FQZz09</t>
        </is>
      </c>
      <c r="F4" t="n">
        <v>5</v>
      </c>
      <c r="G4" t="inlineStr">
        <is>
          <t>BG004, BG006, BG007, BG009, BS001</t>
        </is>
      </c>
      <c r="H4" t="inlineStr">
        <is>
          <t>30 November 2009</t>
        </is>
      </c>
      <c r="I4" s="2" t="n">
        <v>46252</v>
      </c>
      <c r="J4" t="inlineStr">
        <is>
          <t>Disetujui</t>
        </is>
      </c>
      <c r="K4" t="n">
        <v>60</v>
      </c>
      <c r="L4" t="inlineStr">
        <is>
          <t>18 Agustus 2026</t>
        </is>
      </c>
      <c r="M4" t="inlineStr">
        <is>
          <t>Konstruksi Bangunan Sipil Jalan, Konstruksi Gedung Lainnya, Konstruksi Gedung Pendidikan, Konstruksi Gedung Penginapan, Konstruksi Gedung Perbelanjaan</t>
        </is>
      </c>
      <c r="N4" t="inlineStr">
        <is>
          <t>K</t>
        </is>
      </c>
      <c r="O4" t="inlineStr">
        <is>
          <t>20230811, 20230814</t>
        </is>
      </c>
      <c r="P4" t="inlineStr">
        <is>
          <t>Jawa Barat</t>
        </is>
      </c>
      <c r="Q4" s="3">
        <f>HYPERLINK("https://wa.me/6281282077003?text=*[PENGINGAT MASA BERLAKU SBU ALUMINDO METAL SEJAHTERA]*%0A%0AYth. Pimpinan ALUMINDO METAL SEJAHTERA,%0AMohon izin menginformasikan status SBU Anda di sistem LPJK:%0A%0A📄 SBU: BG004, BG006, BG007, BG009, BS001%0A📅 Expired: 18 Agustus 2026 (60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5">
      <c r="A5" t="inlineStr">
        <is>
          <t>BINTANG MAJU JAYA</t>
        </is>
      </c>
      <c r="B5" t="inlineStr">
        <is>
          <t>Kab. Bekasi</t>
        </is>
      </c>
      <c r="C5" t="inlineStr">
        <is>
          <t>0218937018</t>
        </is>
      </c>
      <c r="D5" t="inlineStr">
        <is>
          <t>cv.bintangmajujaya@gmail.com</t>
        </is>
      </c>
      <c r="E5" t="inlineStr">
        <is>
          <t>https://lpjk.pu.go.id/search-badan-usaha-detail/d0NkNGg1bUhqSzJLempOK1lIbkswdz09</t>
        </is>
      </c>
      <c r="F5" t="n">
        <v>4</v>
      </c>
      <c r="G5" t="inlineStr">
        <is>
          <t>BS001, BS004</t>
        </is>
      </c>
      <c r="H5" t="inlineStr">
        <is>
          <t>20 Januari 2006</t>
        </is>
      </c>
      <c r="I5" s="2" t="n">
        <v>46252</v>
      </c>
      <c r="J5" t="inlineStr">
        <is>
          <t>Disetujui</t>
        </is>
      </c>
      <c r="K5" t="n">
        <v>60</v>
      </c>
      <c r="L5" t="inlineStr">
        <is>
          <t>18 Agustus 2026</t>
        </is>
      </c>
      <c r="M5" t="inlineStr">
        <is>
          <t>Konstruksi Bangunan Sipil Jalan, Konstruksi Jaringan Irigasi dan Drainase</t>
        </is>
      </c>
      <c r="N5" t="inlineStr">
        <is>
          <t>K</t>
        </is>
      </c>
      <c r="O5" t="inlineStr">
        <is>
          <t>20230406, 20230818</t>
        </is>
      </c>
      <c r="P5" t="inlineStr">
        <is>
          <t>Jawa Barat</t>
        </is>
      </c>
      <c r="Q5" t="inlineStr"/>
    </row>
    <row r="6">
      <c r="A6" t="inlineStr">
        <is>
          <t>FAJAR USAHA JAYA</t>
        </is>
      </c>
      <c r="B6" t="inlineStr">
        <is>
          <t>Kota Adm. Jakarta Timur</t>
        </is>
      </c>
      <c r="C6" t="inlineStr">
        <is>
          <t>02180877059</t>
        </is>
      </c>
      <c r="D6" t="inlineStr">
        <is>
          <t>Fajar_usaha_jaya@yahoo.com</t>
        </is>
      </c>
      <c r="E6" t="inlineStr">
        <is>
          <t>https://lpjk.pu.go.id/search-badan-usaha-detail/bXNXQnVpd0pDbWFkOUxOQzlXOEJ3UT09</t>
        </is>
      </c>
      <c r="F6" t="n">
        <v>1</v>
      </c>
      <c r="G6" t="inlineStr">
        <is>
          <t>BS001</t>
        </is>
      </c>
      <c r="H6" t="inlineStr">
        <is>
          <t>6 September 2002</t>
        </is>
      </c>
      <c r="I6" s="2" t="n">
        <v>46252</v>
      </c>
      <c r="J6" t="inlineStr">
        <is>
          <t>Pencabutan</t>
        </is>
      </c>
      <c r="K6" t="n">
        <v>60</v>
      </c>
      <c r="L6" t="inlineStr">
        <is>
          <t>18 Agustus 2026</t>
        </is>
      </c>
      <c r="M6" t="inlineStr">
        <is>
          <t>Konstruksi Bangunan Sipil Jalan</t>
        </is>
      </c>
      <c r="N6" t="inlineStr">
        <is>
          <t>M</t>
        </is>
      </c>
      <c r="O6" t="inlineStr">
        <is>
          <t>20230816</t>
        </is>
      </c>
      <c r="P6" t="inlineStr">
        <is>
          <t>DKI Jakarta</t>
        </is>
      </c>
      <c r="Q6" t="inlineStr"/>
    </row>
    <row r="7">
      <c r="A7" t="inlineStr">
        <is>
          <t>NURLISTY ABADI MANDIRI</t>
        </is>
      </c>
      <c r="B7" t="inlineStr">
        <is>
          <t>Kota Depok</t>
        </is>
      </c>
      <c r="C7" t="inlineStr">
        <is>
          <t>02129389287</t>
        </is>
      </c>
      <c r="D7" t="inlineStr">
        <is>
          <t>nurlisty@yahoo.com</t>
        </is>
      </c>
      <c r="E7" t="inlineStr">
        <is>
          <t>https://lpjk.pu.go.id/search-badan-usaha-detail/c3lpZzRCUDAvdEUzYWZjdG9tRmgxUT09</t>
        </is>
      </c>
      <c r="F7" t="n">
        <v>1</v>
      </c>
      <c r="G7" t="inlineStr">
        <is>
          <t>BS004</t>
        </is>
      </c>
      <c r="H7" t="inlineStr">
        <is>
          <t>31 Oktober 2011</t>
        </is>
      </c>
      <c r="I7" s="2" t="n">
        <v>46252</v>
      </c>
      <c r="J7" t="inlineStr">
        <is>
          <t>Disetujui</t>
        </is>
      </c>
      <c r="K7" t="n">
        <v>60</v>
      </c>
      <c r="L7" t="inlineStr">
        <is>
          <t>18 Agustus 2026</t>
        </is>
      </c>
      <c r="M7" t="inlineStr">
        <is>
          <t>Konstruksi Jaringan Irigasi dan Drainase</t>
        </is>
      </c>
      <c r="N7" t="inlineStr">
        <is>
          <t>K</t>
        </is>
      </c>
      <c r="O7" t="inlineStr">
        <is>
          <t>20230818</t>
        </is>
      </c>
      <c r="P7" t="inlineStr">
        <is>
          <t>Jawa Barat</t>
        </is>
      </c>
      <c r="Q7" t="inlineStr"/>
    </row>
    <row r="8">
      <c r="A8" t="inlineStr">
        <is>
          <t>ZAHRA MULIA SARANA</t>
        </is>
      </c>
      <c r="B8" t="inlineStr">
        <is>
          <t>Kab. Bekasi</t>
        </is>
      </c>
      <c r="C8" t="inlineStr">
        <is>
          <t>085770798010</t>
        </is>
      </c>
      <c r="D8" t="inlineStr">
        <is>
          <t>cv.zahramuliasarana@gmail.com</t>
        </is>
      </c>
      <c r="E8" t="inlineStr">
        <is>
          <t>https://lpjk.pu.go.id/search-badan-usaha-detail/ck1vVG1IbnQ3TkRLOXdOcGQ0dXBMUT09</t>
        </is>
      </c>
      <c r="F8" t="n">
        <v>2</v>
      </c>
      <c r="G8" t="inlineStr">
        <is>
          <t>BG001</t>
        </is>
      </c>
      <c r="H8" t="inlineStr">
        <is>
          <t>22 Desember 2015</t>
        </is>
      </c>
      <c r="I8" s="2" t="n">
        <v>46252</v>
      </c>
      <c r="J8" t="inlineStr">
        <is>
          <t>Pencabutan</t>
        </is>
      </c>
      <c r="K8" t="n">
        <v>60</v>
      </c>
      <c r="L8" t="inlineStr">
        <is>
          <t>18 Agustus 2026</t>
        </is>
      </c>
      <c r="M8" t="inlineStr">
        <is>
          <t>Konstruksi Gedung Hunian</t>
        </is>
      </c>
      <c r="N8" t="inlineStr">
        <is>
          <t>K</t>
        </is>
      </c>
      <c r="O8" t="inlineStr">
        <is>
          <t>20230815</t>
        </is>
      </c>
      <c r="P8" t="inlineStr">
        <is>
          <t>Jawa Barat</t>
        </is>
      </c>
      <c r="Q8" s="3">
        <f>HYPERLINK("https://wa.me/6285770798010?text=*[PENGINGAT MASA BERLAKU SBU ZAHRA MULIA SARANA]*%0A%0AYth. Pimpinan ZAHRA MULIA SARANA,%0AMohon izin menginformasikan status SBU Anda di sistem LPJK:%0A%0A📄 SBU: BG001%0A📅 Expired: 18 Agustus 2026 (60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9">
      <c r="A9" t="inlineStr">
        <is>
          <t>ADHI UTAMA</t>
        </is>
      </c>
      <c r="B9" t="inlineStr">
        <is>
          <t>Kota Pangkal Pinang</t>
        </is>
      </c>
      <c r="C9" t="inlineStr">
        <is>
          <t>081271174700</t>
        </is>
      </c>
      <c r="D9" t="inlineStr">
        <is>
          <t>adhiutamapkp@gmail.com</t>
        </is>
      </c>
      <c r="E9" t="inlineStr">
        <is>
          <t>https://lpjk.pu.go.id/search-badan-usaha-detail/by9ZRS9veGRxdGVyL0g0bGFRTDFPQT09</t>
        </is>
      </c>
      <c r="F9" t="n">
        <v>1</v>
      </c>
      <c r="G9" t="inlineStr">
        <is>
          <t>BG005</t>
        </is>
      </c>
      <c r="H9" t="inlineStr">
        <is>
          <t>27 Desember 2017</t>
        </is>
      </c>
      <c r="I9" s="2" t="n">
        <v>46252</v>
      </c>
      <c r="J9" t="inlineStr">
        <is>
          <t>Pencabutan</t>
        </is>
      </c>
      <c r="K9" t="n">
        <v>60</v>
      </c>
      <c r="L9" t="inlineStr">
        <is>
          <t>18 Agustus 2026</t>
        </is>
      </c>
      <c r="M9" t="inlineStr">
        <is>
          <t>Konstruksi Gedung Kesehatan</t>
        </is>
      </c>
      <c r="N9" t="inlineStr">
        <is>
          <t>K</t>
        </is>
      </c>
      <c r="O9" t="inlineStr">
        <is>
          <t>20230819</t>
        </is>
      </c>
      <c r="P9" t="inlineStr">
        <is>
          <t>Kepulauan Bangka Belitung</t>
        </is>
      </c>
      <c r="Q9" t="inlineStr"/>
    </row>
    <row r="10">
      <c r="A10" t="inlineStr">
        <is>
          <t>AKBAR ARSITAMA KONSULTAN</t>
        </is>
      </c>
      <c r="B10" t="inlineStr">
        <is>
          <t>Kota Bandar Lampung</t>
        </is>
      </c>
      <c r="C10" t="inlineStr">
        <is>
          <t>0721</t>
        </is>
      </c>
      <c r="D10" t="inlineStr">
        <is>
          <t>akbarsitama@gmail.com</t>
        </is>
      </c>
      <c r="E10" t="inlineStr">
        <is>
          <t>https://lpjk.pu.go.id/search-badan-usaha-detail/enhuazhmNUlzSGNBcWh4MFl5dnlyUT09</t>
        </is>
      </c>
      <c r="F10" t="n">
        <v>1</v>
      </c>
      <c r="G10" t="inlineStr">
        <is>
          <t>RK003</t>
        </is>
      </c>
      <c r="H10" t="inlineStr">
        <is>
          <t>17 Desember 2021</t>
        </is>
      </c>
      <c r="I10" s="2" t="n">
        <v>46252</v>
      </c>
      <c r="J10" t="inlineStr">
        <is>
          <t>Disetujui</t>
        </is>
      </c>
      <c r="K10" t="n">
        <v>60</v>
      </c>
      <c r="L10" t="inlineStr">
        <is>
          <t>18 Agustus 2026</t>
        </is>
      </c>
      <c r="M10" t="inlineStr">
        <is>
          <t>Jasa Rekayasa Pekerjaan Teknik Sipil Transportasi</t>
        </is>
      </c>
      <c r="N10" t="inlineStr">
        <is>
          <t>K</t>
        </is>
      </c>
      <c r="O10" t="inlineStr">
        <is>
          <t>20230731</t>
        </is>
      </c>
      <c r="P10" t="inlineStr">
        <is>
          <t>Lampung</t>
        </is>
      </c>
      <c r="Q10" t="inlineStr"/>
    </row>
    <row r="11">
      <c r="A11" t="inlineStr">
        <is>
          <t>ALMAHYRA KARYA UTAMA</t>
        </is>
      </c>
      <c r="B11" t="inlineStr">
        <is>
          <t>Kota Padang</t>
        </is>
      </c>
      <c r="C11" t="inlineStr">
        <is>
          <t>081363142972</t>
        </is>
      </c>
      <c r="D11" t="inlineStr">
        <is>
          <t>karyautamaalmahyra@gmail.com</t>
        </is>
      </c>
      <c r="E11" t="inlineStr">
        <is>
          <t>https://lpjk.pu.go.id/search-badan-usaha-detail/MjFvVTQrYUF1cEcxZ255UE5PNlBhdz09</t>
        </is>
      </c>
      <c r="F11" t="n">
        <v>2</v>
      </c>
      <c r="G11" t="inlineStr">
        <is>
          <t>BG006</t>
        </is>
      </c>
      <c r="H11" t="inlineStr">
        <is>
          <t>29 Mei 2023</t>
        </is>
      </c>
      <c r="I11" s="2" t="n">
        <v>46252</v>
      </c>
      <c r="J11" t="inlineStr">
        <is>
          <t>Disetujui</t>
        </is>
      </c>
      <c r="K11" t="n">
        <v>60</v>
      </c>
      <c r="L11" t="inlineStr">
        <is>
          <t>18 Agustus 2026</t>
        </is>
      </c>
      <c r="M11" t="inlineStr">
        <is>
          <t>Konstruksi Gedung Pendidikan</t>
        </is>
      </c>
      <c r="N11" t="inlineStr">
        <is>
          <t>K</t>
        </is>
      </c>
      <c r="O11" t="inlineStr">
        <is>
          <t>20230814</t>
        </is>
      </c>
      <c r="P11" t="inlineStr">
        <is>
          <t>Sumatera Barat</t>
        </is>
      </c>
      <c r="Q11" t="inlineStr"/>
    </row>
    <row r="12">
      <c r="A12" t="inlineStr">
        <is>
          <t>ANDHIKA MANDIRI SEJAHTERA</t>
        </is>
      </c>
      <c r="B12" t="inlineStr">
        <is>
          <t>Kota Tarakan</t>
        </is>
      </c>
      <c r="C12" t="inlineStr">
        <is>
          <t>085247200918</t>
        </is>
      </c>
      <c r="D12" t="inlineStr">
        <is>
          <t>cv.andhika.mandiri.sejahtera@gmail.com</t>
        </is>
      </c>
      <c r="E12" t="inlineStr">
        <is>
          <t>https://lpjk.pu.go.id/search-badan-usaha-detail/RkRhaHpWZFNMbE5yWWhseXlsd0ZJZz09</t>
        </is>
      </c>
      <c r="F12" t="n">
        <v>1</v>
      </c>
      <c r="G12" t="inlineStr">
        <is>
          <t>BS001</t>
        </is>
      </c>
      <c r="H12" t="inlineStr">
        <is>
          <t>23 Desember 2009</t>
        </is>
      </c>
      <c r="I12" s="2" t="n">
        <v>46252</v>
      </c>
      <c r="J12" t="inlineStr">
        <is>
          <t>Disetujui</t>
        </is>
      </c>
      <c r="K12" t="n">
        <v>60</v>
      </c>
      <c r="L12" t="inlineStr">
        <is>
          <t>18 Agustus 2026</t>
        </is>
      </c>
      <c r="M12" t="inlineStr">
        <is>
          <t>Konstruksi Bangunan Sipil Jalan</t>
        </is>
      </c>
      <c r="N12" t="inlineStr">
        <is>
          <t>K</t>
        </is>
      </c>
      <c r="O12" t="inlineStr">
        <is>
          <t>20230815</t>
        </is>
      </c>
      <c r="P12" t="inlineStr">
        <is>
          <t>Kalimantan Utara</t>
        </is>
      </c>
      <c r="Q12" t="inlineStr"/>
    </row>
    <row r="13">
      <c r="A13" t="inlineStr">
        <is>
          <t>ANINDIRA PUTRI PRATAMA</t>
        </is>
      </c>
      <c r="B13" t="inlineStr">
        <is>
          <t>Kota Ambon</t>
        </is>
      </c>
      <c r="C13" t="inlineStr">
        <is>
          <t>081252492326</t>
        </is>
      </c>
      <c r="D13" t="inlineStr">
        <is>
          <t>cv.anindirapp@gmail.com</t>
        </is>
      </c>
      <c r="E13" t="inlineStr">
        <is>
          <t>https://lpjk.pu.go.id/search-badan-usaha-detail/cGMvZS8yZ3NvZ1hBL2MxU0ZHamNydz09</t>
        </is>
      </c>
      <c r="F13" t="n">
        <v>3</v>
      </c>
      <c r="G13" t="inlineStr">
        <is>
          <t>BG005, BG006, BG009</t>
        </is>
      </c>
      <c r="H13" t="inlineStr">
        <is>
          <t>15 Maret 2023</t>
        </is>
      </c>
      <c r="I13" s="2" t="n">
        <v>46252</v>
      </c>
      <c r="J13" t="inlineStr">
        <is>
          <t>Disetujui</t>
        </is>
      </c>
      <c r="K13" t="n">
        <v>60</v>
      </c>
      <c r="L13" t="inlineStr">
        <is>
          <t>18 Agustus 2026</t>
        </is>
      </c>
      <c r="M13" t="inlineStr">
        <is>
          <t>Konstruksi Gedung Kesehatan, Konstruksi Gedung Lainnya, Konstruksi Gedung Pendidikan</t>
        </is>
      </c>
      <c r="N13" t="inlineStr">
        <is>
          <t>K</t>
        </is>
      </c>
      <c r="O13" t="inlineStr">
        <is>
          <t>20230816, 20230818</t>
        </is>
      </c>
      <c r="P13" t="inlineStr">
        <is>
          <t>Maluku</t>
        </is>
      </c>
      <c r="Q13" t="inlineStr"/>
    </row>
    <row r="14">
      <c r="A14" t="inlineStr">
        <is>
          <t>ANTARIKSA PERSADA</t>
        </is>
      </c>
      <c r="B14" t="inlineStr">
        <is>
          <t>Kab. Bone Bolango</t>
        </is>
      </c>
      <c r="C14" t="inlineStr">
        <is>
          <t>081288272116</t>
        </is>
      </c>
      <c r="D14" t="inlineStr">
        <is>
          <t>cvantariksapersada@gmail.com</t>
        </is>
      </c>
      <c r="E14" t="inlineStr">
        <is>
          <t>https://lpjk.pu.go.id/search-badan-usaha-detail/SGEwVS9ZQitKVDZ2WDcrMjJNZ1d4QT09</t>
        </is>
      </c>
      <c r="F14" t="n">
        <v>1</v>
      </c>
      <c r="G14" t="inlineStr">
        <is>
          <t>BS002</t>
        </is>
      </c>
      <c r="H14" t="inlineStr">
        <is>
          <t>14 Januari 2005</t>
        </is>
      </c>
      <c r="I14" s="2" t="n">
        <v>46252</v>
      </c>
      <c r="J14" t="inlineStr">
        <is>
          <t>Disetujui</t>
        </is>
      </c>
      <c r="K14" t="n">
        <v>60</v>
      </c>
      <c r="L14" t="inlineStr">
        <is>
          <t>18 Agustus 2026</t>
        </is>
      </c>
      <c r="M14" t="inlineStr">
        <is>
          <t>Bangunan Sipil Jembatan, Jalan Layang, Fly Over, dan Underpass</t>
        </is>
      </c>
      <c r="N14" t="inlineStr">
        <is>
          <t>K</t>
        </is>
      </c>
      <c r="O14" t="inlineStr">
        <is>
          <t>20230818</t>
        </is>
      </c>
      <c r="P14" t="inlineStr">
        <is>
          <t>Gorontalo</t>
        </is>
      </c>
      <c r="Q14" t="inlineStr"/>
    </row>
    <row r="15">
      <c r="A15" t="inlineStr">
        <is>
          <t>ANUGRAH MULTI KREASI</t>
        </is>
      </c>
      <c r="B15" t="inlineStr">
        <is>
          <t>Kab. Nganjuk</t>
        </is>
      </c>
      <c r="C15" t="inlineStr">
        <is>
          <t>081332030636</t>
        </is>
      </c>
      <c r="D15" t="inlineStr">
        <is>
          <t>anugrahmulti5@gmail.com</t>
        </is>
      </c>
      <c r="E15" t="inlineStr">
        <is>
          <t>https://lpjk.pu.go.id/search-badan-usaha-detail/RFByT25pUlhQYVNKYnUzL2tZZTlXUCtNM2VxSHZyMStPZDgxNENKU0Jnbz0</t>
        </is>
      </c>
      <c r="F15" t="n">
        <v>1</v>
      </c>
      <c r="G15" t="inlineStr">
        <is>
          <t>BS002</t>
        </is>
      </c>
      <c r="H15" t="inlineStr">
        <is>
          <t>15 September 2021</t>
        </is>
      </c>
      <c r="I15" s="2" t="n">
        <v>46252</v>
      </c>
      <c r="J15" t="inlineStr">
        <is>
          <t>Konfirmasi Pembayaran</t>
        </is>
      </c>
      <c r="K15" t="n">
        <v>60</v>
      </c>
      <c r="L15" t="inlineStr">
        <is>
          <t>18 Agustus 2026</t>
        </is>
      </c>
      <c r="M15" t="inlineStr">
        <is>
          <t>Bangunan Sipil Jembatan, Jalan Layang, Fly Over, dan Underpass</t>
        </is>
      </c>
      <c r="N15" t="inlineStr">
        <is>
          <t>K</t>
        </is>
      </c>
      <c r="O15" t="inlineStr">
        <is>
          <t>20230816</t>
        </is>
      </c>
      <c r="P15" t="inlineStr">
        <is>
          <t>Jawa Timur</t>
        </is>
      </c>
      <c r="Q15" t="inlineStr"/>
    </row>
    <row r="16">
      <c r="A16" t="inlineStr">
        <is>
          <t>ARA LESTARI</t>
        </is>
      </c>
      <c r="B16" t="inlineStr">
        <is>
          <t>Kab. Poso</t>
        </is>
      </c>
      <c r="C16" t="inlineStr">
        <is>
          <t>082271888111</t>
        </is>
      </c>
      <c r="D16" t="inlineStr">
        <is>
          <t>cv.aralestari2@gmail.com</t>
        </is>
      </c>
      <c r="E16" t="inlineStr">
        <is>
          <t>https://lpjk.pu.go.id/search-badan-usaha-detail/ank0dHNzeHd2QlBvSll6eVJ2R045QT09</t>
        </is>
      </c>
      <c r="F16" t="n">
        <v>1</v>
      </c>
      <c r="G16" t="inlineStr">
        <is>
          <t>BG001</t>
        </is>
      </c>
      <c r="H16" t="inlineStr">
        <is>
          <t>16 Maret 2015</t>
        </is>
      </c>
      <c r="I16" s="2" t="n">
        <v>46252</v>
      </c>
      <c r="J16" t="inlineStr">
        <is>
          <t>Pencabutan</t>
        </is>
      </c>
      <c r="K16" t="n">
        <v>60</v>
      </c>
      <c r="L16" t="inlineStr">
        <is>
          <t>18 Agustus 2026</t>
        </is>
      </c>
      <c r="M16" t="inlineStr">
        <is>
          <t>Konstruksi Gedung Hunian</t>
        </is>
      </c>
      <c r="N16" t="inlineStr">
        <is>
          <t>K</t>
        </is>
      </c>
      <c r="O16" t="inlineStr">
        <is>
          <t>20230816</t>
        </is>
      </c>
      <c r="P16" t="inlineStr">
        <is>
          <t>Sulawesi Tengah</t>
        </is>
      </c>
      <c r="Q16" t="inlineStr"/>
    </row>
    <row r="17">
      <c r="A17" t="inlineStr">
        <is>
          <t>ARTHA BUMI ANDALAS</t>
        </is>
      </c>
      <c r="B17" t="inlineStr">
        <is>
          <t>Kab. Pasaman Barat</t>
        </is>
      </c>
      <c r="C17" t="inlineStr">
        <is>
          <t>082173070850</t>
        </is>
      </c>
      <c r="D17" t="inlineStr">
        <is>
          <t>ptarthabumiandalas@gmail.com</t>
        </is>
      </c>
      <c r="E17" t="inlineStr">
        <is>
          <t>https://lpjk.pu.go.id/search-badan-usaha-detail/U2k1QnZxZVNRalhSQy9IWVJsWUdPQT09</t>
        </is>
      </c>
      <c r="F17" t="n">
        <v>1</v>
      </c>
      <c r="G17" t="inlineStr">
        <is>
          <t>BS001</t>
        </is>
      </c>
      <c r="H17" t="inlineStr">
        <is>
          <t>12 Februari 2008</t>
        </is>
      </c>
      <c r="I17" s="2" t="n">
        <v>46252</v>
      </c>
      <c r="J17" t="inlineStr">
        <is>
          <t>Pembekuan</t>
        </is>
      </c>
      <c r="K17" t="n">
        <v>60</v>
      </c>
      <c r="L17" t="inlineStr">
        <is>
          <t>18 Agustus 2026</t>
        </is>
      </c>
      <c r="M17" t="inlineStr">
        <is>
          <t>Konstruksi Bangunan Sipil Jalan</t>
        </is>
      </c>
      <c r="N17" t="inlineStr">
        <is>
          <t>M</t>
        </is>
      </c>
      <c r="O17" t="inlineStr">
        <is>
          <t>20230816</t>
        </is>
      </c>
      <c r="P17" t="inlineStr">
        <is>
          <t>Sumatera Barat</t>
        </is>
      </c>
      <c r="Q17" t="inlineStr"/>
    </row>
    <row r="18">
      <c r="A18" t="inlineStr">
        <is>
          <t>AURA SINAR BARU</t>
        </is>
      </c>
      <c r="B18" t="inlineStr">
        <is>
          <t>Kota Surabaya</t>
        </is>
      </c>
      <c r="C18" t="inlineStr">
        <is>
          <t>0318280866</t>
        </is>
      </c>
      <c r="D18" t="inlineStr">
        <is>
          <t>sinarbarutirta@gmail.com</t>
        </is>
      </c>
      <c r="E18" t="inlineStr">
        <is>
          <t>https://lpjk.pu.go.id/search-badan-usaha-detail/MkZUaTV4MXZsaVBwYXo3dkxBZWtUZz09</t>
        </is>
      </c>
      <c r="F18" t="n">
        <v>1</v>
      </c>
      <c r="G18" t="inlineStr">
        <is>
          <t>BS011</t>
        </is>
      </c>
      <c r="H18" t="inlineStr">
        <is>
          <t>9 November 2006</t>
        </is>
      </c>
      <c r="I18" s="2" t="n">
        <v>46252</v>
      </c>
      <c r="J18" t="inlineStr">
        <is>
          <t>Disetujui</t>
        </is>
      </c>
      <c r="K18" t="n">
        <v>60</v>
      </c>
      <c r="L18" t="inlineStr">
        <is>
          <t>18 Agustus 2026</t>
        </is>
      </c>
      <c r="M18" t="inlineStr">
        <is>
          <t>Konstruksi Bangunan Pelabuhan Bukan Perikanan</t>
        </is>
      </c>
      <c r="N18" t="inlineStr">
        <is>
          <t>B</t>
        </is>
      </c>
      <c r="O18" t="inlineStr">
        <is>
          <t>20230814</t>
        </is>
      </c>
      <c r="P18" t="inlineStr">
        <is>
          <t>Jawa Timur</t>
        </is>
      </c>
      <c r="Q18" t="inlineStr"/>
    </row>
    <row r="19">
      <c r="A19" t="inlineStr">
        <is>
          <t>BANGUN NATUNA PRATAMA</t>
        </is>
      </c>
      <c r="B19" t="inlineStr">
        <is>
          <t>Kota Tanjung Pinang</t>
        </is>
      </c>
      <c r="C19" t="inlineStr">
        <is>
          <t>07714445702</t>
        </is>
      </c>
      <c r="D19" t="inlineStr">
        <is>
          <t>pratamabangunnatunapt@yahoo.co.id</t>
        </is>
      </c>
      <c r="E19" t="inlineStr">
        <is>
          <t>https://lpjk.pu.go.id/search-badan-usaha-detail/QVdZeG91RE5kRlFLTHNMU05RVm1tUT09</t>
        </is>
      </c>
      <c r="F19" t="n">
        <v>1</v>
      </c>
      <c r="G19" t="inlineStr">
        <is>
          <t>BG006</t>
        </is>
      </c>
      <c r="H19" t="inlineStr">
        <is>
          <t>27 Oktober 2005</t>
        </is>
      </c>
      <c r="I19" s="2" t="n">
        <v>46252</v>
      </c>
      <c r="J19" t="inlineStr">
        <is>
          <t>Disetujui</t>
        </is>
      </c>
      <c r="K19" t="n">
        <v>60</v>
      </c>
      <c r="L19" t="inlineStr">
        <is>
          <t>18 Agustus 2026</t>
        </is>
      </c>
      <c r="M19" t="inlineStr">
        <is>
          <t>Konstruksi Gedung Pendidikan</t>
        </is>
      </c>
      <c r="N19" t="inlineStr">
        <is>
          <t>M</t>
        </is>
      </c>
      <c r="O19" t="inlineStr">
        <is>
          <t>20230508</t>
        </is>
      </c>
      <c r="P19" t="inlineStr">
        <is>
          <t>Kepulauan Riau</t>
        </is>
      </c>
      <c r="Q19" t="inlineStr"/>
    </row>
    <row r="20">
      <c r="A20" t="inlineStr">
        <is>
          <t>BANGUN TEKNIK MANDIRI</t>
        </is>
      </c>
      <c r="B20" t="inlineStr">
        <is>
          <t>Kota Padang</t>
        </is>
      </c>
      <c r="C20" t="inlineStr">
        <is>
          <t>085274163419</t>
        </is>
      </c>
      <c r="D20" t="inlineStr">
        <is>
          <t>bateman_pt@yahoo.com</t>
        </is>
      </c>
      <c r="E20" t="inlineStr">
        <is>
          <t>https://lpjk.pu.go.id/search-badan-usaha-detail/enQ5ejZpNGhKNzVHSzMyR0NmRmV0Zz09</t>
        </is>
      </c>
      <c r="F20" t="n">
        <v>2</v>
      </c>
      <c r="G20" t="inlineStr">
        <is>
          <t>BG003</t>
        </is>
      </c>
      <c r="H20" t="inlineStr">
        <is>
          <t>7 November 2013</t>
        </is>
      </c>
      <c r="I20" s="2" t="n">
        <v>46252</v>
      </c>
      <c r="J20" t="inlineStr">
        <is>
          <t>Disetujui</t>
        </is>
      </c>
      <c r="K20" t="n">
        <v>60</v>
      </c>
      <c r="L20" t="inlineStr">
        <is>
          <t>18 Agustus 2026</t>
        </is>
      </c>
      <c r="M20" t="inlineStr">
        <is>
          <t>Konstruksi Gedung Industri</t>
        </is>
      </c>
      <c r="N20" t="inlineStr">
        <is>
          <t>K</t>
        </is>
      </c>
      <c r="O20" t="inlineStr">
        <is>
          <t>20220803</t>
        </is>
      </c>
      <c r="P20" t="inlineStr">
        <is>
          <t>Sumatera Barat</t>
        </is>
      </c>
      <c r="Q20" t="inlineStr"/>
    </row>
    <row r="21">
      <c r="A21" t="inlineStr">
        <is>
          <t>BARAKATI</t>
        </is>
      </c>
      <c r="B21" t="inlineStr">
        <is>
          <t>Kab. Muna</t>
        </is>
      </c>
      <c r="C21" t="inlineStr">
        <is>
          <t>085241967990</t>
        </is>
      </c>
      <c r="D21" t="inlineStr">
        <is>
          <t>cv.barakati87@gmail.com</t>
        </is>
      </c>
      <c r="E21" t="inlineStr">
        <is>
          <t>https://lpjk.pu.go.id/search-badan-usaha-detail/RXV2N1dVdU9EMTYxS1hoSG9ycW9EZz09</t>
        </is>
      </c>
      <c r="F21" t="n">
        <v>6</v>
      </c>
      <c r="G21" t="inlineStr">
        <is>
          <t>BG002, BG005, BS001</t>
        </is>
      </c>
      <c r="H21" t="inlineStr">
        <is>
          <t>17 Januari 2018</t>
        </is>
      </c>
      <c r="I21" s="2" t="n">
        <v>46252</v>
      </c>
      <c r="J21" t="inlineStr">
        <is>
          <t>Pencabutan</t>
        </is>
      </c>
      <c r="K21" t="n">
        <v>60</v>
      </c>
      <c r="L21" t="inlineStr">
        <is>
          <t>18 Agustus 2026</t>
        </is>
      </c>
      <c r="M21" t="inlineStr">
        <is>
          <t>Konstruksi Bangunan Sipil Jalan, Konstruksi Gedung Kesehatan, Konstruksi Gedung Perkantoran</t>
        </is>
      </c>
      <c r="N21" t="inlineStr">
        <is>
          <t>K</t>
        </is>
      </c>
      <c r="O21" t="inlineStr">
        <is>
          <t>20230816</t>
        </is>
      </c>
      <c r="P21" t="inlineStr">
        <is>
          <t>Sulawesi Tenggara</t>
        </is>
      </c>
      <c r="Q21" t="inlineStr"/>
    </row>
    <row r="22">
      <c r="A22" t="inlineStr">
        <is>
          <t>BERDAYA MEDIATAMA</t>
        </is>
      </c>
      <c r="B22" t="inlineStr">
        <is>
          <t>Kota Kendari</t>
        </is>
      </c>
      <c r="C22" t="inlineStr">
        <is>
          <t>085335531111</t>
        </is>
      </c>
      <c r="D22" t="inlineStr">
        <is>
          <t>berdayacv@gmail.com</t>
        </is>
      </c>
      <c r="E22" t="inlineStr">
        <is>
          <t>https://lpjk.pu.go.id/search-badan-usaha-detail/aFpKZVBZWElrdmR5czk0WUhmVDV0QT09</t>
        </is>
      </c>
      <c r="F22" t="n">
        <v>1</v>
      </c>
      <c r="G22" t="inlineStr">
        <is>
          <t>BS001</t>
        </is>
      </c>
      <c r="H22" t="inlineStr">
        <is>
          <t>13 November 2013</t>
        </is>
      </c>
      <c r="I22" s="2" t="n">
        <v>46252</v>
      </c>
      <c r="J22" t="inlineStr">
        <is>
          <t>Disetujui</t>
        </is>
      </c>
      <c r="K22" t="n">
        <v>60</v>
      </c>
      <c r="L22" t="inlineStr">
        <is>
          <t>18 Agustus 2026</t>
        </is>
      </c>
      <c r="M22" t="inlineStr">
        <is>
          <t>Konstruksi Bangunan Sipil Jalan</t>
        </is>
      </c>
      <c r="N22" t="inlineStr">
        <is>
          <t>K</t>
        </is>
      </c>
      <c r="O22" t="inlineStr">
        <is>
          <t>20230815</t>
        </is>
      </c>
      <c r="P22" t="inlineStr">
        <is>
          <t>Sulawesi Tenggara</t>
        </is>
      </c>
      <c r="Q22" t="inlineStr"/>
    </row>
    <row r="23">
      <c r="A23" t="inlineStr">
        <is>
          <t>BERKAH AKHDAN</t>
        </is>
      </c>
      <c r="B23" t="inlineStr">
        <is>
          <t>Kab. Bantul</t>
        </is>
      </c>
      <c r="C23" t="inlineStr">
        <is>
          <t>081324470078</t>
        </is>
      </c>
      <c r="D23" t="inlineStr">
        <is>
          <t>cv.berkahakhdan@gmail.com</t>
        </is>
      </c>
      <c r="E23" t="inlineStr">
        <is>
          <t>https://lpjk.pu.go.id/search-badan-usaha-detail/MTlBMHFFazBma1dUMVZyOWl1ME9PUT09</t>
        </is>
      </c>
      <c r="F23" t="n">
        <v>4</v>
      </c>
      <c r="G23" t="inlineStr">
        <is>
          <t>BS001, BS002</t>
        </is>
      </c>
      <c r="H23" t="inlineStr">
        <is>
          <t>20 Januari 2017</t>
        </is>
      </c>
      <c r="I23" s="2" t="n">
        <v>46252</v>
      </c>
      <c r="J23" t="inlineStr">
        <is>
          <t>Disetujui</t>
        </is>
      </c>
      <c r="K23" t="n">
        <v>60</v>
      </c>
      <c r="L23" t="inlineStr">
        <is>
          <t>18 Agustus 2026</t>
        </is>
      </c>
      <c r="M23" t="inlineStr">
        <is>
          <t>Bangunan Sipil Jembatan, Jalan Layang, Fly Over, dan Underpass, Konstruksi Bangunan Sipil Jalan</t>
        </is>
      </c>
      <c r="N23" t="inlineStr">
        <is>
          <t>K</t>
        </is>
      </c>
      <c r="O23" t="inlineStr">
        <is>
          <t>20230815</t>
        </is>
      </c>
      <c r="P23" t="inlineStr">
        <is>
          <t>DI Yogyakarta</t>
        </is>
      </c>
      <c r="Q23" t="inlineStr"/>
    </row>
    <row r="24">
      <c r="A24" t="inlineStr">
        <is>
          <t>BINA BERSAMA SUKSES</t>
        </is>
      </c>
      <c r="B24" t="inlineStr">
        <is>
          <t>Kota Tangerang</t>
        </is>
      </c>
      <c r="C24" t="inlineStr">
        <is>
          <t>0215524821</t>
        </is>
      </c>
      <c r="D24" t="inlineStr">
        <is>
          <t>binabersamasukses_cv@yahoo.co.id</t>
        </is>
      </c>
      <c r="E24" t="inlineStr">
        <is>
          <t>https://lpjk.pu.go.id/search-badan-usaha-detail/QzdRTk9WY1BEUnU4elF5VC9iazZyUT09</t>
        </is>
      </c>
      <c r="F24" t="n">
        <v>2</v>
      </c>
      <c r="G24" t="inlineStr">
        <is>
          <t>BS001, BS004</t>
        </is>
      </c>
      <c r="H24" t="inlineStr">
        <is>
          <t>28 Juli 2023</t>
        </is>
      </c>
      <c r="I24" s="2" t="n">
        <v>46252</v>
      </c>
      <c r="J24" t="inlineStr">
        <is>
          <t>Disetujui</t>
        </is>
      </c>
      <c r="K24" t="n">
        <v>60</v>
      </c>
      <c r="L24" t="inlineStr">
        <is>
          <t>18 Agustus 2026</t>
        </is>
      </c>
      <c r="M24" t="inlineStr">
        <is>
          <t>Konstruksi Bangunan Sipil Jalan, Konstruksi Jaringan Irigasi dan Drainase</t>
        </is>
      </c>
      <c r="N24" t="inlineStr">
        <is>
          <t>K</t>
        </is>
      </c>
      <c r="O24" t="inlineStr">
        <is>
          <t>20230818</t>
        </is>
      </c>
      <c r="P24" t="inlineStr">
        <is>
          <t>Banten</t>
        </is>
      </c>
      <c r="Q24" t="inlineStr"/>
    </row>
    <row r="25">
      <c r="A25" t="inlineStr">
        <is>
          <t>BINTANG CREATIVE</t>
        </is>
      </c>
      <c r="B25" t="inlineStr">
        <is>
          <t>Kab. Pasaman Barat</t>
        </is>
      </c>
      <c r="C25" t="inlineStr">
        <is>
          <t>081270379540</t>
        </is>
      </c>
      <c r="D25" t="inlineStr">
        <is>
          <t>bintangcreativecv72@gmail.com</t>
        </is>
      </c>
      <c r="E25" t="inlineStr">
        <is>
          <t>https://lpjk.pu.go.id/search-badan-usaha-detail/Wm9ULzFuY2trZEIyZy9nZCtWREtCZz09</t>
        </is>
      </c>
      <c r="F25" t="n">
        <v>6</v>
      </c>
      <c r="G25" t="inlineStr">
        <is>
          <t>BG005, BG006, BG009</t>
        </is>
      </c>
      <c r="H25" t="inlineStr">
        <is>
          <t>27 Januari 2017</t>
        </is>
      </c>
      <c r="I25" s="2" t="n">
        <v>46252</v>
      </c>
      <c r="J25" t="inlineStr">
        <is>
          <t>Disetujui</t>
        </is>
      </c>
      <c r="K25" t="n">
        <v>60</v>
      </c>
      <c r="L25" t="inlineStr">
        <is>
          <t>18 Agustus 2026</t>
        </is>
      </c>
      <c r="M25" t="inlineStr">
        <is>
          <t>Konstruksi Gedung Kesehatan, Konstruksi Gedung Lainnya, Konstruksi Gedung Pendidikan</t>
        </is>
      </c>
      <c r="N25" t="inlineStr">
        <is>
          <t>K</t>
        </is>
      </c>
      <c r="O25" t="inlineStr">
        <is>
          <t>20230802, 20230815</t>
        </is>
      </c>
      <c r="P25" t="inlineStr">
        <is>
          <t>Sumatera Barat</t>
        </is>
      </c>
      <c r="Q25" t="inlineStr"/>
    </row>
    <row r="26">
      <c r="A26" t="inlineStr">
        <is>
          <t>BINTANG LIMA-LIMA</t>
        </is>
      </c>
      <c r="B26" t="inlineStr">
        <is>
          <t>Kab. Mamuju</t>
        </is>
      </c>
      <c r="C26" t="inlineStr">
        <is>
          <t>087876690010</t>
        </is>
      </c>
      <c r="D26" t="inlineStr">
        <is>
          <t>cvbintanglimalima03@gmail.com</t>
        </is>
      </c>
      <c r="E26" t="inlineStr">
        <is>
          <t>https://lpjk.pu.go.id/search-badan-usaha-detail/bmhiR0xqc25VM0o4THZEc3F6N0VtUT09</t>
        </is>
      </c>
      <c r="F26" t="n">
        <v>2</v>
      </c>
      <c r="G26" t="inlineStr">
        <is>
          <t>BS010</t>
        </is>
      </c>
      <c r="H26" t="inlineStr">
        <is>
          <t>25 Mei 2007</t>
        </is>
      </c>
      <c r="I26" s="2" t="n">
        <v>46252</v>
      </c>
      <c r="J26" t="inlineStr">
        <is>
          <t>Disetujui</t>
        </is>
      </c>
      <c r="K26" t="n">
        <v>60</v>
      </c>
      <c r="L26" t="inlineStr">
        <is>
          <t>18 Agustus 2026</t>
        </is>
      </c>
      <c r="M26" t="inlineStr">
        <is>
          <t>Konstruksi Bangunan Prasarana Sumber Daya Air</t>
        </is>
      </c>
      <c r="N26" t="inlineStr">
        <is>
          <t>K</t>
        </is>
      </c>
      <c r="O26" t="inlineStr">
        <is>
          <t>20230817</t>
        </is>
      </c>
      <c r="P26" t="inlineStr">
        <is>
          <t>Sulawesi Barat</t>
        </is>
      </c>
      <c r="Q26" t="inlineStr"/>
    </row>
    <row r="27">
      <c r="A27" t="inlineStr">
        <is>
          <t>BINTANG MAHA PUTRA</t>
        </is>
      </c>
      <c r="B27" t="inlineStr">
        <is>
          <t>Kab. Sukabumi</t>
        </is>
      </c>
      <c r="C27" t="inlineStr">
        <is>
          <t>085759833491</t>
        </is>
      </c>
      <c r="D27" t="inlineStr">
        <is>
          <t>bintangmahaputra60@gmail.com</t>
        </is>
      </c>
      <c r="E27" t="inlineStr">
        <is>
          <t>https://lpjk.pu.go.id/search-badan-usaha-detail/Y1ZnVTNhejczS0ZhQjFTeGVzZ2oxdz09</t>
        </is>
      </c>
      <c r="F27" t="n">
        <v>12</v>
      </c>
      <c r="G27" t="inlineStr">
        <is>
          <t>BG006, BG008, BG009, BS001, BS004, BS005</t>
        </is>
      </c>
      <c r="H27" t="inlineStr">
        <is>
          <t>2 Agustus 2010</t>
        </is>
      </c>
      <c r="I27" s="2" t="n">
        <v>46252</v>
      </c>
      <c r="J27" t="inlineStr">
        <is>
          <t>Disetujui</t>
        </is>
      </c>
      <c r="K27" t="n">
        <v>60</v>
      </c>
      <c r="L27" t="inlineStr">
        <is>
          <t>18 Agustus 2026</t>
        </is>
      </c>
      <c r="M27" t="inlineStr">
        <is>
          <t>Konstruksi Bangunan Sipil Jalan, Konstruksi Bangunan Sipil Pengolahan Air Bersih, Konstruksi Gedung Lainnya, Konstruksi Gedung Pendidikan, Konstruksi Gedung Tempat Hiburan dan Olahraga, Konstruksi Jaringan Irigasi dan Drainase</t>
        </is>
      </c>
      <c r="N27" t="inlineStr">
        <is>
          <t>K</t>
        </is>
      </c>
      <c r="O27" t="inlineStr">
        <is>
          <t>20230818</t>
        </is>
      </c>
      <c r="P27" t="inlineStr">
        <is>
          <t>Jawa Barat</t>
        </is>
      </c>
      <c r="Q27" t="inlineStr"/>
    </row>
    <row r="28">
      <c r="A28" t="inlineStr">
        <is>
          <t>BINTANG MANDALA</t>
        </is>
      </c>
      <c r="B28" t="inlineStr">
        <is>
          <t>Kab. Aceh Besar</t>
        </is>
      </c>
      <c r="C28" t="inlineStr">
        <is>
          <t>085371810527</t>
        </is>
      </c>
      <c r="D28" t="inlineStr">
        <is>
          <t>bintangmandalaa@gmail.com</t>
        </is>
      </c>
      <c r="E28" t="inlineStr">
        <is>
          <t>https://lpjk.pu.go.id/search-badan-usaha-detail/aGREdURoQ2t6U3ovYUZDaEZiZWRUUT09</t>
        </is>
      </c>
      <c r="F28" t="n">
        <v>2</v>
      </c>
      <c r="G28" t="inlineStr">
        <is>
          <t>BS004</t>
        </is>
      </c>
      <c r="H28" t="inlineStr">
        <is>
          <t>11 Mei 1988</t>
        </is>
      </c>
      <c r="I28" s="2" t="n">
        <v>46252</v>
      </c>
      <c r="J28" t="inlineStr">
        <is>
          <t>Disetujui</t>
        </is>
      </c>
      <c r="K28" t="n">
        <v>60</v>
      </c>
      <c r="L28" t="inlineStr">
        <is>
          <t>18 Agustus 2026</t>
        </is>
      </c>
      <c r="M28" t="inlineStr">
        <is>
          <t>Konstruksi Jaringan Irigasi dan Drainase</t>
        </is>
      </c>
      <c r="N28" t="inlineStr">
        <is>
          <t>K</t>
        </is>
      </c>
      <c r="O28" t="inlineStr">
        <is>
          <t>20230810</t>
        </is>
      </c>
      <c r="P28" t="inlineStr">
        <is>
          <t>Aceh</t>
        </is>
      </c>
      <c r="Q28" t="inlineStr"/>
    </row>
    <row r="29">
      <c r="A29" t="inlineStr">
        <is>
          <t>BINTANG MULYA ENTERPRISE</t>
        </is>
      </c>
      <c r="B29" t="inlineStr">
        <is>
          <t>Kota Banda Aceh</t>
        </is>
      </c>
      <c r="C29" t="inlineStr">
        <is>
          <t>08116803085</t>
        </is>
      </c>
      <c r="D29" t="inlineStr">
        <is>
          <t>bintangmulya.cv@gmail.com</t>
        </is>
      </c>
      <c r="E29" t="inlineStr">
        <is>
          <t>https://lpjk.pu.go.id/search-badan-usaha-detail/Q1lRNFExYmUveGRhTVVKcjdRbHFUUT09</t>
        </is>
      </c>
      <c r="F29" t="n">
        <v>2</v>
      </c>
      <c r="G29" t="inlineStr">
        <is>
          <t>BG002</t>
        </is>
      </c>
      <c r="H29" t="inlineStr">
        <is>
          <t>24 Juli 2006</t>
        </is>
      </c>
      <c r="I29" s="2" t="n">
        <v>46252</v>
      </c>
      <c r="J29" t="inlineStr">
        <is>
          <t>Disetujui</t>
        </is>
      </c>
      <c r="K29" t="n">
        <v>60</v>
      </c>
      <c r="L29" t="inlineStr">
        <is>
          <t>18 Agustus 2026</t>
        </is>
      </c>
      <c r="M29" t="inlineStr">
        <is>
          <t>Konstruksi Gedung Perkantoran</t>
        </is>
      </c>
      <c r="N29" t="inlineStr">
        <is>
          <t>K</t>
        </is>
      </c>
      <c r="O29" t="inlineStr">
        <is>
          <t>20230809</t>
        </is>
      </c>
      <c r="P29" t="inlineStr">
        <is>
          <t>Aceh</t>
        </is>
      </c>
      <c r="Q29" t="inlineStr"/>
    </row>
    <row r="30">
      <c r="A30" t="inlineStr">
        <is>
          <t>BOLARD MITRA KONSULTAN</t>
        </is>
      </c>
      <c r="B30" t="inlineStr">
        <is>
          <t>Kota Kendari</t>
        </is>
      </c>
      <c r="C30" t="inlineStr">
        <is>
          <t>08114039123</t>
        </is>
      </c>
      <c r="D30" t="inlineStr">
        <is>
          <t>bomikon@gmail.com</t>
        </is>
      </c>
      <c r="E30" t="inlineStr">
        <is>
          <t>https://lpjk.pu.go.id/search-badan-usaha-detail/eUY0bi92SERaQXFaSk1LK3hjTVYvdz09</t>
        </is>
      </c>
      <c r="F30" t="n">
        <v>1</v>
      </c>
      <c r="G30" t="inlineStr">
        <is>
          <t>AR002</t>
        </is>
      </c>
      <c r="H30" t="inlineStr">
        <is>
          <t>26 Juni 2011</t>
        </is>
      </c>
      <c r="I30" s="2" t="n">
        <v>46252</v>
      </c>
      <c r="J30" t="inlineStr">
        <is>
          <t>Konfirmasi Pembayaran</t>
        </is>
      </c>
      <c r="K30" t="n">
        <v>60</v>
      </c>
      <c r="L30" t="inlineStr">
        <is>
          <t>18 Agustus 2026</t>
        </is>
      </c>
      <c r="M30" t="inlineStr">
        <is>
          <t>Jasa Arsitektural Lainnya</t>
        </is>
      </c>
      <c r="N30" t="inlineStr">
        <is>
          <t>K</t>
        </is>
      </c>
      <c r="O30" t="inlineStr">
        <is>
          <t>20230726</t>
        </is>
      </c>
      <c r="P30" t="inlineStr">
        <is>
          <t>Sulawesi Tenggara</t>
        </is>
      </c>
      <c r="Q30" t="inlineStr"/>
    </row>
    <row r="31">
      <c r="A31" t="inlineStr">
        <is>
          <t>BUANA RAYA KONSTRUKSI</t>
        </is>
      </c>
      <c r="B31" t="inlineStr">
        <is>
          <t>Kab. Mamuju</t>
        </is>
      </c>
      <c r="C31" t="inlineStr">
        <is>
          <t>081241385959</t>
        </is>
      </c>
      <c r="D31" t="inlineStr">
        <is>
          <t>buanarayakonstruksi12@gmail.com</t>
        </is>
      </c>
      <c r="E31" t="inlineStr">
        <is>
          <t>https://lpjk.pu.go.id/search-badan-usaha-detail/Vkc2U0taV0hyWTlNa0NwTzRNZ0pHUT09</t>
        </is>
      </c>
      <c r="F31" t="n">
        <v>3</v>
      </c>
      <c r="G31" t="inlineStr">
        <is>
          <t>BG003, BG007, BG009</t>
        </is>
      </c>
      <c r="H31" t="inlineStr">
        <is>
          <t>12 Mei 2022</t>
        </is>
      </c>
      <c r="I31" s="2" t="n">
        <v>46252</v>
      </c>
      <c r="J31" t="inlineStr">
        <is>
          <t>Disetujui</t>
        </is>
      </c>
      <c r="K31" t="n">
        <v>60</v>
      </c>
      <c r="L31" t="inlineStr">
        <is>
          <t>18 Agustus 2026</t>
        </is>
      </c>
      <c r="M31" t="inlineStr">
        <is>
          <t>Konstruksi Gedung Industri, Konstruksi Gedung Lainnya, Konstruksi Gedung Penginapan</t>
        </is>
      </c>
      <c r="N31" t="inlineStr">
        <is>
          <t>K</t>
        </is>
      </c>
      <c r="O31" t="inlineStr">
        <is>
          <t>20230504, 20230812</t>
        </is>
      </c>
      <c r="P31" t="inlineStr">
        <is>
          <t>Sulawesi Barat</t>
        </is>
      </c>
      <c r="Q31" t="inlineStr"/>
    </row>
    <row r="32">
      <c r="A32" t="inlineStr">
        <is>
          <t>CAHAYA MUDA</t>
        </is>
      </c>
      <c r="B32" t="inlineStr">
        <is>
          <t>Kota Pontianak</t>
        </is>
      </c>
      <c r="C32" t="inlineStr">
        <is>
          <t>089505743625</t>
        </is>
      </c>
      <c r="D32" t="inlineStr">
        <is>
          <t>cahayamuda24.cm@gmail.com</t>
        </is>
      </c>
      <c r="E32" t="inlineStr">
        <is>
          <t>https://lpjk.pu.go.id/search-badan-usaha-detail/MGJpQXN1K3ZYWmljeWc1azljemRGdz09</t>
        </is>
      </c>
      <c r="F32" t="n">
        <v>1</v>
      </c>
      <c r="G32" t="inlineStr">
        <is>
          <t>BS001</t>
        </is>
      </c>
      <c r="H32" t="inlineStr">
        <is>
          <t>11 Juni 1999</t>
        </is>
      </c>
      <c r="I32" s="2" t="n">
        <v>46252</v>
      </c>
      <c r="J32" t="inlineStr">
        <is>
          <t>Pencabutan</t>
        </is>
      </c>
      <c r="K32" t="n">
        <v>60</v>
      </c>
      <c r="L32" t="inlineStr">
        <is>
          <t>18 Agustus 2026</t>
        </is>
      </c>
      <c r="M32" t="inlineStr">
        <is>
          <t>Konstruksi Bangunan Sipil Jalan</t>
        </is>
      </c>
      <c r="N32" t="inlineStr">
        <is>
          <t>K</t>
        </is>
      </c>
      <c r="O32" t="inlineStr">
        <is>
          <t>20230706</t>
        </is>
      </c>
      <c r="P32" t="inlineStr">
        <is>
          <t>Kalimantan Barat</t>
        </is>
      </c>
      <c r="Q32" t="inlineStr"/>
    </row>
    <row r="33">
      <c r="A33" t="inlineStr">
        <is>
          <t>CAKRA TRISNA BUANA</t>
        </is>
      </c>
      <c r="B33" t="inlineStr">
        <is>
          <t>Kab. Sanggau</t>
        </is>
      </c>
      <c r="C33" t="inlineStr">
        <is>
          <t>0852 5014 4972</t>
        </is>
      </c>
      <c r="D33" t="inlineStr">
        <is>
          <t>cakratrisna73@yahoo.com</t>
        </is>
      </c>
      <c r="E33" t="inlineStr">
        <is>
          <t>https://lpjk.pu.go.id/search-badan-usaha-detail/YXV0cDY2SFRHMVc2L2J1VHh1cEoxdz09</t>
        </is>
      </c>
      <c r="F33" t="n">
        <v>1</v>
      </c>
      <c r="G33" t="inlineStr">
        <is>
          <t>BS004</t>
        </is>
      </c>
      <c r="H33" t="inlineStr">
        <is>
          <t>22 Februari 2016</t>
        </is>
      </c>
      <c r="I33" s="2" t="n">
        <v>46252</v>
      </c>
      <c r="J33" t="inlineStr">
        <is>
          <t>Disetujui</t>
        </is>
      </c>
      <c r="K33" t="n">
        <v>60</v>
      </c>
      <c r="L33" t="inlineStr">
        <is>
          <t>18 Agustus 2026</t>
        </is>
      </c>
      <c r="M33" t="inlineStr">
        <is>
          <t>Konstruksi Jaringan Irigasi dan Drainase</t>
        </is>
      </c>
      <c r="N33" t="inlineStr">
        <is>
          <t>K</t>
        </is>
      </c>
      <c r="O33" t="inlineStr">
        <is>
          <t>20230806</t>
        </is>
      </c>
      <c r="P33" t="inlineStr">
        <is>
          <t>Kalimantan Barat</t>
        </is>
      </c>
      <c r="Q33" t="inlineStr"/>
    </row>
    <row r="34">
      <c r="A34" t="inlineStr">
        <is>
          <t>CAKRAWALA MONICA ABADI</t>
        </is>
      </c>
      <c r="B34" t="inlineStr">
        <is>
          <t>Kota Pekanbaru</t>
        </is>
      </c>
      <c r="C34" t="inlineStr">
        <is>
          <t>081270900038</t>
        </is>
      </c>
      <c r="D34" t="inlineStr">
        <is>
          <t>cakrawalamonicaabadi@yahoo.co.id</t>
        </is>
      </c>
      <c r="E34" t="inlineStr">
        <is>
          <t>https://lpjk.pu.go.id/search-badan-usaha-detail/NGV2Tk9CMnBMWE5ZN0djK01vWU43UT09</t>
        </is>
      </c>
      <c r="F34" t="n">
        <v>1</v>
      </c>
      <c r="G34" t="inlineStr">
        <is>
          <t>BS001</t>
        </is>
      </c>
      <c r="H34" t="inlineStr">
        <is>
          <t>21 Mei 2012</t>
        </is>
      </c>
      <c r="I34" s="2" t="n">
        <v>46252</v>
      </c>
      <c r="J34" t="inlineStr">
        <is>
          <t>Pencabutan</t>
        </is>
      </c>
      <c r="K34" t="n">
        <v>60</v>
      </c>
      <c r="L34" t="inlineStr">
        <is>
          <t>18 Agustus 2026</t>
        </is>
      </c>
      <c r="M34" t="inlineStr">
        <is>
          <t>Konstruksi Bangunan Sipil Jalan</t>
        </is>
      </c>
      <c r="N34" t="inlineStr">
        <is>
          <t>B</t>
        </is>
      </c>
      <c r="O34" t="inlineStr">
        <is>
          <t>20230818</t>
        </is>
      </c>
      <c r="P34" t="inlineStr">
        <is>
          <t>Riau</t>
        </is>
      </c>
      <c r="Q34" t="inlineStr"/>
    </row>
    <row r="35">
      <c r="A35" t="inlineStr">
        <is>
          <t>DAMARULAN</t>
        </is>
      </c>
      <c r="B35" t="inlineStr">
        <is>
          <t>Kab. Kutai Kartanegara</t>
        </is>
      </c>
      <c r="C35" t="inlineStr">
        <is>
          <t>081258242053</t>
        </is>
      </c>
      <c r="D35" t="inlineStr">
        <is>
          <t>damarulancv@gmail.com</t>
        </is>
      </c>
      <c r="E35" t="inlineStr">
        <is>
          <t>https://lpjk.pu.go.id/search-badan-usaha-detail/NnhRUXJ6SFI1Zy9pZUd1NzBFemprdz09</t>
        </is>
      </c>
      <c r="F35" t="n">
        <v>2</v>
      </c>
      <c r="G35" t="inlineStr">
        <is>
          <t>BS004</t>
        </is>
      </c>
      <c r="H35" t="inlineStr">
        <is>
          <t>13 Desember 2019</t>
        </is>
      </c>
      <c r="I35" s="2" t="n">
        <v>46252</v>
      </c>
      <c r="J35" t="inlineStr">
        <is>
          <t>Disetujui</t>
        </is>
      </c>
      <c r="K35" t="n">
        <v>60</v>
      </c>
      <c r="L35" t="inlineStr">
        <is>
          <t>18 Agustus 2026</t>
        </is>
      </c>
      <c r="M35" t="inlineStr">
        <is>
          <t>Konstruksi Jaringan Irigasi dan Drainase</t>
        </is>
      </c>
      <c r="N35" t="inlineStr">
        <is>
          <t>K</t>
        </is>
      </c>
      <c r="O35" t="inlineStr">
        <is>
          <t>20230726</t>
        </is>
      </c>
      <c r="P35" t="inlineStr">
        <is>
          <t>Kalimantan Timur</t>
        </is>
      </c>
      <c r="Q35" t="inlineStr"/>
    </row>
    <row r="36">
      <c r="A36" t="inlineStr">
        <is>
          <t>DEWI KONSULTAN</t>
        </is>
      </c>
      <c r="B36" t="inlineStr">
        <is>
          <t>Kab. Pasaman Barat</t>
        </is>
      </c>
      <c r="C36" t="inlineStr">
        <is>
          <t>08127000708</t>
        </is>
      </c>
      <c r="D36" t="inlineStr">
        <is>
          <t>khairulamri_51@yahoo.co.id</t>
        </is>
      </c>
      <c r="E36" t="inlineStr">
        <is>
          <t>https://lpjk.pu.go.id/search-badan-usaha-detail/V1lFSGpLZmpoeGl3MkJzS0VJZlErQT09</t>
        </is>
      </c>
      <c r="F36" t="n">
        <v>1</v>
      </c>
      <c r="G36" t="inlineStr">
        <is>
          <t>RK001</t>
        </is>
      </c>
      <c r="H36" t="inlineStr">
        <is>
          <t>10 April 2010</t>
        </is>
      </c>
      <c r="I36" s="2" t="n">
        <v>46252</v>
      </c>
      <c r="J36" t="inlineStr">
        <is>
          <t>Disetujui</t>
        </is>
      </c>
      <c r="K36" t="n">
        <v>60</v>
      </c>
      <c r="L36" t="inlineStr">
        <is>
          <t>18 Agustus 2026</t>
        </is>
      </c>
      <c r="M36" t="inlineStr">
        <is>
          <t>Jasa Rekayasa Konstruksi Bangunan Gedung Hunian dan Non Hunian</t>
        </is>
      </c>
      <c r="N36" t="inlineStr">
        <is>
          <t>K</t>
        </is>
      </c>
      <c r="O36" t="inlineStr">
        <is>
          <t>20230809</t>
        </is>
      </c>
      <c r="P36" t="inlineStr">
        <is>
          <t>Sumatera Barat</t>
        </is>
      </c>
      <c r="Q36" t="inlineStr"/>
    </row>
    <row r="37">
      <c r="A37" t="inlineStr">
        <is>
          <t>DHEA PUTRI</t>
        </is>
      </c>
      <c r="B37" t="inlineStr">
        <is>
          <t>Kota Bengkulu</t>
        </is>
      </c>
      <c r="C37" t="inlineStr">
        <is>
          <t>081271741967</t>
        </is>
      </c>
      <c r="D37" t="inlineStr">
        <is>
          <t>dheaputri2802@gmail.com</t>
        </is>
      </c>
      <c r="E37" t="inlineStr">
        <is>
          <t>https://lpjk.pu.go.id/search-badan-usaha-detail/T2h3TGhGU1lQaW9STFk3bWt4eEFudz09</t>
        </is>
      </c>
      <c r="F37" t="n">
        <v>1</v>
      </c>
      <c r="G37" t="inlineStr">
        <is>
          <t>BG009</t>
        </is>
      </c>
      <c r="H37" t="inlineStr">
        <is>
          <t>21 Oktober 1999</t>
        </is>
      </c>
      <c r="I37" s="2" t="n">
        <v>46252</v>
      </c>
      <c r="J37" t="inlineStr">
        <is>
          <t>Pencabutan</t>
        </is>
      </c>
      <c r="K37" t="n">
        <v>60</v>
      </c>
      <c r="L37" t="inlineStr">
        <is>
          <t>18 Agustus 2026</t>
        </is>
      </c>
      <c r="M37" t="inlineStr">
        <is>
          <t>Konstruksi Gedung Lainnya</t>
        </is>
      </c>
      <c r="N37" t="inlineStr">
        <is>
          <t>K</t>
        </is>
      </c>
      <c r="O37" t="inlineStr">
        <is>
          <t>20230306</t>
        </is>
      </c>
      <c r="P37" t="inlineStr">
        <is>
          <t>Bengkulu</t>
        </is>
      </c>
      <c r="Q37" t="inlineStr"/>
    </row>
    <row r="38">
      <c r="A38" t="inlineStr">
        <is>
          <t>DIMENSI FAZAA</t>
        </is>
      </c>
      <c r="B38" t="inlineStr">
        <is>
          <t>Kab. Bandung</t>
        </is>
      </c>
      <c r="C38" t="inlineStr">
        <is>
          <t>081220838471</t>
        </is>
      </c>
      <c r="D38" t="inlineStr">
        <is>
          <t>dimensifazaa71@gmail.com</t>
        </is>
      </c>
      <c r="E38" t="inlineStr">
        <is>
          <t>https://lpjk.pu.go.id/search-badan-usaha-detail/V01DWWJITEZObGc2b1A3Umc2Y3V3UT09</t>
        </is>
      </c>
      <c r="F38" t="n">
        <v>4</v>
      </c>
      <c r="G38" t="inlineStr">
        <is>
          <t>BG002, BG005, BG006, BG009</t>
        </is>
      </c>
      <c r="H38" t="inlineStr">
        <is>
          <t>6 Januari 2012</t>
        </is>
      </c>
      <c r="I38" s="2" t="n">
        <v>46252</v>
      </c>
      <c r="J38" t="inlineStr">
        <is>
          <t>Disetujui, Pencabutan</t>
        </is>
      </c>
      <c r="K38" t="n">
        <v>60</v>
      </c>
      <c r="L38" t="inlineStr">
        <is>
          <t>18 Agustus 2026</t>
        </is>
      </c>
      <c r="M38" t="inlineStr">
        <is>
          <t>Konstruksi Gedung Kesehatan, Konstruksi Gedung Lainnya, Konstruksi Gedung Pendidikan, Konstruksi Gedung Perkantoran</t>
        </is>
      </c>
      <c r="N38" t="inlineStr">
        <is>
          <t>K</t>
        </is>
      </c>
      <c r="O38" t="inlineStr">
        <is>
          <t>20230816</t>
        </is>
      </c>
      <c r="P38" t="inlineStr">
        <is>
          <t>Jawa Barat</t>
        </is>
      </c>
      <c r="Q38" t="inlineStr"/>
    </row>
    <row r="39">
      <c r="A39" t="inlineStr">
        <is>
          <t>DINANDO KEMBAR</t>
        </is>
      </c>
      <c r="B39" t="inlineStr">
        <is>
          <t>Kab. Toba Samosir</t>
        </is>
      </c>
      <c r="C39" t="inlineStr">
        <is>
          <t>085361636544</t>
        </is>
      </c>
      <c r="D39" t="inlineStr">
        <is>
          <t>cv.dinandokembar@gmail.com</t>
        </is>
      </c>
      <c r="E39" t="inlineStr">
        <is>
          <t>https://lpjk.pu.go.id/search-badan-usaha-detail/TkUrOXBnVkJUUHk5ajl6b3JKRkFXdz09</t>
        </is>
      </c>
      <c r="F39" t="n">
        <v>4</v>
      </c>
      <c r="G39" t="inlineStr">
        <is>
          <t>BG006, BS004</t>
        </is>
      </c>
      <c r="H39" t="inlineStr">
        <is>
          <t>2 Juli 2020</t>
        </is>
      </c>
      <c r="I39" s="2" t="n">
        <v>46252</v>
      </c>
      <c r="J39" t="inlineStr">
        <is>
          <t>Disetujui</t>
        </is>
      </c>
      <c r="K39" t="n">
        <v>60</v>
      </c>
      <c r="L39" t="inlineStr">
        <is>
          <t>18 Agustus 2026</t>
        </is>
      </c>
      <c r="M39" t="inlineStr">
        <is>
          <t>Konstruksi Gedung Pendidikan, Konstruksi Jaringan Irigasi dan Drainase</t>
        </is>
      </c>
      <c r="N39" t="inlineStr">
        <is>
          <t>K</t>
        </is>
      </c>
      <c r="O39" t="inlineStr">
        <is>
          <t>20230818</t>
        </is>
      </c>
      <c r="P39" t="inlineStr">
        <is>
          <t>Sumatera Utara</t>
        </is>
      </c>
      <c r="Q39" t="inlineStr"/>
    </row>
    <row r="40">
      <c r="A40" t="inlineStr">
        <is>
          <t>DUA SAUDARA PUTRI</t>
        </is>
      </c>
      <c r="B40" t="inlineStr">
        <is>
          <t>Kab. Lampung Selatan</t>
        </is>
      </c>
      <c r="C40" t="inlineStr">
        <is>
          <t>08117222340</t>
        </is>
      </c>
      <c r="D40" t="inlineStr">
        <is>
          <t>duasaudaraputri@gmail.com</t>
        </is>
      </c>
      <c r="E40" t="inlineStr">
        <is>
          <t>https://lpjk.pu.go.id/search-badan-usaha-detail/bU80c2NpODJKdk9WOE1UYnl2YTlCdz09</t>
        </is>
      </c>
      <c r="F40" t="n">
        <v>1</v>
      </c>
      <c r="G40" t="inlineStr">
        <is>
          <t>BS001</t>
        </is>
      </c>
      <c r="H40" t="inlineStr">
        <is>
          <t>26 Februari 2009</t>
        </is>
      </c>
      <c r="I40" s="2" t="n">
        <v>46252</v>
      </c>
      <c r="J40" t="inlineStr">
        <is>
          <t>Dokumen Tidak Lengkap</t>
        </is>
      </c>
      <c r="K40" t="n">
        <v>60</v>
      </c>
      <c r="L40" t="inlineStr">
        <is>
          <t>18 Agustus 2026</t>
        </is>
      </c>
      <c r="M40" t="inlineStr">
        <is>
          <t>Konstruksi Bangunan Sipil Jalan</t>
        </is>
      </c>
      <c r="N40" t="inlineStr">
        <is>
          <t>K</t>
        </is>
      </c>
      <c r="O40" t="inlineStr">
        <is>
          <t>20230814</t>
        </is>
      </c>
      <c r="P40" t="inlineStr">
        <is>
          <t>Lampung</t>
        </is>
      </c>
      <c r="Q40" t="inlineStr"/>
    </row>
    <row r="41">
      <c r="A41" t="inlineStr">
        <is>
          <t>DUNIA KONSTRUKSI</t>
        </is>
      </c>
      <c r="B41" t="inlineStr">
        <is>
          <t>Kab. Bireuen</t>
        </is>
      </c>
      <c r="C41" t="inlineStr">
        <is>
          <t>085277327632</t>
        </is>
      </c>
      <c r="D41" t="inlineStr">
        <is>
          <t>cvduniakonstruksi140723@gmail.com</t>
        </is>
      </c>
      <c r="E41" t="inlineStr">
        <is>
          <t>https://lpjk.pu.go.id/search-badan-usaha-detail/VDJzWHUySU1PRU82VGd5UTQ5NnlVUT09</t>
        </is>
      </c>
      <c r="F41" t="n">
        <v>3</v>
      </c>
      <c r="G41" t="inlineStr">
        <is>
          <t>BG002, BG008, BG009</t>
        </is>
      </c>
      <c r="H41" t="inlineStr">
        <is>
          <t>3 Januari 2014</t>
        </is>
      </c>
      <c r="I41" s="2" t="n">
        <v>46252</v>
      </c>
      <c r="J41" t="inlineStr">
        <is>
          <t>Disetujui</t>
        </is>
      </c>
      <c r="K41" t="n">
        <v>60</v>
      </c>
      <c r="L41" t="inlineStr">
        <is>
          <t>18 Agustus 2026</t>
        </is>
      </c>
      <c r="M41" t="inlineStr">
        <is>
          <t>Konstruksi Gedung Lainnya, Konstruksi Gedung Perkantoran, Konstruksi Gedung Tempat Hiburan dan Olahraga</t>
        </is>
      </c>
      <c r="N41" t="inlineStr">
        <is>
          <t>K</t>
        </is>
      </c>
      <c r="O41" t="inlineStr">
        <is>
          <t>20230818</t>
        </is>
      </c>
      <c r="P41" t="inlineStr">
        <is>
          <t>Aceh</t>
        </is>
      </c>
      <c r="Q41" t="inlineStr"/>
    </row>
    <row r="42">
      <c r="A42" t="inlineStr">
        <is>
          <t>ELANG JAYA</t>
        </is>
      </c>
      <c r="B42" t="inlineStr">
        <is>
          <t>Kab. Brebes</t>
        </is>
      </c>
      <c r="C42" t="inlineStr">
        <is>
          <t>081328413470</t>
        </is>
      </c>
      <c r="D42" t="inlineStr">
        <is>
          <t>elang_jaya@rocketmail.com</t>
        </is>
      </c>
      <c r="E42" t="inlineStr">
        <is>
          <t>https://lpjk.pu.go.id/search-badan-usaha-detail/K3g0cGJleGVPd0RTK3JjUU9hNkdkQT09</t>
        </is>
      </c>
      <c r="F42" t="n">
        <v>2</v>
      </c>
      <c r="G42" t="inlineStr">
        <is>
          <t>BG008</t>
        </is>
      </c>
      <c r="H42" t="inlineStr">
        <is>
          <t>13 Maret 2013</t>
        </is>
      </c>
      <c r="I42" s="2" t="n">
        <v>46252</v>
      </c>
      <c r="J42" t="inlineStr">
        <is>
          <t>Pencabutan</t>
        </is>
      </c>
      <c r="K42" t="n">
        <v>60</v>
      </c>
      <c r="L42" t="inlineStr">
        <is>
          <t>18 Agustus 2026</t>
        </is>
      </c>
      <c r="M42" t="inlineStr">
        <is>
          <t>Konstruksi Gedung Tempat Hiburan dan Olahraga</t>
        </is>
      </c>
      <c r="N42" t="inlineStr">
        <is>
          <t>K</t>
        </is>
      </c>
      <c r="O42" t="inlineStr">
        <is>
          <t>20230818</t>
        </is>
      </c>
      <c r="P42" t="inlineStr">
        <is>
          <t>Jawa Tengah</t>
        </is>
      </c>
      <c r="Q42" t="inlineStr"/>
    </row>
    <row r="43">
      <c r="A43" t="inlineStr">
        <is>
          <t>ERINA JAYA 1</t>
        </is>
      </c>
      <c r="B43" t="inlineStr">
        <is>
          <t>Kab. Sukabumi</t>
        </is>
      </c>
      <c r="C43" t="inlineStr">
        <is>
          <t>0266229641</t>
        </is>
      </c>
      <c r="D43" t="inlineStr">
        <is>
          <t>erinajaya1@gmail.com</t>
        </is>
      </c>
      <c r="E43" t="inlineStr">
        <is>
          <t>https://lpjk.pu.go.id/search-badan-usaha-detail/QWFsS1h5VTRybzczblllYWw3WHNNQT09</t>
        </is>
      </c>
      <c r="F43" t="n">
        <v>2</v>
      </c>
      <c r="G43" t="inlineStr">
        <is>
          <t>BG006, BG009</t>
        </is>
      </c>
      <c r="H43" t="inlineStr">
        <is>
          <t>11 Juli 1978</t>
        </is>
      </c>
      <c r="I43" s="2" t="n">
        <v>46252</v>
      </c>
      <c r="J43" t="inlineStr">
        <is>
          <t>Pencabutan</t>
        </is>
      </c>
      <c r="K43" t="n">
        <v>60</v>
      </c>
      <c r="L43" t="inlineStr">
        <is>
          <t>18 Agustus 2026</t>
        </is>
      </c>
      <c r="M43" t="inlineStr">
        <is>
          <t>Konstruksi Gedung Lainnya, Konstruksi Gedung Pendidikan</t>
        </is>
      </c>
      <c r="N43" t="inlineStr">
        <is>
          <t>K</t>
        </is>
      </c>
      <c r="O43" t="inlineStr">
        <is>
          <t>20230815</t>
        </is>
      </c>
      <c r="P43" t="inlineStr">
        <is>
          <t>Jawa Barat</t>
        </is>
      </c>
      <c r="Q43" t="inlineStr"/>
    </row>
    <row r="44">
      <c r="A44" t="inlineStr">
        <is>
          <t>ESTETIKA PUTRA PERKASA</t>
        </is>
      </c>
      <c r="B44" t="inlineStr">
        <is>
          <t>Kota Adm. Jakarta Selatan</t>
        </is>
      </c>
      <c r="C44" t="inlineStr">
        <is>
          <t>08994558436</t>
        </is>
      </c>
      <c r="D44" t="inlineStr">
        <is>
          <t>pt.estetikaputraperkasa@gmail.com</t>
        </is>
      </c>
      <c r="E44" t="inlineStr">
        <is>
          <t>https://lpjk.pu.go.id/search-badan-usaha-detail/RTlldnZSb3Uyd3JnSUV5eFlZanB3dz09</t>
        </is>
      </c>
      <c r="F44" t="n">
        <v>1</v>
      </c>
      <c r="G44" t="inlineStr">
        <is>
          <t>BG009</t>
        </is>
      </c>
      <c r="H44" t="inlineStr">
        <is>
          <t>28 September 2022</t>
        </is>
      </c>
      <c r="I44" s="2" t="n">
        <v>46252</v>
      </c>
      <c r="J44" t="inlineStr">
        <is>
          <t>Pencabutan</t>
        </is>
      </c>
      <c r="K44" t="n">
        <v>60</v>
      </c>
      <c r="L44" t="inlineStr">
        <is>
          <t>18 Agustus 2026</t>
        </is>
      </c>
      <c r="M44" t="inlineStr">
        <is>
          <t>Konstruksi Gedung Lainnya</t>
        </is>
      </c>
      <c r="N44" t="inlineStr">
        <is>
          <t>K</t>
        </is>
      </c>
      <c r="O44" t="inlineStr">
        <is>
          <t>20230811</t>
        </is>
      </c>
      <c r="P44" t="inlineStr">
        <is>
          <t>DKI Jakarta</t>
        </is>
      </c>
      <c r="Q44" t="inlineStr"/>
    </row>
    <row r="45">
      <c r="A45" t="inlineStr">
        <is>
          <t>FIKRI AULIA</t>
        </is>
      </c>
      <c r="B45" t="inlineStr">
        <is>
          <t>Kota Samarinda</t>
        </is>
      </c>
      <c r="C45" t="inlineStr">
        <is>
          <t>081347636307</t>
        </is>
      </c>
      <c r="D45" t="inlineStr">
        <is>
          <t>komea_6@yahoo.com</t>
        </is>
      </c>
      <c r="E45" t="inlineStr">
        <is>
          <t>https://lpjk.pu.go.id/search-badan-usaha-detail/RzJWemY3ejlnZExEUTJtRnNDb05jUT09</t>
        </is>
      </c>
      <c r="F45" t="n">
        <v>2</v>
      </c>
      <c r="G45" t="inlineStr">
        <is>
          <t>BS001, BS004</t>
        </is>
      </c>
      <c r="H45" t="inlineStr">
        <is>
          <t>31 Agustus 2000</t>
        </is>
      </c>
      <c r="I45" s="2" t="n">
        <v>46252</v>
      </c>
      <c r="J45" t="inlineStr">
        <is>
          <t>Disetujui</t>
        </is>
      </c>
      <c r="K45" t="n">
        <v>60</v>
      </c>
      <c r="L45" t="inlineStr">
        <is>
          <t>18 Agustus 2026</t>
        </is>
      </c>
      <c r="M45" t="inlineStr">
        <is>
          <t>Konstruksi Bangunan Sipil Jalan, Konstruksi Jaringan Irigasi dan Drainase</t>
        </is>
      </c>
      <c r="N45" t="inlineStr">
        <is>
          <t>K</t>
        </is>
      </c>
      <c r="O45" t="inlineStr">
        <is>
          <t>20230428, 20230818</t>
        </is>
      </c>
      <c r="P45" t="inlineStr">
        <is>
          <t>Kalimantan Timur</t>
        </is>
      </c>
      <c r="Q45" t="inlineStr"/>
    </row>
    <row r="46">
      <c r="A46" t="inlineStr">
        <is>
          <t>GABE JAYA PERKASA</t>
        </is>
      </c>
      <c r="B46" t="inlineStr">
        <is>
          <t>Kota Medan</t>
        </is>
      </c>
      <c r="C46" t="inlineStr">
        <is>
          <t>082310233976</t>
        </is>
      </c>
      <c r="D46" t="inlineStr">
        <is>
          <t>gabejayaperkasa@gmail.com</t>
        </is>
      </c>
      <c r="E46" t="inlineStr">
        <is>
          <t>https://lpjk.pu.go.id/search-badan-usaha-detail/K0JtZjZlRXBnNDJWMFQ1ZUlNZDdCQT09</t>
        </is>
      </c>
      <c r="F46" t="n">
        <v>1</v>
      </c>
      <c r="G46" t="inlineStr">
        <is>
          <t>BS001</t>
        </is>
      </c>
      <c r="H46" t="inlineStr">
        <is>
          <t>8 Maret 2022</t>
        </is>
      </c>
      <c r="I46" s="2" t="n">
        <v>46252</v>
      </c>
      <c r="J46" t="inlineStr">
        <is>
          <t>Disetujui</t>
        </is>
      </c>
      <c r="K46" t="n">
        <v>60</v>
      </c>
      <c r="L46" t="inlineStr">
        <is>
          <t>18 Agustus 2026</t>
        </is>
      </c>
      <c r="M46" t="inlineStr">
        <is>
          <t>Konstruksi Bangunan Sipil Jalan</t>
        </is>
      </c>
      <c r="N46" t="inlineStr">
        <is>
          <t>K</t>
        </is>
      </c>
      <c r="O46" t="inlineStr">
        <is>
          <t>20230818</t>
        </is>
      </c>
      <c r="P46" t="inlineStr">
        <is>
          <t>Sumatera Utara</t>
        </is>
      </c>
      <c r="Q46" t="inlineStr"/>
    </row>
    <row r="47">
      <c r="A47" t="inlineStr">
        <is>
          <t>GIAN GIO GEMILANG</t>
        </is>
      </c>
      <c r="B47" t="inlineStr">
        <is>
          <t>Kab. Kutai Timur</t>
        </is>
      </c>
      <c r="C47" t="inlineStr">
        <is>
          <t>082150089172</t>
        </is>
      </c>
      <c r="D47" t="inlineStr">
        <is>
          <t>cv.giangiogemilang@gmail.com</t>
        </is>
      </c>
      <c r="E47" t="inlineStr">
        <is>
          <t>https://lpjk.pu.go.id/search-badan-usaha-detail/SEFpd1B2WEkweDh4WGpmaEpjeDY5Zz09</t>
        </is>
      </c>
      <c r="F47" t="n">
        <v>1</v>
      </c>
      <c r="G47" t="inlineStr">
        <is>
          <t>BS004</t>
        </is>
      </c>
      <c r="H47" t="inlineStr">
        <is>
          <t>4 Mei 2023</t>
        </is>
      </c>
      <c r="I47" s="2" t="n">
        <v>46252</v>
      </c>
      <c r="J47" t="inlineStr">
        <is>
          <t>Disetujui</t>
        </is>
      </c>
      <c r="K47" t="n">
        <v>60</v>
      </c>
      <c r="L47" t="inlineStr">
        <is>
          <t>18 Agustus 2026</t>
        </is>
      </c>
      <c r="M47" t="inlineStr">
        <is>
          <t>Konstruksi Jaringan Irigasi dan Drainase</t>
        </is>
      </c>
      <c r="N47" t="inlineStr">
        <is>
          <t>K</t>
        </is>
      </c>
      <c r="O47" t="inlineStr">
        <is>
          <t>20230815</t>
        </is>
      </c>
      <c r="P47" t="inlineStr">
        <is>
          <t>Kalimantan Timur</t>
        </is>
      </c>
      <c r="Q47" t="inlineStr"/>
    </row>
    <row r="48">
      <c r="A48" t="inlineStr">
        <is>
          <t>GLOBAL BANGUN ERAJAYA</t>
        </is>
      </c>
      <c r="B48" t="inlineStr">
        <is>
          <t>Kota Tangerang</t>
        </is>
      </c>
      <c r="C48" t="inlineStr">
        <is>
          <t>02129661420</t>
        </is>
      </c>
      <c r="D48" t="inlineStr">
        <is>
          <t>setyadifr@gmail.com</t>
        </is>
      </c>
      <c r="E48" t="inlineStr">
        <is>
          <t>https://lpjk.pu.go.id/search-badan-usaha-detail/WEhQWU83VG1nRE8rUmVHd2ZvclBQQT09</t>
        </is>
      </c>
      <c r="F48" t="n">
        <v>2</v>
      </c>
      <c r="G48" t="inlineStr">
        <is>
          <t>BG001, BG002</t>
        </is>
      </c>
      <c r="H48" t="inlineStr">
        <is>
          <t>24 Januari 2007</t>
        </is>
      </c>
      <c r="I48" s="2" t="n">
        <v>46252</v>
      </c>
      <c r="J48" t="inlineStr">
        <is>
          <t>Disetujui</t>
        </is>
      </c>
      <c r="K48" t="n">
        <v>60</v>
      </c>
      <c r="L48" t="inlineStr">
        <is>
          <t>18 Agustus 2026</t>
        </is>
      </c>
      <c r="M48" t="inlineStr">
        <is>
          <t>Konstruksi Gedung Hunian, Konstruksi Gedung Perkantoran</t>
        </is>
      </c>
      <c r="N48" t="inlineStr">
        <is>
          <t>K</t>
        </is>
      </c>
      <c r="O48" t="inlineStr">
        <is>
          <t>20230818</t>
        </is>
      </c>
      <c r="P48" t="inlineStr">
        <is>
          <t>Banten</t>
        </is>
      </c>
      <c r="Q48" t="inlineStr"/>
    </row>
    <row r="49">
      <c r="A49" t="inlineStr">
        <is>
          <t>GLOBAL ENGINEERING INTERNATIONAL</t>
        </is>
      </c>
      <c r="B49" t="inlineStr">
        <is>
          <t>Kota Adm. Jakarta Selatan</t>
        </is>
      </c>
      <c r="C49" t="inlineStr">
        <is>
          <t>0217883380</t>
        </is>
      </c>
      <c r="D49" t="inlineStr">
        <is>
          <t>ptglobal.ei@gmail.com</t>
        </is>
      </c>
      <c r="E49" t="inlineStr">
        <is>
          <t>https://lpjk.pu.go.id/search-badan-usaha-detail/L3h2bkdJdHRXaHlVZkJRV0sxTGJ0dz09</t>
        </is>
      </c>
      <c r="F49" t="n">
        <v>1</v>
      </c>
      <c r="G49" t="inlineStr">
        <is>
          <t>RK001</t>
        </is>
      </c>
      <c r="H49" t="inlineStr">
        <is>
          <t>11 November 2010</t>
        </is>
      </c>
      <c r="I49" s="2" t="n">
        <v>46252</v>
      </c>
      <c r="J49" t="inlineStr">
        <is>
          <t>Disetujui</t>
        </is>
      </c>
      <c r="K49" t="n">
        <v>60</v>
      </c>
      <c r="L49" t="inlineStr">
        <is>
          <t>18 Agustus 2026</t>
        </is>
      </c>
      <c r="M49" t="inlineStr">
        <is>
          <t>Jasa Rekayasa Konstruksi Bangunan Gedung Hunian dan Non Hunian</t>
        </is>
      </c>
      <c r="N49" t="inlineStr">
        <is>
          <t>K</t>
        </is>
      </c>
      <c r="O49" t="inlineStr">
        <is>
          <t>20230811</t>
        </is>
      </c>
      <c r="P49" t="inlineStr">
        <is>
          <t>DKI Jakarta</t>
        </is>
      </c>
      <c r="Q49" t="inlineStr"/>
    </row>
    <row r="50">
      <c r="A50" t="inlineStr">
        <is>
          <t>GUNUNG KELABAT CITRA ABADI</t>
        </is>
      </c>
      <c r="B50" t="inlineStr">
        <is>
          <t>Kab. Jember</t>
        </is>
      </c>
      <c r="C50" t="inlineStr">
        <is>
          <t>0331338128</t>
        </is>
      </c>
      <c r="D50" t="inlineStr">
        <is>
          <t>gunungkelabatcitraabadi@gmail.com</t>
        </is>
      </c>
      <c r="E50" t="inlineStr">
        <is>
          <t>https://lpjk.pu.go.id/search-badan-usaha-detail/WUJvT3oyK1M4bWhSMzdDaUNtNjlNdz09</t>
        </is>
      </c>
      <c r="F50" t="n">
        <v>2</v>
      </c>
      <c r="G50" t="inlineStr">
        <is>
          <t>BS001, BS002</t>
        </is>
      </c>
      <c r="H50" t="inlineStr">
        <is>
          <t>3 September 1993</t>
        </is>
      </c>
      <c r="I50" s="2" t="n">
        <v>46252</v>
      </c>
      <c r="J50" t="inlineStr">
        <is>
          <t>Disetujui</t>
        </is>
      </c>
      <c r="K50" t="n">
        <v>60</v>
      </c>
      <c r="L50" t="inlineStr">
        <is>
          <t>18 Agustus 2026</t>
        </is>
      </c>
      <c r="M50" t="inlineStr">
        <is>
          <t>Bangunan Sipil Jembatan, Jalan Layang, Fly Over, dan Underpass, Konstruksi Bangunan Sipil Jalan</t>
        </is>
      </c>
      <c r="N50" t="inlineStr">
        <is>
          <t>M</t>
        </is>
      </c>
      <c r="O50" t="inlineStr">
        <is>
          <t>20230802, 20230803</t>
        </is>
      </c>
      <c r="P50" t="inlineStr">
        <is>
          <t>Jawa Timur</t>
        </is>
      </c>
      <c r="Q50" t="inlineStr"/>
    </row>
    <row r="51">
      <c r="A51" t="inlineStr">
        <is>
          <t>GUNUNG SAHID</t>
        </is>
      </c>
      <c r="B51" t="inlineStr">
        <is>
          <t>Kota Adm. Jakarta Pusat</t>
        </is>
      </c>
      <c r="C51" t="inlineStr">
        <is>
          <t>02142882459</t>
        </is>
      </c>
      <c r="D51" t="inlineStr">
        <is>
          <t>gunungsahid@yahoo.co.id</t>
        </is>
      </c>
      <c r="E51" t="inlineStr">
        <is>
          <t>https://lpjk.pu.go.id/search-badan-usaha-detail/UjF6SUEyZHlDYUY1bUViajY2RHM3Zz09</t>
        </is>
      </c>
      <c r="F51" t="n">
        <v>1</v>
      </c>
      <c r="G51" t="inlineStr">
        <is>
          <t>BS010</t>
        </is>
      </c>
      <c r="H51" t="inlineStr">
        <is>
          <t>30 Januari 2003</t>
        </is>
      </c>
      <c r="I51" s="2" t="n">
        <v>46252</v>
      </c>
      <c r="J51" t="inlineStr">
        <is>
          <t>Disetujui</t>
        </is>
      </c>
      <c r="K51" t="n">
        <v>60</v>
      </c>
      <c r="L51" t="inlineStr">
        <is>
          <t>18 Agustus 2026</t>
        </is>
      </c>
      <c r="M51" t="inlineStr">
        <is>
          <t>Konstruksi Bangunan Prasarana Sumber Daya Air</t>
        </is>
      </c>
      <c r="N51" t="inlineStr">
        <is>
          <t>K</t>
        </is>
      </c>
      <c r="O51" t="inlineStr">
        <is>
          <t>20230815</t>
        </is>
      </c>
      <c r="P51" t="inlineStr">
        <is>
          <t>DKI Jakarta</t>
        </is>
      </c>
      <c r="Q51" t="inlineStr"/>
    </row>
    <row r="52">
      <c r="A52" t="inlineStr">
        <is>
          <t>HALIM JAYA ABADI</t>
        </is>
      </c>
      <c r="B52" t="inlineStr">
        <is>
          <t>Kab. Jember</t>
        </is>
      </c>
      <c r="C52" t="inlineStr">
        <is>
          <t>085257771269</t>
        </is>
      </c>
      <c r="D52" t="inlineStr">
        <is>
          <t>halimjayaabadi@gmail.com</t>
        </is>
      </c>
      <c r="E52" t="inlineStr">
        <is>
          <t>https://lpjk.pu.go.id/search-badan-usaha-detail/Q0FSa3M5RUJEU2FUNW8zdzdyVEE2QT09</t>
        </is>
      </c>
      <c r="F52" t="n">
        <v>1</v>
      </c>
      <c r="G52" t="inlineStr">
        <is>
          <t>BG002</t>
        </is>
      </c>
      <c r="H52" t="inlineStr">
        <is>
          <t>22 Desember 2015</t>
        </is>
      </c>
      <c r="I52" s="2" t="n">
        <v>46252</v>
      </c>
      <c r="J52" t="inlineStr">
        <is>
          <t>Disetujui</t>
        </is>
      </c>
      <c r="K52" t="n">
        <v>60</v>
      </c>
      <c r="L52" t="inlineStr">
        <is>
          <t>18 Agustus 2026</t>
        </is>
      </c>
      <c r="M52" t="inlineStr">
        <is>
          <t>Konstruksi Gedung Perkantoran</t>
        </is>
      </c>
      <c r="N52" t="inlineStr">
        <is>
          <t>K</t>
        </is>
      </c>
      <c r="O52" t="inlineStr">
        <is>
          <t>20230814</t>
        </is>
      </c>
      <c r="P52" t="inlineStr">
        <is>
          <t>Jawa Timur</t>
        </is>
      </c>
      <c r="Q52" t="inlineStr"/>
    </row>
    <row r="53">
      <c r="A53" t="inlineStr">
        <is>
          <t>HANAFA</t>
        </is>
      </c>
      <c r="B53" t="inlineStr">
        <is>
          <t>Kota Padang</t>
        </is>
      </c>
      <c r="C53" t="inlineStr">
        <is>
          <t>081267134436</t>
        </is>
      </c>
      <c r="D53" t="inlineStr">
        <is>
          <t>hanafa25@yahoo.com</t>
        </is>
      </c>
      <c r="E53" t="inlineStr">
        <is>
          <t>https://lpjk.pu.go.id/search-badan-usaha-detail/MW93aUQ3UnBJV3ZVSVdoYjlMWWoxQT09</t>
        </is>
      </c>
      <c r="F53" t="n">
        <v>1</v>
      </c>
      <c r="G53" t="inlineStr">
        <is>
          <t>BG009</t>
        </is>
      </c>
      <c r="H53" t="inlineStr">
        <is>
          <t>11 November 2019</t>
        </is>
      </c>
      <c r="I53" s="2" t="n">
        <v>46252</v>
      </c>
      <c r="J53" t="inlineStr">
        <is>
          <t>Disetujui</t>
        </is>
      </c>
      <c r="K53" t="n">
        <v>60</v>
      </c>
      <c r="L53" t="inlineStr">
        <is>
          <t>18 Agustus 2026</t>
        </is>
      </c>
      <c r="M53" t="inlineStr">
        <is>
          <t>Konstruksi Gedung Lainnya</t>
        </is>
      </c>
      <c r="N53" t="inlineStr">
        <is>
          <t>K</t>
        </is>
      </c>
      <c r="O53" t="inlineStr">
        <is>
          <t>20230816</t>
        </is>
      </c>
      <c r="P53" t="inlineStr">
        <is>
          <t>Sumatera Barat</t>
        </is>
      </c>
      <c r="Q53" t="inlineStr"/>
    </row>
    <row r="54">
      <c r="A54" t="inlineStr">
        <is>
          <t>HARMONI MANDIRI LESTARI</t>
        </is>
      </c>
      <c r="B54" t="inlineStr">
        <is>
          <t>Kota Pekanbaru</t>
        </is>
      </c>
      <c r="C54" t="inlineStr">
        <is>
          <t>082384466250</t>
        </is>
      </c>
      <c r="D54" t="inlineStr">
        <is>
          <t>pthml2022@gmail.com</t>
        </is>
      </c>
      <c r="E54" t="inlineStr">
        <is>
          <t>https://lpjk.pu.go.id/search-badan-usaha-detail/MUxZRzhvVzUveGVRbkVPek51am9Wdz09</t>
        </is>
      </c>
      <c r="F54" t="n">
        <v>1</v>
      </c>
      <c r="G54" t="inlineStr">
        <is>
          <t>PL003</t>
        </is>
      </c>
      <c r="H54" t="inlineStr">
        <is>
          <t>30 Juni 2023</t>
        </is>
      </c>
      <c r="I54" s="2" t="n">
        <v>46252</v>
      </c>
      <c r="J54" t="inlineStr">
        <is>
          <t>Pembekuan</t>
        </is>
      </c>
      <c r="K54" t="n">
        <v>60</v>
      </c>
      <c r="L54" t="inlineStr">
        <is>
          <t>18 Agustus 2026</t>
        </is>
      </c>
      <c r="M54" t="inlineStr">
        <is>
          <t>Penyiapan Lahan Konstruksi</t>
        </is>
      </c>
      <c r="N54" t="inlineStr">
        <is>
          <t>Spesialis</t>
        </is>
      </c>
      <c r="O54" t="inlineStr">
        <is>
          <t>20230807</t>
        </is>
      </c>
      <c r="P54" t="inlineStr">
        <is>
          <t>Riau</t>
        </is>
      </c>
      <c r="Q54" t="inlineStr"/>
    </row>
    <row r="55">
      <c r="A55" t="inlineStr">
        <is>
          <t>HERA MANDIRI</t>
        </is>
      </c>
      <c r="B55" t="inlineStr">
        <is>
          <t>Kab. Pacitan</t>
        </is>
      </c>
      <c r="C55" t="inlineStr">
        <is>
          <t>085335459887</t>
        </is>
      </c>
      <c r="D55" t="inlineStr">
        <is>
          <t>heramandiricv68@gmail.com</t>
        </is>
      </c>
      <c r="E55" t="inlineStr">
        <is>
          <t>https://lpjk.pu.go.id/search-badan-usaha-detail/TVZMTmovcDg3S2xBaCs1bFowZDdtUT09</t>
        </is>
      </c>
      <c r="F55" t="n">
        <v>2</v>
      </c>
      <c r="G55" t="inlineStr">
        <is>
          <t>RK005</t>
        </is>
      </c>
      <c r="H55" t="inlineStr">
        <is>
          <t>28 September 2011</t>
        </is>
      </c>
      <c r="I55" s="2" t="n">
        <v>46252</v>
      </c>
      <c r="J55" t="inlineStr">
        <is>
          <t>Disetujui</t>
        </is>
      </c>
      <c r="K55" t="n">
        <v>60</v>
      </c>
      <c r="L55" t="inlineStr">
        <is>
          <t>18 Agustus 2026</t>
        </is>
      </c>
      <c r="M55" t="inlineStr">
        <is>
          <t>Jasa Rekayasa Lainnya</t>
        </is>
      </c>
      <c r="N55" t="inlineStr">
        <is>
          <t>K</t>
        </is>
      </c>
      <c r="O55" t="inlineStr">
        <is>
          <t>20230804</t>
        </is>
      </c>
      <c r="P55" t="inlineStr">
        <is>
          <t>Jawa Timur</t>
        </is>
      </c>
      <c r="Q55" t="inlineStr"/>
    </row>
    <row r="56">
      <c r="A56" t="inlineStr">
        <is>
          <t>INARUM</t>
        </is>
      </c>
      <c r="B56" t="inlineStr">
        <is>
          <t>Kab. Bandung</t>
        </is>
      </c>
      <c r="C56" t="inlineStr">
        <is>
          <t>082118666508</t>
        </is>
      </c>
      <c r="D56" t="inlineStr">
        <is>
          <t>cv.inarum@gmail.com</t>
        </is>
      </c>
      <c r="E56" t="inlineStr">
        <is>
          <t>https://lpjk.pu.go.id/search-badan-usaha-detail/Q1hsSzF4dElYZUpCS01FeEY5VFoxUT09</t>
        </is>
      </c>
      <c r="F56" t="n">
        <v>1</v>
      </c>
      <c r="G56" t="inlineStr">
        <is>
          <t>BS004</t>
        </is>
      </c>
      <c r="H56" t="inlineStr">
        <is>
          <t>23 Februari 2022</t>
        </is>
      </c>
      <c r="I56" s="2" t="n">
        <v>46252</v>
      </c>
      <c r="J56" t="inlineStr">
        <is>
          <t>Disetujui</t>
        </is>
      </c>
      <c r="K56" t="n">
        <v>60</v>
      </c>
      <c r="L56" t="inlineStr">
        <is>
          <t>18 Agustus 2026</t>
        </is>
      </c>
      <c r="M56" t="inlineStr">
        <is>
          <t>Konstruksi Jaringan Irigasi dan Drainase</t>
        </is>
      </c>
      <c r="N56" t="inlineStr">
        <is>
          <t>K</t>
        </is>
      </c>
      <c r="O56" t="inlineStr">
        <is>
          <t>20230815</t>
        </is>
      </c>
      <c r="P56" t="inlineStr">
        <is>
          <t>Jawa Barat</t>
        </is>
      </c>
      <c r="Q56" t="inlineStr"/>
    </row>
    <row r="57">
      <c r="A57" t="inlineStr">
        <is>
          <t>INDAH JAYA</t>
        </is>
      </c>
      <c r="B57" t="inlineStr">
        <is>
          <t>Kab. Bone Bolango</t>
        </is>
      </c>
      <c r="C57" t="inlineStr">
        <is>
          <t>081340050046</t>
        </is>
      </c>
      <c r="D57" t="inlineStr">
        <is>
          <t>indah.jaya.contractor.supplier@gmail.com</t>
        </is>
      </c>
      <c r="E57" t="inlineStr">
        <is>
          <t>https://lpjk.pu.go.id/search-badan-usaha-detail/TXE3eXBVcWJlcm9LS1lzcVl5V2ZIdz09</t>
        </is>
      </c>
      <c r="F57" t="n">
        <v>1</v>
      </c>
      <c r="G57" t="inlineStr">
        <is>
          <t>BS002</t>
        </is>
      </c>
      <c r="H57" t="inlineStr">
        <is>
          <t>5 September 2001</t>
        </is>
      </c>
      <c r="I57" s="2" t="n">
        <v>46252</v>
      </c>
      <c r="J57" t="inlineStr">
        <is>
          <t>Disetujui</t>
        </is>
      </c>
      <c r="K57" t="n">
        <v>60</v>
      </c>
      <c r="L57" t="inlineStr">
        <is>
          <t>18 Agustus 2026</t>
        </is>
      </c>
      <c r="M57" t="inlineStr">
        <is>
          <t>Bangunan Sipil Jembatan, Jalan Layang, Fly Over, dan Underpass</t>
        </is>
      </c>
      <c r="N57" t="inlineStr">
        <is>
          <t>K</t>
        </is>
      </c>
      <c r="O57" t="inlineStr">
        <is>
          <t>20230605</t>
        </is>
      </c>
      <c r="P57" t="inlineStr">
        <is>
          <t>Gorontalo</t>
        </is>
      </c>
      <c r="Q57" t="inlineStr"/>
    </row>
    <row r="58">
      <c r="A58" t="inlineStr">
        <is>
          <t>INTAN PELANGI BELITUNG</t>
        </is>
      </c>
      <c r="B58" t="inlineStr">
        <is>
          <t>Kab. Klaten</t>
        </is>
      </c>
      <c r="C58" t="inlineStr">
        <is>
          <t>07199223560</t>
        </is>
      </c>
      <c r="D58" t="inlineStr">
        <is>
          <t>pelangi.residence.belitung@gmail.com</t>
        </is>
      </c>
      <c r="E58" t="inlineStr">
        <is>
          <t>https://lpjk.pu.go.id/search-badan-usaha-detail/VW1lWVk5VmNXaFkzdWpCM2RUMlM2UT09</t>
        </is>
      </c>
      <c r="F58" t="n">
        <v>1</v>
      </c>
      <c r="G58" t="inlineStr">
        <is>
          <t>BS001</t>
        </is>
      </c>
      <c r="H58" t="inlineStr">
        <is>
          <t>30 Desember 2014</t>
        </is>
      </c>
      <c r="I58" s="2" t="n">
        <v>46252</v>
      </c>
      <c r="J58" t="inlineStr">
        <is>
          <t>Disetujui</t>
        </is>
      </c>
      <c r="K58" t="n">
        <v>60</v>
      </c>
      <c r="L58" t="inlineStr">
        <is>
          <t>18 Agustus 2026</t>
        </is>
      </c>
      <c r="M58" t="inlineStr">
        <is>
          <t>Konstruksi Bangunan Sipil Jalan</t>
        </is>
      </c>
      <c r="N58" t="inlineStr">
        <is>
          <t>K</t>
        </is>
      </c>
      <c r="O58" t="inlineStr">
        <is>
          <t>20230818</t>
        </is>
      </c>
      <c r="P58" t="inlineStr">
        <is>
          <t>Jawa Tengah</t>
        </is>
      </c>
      <c r="Q58" t="inlineStr"/>
    </row>
    <row r="59">
      <c r="A59" t="inlineStr">
        <is>
          <t>JAGA CITRA INTI</t>
        </is>
      </c>
      <c r="B59" t="inlineStr">
        <is>
          <t>Kota Adm. Jakarta Barat</t>
        </is>
      </c>
      <c r="C59" t="inlineStr">
        <is>
          <t>0215671966</t>
        </is>
      </c>
      <c r="D59" t="inlineStr">
        <is>
          <t>ga@jagacitra.com</t>
        </is>
      </c>
      <c r="E59" t="inlineStr">
        <is>
          <t>https://lpjk.pu.go.id/search-badan-usaha-detail/UGxpVGdRVU05Y0xtY2ppOG1JeDBUZz09</t>
        </is>
      </c>
      <c r="F59" t="n">
        <v>1</v>
      </c>
      <c r="G59" t="inlineStr">
        <is>
          <t>IN008</t>
        </is>
      </c>
      <c r="H59" t="inlineStr">
        <is>
          <t>9 Februari 1990</t>
        </is>
      </c>
      <c r="I59" s="2" t="n">
        <v>46252</v>
      </c>
      <c r="J59" t="inlineStr">
        <is>
          <t>Disetujui</t>
        </is>
      </c>
      <c r="K59" t="n">
        <v>60</v>
      </c>
      <c r="L59" t="inlineStr">
        <is>
          <t>18 Agustus 2026</t>
        </is>
      </c>
      <c r="M59" t="inlineStr">
        <is>
          <t>Instalasi Pendingin Dan Ventilasi Udara</t>
        </is>
      </c>
      <c r="N59" t="inlineStr">
        <is>
          <t>Spesialis</t>
        </is>
      </c>
      <c r="O59" t="inlineStr">
        <is>
          <t>20220920</t>
        </is>
      </c>
      <c r="P59" t="inlineStr">
        <is>
          <t>DKI Jakarta</t>
        </is>
      </c>
      <c r="Q59" t="inlineStr"/>
    </row>
    <row r="60">
      <c r="A60" t="inlineStr">
        <is>
          <t>JALAL UTAMA GLOBAL</t>
        </is>
      </c>
      <c r="B60" t="inlineStr">
        <is>
          <t>Kota Adm. Jakarta Barat</t>
        </is>
      </c>
      <c r="C60" t="inlineStr">
        <is>
          <t>081511563878</t>
        </is>
      </c>
      <c r="D60" t="inlineStr">
        <is>
          <t>pt.jalalutamaglobal@gmail.com</t>
        </is>
      </c>
      <c r="E60" t="inlineStr">
        <is>
          <t>https://lpjk.pu.go.id/search-badan-usaha-detail/eGM0U0lqL0Q0Z3lEeTFDTVd6MlpBdz09</t>
        </is>
      </c>
      <c r="F60" t="n">
        <v>4</v>
      </c>
      <c r="G60" t="inlineStr">
        <is>
          <t>BG002, BG003, BG006, BG009</t>
        </is>
      </c>
      <c r="H60" t="inlineStr">
        <is>
          <t>14 Februari 2023</t>
        </is>
      </c>
      <c r="I60" s="2" t="n">
        <v>46252</v>
      </c>
      <c r="J60" t="inlineStr">
        <is>
          <t>Disetujui</t>
        </is>
      </c>
      <c r="K60" t="n">
        <v>60</v>
      </c>
      <c r="L60" t="inlineStr">
        <is>
          <t>18 Agustus 2026</t>
        </is>
      </c>
      <c r="M60" t="inlineStr">
        <is>
          <t>Konstruksi Gedung Industri, Konstruksi Gedung Lainnya, Konstruksi Gedung Pendidikan, Konstruksi Gedung Perkantoran</t>
        </is>
      </c>
      <c r="N60" t="inlineStr">
        <is>
          <t>K</t>
        </is>
      </c>
      <c r="O60" t="inlineStr">
        <is>
          <t>20230815</t>
        </is>
      </c>
      <c r="P60" t="inlineStr">
        <is>
          <t>DKI Jakarta</t>
        </is>
      </c>
      <c r="Q60" t="inlineStr"/>
    </row>
    <row r="61">
      <c r="A61" t="inlineStr">
        <is>
          <t>JAYA NUSANTARA</t>
        </is>
      </c>
      <c r="B61" t="inlineStr">
        <is>
          <t>Kota Tangerang</t>
        </is>
      </c>
      <c r="C61" t="inlineStr">
        <is>
          <t>085710795230</t>
        </is>
      </c>
      <c r="D61" t="inlineStr">
        <is>
          <t>jnusantara_cv@yahoo.co.id</t>
        </is>
      </c>
      <c r="E61" t="inlineStr">
        <is>
          <t>https://lpjk.pu.go.id/search-badan-usaha-detail/WU5nVTNISUVnMlRuSHU4TU5rb2NWQT09</t>
        </is>
      </c>
      <c r="F61" t="n">
        <v>1</v>
      </c>
      <c r="G61" t="inlineStr">
        <is>
          <t>BS004</t>
        </is>
      </c>
      <c r="H61" t="inlineStr">
        <is>
          <t>3 Juni 2008</t>
        </is>
      </c>
      <c r="I61" s="2" t="n">
        <v>46252</v>
      </c>
      <c r="J61" t="inlineStr">
        <is>
          <t>Disetujui</t>
        </is>
      </c>
      <c r="K61" t="n">
        <v>60</v>
      </c>
      <c r="L61" t="inlineStr">
        <is>
          <t>18 Agustus 2026</t>
        </is>
      </c>
      <c r="M61" t="inlineStr">
        <is>
          <t>Konstruksi Jaringan Irigasi dan Drainase</t>
        </is>
      </c>
      <c r="N61" t="inlineStr">
        <is>
          <t>K</t>
        </is>
      </c>
      <c r="O61" t="inlineStr">
        <is>
          <t>20230803</t>
        </is>
      </c>
      <c r="P61" t="inlineStr">
        <is>
          <t>Banten</t>
        </is>
      </c>
      <c r="Q61" t="inlineStr"/>
    </row>
    <row r="62">
      <c r="A62" t="inlineStr">
        <is>
          <t>JAYA PERMAI CONSULTANT</t>
        </is>
      </c>
      <c r="B62" t="inlineStr">
        <is>
          <t>Kota Padang</t>
        </is>
      </c>
      <c r="C62" t="inlineStr">
        <is>
          <t>07514488288</t>
        </is>
      </c>
      <c r="D62" t="inlineStr">
        <is>
          <t>jayapermai_cons@yahoo.co.id</t>
        </is>
      </c>
      <c r="E62" t="inlineStr">
        <is>
          <t>https://lpjk.pu.go.id/search-badan-usaha-detail/M3BRdWpBWkRGOHFRMjZOUUQrU1drdz09</t>
        </is>
      </c>
      <c r="F62" t="n">
        <v>2</v>
      </c>
      <c r="G62" t="inlineStr">
        <is>
          <t>RK001, RK002</t>
        </is>
      </c>
      <c r="H62" t="inlineStr">
        <is>
          <t>11 Januari 2012</t>
        </is>
      </c>
      <c r="I62" s="2" t="n">
        <v>46252</v>
      </c>
      <c r="J62" t="inlineStr">
        <is>
          <t>Disetujui</t>
        </is>
      </c>
      <c r="K62" t="n">
        <v>60</v>
      </c>
      <c r="L62" t="inlineStr">
        <is>
          <t>18 Agustus 2026</t>
        </is>
      </c>
      <c r="M62" t="inlineStr">
        <is>
          <t>Jasa Rekayasa Konstruksi Bangunan Gedung Hunian dan Non Hunian, Jasa Rekayasa Pekerjaan Teknik Sipil Sumber Daya Air</t>
        </is>
      </c>
      <c r="N62" t="inlineStr">
        <is>
          <t>K</t>
        </is>
      </c>
      <c r="O62" t="inlineStr">
        <is>
          <t>20230803</t>
        </is>
      </c>
      <c r="P62" t="inlineStr">
        <is>
          <t>Sumatera Barat</t>
        </is>
      </c>
      <c r="Q62" t="inlineStr"/>
    </row>
    <row r="63">
      <c r="A63" t="inlineStr">
        <is>
          <t>JAYA SEMPURNA</t>
        </is>
      </c>
      <c r="B63" t="inlineStr">
        <is>
          <t>Kota Palembang</t>
        </is>
      </c>
      <c r="C63" t="inlineStr">
        <is>
          <t>0711377631</t>
        </is>
      </c>
      <c r="D63" t="inlineStr">
        <is>
          <t>jayasempurnaoss2@gmail.com</t>
        </is>
      </c>
      <c r="E63" t="inlineStr">
        <is>
          <t>https://lpjk.pu.go.id/search-badan-usaha-detail/aW0xalJxSFp4NTRoa3BRQWozUmlKdz09</t>
        </is>
      </c>
      <c r="F63" t="n">
        <v>1</v>
      </c>
      <c r="G63" t="inlineStr">
        <is>
          <t>BG009</t>
        </is>
      </c>
      <c r="H63" t="inlineStr">
        <is>
          <t>8 Maret 2007</t>
        </is>
      </c>
      <c r="I63" s="2" t="n">
        <v>46252</v>
      </c>
      <c r="J63" t="inlineStr">
        <is>
          <t>Disetujui</t>
        </is>
      </c>
      <c r="K63" t="n">
        <v>60</v>
      </c>
      <c r="L63" t="inlineStr">
        <is>
          <t>18 Agustus 2026</t>
        </is>
      </c>
      <c r="M63" t="inlineStr">
        <is>
          <t>Konstruksi Gedung Lainnya</t>
        </is>
      </c>
      <c r="N63" t="inlineStr">
        <is>
          <t>K</t>
        </is>
      </c>
      <c r="O63" t="inlineStr">
        <is>
          <t>20230818</t>
        </is>
      </c>
      <c r="P63" t="inlineStr">
        <is>
          <t>Sumatera Selatan</t>
        </is>
      </c>
      <c r="Q63" t="inlineStr"/>
    </row>
    <row r="64">
      <c r="A64" t="inlineStr">
        <is>
          <t>KARISMA BANGUN NUSA</t>
        </is>
      </c>
      <c r="B64" t="inlineStr">
        <is>
          <t>Kab. Malang</t>
        </is>
      </c>
      <c r="C64" t="inlineStr">
        <is>
          <t>03413022058</t>
        </is>
      </c>
      <c r="D64" t="inlineStr">
        <is>
          <t>bangunnusa.karisma@gmail.com</t>
        </is>
      </c>
      <c r="E64" t="inlineStr">
        <is>
          <t>https://lpjk.pu.go.id/search-badan-usaha-detail/UkpuNFg1dU1pZlB3eW9yMkp0VHdudz09</t>
        </is>
      </c>
      <c r="F64" t="n">
        <v>4</v>
      </c>
      <c r="G64" t="inlineStr">
        <is>
          <t>BG002, BG003, BG006, BG009</t>
        </is>
      </c>
      <c r="H64" t="inlineStr">
        <is>
          <t>13 Juni 2023</t>
        </is>
      </c>
      <c r="I64" s="2" t="n">
        <v>46252</v>
      </c>
      <c r="J64" t="inlineStr">
        <is>
          <t>Disetujui</t>
        </is>
      </c>
      <c r="K64" t="n">
        <v>60</v>
      </c>
      <c r="L64" t="inlineStr">
        <is>
          <t>18 Agustus 2026</t>
        </is>
      </c>
      <c r="M64" t="inlineStr">
        <is>
          <t>Konstruksi Gedung Industri, Konstruksi Gedung Lainnya, Konstruksi Gedung Pendidikan, Konstruksi Gedung Perkantoran</t>
        </is>
      </c>
      <c r="N64" t="inlineStr">
        <is>
          <t>K</t>
        </is>
      </c>
      <c r="O64" t="inlineStr">
        <is>
          <t>20230801, 20230802, 20230818</t>
        </is>
      </c>
      <c r="P64" t="inlineStr">
        <is>
          <t>Jawa Timur</t>
        </is>
      </c>
      <c r="Q64" t="inlineStr"/>
    </row>
    <row r="65">
      <c r="A65" t="inlineStr">
        <is>
          <t>KARYA ANAK BANGSA</t>
        </is>
      </c>
      <c r="B65" t="inlineStr">
        <is>
          <t>Kota Tanjung Pinang</t>
        </is>
      </c>
      <c r="C65" t="inlineStr">
        <is>
          <t>081270060590</t>
        </is>
      </c>
      <c r="D65" t="inlineStr">
        <is>
          <t>karyaabang@yahoo.co.id</t>
        </is>
      </c>
      <c r="E65" t="inlineStr">
        <is>
          <t>https://lpjk.pu.go.id/search-badan-usaha-detail/cTBvai9PNUZ6N20yTVhCVmJRbEsyZz09</t>
        </is>
      </c>
      <c r="F65" t="n">
        <v>1</v>
      </c>
      <c r="G65" t="inlineStr">
        <is>
          <t>BS002</t>
        </is>
      </c>
      <c r="H65" t="inlineStr">
        <is>
          <t>25 Juli 2012</t>
        </is>
      </c>
      <c r="I65" s="2" t="n">
        <v>46252</v>
      </c>
      <c r="J65" t="inlineStr">
        <is>
          <t>Disetujui</t>
        </is>
      </c>
      <c r="K65" t="n">
        <v>60</v>
      </c>
      <c r="L65" t="inlineStr">
        <is>
          <t>18 Agustus 2026</t>
        </is>
      </c>
      <c r="M65" t="inlineStr">
        <is>
          <t>Bangunan Sipil Jembatan, Jalan Layang, Fly Over, dan Underpass</t>
        </is>
      </c>
      <c r="N65" t="inlineStr">
        <is>
          <t>K</t>
        </is>
      </c>
      <c r="O65" t="inlineStr">
        <is>
          <t>20230816</t>
        </is>
      </c>
      <c r="P65" t="inlineStr">
        <is>
          <t>Kepulauan Riau</t>
        </is>
      </c>
      <c r="Q65" t="inlineStr"/>
    </row>
    <row r="66">
      <c r="A66" t="inlineStr">
        <is>
          <t>KARYA BERINGIN PUTERA</t>
        </is>
      </c>
      <c r="B66" t="inlineStr">
        <is>
          <t>Kota Balikpapan</t>
        </is>
      </c>
      <c r="C66" t="inlineStr">
        <is>
          <t>08125859996</t>
        </is>
      </c>
      <c r="D66" t="inlineStr">
        <is>
          <t>cvkaryaberinginputera@gmail.com</t>
        </is>
      </c>
      <c r="E66" t="inlineStr">
        <is>
          <t>https://lpjk.pu.go.id/search-badan-usaha-detail/RGR0UExHaGp5dm8yV0d3elBpYVdldz09</t>
        </is>
      </c>
      <c r="F66" t="n">
        <v>3</v>
      </c>
      <c r="G66" t="inlineStr">
        <is>
          <t>BG009, BS001, BS004</t>
        </is>
      </c>
      <c r="H66" t="inlineStr">
        <is>
          <t>20 Mei 2020</t>
        </is>
      </c>
      <c r="I66" s="2" t="n">
        <v>46252</v>
      </c>
      <c r="J66" t="inlineStr">
        <is>
          <t>Disetujui</t>
        </is>
      </c>
      <c r="K66" t="n">
        <v>60</v>
      </c>
      <c r="L66" t="inlineStr">
        <is>
          <t>18 Agustus 2026</t>
        </is>
      </c>
      <c r="M66" t="inlineStr">
        <is>
          <t>Konstruksi Bangunan Sipil Jalan, Konstruksi Gedung Lainnya, Konstruksi Jaringan Irigasi dan Drainase</t>
        </is>
      </c>
      <c r="N66" t="inlineStr">
        <is>
          <t>K</t>
        </is>
      </c>
      <c r="O66" t="inlineStr">
        <is>
          <t>20230818</t>
        </is>
      </c>
      <c r="P66" t="inlineStr">
        <is>
          <t>Kalimantan Timur</t>
        </is>
      </c>
      <c r="Q66" t="inlineStr"/>
    </row>
    <row r="67">
      <c r="A67" t="inlineStr">
        <is>
          <t>KARYA CIPTA ELANG</t>
        </is>
      </c>
      <c r="B67" t="inlineStr">
        <is>
          <t>Kab. Pekalongan</t>
        </is>
      </c>
      <c r="C67" t="inlineStr">
        <is>
          <t>081554235400</t>
        </is>
      </c>
      <c r="D67" t="inlineStr">
        <is>
          <t>cv.kc.elang@gmail.com</t>
        </is>
      </c>
      <c r="E67" t="inlineStr">
        <is>
          <t>https://lpjk.pu.go.id/search-badan-usaha-detail/eWNxOEJock1jUlJUb2xUWmRtNk5VUT09</t>
        </is>
      </c>
      <c r="F67" t="n">
        <v>3</v>
      </c>
      <c r="G67" t="inlineStr">
        <is>
          <t>RK002, RK003, RK005</t>
        </is>
      </c>
      <c r="H67" t="inlineStr">
        <is>
          <t>22 Juni 2012</t>
        </is>
      </c>
      <c r="I67" s="2" t="n">
        <v>46252</v>
      </c>
      <c r="J67" t="inlineStr">
        <is>
          <t>Disetujui, Pencabutan</t>
        </is>
      </c>
      <c r="K67" t="n">
        <v>60</v>
      </c>
      <c r="L67" t="inlineStr">
        <is>
          <t>18 Agustus 2026</t>
        </is>
      </c>
      <c r="M67" t="inlineStr">
        <is>
          <t>Jasa Rekayasa Lainnya, Jasa Rekayasa Pekerjaan Teknik Sipil Sumber Daya Air, Jasa Rekayasa Pekerjaan Teknik Sipil Transportasi</t>
        </is>
      </c>
      <c r="N67" t="inlineStr">
        <is>
          <t>K</t>
        </is>
      </c>
      <c r="O67" t="inlineStr">
        <is>
          <t>20230810</t>
        </is>
      </c>
      <c r="P67" t="inlineStr">
        <is>
          <t>Jawa Tengah</t>
        </is>
      </c>
      <c r="Q67" t="inlineStr"/>
    </row>
    <row r="68">
      <c r="A68" t="inlineStr">
        <is>
          <t>KARYA JATI INDAH</t>
        </is>
      </c>
      <c r="B68" t="inlineStr">
        <is>
          <t>Kab. Jombang</t>
        </is>
      </c>
      <c r="C68" t="inlineStr">
        <is>
          <t>085648942641</t>
        </is>
      </c>
      <c r="D68" t="inlineStr">
        <is>
          <t>karyajatiindah25@gmail.com</t>
        </is>
      </c>
      <c r="E68" t="inlineStr">
        <is>
          <t>https://lpjk.pu.go.id/search-badan-usaha-detail/M2lFV3FTaU1QT0R5QmkzMXJxTEkvdz09</t>
        </is>
      </c>
      <c r="F68" t="n">
        <v>1</v>
      </c>
      <c r="G68" t="inlineStr">
        <is>
          <t>BG009</t>
        </is>
      </c>
      <c r="H68" t="inlineStr">
        <is>
          <t>2 November 2015</t>
        </is>
      </c>
      <c r="I68" s="2" t="n">
        <v>46252</v>
      </c>
      <c r="J68" t="inlineStr">
        <is>
          <t>Disetujui</t>
        </is>
      </c>
      <c r="K68" t="n">
        <v>60</v>
      </c>
      <c r="L68" t="inlineStr">
        <is>
          <t>18 Agustus 2026</t>
        </is>
      </c>
      <c r="M68" t="inlineStr">
        <is>
          <t>Konstruksi Gedung Lainnya</t>
        </is>
      </c>
      <c r="N68" t="inlineStr">
        <is>
          <t>K</t>
        </is>
      </c>
      <c r="O68" t="inlineStr">
        <is>
          <t>20230815</t>
        </is>
      </c>
      <c r="P68" t="inlineStr">
        <is>
          <t>Jawa Timur</t>
        </is>
      </c>
      <c r="Q68" t="inlineStr"/>
    </row>
    <row r="69">
      <c r="A69" t="inlineStr">
        <is>
          <t>KARYA KARTANEGARA</t>
        </is>
      </c>
      <c r="B69" t="inlineStr">
        <is>
          <t>Kab. Kutai Kartanegara</t>
        </is>
      </c>
      <c r="C69" t="inlineStr">
        <is>
          <t>081253456111</t>
        </is>
      </c>
      <c r="D69" t="inlineStr">
        <is>
          <t>kartanegarakarya@gmail.com</t>
        </is>
      </c>
      <c r="E69" t="inlineStr">
        <is>
          <t>https://lpjk.pu.go.id/search-badan-usaha-detail/NXUyeUxoNWZoVVJTYUlsdk5oZUZIQT09</t>
        </is>
      </c>
      <c r="F69" t="n">
        <v>1</v>
      </c>
      <c r="G69" t="inlineStr">
        <is>
          <t>BS002</t>
        </is>
      </c>
      <c r="H69" t="inlineStr">
        <is>
          <t>7 Agustus 2023</t>
        </is>
      </c>
      <c r="I69" s="2" t="n">
        <v>46252</v>
      </c>
      <c r="J69" t="inlineStr">
        <is>
          <t>Disetujui</t>
        </is>
      </c>
      <c r="K69" t="n">
        <v>60</v>
      </c>
      <c r="L69" t="inlineStr">
        <is>
          <t>18 Agustus 2026</t>
        </is>
      </c>
      <c r="M69" t="inlineStr">
        <is>
          <t>Bangunan Sipil Jembatan, Jalan Layang, Fly Over, dan Underpass</t>
        </is>
      </c>
      <c r="N69" t="inlineStr">
        <is>
          <t>K</t>
        </is>
      </c>
      <c r="O69" t="inlineStr">
        <is>
          <t>20230818</t>
        </is>
      </c>
      <c r="P69" t="inlineStr">
        <is>
          <t>Kalimantan Timur</t>
        </is>
      </c>
      <c r="Q69" t="inlineStr"/>
    </row>
    <row r="70">
      <c r="A70" t="inlineStr">
        <is>
          <t>KARYA LIMA ABADI</t>
        </is>
      </c>
      <c r="B70" t="inlineStr">
        <is>
          <t>Kab. Temanggung</t>
        </is>
      </c>
      <c r="C70" t="inlineStr">
        <is>
          <t>08122939506</t>
        </is>
      </c>
      <c r="D70" t="inlineStr">
        <is>
          <t>karyalimaabadi@gmail.com</t>
        </is>
      </c>
      <c r="E70" t="inlineStr">
        <is>
          <t>https://lpjk.pu.go.id/search-badan-usaha-detail/YklENUVtdkFVaTl4TEdGRnZCN2ZhQT09</t>
        </is>
      </c>
      <c r="F70" t="n">
        <v>2</v>
      </c>
      <c r="G70" t="inlineStr">
        <is>
          <t>BS001, BS004</t>
        </is>
      </c>
      <c r="H70" t="inlineStr">
        <is>
          <t>21 Juli 2022</t>
        </is>
      </c>
      <c r="I70" s="2" t="n">
        <v>46252</v>
      </c>
      <c r="J70" t="inlineStr">
        <is>
          <t>Disetujui</t>
        </is>
      </c>
      <c r="K70" t="n">
        <v>60</v>
      </c>
      <c r="L70" t="inlineStr">
        <is>
          <t>18 Agustus 2026</t>
        </is>
      </c>
      <c r="M70" t="inlineStr">
        <is>
          <t>Konstruksi Bangunan Sipil Jalan, Konstruksi Jaringan Irigasi dan Drainase</t>
        </is>
      </c>
      <c r="N70" t="inlineStr">
        <is>
          <t>K</t>
        </is>
      </c>
      <c r="O70" t="inlineStr">
        <is>
          <t>20230803, 20230814</t>
        </is>
      </c>
      <c r="P70" t="inlineStr">
        <is>
          <t>Jawa Tengah</t>
        </is>
      </c>
      <c r="Q70" t="inlineStr"/>
    </row>
    <row r="71">
      <c r="A71" t="inlineStr">
        <is>
          <t>KEZIA TRIMEGAH</t>
        </is>
      </c>
      <c r="B71" t="inlineStr">
        <is>
          <t>Kota Adm. Jakarta Pusat</t>
        </is>
      </c>
      <c r="C71" t="inlineStr">
        <is>
          <t>081295183339</t>
        </is>
      </c>
      <c r="D71" t="inlineStr">
        <is>
          <t>trimegahkezia@gmail.com</t>
        </is>
      </c>
      <c r="E71" t="inlineStr">
        <is>
          <t>https://lpjk.pu.go.id/search-badan-usaha-detail/cHV0WGdFd2U2NEoyVldkUkxQZzNYQT09</t>
        </is>
      </c>
      <c r="F71" t="n">
        <v>1</v>
      </c>
      <c r="G71" t="inlineStr">
        <is>
          <t>BG004</t>
        </is>
      </c>
      <c r="H71" t="inlineStr">
        <is>
          <t>4 Januari 2008</t>
        </is>
      </c>
      <c r="I71" s="2" t="n">
        <v>46252</v>
      </c>
      <c r="J71" t="inlineStr">
        <is>
          <t>Disetujui</t>
        </is>
      </c>
      <c r="K71" t="n">
        <v>60</v>
      </c>
      <c r="L71" t="inlineStr">
        <is>
          <t>18 Agustus 2026</t>
        </is>
      </c>
      <c r="M71" t="inlineStr">
        <is>
          <t>Konstruksi Gedung Perbelanjaan</t>
        </is>
      </c>
      <c r="N71" t="inlineStr">
        <is>
          <t>K</t>
        </is>
      </c>
      <c r="O71" t="inlineStr">
        <is>
          <t>20230815</t>
        </is>
      </c>
      <c r="P71" t="inlineStr">
        <is>
          <t>DKI Jakarta</t>
        </is>
      </c>
      <c r="Q71" t="inlineStr"/>
    </row>
    <row r="72">
      <c r="A72" t="inlineStr">
        <is>
          <t>KIRATAMA ABDI KARYA</t>
        </is>
      </c>
      <c r="B72" t="inlineStr">
        <is>
          <t>Kota Bandung</t>
        </is>
      </c>
      <c r="C72" t="inlineStr">
        <is>
          <t>02263721689</t>
        </is>
      </c>
      <c r="D72" t="inlineStr">
        <is>
          <t>kiratamaabdikarya@gmail.com</t>
        </is>
      </c>
      <c r="E72" t="inlineStr">
        <is>
          <t>https://lpjk.pu.go.id/search-badan-usaha-detail/VS9qZ1hIYkdYWS9TQWpJME02VmtOQT09</t>
        </is>
      </c>
      <c r="F72" t="n">
        <v>2</v>
      </c>
      <c r="G72" t="inlineStr">
        <is>
          <t>AR003</t>
        </is>
      </c>
      <c r="H72" t="inlineStr">
        <is>
          <t>14 Maret 2014</t>
        </is>
      </c>
      <c r="I72" s="2" t="n">
        <v>46252</v>
      </c>
      <c r="J72" t="inlineStr">
        <is>
          <t>Disetujui</t>
        </is>
      </c>
      <c r="K72" t="n">
        <v>60</v>
      </c>
      <c r="L72" t="inlineStr">
        <is>
          <t>18 Agustus 2026</t>
        </is>
      </c>
      <c r="M72" t="inlineStr">
        <is>
          <t>Jasa Desain Interior pada Bangunan Gedung dan Bangunan Sipil</t>
        </is>
      </c>
      <c r="N72" t="inlineStr">
        <is>
          <t>K</t>
        </is>
      </c>
      <c r="O72" t="inlineStr">
        <is>
          <t>20221124</t>
        </is>
      </c>
      <c r="P72" t="inlineStr">
        <is>
          <t>Jawa Barat</t>
        </is>
      </c>
      <c r="Q72" t="inlineStr"/>
    </row>
    <row r="73">
      <c r="A73" t="inlineStr">
        <is>
          <t>KOPERASI KONSUMEN KARYAWAN KOPERASI KELUARGA BESAR PETROKIMIA GRESIK</t>
        </is>
      </c>
      <c r="B73" t="inlineStr">
        <is>
          <t>Kab. Gresik</t>
        </is>
      </c>
      <c r="C73" t="inlineStr">
        <is>
          <t>0313971493</t>
        </is>
      </c>
      <c r="D73" t="inlineStr">
        <is>
          <t>legalk3pg@gmail.com</t>
        </is>
      </c>
      <c r="E73" t="inlineStr">
        <is>
          <t>https://lpjk.pu.go.id/search-badan-usaha-detail/REJQYXM0d1ZPbVk1WlhvRkZaZkszdz09</t>
        </is>
      </c>
      <c r="F73" t="n">
        <v>2</v>
      </c>
      <c r="G73" t="inlineStr">
        <is>
          <t>IN006</t>
        </is>
      </c>
      <c r="H73" t="inlineStr">
        <is>
          <t>13 Agustus 1983</t>
        </is>
      </c>
      <c r="I73" s="2" t="n">
        <v>46252</v>
      </c>
      <c r="J73" t="inlineStr">
        <is>
          <t>Disetujui</t>
        </is>
      </c>
      <c r="K73" t="n">
        <v>60</v>
      </c>
      <c r="L73" t="inlineStr">
        <is>
          <t>18 Agustus 2026</t>
        </is>
      </c>
      <c r="M73" t="inlineStr">
        <is>
          <t>Instalasi Elektronika</t>
        </is>
      </c>
      <c r="N73" t="inlineStr">
        <is>
          <t>Spesialis</t>
        </is>
      </c>
      <c r="O73" t="inlineStr">
        <is>
          <t>20230811</t>
        </is>
      </c>
      <c r="P73" t="inlineStr">
        <is>
          <t>Jawa Timur</t>
        </is>
      </c>
      <c r="Q73" t="inlineStr"/>
    </row>
    <row r="74">
      <c r="A74" t="inlineStr">
        <is>
          <t>KUSUMA DEWA</t>
        </is>
      </c>
      <c r="B74" t="inlineStr">
        <is>
          <t>Kab. Jember</t>
        </is>
      </c>
      <c r="C74" t="inlineStr">
        <is>
          <t>081330267984</t>
        </is>
      </c>
      <c r="D74" t="inlineStr">
        <is>
          <t>cv.kusumadewa@gmail.com</t>
        </is>
      </c>
      <c r="E74" t="inlineStr">
        <is>
          <t>https://lpjk.pu.go.id/search-badan-usaha-detail/Rkc1QjU1NXUxbXk4MFRhTmtTSnZSZz09</t>
        </is>
      </c>
      <c r="F74" t="n">
        <v>3</v>
      </c>
      <c r="G74" t="inlineStr">
        <is>
          <t>BG005, BG006, BG009</t>
        </is>
      </c>
      <c r="H74" t="inlineStr">
        <is>
          <t>2 Maret 2017</t>
        </is>
      </c>
      <c r="I74" s="2" t="n">
        <v>46252</v>
      </c>
      <c r="J74" t="inlineStr">
        <is>
          <t>Disetujui</t>
        </is>
      </c>
      <c r="K74" t="n">
        <v>60</v>
      </c>
      <c r="L74" t="inlineStr">
        <is>
          <t>18 Agustus 2026</t>
        </is>
      </c>
      <c r="M74" t="inlineStr">
        <is>
          <t>Konstruksi Gedung Kesehatan, Konstruksi Gedung Lainnya, Konstruksi Gedung Pendidikan</t>
        </is>
      </c>
      <c r="N74" t="inlineStr">
        <is>
          <t>K</t>
        </is>
      </c>
      <c r="O74" t="inlineStr">
        <is>
          <t>20230815</t>
        </is>
      </c>
      <c r="P74" t="inlineStr">
        <is>
          <t>Jawa Timur</t>
        </is>
      </c>
      <c r="Q74" t="inlineStr"/>
    </row>
    <row r="75">
      <c r="A75" t="inlineStr">
        <is>
          <t>LENTERA ARDHI BORNEO</t>
        </is>
      </c>
      <c r="B75" t="inlineStr">
        <is>
          <t>Kota Tarakan</t>
        </is>
      </c>
      <c r="C75" t="inlineStr">
        <is>
          <t>08115980350</t>
        </is>
      </c>
      <c r="D75" t="inlineStr">
        <is>
          <t>lenteraardhi.borneo@gmail.com</t>
        </is>
      </c>
      <c r="E75" t="inlineStr">
        <is>
          <t>https://lpjk.pu.go.id/search-badan-usaha-detail/cnlSdWptT2hiVDhYVVNkcFZCVkkrZz09</t>
        </is>
      </c>
      <c r="F75" t="n">
        <v>1</v>
      </c>
      <c r="G75" t="inlineStr">
        <is>
          <t>BS004</t>
        </is>
      </c>
      <c r="H75" t="inlineStr">
        <is>
          <t>28 Januari 2020</t>
        </is>
      </c>
      <c r="I75" s="2" t="n">
        <v>46252</v>
      </c>
      <c r="J75" t="inlineStr">
        <is>
          <t>Disetujui</t>
        </is>
      </c>
      <c r="K75" t="n">
        <v>60</v>
      </c>
      <c r="L75" t="inlineStr">
        <is>
          <t>18 Agustus 2026</t>
        </is>
      </c>
      <c r="M75" t="inlineStr">
        <is>
          <t>Konstruksi Jaringan Irigasi dan Drainase</t>
        </is>
      </c>
      <c r="N75" t="inlineStr">
        <is>
          <t>K</t>
        </is>
      </c>
      <c r="O75" t="inlineStr">
        <is>
          <t>20230814</t>
        </is>
      </c>
      <c r="P75" t="inlineStr">
        <is>
          <t>Kalimantan Utara</t>
        </is>
      </c>
      <c r="Q75" t="inlineStr"/>
    </row>
    <row r="76">
      <c r="A76" t="inlineStr">
        <is>
          <t>LESTARI PUTRA GEMILANG</t>
        </is>
      </c>
      <c r="B76" t="inlineStr">
        <is>
          <t>Kab. Jombang</t>
        </is>
      </c>
      <c r="C76" t="inlineStr">
        <is>
          <t>082257808081</t>
        </is>
      </c>
      <c r="D76" t="inlineStr">
        <is>
          <t>lestariputragemilang2017@gmail.com</t>
        </is>
      </c>
      <c r="E76" t="inlineStr">
        <is>
          <t>https://lpjk.pu.go.id/search-badan-usaha-detail/UFMrNEJwK2ozS1duTWIwT3BCeWExQT09</t>
        </is>
      </c>
      <c r="F76" t="n">
        <v>5</v>
      </c>
      <c r="G76" t="inlineStr">
        <is>
          <t>BG001, BG002, BG005, BG009, BS001</t>
        </is>
      </c>
      <c r="H76" t="inlineStr">
        <is>
          <t>10 November 2017</t>
        </is>
      </c>
      <c r="I76" s="2" t="n">
        <v>46252</v>
      </c>
      <c r="J76" t="inlineStr">
        <is>
          <t>Disetujui</t>
        </is>
      </c>
      <c r="K76" t="n">
        <v>60</v>
      </c>
      <c r="L76" t="inlineStr">
        <is>
          <t>18 Agustus 2026</t>
        </is>
      </c>
      <c r="M76" t="inlineStr">
        <is>
          <t>Konstruksi Bangunan Sipil Jalan, Konstruksi Gedung Hunian, Konstruksi Gedung Kesehatan, Konstruksi Gedung Lainnya, Konstruksi Gedung Perkantoran</t>
        </is>
      </c>
      <c r="N76" t="inlineStr">
        <is>
          <t>K</t>
        </is>
      </c>
      <c r="O76" t="inlineStr">
        <is>
          <t>20230818</t>
        </is>
      </c>
      <c r="P76" t="inlineStr">
        <is>
          <t>Jawa Timur</t>
        </is>
      </c>
      <c r="Q76" t="inlineStr"/>
    </row>
    <row r="77">
      <c r="A77" t="inlineStr">
        <is>
          <t>MAHAKARYA</t>
        </is>
      </c>
      <c r="B77" t="inlineStr">
        <is>
          <t>Kab. Blitar</t>
        </is>
      </c>
      <c r="C77" t="inlineStr">
        <is>
          <t>08123359554</t>
        </is>
      </c>
      <c r="D77" t="inlineStr">
        <is>
          <t>didikbudifariadi@yahoo.co.id</t>
        </is>
      </c>
      <c r="E77" t="inlineStr">
        <is>
          <t>https://lpjk.pu.go.id/search-badan-usaha-detail/M3lTZlVPem5wci9uWWU1bUhLVFJIdz09</t>
        </is>
      </c>
      <c r="F77" t="n">
        <v>3</v>
      </c>
      <c r="G77" t="inlineStr">
        <is>
          <t>BG009</t>
        </is>
      </c>
      <c r="H77" t="inlineStr">
        <is>
          <t>9 September 1999</t>
        </is>
      </c>
      <c r="I77" s="2" t="n">
        <v>46252</v>
      </c>
      <c r="J77" t="inlineStr">
        <is>
          <t>Disetujui</t>
        </is>
      </c>
      <c r="K77" t="n">
        <v>60</v>
      </c>
      <c r="L77" t="inlineStr">
        <is>
          <t>18 Agustus 2026</t>
        </is>
      </c>
      <c r="M77" t="inlineStr">
        <is>
          <t>Konstruksi Gedung Lainnya</t>
        </is>
      </c>
      <c r="N77" t="inlineStr">
        <is>
          <t>K</t>
        </is>
      </c>
      <c r="O77" t="inlineStr">
        <is>
          <t>20230812</t>
        </is>
      </c>
      <c r="P77" t="inlineStr">
        <is>
          <t>Jawa Timur</t>
        </is>
      </c>
      <c r="Q77" t="inlineStr"/>
    </row>
    <row r="78">
      <c r="A78" t="inlineStr">
        <is>
          <t>MAKOLANO</t>
        </is>
      </c>
      <c r="B78" t="inlineStr">
        <is>
          <t>Kab. Biak Numfor</t>
        </is>
      </c>
      <c r="C78" t="inlineStr">
        <is>
          <t>0</t>
        </is>
      </c>
      <c r="D78" t="inlineStr">
        <is>
          <t>makolano.biak@gmail.com</t>
        </is>
      </c>
      <c r="E78" t="inlineStr">
        <is>
          <t>https://lpjk.pu.go.id/search-badan-usaha-detail/ZldWcGE2bVBFY1F6MHNCU0JWc2ZIdz09</t>
        </is>
      </c>
      <c r="F78" t="n">
        <v>1</v>
      </c>
      <c r="G78" t="inlineStr">
        <is>
          <t>BG002</t>
        </is>
      </c>
      <c r="H78" t="inlineStr">
        <is>
          <t>6 Maret 2006</t>
        </is>
      </c>
      <c r="I78" s="2" t="n">
        <v>46252</v>
      </c>
      <c r="J78" t="inlineStr">
        <is>
          <t>Pencabutan</t>
        </is>
      </c>
      <c r="K78" t="n">
        <v>60</v>
      </c>
      <c r="L78" t="inlineStr">
        <is>
          <t>18 Agustus 2026</t>
        </is>
      </c>
      <c r="M78" t="inlineStr">
        <is>
          <t>Konstruksi Gedung Perkantoran</t>
        </is>
      </c>
      <c r="N78" t="inlineStr">
        <is>
          <t>K</t>
        </is>
      </c>
      <c r="O78" t="inlineStr">
        <is>
          <t>20230810</t>
        </is>
      </c>
      <c r="P78" t="inlineStr">
        <is>
          <t>Papua</t>
        </is>
      </c>
      <c r="Q78" t="inlineStr"/>
    </row>
    <row r="79">
      <c r="A79" t="inlineStr">
        <is>
          <t>MAULANA JAYA</t>
        </is>
      </c>
      <c r="B79" t="inlineStr">
        <is>
          <t>Kab. Cirebon</t>
        </is>
      </c>
      <c r="C79" t="inlineStr">
        <is>
          <t>89696667627</t>
        </is>
      </c>
      <c r="D79" t="inlineStr">
        <is>
          <t>Ovimaulana7gmail.com</t>
        </is>
      </c>
      <c r="E79" t="inlineStr">
        <is>
          <t>https://lpjk.pu.go.id/search-badan-usaha-detail/ZlJ3Z3JzVWlLb1dXZGdTOXpYU2txUT09</t>
        </is>
      </c>
      <c r="F79" t="n">
        <v>1</v>
      </c>
      <c r="G79" t="inlineStr">
        <is>
          <t>BG009</t>
        </is>
      </c>
      <c r="H79" t="inlineStr">
        <is>
          <t>31 Desember 2018</t>
        </is>
      </c>
      <c r="I79" s="2" t="n">
        <v>46252</v>
      </c>
      <c r="J79" t="inlineStr">
        <is>
          <t>Disetujui</t>
        </is>
      </c>
      <c r="K79" t="n">
        <v>60</v>
      </c>
      <c r="L79" t="inlineStr">
        <is>
          <t>18 Agustus 2026</t>
        </is>
      </c>
      <c r="M79" t="inlineStr">
        <is>
          <t>Konstruksi Gedung Lainnya</t>
        </is>
      </c>
      <c r="N79" t="inlineStr">
        <is>
          <t>K</t>
        </is>
      </c>
      <c r="O79" t="inlineStr">
        <is>
          <t>20230816</t>
        </is>
      </c>
      <c r="P79" t="inlineStr">
        <is>
          <t>Jawa Barat</t>
        </is>
      </c>
      <c r="Q79" t="inlineStr"/>
    </row>
    <row r="80">
      <c r="A80" t="inlineStr">
        <is>
          <t>MEKAR MANDIRI</t>
        </is>
      </c>
      <c r="B80" t="inlineStr">
        <is>
          <t>Kota Cirebon</t>
        </is>
      </c>
      <c r="C80" t="inlineStr">
        <is>
          <t>082319592500</t>
        </is>
      </c>
      <c r="D80" t="inlineStr">
        <is>
          <t>mandiri.mekar@yahoo.co.id</t>
        </is>
      </c>
      <c r="E80" t="inlineStr">
        <is>
          <t>https://lpjk.pu.go.id/search-badan-usaha-detail/d1dkNndGZ0xLcldHYWo0TzhOMVdmdz09</t>
        </is>
      </c>
      <c r="F80" t="n">
        <v>2</v>
      </c>
      <c r="G80" t="inlineStr">
        <is>
          <t>BS004</t>
        </is>
      </c>
      <c r="H80" t="inlineStr">
        <is>
          <t>12 Juni 2008</t>
        </is>
      </c>
      <c r="I80" s="2" t="n">
        <v>46252</v>
      </c>
      <c r="J80" t="inlineStr">
        <is>
          <t>Disetujui</t>
        </is>
      </c>
      <c r="K80" t="n">
        <v>60</v>
      </c>
      <c r="L80" t="inlineStr">
        <is>
          <t>18 Agustus 2026</t>
        </is>
      </c>
      <c r="M80" t="inlineStr">
        <is>
          <t>Konstruksi Jaringan Irigasi dan Drainase</t>
        </is>
      </c>
      <c r="N80" t="inlineStr">
        <is>
          <t>K</t>
        </is>
      </c>
      <c r="O80" t="inlineStr">
        <is>
          <t>20230815</t>
        </is>
      </c>
      <c r="P80" t="inlineStr">
        <is>
          <t>Jawa Barat</t>
        </is>
      </c>
      <c r="Q80" t="inlineStr"/>
    </row>
    <row r="81">
      <c r="A81" t="inlineStr">
        <is>
          <t>MELATI MEKAR</t>
        </is>
      </c>
      <c r="B81" t="inlineStr">
        <is>
          <t>Kab. Wajo</t>
        </is>
      </c>
      <c r="C81" t="inlineStr">
        <is>
          <t>08114102017</t>
        </is>
      </c>
      <c r="D81" t="inlineStr">
        <is>
          <t>melatimekarcv@gmail.com</t>
        </is>
      </c>
      <c r="E81" t="inlineStr">
        <is>
          <t>https://lpjk.pu.go.id/search-badan-usaha-detail/K1lxbUl5L3BJMllNcU4xQklZVk1Ldz09</t>
        </is>
      </c>
      <c r="F81" t="n">
        <v>4</v>
      </c>
      <c r="G81" t="inlineStr">
        <is>
          <t>BG006, BG009, BS001, BS004</t>
        </is>
      </c>
      <c r="H81" t="inlineStr">
        <is>
          <t>9 Maret 1976</t>
        </is>
      </c>
      <c r="I81" s="2" t="n">
        <v>46252</v>
      </c>
      <c r="J81" t="inlineStr">
        <is>
          <t>Disetujui</t>
        </is>
      </c>
      <c r="K81" t="n">
        <v>60</v>
      </c>
      <c r="L81" t="inlineStr">
        <is>
          <t>18 Agustus 2026</t>
        </is>
      </c>
      <c r="M81" t="inlineStr">
        <is>
          <t>Konstruksi Bangunan Sipil Jalan, Konstruksi Gedung Lainnya, Konstruksi Gedung Pendidikan, Konstruksi Jaringan Irigasi dan Drainase</t>
        </is>
      </c>
      <c r="N81" t="inlineStr">
        <is>
          <t>K</t>
        </is>
      </c>
      <c r="O81" t="inlineStr">
        <is>
          <t>20230816</t>
        </is>
      </c>
      <c r="P81" t="inlineStr">
        <is>
          <t>Sulawesi Selatan</t>
        </is>
      </c>
      <c r="Q81" t="inlineStr"/>
    </row>
    <row r="82">
      <c r="A82" t="inlineStr">
        <is>
          <t>MITRA DUA SEMBILAN</t>
        </is>
      </c>
      <c r="B82" t="inlineStr">
        <is>
          <t>Kota Makassar</t>
        </is>
      </c>
      <c r="C82" t="inlineStr">
        <is>
          <t>0411423856</t>
        </is>
      </c>
      <c r="D82" t="inlineStr">
        <is>
          <t>mitrasembilan20@gmail.com</t>
        </is>
      </c>
      <c r="E82" t="inlineStr">
        <is>
          <t>https://lpjk.pu.go.id/search-badan-usaha-detail/RTU2MGMrU0F6SU51eVkyREk1NnV6dz09</t>
        </is>
      </c>
      <c r="F82" t="n">
        <v>2</v>
      </c>
      <c r="G82" t="inlineStr">
        <is>
          <t>BG006, BS004</t>
        </is>
      </c>
      <c r="H82" t="inlineStr">
        <is>
          <t>8 Januari 2020</t>
        </is>
      </c>
      <c r="I82" s="2" t="n">
        <v>46252</v>
      </c>
      <c r="J82" t="inlineStr">
        <is>
          <t>Disetujui</t>
        </is>
      </c>
      <c r="K82" t="n">
        <v>60</v>
      </c>
      <c r="L82" t="inlineStr">
        <is>
          <t>18 Agustus 2026</t>
        </is>
      </c>
      <c r="M82" t="inlineStr">
        <is>
          <t>Konstruksi Gedung Pendidikan, Konstruksi Jaringan Irigasi dan Drainase</t>
        </is>
      </c>
      <c r="N82" t="inlineStr">
        <is>
          <t>K</t>
        </is>
      </c>
      <c r="O82" t="inlineStr">
        <is>
          <t>20230814, 20230817</t>
        </is>
      </c>
      <c r="P82" t="inlineStr">
        <is>
          <t>Sulawesi Selatan</t>
        </is>
      </c>
      <c r="Q82" t="inlineStr"/>
    </row>
    <row r="83">
      <c r="A83" t="inlineStr">
        <is>
          <t>MITRA JASA SEJATI</t>
        </is>
      </c>
      <c r="B83" t="inlineStr">
        <is>
          <t>Kota Pontianak</t>
        </is>
      </c>
      <c r="C83" t="inlineStr">
        <is>
          <t>08119799099</t>
        </is>
      </c>
      <c r="D83" t="inlineStr">
        <is>
          <t>mitra_js90@yahoo.com</t>
        </is>
      </c>
      <c r="E83" t="inlineStr">
        <is>
          <t>https://lpjk.pu.go.id/search-badan-usaha-detail/Q3BmUklzWm1mcHhpcyttTVMrTFFTdz09</t>
        </is>
      </c>
      <c r="F83" t="n">
        <v>1</v>
      </c>
      <c r="G83" t="inlineStr">
        <is>
          <t>RK002</t>
        </is>
      </c>
      <c r="H83" t="inlineStr">
        <is>
          <t>22 Oktober 1990</t>
        </is>
      </c>
      <c r="I83" s="2" t="n">
        <v>46252</v>
      </c>
      <c r="J83" t="inlineStr">
        <is>
          <t>Disetujui</t>
        </is>
      </c>
      <c r="K83" t="n">
        <v>60</v>
      </c>
      <c r="L83" t="inlineStr">
        <is>
          <t>18 Agustus 2026</t>
        </is>
      </c>
      <c r="M83" t="inlineStr">
        <is>
          <t>Jasa Rekayasa Pekerjaan Teknik Sipil Sumber Daya Air</t>
        </is>
      </c>
      <c r="N83" t="inlineStr">
        <is>
          <t>K</t>
        </is>
      </c>
      <c r="O83" t="inlineStr">
        <is>
          <t>20230808</t>
        </is>
      </c>
      <c r="P83" t="inlineStr">
        <is>
          <t>Kalimantan Barat</t>
        </is>
      </c>
      <c r="Q83" t="inlineStr"/>
    </row>
    <row r="84">
      <c r="A84" t="inlineStr">
        <is>
          <t>MUMTAZ JAYA MEMBANGUN</t>
        </is>
      </c>
      <c r="B84" t="inlineStr">
        <is>
          <t>Kab. Banggai</t>
        </is>
      </c>
      <c r="C84" t="inlineStr">
        <is>
          <t>082172404587</t>
        </is>
      </c>
      <c r="D84" t="inlineStr">
        <is>
          <t>cv.mumtazjayamembangun@gmail.com</t>
        </is>
      </c>
      <c r="E84" t="inlineStr">
        <is>
          <t>https://lpjk.pu.go.id/search-badan-usaha-detail/Z3gxdFRkNmxQaU1YRUZXRGRKR3o4Zz09</t>
        </is>
      </c>
      <c r="F84" t="n">
        <v>5</v>
      </c>
      <c r="G84" t="inlineStr">
        <is>
          <t>BG001, BG002, BG006, BS001, BS004</t>
        </is>
      </c>
      <c r="H84" t="inlineStr">
        <is>
          <t>10 Januari 2022</t>
        </is>
      </c>
      <c r="I84" s="2" t="n">
        <v>46252</v>
      </c>
      <c r="J84" t="inlineStr">
        <is>
          <t>Disetujui</t>
        </is>
      </c>
      <c r="K84" t="n">
        <v>60</v>
      </c>
      <c r="L84" t="inlineStr">
        <is>
          <t>18 Agustus 2026</t>
        </is>
      </c>
      <c r="M84" t="inlineStr">
        <is>
          <t>Konstruksi Bangunan Sipil Jalan, Konstruksi Gedung Hunian, Konstruksi Gedung Pendidikan, Konstruksi Gedung Perkantoran, Konstruksi Jaringan Irigasi dan Drainase</t>
        </is>
      </c>
      <c r="N84" t="inlineStr">
        <is>
          <t>K</t>
        </is>
      </c>
      <c r="O84" t="inlineStr">
        <is>
          <t>20220203, 20230819</t>
        </is>
      </c>
      <c r="P84" t="inlineStr">
        <is>
          <t>Sulawesi Tengah</t>
        </is>
      </c>
      <c r="Q84" t="inlineStr"/>
    </row>
    <row r="85">
      <c r="A85" t="inlineStr">
        <is>
          <t>MUSTIKA ARTA RAYA</t>
        </is>
      </c>
      <c r="B85" t="inlineStr">
        <is>
          <t>Kota Tangerang</t>
        </is>
      </c>
      <c r="C85" t="inlineStr">
        <is>
          <t>0816780531</t>
        </is>
      </c>
      <c r="D85" t="inlineStr">
        <is>
          <t>mustika.artaraya@gmail.com</t>
        </is>
      </c>
      <c r="E85" t="inlineStr">
        <is>
          <t>https://lpjk.pu.go.id/search-badan-usaha-detail/akNvT3Nia2pLbElYR0hDYnI3UEJqZz09</t>
        </is>
      </c>
      <c r="F85" t="n">
        <v>2</v>
      </c>
      <c r="G85" t="inlineStr">
        <is>
          <t>BS001, BS004</t>
        </is>
      </c>
      <c r="H85" t="inlineStr">
        <is>
          <t>10 Januari 2009</t>
        </is>
      </c>
      <c r="I85" s="2" t="n">
        <v>46252</v>
      </c>
      <c r="J85" t="inlineStr">
        <is>
          <t>Disetujui</t>
        </is>
      </c>
      <c r="K85" t="n">
        <v>60</v>
      </c>
      <c r="L85" t="inlineStr">
        <is>
          <t>18 Agustus 2026</t>
        </is>
      </c>
      <c r="M85" t="inlineStr">
        <is>
          <t>Konstruksi Bangunan Sipil Jalan, Konstruksi Jaringan Irigasi dan Drainase</t>
        </is>
      </c>
      <c r="N85" t="inlineStr">
        <is>
          <t>K</t>
        </is>
      </c>
      <c r="O85" t="inlineStr">
        <is>
          <t>20230813</t>
        </is>
      </c>
      <c r="P85" t="inlineStr">
        <is>
          <t>Banten</t>
        </is>
      </c>
      <c r="Q85" t="inlineStr"/>
    </row>
    <row r="86">
      <c r="A86" t="inlineStr">
        <is>
          <t>NUSAKURA KARYA MANDIRI</t>
        </is>
      </c>
      <c r="B86" t="inlineStr">
        <is>
          <t>Kota Ambon</t>
        </is>
      </c>
      <c r="C86" t="inlineStr">
        <is>
          <t>082248165320</t>
        </is>
      </c>
      <c r="D86" t="inlineStr">
        <is>
          <t>nusakurakaryamandiri@gmail.com</t>
        </is>
      </c>
      <c r="E86" t="inlineStr">
        <is>
          <t>https://lpjk.pu.go.id/search-badan-usaha-detail/SEZxbGtyM1dtZ2pnUk04MnFrR1p1dz09</t>
        </is>
      </c>
      <c r="F86" t="n">
        <v>1</v>
      </c>
      <c r="G86" t="inlineStr">
        <is>
          <t>BS001</t>
        </is>
      </c>
      <c r="H86" t="inlineStr">
        <is>
          <t>27 Oktober 2021</t>
        </is>
      </c>
      <c r="I86" s="2" t="n">
        <v>46252</v>
      </c>
      <c r="J86" t="inlineStr">
        <is>
          <t>Disetujui</t>
        </is>
      </c>
      <c r="K86" t="n">
        <v>60</v>
      </c>
      <c r="L86" t="inlineStr">
        <is>
          <t>18 Agustus 2026</t>
        </is>
      </c>
      <c r="M86" t="inlineStr">
        <is>
          <t>Konstruksi Bangunan Sipil Jalan</t>
        </is>
      </c>
      <c r="N86" t="inlineStr">
        <is>
          <t>K</t>
        </is>
      </c>
      <c r="O86" t="inlineStr">
        <is>
          <t>20230717</t>
        </is>
      </c>
      <c r="P86" t="inlineStr">
        <is>
          <t>Maluku</t>
        </is>
      </c>
      <c r="Q86" t="inlineStr"/>
    </row>
    <row r="87">
      <c r="A87" t="inlineStr">
        <is>
          <t>PADI MUTTAQIN PERKASA</t>
        </is>
      </c>
      <c r="B87" t="inlineStr">
        <is>
          <t>Kota Tangerang</t>
        </is>
      </c>
      <c r="C87" t="inlineStr">
        <is>
          <t>0813 8337 2911</t>
        </is>
      </c>
      <c r="D87" t="inlineStr">
        <is>
          <t>padimuttaqinperkasa@gmail.com</t>
        </is>
      </c>
      <c r="E87" t="inlineStr">
        <is>
          <t>https://lpjk.pu.go.id/search-badan-usaha-detail/THFyb1V1OXVWQXJKSGtheFZQWWRGUT09</t>
        </is>
      </c>
      <c r="F87" t="n">
        <v>2</v>
      </c>
      <c r="G87" t="inlineStr">
        <is>
          <t>BS001, BS004</t>
        </is>
      </c>
      <c r="H87" t="inlineStr">
        <is>
          <t>25 Januari 2018</t>
        </is>
      </c>
      <c r="I87" s="2" t="n">
        <v>46252</v>
      </c>
      <c r="J87" t="inlineStr">
        <is>
          <t>Disetujui</t>
        </is>
      </c>
      <c r="K87" t="n">
        <v>60</v>
      </c>
      <c r="L87" t="inlineStr">
        <is>
          <t>18 Agustus 2026</t>
        </is>
      </c>
      <c r="M87" t="inlineStr">
        <is>
          <t>Konstruksi Bangunan Sipil Jalan, Konstruksi Jaringan Irigasi dan Drainase</t>
        </is>
      </c>
      <c r="N87" t="inlineStr">
        <is>
          <t>K</t>
        </is>
      </c>
      <c r="O87" t="inlineStr">
        <is>
          <t>20230817, 20230819</t>
        </is>
      </c>
      <c r="P87" t="inlineStr">
        <is>
          <t>Banten</t>
        </is>
      </c>
      <c r="Q87" t="inlineStr"/>
    </row>
    <row r="88">
      <c r="A88" t="inlineStr">
        <is>
          <t>PERWIRA DESAIN</t>
        </is>
      </c>
      <c r="B88" t="inlineStr">
        <is>
          <t>Kab. Purbalingga</t>
        </is>
      </c>
      <c r="C88" t="inlineStr">
        <is>
          <t>085647772021</t>
        </is>
      </c>
      <c r="D88" t="inlineStr">
        <is>
          <t>cv.perwira.desain@gmail.com</t>
        </is>
      </c>
      <c r="E88" t="inlineStr">
        <is>
          <t>https://lpjk.pu.go.id/search-badan-usaha-detail/Z3czQXFQN1RxNDEybEFEQ3kvdENGUT09</t>
        </is>
      </c>
      <c r="F88" t="n">
        <v>1</v>
      </c>
      <c r="G88" t="inlineStr">
        <is>
          <t>RK003</t>
        </is>
      </c>
      <c r="H88" t="inlineStr">
        <is>
          <t>24 Juli 2018</t>
        </is>
      </c>
      <c r="I88" s="2" t="n">
        <v>46252</v>
      </c>
      <c r="J88" t="inlineStr">
        <is>
          <t>Pencabutan</t>
        </is>
      </c>
      <c r="K88" t="n">
        <v>60</v>
      </c>
      <c r="L88" t="inlineStr">
        <is>
          <t>18 Agustus 2026</t>
        </is>
      </c>
      <c r="M88" t="inlineStr">
        <is>
          <t>Jasa Rekayasa Pekerjaan Teknik Sipil Transportasi</t>
        </is>
      </c>
      <c r="N88" t="inlineStr">
        <is>
          <t>K</t>
        </is>
      </c>
      <c r="O88" t="inlineStr">
        <is>
          <t>20230804</t>
        </is>
      </c>
      <c r="P88" t="inlineStr">
        <is>
          <t>Jawa Tengah</t>
        </is>
      </c>
      <c r="Q88" t="inlineStr"/>
    </row>
    <row r="89">
      <c r="A89" t="inlineStr">
        <is>
          <t>PILAR MANDIRI</t>
        </is>
      </c>
      <c r="B89" t="inlineStr">
        <is>
          <t>Kab. Jember</t>
        </is>
      </c>
      <c r="C89" t="inlineStr">
        <is>
          <t>081231708313</t>
        </is>
      </c>
      <c r="D89" t="inlineStr">
        <is>
          <t>dodik3f@gmail.com</t>
        </is>
      </c>
      <c r="E89" t="inlineStr">
        <is>
          <t>https://lpjk.pu.go.id/search-badan-usaha-detail/TEpCUWhMa0MzbThRaFd6NWZQMHI5QT09</t>
        </is>
      </c>
      <c r="F89" t="n">
        <v>1</v>
      </c>
      <c r="G89" t="inlineStr">
        <is>
          <t>BG006</t>
        </is>
      </c>
      <c r="H89" t="inlineStr">
        <is>
          <t>4 April 2016</t>
        </is>
      </c>
      <c r="I89" s="2" t="n">
        <v>46252</v>
      </c>
      <c r="J89" t="inlineStr">
        <is>
          <t>Disetujui</t>
        </is>
      </c>
      <c r="K89" t="n">
        <v>60</v>
      </c>
      <c r="L89" t="inlineStr">
        <is>
          <t>18 Agustus 2026</t>
        </is>
      </c>
      <c r="M89" t="inlineStr">
        <is>
          <t>Konstruksi Gedung Pendidikan</t>
        </is>
      </c>
      <c r="N89" t="inlineStr">
        <is>
          <t>K</t>
        </is>
      </c>
      <c r="O89" t="inlineStr">
        <is>
          <t>20230811</t>
        </is>
      </c>
      <c r="P89" t="inlineStr">
        <is>
          <t>Jawa Timur</t>
        </is>
      </c>
      <c r="Q89" t="inlineStr"/>
    </row>
    <row r="90">
      <c r="A90" t="inlineStr">
        <is>
          <t>PONDOK ANTIK</t>
        </is>
      </c>
      <c r="B90" t="inlineStr">
        <is>
          <t>Kab. Gianyar</t>
        </is>
      </c>
      <c r="C90" t="inlineStr">
        <is>
          <t>0361298058</t>
        </is>
      </c>
      <c r="D90" t="inlineStr">
        <is>
          <t>cv.pondok_antik@yahoo.com</t>
        </is>
      </c>
      <c r="E90" t="inlineStr">
        <is>
          <t>https://lpjk.pu.go.id/search-badan-usaha-detail/S28xRHlEdzNCUDF4SGVVcTFlaFBlK3ZQVjVWYzF2SVQ5OVlGU3dTY1NsND0</t>
        </is>
      </c>
      <c r="F90" t="n">
        <v>1</v>
      </c>
      <c r="G90" t="inlineStr">
        <is>
          <t>BG009</t>
        </is>
      </c>
      <c r="H90" t="inlineStr">
        <is>
          <t>13 Juli 2005</t>
        </is>
      </c>
      <c r="I90" s="2" t="n">
        <v>46252</v>
      </c>
      <c r="J90" t="inlineStr">
        <is>
          <t>Disetujui</t>
        </is>
      </c>
      <c r="K90" t="n">
        <v>60</v>
      </c>
      <c r="L90" t="inlineStr">
        <is>
          <t>18 Agustus 2026</t>
        </is>
      </c>
      <c r="M90" t="inlineStr">
        <is>
          <t>Konstruksi Gedung Lainnya</t>
        </is>
      </c>
      <c r="N90" t="inlineStr">
        <is>
          <t>K</t>
        </is>
      </c>
      <c r="O90" t="inlineStr">
        <is>
          <t>20230815</t>
        </is>
      </c>
      <c r="P90" t="inlineStr">
        <is>
          <t>Bali</t>
        </is>
      </c>
      <c r="Q90" t="inlineStr"/>
    </row>
    <row r="91">
      <c r="A91" t="inlineStr">
        <is>
          <t>PRATAMA KARYA MANDIRI</t>
        </is>
      </c>
      <c r="B91" t="inlineStr">
        <is>
          <t>Kota Surabaya</t>
        </is>
      </c>
      <c r="C91" t="inlineStr">
        <is>
          <t>081335043601</t>
        </is>
      </c>
      <c r="D91" t="inlineStr">
        <is>
          <t>pratamakaryamandiri89@gmail.com</t>
        </is>
      </c>
      <c r="E91" t="inlineStr">
        <is>
          <t>https://lpjk.pu.go.id/search-badan-usaha-detail/V00veHpHT2lvRytFbVZXaGZuK0V4QT09</t>
        </is>
      </c>
      <c r="F91" t="n">
        <v>2</v>
      </c>
      <c r="G91" t="inlineStr">
        <is>
          <t>BG008, BG009</t>
        </is>
      </c>
      <c r="H91" t="inlineStr">
        <is>
          <t>6 Maret 2014</t>
        </is>
      </c>
      <c r="I91" s="2" t="n">
        <v>46252</v>
      </c>
      <c r="J91" t="inlineStr">
        <is>
          <t>Disetujui</t>
        </is>
      </c>
      <c r="K91" t="n">
        <v>60</v>
      </c>
      <c r="L91" t="inlineStr">
        <is>
          <t>18 Agustus 2026</t>
        </is>
      </c>
      <c r="M91" t="inlineStr">
        <is>
          <t>Konstruksi Gedung Lainnya, Konstruksi Gedung Tempat Hiburan dan Olahraga</t>
        </is>
      </c>
      <c r="N91" t="inlineStr">
        <is>
          <t>K</t>
        </is>
      </c>
      <c r="O91" t="inlineStr">
        <is>
          <t>20230815</t>
        </is>
      </c>
      <c r="P91" t="inlineStr">
        <is>
          <t>Jawa Timur</t>
        </is>
      </c>
      <c r="Q91" t="inlineStr"/>
    </row>
    <row r="92">
      <c r="A92" t="inlineStr">
        <is>
          <t>PRIMA LESTARI</t>
        </is>
      </c>
      <c r="B92" t="inlineStr">
        <is>
          <t>Kab. Rejang Lebong</t>
        </is>
      </c>
      <c r="C92" t="inlineStr">
        <is>
          <t>0732</t>
        </is>
      </c>
      <c r="D92" t="inlineStr">
        <is>
          <t>cvprimalestari@ymail.com</t>
        </is>
      </c>
      <c r="E92" t="inlineStr">
        <is>
          <t>https://lpjk.pu.go.id/search-badan-usaha-detail/T29WTEJRenVKYmY2SkQvZEJYd2U1Zz09</t>
        </is>
      </c>
      <c r="F92" t="n">
        <v>2</v>
      </c>
      <c r="G92" t="inlineStr">
        <is>
          <t>BG002, BG006</t>
        </is>
      </c>
      <c r="H92" t="inlineStr">
        <is>
          <t>21 Oktober 1993</t>
        </is>
      </c>
      <c r="I92" s="2" t="n">
        <v>46252</v>
      </c>
      <c r="J92" t="inlineStr">
        <is>
          <t>Disetujui</t>
        </is>
      </c>
      <c r="K92" t="n">
        <v>60</v>
      </c>
      <c r="L92" t="inlineStr">
        <is>
          <t>18 Agustus 2026</t>
        </is>
      </c>
      <c r="M92" t="inlineStr">
        <is>
          <t>Konstruksi Gedung Pendidikan, Konstruksi Gedung Perkantoran</t>
        </is>
      </c>
      <c r="N92" t="inlineStr">
        <is>
          <t>K</t>
        </is>
      </c>
      <c r="O92" t="inlineStr">
        <is>
          <t>20230325, 20230527</t>
        </is>
      </c>
      <c r="P92" t="inlineStr">
        <is>
          <t>Bengkulu</t>
        </is>
      </c>
      <c r="Q92" t="inlineStr"/>
    </row>
    <row r="93">
      <c r="A93" t="inlineStr">
        <is>
          <t>PUSAKA PAPUA TENGAH</t>
        </is>
      </c>
      <c r="B93" t="inlineStr">
        <is>
          <t>-</t>
        </is>
      </c>
      <c r="C93" t="inlineStr">
        <is>
          <t>081344333555</t>
        </is>
      </c>
      <c r="D93" t="inlineStr">
        <is>
          <t>cvpusakapapuatengahoss@gmail.com</t>
        </is>
      </c>
      <c r="E93" t="inlineStr">
        <is>
          <t>https://lpjk.pu.go.id/search-badan-usaha-detail/bXZ2aWVPNndJWDNMTHVMTUE1ZlZoQT09</t>
        </is>
      </c>
      <c r="F93" t="n">
        <v>1</v>
      </c>
      <c r="G93" t="inlineStr">
        <is>
          <t>BS001</t>
        </is>
      </c>
      <c r="H93" t="inlineStr">
        <is>
          <t>15 Agustus 2024</t>
        </is>
      </c>
      <c r="I93" s="2" t="n">
        <v>46252</v>
      </c>
      <c r="J93" t="inlineStr">
        <is>
          <t>Pencabutan</t>
        </is>
      </c>
      <c r="K93" t="n">
        <v>60</v>
      </c>
      <c r="L93" t="inlineStr">
        <is>
          <t>18 Agustus 2026</t>
        </is>
      </c>
      <c r="M93" t="inlineStr">
        <is>
          <t>Konstruksi Bangunan Sipil Jalan</t>
        </is>
      </c>
      <c r="N93" t="inlineStr">
        <is>
          <t>K</t>
        </is>
      </c>
      <c r="O93" t="inlineStr">
        <is>
          <t>20230815</t>
        </is>
      </c>
      <c r="P93" t="inlineStr">
        <is>
          <t>Papua Tengah</t>
        </is>
      </c>
      <c r="Q93" t="inlineStr"/>
    </row>
    <row r="94">
      <c r="A94" t="inlineStr">
        <is>
          <t>PUTRA BAHARI ENGINEERING</t>
        </is>
      </c>
      <c r="B94" t="inlineStr">
        <is>
          <t>Kota Palangkaraya</t>
        </is>
      </c>
      <c r="C94" t="inlineStr">
        <is>
          <t>081255635063</t>
        </is>
      </c>
      <c r="D94" t="inlineStr">
        <is>
          <t>putrabahariengineering@gmail.com</t>
        </is>
      </c>
      <c r="E94" t="inlineStr">
        <is>
          <t>https://lpjk.pu.go.id/search-badan-usaha-detail/UHhsRXRZS3R3VzQ4VTQ2N1dJM2phQT09</t>
        </is>
      </c>
      <c r="F94" t="n">
        <v>1</v>
      </c>
      <c r="G94" t="inlineStr">
        <is>
          <t>RK002</t>
        </is>
      </c>
      <c r="H94" t="inlineStr">
        <is>
          <t>16 Februari 2016</t>
        </is>
      </c>
      <c r="I94" s="2" t="n">
        <v>46252</v>
      </c>
      <c r="J94" t="inlineStr">
        <is>
          <t>Disetujui</t>
        </is>
      </c>
      <c r="K94" t="n">
        <v>60</v>
      </c>
      <c r="L94" t="inlineStr">
        <is>
          <t>18 Agustus 2026</t>
        </is>
      </c>
      <c r="M94" t="inlineStr">
        <is>
          <t>Jasa Rekayasa Pekerjaan Teknik Sipil Sumber Daya Air</t>
        </is>
      </c>
      <c r="N94" t="inlineStr">
        <is>
          <t>K</t>
        </is>
      </c>
      <c r="O94" t="inlineStr">
        <is>
          <t>20230414</t>
        </is>
      </c>
      <c r="P94" t="inlineStr">
        <is>
          <t>Kalimantan Tengah</t>
        </is>
      </c>
      <c r="Q94" t="inlineStr"/>
    </row>
    <row r="95">
      <c r="A95" t="inlineStr">
        <is>
          <t>PUTRA TUNGGAL</t>
        </is>
      </c>
      <c r="B95" t="inlineStr">
        <is>
          <t>Kab. Pasangkayu</t>
        </is>
      </c>
      <c r="C95" t="inlineStr">
        <is>
          <t>081243889733</t>
        </is>
      </c>
      <c r="D95" t="inlineStr">
        <is>
          <t>basirhasanuddin7@gmail.com</t>
        </is>
      </c>
      <c r="E95" t="inlineStr">
        <is>
          <t>https://lpjk.pu.go.id/search-badan-usaha-detail/TS9ycGE0bG9pT3lTdUFLOVR0dHBSUT09</t>
        </is>
      </c>
      <c r="F95" t="n">
        <v>1</v>
      </c>
      <c r="G95" t="inlineStr">
        <is>
          <t>BG006</t>
        </is>
      </c>
      <c r="H95" t="inlineStr">
        <is>
          <t>28 April 2006</t>
        </is>
      </c>
      <c r="I95" s="2" t="n">
        <v>46252</v>
      </c>
      <c r="J95" t="inlineStr">
        <is>
          <t>Disetujui</t>
        </is>
      </c>
      <c r="K95" t="n">
        <v>60</v>
      </c>
      <c r="L95" t="inlineStr">
        <is>
          <t>18 Agustus 2026</t>
        </is>
      </c>
      <c r="M95" t="inlineStr">
        <is>
          <t>Konstruksi Gedung Pendidikan</t>
        </is>
      </c>
      <c r="N95" t="inlineStr">
        <is>
          <t>K</t>
        </is>
      </c>
      <c r="O95" t="inlineStr">
        <is>
          <t>20230818</t>
        </is>
      </c>
      <c r="P95" t="inlineStr">
        <is>
          <t>Sulawesi Barat</t>
        </is>
      </c>
      <c r="Q95" t="inlineStr"/>
    </row>
    <row r="96">
      <c r="A96" t="inlineStr">
        <is>
          <t>PUTRI PALLAM</t>
        </is>
      </c>
      <c r="B96" t="inlineStr">
        <is>
          <t>Kota Metro</t>
        </is>
      </c>
      <c r="C96" t="inlineStr">
        <is>
          <t>085284427442</t>
        </is>
      </c>
      <c r="D96" t="inlineStr">
        <is>
          <t>cvputripallam@gmail.com</t>
        </is>
      </c>
      <c r="E96" t="inlineStr">
        <is>
          <t>https://lpjk.pu.go.id/search-badan-usaha-detail/eGhpVFhxeUJHQkh1OFZvY2Vrc1JQdz09</t>
        </is>
      </c>
      <c r="F96" t="n">
        <v>3</v>
      </c>
      <c r="G96" t="inlineStr">
        <is>
          <t>BG009, BS001, BS004</t>
        </is>
      </c>
      <c r="H96" t="inlineStr">
        <is>
          <t>22 November 2016</t>
        </is>
      </c>
      <c r="I96" s="2" t="n">
        <v>46252</v>
      </c>
      <c r="J96" t="inlineStr">
        <is>
          <t>Disetujui</t>
        </is>
      </c>
      <c r="K96" t="n">
        <v>60</v>
      </c>
      <c r="L96" t="inlineStr">
        <is>
          <t>18 Agustus 2026</t>
        </is>
      </c>
      <c r="M96" t="inlineStr">
        <is>
          <t>Konstruksi Bangunan Sipil Jalan, Konstruksi Gedung Lainnya, Konstruksi Jaringan Irigasi dan Drainase</t>
        </is>
      </c>
      <c r="N96" t="inlineStr">
        <is>
          <t>K</t>
        </is>
      </c>
      <c r="O96" t="inlineStr">
        <is>
          <t>20230816</t>
        </is>
      </c>
      <c r="P96" t="inlineStr">
        <is>
          <t>Lampung</t>
        </is>
      </c>
      <c r="Q96" t="inlineStr"/>
    </row>
    <row r="97">
      <c r="A97" t="inlineStr">
        <is>
          <t>RAYANA</t>
        </is>
      </c>
      <c r="B97" t="inlineStr">
        <is>
          <t>Kota Pematangsiantar</t>
        </is>
      </c>
      <c r="C97" t="inlineStr">
        <is>
          <t>081362083651</t>
        </is>
      </c>
      <c r="D97" t="inlineStr">
        <is>
          <t>rayana.cv@yahoo.com</t>
        </is>
      </c>
      <c r="E97" t="inlineStr">
        <is>
          <t>https://lpjk.pu.go.id/search-badan-usaha-detail/RzVEL0FIM2doS2U0K21xU0ttUFFTZz09</t>
        </is>
      </c>
      <c r="F97" t="n">
        <v>1</v>
      </c>
      <c r="G97" t="inlineStr">
        <is>
          <t>BS001</t>
        </is>
      </c>
      <c r="H97" t="inlineStr">
        <is>
          <t>12 November 2008</t>
        </is>
      </c>
      <c r="I97" s="2" t="n">
        <v>46252</v>
      </c>
      <c r="J97" t="inlineStr">
        <is>
          <t>Disetujui</t>
        </is>
      </c>
      <c r="K97" t="n">
        <v>60</v>
      </c>
      <c r="L97" t="inlineStr">
        <is>
          <t>18 Agustus 2026</t>
        </is>
      </c>
      <c r="M97" t="inlineStr">
        <is>
          <t>Konstruksi Bangunan Sipil Jalan</t>
        </is>
      </c>
      <c r="N97" t="inlineStr">
        <is>
          <t>K</t>
        </is>
      </c>
      <c r="O97" t="inlineStr">
        <is>
          <t>20230817</t>
        </is>
      </c>
      <c r="P97" t="inlineStr">
        <is>
          <t>Sumatera Utara</t>
        </is>
      </c>
      <c r="Q97" t="inlineStr"/>
    </row>
    <row r="98">
      <c r="A98" t="inlineStr">
        <is>
          <t>RENRA PRATAMA</t>
        </is>
      </c>
      <c r="B98" t="inlineStr">
        <is>
          <t>Kab. Cirebon</t>
        </is>
      </c>
      <c r="C98" t="inlineStr">
        <is>
          <t>081394449896</t>
        </is>
      </c>
      <c r="D98" t="inlineStr">
        <is>
          <t>irfantogu118@gmail.com</t>
        </is>
      </c>
      <c r="E98" t="inlineStr">
        <is>
          <t>https://lpjk.pu.go.id/search-badan-usaha-detail/MTFReHZaL1Vnem81THByc09lK2xCQT09</t>
        </is>
      </c>
      <c r="F98" t="n">
        <v>2</v>
      </c>
      <c r="G98" t="inlineStr">
        <is>
          <t>BG001, BG004</t>
        </is>
      </c>
      <c r="H98" t="inlineStr">
        <is>
          <t>6 Juli 2020</t>
        </is>
      </c>
      <c r="I98" s="2" t="n">
        <v>46252</v>
      </c>
      <c r="J98" t="inlineStr">
        <is>
          <t>Disetujui</t>
        </is>
      </c>
      <c r="K98" t="n">
        <v>60</v>
      </c>
      <c r="L98" t="inlineStr">
        <is>
          <t>18 Agustus 2026</t>
        </is>
      </c>
      <c r="M98" t="inlineStr">
        <is>
          <t>Konstruksi Gedung Hunian, Konstruksi Gedung Perbelanjaan</t>
        </is>
      </c>
      <c r="N98" t="inlineStr">
        <is>
          <t>K</t>
        </is>
      </c>
      <c r="O98" t="inlineStr">
        <is>
          <t>20230814, 20230816</t>
        </is>
      </c>
      <c r="P98" t="inlineStr">
        <is>
          <t>Jawa Barat</t>
        </is>
      </c>
      <c r="Q98" t="inlineStr"/>
    </row>
    <row r="99">
      <c r="A99" t="inlineStr">
        <is>
          <t>RUMPUN JAYA</t>
        </is>
      </c>
      <c r="B99" t="inlineStr">
        <is>
          <t>Kab. Ngawi</t>
        </is>
      </c>
      <c r="C99" t="inlineStr">
        <is>
          <t>085259358934</t>
        </is>
      </c>
      <c r="D99" t="inlineStr">
        <is>
          <t>rumpunjaya@yahoo.com</t>
        </is>
      </c>
      <c r="E99" t="inlineStr">
        <is>
          <t>https://lpjk.pu.go.id/search-badan-usaha-detail/K0kvUzJ0YUNOdmhMU0RlVEV4bm0rZz09</t>
        </is>
      </c>
      <c r="F99" t="n">
        <v>1</v>
      </c>
      <c r="G99" t="inlineStr">
        <is>
          <t>BS001</t>
        </is>
      </c>
      <c r="H99" t="inlineStr">
        <is>
          <t>29 September 1988</t>
        </is>
      </c>
      <c r="I99" s="2" t="n">
        <v>46252</v>
      </c>
      <c r="J99" t="inlineStr">
        <is>
          <t>Pencabutan</t>
        </is>
      </c>
      <c r="K99" t="n">
        <v>60</v>
      </c>
      <c r="L99" t="inlineStr">
        <is>
          <t>18 Agustus 2026</t>
        </is>
      </c>
      <c r="M99" t="inlineStr">
        <is>
          <t>Konstruksi Bangunan Sipil Jalan</t>
        </is>
      </c>
      <c r="N99" t="inlineStr">
        <is>
          <t>K</t>
        </is>
      </c>
      <c r="O99" t="inlineStr">
        <is>
          <t>20230814</t>
        </is>
      </c>
      <c r="P99" t="inlineStr">
        <is>
          <t>Jawa Timur</t>
        </is>
      </c>
      <c r="Q99" t="inlineStr"/>
    </row>
    <row r="100">
      <c r="A100" t="inlineStr">
        <is>
          <t>SADHYA GRAHACARA</t>
        </is>
      </c>
      <c r="B100" t="inlineStr">
        <is>
          <t>Kota Bandung</t>
        </is>
      </c>
      <c r="C100" t="inlineStr">
        <is>
          <t>081220275882</t>
        </is>
      </c>
      <c r="D100" t="inlineStr">
        <is>
          <t>sadhya.grahacara21@gmail.com</t>
        </is>
      </c>
      <c r="E100" t="inlineStr">
        <is>
          <t>https://lpjk.pu.go.id/search-badan-usaha-detail/bGRiL2JOV1FrdzR2Yk13eFNTZFBUVVNXaVBuSHdYTHQrQ1VYVWdvZnh1QT0</t>
        </is>
      </c>
      <c r="F100" t="n">
        <v>1</v>
      </c>
      <c r="G100" t="inlineStr">
        <is>
          <t>AL002</t>
        </is>
      </c>
      <c r="H100" t="inlineStr">
        <is>
          <t>19 April 1989</t>
        </is>
      </c>
      <c r="I100" s="2" t="n">
        <v>46252</v>
      </c>
      <c r="J100" t="inlineStr">
        <is>
          <t>Disetujui</t>
        </is>
      </c>
      <c r="K100" t="n">
        <v>60</v>
      </c>
      <c r="L100" t="inlineStr">
        <is>
          <t>18 Agustus 2026</t>
        </is>
      </c>
      <c r="M100" t="inlineStr">
        <is>
          <t>Jasa Pengembangan Wilayah</t>
        </is>
      </c>
      <c r="N100" t="inlineStr">
        <is>
          <t>K</t>
        </is>
      </c>
      <c r="O100" t="inlineStr">
        <is>
          <t>20230808</t>
        </is>
      </c>
      <c r="P100" t="inlineStr">
        <is>
          <t>Jawa Barat</t>
        </is>
      </c>
      <c r="Q100" t="inlineStr"/>
    </row>
    <row r="101">
      <c r="A101" t="inlineStr">
        <is>
          <t>SADHYA GRAHACARA</t>
        </is>
      </c>
      <c r="B101" t="inlineStr">
        <is>
          <t>Kota Bandung</t>
        </is>
      </c>
      <c r="C101" t="inlineStr">
        <is>
          <t>081220028555</t>
        </is>
      </c>
      <c r="D101" t="inlineStr">
        <is>
          <t>sadhya.grahacara21@gmail.com</t>
        </is>
      </c>
      <c r="E101" t="inlineStr">
        <is>
          <t>https://lpjk.pu.go.id/search-badan-usaha-detail/S3ZaYjdiaTVSa2ZSbFcxUy9aM0FnUT09</t>
        </is>
      </c>
      <c r="F101" t="n">
        <v>1</v>
      </c>
      <c r="G101" t="inlineStr">
        <is>
          <t>AL004</t>
        </is>
      </c>
      <c r="H101" t="inlineStr">
        <is>
          <t>19 April 1989</t>
        </is>
      </c>
      <c r="I101" s="2" t="n">
        <v>46252</v>
      </c>
      <c r="J101" t="inlineStr">
        <is>
          <t>Disetujui</t>
        </is>
      </c>
      <c r="K101" t="n">
        <v>60</v>
      </c>
      <c r="L101" t="inlineStr">
        <is>
          <t>18 Agustus 2026</t>
        </is>
      </c>
      <c r="M101" t="inlineStr">
        <is>
          <t>Jasa Pengembangan Lingkungan Bangunan dan Lanskap</t>
        </is>
      </c>
      <c r="N101" t="inlineStr">
        <is>
          <t>K</t>
        </is>
      </c>
      <c r="O101" t="inlineStr">
        <is>
          <t>20230808</t>
        </is>
      </c>
      <c r="P101" t="inlineStr">
        <is>
          <t>Jawa Barat</t>
        </is>
      </c>
      <c r="Q101" t="inlineStr"/>
    </row>
    <row r="102">
      <c r="A102" t="inlineStr">
        <is>
          <t>SENTOSA LIFE</t>
        </is>
      </c>
      <c r="B102" t="inlineStr">
        <is>
          <t>Kab. Landak</t>
        </is>
      </c>
      <c r="C102" t="inlineStr">
        <is>
          <t>081230266421</t>
        </is>
      </c>
      <c r="D102" t="inlineStr">
        <is>
          <t>handekanelson1@gmail.com</t>
        </is>
      </c>
      <c r="E102" t="inlineStr">
        <is>
          <t>https://lpjk.pu.go.id/search-badan-usaha-detail/bnhsRVAxVWtMZnpFeENHVkY1US9WUT09</t>
        </is>
      </c>
      <c r="F102" t="n">
        <v>2</v>
      </c>
      <c r="G102" t="inlineStr">
        <is>
          <t>BG005, BG009</t>
        </is>
      </c>
      <c r="H102" t="inlineStr">
        <is>
          <t>29 Desember 2015</t>
        </is>
      </c>
      <c r="I102" s="2" t="n">
        <v>46252</v>
      </c>
      <c r="J102" t="inlineStr">
        <is>
          <t>Disetujui</t>
        </is>
      </c>
      <c r="K102" t="n">
        <v>60</v>
      </c>
      <c r="L102" t="inlineStr">
        <is>
          <t>18 Agustus 2026</t>
        </is>
      </c>
      <c r="M102" t="inlineStr">
        <is>
          <t>Konstruksi Gedung Kesehatan, Konstruksi Gedung Lainnya</t>
        </is>
      </c>
      <c r="N102" t="inlineStr">
        <is>
          <t>K</t>
        </is>
      </c>
      <c r="O102" t="inlineStr">
        <is>
          <t>20230717, 20230818</t>
        </is>
      </c>
      <c r="P102" t="inlineStr">
        <is>
          <t>Kalimantan Barat</t>
        </is>
      </c>
      <c r="Q102" t="inlineStr"/>
    </row>
    <row r="103">
      <c r="A103" t="inlineStr">
        <is>
          <t>SENTRA BIRAMA ABADI</t>
        </is>
      </c>
      <c r="B103" t="inlineStr">
        <is>
          <t>Kota Payakumbuh</t>
        </is>
      </c>
      <c r="C103" t="inlineStr">
        <is>
          <t>0811663685</t>
        </is>
      </c>
      <c r="D103" t="inlineStr">
        <is>
          <t>sentrabiramaabadi@gmail.com</t>
        </is>
      </c>
      <c r="E103" t="inlineStr">
        <is>
          <t>https://lpjk.pu.go.id/search-badan-usaha-detail/N1E2YnRlY3czQUtScEJ0aGtEMGoxUT09</t>
        </is>
      </c>
      <c r="F103" t="n">
        <v>3</v>
      </c>
      <c r="G103" t="inlineStr">
        <is>
          <t>BG005, BG009, BS001</t>
        </is>
      </c>
      <c r="H103" t="inlineStr">
        <is>
          <t>27 Juli 2023</t>
        </is>
      </c>
      <c r="I103" s="2" t="n">
        <v>46252</v>
      </c>
      <c r="J103" t="inlineStr">
        <is>
          <t>Disetujui</t>
        </is>
      </c>
      <c r="K103" t="n">
        <v>60</v>
      </c>
      <c r="L103" t="inlineStr">
        <is>
          <t>18 Agustus 2026</t>
        </is>
      </c>
      <c r="M103" t="inlineStr">
        <is>
          <t>Konstruksi Bangunan Sipil Jalan, Konstruksi Gedung Kesehatan, Konstruksi Gedung Lainnya</t>
        </is>
      </c>
      <c r="N103" t="inlineStr">
        <is>
          <t>K</t>
        </is>
      </c>
      <c r="O103" t="inlineStr">
        <is>
          <t>20230818</t>
        </is>
      </c>
      <c r="P103" t="inlineStr">
        <is>
          <t>Sumatera Barat</t>
        </is>
      </c>
      <c r="Q103" t="inlineStr"/>
    </row>
    <row r="104">
      <c r="A104" t="inlineStr">
        <is>
          <t>SHAFIR WIRA SEJAHTERA</t>
        </is>
      </c>
      <c r="B104" t="inlineStr">
        <is>
          <t>Kab. Lamongan</t>
        </is>
      </c>
      <c r="C104" t="inlineStr">
        <is>
          <t>081334333081</t>
        </is>
      </c>
      <c r="D104" t="inlineStr">
        <is>
          <t>cv_shafirwirasejahtera@yahoo.com</t>
        </is>
      </c>
      <c r="E104" t="inlineStr">
        <is>
          <t>https://lpjk.pu.go.id/search-badan-usaha-detail/THJYOHNYd2FsMjBxenJ6RmJUWUtEUT09</t>
        </is>
      </c>
      <c r="F104" t="n">
        <v>1</v>
      </c>
      <c r="G104" t="inlineStr">
        <is>
          <t>BG009</t>
        </is>
      </c>
      <c r="H104" t="inlineStr">
        <is>
          <t>13 Maret 2017</t>
        </is>
      </c>
      <c r="I104" s="2" t="n">
        <v>46252</v>
      </c>
      <c r="J104" t="inlineStr">
        <is>
          <t>Disetujui</t>
        </is>
      </c>
      <c r="K104" t="n">
        <v>60</v>
      </c>
      <c r="L104" t="inlineStr">
        <is>
          <t>18 Agustus 2026</t>
        </is>
      </c>
      <c r="M104" t="inlineStr">
        <is>
          <t>Konstruksi Gedung Lainnya</t>
        </is>
      </c>
      <c r="N104" t="inlineStr">
        <is>
          <t>K</t>
        </is>
      </c>
      <c r="O104" t="inlineStr">
        <is>
          <t>20230726</t>
        </is>
      </c>
      <c r="P104" t="inlineStr">
        <is>
          <t>Jawa Timur</t>
        </is>
      </c>
      <c r="Q104" t="inlineStr"/>
    </row>
    <row r="105">
      <c r="A105" t="inlineStr">
        <is>
          <t>SINAR TEKNIK</t>
        </is>
      </c>
      <c r="B105" t="inlineStr">
        <is>
          <t>Kab. Kapuas Hulu</t>
        </is>
      </c>
      <c r="C105" t="inlineStr">
        <is>
          <t>082255811518</t>
        </is>
      </c>
      <c r="D105" t="inlineStr">
        <is>
          <t>sinarteknik.pts@gmail.com</t>
        </is>
      </c>
      <c r="E105" t="inlineStr">
        <is>
          <t>https://lpjk.pu.go.id/search-badan-usaha-detail/Q295enNyNzdFNVY1blMvd2FJc29WZz09</t>
        </is>
      </c>
      <c r="F105" t="n">
        <v>1</v>
      </c>
      <c r="G105" t="inlineStr">
        <is>
          <t>BG009</t>
        </is>
      </c>
      <c r="H105" t="inlineStr">
        <is>
          <t>23 April 2008</t>
        </is>
      </c>
      <c r="I105" s="2" t="n">
        <v>46252</v>
      </c>
      <c r="J105" t="inlineStr">
        <is>
          <t>Disetujui</t>
        </is>
      </c>
      <c r="K105" t="n">
        <v>60</v>
      </c>
      <c r="L105" t="inlineStr">
        <is>
          <t>18 Agustus 2026</t>
        </is>
      </c>
      <c r="M105" t="inlineStr">
        <is>
          <t>Konstruksi Gedung Lainnya</t>
        </is>
      </c>
      <c r="N105" t="inlineStr">
        <is>
          <t>K</t>
        </is>
      </c>
      <c r="O105" t="inlineStr">
        <is>
          <t>20230814</t>
        </is>
      </c>
      <c r="P105" t="inlineStr">
        <is>
          <t>Kalimantan Barat</t>
        </is>
      </c>
      <c r="Q105" t="inlineStr"/>
    </row>
    <row r="106">
      <c r="A106" t="inlineStr">
        <is>
          <t>STAR MOON</t>
        </is>
      </c>
      <c r="B106" t="inlineStr">
        <is>
          <t>Kab. Tangerang</t>
        </is>
      </c>
      <c r="C106" t="inlineStr">
        <is>
          <t>021</t>
        </is>
      </c>
      <c r="D106" t="inlineStr">
        <is>
          <t>deckytrisna@gmail.com</t>
        </is>
      </c>
      <c r="E106" t="inlineStr">
        <is>
          <t>https://lpjk.pu.go.id/search-badan-usaha-detail/NFJMbkwwWlRaaHBJQVYwWUdCMU5sUT09</t>
        </is>
      </c>
      <c r="F106" t="n">
        <v>1</v>
      </c>
      <c r="G106" t="inlineStr">
        <is>
          <t>BS002</t>
        </is>
      </c>
      <c r="H106" t="inlineStr">
        <is>
          <t>5 Januari 2007</t>
        </is>
      </c>
      <c r="I106" s="2" t="n">
        <v>46252</v>
      </c>
      <c r="J106" t="inlineStr">
        <is>
          <t>Disetujui</t>
        </is>
      </c>
      <c r="K106" t="n">
        <v>60</v>
      </c>
      <c r="L106" t="inlineStr">
        <is>
          <t>18 Agustus 2026</t>
        </is>
      </c>
      <c r="M106" t="inlineStr">
        <is>
          <t>Bangunan Sipil Jembatan, Jalan Layang, Fly Over, dan Underpass</t>
        </is>
      </c>
      <c r="N106" t="inlineStr">
        <is>
          <t>K</t>
        </is>
      </c>
      <c r="O106" t="inlineStr">
        <is>
          <t>20230621</t>
        </is>
      </c>
      <c r="P106" t="inlineStr">
        <is>
          <t>Banten</t>
        </is>
      </c>
      <c r="Q106" t="inlineStr"/>
    </row>
    <row r="107">
      <c r="A107" t="inlineStr">
        <is>
          <t>SUMBER SETIA ABADI</t>
        </is>
      </c>
      <c r="B107" t="inlineStr">
        <is>
          <t>Kota Adm. Jakarta Barat</t>
        </is>
      </c>
      <c r="C107" t="inlineStr">
        <is>
          <t>0215601078</t>
        </is>
      </c>
      <c r="D107" t="inlineStr">
        <is>
          <t>ssatomang@gmail.com</t>
        </is>
      </c>
      <c r="E107" t="inlineStr">
        <is>
          <t>https://lpjk.pu.go.id/search-badan-usaha-detail/ejBvYjhZcDVLRk5jWmRrRU9qUUdQUT09</t>
        </is>
      </c>
      <c r="F107" t="n">
        <v>1</v>
      </c>
      <c r="G107" t="inlineStr">
        <is>
          <t>PB004</t>
        </is>
      </c>
      <c r="H107" t="inlineStr">
        <is>
          <t>18 Januari 1977</t>
        </is>
      </c>
      <c r="I107" s="2" t="n">
        <v>46252</v>
      </c>
      <c r="J107" t="inlineStr">
        <is>
          <t>Disetujui</t>
        </is>
      </c>
      <c r="K107" t="n">
        <v>60</v>
      </c>
      <c r="L107" t="inlineStr">
        <is>
          <t>18 Agustus 2026</t>
        </is>
      </c>
      <c r="M107" t="inlineStr">
        <is>
          <t>Dekorasi Interior</t>
        </is>
      </c>
      <c r="N107" t="inlineStr">
        <is>
          <t>Spesialis</t>
        </is>
      </c>
      <c r="O107" t="inlineStr">
        <is>
          <t>20230807</t>
        </is>
      </c>
      <c r="P107" t="inlineStr">
        <is>
          <t>DKI Jakarta</t>
        </is>
      </c>
      <c r="Q107" t="inlineStr"/>
    </row>
    <row r="108">
      <c r="A108" t="inlineStr">
        <is>
          <t>TIGA DZ BERSAUDARA</t>
        </is>
      </c>
      <c r="B108" t="inlineStr">
        <is>
          <t>Kab. Kampar</t>
        </is>
      </c>
      <c r="C108" t="inlineStr">
        <is>
          <t>082172737146</t>
        </is>
      </c>
      <c r="D108" t="inlineStr">
        <is>
          <t>cvtigadzbersaudara@gmail.com</t>
        </is>
      </c>
      <c r="E108" t="inlineStr">
        <is>
          <t>https://lpjk.pu.go.id/search-badan-usaha-detail/bnFZVFV1QkdlampPbXM2Zkw2WENjQT09</t>
        </is>
      </c>
      <c r="F108" t="n">
        <v>1</v>
      </c>
      <c r="G108" t="inlineStr">
        <is>
          <t>BG009</t>
        </is>
      </c>
      <c r="H108" t="inlineStr">
        <is>
          <t>16 Januari 2024</t>
        </is>
      </c>
      <c r="I108" s="2" t="n">
        <v>46252</v>
      </c>
      <c r="J108" t="inlineStr">
        <is>
          <t>Disetujui</t>
        </is>
      </c>
      <c r="K108" t="n">
        <v>60</v>
      </c>
      <c r="L108" t="inlineStr">
        <is>
          <t>18 Agustus 2026</t>
        </is>
      </c>
      <c r="M108" t="inlineStr">
        <is>
          <t>Konstruksi Gedung Lainnya</t>
        </is>
      </c>
      <c r="N108" t="inlineStr">
        <is>
          <t>K</t>
        </is>
      </c>
      <c r="O108" t="inlineStr">
        <is>
          <t>20230812</t>
        </is>
      </c>
      <c r="P108" t="inlineStr">
        <is>
          <t>Riau</t>
        </is>
      </c>
      <c r="Q108" t="inlineStr"/>
    </row>
    <row r="109">
      <c r="A109" t="inlineStr">
        <is>
          <t>TIGA TITIK CONSULTANT</t>
        </is>
      </c>
      <c r="B109" t="inlineStr">
        <is>
          <t>Kab. Lombok Barat</t>
        </is>
      </c>
      <c r="C109" t="inlineStr">
        <is>
          <t>081803718688</t>
        </is>
      </c>
      <c r="D109" t="inlineStr">
        <is>
          <t>tigatitikconsultant@gmail.com</t>
        </is>
      </c>
      <c r="E109" t="inlineStr">
        <is>
          <t>https://lpjk.pu.go.id/search-badan-usaha-detail/WDliVUN0V09XcUtQZlBRS3M5b0djZz09</t>
        </is>
      </c>
      <c r="F109" t="n">
        <v>1</v>
      </c>
      <c r="G109" t="inlineStr">
        <is>
          <t>RK001</t>
        </is>
      </c>
      <c r="H109" t="inlineStr">
        <is>
          <t>17 Desember 2021</t>
        </is>
      </c>
      <c r="I109" s="2" t="n">
        <v>46252</v>
      </c>
      <c r="J109" t="inlineStr">
        <is>
          <t>Disetujui</t>
        </is>
      </c>
      <c r="K109" t="n">
        <v>60</v>
      </c>
      <c r="L109" t="inlineStr">
        <is>
          <t>18 Agustus 2026</t>
        </is>
      </c>
      <c r="M109" t="inlineStr">
        <is>
          <t>Jasa Rekayasa Konstruksi Bangunan Gedung Hunian dan Non Hunian</t>
        </is>
      </c>
      <c r="N109" t="inlineStr">
        <is>
          <t>K</t>
        </is>
      </c>
      <c r="O109" t="inlineStr">
        <is>
          <t>20230807</t>
        </is>
      </c>
      <c r="P109" t="inlineStr">
        <is>
          <t>Nusa Tenggara Barat</t>
        </is>
      </c>
      <c r="Q109" t="inlineStr"/>
    </row>
    <row r="110">
      <c r="A110" t="inlineStr">
        <is>
          <t>TIRTA SARANA MULIA TECHNOLOGY</t>
        </is>
      </c>
      <c r="B110" t="inlineStr">
        <is>
          <t>Kota Surabaya</t>
        </is>
      </c>
      <c r="C110" t="inlineStr">
        <is>
          <t>0315997686</t>
        </is>
      </c>
      <c r="D110" t="inlineStr">
        <is>
          <t>pt.tsmt@gmail.com</t>
        </is>
      </c>
      <c r="E110" t="inlineStr">
        <is>
          <t>https://lpjk.pu.go.id/search-badan-usaha-detail/UHMxYUUrZzBNRVpwRmROMkJUMFlKSmYzaEh5UGdBYXRhV2kwK1BkZTd2MD0</t>
        </is>
      </c>
      <c r="F110" t="n">
        <v>1</v>
      </c>
      <c r="G110" t="inlineStr">
        <is>
          <t>BS010</t>
        </is>
      </c>
      <c r="H110" t="inlineStr">
        <is>
          <t>7 Juni 2023</t>
        </is>
      </c>
      <c r="I110" s="2" t="n">
        <v>46252</v>
      </c>
      <c r="J110" t="inlineStr">
        <is>
          <t>Disetujui</t>
        </is>
      </c>
      <c r="K110" t="n">
        <v>60</v>
      </c>
      <c r="L110" t="inlineStr">
        <is>
          <t>18 Agustus 2026</t>
        </is>
      </c>
      <c r="M110" t="inlineStr">
        <is>
          <t>Konstruksi Bangunan Prasarana Sumber Daya Air</t>
        </is>
      </c>
      <c r="N110" t="inlineStr">
        <is>
          <t>M</t>
        </is>
      </c>
      <c r="O110" t="inlineStr">
        <is>
          <t>20230818</t>
        </is>
      </c>
      <c r="P110" t="inlineStr">
        <is>
          <t>Jawa Timur</t>
        </is>
      </c>
      <c r="Q110" t="inlineStr"/>
    </row>
    <row r="111">
      <c r="A111" t="inlineStr">
        <is>
          <t>TRI DAYA MAXIMA</t>
        </is>
      </c>
      <c r="B111" t="inlineStr">
        <is>
          <t>Kota Adm. Jakarta Selatan</t>
        </is>
      </c>
      <c r="C111" t="inlineStr">
        <is>
          <t>02186865309</t>
        </is>
      </c>
      <c r="D111" t="inlineStr">
        <is>
          <t>tridayamaxima@gmail.com</t>
        </is>
      </c>
      <c r="E111" t="inlineStr">
        <is>
          <t>https://lpjk.pu.go.id/search-badan-usaha-detail/NTh1WStDbloxMmJCMTZEa3JpRFQ4Zz09</t>
        </is>
      </c>
      <c r="F111" t="n">
        <v>1</v>
      </c>
      <c r="G111" t="inlineStr">
        <is>
          <t>IN003</t>
        </is>
      </c>
      <c r="H111" t="inlineStr">
        <is>
          <t>15 Maret 2013</t>
        </is>
      </c>
      <c r="I111" s="2" t="n">
        <v>46252</v>
      </c>
      <c r="J111" t="inlineStr">
        <is>
          <t>Pembekuan</t>
        </is>
      </c>
      <c r="K111" t="n">
        <v>60</v>
      </c>
      <c r="L111" t="inlineStr">
        <is>
          <t>18 Agustus 2026</t>
        </is>
      </c>
      <c r="M111" t="inlineStr">
        <is>
          <t>Instalasi Peralatan Infrastruktur Pertambangan dan Manufaktur</t>
        </is>
      </c>
      <c r="N111" t="inlineStr">
        <is>
          <t>Spesialis</t>
        </is>
      </c>
      <c r="O111" t="inlineStr">
        <is>
          <t>20230804</t>
        </is>
      </c>
      <c r="P111" t="inlineStr">
        <is>
          <t>DKI Jakarta</t>
        </is>
      </c>
      <c r="Q111" t="inlineStr"/>
    </row>
    <row r="112">
      <c r="A112" t="inlineStr">
        <is>
          <t>TRI SATYA PRATAMA</t>
        </is>
      </c>
      <c r="B112" t="inlineStr">
        <is>
          <t>-</t>
        </is>
      </c>
      <c r="C112" t="inlineStr">
        <is>
          <t>082284021651</t>
        </is>
      </c>
      <c r="D112" t="inlineStr">
        <is>
          <t>-</t>
        </is>
      </c>
      <c r="E112" t="inlineStr">
        <is>
          <t>https://lpjk.pu.go.id/search-badan-usaha-detail/UDBiNDNXSkpnRGsxQVJTUStBaUxidz09</t>
        </is>
      </c>
      <c r="F112" t="n">
        <v>5</v>
      </c>
      <c r="G112" t="inlineStr">
        <is>
          <t>BS007, BS008, BS009</t>
        </is>
      </c>
      <c r="H112" t="inlineStr">
        <is>
          <t>13 September 2019</t>
        </is>
      </c>
      <c r="I112" s="2" t="n">
        <v>46252</v>
      </c>
      <c r="J112" t="inlineStr">
        <is>
          <t>Disetujui</t>
        </is>
      </c>
      <c r="K112" t="n">
        <v>60</v>
      </c>
      <c r="L112" t="inlineStr">
        <is>
          <t>18 Agustus 2026</t>
        </is>
      </c>
      <c r="M112" t="inlineStr">
        <is>
          <t>Konstruksi Bangunan Sipil Elektrikal, Konstruksi Bangunan Sipil Telekomunikasi untuk Prasarana Transportasi, Konstruksi Sentral Telekomunikasi</t>
        </is>
      </c>
      <c r="N112" t="inlineStr">
        <is>
          <t>K</t>
        </is>
      </c>
      <c r="O112" t="inlineStr">
        <is>
          <t>20230818</t>
        </is>
      </c>
      <c r="P112" t="inlineStr">
        <is>
          <t>Riau</t>
        </is>
      </c>
      <c r="Q112" t="inlineStr"/>
    </row>
    <row r="113">
      <c r="A113" t="inlineStr">
        <is>
          <t>TRIAS ERISKO KONSULTAN</t>
        </is>
      </c>
      <c r="B113" t="inlineStr">
        <is>
          <t>Kota Pontianak</t>
        </is>
      </c>
      <c r="C113" t="inlineStr">
        <is>
          <t>0561-8103451</t>
        </is>
      </c>
      <c r="D113" t="inlineStr">
        <is>
          <t>pt_triaseriskokonsultan@yahoo.co.id</t>
        </is>
      </c>
      <c r="E113" t="inlineStr">
        <is>
          <t>https://lpjk.pu.go.id/search-badan-usaha-detail/Qk0xcm9nMi80cllKMGszZFlTaGl0eXk3ejVCWjgxazJsV3Qrck9VNkltdz0</t>
        </is>
      </c>
      <c r="F113" t="n">
        <v>2</v>
      </c>
      <c r="G113" t="inlineStr">
        <is>
          <t>AR001</t>
        </is>
      </c>
      <c r="H113" t="inlineStr">
        <is>
          <t>10 November 2021</t>
        </is>
      </c>
      <c r="I113" s="2" t="n">
        <v>46252</v>
      </c>
      <c r="J113" t="inlineStr">
        <is>
          <t>Verifikasi Pembayaran</t>
        </is>
      </c>
      <c r="K113" t="n">
        <v>60</v>
      </c>
      <c r="L113" t="inlineStr">
        <is>
          <t>18 Agustus 2026</t>
        </is>
      </c>
      <c r="M113" t="inlineStr">
        <is>
          <t>Jasa Arsitektural Bangunan Gedung Hunian dan Non Hunian</t>
        </is>
      </c>
      <c r="N113" t="inlineStr">
        <is>
          <t>K</t>
        </is>
      </c>
      <c r="O113" t="inlineStr">
        <is>
          <t>20230714</t>
        </is>
      </c>
      <c r="P113" t="inlineStr">
        <is>
          <t>Kalimantan Barat</t>
        </is>
      </c>
      <c r="Q113" t="inlineStr"/>
    </row>
    <row r="114">
      <c r="A114" t="inlineStr">
        <is>
          <t>UNGGUL</t>
        </is>
      </c>
      <c r="B114" t="inlineStr">
        <is>
          <t>Kab. Situbondo</t>
        </is>
      </c>
      <c r="C114" t="inlineStr">
        <is>
          <t>082140591454</t>
        </is>
      </c>
      <c r="D114" t="inlineStr">
        <is>
          <t>lsbugkb3512@gmail.com</t>
        </is>
      </c>
      <c r="E114" t="inlineStr">
        <is>
          <t>https://lpjk.pu.go.id/search-badan-usaha-detail/dWNodU04dU5Bakl2N05jaGhzY24vUT09</t>
        </is>
      </c>
      <c r="F114" t="n">
        <v>2</v>
      </c>
      <c r="G114" t="inlineStr">
        <is>
          <t>BG002, BG006</t>
        </is>
      </c>
      <c r="H114" t="inlineStr">
        <is>
          <t>24 Januari 2002</t>
        </is>
      </c>
      <c r="I114" s="2" t="n">
        <v>46252</v>
      </c>
      <c r="J114" t="inlineStr">
        <is>
          <t>Disetujui</t>
        </is>
      </c>
      <c r="K114" t="n">
        <v>60</v>
      </c>
      <c r="L114" t="inlineStr">
        <is>
          <t>18 Agustus 2026</t>
        </is>
      </c>
      <c r="M114" t="inlineStr">
        <is>
          <t>Konstruksi Gedung Pendidikan, Konstruksi Gedung Perkantoran</t>
        </is>
      </c>
      <c r="N114" t="inlineStr">
        <is>
          <t>K</t>
        </is>
      </c>
      <c r="O114" t="inlineStr">
        <is>
          <t>20230815</t>
        </is>
      </c>
      <c r="P114" t="inlineStr">
        <is>
          <t>Jawa Timur</t>
        </is>
      </c>
      <c r="Q114" t="inlineStr"/>
    </row>
    <row r="115">
      <c r="A115" t="inlineStr">
        <is>
          <t>WAHANA MULTIKARYA CONSULTAN</t>
        </is>
      </c>
      <c r="B115" t="inlineStr">
        <is>
          <t>Kota Sorong</t>
        </is>
      </c>
      <c r="C115" t="inlineStr">
        <is>
          <t>081248485555</t>
        </is>
      </c>
      <c r="D115" t="inlineStr">
        <is>
          <t>cv.wahanamultikaryaconsultan@yahoo.co.id</t>
        </is>
      </c>
      <c r="E115" t="inlineStr">
        <is>
          <t>https://lpjk.pu.go.id/search-badan-usaha-detail/TGdnN2thNU5kQkp1YlJzQkJ5Mkttdz09</t>
        </is>
      </c>
      <c r="F115" t="n">
        <v>1</v>
      </c>
      <c r="G115" t="inlineStr">
        <is>
          <t>RK002</t>
        </is>
      </c>
      <c r="H115" t="inlineStr">
        <is>
          <t>2 Februari 2007</t>
        </is>
      </c>
      <c r="I115" s="2" t="n">
        <v>46252</v>
      </c>
      <c r="J115" t="inlineStr">
        <is>
          <t>Disetujui</t>
        </is>
      </c>
      <c r="K115" t="n">
        <v>60</v>
      </c>
      <c r="L115" t="inlineStr">
        <is>
          <t>18 Agustus 2026</t>
        </is>
      </c>
      <c r="M115" t="inlineStr">
        <is>
          <t>Jasa Rekayasa Pekerjaan Teknik Sipil Sumber Daya Air</t>
        </is>
      </c>
      <c r="N115" t="inlineStr">
        <is>
          <t>K</t>
        </is>
      </c>
      <c r="O115" t="inlineStr">
        <is>
          <t>20230807</t>
        </is>
      </c>
      <c r="P115" t="inlineStr">
        <is>
          <t>Papua Barat</t>
        </is>
      </c>
      <c r="Q115" t="inlineStr"/>
    </row>
    <row r="116">
      <c r="A116" t="inlineStr">
        <is>
          <t>WIJA KARYA</t>
        </is>
      </c>
      <c r="B116" t="inlineStr">
        <is>
          <t>Kota Denpasar</t>
        </is>
      </c>
      <c r="C116" t="inlineStr">
        <is>
          <t>081236169881</t>
        </is>
      </c>
      <c r="D116" t="inlineStr">
        <is>
          <t>wijakarya2011@yahoo.com</t>
        </is>
      </c>
      <c r="E116" t="inlineStr">
        <is>
          <t>https://lpjk.pu.go.id/search-badan-usaha-detail/NzBibDNSQTE3Nkc2SStCbmpuNDhIdz09</t>
        </is>
      </c>
      <c r="F116" t="n">
        <v>1</v>
      </c>
      <c r="G116" t="inlineStr">
        <is>
          <t>BS004</t>
        </is>
      </c>
      <c r="H116" t="inlineStr">
        <is>
          <t>14 November 2011</t>
        </is>
      </c>
      <c r="I116" s="2" t="n">
        <v>46252</v>
      </c>
      <c r="J116" t="inlineStr">
        <is>
          <t>Disetujui</t>
        </is>
      </c>
      <c r="K116" t="n">
        <v>60</v>
      </c>
      <c r="L116" t="inlineStr">
        <is>
          <t>18 Agustus 2026</t>
        </is>
      </c>
      <c r="M116" t="inlineStr">
        <is>
          <t>Konstruksi Jaringan Irigasi dan Drainase</t>
        </is>
      </c>
      <c r="N116" t="inlineStr">
        <is>
          <t>K</t>
        </is>
      </c>
      <c r="O116" t="inlineStr">
        <is>
          <t>20230704</t>
        </is>
      </c>
      <c r="P116" t="inlineStr">
        <is>
          <t>Bali</t>
        </is>
      </c>
      <c r="Q116" t="inlineStr"/>
    </row>
    <row r="117">
      <c r="A117" t="inlineStr">
        <is>
          <t>WIJAYA UTAMA BALI</t>
        </is>
      </c>
      <c r="B117" t="inlineStr">
        <is>
          <t>Kab. Badung</t>
        </is>
      </c>
      <c r="C117" t="inlineStr">
        <is>
          <t>082247233100</t>
        </is>
      </c>
      <c r="D117" t="inlineStr">
        <is>
          <t>wijayautama2405@gmail.com</t>
        </is>
      </c>
      <c r="E117" t="inlineStr">
        <is>
          <t>https://lpjk.pu.go.id/search-badan-usaha-detail/TCtJc1ZtZ3pDYVl5Y1dwUFNOVVRDQT09</t>
        </is>
      </c>
      <c r="F117" t="n">
        <v>4</v>
      </c>
      <c r="G117" t="inlineStr">
        <is>
          <t>BS001, BS004</t>
        </is>
      </c>
      <c r="H117" t="inlineStr">
        <is>
          <t>28 April 2023</t>
        </is>
      </c>
      <c r="I117" s="2" t="n">
        <v>46252</v>
      </c>
      <c r="J117" t="inlineStr">
        <is>
          <t>Pencabutan</t>
        </is>
      </c>
      <c r="K117" t="n">
        <v>60</v>
      </c>
      <c r="L117" t="inlineStr">
        <is>
          <t>18 Agustus 2026</t>
        </is>
      </c>
      <c r="M117" t="inlineStr">
        <is>
          <t>Konstruksi Bangunan Sipil Jalan, Konstruksi Jaringan Irigasi dan Drainase</t>
        </is>
      </c>
      <c r="N117" t="inlineStr">
        <is>
          <t>K</t>
        </is>
      </c>
      <c r="O117" t="inlineStr">
        <is>
          <t>20230815</t>
        </is>
      </c>
      <c r="P117" t="inlineStr">
        <is>
          <t>Bali</t>
        </is>
      </c>
      <c r="Q117" t="inlineStr"/>
    </row>
    <row r="118">
      <c r="A118" t="inlineStr">
        <is>
          <t>YUDA PUTRA PERKASA</t>
        </is>
      </c>
      <c r="B118" t="inlineStr">
        <is>
          <t>Kab. Tuban</t>
        </is>
      </c>
      <c r="C118" t="inlineStr">
        <is>
          <t>08125938197</t>
        </is>
      </c>
      <c r="D118" t="inlineStr">
        <is>
          <t>cv.yudaputraperkasa000@gmail.com</t>
        </is>
      </c>
      <c r="E118" t="inlineStr">
        <is>
          <t>https://lpjk.pu.go.id/search-badan-usaha-detail/RW92NEp6OGxITmVBKzF6azg3N3M3UT09</t>
        </is>
      </c>
      <c r="F118" t="n">
        <v>2</v>
      </c>
      <c r="G118" t="inlineStr">
        <is>
          <t>BS001, BS004</t>
        </is>
      </c>
      <c r="H118" t="inlineStr">
        <is>
          <t>12 Mei 2023</t>
        </is>
      </c>
      <c r="I118" s="2" t="n">
        <v>46252</v>
      </c>
      <c r="J118" t="inlineStr">
        <is>
          <t>Disetujui</t>
        </is>
      </c>
      <c r="K118" t="n">
        <v>60</v>
      </c>
      <c r="L118" t="inlineStr">
        <is>
          <t>18 Agustus 2026</t>
        </is>
      </c>
      <c r="M118" t="inlineStr">
        <is>
          <t>Konstruksi Bangunan Sipil Jalan, Konstruksi Jaringan Irigasi dan Drainase</t>
        </is>
      </c>
      <c r="N118" t="inlineStr">
        <is>
          <t>K</t>
        </is>
      </c>
      <c r="O118" t="inlineStr">
        <is>
          <t>20230816</t>
        </is>
      </c>
      <c r="P118" t="inlineStr">
        <is>
          <t>Jawa Timur</t>
        </is>
      </c>
      <c r="Q118" t="inlineStr"/>
    </row>
    <row r="119">
      <c r="A119" t="inlineStr">
        <is>
          <t>YUDHI JASA</t>
        </is>
      </c>
      <c r="B119" t="inlineStr">
        <is>
          <t>Kab. Tanah Laut</t>
        </is>
      </c>
      <c r="C119" t="inlineStr">
        <is>
          <t>081251258700</t>
        </is>
      </c>
      <c r="D119" t="inlineStr">
        <is>
          <t>yudhijasa@yahoo.com</t>
        </is>
      </c>
      <c r="E119" t="inlineStr">
        <is>
          <t>https://lpjk.pu.go.id/search-badan-usaha-detail/VHJFT2dJa1oyU3FLQU52VGRWN283Zz09</t>
        </is>
      </c>
      <c r="F119" t="n">
        <v>1</v>
      </c>
      <c r="G119" t="inlineStr">
        <is>
          <t>BS001</t>
        </is>
      </c>
      <c r="H119" t="inlineStr">
        <is>
          <t>29 Maret 1983</t>
        </is>
      </c>
      <c r="I119" s="2" t="n">
        <v>46252</v>
      </c>
      <c r="J119" t="inlineStr">
        <is>
          <t>Pencabutan</t>
        </is>
      </c>
      <c r="K119" t="n">
        <v>60</v>
      </c>
      <c r="L119" t="inlineStr">
        <is>
          <t>18 Agustus 2026</t>
        </is>
      </c>
      <c r="M119" t="inlineStr">
        <is>
          <t>Konstruksi Bangunan Sipil Jalan</t>
        </is>
      </c>
      <c r="N119" t="inlineStr">
        <is>
          <t>K</t>
        </is>
      </c>
      <c r="O119" t="inlineStr">
        <is>
          <t>20230814</t>
        </is>
      </c>
      <c r="P119" t="inlineStr">
        <is>
          <t>Kalimantan Selatan</t>
        </is>
      </c>
      <c r="Q119" t="inlineStr"/>
    </row>
    <row r="120">
      <c r="A120" t="inlineStr">
        <is>
          <t>ZHAFRAN SUKSES BERJAYA</t>
        </is>
      </c>
      <c r="B120" t="inlineStr">
        <is>
          <t>Kab. Bangka Barat</t>
        </is>
      </c>
      <c r="C120" t="inlineStr">
        <is>
          <t>087801797500</t>
        </is>
      </c>
      <c r="D120" t="inlineStr">
        <is>
          <t>zhafransuksesberjaya@gmail.com</t>
        </is>
      </c>
      <c r="E120" t="inlineStr">
        <is>
          <t>https://lpjk.pu.go.id/search-badan-usaha-detail/UjhvMlBtSmt0NHdmNnZmS3ZpblZLQT09</t>
        </is>
      </c>
      <c r="F120" t="n">
        <v>1</v>
      </c>
      <c r="G120" t="inlineStr">
        <is>
          <t>BG001</t>
        </is>
      </c>
      <c r="H120" t="inlineStr">
        <is>
          <t>17 Oktober 2019</t>
        </is>
      </c>
      <c r="I120" s="2" t="n">
        <v>46252</v>
      </c>
      <c r="J120" t="inlineStr">
        <is>
          <t>Disetujui</t>
        </is>
      </c>
      <c r="K120" t="n">
        <v>60</v>
      </c>
      <c r="L120" t="inlineStr">
        <is>
          <t>18 Agustus 2026</t>
        </is>
      </c>
      <c r="M120" t="inlineStr">
        <is>
          <t>Konstruksi Gedung Hunian</t>
        </is>
      </c>
      <c r="N120" t="inlineStr">
        <is>
          <t>K</t>
        </is>
      </c>
      <c r="O120" t="inlineStr">
        <is>
          <t>20230811</t>
        </is>
      </c>
      <c r="P120" t="inlineStr">
        <is>
          <t>Kepulauan Bangka Belitung</t>
        </is>
      </c>
      <c r="Q1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92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16" customWidth="1" min="3" max="3"/>
    <col width="38" customWidth="1" min="4" max="4"/>
    <col width="50" customWidth="1" min="5" max="5"/>
    <col width="18" customWidth="1" min="6" max="6"/>
    <col width="42" customWidth="1" min="7" max="7"/>
    <col width="20" customWidth="1" min="8" max="8"/>
    <col width="28" customWidth="1" min="9" max="9"/>
    <col width="23" customWidth="1" min="10" max="10"/>
    <col width="11" customWidth="1" min="11" max="11"/>
    <col width="17" customWidth="1" min="12" max="12"/>
    <col width="50" customWidth="1" min="13" max="13"/>
    <col width="13" customWidth="1" min="14" max="14"/>
    <col width="20" customWidth="1" min="15" max="15"/>
    <col width="27" customWidth="1" min="16" max="16"/>
    <col width="50" customWidth="1" min="17" max="17"/>
  </cols>
  <sheetData>
    <row r="1">
      <c r="A1" s="1" t="inlineStr">
        <is>
          <t>Nama Perusahaan</t>
        </is>
      </c>
      <c r="B1" s="1" t="inlineStr">
        <is>
          <t>Kabupaten/Kota</t>
        </is>
      </c>
      <c r="C1" s="1" t="inlineStr">
        <is>
          <t>Telepon</t>
        </is>
      </c>
      <c r="D1" s="1" t="inlineStr">
        <is>
          <t>Email</t>
        </is>
      </c>
      <c r="E1" s="1" t="inlineStr">
        <is>
          <t>Link</t>
        </is>
      </c>
      <c r="F1" s="1" t="inlineStr">
        <is>
          <t>Jumlah KBLI 2020</t>
        </is>
      </c>
      <c r="G1" s="1" t="inlineStr">
        <is>
          <t>Kode Subklasifikasi</t>
        </is>
      </c>
      <c r="H1" s="1" t="inlineStr">
        <is>
          <t>Tanggal Ditetapkan</t>
        </is>
      </c>
      <c r="I1" s="1" t="inlineStr">
        <is>
          <t>Tanggal Habis Masa Berlaku</t>
        </is>
      </c>
      <c r="J1" s="1" t="inlineStr">
        <is>
          <t>Status</t>
        </is>
      </c>
      <c r="K1" s="1" t="inlineStr">
        <is>
          <t>Sisa Hari</t>
        </is>
      </c>
      <c r="L1" s="1" t="inlineStr">
        <is>
          <t>Tanggal Expired</t>
        </is>
      </c>
      <c r="M1" s="1" t="inlineStr">
        <is>
          <t>Subklasifikasi</t>
        </is>
      </c>
      <c r="N1" s="1" t="inlineStr">
        <is>
          <t>Kualifikasi</t>
        </is>
      </c>
      <c r="O1" s="1" t="inlineStr">
        <is>
          <t>ID Subklasifikasi</t>
        </is>
      </c>
      <c r="P1" s="1" t="inlineStr">
        <is>
          <t>Provinsi</t>
        </is>
      </c>
      <c r="Q1" s="1" t="inlineStr">
        <is>
          <t>Link WhatsApp</t>
        </is>
      </c>
    </row>
    <row r="2">
      <c r="A2" t="inlineStr">
        <is>
          <t>BINA ARINDA CIPTA</t>
        </is>
      </c>
      <c r="B2" t="inlineStr">
        <is>
          <t>Kota Bekasi</t>
        </is>
      </c>
      <c r="C2" t="inlineStr">
        <is>
          <t>081218991517</t>
        </is>
      </c>
      <c r="D2" t="inlineStr">
        <is>
          <t>ptbinacipta@gmail.com</t>
        </is>
      </c>
      <c r="E2" t="inlineStr">
        <is>
          <t>https://lpjk.pu.go.id/search-badan-usaha-detail/Sm5KSHdhRDZCNXpnd0xvS3hpWEZZdz09</t>
        </is>
      </c>
      <c r="F2" t="n">
        <v>3</v>
      </c>
      <c r="G2" t="inlineStr">
        <is>
          <t>RK001, RK002, RK003</t>
        </is>
      </c>
      <c r="H2" t="inlineStr">
        <is>
          <t>20 Februari 2016</t>
        </is>
      </c>
      <c r="I2" s="2" t="n">
        <v>46222</v>
      </c>
      <c r="J2" t="inlineStr">
        <is>
          <t>Disetujui</t>
        </is>
      </c>
      <c r="K2" t="n">
        <v>30</v>
      </c>
      <c r="L2" t="inlineStr">
        <is>
          <t>19 Juli 2026</t>
        </is>
      </c>
      <c r="M2" t="inlineStr">
        <is>
          <t>Jasa Rekayasa Konstruksi Bangunan Gedung Hunian dan Non Hunian, Jasa Rekayasa Pekerjaan Teknik Sipil Sumber Daya Air, Jasa Rekayasa Pekerjaan Teknik Sipil Transportasi</t>
        </is>
      </c>
      <c r="N2" t="inlineStr">
        <is>
          <t>K</t>
        </is>
      </c>
      <c r="O2" t="inlineStr">
        <is>
          <t>20230626</t>
        </is>
      </c>
      <c r="P2" t="inlineStr">
        <is>
          <t>Jawa Barat</t>
        </is>
      </c>
      <c r="Q2" s="3">
        <f>HYPERLINK("https://wa.me/6281218991517?text=*[Pengingat Masa Berlaku SBU BINA ARINDA CIPTA]*%0A%0AYth. Pimpinan BINA ARINDA CIPTA,%0AMohon izin menginformasikan status SBU Anda:%0A%0A📄 SBU: RK001, RK002, RK003%0A📅 Expired: 19 Juli 2026 (30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3">
      <c r="A3" t="inlineStr">
        <is>
          <t>BONA PASOGIT JAYA</t>
        </is>
      </c>
      <c r="B3" t="inlineStr">
        <is>
          <t>Kota Adm. Jakarta Timur</t>
        </is>
      </c>
      <c r="C3" t="inlineStr">
        <is>
          <t>021</t>
        </is>
      </c>
      <c r="D3" t="inlineStr">
        <is>
          <t>bona_pasogit18@yahoo.co.id</t>
        </is>
      </c>
      <c r="E3" t="inlineStr">
        <is>
          <t>https://lpjk.pu.go.id/search-badan-usaha-detail/ZldsZ3ZBOVF2K09xeHdsRlk0cDdCUT09</t>
        </is>
      </c>
      <c r="F3" t="n">
        <v>2</v>
      </c>
      <c r="G3" t="inlineStr">
        <is>
          <t>BG001, BG008</t>
        </is>
      </c>
      <c r="H3" t="inlineStr">
        <is>
          <t>31 Maret 2022</t>
        </is>
      </c>
      <c r="I3" s="2" t="n">
        <v>46222</v>
      </c>
      <c r="J3" t="inlineStr">
        <is>
          <t>Disetujui</t>
        </is>
      </c>
      <c r="K3" t="n">
        <v>30</v>
      </c>
      <c r="L3" t="inlineStr">
        <is>
          <t>19 Juli 2026</t>
        </is>
      </c>
      <c r="M3" t="inlineStr">
        <is>
          <t>Konstruksi Gedung Hunian, Konstruksi Gedung Tempat Hiburan dan Olahraga</t>
        </is>
      </c>
      <c r="N3" t="inlineStr">
        <is>
          <t>K</t>
        </is>
      </c>
      <c r="O3" t="inlineStr">
        <is>
          <t>20230621</t>
        </is>
      </c>
      <c r="P3" t="inlineStr">
        <is>
          <t>DKI Jakarta</t>
        </is>
      </c>
      <c r="Q3" t="inlineStr"/>
    </row>
    <row r="4">
      <c r="A4" t="inlineStr">
        <is>
          <t>CIPTA BUANA KREASINDO</t>
        </is>
      </c>
      <c r="B4" t="inlineStr">
        <is>
          <t>Kota Bogor</t>
        </is>
      </c>
      <c r="C4" t="inlineStr">
        <is>
          <t>082216156007</t>
        </is>
      </c>
      <c r="D4" t="inlineStr">
        <is>
          <t>cvciptabuanakreasindo@gmail.com</t>
        </is>
      </c>
      <c r="E4" t="inlineStr">
        <is>
          <t>https://lpjk.pu.go.id/search-badan-usaha-detail/UmFCZ09NSTBVOWZOdjBjU25oWERNZz09</t>
        </is>
      </c>
      <c r="F4" t="n">
        <v>1</v>
      </c>
      <c r="G4" t="inlineStr">
        <is>
          <t>BG001</t>
        </is>
      </c>
      <c r="H4" t="inlineStr">
        <is>
          <t>12 Juli 2023</t>
        </is>
      </c>
      <c r="I4" s="2" t="n">
        <v>46222</v>
      </c>
      <c r="J4" t="inlineStr">
        <is>
          <t>Disetujui</t>
        </is>
      </c>
      <c r="K4" t="n">
        <v>30</v>
      </c>
      <c r="L4" t="inlineStr">
        <is>
          <t>19 Juli 2026</t>
        </is>
      </c>
      <c r="M4" t="inlineStr">
        <is>
          <t>Konstruksi Gedung Hunian</t>
        </is>
      </c>
      <c r="N4" t="inlineStr">
        <is>
          <t>K</t>
        </is>
      </c>
      <c r="O4" t="inlineStr">
        <is>
          <t>20230718</t>
        </is>
      </c>
      <c r="P4" t="inlineStr">
        <is>
          <t>Jawa Barat</t>
        </is>
      </c>
      <c r="Q4" s="3">
        <f>HYPERLINK("https://wa.me/6282216156007?text=*[Pengingat Masa Berlaku SBU CIPTA BUANA KREASINDO]*%0A%0AYth. Pimpinan CIPTA BUANA KREASINDO,%0AMohon izin menginformasikan status SBU Anda:%0A%0A📄 SBU: BG001%0A📅 Expired: 19 Juli 2026 (30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5">
      <c r="A5" t="inlineStr">
        <is>
          <t>MEDAL JAYA PURNAMA</t>
        </is>
      </c>
      <c r="B5" t="inlineStr">
        <is>
          <t>Kab. Bogor</t>
        </is>
      </c>
      <c r="C5" t="inlineStr">
        <is>
          <t>02187928679</t>
        </is>
      </c>
      <c r="D5" t="inlineStr">
        <is>
          <t>medaljayapurnama2021@gmail.com</t>
        </is>
      </c>
      <c r="E5" t="inlineStr">
        <is>
          <t>https://lpjk.pu.go.id/search-badan-usaha-detail/ZSt2YWFqZEV5dDNwcEtQOHJLY0ZFQT09</t>
        </is>
      </c>
      <c r="F5" t="n">
        <v>1</v>
      </c>
      <c r="G5" t="inlineStr">
        <is>
          <t>BG005</t>
        </is>
      </c>
      <c r="H5" t="inlineStr">
        <is>
          <t>2 Oktober 2006</t>
        </is>
      </c>
      <c r="I5" s="2" t="n">
        <v>46222</v>
      </c>
      <c r="J5" t="inlineStr">
        <is>
          <t>Pencabutan</t>
        </is>
      </c>
      <c r="K5" t="n">
        <v>30</v>
      </c>
      <c r="L5" t="inlineStr">
        <is>
          <t>19 Juli 2026</t>
        </is>
      </c>
      <c r="M5" t="inlineStr">
        <is>
          <t>Konstruksi Gedung Kesehatan</t>
        </is>
      </c>
      <c r="N5" t="inlineStr">
        <is>
          <t>M</t>
        </is>
      </c>
      <c r="O5" t="inlineStr">
        <is>
          <t>20230612</t>
        </is>
      </c>
      <c r="P5" t="inlineStr">
        <is>
          <t>Jawa Barat</t>
        </is>
      </c>
      <c r="Q5" t="inlineStr"/>
    </row>
    <row r="6">
      <c r="A6" t="inlineStr">
        <is>
          <t>RAFINDO IRON STEEL</t>
        </is>
      </c>
      <c r="B6" t="inlineStr">
        <is>
          <t>Kab. Bekasi</t>
        </is>
      </c>
      <c r="C6" t="inlineStr">
        <is>
          <t>081219762963</t>
        </is>
      </c>
      <c r="D6" t="inlineStr">
        <is>
          <t>ironsteelptrafindo1@gmail.com</t>
        </is>
      </c>
      <c r="E6" t="inlineStr">
        <is>
          <t>https://lpjk.pu.go.id/search-badan-usaha-detail/RG5uLzhjNi9hQmVtS3pWQkg2Y0VGQT09</t>
        </is>
      </c>
      <c r="F6" t="n">
        <v>2</v>
      </c>
      <c r="G6" t="inlineStr">
        <is>
          <t>KK016</t>
        </is>
      </c>
      <c r="H6" t="inlineStr">
        <is>
          <t>23 September 2006</t>
        </is>
      </c>
      <c r="I6" s="2" t="n">
        <v>46222</v>
      </c>
      <c r="J6" t="inlineStr">
        <is>
          <t>Pembekuan</t>
        </is>
      </c>
      <c r="K6" t="n">
        <v>30</v>
      </c>
      <c r="L6" t="inlineStr">
        <is>
          <t>19 Juli 2026</t>
        </is>
      </c>
      <c r="M6" t="inlineStr">
        <is>
          <t>Pemasangan Kerangka Baja</t>
        </is>
      </c>
      <c r="N6" t="inlineStr">
        <is>
          <t>Spesialis</t>
        </is>
      </c>
      <c r="O6" t="inlineStr">
        <is>
          <t>20230711</t>
        </is>
      </c>
      <c r="P6" t="inlineStr">
        <is>
          <t>Jawa Barat</t>
        </is>
      </c>
      <c r="Q6" s="3">
        <f>HYPERLINK("https://wa.me/6281219762963?text=*[Pengingat Masa Berlaku SBU RAFINDO IRON STEEL]*%0A%0AYth. Pimpinan RAFINDO IRON STEEL,%0AMohon izin menginformasikan status SBU Anda:%0A%0A📄 SBU: KK016%0A📅 Expired: 19 Juli 2026 (30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7">
      <c r="A7" t="inlineStr">
        <is>
          <t>REFRATECH MANDALAPERKASA</t>
        </is>
      </c>
      <c r="B7" t="inlineStr">
        <is>
          <t>Kab. Bogor</t>
        </is>
      </c>
      <c r="C7" t="inlineStr">
        <is>
          <t>02187941455</t>
        </is>
      </c>
      <c r="D7" t="inlineStr">
        <is>
          <t>legal@refratechmandalaperkasa.com</t>
        </is>
      </c>
      <c r="E7" t="inlineStr">
        <is>
          <t>https://lpjk.pu.go.id/search-badan-usaha-detail/TTNVb1ZTZGJGWVhEY0l1V2wwR1FyZz09</t>
        </is>
      </c>
      <c r="F7" t="n">
        <v>1</v>
      </c>
      <c r="G7" t="inlineStr">
        <is>
          <t>IN013</t>
        </is>
      </c>
      <c r="H7" t="inlineStr">
        <is>
          <t>1 Oktober 1992</t>
        </is>
      </c>
      <c r="I7" s="2" t="n">
        <v>46222</v>
      </c>
      <c r="J7" t="inlineStr">
        <is>
          <t>Dokumen Tidak Lengkap</t>
        </is>
      </c>
      <c r="K7" t="n">
        <v>30</v>
      </c>
      <c r="L7" t="inlineStr">
        <is>
          <t>19 Juli 2026</t>
        </is>
      </c>
      <c r="M7" t="inlineStr">
        <is>
          <t>Instalasi Pemanas dan Geotermal</t>
        </is>
      </c>
      <c r="N7" t="inlineStr">
        <is>
          <t>Spesialis</t>
        </is>
      </c>
      <c r="O7" t="inlineStr">
        <is>
          <t>20230706</t>
        </is>
      </c>
      <c r="P7" t="inlineStr">
        <is>
          <t>Jawa Barat</t>
        </is>
      </c>
      <c r="Q7" t="inlineStr"/>
    </row>
    <row r="8">
      <c r="A8" t="inlineStr">
        <is>
          <t>SAMO SUKSES RIYADI</t>
        </is>
      </c>
      <c r="B8" t="inlineStr">
        <is>
          <t>Kab. Bekasi</t>
        </is>
      </c>
      <c r="C8" t="inlineStr">
        <is>
          <t>02188388852</t>
        </is>
      </c>
      <c r="D8" t="inlineStr">
        <is>
          <t>samo.ssr72@gmail.com</t>
        </is>
      </c>
      <c r="E8" t="inlineStr">
        <is>
          <t>https://lpjk.pu.go.id/search-badan-usaha-detail/dlFqSVl1TldrbXRldTBqbEZBSjRhdz09</t>
        </is>
      </c>
      <c r="F8" t="n">
        <v>1</v>
      </c>
      <c r="G8" t="inlineStr">
        <is>
          <t>BG002</t>
        </is>
      </c>
      <c r="H8" t="inlineStr">
        <is>
          <t>15 Juni 2023</t>
        </is>
      </c>
      <c r="I8" s="2" t="n">
        <v>46222</v>
      </c>
      <c r="J8" t="inlineStr">
        <is>
          <t>Disetujui</t>
        </is>
      </c>
      <c r="K8" t="n">
        <v>30</v>
      </c>
      <c r="L8" t="inlineStr">
        <is>
          <t>19 Juli 2026</t>
        </is>
      </c>
      <c r="M8" t="inlineStr">
        <is>
          <t>Konstruksi Gedung Perkantoran</t>
        </is>
      </c>
      <c r="N8" t="inlineStr">
        <is>
          <t>K</t>
        </is>
      </c>
      <c r="O8" t="inlineStr">
        <is>
          <t>20230718</t>
        </is>
      </c>
      <c r="P8" t="inlineStr">
        <is>
          <t>Jawa Barat</t>
        </is>
      </c>
      <c r="Q8" t="inlineStr"/>
    </row>
    <row r="9">
      <c r="A9" t="inlineStr">
        <is>
          <t>TRI BENTENG KENCANA ABADI</t>
        </is>
      </c>
      <c r="B9" t="inlineStr">
        <is>
          <t>Kab. Bekasi</t>
        </is>
      </c>
      <c r="C9" t="inlineStr">
        <is>
          <t>081310000870</t>
        </is>
      </c>
      <c r="D9" t="inlineStr">
        <is>
          <t>tbkabadipt@gmail.com</t>
        </is>
      </c>
      <c r="E9" t="inlineStr">
        <is>
          <t>https://lpjk.pu.go.id/search-badan-usaha-detail/ZTBRZlJmZmo1eHF5QkdFYlFtRFdhUT09</t>
        </is>
      </c>
      <c r="F9" t="n">
        <v>1</v>
      </c>
      <c r="G9" t="inlineStr">
        <is>
          <t>BG001</t>
        </is>
      </c>
      <c r="H9" t="inlineStr">
        <is>
          <t>5 Januari 2015</t>
        </is>
      </c>
      <c r="I9" s="2" t="n">
        <v>46222</v>
      </c>
      <c r="J9" t="inlineStr">
        <is>
          <t>Pencabutan</t>
        </is>
      </c>
      <c r="K9" t="n">
        <v>30</v>
      </c>
      <c r="L9" t="inlineStr">
        <is>
          <t>19 Juli 2026</t>
        </is>
      </c>
      <c r="M9" t="inlineStr">
        <is>
          <t>Konstruksi Gedung Hunian</t>
        </is>
      </c>
      <c r="N9" t="inlineStr">
        <is>
          <t>K</t>
        </is>
      </c>
      <c r="O9" t="inlineStr">
        <is>
          <t>20230718</t>
        </is>
      </c>
      <c r="P9" t="inlineStr">
        <is>
          <t>Jawa Barat</t>
        </is>
      </c>
      <c r="Q9" s="3">
        <f>HYPERLINK("https://wa.me/6281310000870?text=*[Pengingat Masa Berlaku SBU TRI BENTENG KENCANA ABADI]*%0A%0AYth. Pimpinan TRI BENTENG KENCANA ABADI,%0AMohon izin menginformasikan status SBU Anda:%0A%0A📄 SBU: BG001%0A📅 Expired: 19 Juli 2026 (30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10">
      <c r="A10" t="inlineStr">
        <is>
          <t>TRIDAYA SARANA SEJAHTERA</t>
        </is>
      </c>
      <c r="B10" t="inlineStr">
        <is>
          <t>Kota Depok</t>
        </is>
      </c>
      <c r="C10" t="inlineStr">
        <is>
          <t>02122820346</t>
        </is>
      </c>
      <c r="D10" t="inlineStr">
        <is>
          <t>tridayasaranasejahtera@yahoo.com</t>
        </is>
      </c>
      <c r="E10" t="inlineStr">
        <is>
          <t>https://lpjk.pu.go.id/search-badan-usaha-detail/TmVMa1lKcy9OVFV4WXhBdUpMcDRPZz09</t>
        </is>
      </c>
      <c r="F10" t="n">
        <v>1</v>
      </c>
      <c r="G10" t="inlineStr">
        <is>
          <t>BS010</t>
        </is>
      </c>
      <c r="H10" t="inlineStr">
        <is>
          <t>17 Desember 2019</t>
        </is>
      </c>
      <c r="I10" s="2" t="n">
        <v>46222</v>
      </c>
      <c r="J10" t="inlineStr">
        <is>
          <t>Pembekuan</t>
        </is>
      </c>
      <c r="K10" t="n">
        <v>30</v>
      </c>
      <c r="L10" t="inlineStr">
        <is>
          <t>19 Juli 2026</t>
        </is>
      </c>
      <c r="M10" t="inlineStr">
        <is>
          <t>Konstruksi Bangunan Prasarana Sumber Daya Air</t>
        </is>
      </c>
      <c r="N10" t="inlineStr">
        <is>
          <t>M</t>
        </is>
      </c>
      <c r="O10" t="inlineStr">
        <is>
          <t>20230717</t>
        </is>
      </c>
      <c r="P10" t="inlineStr">
        <is>
          <t>Jawa Barat</t>
        </is>
      </c>
      <c r="Q10" t="inlineStr"/>
    </row>
    <row r="11">
      <c r="A11" t="inlineStr">
        <is>
          <t>ABADI NOER</t>
        </is>
      </c>
      <c r="B11" t="inlineStr">
        <is>
          <t>Kab. Aceh Barat</t>
        </is>
      </c>
      <c r="C11" t="inlineStr">
        <is>
          <t>0811333751</t>
        </is>
      </c>
      <c r="D11" t="inlineStr">
        <is>
          <t>cv_abanoe@yahoo.com</t>
        </is>
      </c>
      <c r="E11" t="inlineStr">
        <is>
          <t>https://lpjk.pu.go.id/search-badan-usaha-detail/ZkpzdVUzckMweFhRdUY1Z3VjQjQvQT09</t>
        </is>
      </c>
      <c r="F11" t="n">
        <v>6</v>
      </c>
      <c r="G11" t="inlineStr">
        <is>
          <t>BS001, BS005, BS010</t>
        </is>
      </c>
      <c r="H11" t="inlineStr">
        <is>
          <t>13 Juli 2018</t>
        </is>
      </c>
      <c r="I11" s="2" t="n">
        <v>46222</v>
      </c>
      <c r="J11" t="inlineStr">
        <is>
          <t>Disetujui</t>
        </is>
      </c>
      <c r="K11" t="n">
        <v>30</v>
      </c>
      <c r="L11" t="inlineStr">
        <is>
          <t>19 Juli 2026</t>
        </is>
      </c>
      <c r="M11" t="inlineStr">
        <is>
          <t>Konstruksi Bangunan Prasarana Sumber Daya Air, Konstruksi Bangunan Sipil Jalan, Konstruksi Bangunan Sipil Pengolahan Air Bersih</t>
        </is>
      </c>
      <c r="N11" t="inlineStr">
        <is>
          <t>K</t>
        </is>
      </c>
      <c r="O11" t="inlineStr">
        <is>
          <t>20230719</t>
        </is>
      </c>
      <c r="P11" t="inlineStr">
        <is>
          <t>Aceh</t>
        </is>
      </c>
      <c r="Q11" t="inlineStr"/>
    </row>
    <row r="12">
      <c r="A12" t="inlineStr">
        <is>
          <t>ABEL</t>
        </is>
      </c>
      <c r="B12" t="inlineStr">
        <is>
          <t>Kab. Lahat</t>
        </is>
      </c>
      <c r="C12" t="inlineStr">
        <is>
          <t>085268599891</t>
        </is>
      </c>
      <c r="D12" t="inlineStr">
        <is>
          <t>cv.abel01@gmail.com</t>
        </is>
      </c>
      <c r="E12" t="inlineStr">
        <is>
          <t>https://lpjk.pu.go.id/search-badan-usaha-detail/N3lzNXJZODVqRnBUS2xJdC9LR1d5dz09</t>
        </is>
      </c>
      <c r="F12" t="n">
        <v>1</v>
      </c>
      <c r="G12" t="inlineStr">
        <is>
          <t>BS005</t>
        </is>
      </c>
      <c r="H12" t="inlineStr">
        <is>
          <t>10 Januari 2005</t>
        </is>
      </c>
      <c r="I12" s="2" t="n">
        <v>46222</v>
      </c>
      <c r="J12" t="inlineStr">
        <is>
          <t>Disetujui</t>
        </is>
      </c>
      <c r="K12" t="n">
        <v>30</v>
      </c>
      <c r="L12" t="inlineStr">
        <is>
          <t>19 Juli 2026</t>
        </is>
      </c>
      <c r="M12" t="inlineStr">
        <is>
          <t>Konstruksi Bangunan Sipil Pengolahan Air Bersih</t>
        </is>
      </c>
      <c r="N12" t="inlineStr">
        <is>
          <t>K</t>
        </is>
      </c>
      <c r="O12" t="inlineStr">
        <is>
          <t>20230715</t>
        </is>
      </c>
      <c r="P12" t="inlineStr">
        <is>
          <t>Sumatera Selatan</t>
        </is>
      </c>
      <c r="Q12" t="inlineStr"/>
    </row>
    <row r="13">
      <c r="A13" t="inlineStr">
        <is>
          <t>ADHI RAJASA KARYA</t>
        </is>
      </c>
      <c r="B13" t="inlineStr">
        <is>
          <t>Kab. Muna</t>
        </is>
      </c>
      <c r="C13" t="inlineStr">
        <is>
          <t>082196750775</t>
        </is>
      </c>
      <c r="D13" t="inlineStr">
        <is>
          <t>adhirajasakarya02@gmail.com</t>
        </is>
      </c>
      <c r="E13" t="inlineStr">
        <is>
          <t>https://lpjk.pu.go.id/search-badan-usaha-detail/Z0dDQ2p4bGc5c25yWXdOMW5USm5yQT09</t>
        </is>
      </c>
      <c r="F13" t="n">
        <v>3</v>
      </c>
      <c r="G13" t="inlineStr">
        <is>
          <t>BG006, BS004, BS010</t>
        </is>
      </c>
      <c r="H13" t="inlineStr">
        <is>
          <t>15 Februari 2023</t>
        </is>
      </c>
      <c r="I13" s="2" t="n">
        <v>46222</v>
      </c>
      <c r="J13" t="inlineStr">
        <is>
          <t>Disetujui</t>
        </is>
      </c>
      <c r="K13" t="n">
        <v>30</v>
      </c>
      <c r="L13" t="inlineStr">
        <is>
          <t>19 Juli 2026</t>
        </is>
      </c>
      <c r="M13" t="inlineStr">
        <is>
          <t>Konstruksi Bangunan Prasarana Sumber Daya Air, Konstruksi Gedung Pendidikan, Konstruksi Jaringan Irigasi dan Drainase</t>
        </is>
      </c>
      <c r="N13" t="inlineStr">
        <is>
          <t>K</t>
        </is>
      </c>
      <c r="O13" t="inlineStr">
        <is>
          <t>20230517, 20230714</t>
        </is>
      </c>
      <c r="P13" t="inlineStr">
        <is>
          <t>Sulawesi Tenggara</t>
        </is>
      </c>
      <c r="Q13" t="inlineStr"/>
    </row>
    <row r="14">
      <c r="A14" t="inlineStr">
        <is>
          <t>ADYA TATA MANDIRI</t>
        </is>
      </c>
      <c r="B14" t="inlineStr">
        <is>
          <t>Kab. Sidoarjo</t>
        </is>
      </c>
      <c r="C14" t="inlineStr">
        <is>
          <t>99031774</t>
        </is>
      </c>
      <c r="D14" t="inlineStr">
        <is>
          <t>marketing@adyatatamandiri.com</t>
        </is>
      </c>
      <c r="E14" t="inlineStr">
        <is>
          <t>https://lpjk.pu.go.id/search-badan-usaha-detail/SkpONkpDeTlqc29EVHhjekRNQVVzZz09</t>
        </is>
      </c>
      <c r="F14" t="n">
        <v>1</v>
      </c>
      <c r="G14" t="inlineStr">
        <is>
          <t>BG003</t>
        </is>
      </c>
      <c r="H14" t="inlineStr">
        <is>
          <t>22 Juni 2012</t>
        </is>
      </c>
      <c r="I14" s="2" t="n">
        <v>46222</v>
      </c>
      <c r="J14" t="inlineStr">
        <is>
          <t>Disetujui</t>
        </is>
      </c>
      <c r="K14" t="n">
        <v>30</v>
      </c>
      <c r="L14" t="inlineStr">
        <is>
          <t>19 Juli 2026</t>
        </is>
      </c>
      <c r="M14" t="inlineStr">
        <is>
          <t>Konstruksi Gedung Industri</t>
        </is>
      </c>
      <c r="N14" t="inlineStr">
        <is>
          <t>K</t>
        </is>
      </c>
      <c r="O14" t="inlineStr">
        <is>
          <t>20230714</t>
        </is>
      </c>
      <c r="P14" t="inlineStr">
        <is>
          <t>Jawa Timur</t>
        </is>
      </c>
      <c r="Q14" t="inlineStr"/>
    </row>
    <row r="15">
      <c r="A15" t="inlineStr">
        <is>
          <t>AKSARA CIPTA REKANUSA</t>
        </is>
      </c>
      <c r="B15" t="inlineStr">
        <is>
          <t>Kab. Pandeglang</t>
        </is>
      </c>
      <c r="C15" t="inlineStr">
        <is>
          <t>081381314304</t>
        </is>
      </c>
      <c r="D15" t="inlineStr">
        <is>
          <t>ptaksaraciptarekanusa@gmail.com</t>
        </is>
      </c>
      <c r="E15" t="inlineStr">
        <is>
          <t>https://lpjk.pu.go.id/search-badan-usaha-detail/c0FBVnVuK1VSRU43UkV0SXF1SlNKdz09</t>
        </is>
      </c>
      <c r="F15" t="n">
        <v>4</v>
      </c>
      <c r="G15" t="inlineStr">
        <is>
          <t>RK001, RK003</t>
        </is>
      </c>
      <c r="H15" t="inlineStr">
        <is>
          <t>13 Januari 2020</t>
        </is>
      </c>
      <c r="I15" s="2" t="n">
        <v>46222</v>
      </c>
      <c r="J15" t="inlineStr">
        <is>
          <t>Disetujui</t>
        </is>
      </c>
      <c r="K15" t="n">
        <v>30</v>
      </c>
      <c r="L15" t="inlineStr">
        <is>
          <t>19 Juli 2026</t>
        </is>
      </c>
      <c r="M15" t="inlineStr">
        <is>
          <t>Jasa Rekayasa Konstruksi Bangunan Gedung Hunian dan Non Hunian, Jasa Rekayasa Pekerjaan Teknik Sipil Transportasi</t>
        </is>
      </c>
      <c r="N15" t="inlineStr">
        <is>
          <t>K</t>
        </is>
      </c>
      <c r="O15" t="inlineStr">
        <is>
          <t>20230711, 20230712</t>
        </is>
      </c>
      <c r="P15" t="inlineStr">
        <is>
          <t>Banten</t>
        </is>
      </c>
      <c r="Q15" t="inlineStr"/>
    </row>
    <row r="16">
      <c r="A16" t="inlineStr">
        <is>
          <t>ALEXA</t>
        </is>
      </c>
      <c r="B16" t="inlineStr">
        <is>
          <t>Kab. Malang</t>
        </is>
      </c>
      <c r="C16" t="inlineStr">
        <is>
          <t>081235797204</t>
        </is>
      </c>
      <c r="D16" t="inlineStr">
        <is>
          <t>cvalexaku@gmail.com</t>
        </is>
      </c>
      <c r="E16" t="inlineStr">
        <is>
          <t>https://lpjk.pu.go.id/search-badan-usaha-detail/aFlUbTVZQmhzbU1TOFdBZUVORnRFUT09</t>
        </is>
      </c>
      <c r="F16" t="n">
        <v>2</v>
      </c>
      <c r="G16" t="inlineStr">
        <is>
          <t>BG006, BG009</t>
        </is>
      </c>
      <c r="H16" t="inlineStr">
        <is>
          <t>8 Februari 2010</t>
        </is>
      </c>
      <c r="I16" s="2" t="n">
        <v>46222</v>
      </c>
      <c r="J16" t="inlineStr">
        <is>
          <t>Disetujui</t>
        </is>
      </c>
      <c r="K16" t="n">
        <v>30</v>
      </c>
      <c r="L16" t="inlineStr">
        <is>
          <t>19 Juli 2026</t>
        </is>
      </c>
      <c r="M16" t="inlineStr">
        <is>
          <t>Konstruksi Gedung Lainnya, Konstruksi Gedung Pendidikan</t>
        </is>
      </c>
      <c r="N16" t="inlineStr">
        <is>
          <t>K</t>
        </is>
      </c>
      <c r="O16" t="inlineStr">
        <is>
          <t>20230713, 20230719</t>
        </is>
      </c>
      <c r="P16" t="inlineStr">
        <is>
          <t>Jawa Timur</t>
        </is>
      </c>
      <c r="Q16" t="inlineStr"/>
    </row>
    <row r="17">
      <c r="A17" t="inlineStr">
        <is>
          <t>ALIA PUTRA PERKASA</t>
        </is>
      </c>
      <c r="B17" t="inlineStr">
        <is>
          <t>Kota Sorong</t>
        </is>
      </c>
      <c r="C17" t="inlineStr">
        <is>
          <t>085310777774</t>
        </is>
      </c>
      <c r="D17" t="inlineStr">
        <is>
          <t>aliaputraperkasa@gmail.com</t>
        </is>
      </c>
      <c r="E17" t="inlineStr">
        <is>
          <t>https://lpjk.pu.go.id/search-badan-usaha-detail/eWlUV2JtNFE1TGdTU25sUTNrTlYyZz09</t>
        </is>
      </c>
      <c r="F17" t="n">
        <v>1</v>
      </c>
      <c r="G17" t="inlineStr">
        <is>
          <t>BG002</t>
        </is>
      </c>
      <c r="H17" t="inlineStr">
        <is>
          <t>2 Maret 2012</t>
        </is>
      </c>
      <c r="I17" s="2" t="n">
        <v>46222</v>
      </c>
      <c r="J17" t="inlineStr">
        <is>
          <t>Pencabutan</t>
        </is>
      </c>
      <c r="K17" t="n">
        <v>30</v>
      </c>
      <c r="L17" t="inlineStr">
        <is>
          <t>19 Juli 2026</t>
        </is>
      </c>
      <c r="M17" t="inlineStr">
        <is>
          <t>Konstruksi Gedung Perkantoran</t>
        </is>
      </c>
      <c r="N17" t="inlineStr">
        <is>
          <t>M</t>
        </is>
      </c>
      <c r="O17" t="inlineStr">
        <is>
          <t>20230716</t>
        </is>
      </c>
      <c r="P17" t="inlineStr">
        <is>
          <t>Papua Barat</t>
        </is>
      </c>
      <c r="Q17" t="inlineStr"/>
    </row>
    <row r="18">
      <c r="A18" t="inlineStr">
        <is>
          <t>AMANAT SEMESTA</t>
        </is>
      </c>
      <c r="B18" t="inlineStr">
        <is>
          <t>Kota Bima</t>
        </is>
      </c>
      <c r="C18" t="inlineStr">
        <is>
          <t>085238744676</t>
        </is>
      </c>
      <c r="D18" t="inlineStr">
        <is>
          <t>pt.amanat.semesta@gmail.com</t>
        </is>
      </c>
      <c r="E18" t="inlineStr">
        <is>
          <t>https://lpjk.pu.go.id/search-badan-usaha-detail/Tk56cEw5L3dTTVZuanV0UU9ZZ0N3UT09</t>
        </is>
      </c>
      <c r="F18" t="n">
        <v>4</v>
      </c>
      <c r="G18" t="inlineStr">
        <is>
          <t>BG004</t>
        </is>
      </c>
      <c r="H18" t="inlineStr">
        <is>
          <t>10 April 1981</t>
        </is>
      </c>
      <c r="I18" s="2" t="n">
        <v>46222</v>
      </c>
      <c r="J18" t="inlineStr">
        <is>
          <t>Disetujui</t>
        </is>
      </c>
      <c r="K18" t="n">
        <v>30</v>
      </c>
      <c r="L18" t="inlineStr">
        <is>
          <t>19 Juli 2026</t>
        </is>
      </c>
      <c r="M18" t="inlineStr">
        <is>
          <t>Konstruksi Gedung Perbelanjaan</t>
        </is>
      </c>
      <c r="N18" t="inlineStr">
        <is>
          <t>K</t>
        </is>
      </c>
      <c r="O18" t="inlineStr">
        <is>
          <t>20220323</t>
        </is>
      </c>
      <c r="P18" t="inlineStr">
        <is>
          <t>Nusa Tenggara Barat</t>
        </is>
      </c>
      <c r="Q18" t="inlineStr"/>
    </row>
    <row r="19">
      <c r="A19" t="inlineStr">
        <is>
          <t>ANJANG SANA INDAH</t>
        </is>
      </c>
      <c r="B19" t="inlineStr">
        <is>
          <t>Kab. Sumba Barat Daya</t>
        </is>
      </c>
      <c r="C19" t="inlineStr">
        <is>
          <t>082112425761</t>
        </is>
      </c>
      <c r="D19" t="inlineStr">
        <is>
          <t>cvanjangsana100@gmail.com</t>
        </is>
      </c>
      <c r="E19" t="inlineStr">
        <is>
          <t>https://lpjk.pu.go.id/search-badan-usaha-detail/ODRkRmhaaHhsa0E5RWx1YytkNWRndz09</t>
        </is>
      </c>
      <c r="F19" t="n">
        <v>2</v>
      </c>
      <c r="G19" t="inlineStr">
        <is>
          <t>BG006, BG009</t>
        </is>
      </c>
      <c r="H19" t="inlineStr">
        <is>
          <t>2 Maret 2020</t>
        </is>
      </c>
      <c r="I19" s="2" t="n">
        <v>46222</v>
      </c>
      <c r="J19" t="inlineStr">
        <is>
          <t>Disetujui</t>
        </is>
      </c>
      <c r="K19" t="n">
        <v>30</v>
      </c>
      <c r="L19" t="inlineStr">
        <is>
          <t>19 Juli 2026</t>
        </is>
      </c>
      <c r="M19" t="inlineStr">
        <is>
          <t>Konstruksi Gedung Lainnya, Konstruksi Gedung Pendidikan</t>
        </is>
      </c>
      <c r="N19" t="inlineStr">
        <is>
          <t>K</t>
        </is>
      </c>
      <c r="O19" t="inlineStr">
        <is>
          <t>20230717, 20230719</t>
        </is>
      </c>
      <c r="P19" t="inlineStr">
        <is>
          <t>Nusa Tenggara Timur</t>
        </is>
      </c>
      <c r="Q19" t="inlineStr"/>
    </row>
    <row r="20">
      <c r="A20" t="inlineStr">
        <is>
          <t>ANTARIKSA PRITAMA</t>
        </is>
      </c>
      <c r="B20" t="inlineStr">
        <is>
          <t>Kab. Boalemo</t>
        </is>
      </c>
      <c r="C20" t="inlineStr">
        <is>
          <t>081355049775</t>
        </is>
      </c>
      <c r="D20" t="inlineStr">
        <is>
          <t>cvantariksapritama@gmail.com</t>
        </is>
      </c>
      <c r="E20" t="inlineStr">
        <is>
          <t>https://lpjk.pu.go.id/search-badan-usaha-detail/NDB0YVZNSUJzekQ3OUZsTmFrbWxPQT09</t>
        </is>
      </c>
      <c r="F20" t="n">
        <v>1</v>
      </c>
      <c r="G20" t="inlineStr">
        <is>
          <t>BG002</t>
        </is>
      </c>
      <c r="H20" t="inlineStr">
        <is>
          <t>25 Juli 2022</t>
        </is>
      </c>
      <c r="I20" s="2" t="n">
        <v>46222</v>
      </c>
      <c r="J20" t="inlineStr">
        <is>
          <t>Disetujui</t>
        </is>
      </c>
      <c r="K20" t="n">
        <v>30</v>
      </c>
      <c r="L20" t="inlineStr">
        <is>
          <t>19 Juli 2026</t>
        </is>
      </c>
      <c r="M20" t="inlineStr">
        <is>
          <t>Konstruksi Gedung Perkantoran</t>
        </is>
      </c>
      <c r="N20" t="inlineStr">
        <is>
          <t>K</t>
        </is>
      </c>
      <c r="O20" t="inlineStr">
        <is>
          <t>20230720</t>
        </is>
      </c>
      <c r="P20" t="inlineStr">
        <is>
          <t>Gorontalo</t>
        </is>
      </c>
      <c r="Q20" t="inlineStr"/>
    </row>
    <row r="21">
      <c r="A21" t="inlineStr">
        <is>
          <t>ANUGERAH BINTANG PERKASA</t>
        </is>
      </c>
      <c r="B21" t="inlineStr">
        <is>
          <t>Kab. Sidoarjo</t>
        </is>
      </c>
      <c r="C21" t="inlineStr">
        <is>
          <t>085856187262</t>
        </is>
      </c>
      <c r="D21" t="inlineStr">
        <is>
          <t>cv.anugerahbintangperkasa@gmail.com</t>
        </is>
      </c>
      <c r="E21" t="inlineStr">
        <is>
          <t>https://lpjk.pu.go.id/search-badan-usaha-detail/cDhkZ1JPWFF5ek9IU2grc05rYUdJUT09</t>
        </is>
      </c>
      <c r="F21" t="n">
        <v>1</v>
      </c>
      <c r="G21" t="inlineStr">
        <is>
          <t>BG002</t>
        </is>
      </c>
      <c r="H21" t="inlineStr">
        <is>
          <t>9 Februari 2017</t>
        </is>
      </c>
      <c r="I21" s="2" t="n">
        <v>46222</v>
      </c>
      <c r="J21" t="inlineStr">
        <is>
          <t>Disetujui</t>
        </is>
      </c>
      <c r="K21" t="n">
        <v>30</v>
      </c>
      <c r="L21" t="inlineStr">
        <is>
          <t>19 Juli 2026</t>
        </is>
      </c>
      <c r="M21" t="inlineStr">
        <is>
          <t>Konstruksi Gedung Perkantoran</t>
        </is>
      </c>
      <c r="N21" t="inlineStr">
        <is>
          <t>K</t>
        </is>
      </c>
      <c r="O21" t="inlineStr">
        <is>
          <t>20230718</t>
        </is>
      </c>
      <c r="P21" t="inlineStr">
        <is>
          <t>Jawa Timur</t>
        </is>
      </c>
      <c r="Q21" t="inlineStr"/>
    </row>
    <row r="22">
      <c r="A22" t="inlineStr">
        <is>
          <t>ANUGRAH MULIA PERSADA</t>
        </is>
      </c>
      <c r="B22" t="inlineStr">
        <is>
          <t>Kab. Majene</t>
        </is>
      </c>
      <c r="C22" t="inlineStr">
        <is>
          <t>085255956999</t>
        </is>
      </c>
      <c r="D22" t="inlineStr">
        <is>
          <t>cvnusantara1945@gmail.com</t>
        </is>
      </c>
      <c r="E22" t="inlineStr">
        <is>
          <t>https://lpjk.pu.go.id/search-badan-usaha-detail/OWJjaENRQXJjUzZLY2JHMENLQmNSUT09</t>
        </is>
      </c>
      <c r="F22" t="n">
        <v>2</v>
      </c>
      <c r="G22" t="inlineStr">
        <is>
          <t>BG006</t>
        </is>
      </c>
      <c r="H22" t="inlineStr">
        <is>
          <t>31 Desember 2002</t>
        </is>
      </c>
      <c r="I22" s="2" t="n">
        <v>46222</v>
      </c>
      <c r="J22" t="inlineStr">
        <is>
          <t>Pencabutan</t>
        </is>
      </c>
      <c r="K22" t="n">
        <v>30</v>
      </c>
      <c r="L22" t="inlineStr">
        <is>
          <t>19 Juli 2026</t>
        </is>
      </c>
      <c r="M22" t="inlineStr">
        <is>
          <t>Konstruksi Gedung Pendidikan</t>
        </is>
      </c>
      <c r="N22" t="inlineStr">
        <is>
          <t>K</t>
        </is>
      </c>
      <c r="O22" t="inlineStr">
        <is>
          <t>20230626</t>
        </is>
      </c>
      <c r="P22" t="inlineStr">
        <is>
          <t>Sulawesi Barat</t>
        </is>
      </c>
      <c r="Q22" t="inlineStr"/>
    </row>
    <row r="23">
      <c r="A23" t="inlineStr">
        <is>
          <t>AQILA KONSTRUKSI</t>
        </is>
      </c>
      <c r="B23" t="inlineStr">
        <is>
          <t>Kab. Pasaman</t>
        </is>
      </c>
      <c r="C23" t="inlineStr">
        <is>
          <t>081266158893</t>
        </is>
      </c>
      <c r="D23" t="inlineStr">
        <is>
          <t>a.kontruksi78@gmail.com</t>
        </is>
      </c>
      <c r="E23" t="inlineStr">
        <is>
          <t>https://lpjk.pu.go.id/search-badan-usaha-detail/ZEdRVHloZXorQVczdnRQOVR0OTMrQT09</t>
        </is>
      </c>
      <c r="F23" t="n">
        <v>1</v>
      </c>
      <c r="G23" t="inlineStr">
        <is>
          <t>BG001</t>
        </is>
      </c>
      <c r="H23" t="inlineStr">
        <is>
          <t>26 April 2016</t>
        </is>
      </c>
      <c r="I23" s="2" t="n">
        <v>46222</v>
      </c>
      <c r="J23" t="inlineStr">
        <is>
          <t>Disetujui</t>
        </is>
      </c>
      <c r="K23" t="n">
        <v>30</v>
      </c>
      <c r="L23" t="inlineStr">
        <is>
          <t>19 Juli 2026</t>
        </is>
      </c>
      <c r="M23" t="inlineStr">
        <is>
          <t>Konstruksi Gedung Hunian</t>
        </is>
      </c>
      <c r="N23" t="inlineStr">
        <is>
          <t>K</t>
        </is>
      </c>
      <c r="O23" t="inlineStr">
        <is>
          <t>20230531</t>
        </is>
      </c>
      <c r="P23" t="inlineStr">
        <is>
          <t>Sumatera Barat</t>
        </is>
      </c>
      <c r="Q23" t="inlineStr"/>
    </row>
    <row r="24">
      <c r="A24" t="inlineStr">
        <is>
          <t>ARINA BENELSI CEMERLANG</t>
        </is>
      </c>
      <c r="B24" t="inlineStr">
        <is>
          <t>Kota Ambon</t>
        </is>
      </c>
      <c r="C24" t="inlineStr">
        <is>
          <t>081343207432</t>
        </is>
      </c>
      <c r="D24" t="inlineStr">
        <is>
          <t>cv.arinabenelsicemerlang@gmail.com</t>
        </is>
      </c>
      <c r="E24" t="inlineStr">
        <is>
          <t>https://lpjk.pu.go.id/search-badan-usaha-detail/TlN0SDR6eDlqOVc1Q3l3Um9wSThDZz09</t>
        </is>
      </c>
      <c r="F24" t="n">
        <v>2</v>
      </c>
      <c r="G24" t="inlineStr">
        <is>
          <t>BG006, BG009</t>
        </is>
      </c>
      <c r="H24" t="inlineStr">
        <is>
          <t>25 Februari 2022</t>
        </is>
      </c>
      <c r="I24" s="2" t="n">
        <v>46222</v>
      </c>
      <c r="J24" t="inlineStr">
        <is>
          <t>Pencabutan</t>
        </is>
      </c>
      <c r="K24" t="n">
        <v>30</v>
      </c>
      <c r="L24" t="inlineStr">
        <is>
          <t>19 Juli 2026</t>
        </is>
      </c>
      <c r="M24" t="inlineStr">
        <is>
          <t>Konstruksi Gedung Lainnya, Konstruksi Gedung Pendidikan</t>
        </is>
      </c>
      <c r="N24" t="inlineStr">
        <is>
          <t>K</t>
        </is>
      </c>
      <c r="O24" t="inlineStr">
        <is>
          <t>20230719</t>
        </is>
      </c>
      <c r="P24" t="inlineStr">
        <is>
          <t>Maluku</t>
        </is>
      </c>
      <c r="Q24" t="inlineStr"/>
    </row>
    <row r="25">
      <c r="A25" t="inlineStr">
        <is>
          <t>ARTA CITRA EMAS</t>
        </is>
      </c>
      <c r="B25" t="inlineStr">
        <is>
          <t>Kota Malang</t>
        </is>
      </c>
      <c r="C25" t="inlineStr">
        <is>
          <t>0341571680</t>
        </is>
      </c>
      <c r="D25" t="inlineStr">
        <is>
          <t>artacitraemas@yahoo.co.id</t>
        </is>
      </c>
      <c r="E25" t="inlineStr">
        <is>
          <t>https://lpjk.pu.go.id/search-badan-usaha-detail/YkhDYlRUT0hsRFpnL1l6VXRQd2o0dz09</t>
        </is>
      </c>
      <c r="F25" t="n">
        <v>1</v>
      </c>
      <c r="G25" t="inlineStr">
        <is>
          <t>BG009</t>
        </is>
      </c>
      <c r="H25" t="inlineStr">
        <is>
          <t>12 Juli 2011</t>
        </is>
      </c>
      <c r="I25" s="2" t="n">
        <v>46222</v>
      </c>
      <c r="J25" t="inlineStr">
        <is>
          <t>Disetujui</t>
        </is>
      </c>
      <c r="K25" t="n">
        <v>30</v>
      </c>
      <c r="L25" t="inlineStr">
        <is>
          <t>19 Juli 2026</t>
        </is>
      </c>
      <c r="M25" t="inlineStr">
        <is>
          <t>Konstruksi Gedung Lainnya</t>
        </is>
      </c>
      <c r="N25" t="inlineStr">
        <is>
          <t>K</t>
        </is>
      </c>
      <c r="O25" t="inlineStr">
        <is>
          <t>20230704</t>
        </is>
      </c>
      <c r="P25" t="inlineStr">
        <is>
          <t>Jawa Timur</t>
        </is>
      </c>
      <c r="Q25" t="inlineStr"/>
    </row>
    <row r="26">
      <c r="A26" t="inlineStr">
        <is>
          <t>ARTA MANDALA</t>
        </is>
      </c>
      <c r="B26" t="inlineStr">
        <is>
          <t>Kota Bandar Lampung</t>
        </is>
      </c>
      <c r="C26" t="inlineStr">
        <is>
          <t>08117919991</t>
        </is>
      </c>
      <c r="D26" t="inlineStr">
        <is>
          <t>artamandalacv@yahoo.co.id</t>
        </is>
      </c>
      <c r="E26" t="inlineStr">
        <is>
          <t>https://lpjk.pu.go.id/search-badan-usaha-detail/VVNzT2NNY08veWpmWU1wQVMzajkzZz09</t>
        </is>
      </c>
      <c r="F26" t="n">
        <v>2</v>
      </c>
      <c r="G26" t="inlineStr">
        <is>
          <t>BG002, BG005</t>
        </is>
      </c>
      <c r="H26" t="inlineStr">
        <is>
          <t>2 November 1985</t>
        </is>
      </c>
      <c r="I26" s="2" t="n">
        <v>46222</v>
      </c>
      <c r="J26" t="inlineStr">
        <is>
          <t>Pencabutan</t>
        </is>
      </c>
      <c r="K26" t="n">
        <v>30</v>
      </c>
      <c r="L26" t="inlineStr">
        <is>
          <t>19 Juli 2026</t>
        </is>
      </c>
      <c r="M26" t="inlineStr">
        <is>
          <t>Konstruksi Gedung Kesehatan, Konstruksi Gedung Perkantoran</t>
        </is>
      </c>
      <c r="N26" t="inlineStr">
        <is>
          <t>K</t>
        </is>
      </c>
      <c r="O26" t="inlineStr">
        <is>
          <t>20230718</t>
        </is>
      </c>
      <c r="P26" t="inlineStr">
        <is>
          <t>Lampung</t>
        </is>
      </c>
      <c r="Q26" t="inlineStr"/>
    </row>
    <row r="27">
      <c r="A27" t="inlineStr">
        <is>
          <t>ARTAMA NAWASENA</t>
        </is>
      </c>
      <c r="B27" t="inlineStr">
        <is>
          <t>Kab. Jombang</t>
        </is>
      </c>
      <c r="C27" t="inlineStr">
        <is>
          <t>081234318562</t>
        </is>
      </c>
      <c r="D27" t="inlineStr">
        <is>
          <t>artamanawasena@gmail.com</t>
        </is>
      </c>
      <c r="E27" t="inlineStr">
        <is>
          <t>https://lpjk.pu.go.id/search-badan-usaha-detail/bkJiSlVvL0tQMDU4YU82VjRtSUpOZz09</t>
        </is>
      </c>
      <c r="F27" t="n">
        <v>1</v>
      </c>
      <c r="G27" t="inlineStr">
        <is>
          <t>BG005</t>
        </is>
      </c>
      <c r="H27" t="inlineStr">
        <is>
          <t>22 Juli 2022</t>
        </is>
      </c>
      <c r="I27" s="2" t="n">
        <v>46222</v>
      </c>
      <c r="J27" t="inlineStr">
        <is>
          <t>Disetujui</t>
        </is>
      </c>
      <c r="K27" t="n">
        <v>30</v>
      </c>
      <c r="L27" t="inlineStr">
        <is>
          <t>19 Juli 2026</t>
        </is>
      </c>
      <c r="M27" t="inlineStr">
        <is>
          <t>Konstruksi Gedung Kesehatan</t>
        </is>
      </c>
      <c r="N27" t="inlineStr">
        <is>
          <t>K</t>
        </is>
      </c>
      <c r="O27" t="inlineStr">
        <is>
          <t>20230712</t>
        </is>
      </c>
      <c r="P27" t="inlineStr">
        <is>
          <t>Jawa Timur</t>
        </is>
      </c>
      <c r="Q27" t="inlineStr"/>
    </row>
    <row r="28">
      <c r="A28" t="inlineStr">
        <is>
          <t>ARTHA PERDANA</t>
        </is>
      </c>
      <c r="B28" t="inlineStr">
        <is>
          <t>Kota Bandar Lampung</t>
        </is>
      </c>
      <c r="C28" t="inlineStr">
        <is>
          <t>08127952579</t>
        </is>
      </c>
      <c r="D28" t="inlineStr">
        <is>
          <t>cv.arthaperdana2016@gmail.com</t>
        </is>
      </c>
      <c r="E28" t="inlineStr">
        <is>
          <t>https://lpjk.pu.go.id/search-badan-usaha-detail/ZVNrYnA4RjRPZGJkKzlBY2FOZFcwUT09</t>
        </is>
      </c>
      <c r="F28" t="n">
        <v>1</v>
      </c>
      <c r="G28" t="inlineStr">
        <is>
          <t>BS001</t>
        </is>
      </c>
      <c r="H28" t="inlineStr">
        <is>
          <t>4 Februari 2014</t>
        </is>
      </c>
      <c r="I28" s="2" t="n">
        <v>46222</v>
      </c>
      <c r="J28" t="inlineStr">
        <is>
          <t>Disetujui</t>
        </is>
      </c>
      <c r="K28" t="n">
        <v>30</v>
      </c>
      <c r="L28" t="inlineStr">
        <is>
          <t>19 Juli 2026</t>
        </is>
      </c>
      <c r="M28" t="inlineStr">
        <is>
          <t>Konstruksi Bangunan Sipil Jalan</t>
        </is>
      </c>
      <c r="N28" t="inlineStr">
        <is>
          <t>K</t>
        </is>
      </c>
      <c r="O28" t="inlineStr">
        <is>
          <t>20230715</t>
        </is>
      </c>
      <c r="P28" t="inlineStr">
        <is>
          <t>Lampung</t>
        </is>
      </c>
      <c r="Q28" t="inlineStr"/>
    </row>
    <row r="29">
      <c r="A29" t="inlineStr">
        <is>
          <t>ATHALLAH PUTRA MANDIRI</t>
        </is>
      </c>
      <c r="B29" t="inlineStr">
        <is>
          <t>Kota Tangerang</t>
        </is>
      </c>
      <c r="C29" t="inlineStr">
        <is>
          <t>08985556050</t>
        </is>
      </c>
      <c r="D29" t="inlineStr">
        <is>
          <t>putramandiri.athallah@gmail.com</t>
        </is>
      </c>
      <c r="E29" t="inlineStr">
        <is>
          <t>https://lpjk.pu.go.id/search-badan-usaha-detail/UXF0d2FFR2Ywd2VhSDIycmo1Q21Gdz09</t>
        </is>
      </c>
      <c r="F29" t="n">
        <v>3</v>
      </c>
      <c r="G29" t="inlineStr">
        <is>
          <t>BG006</t>
        </is>
      </c>
      <c r="H29" t="inlineStr">
        <is>
          <t>7 Maret 2011</t>
        </is>
      </c>
      <c r="I29" s="2" t="n">
        <v>46222</v>
      </c>
      <c r="J29" t="inlineStr">
        <is>
          <t>Pencabutan</t>
        </is>
      </c>
      <c r="K29" t="n">
        <v>30</v>
      </c>
      <c r="L29" t="inlineStr">
        <is>
          <t>19 Juli 2026</t>
        </is>
      </c>
      <c r="M29" t="inlineStr">
        <is>
          <t>Konstruksi Gedung Pendidikan</t>
        </is>
      </c>
      <c r="N29" t="inlineStr">
        <is>
          <t>K</t>
        </is>
      </c>
      <c r="O29" t="inlineStr">
        <is>
          <t>20230720</t>
        </is>
      </c>
      <c r="P29" t="inlineStr">
        <is>
          <t>Banten</t>
        </is>
      </c>
      <c r="Q29" t="inlineStr"/>
    </row>
    <row r="30">
      <c r="A30" t="inlineStr">
        <is>
          <t>AWAN PERKASA UTAMA</t>
        </is>
      </c>
      <c r="B30" t="inlineStr">
        <is>
          <t>Kab. Konawe Selatan</t>
        </is>
      </c>
      <c r="C30" t="inlineStr">
        <is>
          <t>082222269308</t>
        </is>
      </c>
      <c r="D30" t="inlineStr">
        <is>
          <t>awanperkasautama@gmail.com</t>
        </is>
      </c>
      <c r="E30" t="inlineStr">
        <is>
          <t>https://lpjk.pu.go.id/search-badan-usaha-detail/SUtQKzhMODRPdWg0a0U4NUlsSno1dz09</t>
        </is>
      </c>
      <c r="F30" t="n">
        <v>1</v>
      </c>
      <c r="G30" t="inlineStr">
        <is>
          <t>BG006</t>
        </is>
      </c>
      <c r="H30" t="inlineStr">
        <is>
          <t>28 April 2015</t>
        </is>
      </c>
      <c r="I30" s="2" t="n">
        <v>46222</v>
      </c>
      <c r="J30" t="inlineStr">
        <is>
          <t>Pencabutan</t>
        </is>
      </c>
      <c r="K30" t="n">
        <v>30</v>
      </c>
      <c r="L30" t="inlineStr">
        <is>
          <t>19 Juli 2026</t>
        </is>
      </c>
      <c r="M30" t="inlineStr">
        <is>
          <t>Konstruksi Gedung Pendidikan</t>
        </is>
      </c>
      <c r="N30" t="inlineStr">
        <is>
          <t>K</t>
        </is>
      </c>
      <c r="O30" t="inlineStr">
        <is>
          <t>20230706</t>
        </is>
      </c>
      <c r="P30" t="inlineStr">
        <is>
          <t>Sulawesi Tenggara</t>
        </is>
      </c>
      <c r="Q30" t="inlineStr"/>
    </row>
    <row r="31">
      <c r="A31" t="inlineStr">
        <is>
          <t>BANGUN UTAMA</t>
        </is>
      </c>
      <c r="B31" t="inlineStr">
        <is>
          <t>Kab. Pasaman</t>
        </is>
      </c>
      <c r="C31" t="inlineStr">
        <is>
          <t>082385309980</t>
        </is>
      </c>
      <c r="D31" t="inlineStr">
        <is>
          <t>cv.bangunutama@ymail.com</t>
        </is>
      </c>
      <c r="E31" t="inlineStr">
        <is>
          <t>https://lpjk.pu.go.id/search-badan-usaha-detail/aHh5SE9JVjZtSkZKcWUrZml1SytvUT09</t>
        </is>
      </c>
      <c r="F31" t="n">
        <v>1</v>
      </c>
      <c r="G31" t="inlineStr">
        <is>
          <t>BS004</t>
        </is>
      </c>
      <c r="H31" t="inlineStr">
        <is>
          <t>31 Maret 2010</t>
        </is>
      </c>
      <c r="I31" s="2" t="n">
        <v>46222</v>
      </c>
      <c r="J31" t="inlineStr">
        <is>
          <t>Disetujui</t>
        </is>
      </c>
      <c r="K31" t="n">
        <v>30</v>
      </c>
      <c r="L31" t="inlineStr">
        <is>
          <t>19 Juli 2026</t>
        </is>
      </c>
      <c r="M31" t="inlineStr">
        <is>
          <t>Konstruksi Jaringan Irigasi dan Drainase</t>
        </is>
      </c>
      <c r="N31" t="inlineStr">
        <is>
          <t>K</t>
        </is>
      </c>
      <c r="O31" t="inlineStr">
        <is>
          <t>20230621</t>
        </is>
      </c>
      <c r="P31" t="inlineStr">
        <is>
          <t>Sumatera Barat</t>
        </is>
      </c>
      <c r="Q31" t="inlineStr"/>
    </row>
    <row r="32">
      <c r="A32" t="inlineStr">
        <is>
          <t>BENING CONSTRUKSI</t>
        </is>
      </c>
      <c r="B32" t="inlineStr">
        <is>
          <t>Kota Bandar Lampung</t>
        </is>
      </c>
      <c r="C32" t="inlineStr">
        <is>
          <t>087864625366</t>
        </is>
      </c>
      <c r="D32" t="inlineStr">
        <is>
          <t>cv.beningconstruksi@gmail.com</t>
        </is>
      </c>
      <c r="E32" t="inlineStr">
        <is>
          <t>https://lpjk.pu.go.id/search-badan-usaha-detail/QWFvb0pLamRWdWJGM1RWdUN0NXh4Zz09</t>
        </is>
      </c>
      <c r="F32" t="n">
        <v>1</v>
      </c>
      <c r="G32" t="inlineStr">
        <is>
          <t>BG006</t>
        </is>
      </c>
      <c r="H32" t="inlineStr">
        <is>
          <t>8 Juni 2022</t>
        </is>
      </c>
      <c r="I32" s="2" t="n">
        <v>46222</v>
      </c>
      <c r="J32" t="inlineStr">
        <is>
          <t>Disetujui</t>
        </is>
      </c>
      <c r="K32" t="n">
        <v>30</v>
      </c>
      <c r="L32" t="inlineStr">
        <is>
          <t>19 Juli 2026</t>
        </is>
      </c>
      <c r="M32" t="inlineStr">
        <is>
          <t>Konstruksi Gedung Pendidikan</t>
        </is>
      </c>
      <c r="N32" t="inlineStr">
        <is>
          <t>K</t>
        </is>
      </c>
      <c r="O32" t="inlineStr">
        <is>
          <t>20230720</t>
        </is>
      </c>
      <c r="P32" t="inlineStr">
        <is>
          <t>Lampung</t>
        </is>
      </c>
      <c r="Q32" t="inlineStr"/>
    </row>
    <row r="33">
      <c r="A33" t="inlineStr">
        <is>
          <t>BENUA MITRA KONSTRUKSI</t>
        </is>
      </c>
      <c r="B33" t="inlineStr">
        <is>
          <t>Kab. Kayong Utara</t>
        </is>
      </c>
      <c r="C33" t="inlineStr">
        <is>
          <t>085752029769</t>
        </is>
      </c>
      <c r="D33" t="inlineStr">
        <is>
          <t>mitrakonstruksi01@gmail.com</t>
        </is>
      </c>
      <c r="E33" t="inlineStr">
        <is>
          <t>https://lpjk.pu.go.id/search-badan-usaha-detail/cVBZNGdWRy9PYlBNRUpNR3NrK0YrUT09</t>
        </is>
      </c>
      <c r="F33" t="n">
        <v>1</v>
      </c>
      <c r="G33" t="inlineStr">
        <is>
          <t>BS001</t>
        </is>
      </c>
      <c r="H33" t="inlineStr">
        <is>
          <t>12 November 2015</t>
        </is>
      </c>
      <c r="I33" s="2" t="n">
        <v>46222</v>
      </c>
      <c r="J33" t="inlineStr">
        <is>
          <t>Pencabutan</t>
        </is>
      </c>
      <c r="K33" t="n">
        <v>30</v>
      </c>
      <c r="L33" t="inlineStr">
        <is>
          <t>19 Juli 2026</t>
        </is>
      </c>
      <c r="M33" t="inlineStr">
        <is>
          <t>Konstruksi Bangunan Sipil Jalan</t>
        </is>
      </c>
      <c r="N33" t="inlineStr">
        <is>
          <t>K</t>
        </is>
      </c>
      <c r="O33" t="inlineStr">
        <is>
          <t>20230719</t>
        </is>
      </c>
      <c r="P33" t="inlineStr">
        <is>
          <t>Kalimantan Barat</t>
        </is>
      </c>
      <c r="Q33" t="inlineStr"/>
    </row>
    <row r="34">
      <c r="A34" t="inlineStr">
        <is>
          <t>BERLIAN MAS</t>
        </is>
      </c>
      <c r="B34" t="inlineStr">
        <is>
          <t>Kota Pariaman</t>
        </is>
      </c>
      <c r="C34" t="inlineStr">
        <is>
          <t>081267977386</t>
        </is>
      </c>
      <c r="D34" t="inlineStr">
        <is>
          <t>cv.berlianmas.sumbar23@gmail.com</t>
        </is>
      </c>
      <c r="E34" t="inlineStr">
        <is>
          <t>https://lpjk.pu.go.id/search-badan-usaha-detail/cmxLeklacjliT3JuL25MRkFzOU4xdz09</t>
        </is>
      </c>
      <c r="F34" t="n">
        <v>3</v>
      </c>
      <c r="G34" t="inlineStr">
        <is>
          <t>BG002, BG005, BG006</t>
        </is>
      </c>
      <c r="H34" t="inlineStr">
        <is>
          <t>30 Januari 2023</t>
        </is>
      </c>
      <c r="I34" s="2" t="n">
        <v>46222</v>
      </c>
      <c r="J34" t="inlineStr">
        <is>
          <t>Disetujui</t>
        </is>
      </c>
      <c r="K34" t="n">
        <v>30</v>
      </c>
      <c r="L34" t="inlineStr">
        <is>
          <t>19 Juli 2026</t>
        </is>
      </c>
      <c r="M34" t="inlineStr">
        <is>
          <t>Konstruksi Gedung Kesehatan, Konstruksi Gedung Pendidikan, Konstruksi Gedung Perkantoran</t>
        </is>
      </c>
      <c r="N34" t="inlineStr">
        <is>
          <t>K</t>
        </is>
      </c>
      <c r="O34" t="inlineStr">
        <is>
          <t>20230718</t>
        </is>
      </c>
      <c r="P34" t="inlineStr">
        <is>
          <t>Sumatera Barat</t>
        </is>
      </c>
      <c r="Q34" t="inlineStr"/>
    </row>
    <row r="35">
      <c r="A35" t="inlineStr">
        <is>
          <t>BETHESDA</t>
        </is>
      </c>
      <c r="B35" t="inlineStr">
        <is>
          <t>Kab. Minahasa Utara</t>
        </is>
      </c>
      <c r="C35" t="inlineStr">
        <is>
          <t>08124472992</t>
        </is>
      </c>
      <c r="D35" t="inlineStr">
        <is>
          <t>cv.bethesda24@gmail.com</t>
        </is>
      </c>
      <c r="E35" t="inlineStr">
        <is>
          <t>https://lpjk.pu.go.id/search-badan-usaha-detail/SVRsWWQ1UWVUNThWUTEzcEcxTkhiQT09</t>
        </is>
      </c>
      <c r="F35" t="n">
        <v>1</v>
      </c>
      <c r="G35" t="inlineStr">
        <is>
          <t>BS001</t>
        </is>
      </c>
      <c r="H35" t="inlineStr">
        <is>
          <t>29 Februari 2016</t>
        </is>
      </c>
      <c r="I35" s="2" t="n">
        <v>46222</v>
      </c>
      <c r="J35" t="inlineStr">
        <is>
          <t>Disetujui</t>
        </is>
      </c>
      <c r="K35" t="n">
        <v>30</v>
      </c>
      <c r="L35" t="inlineStr">
        <is>
          <t>19 Juli 2026</t>
        </is>
      </c>
      <c r="M35" t="inlineStr">
        <is>
          <t>Konstruksi Bangunan Sipil Jalan</t>
        </is>
      </c>
      <c r="N35" t="inlineStr">
        <is>
          <t>K</t>
        </is>
      </c>
      <c r="O35" t="inlineStr">
        <is>
          <t>20230719</t>
        </is>
      </c>
      <c r="P35" t="inlineStr">
        <is>
          <t>Sulawesi Utara</t>
        </is>
      </c>
      <c r="Q35" t="inlineStr"/>
    </row>
    <row r="36">
      <c r="A36" t="inlineStr">
        <is>
          <t>BINTANG JAYA</t>
        </is>
      </c>
      <c r="B36" t="inlineStr">
        <is>
          <t>Kota Medan</t>
        </is>
      </c>
      <c r="C36" t="inlineStr">
        <is>
          <t>082360578081</t>
        </is>
      </c>
      <c r="D36" t="inlineStr">
        <is>
          <t>cv_bintangjaya@ymail.com</t>
        </is>
      </c>
      <c r="E36" t="inlineStr">
        <is>
          <t>https://lpjk.pu.go.id/search-badan-usaha-detail/OEw4bEFPYTYzTlNMMDBDdGxmNUlKQT09</t>
        </is>
      </c>
      <c r="F36" t="n">
        <v>2</v>
      </c>
      <c r="G36" t="inlineStr">
        <is>
          <t>BG001</t>
        </is>
      </c>
      <c r="H36" t="inlineStr">
        <is>
          <t>4 Februari 2009</t>
        </is>
      </c>
      <c r="I36" s="2" t="n">
        <v>46222</v>
      </c>
      <c r="J36" t="inlineStr">
        <is>
          <t>Pencabutan</t>
        </is>
      </c>
      <c r="K36" t="n">
        <v>30</v>
      </c>
      <c r="L36" t="inlineStr">
        <is>
          <t>19 Juli 2026</t>
        </is>
      </c>
      <c r="M36" t="inlineStr">
        <is>
          <t>Konstruksi Gedung Hunian</t>
        </is>
      </c>
      <c r="N36" t="inlineStr">
        <is>
          <t>K</t>
        </is>
      </c>
      <c r="O36" t="inlineStr">
        <is>
          <t>20230718</t>
        </is>
      </c>
      <c r="P36" t="inlineStr">
        <is>
          <t>Sumatera Utara</t>
        </is>
      </c>
      <c r="Q36" t="inlineStr"/>
    </row>
    <row r="37">
      <c r="A37" t="inlineStr">
        <is>
          <t>BINTANG LAUT</t>
        </is>
      </c>
      <c r="B37" t="inlineStr">
        <is>
          <t>Kab. Pangandaran</t>
        </is>
      </c>
      <c r="C37" t="inlineStr">
        <is>
          <t>082120001630</t>
        </is>
      </c>
      <c r="D37" t="inlineStr">
        <is>
          <t>cv.bintanglaut1@gmail.com</t>
        </is>
      </c>
      <c r="E37" t="inlineStr">
        <is>
          <t>https://lpjk.pu.go.id/search-badan-usaha-detail/Sk1YUEVwK2dUSHJsQTMxdHNVc1N0dz09</t>
        </is>
      </c>
      <c r="F37" t="n">
        <v>2</v>
      </c>
      <c r="G37" t="inlineStr">
        <is>
          <t>BS001</t>
        </is>
      </c>
      <c r="H37" t="inlineStr">
        <is>
          <t>12 Januari 2016</t>
        </is>
      </c>
      <c r="I37" s="2" t="n">
        <v>46222</v>
      </c>
      <c r="J37" t="inlineStr">
        <is>
          <t>Disetujui</t>
        </is>
      </c>
      <c r="K37" t="n">
        <v>30</v>
      </c>
      <c r="L37" t="inlineStr">
        <is>
          <t>19 Juli 2026</t>
        </is>
      </c>
      <c r="M37" t="inlineStr">
        <is>
          <t>Konstruksi Bangunan Sipil Jalan</t>
        </is>
      </c>
      <c r="N37" t="inlineStr">
        <is>
          <t>K</t>
        </is>
      </c>
      <c r="O37" t="inlineStr">
        <is>
          <t>20230718</t>
        </is>
      </c>
      <c r="P37" t="inlineStr">
        <is>
          <t>Jawa Barat</t>
        </is>
      </c>
      <c r="Q37" t="inlineStr"/>
    </row>
    <row r="38">
      <c r="A38" t="inlineStr">
        <is>
          <t>BINTANG WAJO GU</t>
        </is>
      </c>
      <c r="B38" t="inlineStr">
        <is>
          <t>Kab. Buton Tengah</t>
        </is>
      </c>
      <c r="C38" t="inlineStr">
        <is>
          <t>085241540605</t>
        </is>
      </c>
      <c r="D38" t="inlineStr">
        <is>
          <t>bintangwajogu@yahoo.com</t>
        </is>
      </c>
      <c r="E38" t="inlineStr">
        <is>
          <t>https://lpjk.pu.go.id/search-badan-usaha-detail/QjJYVzZzaUVSWm92Q0tpeThKN1dEQT09</t>
        </is>
      </c>
      <c r="F38" t="n">
        <v>2</v>
      </c>
      <c r="G38" t="inlineStr">
        <is>
          <t>BS001</t>
        </is>
      </c>
      <c r="H38" t="inlineStr">
        <is>
          <t>24 September 2013</t>
        </is>
      </c>
      <c r="I38" s="2" t="n">
        <v>46222</v>
      </c>
      <c r="J38" t="inlineStr">
        <is>
          <t>Disetujui</t>
        </is>
      </c>
      <c r="K38" t="n">
        <v>30</v>
      </c>
      <c r="L38" t="inlineStr">
        <is>
          <t>19 Juli 2026</t>
        </is>
      </c>
      <c r="M38" t="inlineStr">
        <is>
          <t>Konstruksi Bangunan Sipil Jalan</t>
        </is>
      </c>
      <c r="N38" t="inlineStr">
        <is>
          <t>K</t>
        </is>
      </c>
      <c r="O38" t="inlineStr">
        <is>
          <t>20230715</t>
        </is>
      </c>
      <c r="P38" t="inlineStr">
        <is>
          <t>Sulawesi Tenggara</t>
        </is>
      </c>
      <c r="Q38" t="inlineStr"/>
    </row>
    <row r="39">
      <c r="A39" t="inlineStr">
        <is>
          <t>BRAMA SARI</t>
        </is>
      </c>
      <c r="B39" t="inlineStr">
        <is>
          <t>Kota Medan</t>
        </is>
      </c>
      <c r="C39" t="inlineStr">
        <is>
          <t>085105375353</t>
        </is>
      </c>
      <c r="D39" t="inlineStr">
        <is>
          <t>pt_bramasari@yahoo.com</t>
        </is>
      </c>
      <c r="E39" t="inlineStr">
        <is>
          <t>https://lpjk.pu.go.id/search-badan-usaha-detail/aVJwWGFwK2w1V1NVOUdLU1UzQkgyZz09</t>
        </is>
      </c>
      <c r="F39" t="n">
        <v>1</v>
      </c>
      <c r="G39" t="inlineStr">
        <is>
          <t>BS001</t>
        </is>
      </c>
      <c r="H39" t="inlineStr">
        <is>
          <t>15 Mei 2008</t>
        </is>
      </c>
      <c r="I39" s="2" t="n">
        <v>46222</v>
      </c>
      <c r="J39" t="inlineStr">
        <is>
          <t>Pembekuan</t>
        </is>
      </c>
      <c r="K39" t="n">
        <v>30</v>
      </c>
      <c r="L39" t="inlineStr">
        <is>
          <t>19 Juli 2026</t>
        </is>
      </c>
      <c r="M39" t="inlineStr">
        <is>
          <t>Konstruksi Bangunan Sipil Jalan</t>
        </is>
      </c>
      <c r="N39" t="inlineStr">
        <is>
          <t>M</t>
        </is>
      </c>
      <c r="O39" t="inlineStr">
        <is>
          <t>20230714</t>
        </is>
      </c>
      <c r="P39" t="inlineStr">
        <is>
          <t>Sumatera Utara</t>
        </is>
      </c>
      <c r="Q39" t="inlineStr"/>
    </row>
    <row r="40">
      <c r="A40" t="inlineStr">
        <is>
          <t>BUMI KARYA</t>
        </is>
      </c>
      <c r="B40" t="inlineStr">
        <is>
          <t>Kab. Gowa</t>
        </is>
      </c>
      <c r="C40" t="inlineStr">
        <is>
          <t>0411-4670736</t>
        </is>
      </c>
      <c r="D40" t="inlineStr">
        <is>
          <t>cv.bumikarya70@gmail.com</t>
        </is>
      </c>
      <c r="E40" t="inlineStr">
        <is>
          <t>https://lpjk.pu.go.id/search-badan-usaha-detail/VGNHRklyRmhWVXowd2Fqak1JZG9pQT09</t>
        </is>
      </c>
      <c r="F40" t="n">
        <v>5</v>
      </c>
      <c r="G40" t="inlineStr">
        <is>
          <t>BG004, BG005, BG006, BG009, BS001</t>
        </is>
      </c>
      <c r="H40" t="inlineStr">
        <is>
          <t>6 Juli 2012</t>
        </is>
      </c>
      <c r="I40" s="2" t="n">
        <v>46222</v>
      </c>
      <c r="J40" t="inlineStr">
        <is>
          <t>Disetujui</t>
        </is>
      </c>
      <c r="K40" t="n">
        <v>30</v>
      </c>
      <c r="L40" t="inlineStr">
        <is>
          <t>19 Juli 2026</t>
        </is>
      </c>
      <c r="M40" t="inlineStr">
        <is>
          <t>Konstruksi Bangunan Sipil Jalan, Konstruksi Gedung Kesehatan, Konstruksi Gedung Lainnya, Konstruksi Gedung Pendidikan, Konstruksi Gedung Perbelanjaan</t>
        </is>
      </c>
      <c r="N40" t="inlineStr">
        <is>
          <t>K</t>
        </is>
      </c>
      <c r="O40" t="inlineStr">
        <is>
          <t>20230717</t>
        </is>
      </c>
      <c r="P40" t="inlineStr">
        <is>
          <t>Sulawesi Selatan</t>
        </is>
      </c>
      <c r="Q40" t="inlineStr"/>
    </row>
    <row r="41">
      <c r="A41" t="inlineStr">
        <is>
          <t>BUMI PUTRI AMANDA</t>
        </is>
      </c>
      <c r="B41" t="inlineStr">
        <is>
          <t>Kab. Indramayu</t>
        </is>
      </c>
      <c r="C41" t="inlineStr">
        <is>
          <t>081222457739</t>
        </is>
      </c>
      <c r="D41" t="inlineStr">
        <is>
          <t>ptbumiputriamnda@gmail.com</t>
        </is>
      </c>
      <c r="E41" t="inlineStr">
        <is>
          <t>https://lpjk.pu.go.id/search-badan-usaha-detail/VlM4OHhmN051bHp0NUVWNUVFMm9Kdz09</t>
        </is>
      </c>
      <c r="F41" t="n">
        <v>1</v>
      </c>
      <c r="G41" t="inlineStr">
        <is>
          <t>IN004</t>
        </is>
      </c>
      <c r="H41" t="inlineStr">
        <is>
          <t>9 April 2010</t>
        </is>
      </c>
      <c r="I41" s="2" t="n">
        <v>46222</v>
      </c>
      <c r="J41" t="inlineStr">
        <is>
          <t>Pembekuan</t>
        </is>
      </c>
      <c r="K41" t="n">
        <v>30</v>
      </c>
      <c r="L41" t="inlineStr">
        <is>
          <t>19 Juli 2026</t>
        </is>
      </c>
      <c r="M41" t="inlineStr">
        <is>
          <t>Instalasi Minyak dan Gas</t>
        </is>
      </c>
      <c r="N41" t="inlineStr">
        <is>
          <t>Spesialis</t>
        </is>
      </c>
      <c r="O41" t="inlineStr">
        <is>
          <t>20230717</t>
        </is>
      </c>
      <c r="P41" t="inlineStr">
        <is>
          <t>Jawa Barat</t>
        </is>
      </c>
      <c r="Q41" t="inlineStr"/>
    </row>
    <row r="42">
      <c r="A42" t="inlineStr">
        <is>
          <t>BUNGA MUTIARA</t>
        </is>
      </c>
      <c r="B42" t="inlineStr">
        <is>
          <t>Kota Bandar Lampung</t>
        </is>
      </c>
      <c r="C42" t="inlineStr">
        <is>
          <t>081379831041</t>
        </is>
      </c>
      <c r="D42" t="inlineStr">
        <is>
          <t>bungamutiaracv@yahoo.com</t>
        </is>
      </c>
      <c r="E42" t="inlineStr">
        <is>
          <t>https://lpjk.pu.go.id/search-badan-usaha-detail/V1hHNDFBdzRjTVl3VG14em1PNzdhQT09</t>
        </is>
      </c>
      <c r="F42" t="n">
        <v>1</v>
      </c>
      <c r="G42" t="inlineStr">
        <is>
          <t>BG001</t>
        </is>
      </c>
      <c r="H42" t="inlineStr">
        <is>
          <t>11 Maret 2020</t>
        </is>
      </c>
      <c r="I42" s="2" t="n">
        <v>46222</v>
      </c>
      <c r="J42" t="inlineStr">
        <is>
          <t>Disetujui</t>
        </is>
      </c>
      <c r="K42" t="n">
        <v>30</v>
      </c>
      <c r="L42" t="inlineStr">
        <is>
          <t>19 Juli 2026</t>
        </is>
      </c>
      <c r="M42" t="inlineStr">
        <is>
          <t>Konstruksi Gedung Hunian</t>
        </is>
      </c>
      <c r="N42" t="inlineStr">
        <is>
          <t>K</t>
        </is>
      </c>
      <c r="O42" t="inlineStr">
        <is>
          <t>20230718</t>
        </is>
      </c>
      <c r="P42" t="inlineStr">
        <is>
          <t>Lampung</t>
        </is>
      </c>
      <c r="Q42" t="inlineStr"/>
    </row>
    <row r="43">
      <c r="A43" t="inlineStr">
        <is>
          <t>CAHAYA DWI BINTANG</t>
        </is>
      </c>
      <c r="B43" t="inlineStr">
        <is>
          <t>Kab. Sidoarjo</t>
        </is>
      </c>
      <c r="C43" t="inlineStr">
        <is>
          <t>081332955548</t>
        </is>
      </c>
      <c r="D43" t="inlineStr">
        <is>
          <t>dwibintangcahaya@gmail.com</t>
        </is>
      </c>
      <c r="E43" t="inlineStr">
        <is>
          <t>https://lpjk.pu.go.id/search-badan-usaha-detail/QTJqRC9QWHV0aVhvQytCcTNWMlhqQT09</t>
        </is>
      </c>
      <c r="F43" t="n">
        <v>1</v>
      </c>
      <c r="G43" t="inlineStr">
        <is>
          <t>BS002</t>
        </is>
      </c>
      <c r="H43" t="inlineStr">
        <is>
          <t>18 Februari 2020</t>
        </is>
      </c>
      <c r="I43" s="2" t="n">
        <v>46222</v>
      </c>
      <c r="J43" t="inlineStr">
        <is>
          <t>Disetujui</t>
        </is>
      </c>
      <c r="K43" t="n">
        <v>30</v>
      </c>
      <c r="L43" t="inlineStr">
        <is>
          <t>19 Juli 2026</t>
        </is>
      </c>
      <c r="M43" t="inlineStr">
        <is>
          <t>Bangunan Sipil Jembatan, Jalan Layang, Fly Over, dan Underpass</t>
        </is>
      </c>
      <c r="N43" t="inlineStr">
        <is>
          <t>K</t>
        </is>
      </c>
      <c r="O43" t="inlineStr">
        <is>
          <t>20230718</t>
        </is>
      </c>
      <c r="P43" t="inlineStr">
        <is>
          <t>Jawa Timur</t>
        </is>
      </c>
      <c r="Q43" t="inlineStr"/>
    </row>
    <row r="44">
      <c r="A44" t="inlineStr">
        <is>
          <t>CAHAYA NUR</t>
        </is>
      </c>
      <c r="B44" t="inlineStr">
        <is>
          <t>Kota Bima</t>
        </is>
      </c>
      <c r="C44" t="inlineStr">
        <is>
          <t>082341592156</t>
        </is>
      </c>
      <c r="D44" t="inlineStr">
        <is>
          <t>cvcahayanur388@gmail.com</t>
        </is>
      </c>
      <c r="E44" t="inlineStr">
        <is>
          <t>https://lpjk.pu.go.id/search-badan-usaha-detail/RmgvQkttMm41MFcyWnlhSEQ2OTB6Zz09</t>
        </is>
      </c>
      <c r="F44" t="n">
        <v>2</v>
      </c>
      <c r="G44" t="inlineStr">
        <is>
          <t>BG006, BS005</t>
        </is>
      </c>
      <c r="H44" t="inlineStr">
        <is>
          <t>15 Mei 2012</t>
        </is>
      </c>
      <c r="I44" s="2" t="n">
        <v>46222</v>
      </c>
      <c r="J44" t="inlineStr">
        <is>
          <t>Disetujui</t>
        </is>
      </c>
      <c r="K44" t="n">
        <v>30</v>
      </c>
      <c r="L44" t="inlineStr">
        <is>
          <t>19 Juli 2026</t>
        </is>
      </c>
      <c r="M44" t="inlineStr">
        <is>
          <t>Konstruksi Bangunan Sipil Pengolahan Air Bersih, Konstruksi Gedung Pendidikan</t>
        </is>
      </c>
      <c r="N44" t="inlineStr">
        <is>
          <t>K</t>
        </is>
      </c>
      <c r="O44" t="inlineStr">
        <is>
          <t>20230718</t>
        </is>
      </c>
      <c r="P44" t="inlineStr">
        <is>
          <t>Nusa Tenggara Barat</t>
        </is>
      </c>
      <c r="Q44" t="inlineStr"/>
    </row>
    <row r="45">
      <c r="A45" t="inlineStr">
        <is>
          <t>CANDRA KENCANA</t>
        </is>
      </c>
      <c r="B45" t="inlineStr">
        <is>
          <t>Kota Adm. Jakarta Utara</t>
        </is>
      </c>
      <c r="C45" t="inlineStr">
        <is>
          <t>08161143792</t>
        </is>
      </c>
      <c r="D45" t="inlineStr">
        <is>
          <t>candrakencanapjk@yahoo.com</t>
        </is>
      </c>
      <c r="E45" t="inlineStr">
        <is>
          <t>https://lpjk.pu.go.id/search-badan-usaha-detail/UkhZcENoa1ZPandWRTFRNFdIY2o0dz09</t>
        </is>
      </c>
      <c r="F45" t="n">
        <v>1</v>
      </c>
      <c r="G45" t="inlineStr">
        <is>
          <t>BS001</t>
        </is>
      </c>
      <c r="H45" t="inlineStr">
        <is>
          <t>29 Maret 2006</t>
        </is>
      </c>
      <c r="I45" s="2" t="n">
        <v>46222</v>
      </c>
      <c r="J45" t="inlineStr">
        <is>
          <t>Disetujui</t>
        </is>
      </c>
      <c r="K45" t="n">
        <v>30</v>
      </c>
      <c r="L45" t="inlineStr">
        <is>
          <t>19 Juli 2026</t>
        </is>
      </c>
      <c r="M45" t="inlineStr">
        <is>
          <t>Konstruksi Bangunan Sipil Jalan</t>
        </is>
      </c>
      <c r="N45" t="inlineStr">
        <is>
          <t>K</t>
        </is>
      </c>
      <c r="O45" t="inlineStr">
        <is>
          <t>20230712</t>
        </is>
      </c>
      <c r="P45" t="inlineStr">
        <is>
          <t>DKI Jakarta</t>
        </is>
      </c>
      <c r="Q45" t="inlineStr"/>
    </row>
    <row r="46">
      <c r="A46" t="inlineStr">
        <is>
          <t>CIPTA KARYA SARANA</t>
        </is>
      </c>
      <c r="B46" t="inlineStr">
        <is>
          <t>Kab. Badung</t>
        </is>
      </c>
      <c r="C46" t="inlineStr">
        <is>
          <t>081338771156</t>
        </is>
      </c>
      <c r="D46" t="inlineStr">
        <is>
          <t>ciptakaryasarana21@gmail.com</t>
        </is>
      </c>
      <c r="E46" t="inlineStr">
        <is>
          <t>https://lpjk.pu.go.id/search-badan-usaha-detail/ZENjWWJHbXRZR2RXVWtXV1NrMENxZz09</t>
        </is>
      </c>
      <c r="F46" t="n">
        <v>2</v>
      </c>
      <c r="G46" t="inlineStr">
        <is>
          <t>BS001, BS002</t>
        </is>
      </c>
      <c r="H46" t="inlineStr">
        <is>
          <t>11 Oktober 2021</t>
        </is>
      </c>
      <c r="I46" s="2" t="n">
        <v>46222</v>
      </c>
      <c r="J46" t="inlineStr">
        <is>
          <t>Disetujui</t>
        </is>
      </c>
      <c r="K46" t="n">
        <v>30</v>
      </c>
      <c r="L46" t="inlineStr">
        <is>
          <t>19 Juli 2026</t>
        </is>
      </c>
      <c r="M46" t="inlineStr">
        <is>
          <t>Bangunan Sipil Jembatan, Jalan Layang, Fly Over, dan Underpass, Konstruksi Bangunan Sipil Jalan</t>
        </is>
      </c>
      <c r="N46" t="inlineStr">
        <is>
          <t>K</t>
        </is>
      </c>
      <c r="O46" t="inlineStr">
        <is>
          <t>20220405, 20230720</t>
        </is>
      </c>
      <c r="P46" t="inlineStr">
        <is>
          <t>Bali</t>
        </is>
      </c>
      <c r="Q46" t="inlineStr"/>
    </row>
    <row r="47">
      <c r="A47" t="inlineStr">
        <is>
          <t>CITRA LESTARI</t>
        </is>
      </c>
      <c r="B47" t="inlineStr">
        <is>
          <t>Kab. Lombok Utara</t>
        </is>
      </c>
      <c r="C47" t="inlineStr">
        <is>
          <t>081803631164</t>
        </is>
      </c>
      <c r="D47" t="inlineStr">
        <is>
          <t>cvcitralestari@yahoo.co.id</t>
        </is>
      </c>
      <c r="E47" t="inlineStr">
        <is>
          <t>https://lpjk.pu.go.id/search-badan-usaha-detail/TXo4akhYOUQ3V0JPako5Y0RuNzhadz09</t>
        </is>
      </c>
      <c r="F47" t="n">
        <v>1</v>
      </c>
      <c r="G47" t="inlineStr">
        <is>
          <t>BS001</t>
        </is>
      </c>
      <c r="H47" t="inlineStr">
        <is>
          <t>26 Agustus 2014</t>
        </is>
      </c>
      <c r="I47" s="2" t="n">
        <v>46222</v>
      </c>
      <c r="J47" t="inlineStr">
        <is>
          <t>Disetujui</t>
        </is>
      </c>
      <c r="K47" t="n">
        <v>30</v>
      </c>
      <c r="L47" t="inlineStr">
        <is>
          <t>19 Juli 2026</t>
        </is>
      </c>
      <c r="M47" t="inlineStr">
        <is>
          <t>Konstruksi Bangunan Sipil Jalan</t>
        </is>
      </c>
      <c r="N47" t="inlineStr">
        <is>
          <t>K</t>
        </is>
      </c>
      <c r="O47" t="inlineStr">
        <is>
          <t>20230718</t>
        </is>
      </c>
      <c r="P47" t="inlineStr">
        <is>
          <t>Nusa Tenggara Barat</t>
        </is>
      </c>
      <c r="Q47" t="inlineStr"/>
    </row>
    <row r="48">
      <c r="A48" t="inlineStr">
        <is>
          <t>COKRO PUTRA JAYA</t>
        </is>
      </c>
      <c r="B48" t="inlineStr">
        <is>
          <t>Kota Surakarta</t>
        </is>
      </c>
      <c r="C48" t="inlineStr">
        <is>
          <t>081326149797</t>
        </is>
      </c>
      <c r="D48" t="inlineStr">
        <is>
          <t>cvcokroputrajaya@gmail.com</t>
        </is>
      </c>
      <c r="E48" t="inlineStr">
        <is>
          <t>https://lpjk.pu.go.id/search-badan-usaha-detail/VnY1cTVrME1ndUJHMkhjVmk0UGY0Zz09</t>
        </is>
      </c>
      <c r="F48" t="n">
        <v>3</v>
      </c>
      <c r="G48" t="inlineStr">
        <is>
          <t>BG002, BG004, BG006</t>
        </is>
      </c>
      <c r="H48" t="inlineStr">
        <is>
          <t>26 September 2019</t>
        </is>
      </c>
      <c r="I48" s="2" t="n">
        <v>46222</v>
      </c>
      <c r="J48" t="inlineStr">
        <is>
          <t>Disetujui</t>
        </is>
      </c>
      <c r="K48" t="n">
        <v>30</v>
      </c>
      <c r="L48" t="inlineStr">
        <is>
          <t>19 Juli 2026</t>
        </is>
      </c>
      <c r="M48" t="inlineStr">
        <is>
          <t>Konstruksi Gedung Pendidikan, Konstruksi Gedung Perbelanjaan, Konstruksi Gedung Perkantoran</t>
        </is>
      </c>
      <c r="N48" t="inlineStr">
        <is>
          <t>K</t>
        </is>
      </c>
      <c r="O48" t="inlineStr">
        <is>
          <t>20230719</t>
        </is>
      </c>
      <c r="P48" t="inlineStr">
        <is>
          <t>Jawa Tengah</t>
        </is>
      </c>
      <c r="Q48" t="inlineStr"/>
    </row>
    <row r="49">
      <c r="A49" t="inlineStr">
        <is>
          <t>CV. GREEN CACTUS</t>
        </is>
      </c>
      <c r="B49" t="inlineStr">
        <is>
          <t>Kab. Kepulauan Yapen</t>
        </is>
      </c>
      <c r="C49" t="inlineStr">
        <is>
          <t>082346712790</t>
        </is>
      </c>
      <c r="D49" t="inlineStr">
        <is>
          <t>cactusgreen44@gmail.com</t>
        </is>
      </c>
      <c r="E49" t="inlineStr">
        <is>
          <t>https://lpjk.pu.go.id/search-badan-usaha-detail/SFJiSDkzK3JNVmtRb2JXc3kvazZLUT09</t>
        </is>
      </c>
      <c r="F49" t="n">
        <v>5</v>
      </c>
      <c r="G49" t="inlineStr">
        <is>
          <t>BG001, BG004, BG005, BG006, BG009</t>
        </is>
      </c>
      <c r="H49" t="inlineStr">
        <is>
          <t>11 April 2011</t>
        </is>
      </c>
      <c r="I49" s="2" t="n">
        <v>46222</v>
      </c>
      <c r="J49" t="inlineStr">
        <is>
          <t>Disetujui</t>
        </is>
      </c>
      <c r="K49" t="n">
        <v>30</v>
      </c>
      <c r="L49" t="inlineStr">
        <is>
          <t>19 Juli 2026</t>
        </is>
      </c>
      <c r="M49" t="inlineStr">
        <is>
          <t>Konstruksi Gedung Hunian, Konstruksi Gedung Kesehatan, Konstruksi Gedung Lainnya, Konstruksi Gedung Pendidikan, Konstruksi Gedung Perbelanjaan</t>
        </is>
      </c>
      <c r="N49" t="inlineStr">
        <is>
          <t>K</t>
        </is>
      </c>
      <c r="O49" t="inlineStr">
        <is>
          <t>20230711</t>
        </is>
      </c>
      <c r="P49" t="inlineStr">
        <is>
          <t>Papua</t>
        </is>
      </c>
      <c r="Q49" t="inlineStr"/>
    </row>
    <row r="50">
      <c r="A50" t="inlineStr">
        <is>
          <t>DELAPAN DELAPAN</t>
        </is>
      </c>
      <c r="B50" t="inlineStr">
        <is>
          <t>Kab. Bojonegoro</t>
        </is>
      </c>
      <c r="C50" t="inlineStr">
        <is>
          <t>089603450146</t>
        </is>
      </c>
      <c r="D50" t="inlineStr">
        <is>
          <t>osscvdelapandelapan@gmail.com</t>
        </is>
      </c>
      <c r="E50" t="inlineStr">
        <is>
          <t>https://lpjk.pu.go.id/search-badan-usaha-detail/Z2R1TnhyZC8zT1VEKzIzbnNqRkNhdz09</t>
        </is>
      </c>
      <c r="F50" t="n">
        <v>2</v>
      </c>
      <c r="G50" t="inlineStr">
        <is>
          <t>BS005</t>
        </is>
      </c>
      <c r="H50" t="inlineStr">
        <is>
          <t>31 Mei 1991</t>
        </is>
      </c>
      <c r="I50" s="2" t="n">
        <v>46222</v>
      </c>
      <c r="J50" t="inlineStr">
        <is>
          <t>Disetujui</t>
        </is>
      </c>
      <c r="K50" t="n">
        <v>30</v>
      </c>
      <c r="L50" t="inlineStr">
        <is>
          <t>19 Juli 2026</t>
        </is>
      </c>
      <c r="M50" t="inlineStr">
        <is>
          <t>Konstruksi Bangunan Sipil Pengolahan Air Bersih</t>
        </is>
      </c>
      <c r="N50" t="inlineStr">
        <is>
          <t>K</t>
        </is>
      </c>
      <c r="O50" t="inlineStr">
        <is>
          <t>20230717</t>
        </is>
      </c>
      <c r="P50" t="inlineStr">
        <is>
          <t>Jawa Timur</t>
        </is>
      </c>
      <c r="Q50" t="inlineStr"/>
    </row>
    <row r="51">
      <c r="A51" t="inlineStr">
        <is>
          <t>DEWI WANGI</t>
        </is>
      </c>
      <c r="B51" t="inlineStr">
        <is>
          <t>Kota Mataram</t>
        </is>
      </c>
      <c r="C51" t="inlineStr">
        <is>
          <t>085282000069</t>
        </is>
      </c>
      <c r="D51" t="inlineStr">
        <is>
          <t>cvdewiwangi123@gmail.com</t>
        </is>
      </c>
      <c r="E51" t="inlineStr">
        <is>
          <t>https://lpjk.pu.go.id/search-badan-usaha-detail/aXN4TEhPQjBVQ1Rhb29URXlWR0VtQT09</t>
        </is>
      </c>
      <c r="F51" t="n">
        <v>1</v>
      </c>
      <c r="G51" t="inlineStr">
        <is>
          <t>BG005</t>
        </is>
      </c>
      <c r="H51" t="inlineStr">
        <is>
          <t>22 Juni 2012</t>
        </is>
      </c>
      <c r="I51" s="2" t="n">
        <v>46222</v>
      </c>
      <c r="J51" t="inlineStr">
        <is>
          <t>Disetujui</t>
        </is>
      </c>
      <c r="K51" t="n">
        <v>30</v>
      </c>
      <c r="L51" t="inlineStr">
        <is>
          <t>19 Juli 2026</t>
        </is>
      </c>
      <c r="M51" t="inlineStr">
        <is>
          <t>Konstruksi Gedung Kesehatan</t>
        </is>
      </c>
      <c r="N51" t="inlineStr">
        <is>
          <t>K</t>
        </is>
      </c>
      <c r="O51" t="inlineStr">
        <is>
          <t>20230705</t>
        </is>
      </c>
      <c r="P51" t="inlineStr">
        <is>
          <t>Nusa Tenggara Barat</t>
        </is>
      </c>
      <c r="Q51" t="inlineStr"/>
    </row>
    <row r="52">
      <c r="A52" t="inlineStr">
        <is>
          <t>DHINAKARA TAMA ENGINEERING</t>
        </is>
      </c>
      <c r="B52" t="inlineStr">
        <is>
          <t>Kab. Indragiri Hulu</t>
        </is>
      </c>
      <c r="C52" t="inlineStr">
        <is>
          <t>082386141228</t>
        </is>
      </c>
      <c r="D52" t="inlineStr">
        <is>
          <t>dedisuhendrainhu@gmail.com</t>
        </is>
      </c>
      <c r="E52" t="inlineStr">
        <is>
          <t>https://lpjk.pu.go.id/search-badan-usaha-detail/RTJtT24xdHFvVUNyMVpuWGZkdXhPUT09</t>
        </is>
      </c>
      <c r="F52" t="n">
        <v>1</v>
      </c>
      <c r="G52" t="inlineStr">
        <is>
          <t>RK003</t>
        </is>
      </c>
      <c r="H52" t="inlineStr">
        <is>
          <t>14 Maret 2019</t>
        </is>
      </c>
      <c r="I52" s="2" t="n">
        <v>46222</v>
      </c>
      <c r="J52" t="inlineStr">
        <is>
          <t>Disetujui</t>
        </is>
      </c>
      <c r="K52" t="n">
        <v>30</v>
      </c>
      <c r="L52" t="inlineStr">
        <is>
          <t>19 Juli 2026</t>
        </is>
      </c>
      <c r="M52" t="inlineStr">
        <is>
          <t>Jasa Rekayasa Pekerjaan Teknik Sipil Transportasi</t>
        </is>
      </c>
      <c r="N52" t="inlineStr">
        <is>
          <t>K</t>
        </is>
      </c>
      <c r="O52" t="inlineStr">
        <is>
          <t>20230711</t>
        </is>
      </c>
      <c r="P52" t="inlineStr">
        <is>
          <t>Riau</t>
        </is>
      </c>
      <c r="Q52" t="inlineStr"/>
    </row>
    <row r="53">
      <c r="A53" t="inlineStr">
        <is>
          <t>DIAZ PUTRA JAYA</t>
        </is>
      </c>
      <c r="B53" t="inlineStr">
        <is>
          <t>Kab. Maros</t>
        </is>
      </c>
      <c r="C53" t="inlineStr">
        <is>
          <t>081355344133</t>
        </is>
      </c>
      <c r="D53" t="inlineStr">
        <is>
          <t>cvdiazputrajaya@yahoo.co.id</t>
        </is>
      </c>
      <c r="E53" t="inlineStr">
        <is>
          <t>https://lpjk.pu.go.id/search-badan-usaha-detail/eW9xclg2bU1qV1R4MzhzbGJyRnZyZz09</t>
        </is>
      </c>
      <c r="F53" t="n">
        <v>1</v>
      </c>
      <c r="G53" t="inlineStr">
        <is>
          <t>BS010</t>
        </is>
      </c>
      <c r="H53" t="inlineStr">
        <is>
          <t>26 Februari 1999</t>
        </is>
      </c>
      <c r="I53" s="2" t="n">
        <v>46222</v>
      </c>
      <c r="J53" t="inlineStr">
        <is>
          <t>Disetujui</t>
        </is>
      </c>
      <c r="K53" t="n">
        <v>30</v>
      </c>
      <c r="L53" t="inlineStr">
        <is>
          <t>19 Juli 2026</t>
        </is>
      </c>
      <c r="M53" t="inlineStr">
        <is>
          <t>Konstruksi Bangunan Prasarana Sumber Daya Air</t>
        </is>
      </c>
      <c r="N53" t="inlineStr">
        <is>
          <t>K</t>
        </is>
      </c>
      <c r="O53" t="inlineStr">
        <is>
          <t>20230718</t>
        </is>
      </c>
      <c r="P53" t="inlineStr">
        <is>
          <t>Sulawesi Selatan</t>
        </is>
      </c>
      <c r="Q53" t="inlineStr"/>
    </row>
    <row r="54">
      <c r="A54" t="inlineStr">
        <is>
          <t>DORO BELO ANGKASA</t>
        </is>
      </c>
      <c r="B54" t="inlineStr">
        <is>
          <t>Kab. Bima</t>
        </is>
      </c>
      <c r="C54" t="inlineStr">
        <is>
          <t>082240091966</t>
        </is>
      </c>
      <c r="D54" t="inlineStr">
        <is>
          <t>ptdorobelo@gmail.com</t>
        </is>
      </c>
      <c r="E54" t="inlineStr">
        <is>
          <t>https://lpjk.pu.go.id/search-badan-usaha-detail/dmJ6YWRGVC9KazBHTXFqejh1RE9mZz09</t>
        </is>
      </c>
      <c r="F54" t="n">
        <v>1</v>
      </c>
      <c r="G54" t="inlineStr">
        <is>
          <t>BS010</t>
        </is>
      </c>
      <c r="H54" t="inlineStr">
        <is>
          <t>14 Desember 2018</t>
        </is>
      </c>
      <c r="I54" s="2" t="n">
        <v>46222</v>
      </c>
      <c r="J54" t="inlineStr">
        <is>
          <t>Pencabutan</t>
        </is>
      </c>
      <c r="K54" t="n">
        <v>30</v>
      </c>
      <c r="L54" t="inlineStr">
        <is>
          <t>19 Juli 2026</t>
        </is>
      </c>
      <c r="M54" t="inlineStr">
        <is>
          <t>Konstruksi Bangunan Prasarana Sumber Daya Air</t>
        </is>
      </c>
      <c r="N54" t="inlineStr">
        <is>
          <t>K</t>
        </is>
      </c>
      <c r="O54" t="inlineStr">
        <is>
          <t>20230718</t>
        </is>
      </c>
      <c r="P54" t="inlineStr">
        <is>
          <t>Nusa Tenggara Barat</t>
        </is>
      </c>
      <c r="Q54" t="inlineStr"/>
    </row>
    <row r="55">
      <c r="A55" t="inlineStr">
        <is>
          <t>DUA PUTRA JASDIR</t>
        </is>
      </c>
      <c r="B55" t="inlineStr">
        <is>
          <t>Kab. Teluk Bintuni</t>
        </is>
      </c>
      <c r="C55" t="inlineStr">
        <is>
          <t>082239801833</t>
        </is>
      </c>
      <c r="D55" t="inlineStr">
        <is>
          <t>duaputrajasdirc@gmail.com</t>
        </is>
      </c>
      <c r="E55" t="inlineStr">
        <is>
          <t>https://lpjk.pu.go.id/search-badan-usaha-detail/aHB2REIyZnVYRk9xZVpteDBMamgydz09</t>
        </is>
      </c>
      <c r="F55" t="n">
        <v>1</v>
      </c>
      <c r="G55" t="inlineStr">
        <is>
          <t>BG006</t>
        </is>
      </c>
      <c r="H55" t="inlineStr">
        <is>
          <t>8 Januari 2019</t>
        </is>
      </c>
      <c r="I55" s="2" t="n">
        <v>46222</v>
      </c>
      <c r="J55" t="inlineStr">
        <is>
          <t>Pencabutan</t>
        </is>
      </c>
      <c r="K55" t="n">
        <v>30</v>
      </c>
      <c r="L55" t="inlineStr">
        <is>
          <t>19 Juli 2026</t>
        </is>
      </c>
      <c r="M55" t="inlineStr">
        <is>
          <t>Konstruksi Gedung Pendidikan</t>
        </is>
      </c>
      <c r="N55" t="inlineStr">
        <is>
          <t>K</t>
        </is>
      </c>
      <c r="O55" t="inlineStr">
        <is>
          <t>20230713</t>
        </is>
      </c>
      <c r="P55" t="inlineStr">
        <is>
          <t>Papua Barat</t>
        </is>
      </c>
      <c r="Q55" t="inlineStr"/>
    </row>
    <row r="56">
      <c r="A56" t="inlineStr">
        <is>
          <t>DUA SATU</t>
        </is>
      </c>
      <c r="B56" t="inlineStr">
        <is>
          <t>Kota Bandar Lampung</t>
        </is>
      </c>
      <c r="C56" t="inlineStr">
        <is>
          <t>081379372236</t>
        </is>
      </c>
      <c r="D56" t="inlineStr">
        <is>
          <t>cvduasatu.19@gmail.com</t>
        </is>
      </c>
      <c r="E56" t="inlineStr">
        <is>
          <t>https://lpjk.pu.go.id/search-badan-usaha-detail/QXhFaWJmSmNXRVJBZ3FBaVJpS0ZXdz09</t>
        </is>
      </c>
      <c r="F56" t="n">
        <v>1</v>
      </c>
      <c r="G56" t="inlineStr">
        <is>
          <t>BG006</t>
        </is>
      </c>
      <c r="H56" t="inlineStr">
        <is>
          <t>18 Maret 2016</t>
        </is>
      </c>
      <c r="I56" s="2" t="n">
        <v>46222</v>
      </c>
      <c r="J56" t="inlineStr">
        <is>
          <t>Disetujui</t>
        </is>
      </c>
      <c r="K56" t="n">
        <v>30</v>
      </c>
      <c r="L56" t="inlineStr">
        <is>
          <t>19 Juli 2026</t>
        </is>
      </c>
      <c r="M56" t="inlineStr">
        <is>
          <t>Konstruksi Gedung Pendidikan</t>
        </is>
      </c>
      <c r="N56" t="inlineStr">
        <is>
          <t>K</t>
        </is>
      </c>
      <c r="O56" t="inlineStr">
        <is>
          <t>20230717</t>
        </is>
      </c>
      <c r="P56" t="inlineStr">
        <is>
          <t>Lampung</t>
        </is>
      </c>
      <c r="Q56" t="inlineStr"/>
    </row>
    <row r="57">
      <c r="A57" t="inlineStr">
        <is>
          <t>DUTA ANUGRAH TEKNIK</t>
        </is>
      </c>
      <c r="B57" t="inlineStr">
        <is>
          <t>Kab. Sumbawa Barat</t>
        </is>
      </c>
      <c r="C57" t="inlineStr">
        <is>
          <t>081236238554</t>
        </is>
      </c>
      <c r="D57" t="inlineStr">
        <is>
          <t>duta.anugrah.teknik2012oss@gmail.com</t>
        </is>
      </c>
      <c r="E57" t="inlineStr">
        <is>
          <t>https://lpjk.pu.go.id/search-badan-usaha-detail/NUxlSmpRV2VobllJWEdWQWE3UndUUT09</t>
        </is>
      </c>
      <c r="F57" t="n">
        <v>1</v>
      </c>
      <c r="G57" t="inlineStr">
        <is>
          <t>BG001</t>
        </is>
      </c>
      <c r="H57" t="inlineStr">
        <is>
          <t>17 Maret 2012</t>
        </is>
      </c>
      <c r="I57" s="2" t="n">
        <v>46222</v>
      </c>
      <c r="J57" t="inlineStr">
        <is>
          <t>Disetujui</t>
        </is>
      </c>
      <c r="K57" t="n">
        <v>30</v>
      </c>
      <c r="L57" t="inlineStr">
        <is>
          <t>19 Juli 2026</t>
        </is>
      </c>
      <c r="M57" t="inlineStr">
        <is>
          <t>Konstruksi Gedung Hunian</t>
        </is>
      </c>
      <c r="N57" t="inlineStr">
        <is>
          <t>K</t>
        </is>
      </c>
      <c r="O57" t="inlineStr">
        <is>
          <t>20230714</t>
        </is>
      </c>
      <c r="P57" t="inlineStr">
        <is>
          <t>Nusa Tenggara Barat</t>
        </is>
      </c>
      <c r="Q57" t="inlineStr"/>
    </row>
    <row r="58">
      <c r="A58" t="inlineStr">
        <is>
          <t>DWI PURWITA AGUNG</t>
        </is>
      </c>
      <c r="B58" t="inlineStr">
        <is>
          <t>Kota Bandung</t>
        </is>
      </c>
      <c r="C58" t="inlineStr">
        <is>
          <t>081321368986</t>
        </is>
      </c>
      <c r="D58" t="inlineStr">
        <is>
          <t>dwipurwita86@gmail.com</t>
        </is>
      </c>
      <c r="E58" t="inlineStr">
        <is>
          <t>https://lpjk.pu.go.id/search-badan-usaha-detail/T1pReHhONDd6TGFBUG45bFdjQjVFdz09</t>
        </is>
      </c>
      <c r="F58" t="n">
        <v>1</v>
      </c>
      <c r="G58" t="inlineStr">
        <is>
          <t>BG009</t>
        </is>
      </c>
      <c r="H58" t="inlineStr">
        <is>
          <t>4 Maret 1998</t>
        </is>
      </c>
      <c r="I58" s="2" t="n">
        <v>46222</v>
      </c>
      <c r="J58" t="inlineStr">
        <is>
          <t>Disetujui</t>
        </is>
      </c>
      <c r="K58" t="n">
        <v>30</v>
      </c>
      <c r="L58" t="inlineStr">
        <is>
          <t>19 Juli 2026</t>
        </is>
      </c>
      <c r="M58" t="inlineStr">
        <is>
          <t>Konstruksi Gedung Lainnya</t>
        </is>
      </c>
      <c r="N58" t="inlineStr">
        <is>
          <t>K</t>
        </is>
      </c>
      <c r="O58" t="inlineStr">
        <is>
          <t>20230715</t>
        </is>
      </c>
      <c r="P58" t="inlineStr">
        <is>
          <t>Jawa Barat</t>
        </is>
      </c>
      <c r="Q58" t="inlineStr"/>
    </row>
    <row r="59">
      <c r="A59" t="inlineStr">
        <is>
          <t>ELANG MITRA REGANTAMA</t>
        </is>
      </c>
      <c r="B59" t="inlineStr">
        <is>
          <t>Kota Surabaya</t>
        </is>
      </c>
      <c r="C59" t="inlineStr">
        <is>
          <t>03182517767</t>
        </is>
      </c>
      <c r="D59" t="inlineStr">
        <is>
          <t>elangmitraregantama@gmail.com</t>
        </is>
      </c>
      <c r="E59" t="inlineStr">
        <is>
          <t>https://lpjk.pu.go.id/search-badan-usaha-detail/bmpuK3M5MWs3aEFLTGNpSmo4MGxrZz09</t>
        </is>
      </c>
      <c r="F59" t="n">
        <v>2</v>
      </c>
      <c r="G59" t="inlineStr">
        <is>
          <t>BG006</t>
        </is>
      </c>
      <c r="H59" t="inlineStr">
        <is>
          <t>26 November 2005</t>
        </is>
      </c>
      <c r="I59" s="2" t="n">
        <v>46222</v>
      </c>
      <c r="J59" t="inlineStr">
        <is>
          <t>Pencabutan</t>
        </is>
      </c>
      <c r="K59" t="n">
        <v>30</v>
      </c>
      <c r="L59" t="inlineStr">
        <is>
          <t>19 Juli 2026</t>
        </is>
      </c>
      <c r="M59" t="inlineStr">
        <is>
          <t>Konstruksi Gedung Pendidikan</t>
        </is>
      </c>
      <c r="N59" t="inlineStr">
        <is>
          <t>K</t>
        </is>
      </c>
      <c r="O59" t="inlineStr">
        <is>
          <t>20230718</t>
        </is>
      </c>
      <c r="P59" t="inlineStr">
        <is>
          <t>Jawa Timur</t>
        </is>
      </c>
      <c r="Q59" t="inlineStr"/>
    </row>
    <row r="60">
      <c r="A60" t="inlineStr">
        <is>
          <t>EMPAT SAUDARA</t>
        </is>
      </c>
      <c r="B60" t="inlineStr">
        <is>
          <t>Kab. Sukoharjo</t>
        </is>
      </c>
      <c r="C60" t="inlineStr">
        <is>
          <t>081226846805</t>
        </is>
      </c>
      <c r="D60" t="inlineStr">
        <is>
          <t>sputrasantosa@gmail.com</t>
        </is>
      </c>
      <c r="E60" t="inlineStr">
        <is>
          <t>https://lpjk.pu.go.id/search-badan-usaha-detail/M1pydk5LWnV3ZktaMUZMSm8wUFBoZz09</t>
        </is>
      </c>
      <c r="F60" t="n">
        <v>5</v>
      </c>
      <c r="G60" t="inlineStr">
        <is>
          <t>BG005, BG006, BG009, BS001, BS004</t>
        </is>
      </c>
      <c r="H60" t="inlineStr">
        <is>
          <t>15 Desember 2005</t>
        </is>
      </c>
      <c r="I60" s="2" t="n">
        <v>46222</v>
      </c>
      <c r="J60" t="inlineStr">
        <is>
          <t>Disetujui</t>
        </is>
      </c>
      <c r="K60" t="n">
        <v>30</v>
      </c>
      <c r="L60" t="inlineStr">
        <is>
          <t>19 Juli 2026</t>
        </is>
      </c>
      <c r="M60" t="inlineStr">
        <is>
          <t>Konstruksi Bangunan Sipil Jalan, Konstruksi Gedung Kesehatan, Konstruksi Gedung Lainnya, Konstruksi Gedung Pendidikan, Konstruksi Jaringan Irigasi dan Drainase</t>
        </is>
      </c>
      <c r="N60" t="inlineStr">
        <is>
          <t>K</t>
        </is>
      </c>
      <c r="O60" t="inlineStr">
        <is>
          <t>20230713, 20230714</t>
        </is>
      </c>
      <c r="P60" t="inlineStr">
        <is>
          <t>Jawa Tengah</t>
        </is>
      </c>
      <c r="Q60" t="inlineStr"/>
    </row>
    <row r="61">
      <c r="A61" t="inlineStr">
        <is>
          <t>ENAM SAUDARA</t>
        </is>
      </c>
      <c r="B61" t="inlineStr">
        <is>
          <t>Kota Palembang</t>
        </is>
      </c>
      <c r="C61" t="inlineStr">
        <is>
          <t>081278199951</t>
        </is>
      </c>
      <c r="D61" t="inlineStr">
        <is>
          <t>cvenamsaudaraktp@gmail.com</t>
        </is>
      </c>
      <c r="E61" t="inlineStr">
        <is>
          <t>https://lpjk.pu.go.id/search-badan-usaha-detail/RkZLanFoLzlsTTY0SzRZTHBHbHJMZz09</t>
        </is>
      </c>
      <c r="F61" t="n">
        <v>1</v>
      </c>
      <c r="G61" t="inlineStr">
        <is>
          <t>BS001</t>
        </is>
      </c>
      <c r="H61" t="inlineStr">
        <is>
          <t>28 Mei 2014</t>
        </is>
      </c>
      <c r="I61" s="2" t="n">
        <v>46222</v>
      </c>
      <c r="J61" t="inlineStr">
        <is>
          <t>Disetujui</t>
        </is>
      </c>
      <c r="K61" t="n">
        <v>30</v>
      </c>
      <c r="L61" t="inlineStr">
        <is>
          <t>19 Juli 2026</t>
        </is>
      </c>
      <c r="M61" t="inlineStr">
        <is>
          <t>Konstruksi Bangunan Sipil Jalan</t>
        </is>
      </c>
      <c r="N61" t="inlineStr">
        <is>
          <t>K</t>
        </is>
      </c>
      <c r="O61" t="inlineStr">
        <is>
          <t>20230715</t>
        </is>
      </c>
      <c r="P61" t="inlineStr">
        <is>
          <t>Sumatera Selatan</t>
        </is>
      </c>
      <c r="Q61" t="inlineStr"/>
    </row>
    <row r="62">
      <c r="A62" t="inlineStr">
        <is>
          <t>ERTIS</t>
        </is>
      </c>
      <c r="B62" t="inlineStr">
        <is>
          <t>Kota Tasikmalaya</t>
        </is>
      </c>
      <c r="C62" t="inlineStr">
        <is>
          <t>085318802666</t>
        </is>
      </c>
      <c r="D62" t="inlineStr">
        <is>
          <t>ertis.cv@gmail.com</t>
        </is>
      </c>
      <c r="E62" t="inlineStr">
        <is>
          <t>https://lpjk.pu.go.id/search-badan-usaha-detail/QVMvd0UydHBFNElHajlUWTVWZTkrQT09</t>
        </is>
      </c>
      <c r="F62" t="n">
        <v>2</v>
      </c>
      <c r="G62" t="inlineStr">
        <is>
          <t>BG002, BS001</t>
        </is>
      </c>
      <c r="H62" t="inlineStr">
        <is>
          <t>3 Januari 2019</t>
        </is>
      </c>
      <c r="I62" s="2" t="n">
        <v>46222</v>
      </c>
      <c r="J62" t="inlineStr">
        <is>
          <t>Pencabutan</t>
        </is>
      </c>
      <c r="K62" t="n">
        <v>30</v>
      </c>
      <c r="L62" t="inlineStr">
        <is>
          <t>19 Juli 2026</t>
        </is>
      </c>
      <c r="M62" t="inlineStr">
        <is>
          <t>Konstruksi Bangunan Sipil Jalan, Konstruksi Gedung Perkantoran</t>
        </is>
      </c>
      <c r="N62" t="inlineStr">
        <is>
          <t>K</t>
        </is>
      </c>
      <c r="O62" t="inlineStr">
        <is>
          <t>20230718</t>
        </is>
      </c>
      <c r="P62" t="inlineStr">
        <is>
          <t>Jawa Barat</t>
        </is>
      </c>
      <c r="Q62" t="inlineStr"/>
    </row>
    <row r="63">
      <c r="A63" t="inlineStr">
        <is>
          <t>EUSINA KARYA INDONESIA</t>
        </is>
      </c>
      <c r="B63" t="inlineStr">
        <is>
          <t>Kota Bandung</t>
        </is>
      </c>
      <c r="C63" t="inlineStr">
        <is>
          <t>081224656160</t>
        </is>
      </c>
      <c r="D63" t="inlineStr">
        <is>
          <t>pt.eusinakaryaindonesia@gmail.com</t>
        </is>
      </c>
      <c r="E63" t="inlineStr">
        <is>
          <t>https://lpjk.pu.go.id/search-badan-usaha-detail/R0orb2ZGdWFtbGRLTXVEc1VKTG5ndz09</t>
        </is>
      </c>
      <c r="F63" t="n">
        <v>1</v>
      </c>
      <c r="G63" t="inlineStr">
        <is>
          <t>BG002</t>
        </is>
      </c>
      <c r="H63" t="inlineStr">
        <is>
          <t>2 Januari 2023</t>
        </is>
      </c>
      <c r="I63" s="2" t="n">
        <v>46222</v>
      </c>
      <c r="J63" t="inlineStr">
        <is>
          <t>Disetujui</t>
        </is>
      </c>
      <c r="K63" t="n">
        <v>30</v>
      </c>
      <c r="L63" t="inlineStr">
        <is>
          <t>19 Juli 2026</t>
        </is>
      </c>
      <c r="M63" t="inlineStr">
        <is>
          <t>Konstruksi Gedung Perkantoran</t>
        </is>
      </c>
      <c r="N63" t="inlineStr">
        <is>
          <t>K</t>
        </is>
      </c>
      <c r="O63" t="inlineStr">
        <is>
          <t>20230715</t>
        </is>
      </c>
      <c r="P63" t="inlineStr">
        <is>
          <t>Jawa Barat</t>
        </is>
      </c>
      <c r="Q63" t="inlineStr"/>
    </row>
    <row r="64">
      <c r="A64" t="inlineStr">
        <is>
          <t>FAEYZA YASA CONSULTANT</t>
        </is>
      </c>
      <c r="B64" t="inlineStr">
        <is>
          <t>Kota Cilegon</t>
        </is>
      </c>
      <c r="C64" t="inlineStr">
        <is>
          <t>087874389434</t>
        </is>
      </c>
      <c r="D64" t="inlineStr">
        <is>
          <t>faeyzayasaconsultant@yahoo.com</t>
        </is>
      </c>
      <c r="E64" t="inlineStr">
        <is>
          <t>https://lpjk.pu.go.id/search-badan-usaha-detail/cUZvc3R5RXpYWXlzMHZZbC92ZXZBQT09</t>
        </is>
      </c>
      <c r="F64" t="n">
        <v>1</v>
      </c>
      <c r="G64" t="inlineStr">
        <is>
          <t>RK003</t>
        </is>
      </c>
      <c r="H64" t="inlineStr">
        <is>
          <t>28 April 2020</t>
        </is>
      </c>
      <c r="I64" s="2" t="n">
        <v>46222</v>
      </c>
      <c r="J64" t="inlineStr">
        <is>
          <t>Pencabutan</t>
        </is>
      </c>
      <c r="K64" t="n">
        <v>30</v>
      </c>
      <c r="L64" t="inlineStr">
        <is>
          <t>19 Juli 2026</t>
        </is>
      </c>
      <c r="M64" t="inlineStr">
        <is>
          <t>Jasa Rekayasa Pekerjaan Teknik Sipil Transportasi</t>
        </is>
      </c>
      <c r="N64" t="inlineStr">
        <is>
          <t>K</t>
        </is>
      </c>
      <c r="O64" t="inlineStr">
        <is>
          <t>20230619</t>
        </is>
      </c>
      <c r="P64" t="inlineStr">
        <is>
          <t>Banten</t>
        </is>
      </c>
      <c r="Q64" t="inlineStr"/>
    </row>
    <row r="65">
      <c r="A65" t="inlineStr">
        <is>
          <t>FAZZADHITA</t>
        </is>
      </c>
      <c r="B65" t="inlineStr">
        <is>
          <t>Kab. Pekalongan</t>
        </is>
      </c>
      <c r="C65" t="inlineStr">
        <is>
          <t>085702233422</t>
        </is>
      </c>
      <c r="D65" t="inlineStr">
        <is>
          <t>fazzadhitacv@gmail.com</t>
        </is>
      </c>
      <c r="E65" t="inlineStr">
        <is>
          <t>https://lpjk.pu.go.id/search-badan-usaha-detail/UnJZcFM0UUFjSTJOVUZTV2FldXI4UT09</t>
        </is>
      </c>
      <c r="F65" t="n">
        <v>1</v>
      </c>
      <c r="G65" t="inlineStr">
        <is>
          <t>BG005</t>
        </is>
      </c>
      <c r="H65" t="inlineStr">
        <is>
          <t>15 Januari 2019</t>
        </is>
      </c>
      <c r="I65" s="2" t="n">
        <v>46222</v>
      </c>
      <c r="J65" t="inlineStr">
        <is>
          <t>Disetujui</t>
        </is>
      </c>
      <c r="K65" t="n">
        <v>30</v>
      </c>
      <c r="L65" t="inlineStr">
        <is>
          <t>19 Juli 2026</t>
        </is>
      </c>
      <c r="M65" t="inlineStr">
        <is>
          <t>Konstruksi Gedung Kesehatan</t>
        </is>
      </c>
      <c r="N65" t="inlineStr">
        <is>
          <t>K</t>
        </is>
      </c>
      <c r="O65" t="inlineStr">
        <is>
          <t>20230712</t>
        </is>
      </c>
      <c r="P65" t="inlineStr">
        <is>
          <t>Jawa Tengah</t>
        </is>
      </c>
      <c r="Q65" t="inlineStr"/>
    </row>
    <row r="66">
      <c r="A66" t="inlineStr">
        <is>
          <t>FIRDAUS</t>
        </is>
      </c>
      <c r="B66" t="inlineStr">
        <is>
          <t>Kab. Merauke</t>
        </is>
      </c>
      <c r="C66" t="inlineStr">
        <is>
          <t>081344927107</t>
        </is>
      </c>
      <c r="D66" t="inlineStr">
        <is>
          <t>yosepbee78@gmail.com</t>
        </is>
      </c>
      <c r="E66" t="inlineStr">
        <is>
          <t>https://lpjk.pu.go.id/search-badan-usaha-detail/TlVKRUpRSWtHWVBNYVdxS0hTdkZZZz09</t>
        </is>
      </c>
      <c r="F66" t="n">
        <v>6</v>
      </c>
      <c r="G66" t="inlineStr">
        <is>
          <t>BG001, BG006, BG009</t>
        </is>
      </c>
      <c r="H66" t="inlineStr">
        <is>
          <t>19 Februari 2018</t>
        </is>
      </c>
      <c r="I66" s="2" t="n">
        <v>46222</v>
      </c>
      <c r="J66" t="inlineStr">
        <is>
          <t>Disetujui</t>
        </is>
      </c>
      <c r="K66" t="n">
        <v>30</v>
      </c>
      <c r="L66" t="inlineStr">
        <is>
          <t>19 Juli 2026</t>
        </is>
      </c>
      <c r="M66" t="inlineStr">
        <is>
          <t>Konstruksi Gedung Hunian, Konstruksi Gedung Lainnya, Konstruksi Gedung Pendidikan</t>
        </is>
      </c>
      <c r="N66" t="inlineStr">
        <is>
          <t>K</t>
        </is>
      </c>
      <c r="O66" t="inlineStr">
        <is>
          <t>20230712, 20230713</t>
        </is>
      </c>
      <c r="P66" t="inlineStr">
        <is>
          <t>Papua</t>
        </is>
      </c>
      <c r="Q66" t="inlineStr"/>
    </row>
    <row r="67">
      <c r="A67" t="inlineStr">
        <is>
          <t>GALANG BULAN</t>
        </is>
      </c>
      <c r="B67" t="inlineStr">
        <is>
          <t>Kota Mataram</t>
        </is>
      </c>
      <c r="C67" t="inlineStr">
        <is>
          <t>087865773993</t>
        </is>
      </c>
      <c r="D67" t="inlineStr">
        <is>
          <t>harrysuhada@ymail.com</t>
        </is>
      </c>
      <c r="E67" t="inlineStr">
        <is>
          <t>https://lpjk.pu.go.id/search-badan-usaha-detail/TWdoV3VTY3FPc3M4d09YQ2c3TUc2Zz09</t>
        </is>
      </c>
      <c r="F67" t="n">
        <v>1</v>
      </c>
      <c r="G67" t="inlineStr">
        <is>
          <t>BG005</t>
        </is>
      </c>
      <c r="H67" t="inlineStr">
        <is>
          <t>18 April 1981</t>
        </is>
      </c>
      <c r="I67" s="2" t="n">
        <v>46222</v>
      </c>
      <c r="J67" t="inlineStr">
        <is>
          <t>Disetujui</t>
        </is>
      </c>
      <c r="K67" t="n">
        <v>30</v>
      </c>
      <c r="L67" t="inlineStr">
        <is>
          <t>19 Juli 2026</t>
        </is>
      </c>
      <c r="M67" t="inlineStr">
        <is>
          <t>Konstruksi Gedung Kesehatan</t>
        </is>
      </c>
      <c r="N67" t="inlineStr">
        <is>
          <t>K</t>
        </is>
      </c>
      <c r="O67" t="inlineStr">
        <is>
          <t>20230712</t>
        </is>
      </c>
      <c r="P67" t="inlineStr">
        <is>
          <t>Nusa Tenggara Barat</t>
        </is>
      </c>
      <c r="Q67" t="inlineStr"/>
    </row>
    <row r="68">
      <c r="A68" t="inlineStr">
        <is>
          <t>GERBANG KONSTRUKSI NUSANTARA</t>
        </is>
      </c>
      <c r="B68" t="inlineStr">
        <is>
          <t>Kota Padang</t>
        </is>
      </c>
      <c r="C68" t="inlineStr">
        <is>
          <t>081266515108</t>
        </is>
      </c>
      <c r="D68" t="inlineStr">
        <is>
          <t>gerbang108.pajak@gmail.com</t>
        </is>
      </c>
      <c r="E68" t="inlineStr">
        <is>
          <t>https://lpjk.pu.go.id/search-badan-usaha-detail/ZzBXbEt6OFBQNzRRUTdwVUp3Y0xHQT09</t>
        </is>
      </c>
      <c r="F68" t="n">
        <v>1</v>
      </c>
      <c r="G68" t="inlineStr">
        <is>
          <t>BS004</t>
        </is>
      </c>
      <c r="H68" t="inlineStr">
        <is>
          <t>10 Agustus 2009</t>
        </is>
      </c>
      <c r="I68" s="2" t="n">
        <v>46222</v>
      </c>
      <c r="J68" t="inlineStr">
        <is>
          <t>Pencabutan</t>
        </is>
      </c>
      <c r="K68" t="n">
        <v>30</v>
      </c>
      <c r="L68" t="inlineStr">
        <is>
          <t>19 Juli 2026</t>
        </is>
      </c>
      <c r="M68" t="inlineStr">
        <is>
          <t>Konstruksi Jaringan Irigasi dan Drainase</t>
        </is>
      </c>
      <c r="N68" t="inlineStr">
        <is>
          <t>M</t>
        </is>
      </c>
      <c r="O68" t="inlineStr">
        <is>
          <t>20230717</t>
        </is>
      </c>
      <c r="P68" t="inlineStr">
        <is>
          <t>Sumatera Barat</t>
        </is>
      </c>
      <c r="Q68" t="inlineStr"/>
    </row>
    <row r="69">
      <c r="A69" t="inlineStr">
        <is>
          <t>GIANT KONSTRUKSI</t>
        </is>
      </c>
      <c r="B69" t="inlineStr">
        <is>
          <t>Kota Kupang</t>
        </is>
      </c>
      <c r="C69" t="inlineStr">
        <is>
          <t>081261257828</t>
        </is>
      </c>
      <c r="D69" t="inlineStr">
        <is>
          <t>kupangkerja01@gmail.com</t>
        </is>
      </c>
      <c r="E69" t="inlineStr">
        <is>
          <t>https://lpjk.pu.go.id/search-badan-usaha-detail/TS95anJxT2RnWDFDVkpvT3ZJa2lkUT09</t>
        </is>
      </c>
      <c r="F69" t="n">
        <v>2</v>
      </c>
      <c r="G69" t="inlineStr">
        <is>
          <t>BG005, BG006</t>
        </is>
      </c>
      <c r="H69" t="inlineStr">
        <is>
          <t>17 September 2018</t>
        </is>
      </c>
      <c r="I69" s="2" t="n">
        <v>46222</v>
      </c>
      <c r="J69" t="inlineStr">
        <is>
          <t>Disetujui</t>
        </is>
      </c>
      <c r="K69" t="n">
        <v>30</v>
      </c>
      <c r="L69" t="inlineStr">
        <is>
          <t>19 Juli 2026</t>
        </is>
      </c>
      <c r="M69" t="inlineStr">
        <is>
          <t>Konstruksi Gedung Kesehatan, Konstruksi Gedung Pendidikan</t>
        </is>
      </c>
      <c r="N69" t="inlineStr">
        <is>
          <t>K</t>
        </is>
      </c>
      <c r="O69" t="inlineStr">
        <is>
          <t>20230718</t>
        </is>
      </c>
      <c r="P69" t="inlineStr">
        <is>
          <t>Nusa Tenggara Timur</t>
        </is>
      </c>
      <c r="Q69" t="inlineStr"/>
    </row>
    <row r="70">
      <c r="A70" t="inlineStr">
        <is>
          <t>GIRI ARTA</t>
        </is>
      </c>
      <c r="B70" t="inlineStr">
        <is>
          <t>Kab. Simalungun</t>
        </is>
      </c>
      <c r="C70" t="inlineStr">
        <is>
          <t>081382707835</t>
        </is>
      </c>
      <c r="D70" t="inlineStr">
        <is>
          <t>giriarta400@gmail.com</t>
        </is>
      </c>
      <c r="E70" t="inlineStr">
        <is>
          <t>https://lpjk.pu.go.id/search-badan-usaha-detail/ZEtHNjRyK0VnWEw2eXViZ0lJcXJWZz09</t>
        </is>
      </c>
      <c r="F70" t="n">
        <v>1</v>
      </c>
      <c r="G70" t="inlineStr">
        <is>
          <t>BS001</t>
        </is>
      </c>
      <c r="H70" t="inlineStr">
        <is>
          <t>16 Maret 2022</t>
        </is>
      </c>
      <c r="I70" s="2" t="n">
        <v>46222</v>
      </c>
      <c r="J70" t="inlineStr">
        <is>
          <t>Disetujui</t>
        </is>
      </c>
      <c r="K70" t="n">
        <v>30</v>
      </c>
      <c r="L70" t="inlineStr">
        <is>
          <t>19 Juli 2026</t>
        </is>
      </c>
      <c r="M70" t="inlineStr">
        <is>
          <t>Konstruksi Bangunan Sipil Jalan</t>
        </is>
      </c>
      <c r="N70" t="inlineStr">
        <is>
          <t>K</t>
        </is>
      </c>
      <c r="O70" t="inlineStr">
        <is>
          <t>20230714</t>
        </is>
      </c>
      <c r="P70" t="inlineStr">
        <is>
          <t>Sumatera Utara</t>
        </is>
      </c>
      <c r="Q70" t="inlineStr"/>
    </row>
    <row r="71">
      <c r="A71" t="inlineStr">
        <is>
          <t>GOLDEN DEPO</t>
        </is>
      </c>
      <c r="B71" t="inlineStr">
        <is>
          <t>Kab. Kubu Raya</t>
        </is>
      </c>
      <c r="C71" t="inlineStr">
        <is>
          <t>089525890582</t>
        </is>
      </c>
      <c r="D71" t="inlineStr">
        <is>
          <t>cvgoldendepo@gmail.com</t>
        </is>
      </c>
      <c r="E71" t="inlineStr">
        <is>
          <t>https://lpjk.pu.go.id/search-badan-usaha-detail/aHd1UHpiWndsaUNHUXFmQ2xVdVlZQT09</t>
        </is>
      </c>
      <c r="F71" t="n">
        <v>2</v>
      </c>
      <c r="G71" t="inlineStr">
        <is>
          <t>BG001</t>
        </is>
      </c>
      <c r="H71" t="inlineStr">
        <is>
          <t>6 Oktober 2022</t>
        </is>
      </c>
      <c r="I71" s="2" t="n">
        <v>46222</v>
      </c>
      <c r="J71" t="inlineStr">
        <is>
          <t>Disetujui</t>
        </is>
      </c>
      <c r="K71" t="n">
        <v>30</v>
      </c>
      <c r="L71" t="inlineStr">
        <is>
          <t>19 Juli 2026</t>
        </is>
      </c>
      <c r="M71" t="inlineStr">
        <is>
          <t>Konstruksi Gedung Hunian</t>
        </is>
      </c>
      <c r="N71" t="inlineStr">
        <is>
          <t>K</t>
        </is>
      </c>
      <c r="O71" t="inlineStr">
        <is>
          <t>20230718</t>
        </is>
      </c>
      <c r="P71" t="inlineStr">
        <is>
          <t>Kalimantan Barat</t>
        </is>
      </c>
      <c r="Q71" t="inlineStr"/>
    </row>
    <row r="72">
      <c r="A72" t="inlineStr">
        <is>
          <t>GRHA PUTRA TIMUR</t>
        </is>
      </c>
      <c r="B72" t="inlineStr">
        <is>
          <t>Kota Kupang</t>
        </is>
      </c>
      <c r="C72" t="inlineStr">
        <is>
          <t>085161099925</t>
        </is>
      </c>
      <c r="D72" t="inlineStr">
        <is>
          <t>grhaputratimor13@gmail.com</t>
        </is>
      </c>
      <c r="E72" t="inlineStr">
        <is>
          <t>https://lpjk.pu.go.id/search-badan-usaha-detail/OFZNNzgyOGJib0VJeGxaRDBTQUxqdz09</t>
        </is>
      </c>
      <c r="F72" t="n">
        <v>4</v>
      </c>
      <c r="G72" t="inlineStr">
        <is>
          <t>BG001, BG002, BG005, BG008</t>
        </is>
      </c>
      <c r="H72" t="inlineStr">
        <is>
          <t>26 Juni 2023</t>
        </is>
      </c>
      <c r="I72" s="2" t="n">
        <v>46222</v>
      </c>
      <c r="J72" t="inlineStr">
        <is>
          <t>Disetujui, Pencabutan</t>
        </is>
      </c>
      <c r="K72" t="n">
        <v>30</v>
      </c>
      <c r="L72" t="inlineStr">
        <is>
          <t>19 Juli 2026</t>
        </is>
      </c>
      <c r="M72" t="inlineStr">
        <is>
          <t>Konstruksi Gedung Hunian, Konstruksi Gedung Kesehatan, Konstruksi Gedung Perkantoran, Konstruksi Gedung Tempat Hiburan dan Olahraga</t>
        </is>
      </c>
      <c r="N72" t="inlineStr">
        <is>
          <t>K</t>
        </is>
      </c>
      <c r="O72" t="inlineStr">
        <is>
          <t>20230718, 20230720</t>
        </is>
      </c>
      <c r="P72" t="inlineStr">
        <is>
          <t>Nusa Tenggara Timur</t>
        </is>
      </c>
      <c r="Q72" t="inlineStr"/>
    </row>
    <row r="73">
      <c r="A73" t="inlineStr">
        <is>
          <t>GUNA TESUMA INTERNASIONAL</t>
        </is>
      </c>
      <c r="B73" t="inlineStr">
        <is>
          <t>Kota Adm. Jakarta Pusat</t>
        </is>
      </c>
      <c r="C73" t="inlineStr">
        <is>
          <t>02142882774</t>
        </is>
      </c>
      <c r="D73" t="inlineStr">
        <is>
          <t>lhuntoro@gtiindonesia.com</t>
        </is>
      </c>
      <c r="E73" t="inlineStr">
        <is>
          <t>https://lpjk.pu.go.id/search-badan-usaha-detail/c1VkVStOcE9wYzhQejg2QnVoVzU1dz09</t>
        </is>
      </c>
      <c r="F73" t="n">
        <v>1</v>
      </c>
      <c r="G73" t="inlineStr">
        <is>
          <t>IN004</t>
        </is>
      </c>
      <c r="H73" t="inlineStr">
        <is>
          <t>27 Oktober 1995</t>
        </is>
      </c>
      <c r="I73" s="2" t="n">
        <v>46222</v>
      </c>
      <c r="J73" t="inlineStr">
        <is>
          <t>Pembekuan</t>
        </is>
      </c>
      <c r="K73" t="n">
        <v>30</v>
      </c>
      <c r="L73" t="inlineStr">
        <is>
          <t>19 Juli 2026</t>
        </is>
      </c>
      <c r="M73" t="inlineStr">
        <is>
          <t>Instalasi Minyak dan Gas</t>
        </is>
      </c>
      <c r="N73" t="inlineStr">
        <is>
          <t>Spesialis</t>
        </is>
      </c>
      <c r="O73" t="inlineStr">
        <is>
          <t>20230720</t>
        </is>
      </c>
      <c r="P73" t="inlineStr">
        <is>
          <t>DKI Jakarta</t>
        </is>
      </c>
      <c r="Q73" t="inlineStr"/>
    </row>
    <row r="74">
      <c r="A74" t="inlineStr">
        <is>
          <t>GUNUNG BROMO</t>
        </is>
      </c>
      <c r="B74" t="inlineStr">
        <is>
          <t>Kab. Probolinggo</t>
        </is>
      </c>
      <c r="C74" t="inlineStr">
        <is>
          <t>082143927727</t>
        </is>
      </c>
      <c r="D74" t="inlineStr">
        <is>
          <t>cv.gunung_bromo@yahoo.com</t>
        </is>
      </c>
      <c r="E74" t="inlineStr">
        <is>
          <t>https://lpjk.pu.go.id/search-badan-usaha-detail/Wlp2QW8xSE5nU09WM1RULzdybWRodz09</t>
        </is>
      </c>
      <c r="F74" t="n">
        <v>3</v>
      </c>
      <c r="G74" t="inlineStr">
        <is>
          <t>BG004, BG005, BG009</t>
        </is>
      </c>
      <c r="H74" t="inlineStr">
        <is>
          <t>7 November 1987</t>
        </is>
      </c>
      <c r="I74" s="2" t="n">
        <v>46222</v>
      </c>
      <c r="J74" t="inlineStr">
        <is>
          <t>Pencabutan</t>
        </is>
      </c>
      <c r="K74" t="n">
        <v>30</v>
      </c>
      <c r="L74" t="inlineStr">
        <is>
          <t>19 Juli 2026</t>
        </is>
      </c>
      <c r="M74" t="inlineStr">
        <is>
          <t>Konstruksi Gedung Kesehatan, Konstruksi Gedung Lainnya, Konstruksi Gedung Perbelanjaan</t>
        </is>
      </c>
      <c r="N74" t="inlineStr">
        <is>
          <t>K</t>
        </is>
      </c>
      <c r="O74" t="inlineStr">
        <is>
          <t>20230712, 20230719</t>
        </is>
      </c>
      <c r="P74" t="inlineStr">
        <is>
          <t>Jawa Timur</t>
        </is>
      </c>
      <c r="Q74" t="inlineStr"/>
    </row>
    <row r="75">
      <c r="A75" t="inlineStr">
        <is>
          <t>HADIKUSUMO CIPTA PERSADA</t>
        </is>
      </c>
      <c r="B75" t="inlineStr">
        <is>
          <t>Kota Surakarta</t>
        </is>
      </c>
      <c r="C75" t="inlineStr">
        <is>
          <t>0271-2932322</t>
        </is>
      </c>
      <c r="D75" t="inlineStr">
        <is>
          <t>hadikusumociptapersada@gmail.com</t>
        </is>
      </c>
      <c r="E75" t="inlineStr">
        <is>
          <t>https://lpjk.pu.go.id/search-badan-usaha-detail/L2sxdlFtWFV3dFJhd0pNK1BVdkJidz09</t>
        </is>
      </c>
      <c r="F75" t="n">
        <v>1</v>
      </c>
      <c r="G75" t="inlineStr">
        <is>
          <t>RK001</t>
        </is>
      </c>
      <c r="H75" t="inlineStr">
        <is>
          <t>10 April 2018</t>
        </is>
      </c>
      <c r="I75" s="2" t="n">
        <v>46222</v>
      </c>
      <c r="J75" t="inlineStr">
        <is>
          <t>Disetujui</t>
        </is>
      </c>
      <c r="K75" t="n">
        <v>30</v>
      </c>
      <c r="L75" t="inlineStr">
        <is>
          <t>19 Juli 2026</t>
        </is>
      </c>
      <c r="M75" t="inlineStr">
        <is>
          <t>Jasa Rekayasa Konstruksi Bangunan Gedung Hunian dan Non Hunian</t>
        </is>
      </c>
      <c r="N75" t="inlineStr">
        <is>
          <t>K</t>
        </is>
      </c>
      <c r="O75" t="inlineStr">
        <is>
          <t>20230708</t>
        </is>
      </c>
      <c r="P75" t="inlineStr">
        <is>
          <t>Jawa Tengah</t>
        </is>
      </c>
      <c r="Q75" t="inlineStr"/>
    </row>
    <row r="76">
      <c r="A76" t="inlineStr">
        <is>
          <t>HANA KILI</t>
        </is>
      </c>
      <c r="B76" t="inlineStr">
        <is>
          <t>Kota Pangkal Pinang</t>
        </is>
      </c>
      <c r="C76" t="inlineStr">
        <is>
          <t>08127381554</t>
        </is>
      </c>
      <c r="D76" t="inlineStr">
        <is>
          <t>kilihana60@gmail.com</t>
        </is>
      </c>
      <c r="E76" t="inlineStr">
        <is>
          <t>https://lpjk.pu.go.id/search-badan-usaha-detail/NkFKc0VHajYyTzk0T1o0aG5TVGpIdz09</t>
        </is>
      </c>
      <c r="F76" t="n">
        <v>4</v>
      </c>
      <c r="G76" t="inlineStr">
        <is>
          <t>BG002, BG005, BG006, BG009</t>
        </is>
      </c>
      <c r="H76" t="inlineStr">
        <is>
          <t>5 Agustus 2002</t>
        </is>
      </c>
      <c r="I76" s="2" t="n">
        <v>46222</v>
      </c>
      <c r="J76" t="inlineStr">
        <is>
          <t>Disetujui</t>
        </is>
      </c>
      <c r="K76" t="n">
        <v>30</v>
      </c>
      <c r="L76" t="inlineStr">
        <is>
          <t>19 Juli 2026</t>
        </is>
      </c>
      <c r="M76" t="inlineStr">
        <is>
          <t>Konstruksi Gedung Kesehatan, Konstruksi Gedung Lainnya, Konstruksi Gedung Pendidikan, Konstruksi Gedung Perkantoran</t>
        </is>
      </c>
      <c r="N76" t="inlineStr">
        <is>
          <t>K</t>
        </is>
      </c>
      <c r="O76" t="inlineStr">
        <is>
          <t>20230329, 20230716</t>
        </is>
      </c>
      <c r="P76" t="inlineStr">
        <is>
          <t>Kepulauan Bangka Belitung</t>
        </is>
      </c>
      <c r="Q76" t="inlineStr"/>
    </row>
    <row r="77">
      <c r="A77" t="inlineStr">
        <is>
          <t>HASTA TRIMANUNGGAL</t>
        </is>
      </c>
      <c r="B77" t="inlineStr">
        <is>
          <t>Kab. Blitar</t>
        </is>
      </c>
      <c r="C77" t="inlineStr">
        <is>
          <t>081232449189</t>
        </is>
      </c>
      <c r="D77" t="inlineStr">
        <is>
          <t>htmcommvenn@gmail.com</t>
        </is>
      </c>
      <c r="E77" t="inlineStr">
        <is>
          <t>https://lpjk.pu.go.id/search-badan-usaha-detail/M0xQK05LbndFVnRHR0F3Q09JeDVZQT09</t>
        </is>
      </c>
      <c r="F77" t="n">
        <v>1</v>
      </c>
      <c r="G77" t="inlineStr">
        <is>
          <t>BG006</t>
        </is>
      </c>
      <c r="H77" t="inlineStr">
        <is>
          <t>5 Maret 2016</t>
        </is>
      </c>
      <c r="I77" s="2" t="n">
        <v>46222</v>
      </c>
      <c r="J77" t="inlineStr">
        <is>
          <t>Disetujui</t>
        </is>
      </c>
      <c r="K77" t="n">
        <v>30</v>
      </c>
      <c r="L77" t="inlineStr">
        <is>
          <t>19 Juli 2026</t>
        </is>
      </c>
      <c r="M77" t="inlineStr">
        <is>
          <t>Konstruksi Gedung Pendidikan</t>
        </is>
      </c>
      <c r="N77" t="inlineStr">
        <is>
          <t>K</t>
        </is>
      </c>
      <c r="O77" t="inlineStr">
        <is>
          <t>20230714</t>
        </is>
      </c>
      <c r="P77" t="inlineStr">
        <is>
          <t>Jawa Timur</t>
        </is>
      </c>
      <c r="Q77" t="inlineStr"/>
    </row>
    <row r="78">
      <c r="A78" t="inlineStr">
        <is>
          <t>HIDAYAT</t>
        </is>
      </c>
      <c r="B78" t="inlineStr">
        <is>
          <t>Kab. Tanjung Jabung Timur</t>
        </is>
      </c>
      <c r="C78" t="inlineStr">
        <is>
          <t>0813 6681 2111</t>
        </is>
      </c>
      <c r="D78" t="inlineStr">
        <is>
          <t>cv.hidayatjambi23@gmail.com</t>
        </is>
      </c>
      <c r="E78" t="inlineStr">
        <is>
          <t>https://lpjk.pu.go.id/search-badan-usaha-detail/bVVRK21aZzZ5dnJmSlI3Y0o4V2diZz09</t>
        </is>
      </c>
      <c r="F78" t="n">
        <v>4</v>
      </c>
      <c r="G78" t="inlineStr">
        <is>
          <t>BG002, BG006, BS001, BS002</t>
        </is>
      </c>
      <c r="H78" t="inlineStr">
        <is>
          <t>17 Mei 1986</t>
        </is>
      </c>
      <c r="I78" s="2" t="n">
        <v>46222</v>
      </c>
      <c r="J78" t="inlineStr">
        <is>
          <t>Disetujui</t>
        </is>
      </c>
      <c r="K78" t="n">
        <v>30</v>
      </c>
      <c r="L78" t="inlineStr">
        <is>
          <t>19 Juli 2026</t>
        </is>
      </c>
      <c r="M78" t="inlineStr">
        <is>
          <t>Bangunan Sipil Jembatan, Jalan Layang, Fly Over, dan Underpass, Konstruksi Bangunan Sipil Jalan, Konstruksi Gedung Pendidikan, Konstruksi Gedung Perkantoran</t>
        </is>
      </c>
      <c r="N78" t="inlineStr">
        <is>
          <t>K</t>
        </is>
      </c>
      <c r="O78" t="inlineStr">
        <is>
          <t>20230614</t>
        </is>
      </c>
      <c r="P78" t="inlineStr">
        <is>
          <t>Jambi</t>
        </is>
      </c>
      <c r="Q78" t="inlineStr"/>
    </row>
    <row r="79">
      <c r="A79" t="inlineStr">
        <is>
          <t>HUNIAN KARYA NUSANTARA</t>
        </is>
      </c>
      <c r="B79" t="inlineStr">
        <is>
          <t>Kab. Serang</t>
        </is>
      </c>
      <c r="C79" t="inlineStr">
        <is>
          <t>081210119462</t>
        </is>
      </c>
      <c r="D79" t="inlineStr">
        <is>
          <t>huniankaryanusantara@gmail.com</t>
        </is>
      </c>
      <c r="E79" t="inlineStr">
        <is>
          <t>https://lpjk.pu.go.id/search-badan-usaha-detail/eG1STVNoZXF3UzFDV3F6elNIVmo4dz09</t>
        </is>
      </c>
      <c r="F79" t="n">
        <v>1</v>
      </c>
      <c r="G79" t="inlineStr">
        <is>
          <t>BG003</t>
        </is>
      </c>
      <c r="H79" t="inlineStr">
        <is>
          <t>22 September 2022</t>
        </is>
      </c>
      <c r="I79" s="2" t="n">
        <v>46222</v>
      </c>
      <c r="J79" t="inlineStr">
        <is>
          <t>Disetujui</t>
        </is>
      </c>
      <c r="K79" t="n">
        <v>30</v>
      </c>
      <c r="L79" t="inlineStr">
        <is>
          <t>19 Juli 2026</t>
        </is>
      </c>
      <c r="M79" t="inlineStr">
        <is>
          <t>Konstruksi Gedung Industri</t>
        </is>
      </c>
      <c r="N79" t="inlineStr">
        <is>
          <t>K</t>
        </is>
      </c>
      <c r="O79" t="inlineStr">
        <is>
          <t>20230718</t>
        </is>
      </c>
      <c r="P79" t="inlineStr">
        <is>
          <t>Banten</t>
        </is>
      </c>
      <c r="Q79" t="inlineStr"/>
    </row>
    <row r="80">
      <c r="A80" t="inlineStr">
        <is>
          <t>HUTAMA BERKAH SEMESTA</t>
        </is>
      </c>
      <c r="B80" t="inlineStr">
        <is>
          <t>Kab. Tangerang</t>
        </is>
      </c>
      <c r="C80" t="inlineStr">
        <is>
          <t>083192333904</t>
        </is>
      </c>
      <c r="D80" t="inlineStr">
        <is>
          <t>dutagemilang2014@gmail.com</t>
        </is>
      </c>
      <c r="E80" t="inlineStr">
        <is>
          <t>https://lpjk.pu.go.id/search-badan-usaha-detail/NXFwK2dublYyempndlRIRC85VUdqQT09</t>
        </is>
      </c>
      <c r="F80" t="n">
        <v>4</v>
      </c>
      <c r="G80" t="inlineStr">
        <is>
          <t>BG006, BG009</t>
        </is>
      </c>
      <c r="H80" t="inlineStr">
        <is>
          <t>18 Januari 2023</t>
        </is>
      </c>
      <c r="I80" s="2" t="n">
        <v>46222</v>
      </c>
      <c r="J80" t="inlineStr">
        <is>
          <t>Pencabutan</t>
        </is>
      </c>
      <c r="K80" t="n">
        <v>30</v>
      </c>
      <c r="L80" t="inlineStr">
        <is>
          <t>19 Juli 2026</t>
        </is>
      </c>
      <c r="M80" t="inlineStr">
        <is>
          <t>Konstruksi Gedung Lainnya, Konstruksi Gedung Pendidikan</t>
        </is>
      </c>
      <c r="N80" t="inlineStr">
        <is>
          <t>K</t>
        </is>
      </c>
      <c r="O80" t="inlineStr">
        <is>
          <t>20230711, 20230712</t>
        </is>
      </c>
      <c r="P80" t="inlineStr">
        <is>
          <t>Banten</t>
        </is>
      </c>
      <c r="Q80" t="inlineStr"/>
    </row>
    <row r="81">
      <c r="A81" t="inlineStr">
        <is>
          <t>HUTAMA KARYA KONSTRUKSI</t>
        </is>
      </c>
      <c r="B81" t="inlineStr">
        <is>
          <t>Kab. Kayong Utara</t>
        </is>
      </c>
      <c r="C81" t="inlineStr">
        <is>
          <t>081258245062</t>
        </is>
      </c>
      <c r="D81" t="inlineStr">
        <is>
          <t>hutamakarya2023konstruksi@gmail.com</t>
        </is>
      </c>
      <c r="E81" t="inlineStr">
        <is>
          <t>https://lpjk.pu.go.id/search-badan-usaha-detail/RTdVcE9VQ3RlMnhSdGFldUVCZFBXUT09</t>
        </is>
      </c>
      <c r="F81" t="n">
        <v>2</v>
      </c>
      <c r="G81" t="inlineStr">
        <is>
          <t>BS001</t>
        </is>
      </c>
      <c r="H81" t="inlineStr">
        <is>
          <t>18 April 2023</t>
        </is>
      </c>
      <c r="I81" s="2" t="n">
        <v>46222</v>
      </c>
      <c r="J81" t="inlineStr">
        <is>
          <t>Disetujui</t>
        </is>
      </c>
      <c r="K81" t="n">
        <v>30</v>
      </c>
      <c r="L81" t="inlineStr">
        <is>
          <t>19 Juli 2026</t>
        </is>
      </c>
      <c r="M81" t="inlineStr">
        <is>
          <t>Konstruksi Bangunan Sipil Jalan</t>
        </is>
      </c>
      <c r="N81" t="inlineStr">
        <is>
          <t>K</t>
        </is>
      </c>
      <c r="O81" t="inlineStr">
        <is>
          <t>20230716</t>
        </is>
      </c>
      <c r="P81" t="inlineStr">
        <is>
          <t>Kalimantan Barat</t>
        </is>
      </c>
      <c r="Q81" t="inlineStr"/>
    </row>
    <row r="82">
      <c r="A82" t="inlineStr">
        <is>
          <t>INTI</t>
        </is>
      </c>
      <c r="B82" t="inlineStr">
        <is>
          <t>Kab. Indramayu</t>
        </is>
      </c>
      <c r="C82" t="inlineStr">
        <is>
          <t>0817215580</t>
        </is>
      </c>
      <c r="D82" t="inlineStr">
        <is>
          <t>muhajir_purnama@yahoo.com</t>
        </is>
      </c>
      <c r="E82" t="inlineStr">
        <is>
          <t>https://lpjk.pu.go.id/search-badan-usaha-detail/NGZOUXh6YjQyOUpsZ3o4bzVHN2UvZz09</t>
        </is>
      </c>
      <c r="F82" t="n">
        <v>2</v>
      </c>
      <c r="G82" t="inlineStr">
        <is>
          <t>BS001, BS004</t>
        </is>
      </c>
      <c r="H82" t="inlineStr">
        <is>
          <t>7 Juni 2011</t>
        </is>
      </c>
      <c r="I82" s="2" t="n">
        <v>46222</v>
      </c>
      <c r="J82" t="inlineStr">
        <is>
          <t>Disetujui</t>
        </is>
      </c>
      <c r="K82" t="n">
        <v>30</v>
      </c>
      <c r="L82" t="inlineStr">
        <is>
          <t>19 Juli 2026</t>
        </is>
      </c>
      <c r="M82" t="inlineStr">
        <is>
          <t>Konstruksi Bangunan Sipil Jalan, Konstruksi Jaringan Irigasi dan Drainase</t>
        </is>
      </c>
      <c r="N82" t="inlineStr">
        <is>
          <t>K</t>
        </is>
      </c>
      <c r="O82" t="inlineStr">
        <is>
          <t>20230710</t>
        </is>
      </c>
      <c r="P82" t="inlineStr">
        <is>
          <t>Jawa Barat</t>
        </is>
      </c>
      <c r="Q82" t="inlineStr"/>
    </row>
    <row r="83">
      <c r="A83" t="inlineStr">
        <is>
          <t>JALAN BARU JAYA ABADI</t>
        </is>
      </c>
      <c r="B83" t="inlineStr">
        <is>
          <t>Kota Padang</t>
        </is>
      </c>
      <c r="C83" t="inlineStr">
        <is>
          <t>082169678314</t>
        </is>
      </c>
      <c r="D83" t="inlineStr">
        <is>
          <t>ptjalanbarujayaabadi17@gmail.com</t>
        </is>
      </c>
      <c r="E83" t="inlineStr">
        <is>
          <t>https://lpjk.pu.go.id/search-badan-usaha-detail/eXl0S3hMZnkzSDFTdHNGVzd3UlhqUT09</t>
        </is>
      </c>
      <c r="F83" t="n">
        <v>1</v>
      </c>
      <c r="G83" t="inlineStr">
        <is>
          <t>BS017</t>
        </is>
      </c>
      <c r="H83" t="inlineStr">
        <is>
          <t>14 Desember 2019</t>
        </is>
      </c>
      <c r="I83" s="2" t="n">
        <v>46222</v>
      </c>
      <c r="J83" t="inlineStr">
        <is>
          <t>Pencabutan</t>
        </is>
      </c>
      <c r="K83" t="n">
        <v>30</v>
      </c>
      <c r="L83" t="inlineStr">
        <is>
          <t>19 Juli 2026</t>
        </is>
      </c>
      <c r="M83" t="inlineStr">
        <is>
          <t>Konstruksi Bangunan Sipil Lainnya Ytdl</t>
        </is>
      </c>
      <c r="N83" t="inlineStr">
        <is>
          <t>K</t>
        </is>
      </c>
      <c r="O83" t="inlineStr">
        <is>
          <t>20230615</t>
        </is>
      </c>
      <c r="P83" t="inlineStr">
        <is>
          <t>Sumatera Barat</t>
        </is>
      </c>
      <c r="Q83" t="inlineStr"/>
    </row>
    <row r="84">
      <c r="A84" t="inlineStr">
        <is>
          <t>JANUARI MITRA SEJATI</t>
        </is>
      </c>
      <c r="B84" t="inlineStr">
        <is>
          <t>Kota Jambi</t>
        </is>
      </c>
      <c r="C84" t="inlineStr">
        <is>
          <t>-</t>
        </is>
      </c>
      <c r="D84" t="inlineStr">
        <is>
          <t>Cv.januarimitrasejati@ymail.com</t>
        </is>
      </c>
      <c r="E84" t="inlineStr">
        <is>
          <t>https://lpjk.pu.go.id/search-badan-usaha-detail/WkNGOUNKRmlKYldmeGpCc25lVnVuQT09</t>
        </is>
      </c>
      <c r="F84" t="n">
        <v>1</v>
      </c>
      <c r="G84" t="inlineStr">
        <is>
          <t>BG006</t>
        </is>
      </c>
      <c r="H84" t="inlineStr">
        <is>
          <t>15 Desember 2010</t>
        </is>
      </c>
      <c r="I84" s="2" t="n">
        <v>46222</v>
      </c>
      <c r="J84" t="inlineStr">
        <is>
          <t>Disetujui</t>
        </is>
      </c>
      <c r="K84" t="n">
        <v>30</v>
      </c>
      <c r="L84" t="inlineStr">
        <is>
          <t>19 Juli 2026</t>
        </is>
      </c>
      <c r="M84" t="inlineStr">
        <is>
          <t>Konstruksi Gedung Pendidikan</t>
        </is>
      </c>
      <c r="N84" t="inlineStr">
        <is>
          <t>K</t>
        </is>
      </c>
      <c r="O84" t="inlineStr">
        <is>
          <t>20230712</t>
        </is>
      </c>
      <c r="P84" t="inlineStr">
        <is>
          <t>Jambi</t>
        </is>
      </c>
      <c r="Q84" t="inlineStr"/>
    </row>
    <row r="85">
      <c r="A85" t="inlineStr">
        <is>
          <t>JAVA SENTOSA GROUP</t>
        </is>
      </c>
      <c r="B85" t="inlineStr">
        <is>
          <t>Kab. Tuban</t>
        </is>
      </c>
      <c r="C85" t="inlineStr">
        <is>
          <t>082142234537</t>
        </is>
      </c>
      <c r="D85" t="inlineStr">
        <is>
          <t>ptjavasentosagroup@gmail.com</t>
        </is>
      </c>
      <c r="E85" t="inlineStr">
        <is>
          <t>https://lpjk.pu.go.id/search-badan-usaha-detail/b0Y5cTVzejhhVmpuTmxUZ2I4bjI1Zz09</t>
        </is>
      </c>
      <c r="F85" t="n">
        <v>1</v>
      </c>
      <c r="G85" t="inlineStr">
        <is>
          <t>BG002</t>
        </is>
      </c>
      <c r="H85" t="inlineStr">
        <is>
          <t>15 Maret 2021</t>
        </is>
      </c>
      <c r="I85" s="2" t="n">
        <v>46222</v>
      </c>
      <c r="J85" t="inlineStr">
        <is>
          <t>Disetujui</t>
        </is>
      </c>
      <c r="K85" t="n">
        <v>30</v>
      </c>
      <c r="L85" t="inlineStr">
        <is>
          <t>19 Juli 2026</t>
        </is>
      </c>
      <c r="M85" t="inlineStr">
        <is>
          <t>Konstruksi Gedung Perkantoran</t>
        </is>
      </c>
      <c r="N85" t="inlineStr">
        <is>
          <t>K</t>
        </is>
      </c>
      <c r="O85" t="inlineStr">
        <is>
          <t>20230714</t>
        </is>
      </c>
      <c r="P85" t="inlineStr">
        <is>
          <t>Jawa Timur</t>
        </is>
      </c>
      <c r="Q85" t="inlineStr"/>
    </row>
    <row r="86">
      <c r="A86" t="inlineStr">
        <is>
          <t>JAYA KARYA</t>
        </is>
      </c>
      <c r="B86" t="inlineStr">
        <is>
          <t>Kab. Jember</t>
        </is>
      </c>
      <c r="C86" t="inlineStr">
        <is>
          <t>085333967676</t>
        </is>
      </c>
      <c r="D86" t="inlineStr">
        <is>
          <t>jayakarya.cv@yahoo.com</t>
        </is>
      </c>
      <c r="E86" t="inlineStr">
        <is>
          <t>https://lpjk.pu.go.id/search-badan-usaha-detail/Wm9NbFBtaFpqU0lUOXlkWjNWWXN6Zz09</t>
        </is>
      </c>
      <c r="F86" t="n">
        <v>2</v>
      </c>
      <c r="G86" t="inlineStr">
        <is>
          <t>BS001, BS004</t>
        </is>
      </c>
      <c r="H86" t="inlineStr">
        <is>
          <t>4 Maret 1997</t>
        </is>
      </c>
      <c r="I86" s="2" t="n">
        <v>46222</v>
      </c>
      <c r="J86" t="inlineStr">
        <is>
          <t>Pencabutan</t>
        </is>
      </c>
      <c r="K86" t="n">
        <v>30</v>
      </c>
      <c r="L86" t="inlineStr">
        <is>
          <t>19 Juli 2026</t>
        </is>
      </c>
      <c r="M86" t="inlineStr">
        <is>
          <t>Konstruksi Bangunan Sipil Jalan, Konstruksi Jaringan Irigasi dan Drainase</t>
        </is>
      </c>
      <c r="N86" t="inlineStr">
        <is>
          <t>K</t>
        </is>
      </c>
      <c r="O86" t="inlineStr">
        <is>
          <t>20230719</t>
        </is>
      </c>
      <c r="P86" t="inlineStr">
        <is>
          <t>Jawa Timur</t>
        </is>
      </c>
      <c r="Q86" t="inlineStr"/>
    </row>
    <row r="87">
      <c r="A87" t="inlineStr">
        <is>
          <t>JIWANU MANDIRI PERKASA</t>
        </is>
      </c>
      <c r="B87" t="inlineStr">
        <is>
          <t>Kota Jayapura</t>
        </is>
      </c>
      <c r="C87" t="inlineStr">
        <is>
          <t>081299293070</t>
        </is>
      </c>
      <c r="D87" t="inlineStr">
        <is>
          <t>jiwanumandiriperkasa@gmail.com</t>
        </is>
      </c>
      <c r="E87" t="inlineStr">
        <is>
          <t>https://lpjk.pu.go.id/search-badan-usaha-detail/ZE85Q1JnUzZ1SFZLbnIreVd0ajlCdz09</t>
        </is>
      </c>
      <c r="F87" t="n">
        <v>1</v>
      </c>
      <c r="G87" t="inlineStr">
        <is>
          <t>BS001</t>
        </is>
      </c>
      <c r="H87" t="inlineStr">
        <is>
          <t>30 April 2021</t>
        </is>
      </c>
      <c r="I87" s="2" t="n">
        <v>46222</v>
      </c>
      <c r="J87" t="inlineStr">
        <is>
          <t>Disetujui</t>
        </is>
      </c>
      <c r="K87" t="n">
        <v>30</v>
      </c>
      <c r="L87" t="inlineStr">
        <is>
          <t>19 Juli 2026</t>
        </is>
      </c>
      <c r="M87" t="inlineStr">
        <is>
          <t>Konstruksi Bangunan Sipil Jalan</t>
        </is>
      </c>
      <c r="N87" t="inlineStr">
        <is>
          <t>K</t>
        </is>
      </c>
      <c r="O87" t="inlineStr">
        <is>
          <t>20230713</t>
        </is>
      </c>
      <c r="P87" t="inlineStr">
        <is>
          <t>Papua</t>
        </is>
      </c>
      <c r="Q87" t="inlineStr"/>
    </row>
    <row r="88">
      <c r="A88" t="inlineStr">
        <is>
          <t>KARISMA 99</t>
        </is>
      </c>
      <c r="B88" t="inlineStr">
        <is>
          <t>Kab. Kutai Kartanegara</t>
        </is>
      </c>
      <c r="C88" t="inlineStr">
        <is>
          <t>08125374340</t>
        </is>
      </c>
      <c r="D88" t="inlineStr">
        <is>
          <t>alisetiawanione9597@gmail.com</t>
        </is>
      </c>
      <c r="E88" t="inlineStr">
        <is>
          <t>https://lpjk.pu.go.id/search-badan-usaha-detail/b1lDeXhubUtqV2hNMmJCemorN0lSZz09</t>
        </is>
      </c>
      <c r="F88" t="n">
        <v>1</v>
      </c>
      <c r="G88" t="inlineStr">
        <is>
          <t>BS004</t>
        </is>
      </c>
      <c r="H88" t="inlineStr">
        <is>
          <t>15 Januari 2007</t>
        </is>
      </c>
      <c r="I88" s="2" t="n">
        <v>46222</v>
      </c>
      <c r="J88" t="inlineStr">
        <is>
          <t>Pencabutan</t>
        </is>
      </c>
      <c r="K88" t="n">
        <v>30</v>
      </c>
      <c r="L88" t="inlineStr">
        <is>
          <t>19 Juli 2026</t>
        </is>
      </c>
      <c r="M88" t="inlineStr">
        <is>
          <t>Konstruksi Jaringan Irigasi dan Drainase</t>
        </is>
      </c>
      <c r="N88" t="inlineStr">
        <is>
          <t>K</t>
        </is>
      </c>
      <c r="O88" t="inlineStr">
        <is>
          <t>20230718</t>
        </is>
      </c>
      <c r="P88" t="inlineStr">
        <is>
          <t>Kalimantan Timur</t>
        </is>
      </c>
      <c r="Q88" t="inlineStr"/>
    </row>
    <row r="89">
      <c r="A89" t="inlineStr">
        <is>
          <t>KARYA BERSAMA KONTRAKTOR</t>
        </is>
      </c>
      <c r="B89" t="inlineStr">
        <is>
          <t>Kota Jambi</t>
        </is>
      </c>
      <c r="C89" t="inlineStr">
        <is>
          <t>082177608386</t>
        </is>
      </c>
      <c r="D89" t="inlineStr">
        <is>
          <t>karyabersama2021.cv@gmail.com</t>
        </is>
      </c>
      <c r="E89" t="inlineStr">
        <is>
          <t>https://lpjk.pu.go.id/search-badan-usaha-detail/TzVPTkxzbmcyWW1TdDZ5K0lwWmdMZz09</t>
        </is>
      </c>
      <c r="F89" t="n">
        <v>1</v>
      </c>
      <c r="G89" t="inlineStr">
        <is>
          <t>BS005</t>
        </is>
      </c>
      <c r="H89" t="inlineStr">
        <is>
          <t>25 Oktober 2021</t>
        </is>
      </c>
      <c r="I89" s="2" t="n">
        <v>46222</v>
      </c>
      <c r="J89" t="inlineStr">
        <is>
          <t>Disetujui</t>
        </is>
      </c>
      <c r="K89" t="n">
        <v>30</v>
      </c>
      <c r="L89" t="inlineStr">
        <is>
          <t>19 Juli 2026</t>
        </is>
      </c>
      <c r="M89" t="inlineStr">
        <is>
          <t>Konstruksi Bangunan Sipil Pengolahan Air Bersih</t>
        </is>
      </c>
      <c r="N89" t="inlineStr">
        <is>
          <t>K</t>
        </is>
      </c>
      <c r="O89" t="inlineStr">
        <is>
          <t>20230714</t>
        </is>
      </c>
      <c r="P89" t="inlineStr">
        <is>
          <t>Jambi</t>
        </is>
      </c>
      <c r="Q89" t="inlineStr"/>
    </row>
    <row r="90">
      <c r="A90" t="inlineStr">
        <is>
          <t>KARYA CIPTA UTAMA</t>
        </is>
      </c>
      <c r="B90" t="inlineStr">
        <is>
          <t>Kota Tanjung Pinang</t>
        </is>
      </c>
      <c r="C90" t="inlineStr">
        <is>
          <t>085376865559</t>
        </is>
      </c>
      <c r="D90" t="inlineStr">
        <is>
          <t>karyaciptautama757@gmail.com</t>
        </is>
      </c>
      <c r="E90" t="inlineStr">
        <is>
          <t>https://lpjk.pu.go.id/search-badan-usaha-detail/WGVCUDNaNGpGRUxZbWhCMGVqcEFNUT09</t>
        </is>
      </c>
      <c r="F90" t="n">
        <v>1</v>
      </c>
      <c r="G90" t="inlineStr">
        <is>
          <t>BG006</t>
        </is>
      </c>
      <c r="H90" t="inlineStr">
        <is>
          <t>15 November 2017</t>
        </is>
      </c>
      <c r="I90" s="2" t="n">
        <v>46222</v>
      </c>
      <c r="J90" t="inlineStr">
        <is>
          <t>Pencabutan</t>
        </is>
      </c>
      <c r="K90" t="n">
        <v>30</v>
      </c>
      <c r="L90" t="inlineStr">
        <is>
          <t>19 Juli 2026</t>
        </is>
      </c>
      <c r="M90" t="inlineStr">
        <is>
          <t>Konstruksi Gedung Pendidikan</t>
        </is>
      </c>
      <c r="N90" t="inlineStr">
        <is>
          <t>K</t>
        </is>
      </c>
      <c r="O90" t="inlineStr">
        <is>
          <t>20230714</t>
        </is>
      </c>
      <c r="P90" t="inlineStr">
        <is>
          <t>Kepulauan Riau</t>
        </is>
      </c>
      <c r="Q90" t="inlineStr"/>
    </row>
    <row r="91">
      <c r="A91" t="inlineStr">
        <is>
          <t>KARYA GARNASIH</t>
        </is>
      </c>
      <c r="B91" t="inlineStr">
        <is>
          <t>Kab. Cianjur</t>
        </is>
      </c>
      <c r="C91" t="inlineStr">
        <is>
          <t>087820276556</t>
        </is>
      </c>
      <c r="D91" t="inlineStr">
        <is>
          <t>karyagarnasih.cv@gmail.com</t>
        </is>
      </c>
      <c r="E91" t="inlineStr">
        <is>
          <t>https://lpjk.pu.go.id/search-badan-usaha-detail/TlVCa0h1dnJjcVRlVWJjYmlkS2Rodz09</t>
        </is>
      </c>
      <c r="F91" t="n">
        <v>5</v>
      </c>
      <c r="G91" t="inlineStr">
        <is>
          <t>BG005, BG006, BG009, BS001, BS004</t>
        </is>
      </c>
      <c r="H91" t="inlineStr">
        <is>
          <t>27 Februari 2017</t>
        </is>
      </c>
      <c r="I91" s="2" t="n">
        <v>46222</v>
      </c>
      <c r="J91" t="inlineStr">
        <is>
          <t>Pencabutan</t>
        </is>
      </c>
      <c r="K91" t="n">
        <v>30</v>
      </c>
      <c r="L91" t="inlineStr">
        <is>
          <t>19 Juli 2026</t>
        </is>
      </c>
      <c r="M91" t="inlineStr">
        <is>
          <t>Konstruksi Bangunan Sipil Jalan, Konstruksi Gedung Kesehatan, Konstruksi Gedung Lainnya, Konstruksi Gedung Pendidikan, Konstruksi Jaringan Irigasi dan Drainase</t>
        </is>
      </c>
      <c r="N91" t="inlineStr">
        <is>
          <t>K</t>
        </is>
      </c>
      <c r="O91" t="inlineStr">
        <is>
          <t>20230712</t>
        </is>
      </c>
      <c r="P91" t="inlineStr">
        <is>
          <t>Jawa Barat</t>
        </is>
      </c>
      <c r="Q91" t="inlineStr"/>
    </row>
    <row r="92">
      <c r="A92" t="inlineStr">
        <is>
          <t>KARYA INOVATIF</t>
        </is>
      </c>
      <c r="B92" t="inlineStr">
        <is>
          <t>Kota Pekanbaru</t>
        </is>
      </c>
      <c r="C92" t="inlineStr">
        <is>
          <t>082321005194</t>
        </is>
      </c>
      <c r="D92" t="inlineStr">
        <is>
          <t>inovatifkarya@gmail.com</t>
        </is>
      </c>
      <c r="E92" t="inlineStr">
        <is>
          <t>https://lpjk.pu.go.id/search-badan-usaha-detail/OHE4OHBBU3dUbVJJQmliQnJJakVrdz09</t>
        </is>
      </c>
      <c r="F92" t="n">
        <v>4</v>
      </c>
      <c r="G92" t="inlineStr">
        <is>
          <t>BG006, BG009, BS001, BS004</t>
        </is>
      </c>
      <c r="H92" t="inlineStr">
        <is>
          <t>15 Juni 2023</t>
        </is>
      </c>
      <c r="I92" s="2" t="n">
        <v>46222</v>
      </c>
      <c r="J92" t="inlineStr">
        <is>
          <t>Disetujui</t>
        </is>
      </c>
      <c r="K92" t="n">
        <v>30</v>
      </c>
      <c r="L92" t="inlineStr">
        <is>
          <t>19 Juli 2026</t>
        </is>
      </c>
      <c r="M92" t="inlineStr">
        <is>
          <t>Konstruksi Bangunan Sipil Jalan, Konstruksi Gedung Lainnya, Konstruksi Gedung Pendidikan, Konstruksi Jaringan Irigasi dan Drainase</t>
        </is>
      </c>
      <c r="N92" t="inlineStr">
        <is>
          <t>K</t>
        </is>
      </c>
      <c r="O92" t="inlineStr">
        <is>
          <t>20230719</t>
        </is>
      </c>
      <c r="P92" t="inlineStr">
        <is>
          <t>Riau</t>
        </is>
      </c>
      <c r="Q92" t="inlineStr"/>
    </row>
    <row r="93">
      <c r="A93" t="inlineStr">
        <is>
          <t>KARYA MAESTRO KONSULTAN</t>
        </is>
      </c>
      <c r="B93" t="inlineStr">
        <is>
          <t>Kab. Bengkalis</t>
        </is>
      </c>
      <c r="C93" t="inlineStr">
        <is>
          <t>085165286829</t>
        </is>
      </c>
      <c r="D93" t="inlineStr">
        <is>
          <t>karya_maestro@ymail.com</t>
        </is>
      </c>
      <c r="E93" t="inlineStr">
        <is>
          <t>https://lpjk.pu.go.id/search-badan-usaha-detail/djFCMFlRR2FQY2s4VmJtbTZacXBZUT09</t>
        </is>
      </c>
      <c r="F93" t="n">
        <v>1</v>
      </c>
      <c r="G93" t="inlineStr">
        <is>
          <t>RK003</t>
        </is>
      </c>
      <c r="H93" t="inlineStr">
        <is>
          <t>28 September 2001</t>
        </is>
      </c>
      <c r="I93" s="2" t="n">
        <v>46222</v>
      </c>
      <c r="J93" t="inlineStr">
        <is>
          <t>Disetujui</t>
        </is>
      </c>
      <c r="K93" t="n">
        <v>30</v>
      </c>
      <c r="L93" t="inlineStr">
        <is>
          <t>19 Juli 2026</t>
        </is>
      </c>
      <c r="M93" t="inlineStr">
        <is>
          <t>Jasa Rekayasa Pekerjaan Teknik Sipil Transportasi</t>
        </is>
      </c>
      <c r="N93" t="inlineStr">
        <is>
          <t>K</t>
        </is>
      </c>
      <c r="O93" t="inlineStr">
        <is>
          <t>20230707</t>
        </is>
      </c>
      <c r="P93" t="inlineStr">
        <is>
          <t>Riau</t>
        </is>
      </c>
      <c r="Q93" t="inlineStr"/>
    </row>
    <row r="94">
      <c r="A94" t="inlineStr">
        <is>
          <t>KARYA NYATA</t>
        </is>
      </c>
      <c r="B94" t="inlineStr">
        <is>
          <t>Kab. Sumbawa</t>
        </is>
      </c>
      <c r="C94" t="inlineStr">
        <is>
          <t>082341939022</t>
        </is>
      </c>
      <c r="D94" t="inlineStr">
        <is>
          <t>cvkaryanyata80@gmail.com</t>
        </is>
      </c>
      <c r="E94" t="inlineStr">
        <is>
          <t>https://lpjk.pu.go.id/search-badan-usaha-detail/TCs0V2RDZHAxNTVydzB3TkV3RTl3QT09</t>
        </is>
      </c>
      <c r="F94" t="n">
        <v>1</v>
      </c>
      <c r="G94" t="inlineStr">
        <is>
          <t>BG009</t>
        </is>
      </c>
      <c r="H94" t="inlineStr">
        <is>
          <t>19 Desember 1985</t>
        </is>
      </c>
      <c r="I94" s="2" t="n">
        <v>46222</v>
      </c>
      <c r="J94" t="inlineStr">
        <is>
          <t>Disetujui</t>
        </is>
      </c>
      <c r="K94" t="n">
        <v>30</v>
      </c>
      <c r="L94" t="inlineStr">
        <is>
          <t>19 Juli 2026</t>
        </is>
      </c>
      <c r="M94" t="inlineStr">
        <is>
          <t>Konstruksi Gedung Lainnya</t>
        </is>
      </c>
      <c r="N94" t="inlineStr">
        <is>
          <t>K</t>
        </is>
      </c>
      <c r="O94" t="inlineStr">
        <is>
          <t>20230716</t>
        </is>
      </c>
      <c r="P94" t="inlineStr">
        <is>
          <t>Nusa Tenggara Barat</t>
        </is>
      </c>
      <c r="Q94" t="inlineStr"/>
    </row>
    <row r="95">
      <c r="A95" t="inlineStr">
        <is>
          <t>KARYA PUTRA BUNGSU</t>
        </is>
      </c>
      <c r="B95" t="inlineStr">
        <is>
          <t>Kota Jambi</t>
        </is>
      </c>
      <c r="C95" t="inlineStr">
        <is>
          <t>082183101400</t>
        </is>
      </c>
      <c r="D95" t="inlineStr">
        <is>
          <t>karyaputrabungsu007@gmail.com</t>
        </is>
      </c>
      <c r="E95" t="inlineStr">
        <is>
          <t>https://lpjk.pu.go.id/search-badan-usaha-detail/YS9qT1FSSWJqdkJnRjU3T3NOTTRhdz09</t>
        </is>
      </c>
      <c r="F95" t="n">
        <v>1</v>
      </c>
      <c r="G95" t="inlineStr">
        <is>
          <t>BG004</t>
        </is>
      </c>
      <c r="H95" t="inlineStr">
        <is>
          <t>9 September 2021</t>
        </is>
      </c>
      <c r="I95" s="2" t="n">
        <v>46222</v>
      </c>
      <c r="J95" t="inlineStr">
        <is>
          <t>Disetujui</t>
        </is>
      </c>
      <c r="K95" t="n">
        <v>30</v>
      </c>
      <c r="L95" t="inlineStr">
        <is>
          <t>19 Juli 2026</t>
        </is>
      </c>
      <c r="M95" t="inlineStr">
        <is>
          <t>Konstruksi Gedung Perbelanjaan</t>
        </is>
      </c>
      <c r="N95" t="inlineStr">
        <is>
          <t>K</t>
        </is>
      </c>
      <c r="O95" t="inlineStr">
        <is>
          <t>20230713</t>
        </is>
      </c>
      <c r="P95" t="inlineStr">
        <is>
          <t>Jambi</t>
        </is>
      </c>
      <c r="Q95" t="inlineStr"/>
    </row>
    <row r="96">
      <c r="A96" t="inlineStr">
        <is>
          <t>KARYA PUTRA SADU</t>
        </is>
      </c>
      <c r="B96" t="inlineStr">
        <is>
          <t>Kota Jambi</t>
        </is>
      </c>
      <c r="C96" t="inlineStr">
        <is>
          <t>87746584223</t>
        </is>
      </c>
      <c r="D96" t="inlineStr">
        <is>
          <t>karyaputrasadu@gmail.com</t>
        </is>
      </c>
      <c r="E96" t="inlineStr">
        <is>
          <t>https://lpjk.pu.go.id/search-badan-usaha-detail/L2pxZnVoZVVZYnUrVTRweE0xT2JVZz09</t>
        </is>
      </c>
      <c r="F96" t="n">
        <v>1</v>
      </c>
      <c r="G96" t="inlineStr">
        <is>
          <t>BG006</t>
        </is>
      </c>
      <c r="H96" t="inlineStr">
        <is>
          <t>9 Juni 2023</t>
        </is>
      </c>
      <c r="I96" s="2" t="n">
        <v>46222</v>
      </c>
      <c r="J96" t="inlineStr">
        <is>
          <t>Disetujui</t>
        </is>
      </c>
      <c r="K96" t="n">
        <v>30</v>
      </c>
      <c r="L96" t="inlineStr">
        <is>
          <t>19 Juli 2026</t>
        </is>
      </c>
      <c r="M96" t="inlineStr">
        <is>
          <t>Konstruksi Gedung Pendidikan</t>
        </is>
      </c>
      <c r="N96" t="inlineStr">
        <is>
          <t>K</t>
        </is>
      </c>
      <c r="O96" t="inlineStr">
        <is>
          <t>20230714</t>
        </is>
      </c>
      <c r="P96" t="inlineStr">
        <is>
          <t>Jambi</t>
        </is>
      </c>
      <c r="Q96" t="inlineStr"/>
    </row>
    <row r="97">
      <c r="A97" t="inlineStr">
        <is>
          <t>KARYA WARDANA</t>
        </is>
      </c>
      <c r="B97" t="inlineStr">
        <is>
          <t>Kab. Karangasem</t>
        </is>
      </c>
      <c r="C97" t="inlineStr">
        <is>
          <t>08123956392</t>
        </is>
      </c>
      <c r="D97" t="inlineStr">
        <is>
          <t>cvkaryawardana@gmail.com</t>
        </is>
      </c>
      <c r="E97" t="inlineStr">
        <is>
          <t>https://lpjk.pu.go.id/search-badan-usaha-detail/Yks2WGhEWEN5OFBaTVpLdFBzVWNRdz09</t>
        </is>
      </c>
      <c r="F97" t="n">
        <v>5</v>
      </c>
      <c r="G97" t="inlineStr">
        <is>
          <t>BG001, BG002, BG005, BG006, BG009</t>
        </is>
      </c>
      <c r="H97" t="inlineStr">
        <is>
          <t>9 Oktober 2001</t>
        </is>
      </c>
      <c r="I97" s="2" t="n">
        <v>46222</v>
      </c>
      <c r="J97" t="inlineStr">
        <is>
          <t>Disetujui</t>
        </is>
      </c>
      <c r="K97" t="n">
        <v>30</v>
      </c>
      <c r="L97" t="inlineStr">
        <is>
          <t>19 Juli 2026</t>
        </is>
      </c>
      <c r="M97" t="inlineStr">
        <is>
          <t>Konstruksi Gedung Hunian, Konstruksi Gedung Kesehatan, Konstruksi Gedung Lainnya, Konstruksi Gedung Pendidikan, Konstruksi Gedung Perkantoran</t>
        </is>
      </c>
      <c r="N97" t="inlineStr">
        <is>
          <t>K</t>
        </is>
      </c>
      <c r="O97" t="inlineStr">
        <is>
          <t>20230714</t>
        </is>
      </c>
      <c r="P97" t="inlineStr">
        <is>
          <t>Bali</t>
        </is>
      </c>
      <c r="Q97" t="inlineStr"/>
    </row>
    <row r="98">
      <c r="A98" t="inlineStr">
        <is>
          <t>KAWASAN INDUSTRI KUJANG CIKAMPEK</t>
        </is>
      </c>
      <c r="B98" t="inlineStr">
        <is>
          <t>Kab. Karawang</t>
        </is>
      </c>
      <c r="C98" t="inlineStr">
        <is>
          <t>0264313113</t>
        </is>
      </c>
      <c r="D98" t="inlineStr">
        <is>
          <t>info@kikc.co.id</t>
        </is>
      </c>
      <c r="E98" t="inlineStr">
        <is>
          <t>https://lpjk.pu.go.id/search-badan-usaha-detail/YnltZEt3S1AyOElWSytiWXhpNzFRUT09</t>
        </is>
      </c>
      <c r="F98" t="n">
        <v>1</v>
      </c>
      <c r="G98" t="inlineStr">
        <is>
          <t>BS001</t>
        </is>
      </c>
      <c r="H98" t="inlineStr">
        <is>
          <t>9 Juni 1975</t>
        </is>
      </c>
      <c r="I98" s="2" t="n">
        <v>46222</v>
      </c>
      <c r="J98" t="inlineStr">
        <is>
          <t>Disetujui</t>
        </is>
      </c>
      <c r="K98" t="n">
        <v>30</v>
      </c>
      <c r="L98" t="inlineStr">
        <is>
          <t>19 Juli 2026</t>
        </is>
      </c>
      <c r="M98" t="inlineStr">
        <is>
          <t>Konstruksi Bangunan Sipil Jalan</t>
        </is>
      </c>
      <c r="N98" t="inlineStr">
        <is>
          <t>K</t>
        </is>
      </c>
      <c r="O98" t="inlineStr">
        <is>
          <t>20230308</t>
        </is>
      </c>
      <c r="P98" t="inlineStr">
        <is>
          <t>Jawa Barat</t>
        </is>
      </c>
      <c r="Q98" t="inlineStr"/>
    </row>
    <row r="99">
      <c r="A99" t="inlineStr">
        <is>
          <t>KEMBAR ALAM</t>
        </is>
      </c>
      <c r="B99" t="inlineStr">
        <is>
          <t>Kota Bandar Lampung</t>
        </is>
      </c>
      <c r="C99" t="inlineStr">
        <is>
          <t>081367364416</t>
        </is>
      </c>
      <c r="D99" t="inlineStr">
        <is>
          <t>kembaralamcv21@gmail.com</t>
        </is>
      </c>
      <c r="E99" t="inlineStr">
        <is>
          <t>https://lpjk.pu.go.id/search-badan-usaha-detail/SlJHNzBqclZuc0dQQytHdnBvK3p0QT09</t>
        </is>
      </c>
      <c r="F99" t="n">
        <v>1</v>
      </c>
      <c r="G99" t="inlineStr">
        <is>
          <t>BG006</t>
        </is>
      </c>
      <c r="H99" t="inlineStr">
        <is>
          <t>16 September 2021</t>
        </is>
      </c>
      <c r="I99" s="2" t="n">
        <v>46222</v>
      </c>
      <c r="J99" t="inlineStr">
        <is>
          <t>Disetujui</t>
        </is>
      </c>
      <c r="K99" t="n">
        <v>30</v>
      </c>
      <c r="L99" t="inlineStr">
        <is>
          <t>19 Juli 2026</t>
        </is>
      </c>
      <c r="M99" t="inlineStr">
        <is>
          <t>Konstruksi Gedung Pendidikan</t>
        </is>
      </c>
      <c r="N99" t="inlineStr">
        <is>
          <t>K</t>
        </is>
      </c>
      <c r="O99" t="inlineStr">
        <is>
          <t>20230627</t>
        </is>
      </c>
      <c r="P99" t="inlineStr">
        <is>
          <t>Lampung</t>
        </is>
      </c>
      <c r="Q99" t="inlineStr"/>
    </row>
    <row r="100">
      <c r="A100" t="inlineStr">
        <is>
          <t>KEMBAR JAYA KONSTRUKSI INDONESIA</t>
        </is>
      </c>
      <c r="B100" t="inlineStr">
        <is>
          <t>Kota Bandar Lampung</t>
        </is>
      </c>
      <c r="C100" t="inlineStr">
        <is>
          <t>082186403853</t>
        </is>
      </c>
      <c r="D100" t="inlineStr">
        <is>
          <t>kembarjaya2023@gmail.com</t>
        </is>
      </c>
      <c r="E100" t="inlineStr">
        <is>
          <t>https://lpjk.pu.go.id/search-badan-usaha-detail/anJiVmxDS002NFFVcUhPWTduN0Zadz09</t>
        </is>
      </c>
      <c r="F100" t="n">
        <v>5</v>
      </c>
      <c r="G100" t="inlineStr">
        <is>
          <t>BG001, BG002, BG005, BG006, BG009</t>
        </is>
      </c>
      <c r="H100" t="inlineStr">
        <is>
          <t>12 Juli 2023</t>
        </is>
      </c>
      <c r="I100" s="2" t="n">
        <v>46222</v>
      </c>
      <c r="J100" t="inlineStr">
        <is>
          <t>Disetujui</t>
        </is>
      </c>
      <c r="K100" t="n">
        <v>30</v>
      </c>
      <c r="L100" t="inlineStr">
        <is>
          <t>19 Juli 2026</t>
        </is>
      </c>
      <c r="M100" t="inlineStr">
        <is>
          <t>Konstruksi Gedung Hunian, Konstruksi Gedung Kesehatan, Konstruksi Gedung Lainnya, Konstruksi Gedung Pendidikan, Konstruksi Gedung Perkantoran</t>
        </is>
      </c>
      <c r="N100" t="inlineStr">
        <is>
          <t>K</t>
        </is>
      </c>
      <c r="O100" t="inlineStr">
        <is>
          <t>20230708</t>
        </is>
      </c>
      <c r="P100" t="inlineStr">
        <is>
          <t>Lampung</t>
        </is>
      </c>
      <c r="Q100" t="inlineStr"/>
    </row>
    <row r="101">
      <c r="A101" t="inlineStr">
        <is>
          <t>KING WATER MANURUNG</t>
        </is>
      </c>
      <c r="B101" t="inlineStr">
        <is>
          <t>Kota Kendari</t>
        </is>
      </c>
      <c r="C101" t="inlineStr">
        <is>
          <t>085241795527</t>
        </is>
      </c>
      <c r="D101" t="inlineStr">
        <is>
          <t>kingmanurung1@gmail.com</t>
        </is>
      </c>
      <c r="E101" t="inlineStr">
        <is>
          <t>https://lpjk.pu.go.id/search-badan-usaha-detail/S3VKdjZ6VkZNc2RkTUtrckhjMXpXZz09</t>
        </is>
      </c>
      <c r="F101" t="n">
        <v>3</v>
      </c>
      <c r="G101" t="inlineStr">
        <is>
          <t>BG002, BG005, BG006</t>
        </is>
      </c>
      <c r="H101" t="inlineStr">
        <is>
          <t>14 September 2018</t>
        </is>
      </c>
      <c r="I101" s="2" t="n">
        <v>46222</v>
      </c>
      <c r="J101" t="inlineStr">
        <is>
          <t>Disetujui</t>
        </is>
      </c>
      <c r="K101" t="n">
        <v>30</v>
      </c>
      <c r="L101" t="inlineStr">
        <is>
          <t>19 Juli 2026</t>
        </is>
      </c>
      <c r="M101" t="inlineStr">
        <is>
          <t>Konstruksi Gedung Kesehatan, Konstruksi Gedung Pendidikan, Konstruksi Gedung Perkantoran</t>
        </is>
      </c>
      <c r="N101" t="inlineStr">
        <is>
          <t>K</t>
        </is>
      </c>
      <c r="O101" t="inlineStr">
        <is>
          <t>20230718</t>
        </is>
      </c>
      <c r="P101" t="inlineStr">
        <is>
          <t>Sulawesi Tenggara</t>
        </is>
      </c>
      <c r="Q101" t="inlineStr"/>
    </row>
    <row r="102">
      <c r="A102" t="inlineStr">
        <is>
          <t>KURNIA JASA PERSADA</t>
        </is>
      </c>
      <c r="B102" t="inlineStr">
        <is>
          <t>Kota Pare Pare</t>
        </is>
      </c>
      <c r="C102" t="inlineStr">
        <is>
          <t>085229795649</t>
        </is>
      </c>
      <c r="D102" t="inlineStr">
        <is>
          <t>jpkurnia@gmail.com</t>
        </is>
      </c>
      <c r="E102" t="inlineStr">
        <is>
          <t>https://lpjk.pu.go.id/search-badan-usaha-detail/Yk16ajVEZERpM3NHNzA0aG42cWtBdz09</t>
        </is>
      </c>
      <c r="F102" t="n">
        <v>1</v>
      </c>
      <c r="G102" t="inlineStr">
        <is>
          <t>BS004</t>
        </is>
      </c>
      <c r="H102" t="inlineStr">
        <is>
          <t>21 April 1997</t>
        </is>
      </c>
      <c r="I102" s="2" t="n">
        <v>46222</v>
      </c>
      <c r="J102" t="inlineStr">
        <is>
          <t>Disetujui</t>
        </is>
      </c>
      <c r="K102" t="n">
        <v>30</v>
      </c>
      <c r="L102" t="inlineStr">
        <is>
          <t>19 Juli 2026</t>
        </is>
      </c>
      <c r="M102" t="inlineStr">
        <is>
          <t>Konstruksi Jaringan Irigasi dan Drainase</t>
        </is>
      </c>
      <c r="N102" t="inlineStr">
        <is>
          <t>K</t>
        </is>
      </c>
      <c r="O102" t="inlineStr">
        <is>
          <t>20230718</t>
        </is>
      </c>
      <c r="P102" t="inlineStr">
        <is>
          <t>Sulawesi Selatan</t>
        </is>
      </c>
      <c r="Q102" t="inlineStr"/>
    </row>
    <row r="103">
      <c r="A103" t="inlineStr">
        <is>
          <t>KUSUMA BHAKTI</t>
        </is>
      </c>
      <c r="B103" t="inlineStr">
        <is>
          <t>Kab. Pati</t>
        </is>
      </c>
      <c r="C103" t="inlineStr">
        <is>
          <t>081226636440</t>
        </is>
      </c>
      <c r="D103" t="inlineStr">
        <is>
          <t>cv.kusumabhakti@gmail.com</t>
        </is>
      </c>
      <c r="E103" t="inlineStr">
        <is>
          <t>https://lpjk.pu.go.id/search-badan-usaha-detail/Ky8vWDl3eGNodFBlNUhvOEtOU09YUT09</t>
        </is>
      </c>
      <c r="F103" t="n">
        <v>2</v>
      </c>
      <c r="G103" t="inlineStr">
        <is>
          <t>BG006, BS001</t>
        </is>
      </c>
      <c r="H103" t="inlineStr">
        <is>
          <t>27 April 2023</t>
        </is>
      </c>
      <c r="I103" s="2" t="n">
        <v>46222</v>
      </c>
      <c r="J103" t="inlineStr">
        <is>
          <t>Disetujui</t>
        </is>
      </c>
      <c r="K103" t="n">
        <v>30</v>
      </c>
      <c r="L103" t="inlineStr">
        <is>
          <t>19 Juli 2026</t>
        </is>
      </c>
      <c r="M103" t="inlineStr">
        <is>
          <t>Konstruksi Bangunan Sipil Jalan, Konstruksi Gedung Pendidikan</t>
        </is>
      </c>
      <c r="N103" t="inlineStr">
        <is>
          <t>K</t>
        </is>
      </c>
      <c r="O103" t="inlineStr">
        <is>
          <t>20230714, 20230718</t>
        </is>
      </c>
      <c r="P103" t="inlineStr">
        <is>
          <t>Jawa Tengah</t>
        </is>
      </c>
      <c r="Q103" t="inlineStr"/>
    </row>
    <row r="104">
      <c r="A104" t="inlineStr">
        <is>
          <t>LANANG BUNGSU</t>
        </is>
      </c>
      <c r="B104" t="inlineStr">
        <is>
          <t>Kab. Landak</t>
        </is>
      </c>
      <c r="C104" t="inlineStr">
        <is>
          <t>089693370652</t>
        </is>
      </c>
      <c r="D104" t="inlineStr">
        <is>
          <t>cvlanangbungsu@gmail.com</t>
        </is>
      </c>
      <c r="E104" t="inlineStr">
        <is>
          <t>https://lpjk.pu.go.id/search-badan-usaha-detail/Y29aSkZqV0kvMEJkalc4Mmg3RytXZz09</t>
        </is>
      </c>
      <c r="F104" t="n">
        <v>6</v>
      </c>
      <c r="G104" t="inlineStr">
        <is>
          <t>BG002, BG005, BG006, BG008, BG009, BS001</t>
        </is>
      </c>
      <c r="H104" t="inlineStr">
        <is>
          <t>3 Juli 2023</t>
        </is>
      </c>
      <c r="I104" s="2" t="n">
        <v>46222</v>
      </c>
      <c r="J104" t="inlineStr">
        <is>
          <t>Disetujui</t>
        </is>
      </c>
      <c r="K104" t="n">
        <v>30</v>
      </c>
      <c r="L104" t="inlineStr">
        <is>
          <t>19 Juli 2026</t>
        </is>
      </c>
      <c r="M104" t="inlineStr">
        <is>
          <t>Konstruksi Bangunan Sipil Jalan, Konstruksi Gedung Kesehatan, Konstruksi Gedung Lainnya, Konstruksi Gedung Pendidikan, Konstruksi Gedung Perkantoran, Konstruksi Gedung Tempat Hiburan dan Olahraga</t>
        </is>
      </c>
      <c r="N104" t="inlineStr">
        <is>
          <t>K</t>
        </is>
      </c>
      <c r="O104" t="inlineStr">
        <is>
          <t>20230717</t>
        </is>
      </c>
      <c r="P104" t="inlineStr">
        <is>
          <t>Kalimantan Barat</t>
        </is>
      </c>
      <c r="Q104" t="inlineStr"/>
    </row>
    <row r="105">
      <c r="A105" t="inlineStr">
        <is>
          <t>LANGGENG</t>
        </is>
      </c>
      <c r="B105" t="inlineStr">
        <is>
          <t>Kab. Purbalingga</t>
        </is>
      </c>
      <c r="C105" t="inlineStr">
        <is>
          <t>08156985650</t>
        </is>
      </c>
      <c r="D105" t="inlineStr">
        <is>
          <t>langgengjaya_5758@yahoo.co.id</t>
        </is>
      </c>
      <c r="E105" t="inlineStr">
        <is>
          <t>https://lpjk.pu.go.id/search-badan-usaha-detail/R0Z2VEdLSXZhR1pTOTVYdjBBWHR3dz09</t>
        </is>
      </c>
      <c r="F105" t="n">
        <v>1</v>
      </c>
      <c r="G105" t="inlineStr">
        <is>
          <t>BG006</t>
        </is>
      </c>
      <c r="H105" t="inlineStr">
        <is>
          <t>9 Februari 1983</t>
        </is>
      </c>
      <c r="I105" s="2" t="n">
        <v>46222</v>
      </c>
      <c r="J105" t="inlineStr">
        <is>
          <t>Disetujui</t>
        </is>
      </c>
      <c r="K105" t="n">
        <v>30</v>
      </c>
      <c r="L105" t="inlineStr">
        <is>
          <t>19 Juli 2026</t>
        </is>
      </c>
      <c r="M105" t="inlineStr">
        <is>
          <t>Konstruksi Gedung Pendidikan</t>
        </is>
      </c>
      <c r="N105" t="inlineStr">
        <is>
          <t>K</t>
        </is>
      </c>
      <c r="O105" t="inlineStr">
        <is>
          <t>20230711</t>
        </is>
      </c>
      <c r="P105" t="inlineStr">
        <is>
          <t>Jawa Tengah</t>
        </is>
      </c>
      <c r="Q105" t="inlineStr"/>
    </row>
    <row r="106">
      <c r="A106" t="inlineStr">
        <is>
          <t>LESTARI</t>
        </is>
      </c>
      <c r="B106" t="inlineStr">
        <is>
          <t>Kab. Padang Pariaman</t>
        </is>
      </c>
      <c r="C106" t="inlineStr">
        <is>
          <t>081268391411</t>
        </is>
      </c>
      <c r="D106" t="inlineStr">
        <is>
          <t>yaswirm66@gmail.com</t>
        </is>
      </c>
      <c r="E106" t="inlineStr">
        <is>
          <t>https://lpjk.pu.go.id/search-badan-usaha-detail/NmRVSDBBdkpXQlp4V0Q1MXFHbDNoQT09</t>
        </is>
      </c>
      <c r="F106" t="n">
        <v>5</v>
      </c>
      <c r="G106" t="inlineStr">
        <is>
          <t>BG001, BG005, BG006, BS001, BS004</t>
        </is>
      </c>
      <c r="H106" t="inlineStr">
        <is>
          <t>10 Maret 1982</t>
        </is>
      </c>
      <c r="I106" s="2" t="n">
        <v>46222</v>
      </c>
      <c r="J106" t="inlineStr">
        <is>
          <t>Disetujui</t>
        </is>
      </c>
      <c r="K106" t="n">
        <v>30</v>
      </c>
      <c r="L106" t="inlineStr">
        <is>
          <t>19 Juli 2026</t>
        </is>
      </c>
      <c r="M106" t="inlineStr">
        <is>
          <t>Konstruksi Bangunan Sipil Jalan, Konstruksi Gedung Hunian, Konstruksi Gedung Kesehatan, Konstruksi Gedung Pendidikan, Konstruksi Jaringan Irigasi dan Drainase</t>
        </is>
      </c>
      <c r="N106" t="inlineStr">
        <is>
          <t>K</t>
        </is>
      </c>
      <c r="O106" t="inlineStr">
        <is>
          <t>20230608, 20230611</t>
        </is>
      </c>
      <c r="P106" t="inlineStr">
        <is>
          <t>Sumatera Barat</t>
        </is>
      </c>
      <c r="Q106" t="inlineStr"/>
    </row>
    <row r="107">
      <c r="A107" t="inlineStr">
        <is>
          <t>MAHAKARYA PUTRA MANDIRI</t>
        </is>
      </c>
      <c r="B107" t="inlineStr">
        <is>
          <t>Kab. Sigi</t>
        </is>
      </c>
      <c r="C107" t="inlineStr">
        <is>
          <t>N/A</t>
        </is>
      </c>
      <c r="D107" t="inlineStr">
        <is>
          <t>N/A</t>
        </is>
      </c>
      <c r="E107" t="inlineStr">
        <is>
          <t>https://lpjk.pu.go.id/search-badan-usaha-detail/ejlwWjlHekd3RXZYS0l0NjJHcCtPdz09</t>
        </is>
      </c>
      <c r="F107" t="n">
        <v>2</v>
      </c>
      <c r="G107" t="inlineStr">
        <is>
          <t>BG005</t>
        </is>
      </c>
      <c r="H107" t="inlineStr"/>
      <c r="I107" s="2" t="n">
        <v>46222</v>
      </c>
      <c r="J107" t="inlineStr">
        <is>
          <t>Disetujui</t>
        </is>
      </c>
      <c r="K107" t="n">
        <v>30</v>
      </c>
      <c r="L107" t="inlineStr">
        <is>
          <t>19 Juli 2026</t>
        </is>
      </c>
      <c r="M107" t="inlineStr">
        <is>
          <t>Konstruksi Gedung Kesehatan</t>
        </is>
      </c>
      <c r="N107" t="inlineStr">
        <is>
          <t>K</t>
        </is>
      </c>
      <c r="O107" t="inlineStr">
        <is>
          <t>20230720</t>
        </is>
      </c>
      <c r="P107" t="inlineStr">
        <is>
          <t>Sulawesi Tengah</t>
        </is>
      </c>
      <c r="Q107" t="inlineStr"/>
    </row>
    <row r="108">
      <c r="A108" t="inlineStr">
        <is>
          <t>MAHIRA BERKAH NUSANTARA</t>
        </is>
      </c>
      <c r="B108" t="inlineStr">
        <is>
          <t>Kab. Temanggung</t>
        </is>
      </c>
      <c r="C108" t="inlineStr">
        <is>
          <t>085729240042</t>
        </is>
      </c>
      <c r="D108" t="inlineStr">
        <is>
          <t>mahiraberkahnusantara@gmail.com</t>
        </is>
      </c>
      <c r="E108" t="inlineStr">
        <is>
          <t>https://lpjk.pu.go.id/search-badan-usaha-detail/blBaeVBmUGpNcGZWY2xkdDVna0hRUT09</t>
        </is>
      </c>
      <c r="F108" t="n">
        <v>1</v>
      </c>
      <c r="G108" t="inlineStr">
        <is>
          <t>BS004</t>
        </is>
      </c>
      <c r="H108" t="inlineStr">
        <is>
          <t>6 April 2023</t>
        </is>
      </c>
      <c r="I108" s="2" t="n">
        <v>46222</v>
      </c>
      <c r="J108" t="inlineStr">
        <is>
          <t>Disetujui</t>
        </is>
      </c>
      <c r="K108" t="n">
        <v>30</v>
      </c>
      <c r="L108" t="inlineStr">
        <is>
          <t>19 Juli 2026</t>
        </is>
      </c>
      <c r="M108" t="inlineStr">
        <is>
          <t>Konstruksi Jaringan Irigasi dan Drainase</t>
        </is>
      </c>
      <c r="N108" t="inlineStr">
        <is>
          <t>K</t>
        </is>
      </c>
      <c r="O108" t="inlineStr">
        <is>
          <t>20230508</t>
        </is>
      </c>
      <c r="P108" t="inlineStr">
        <is>
          <t>Jawa Tengah</t>
        </is>
      </c>
      <c r="Q108" t="inlineStr"/>
    </row>
    <row r="109">
      <c r="A109" t="inlineStr">
        <is>
          <t>MAHKOTA TIMUR PERKASA</t>
        </is>
      </c>
      <c r="B109" t="inlineStr">
        <is>
          <t>Kota Tual</t>
        </is>
      </c>
      <c r="C109" t="inlineStr">
        <is>
          <t>081343005558</t>
        </is>
      </c>
      <c r="D109" t="inlineStr">
        <is>
          <t>cvmahkotatimur@gmail.com</t>
        </is>
      </c>
      <c r="E109" t="inlineStr">
        <is>
          <t>https://lpjk.pu.go.id/search-badan-usaha-detail/RkNBT2JraDhnZERyb3BscDEybUludz09</t>
        </is>
      </c>
      <c r="F109" t="n">
        <v>1</v>
      </c>
      <c r="G109" t="inlineStr">
        <is>
          <t>BS004</t>
        </is>
      </c>
      <c r="H109" t="inlineStr">
        <is>
          <t>5 April 2013</t>
        </is>
      </c>
      <c r="I109" s="2" t="n">
        <v>46222</v>
      </c>
      <c r="J109" t="inlineStr">
        <is>
          <t>Pencabutan</t>
        </is>
      </c>
      <c r="K109" t="n">
        <v>30</v>
      </c>
      <c r="L109" t="inlineStr">
        <is>
          <t>19 Juli 2026</t>
        </is>
      </c>
      <c r="M109" t="inlineStr">
        <is>
          <t>Konstruksi Jaringan Irigasi dan Drainase</t>
        </is>
      </c>
      <c r="N109" t="inlineStr">
        <is>
          <t>K</t>
        </is>
      </c>
      <c r="O109" t="inlineStr">
        <is>
          <t>20230712</t>
        </is>
      </c>
      <c r="P109" t="inlineStr">
        <is>
          <t>Maluku</t>
        </is>
      </c>
      <c r="Q109" t="inlineStr"/>
    </row>
    <row r="110">
      <c r="A110" t="inlineStr">
        <is>
          <t>MANDIRI PAPUA</t>
        </is>
      </c>
      <c r="B110" t="inlineStr">
        <is>
          <t>Kab. Nabire</t>
        </is>
      </c>
      <c r="C110" t="inlineStr">
        <is>
          <t>082377668598</t>
        </is>
      </c>
      <c r="D110" t="inlineStr">
        <is>
          <t>mandiripapua56@gmail.com</t>
        </is>
      </c>
      <c r="E110" t="inlineStr">
        <is>
          <t>https://lpjk.pu.go.id/search-badan-usaha-detail/Sk1mVzhMbEdtR3NGV3RuM1Ixc0VRZz09</t>
        </is>
      </c>
      <c r="F110" t="n">
        <v>1</v>
      </c>
      <c r="G110" t="inlineStr">
        <is>
          <t>BG003</t>
        </is>
      </c>
      <c r="H110" t="inlineStr">
        <is>
          <t>20 Mei 2020</t>
        </is>
      </c>
      <c r="I110" s="2" t="n">
        <v>46222</v>
      </c>
      <c r="J110" t="inlineStr">
        <is>
          <t>Pencabutan</t>
        </is>
      </c>
      <c r="K110" t="n">
        <v>30</v>
      </c>
      <c r="L110" t="inlineStr">
        <is>
          <t>19 Juli 2026</t>
        </is>
      </c>
      <c r="M110" t="inlineStr">
        <is>
          <t>Konstruksi Gedung Industri</t>
        </is>
      </c>
      <c r="N110" t="inlineStr">
        <is>
          <t>K</t>
        </is>
      </c>
      <c r="O110" t="inlineStr">
        <is>
          <t>20230718</t>
        </is>
      </c>
      <c r="P110" t="inlineStr">
        <is>
          <t>Papua</t>
        </is>
      </c>
      <c r="Q110" t="inlineStr"/>
    </row>
    <row r="111">
      <c r="A111" t="inlineStr">
        <is>
          <t>MARA DORI</t>
        </is>
      </c>
      <c r="B111" t="inlineStr">
        <is>
          <t>Kota Jayapura</t>
        </is>
      </c>
      <c r="C111" t="inlineStr">
        <is>
          <t>08124806296</t>
        </is>
      </c>
      <c r="D111" t="inlineStr">
        <is>
          <t>cv.maradori@gmail.com</t>
        </is>
      </c>
      <c r="E111" t="inlineStr">
        <is>
          <t>https://lpjk.pu.go.id/search-badan-usaha-detail/TUl6bGRKQzRrV2dRVkpRRmYzRHE5Zz09</t>
        </is>
      </c>
      <c r="F111" t="n">
        <v>1</v>
      </c>
      <c r="G111" t="inlineStr">
        <is>
          <t>BG009</t>
        </is>
      </c>
      <c r="H111" t="inlineStr">
        <is>
          <t>19 Maret 2002</t>
        </is>
      </c>
      <c r="I111" s="2" t="n">
        <v>46222</v>
      </c>
      <c r="J111" t="inlineStr">
        <is>
          <t>Disetujui</t>
        </is>
      </c>
      <c r="K111" t="n">
        <v>30</v>
      </c>
      <c r="L111" t="inlineStr">
        <is>
          <t>19 Juli 2026</t>
        </is>
      </c>
      <c r="M111" t="inlineStr">
        <is>
          <t>Konstruksi Gedung Lainnya</t>
        </is>
      </c>
      <c r="N111" t="inlineStr">
        <is>
          <t>K</t>
        </is>
      </c>
      <c r="O111" t="inlineStr">
        <is>
          <t>20230717</t>
        </is>
      </c>
      <c r="P111" t="inlineStr">
        <is>
          <t>Papua</t>
        </is>
      </c>
      <c r="Q111" t="inlineStr"/>
    </row>
    <row r="112">
      <c r="A112" t="inlineStr">
        <is>
          <t>MATAHARI TUNGGAL ABADI</t>
        </is>
      </c>
      <c r="B112" t="inlineStr">
        <is>
          <t>Kab. Deli Serdang</t>
        </is>
      </c>
      <c r="C112" t="inlineStr">
        <is>
          <t>085361453542</t>
        </is>
      </c>
      <c r="D112" t="inlineStr">
        <is>
          <t>mataharitgabadi.pt@gmail.com</t>
        </is>
      </c>
      <c r="E112" t="inlineStr">
        <is>
          <t>https://lpjk.pu.go.id/search-badan-usaha-detail/cHBWMzN0bjBRMUNXck1BRWMrWWxDQT09</t>
        </is>
      </c>
      <c r="F112" t="n">
        <v>2</v>
      </c>
      <c r="G112" t="inlineStr">
        <is>
          <t>BG006</t>
        </is>
      </c>
      <c r="H112" t="inlineStr">
        <is>
          <t>23 Februari 2023</t>
        </is>
      </c>
      <c r="I112" s="2" t="n">
        <v>46222</v>
      </c>
      <c r="J112" t="inlineStr">
        <is>
          <t>Disetujui</t>
        </is>
      </c>
      <c r="K112" t="n">
        <v>30</v>
      </c>
      <c r="L112" t="inlineStr">
        <is>
          <t>19 Juli 2026</t>
        </is>
      </c>
      <c r="M112" t="inlineStr">
        <is>
          <t>Konstruksi Gedung Pendidikan</t>
        </is>
      </c>
      <c r="N112" t="inlineStr">
        <is>
          <t>K</t>
        </is>
      </c>
      <c r="O112" t="inlineStr">
        <is>
          <t>20230705</t>
        </is>
      </c>
      <c r="P112" t="inlineStr">
        <is>
          <t>Sumatera Utara</t>
        </is>
      </c>
      <c r="Q112" t="inlineStr"/>
    </row>
    <row r="113">
      <c r="A113" t="inlineStr">
        <is>
          <t>MEKAR MANDIRI SEJAHTERA</t>
        </is>
      </c>
      <c r="B113" t="inlineStr">
        <is>
          <t>Kab. Bantul</t>
        </is>
      </c>
      <c r="C113" t="inlineStr">
        <is>
          <t>02742814101</t>
        </is>
      </c>
      <c r="D113" t="inlineStr">
        <is>
          <t>mms_sejahtera11@yahoo.com</t>
        </is>
      </c>
      <c r="E113" t="inlineStr">
        <is>
          <t>https://lpjk.pu.go.id/search-badan-usaha-detail/YjFxVTg4UjE1STBqdXV1TW9lNmdZZz09</t>
        </is>
      </c>
      <c r="F113" t="n">
        <v>2</v>
      </c>
      <c r="G113" t="inlineStr">
        <is>
          <t>BS002</t>
        </is>
      </c>
      <c r="H113" t="inlineStr">
        <is>
          <t>25 Februari 2016</t>
        </is>
      </c>
      <c r="I113" s="2" t="n">
        <v>46222</v>
      </c>
      <c r="J113" t="inlineStr">
        <is>
          <t>Disetujui</t>
        </is>
      </c>
      <c r="K113" t="n">
        <v>30</v>
      </c>
      <c r="L113" t="inlineStr">
        <is>
          <t>19 Juli 2026</t>
        </is>
      </c>
      <c r="M113" t="inlineStr">
        <is>
          <t>Bangunan Sipil Jembatan, Jalan Layang, Fly Over, dan Underpass</t>
        </is>
      </c>
      <c r="N113" t="inlineStr">
        <is>
          <t>K</t>
        </is>
      </c>
      <c r="O113" t="inlineStr">
        <is>
          <t>20230718</t>
        </is>
      </c>
      <c r="P113" t="inlineStr">
        <is>
          <t>DI Yogyakarta</t>
        </is>
      </c>
      <c r="Q113" t="inlineStr"/>
    </row>
    <row r="114">
      <c r="A114" t="inlineStr">
        <is>
          <t>MIRZA PRIMA</t>
        </is>
      </c>
      <c r="B114" t="inlineStr">
        <is>
          <t>Kab. Kolaka</t>
        </is>
      </c>
      <c r="C114" t="inlineStr">
        <is>
          <t>0811400286</t>
        </is>
      </c>
      <c r="D114" t="inlineStr">
        <is>
          <t>cv.mirzaprima@yahoo.com</t>
        </is>
      </c>
      <c r="E114" t="inlineStr">
        <is>
          <t>https://lpjk.pu.go.id/search-badan-usaha-detail/Mjc0TnhJU3gzalM2NzRXR0JIcFU3Zz09</t>
        </is>
      </c>
      <c r="F114" t="n">
        <v>4</v>
      </c>
      <c r="G114" t="inlineStr">
        <is>
          <t>BS004, BS007</t>
        </is>
      </c>
      <c r="H114" t="inlineStr">
        <is>
          <t>19 Februari 2013</t>
        </is>
      </c>
      <c r="I114" s="2" t="n">
        <v>46222</v>
      </c>
      <c r="J114" t="inlineStr">
        <is>
          <t>Disetujui</t>
        </is>
      </c>
      <c r="K114" t="n">
        <v>30</v>
      </c>
      <c r="L114" t="inlineStr">
        <is>
          <t>19 Juli 2026</t>
        </is>
      </c>
      <c r="M114" t="inlineStr">
        <is>
          <t>Konstruksi Bangunan Sipil Elektrikal, Konstruksi Jaringan Irigasi dan Drainase</t>
        </is>
      </c>
      <c r="N114" t="inlineStr">
        <is>
          <t>K</t>
        </is>
      </c>
      <c r="O114" t="inlineStr">
        <is>
          <t>20230718</t>
        </is>
      </c>
      <c r="P114" t="inlineStr">
        <is>
          <t>Sulawesi Tenggara</t>
        </is>
      </c>
      <c r="Q114" t="inlineStr"/>
    </row>
    <row r="115">
      <c r="A115" t="inlineStr">
        <is>
          <t>MITRA ABADI</t>
        </is>
      </c>
      <c r="B115" t="inlineStr">
        <is>
          <t>Kota Tarakan</t>
        </is>
      </c>
      <c r="C115" t="inlineStr">
        <is>
          <t>08125326511</t>
        </is>
      </c>
      <c r="D115" t="inlineStr">
        <is>
          <t>mitra.abadi6@gmail.com</t>
        </is>
      </c>
      <c r="E115" t="inlineStr">
        <is>
          <t>https://lpjk.pu.go.id/search-badan-usaha-detail/VkZFYzg0bFBMcFlmVng0aXJnaGhadz09</t>
        </is>
      </c>
      <c r="F115" t="n">
        <v>1</v>
      </c>
      <c r="G115" t="inlineStr">
        <is>
          <t>BS004</t>
        </is>
      </c>
      <c r="H115" t="inlineStr">
        <is>
          <t>28 Desember 2001</t>
        </is>
      </c>
      <c r="I115" s="2" t="n">
        <v>46222</v>
      </c>
      <c r="J115" t="inlineStr">
        <is>
          <t>Disetujui</t>
        </is>
      </c>
      <c r="K115" t="n">
        <v>30</v>
      </c>
      <c r="L115" t="inlineStr">
        <is>
          <t>19 Juli 2026</t>
        </is>
      </c>
      <c r="M115" t="inlineStr">
        <is>
          <t>Konstruksi Jaringan Irigasi dan Drainase</t>
        </is>
      </c>
      <c r="N115" t="inlineStr">
        <is>
          <t>K</t>
        </is>
      </c>
      <c r="O115" t="inlineStr">
        <is>
          <t>20230713</t>
        </is>
      </c>
      <c r="P115" t="inlineStr">
        <is>
          <t>Kalimantan Utara</t>
        </is>
      </c>
      <c r="Q115" t="inlineStr"/>
    </row>
    <row r="116">
      <c r="A116" t="inlineStr">
        <is>
          <t>MITRA KUTAI ABADI</t>
        </is>
      </c>
      <c r="B116" t="inlineStr">
        <is>
          <t>Kab. Kutai Timur</t>
        </is>
      </c>
      <c r="C116" t="inlineStr">
        <is>
          <t>082251322553</t>
        </is>
      </c>
      <c r="D116" t="inlineStr">
        <is>
          <t>cv.mitrakutaiabadi@gmail.com</t>
        </is>
      </c>
      <c r="E116" t="inlineStr">
        <is>
          <t>https://lpjk.pu.go.id/search-badan-usaha-detail/dlFpc3g5OHAxUkQzNStTd0dmM0xoZz09</t>
        </is>
      </c>
      <c r="F116" t="n">
        <v>4</v>
      </c>
      <c r="G116" t="inlineStr">
        <is>
          <t>BG006, BG009, BS001, BS004</t>
        </is>
      </c>
      <c r="H116" t="inlineStr">
        <is>
          <t>7 Februari 2022</t>
        </is>
      </c>
      <c r="I116" s="2" t="n">
        <v>46222</v>
      </c>
      <c r="J116" t="inlineStr">
        <is>
          <t>Disetujui</t>
        </is>
      </c>
      <c r="K116" t="n">
        <v>30</v>
      </c>
      <c r="L116" t="inlineStr">
        <is>
          <t>19 Juli 2026</t>
        </is>
      </c>
      <c r="M116" t="inlineStr">
        <is>
          <t>Konstruksi Bangunan Sipil Jalan, Konstruksi Gedung Lainnya, Konstruksi Gedung Pendidikan, Konstruksi Jaringan Irigasi dan Drainase</t>
        </is>
      </c>
      <c r="N116" t="inlineStr">
        <is>
          <t>K</t>
        </is>
      </c>
      <c r="O116" t="inlineStr">
        <is>
          <t>20230719</t>
        </is>
      </c>
      <c r="P116" t="inlineStr">
        <is>
          <t>Kalimantan Timur</t>
        </is>
      </c>
      <c r="Q116" t="inlineStr"/>
    </row>
    <row r="117">
      <c r="A117" t="inlineStr">
        <is>
          <t>MITRA SARANA KARYA BANGSA</t>
        </is>
      </c>
      <c r="B117" t="inlineStr">
        <is>
          <t>Kota Adm. Jakarta Pusat</t>
        </is>
      </c>
      <c r="C117" t="inlineStr">
        <is>
          <t>02180631657</t>
        </is>
      </c>
      <c r="D117" t="inlineStr">
        <is>
          <t>miska@mitrakaryabangsa.com</t>
        </is>
      </c>
      <c r="E117" t="inlineStr">
        <is>
          <t>https://lpjk.pu.go.id/search-badan-usaha-detail/aldmMXBUTVY3R2tneml5N3BKSVdmZz09</t>
        </is>
      </c>
      <c r="F117" t="n">
        <v>3</v>
      </c>
      <c r="G117" t="inlineStr">
        <is>
          <t>BG001, BG002, BG003</t>
        </is>
      </c>
      <c r="H117" t="inlineStr">
        <is>
          <t>7 Agustus 2017</t>
        </is>
      </c>
      <c r="I117" s="2" t="n">
        <v>46222</v>
      </c>
      <c r="J117" t="inlineStr">
        <is>
          <t>Disetujui</t>
        </is>
      </c>
      <c r="K117" t="n">
        <v>30</v>
      </c>
      <c r="L117" t="inlineStr">
        <is>
          <t>19 Juli 2026</t>
        </is>
      </c>
      <c r="M117" t="inlineStr">
        <is>
          <t>Konstruksi Gedung Hunian, Konstruksi Gedung Industri, Konstruksi Gedung Perkantoran</t>
        </is>
      </c>
      <c r="N117" t="inlineStr">
        <is>
          <t>K</t>
        </is>
      </c>
      <c r="O117" t="inlineStr">
        <is>
          <t>20230719</t>
        </is>
      </c>
      <c r="P117" t="inlineStr">
        <is>
          <t>DKI Jakarta</t>
        </is>
      </c>
      <c r="Q117" t="inlineStr"/>
    </row>
    <row r="118">
      <c r="A118" t="inlineStr">
        <is>
          <t>MITRA SAUDARA CONSULTANT</t>
        </is>
      </c>
      <c r="B118" t="inlineStr">
        <is>
          <t>Kab. Wakatobi</t>
        </is>
      </c>
      <c r="C118" t="inlineStr">
        <is>
          <t>082291569733</t>
        </is>
      </c>
      <c r="D118" t="inlineStr">
        <is>
          <t>mitra.saudara.consultant@gmail.com</t>
        </is>
      </c>
      <c r="E118" t="inlineStr">
        <is>
          <t>https://lpjk.pu.go.id/search-badan-usaha-detail/clBpMEdQUUJoaE9IMk1MWWNiUzlKdz09</t>
        </is>
      </c>
      <c r="F118" t="n">
        <v>2</v>
      </c>
      <c r="G118" t="inlineStr">
        <is>
          <t>RK002, RK003</t>
        </is>
      </c>
      <c r="H118" t="inlineStr">
        <is>
          <t>19 Juni 2019</t>
        </is>
      </c>
      <c r="I118" s="2" t="n">
        <v>46222</v>
      </c>
      <c r="J118" t="inlineStr">
        <is>
          <t>Disetujui</t>
        </is>
      </c>
      <c r="K118" t="n">
        <v>30</v>
      </c>
      <c r="L118" t="inlineStr">
        <is>
          <t>19 Juli 2026</t>
        </is>
      </c>
      <c r="M118" t="inlineStr">
        <is>
          <t>Jasa Rekayasa Pekerjaan Teknik Sipil Sumber Daya Air, Jasa Rekayasa Pekerjaan Teknik Sipil Transportasi</t>
        </is>
      </c>
      <c r="N118" t="inlineStr">
        <is>
          <t>K</t>
        </is>
      </c>
      <c r="O118" t="inlineStr">
        <is>
          <t>20230703, 20230706</t>
        </is>
      </c>
      <c r="P118" t="inlineStr">
        <is>
          <t>Sulawesi Tenggara</t>
        </is>
      </c>
      <c r="Q118" t="inlineStr"/>
    </row>
    <row r="119">
      <c r="A119" t="inlineStr">
        <is>
          <t>MITRA SINERGI TELEMATIKA</t>
        </is>
      </c>
      <c r="B119" t="inlineStr">
        <is>
          <t>Kota Adm. Jakarta Pusat</t>
        </is>
      </c>
      <c r="C119" t="inlineStr">
        <is>
          <t>02131998600</t>
        </is>
      </c>
      <c r="D119" t="inlineStr">
        <is>
          <t>yakob@misitel.co.id</t>
        </is>
      </c>
      <c r="E119" t="inlineStr">
        <is>
          <t>https://lpjk.pu.go.id/search-badan-usaha-detail/ZUNvK1NMcHpjanVMR09pWW1YMk1zdz09</t>
        </is>
      </c>
      <c r="F119" t="n">
        <v>1</v>
      </c>
      <c r="G119" t="inlineStr">
        <is>
          <t>BS009</t>
        </is>
      </c>
      <c r="H119" t="inlineStr">
        <is>
          <t>18 Juli 2017</t>
        </is>
      </c>
      <c r="I119" s="2" t="n">
        <v>46222</v>
      </c>
      <c r="J119" t="inlineStr">
        <is>
          <t>Pembekuan</t>
        </is>
      </c>
      <c r="K119" t="n">
        <v>30</v>
      </c>
      <c r="L119" t="inlineStr">
        <is>
          <t>19 Juli 2026</t>
        </is>
      </c>
      <c r="M119" t="inlineStr">
        <is>
          <t>Konstruksi Sentral Telekomunikasi</t>
        </is>
      </c>
      <c r="N119" t="inlineStr">
        <is>
          <t>M</t>
        </is>
      </c>
      <c r="O119" t="inlineStr">
        <is>
          <t>20230715</t>
        </is>
      </c>
      <c r="P119" t="inlineStr">
        <is>
          <t>DKI Jakarta</t>
        </is>
      </c>
      <c r="Q119" t="inlineStr"/>
    </row>
    <row r="120">
      <c r="A120" t="inlineStr">
        <is>
          <t>MUJI KONSTRUKSI</t>
        </is>
      </c>
      <c r="B120" t="inlineStr">
        <is>
          <t>Kab. Kapuas Hulu</t>
        </is>
      </c>
      <c r="C120" t="inlineStr">
        <is>
          <t>081521532880</t>
        </is>
      </c>
      <c r="D120" t="inlineStr">
        <is>
          <t>mujikonstruksi@gmail.com</t>
        </is>
      </c>
      <c r="E120" t="inlineStr">
        <is>
          <t>https://lpjk.pu.go.id/search-badan-usaha-detail/b243ZlZPTDJod0w0TGl4NWg2QjdRZz09</t>
        </is>
      </c>
      <c r="F120" t="n">
        <v>3</v>
      </c>
      <c r="G120" t="inlineStr">
        <is>
          <t>BG005, BG006, BG009</t>
        </is>
      </c>
      <c r="H120" t="inlineStr">
        <is>
          <t>25 November 2019</t>
        </is>
      </c>
      <c r="I120" s="2" t="n">
        <v>46222</v>
      </c>
      <c r="J120" t="inlineStr">
        <is>
          <t>Disetujui</t>
        </is>
      </c>
      <c r="K120" t="n">
        <v>30</v>
      </c>
      <c r="L120" t="inlineStr">
        <is>
          <t>19 Juli 2026</t>
        </is>
      </c>
      <c r="M120" t="inlineStr">
        <is>
          <t>Konstruksi Gedung Kesehatan, Konstruksi Gedung Lainnya, Konstruksi Gedung Pendidikan</t>
        </is>
      </c>
      <c r="N120" t="inlineStr">
        <is>
          <t>K</t>
        </is>
      </c>
      <c r="O120" t="inlineStr">
        <is>
          <t>20230717</t>
        </is>
      </c>
      <c r="P120" t="inlineStr">
        <is>
          <t>Kalimantan Barat</t>
        </is>
      </c>
      <c r="Q120" t="inlineStr"/>
    </row>
    <row r="121">
      <c r="A121" t="inlineStr">
        <is>
          <t>MULTI DWI TUNGGAL GRAHA</t>
        </is>
      </c>
      <c r="B121" t="inlineStr">
        <is>
          <t>Kota Medan</t>
        </is>
      </c>
      <c r="C121" t="inlineStr">
        <is>
          <t>0614568668</t>
        </is>
      </c>
      <c r="D121" t="inlineStr">
        <is>
          <t>multidwitunggalgrahapt1986@gmail.com</t>
        </is>
      </c>
      <c r="E121" t="inlineStr">
        <is>
          <t>https://lpjk.pu.go.id/search-badan-usaha-detail/UnJnTFZ3REpaY0k2MjV4bXp4SlJjZz09</t>
        </is>
      </c>
      <c r="F121" t="n">
        <v>1</v>
      </c>
      <c r="G121" t="inlineStr">
        <is>
          <t>BG002</t>
        </is>
      </c>
      <c r="H121" t="inlineStr">
        <is>
          <t>18 November 1986</t>
        </is>
      </c>
      <c r="I121" s="2" t="n">
        <v>46222</v>
      </c>
      <c r="J121" t="inlineStr">
        <is>
          <t>Disetujui</t>
        </is>
      </c>
      <c r="K121" t="n">
        <v>30</v>
      </c>
      <c r="L121" t="inlineStr">
        <is>
          <t>19 Juli 2026</t>
        </is>
      </c>
      <c r="M121" t="inlineStr">
        <is>
          <t>Konstruksi Gedung Perkantoran</t>
        </is>
      </c>
      <c r="N121" t="inlineStr">
        <is>
          <t>K</t>
        </is>
      </c>
      <c r="O121" t="inlineStr">
        <is>
          <t>20230720</t>
        </is>
      </c>
      <c r="P121" t="inlineStr">
        <is>
          <t>Sumatera Utara</t>
        </is>
      </c>
      <c r="Q121" t="inlineStr"/>
    </row>
    <row r="122">
      <c r="A122" t="inlineStr">
        <is>
          <t>MULTI PERSADA</t>
        </is>
      </c>
      <c r="B122" t="inlineStr">
        <is>
          <t>Kota Padang</t>
        </is>
      </c>
      <c r="C122" t="inlineStr">
        <is>
          <t>085274590199</t>
        </is>
      </c>
      <c r="D122" t="inlineStr">
        <is>
          <t>cv.multipersada@yahoo.com</t>
        </is>
      </c>
      <c r="E122" t="inlineStr">
        <is>
          <t>https://lpjk.pu.go.id/search-badan-usaha-detail/M1JCVmV4VmdIZUIxUW9Nc25EZEo5Zz09</t>
        </is>
      </c>
      <c r="F122" t="n">
        <v>2</v>
      </c>
      <c r="G122" t="inlineStr">
        <is>
          <t>BG003, BG004</t>
        </is>
      </c>
      <c r="H122" t="inlineStr">
        <is>
          <t>19 Desember 2018</t>
        </is>
      </c>
      <c r="I122" s="2" t="n">
        <v>46222</v>
      </c>
      <c r="J122" t="inlineStr">
        <is>
          <t>Pencabutan</t>
        </is>
      </c>
      <c r="K122" t="n">
        <v>30</v>
      </c>
      <c r="L122" t="inlineStr">
        <is>
          <t>19 Juli 2026</t>
        </is>
      </c>
      <c r="M122" t="inlineStr">
        <is>
          <t>Konstruksi Gedung Industri, Konstruksi Gedung Perbelanjaan</t>
        </is>
      </c>
      <c r="N122" t="inlineStr">
        <is>
          <t>K</t>
        </is>
      </c>
      <c r="O122" t="inlineStr">
        <is>
          <t>20230714, 20230715</t>
        </is>
      </c>
      <c r="P122" t="inlineStr">
        <is>
          <t>Sumatera Barat</t>
        </is>
      </c>
      <c r="Q122" t="inlineStr"/>
    </row>
    <row r="123">
      <c r="A123" t="inlineStr">
        <is>
          <t>MULYA KARYA</t>
        </is>
      </c>
      <c r="B123" t="inlineStr">
        <is>
          <t>Kab. Kendal</t>
        </is>
      </c>
      <c r="C123" t="inlineStr">
        <is>
          <t>081229895199</t>
        </is>
      </c>
      <c r="D123" t="inlineStr">
        <is>
          <t>emkaconsultan@gmail.com</t>
        </is>
      </c>
      <c r="E123" t="inlineStr">
        <is>
          <t>https://lpjk.pu.go.id/search-badan-usaha-detail/MzY3Y1ZMS1ZkTTJsRGV4dGRxZ2hsQT09</t>
        </is>
      </c>
      <c r="F123" t="n">
        <v>1</v>
      </c>
      <c r="G123" t="inlineStr">
        <is>
          <t>RK003</t>
        </is>
      </c>
      <c r="H123" t="inlineStr">
        <is>
          <t>9 November 2012</t>
        </is>
      </c>
      <c r="I123" s="2" t="n">
        <v>46222</v>
      </c>
      <c r="J123" t="inlineStr">
        <is>
          <t>Disetujui</t>
        </is>
      </c>
      <c r="K123" t="n">
        <v>30</v>
      </c>
      <c r="L123" t="inlineStr">
        <is>
          <t>19 Juli 2026</t>
        </is>
      </c>
      <c r="M123" t="inlineStr">
        <is>
          <t>Jasa Rekayasa Pekerjaan Teknik Sipil Transportasi</t>
        </is>
      </c>
      <c r="N123" t="inlineStr">
        <is>
          <t>K</t>
        </is>
      </c>
      <c r="O123" t="inlineStr">
        <is>
          <t>20230703</t>
        </is>
      </c>
      <c r="P123" t="inlineStr">
        <is>
          <t>Jawa Tengah</t>
        </is>
      </c>
      <c r="Q123" t="inlineStr"/>
    </row>
    <row r="124">
      <c r="A124" t="inlineStr">
        <is>
          <t>MUTIARA HITAM</t>
        </is>
      </c>
      <c r="B124" t="inlineStr">
        <is>
          <t>Kota Bima</t>
        </is>
      </c>
      <c r="C124" t="inlineStr">
        <is>
          <t>085237493853</t>
        </is>
      </c>
      <c r="D124" t="inlineStr">
        <is>
          <t>cvmutiarahitam@yahoo.com</t>
        </is>
      </c>
      <c r="E124" t="inlineStr">
        <is>
          <t>https://lpjk.pu.go.id/search-badan-usaha-detail/ZzhRbTBlcXRlS0tXQ1FTVjY1Q3Q0Zz09</t>
        </is>
      </c>
      <c r="F124" t="n">
        <v>2</v>
      </c>
      <c r="G124" t="inlineStr">
        <is>
          <t>BG001</t>
        </is>
      </c>
      <c r="H124" t="inlineStr">
        <is>
          <t>28 April 2016</t>
        </is>
      </c>
      <c r="I124" s="2" t="n">
        <v>46222</v>
      </c>
      <c r="J124" t="inlineStr">
        <is>
          <t>Disetujui</t>
        </is>
      </c>
      <c r="K124" t="n">
        <v>30</v>
      </c>
      <c r="L124" t="inlineStr">
        <is>
          <t>19 Juli 2026</t>
        </is>
      </c>
      <c r="M124" t="inlineStr">
        <is>
          <t>Konstruksi Gedung Hunian</t>
        </is>
      </c>
      <c r="N124" t="inlineStr">
        <is>
          <t>K</t>
        </is>
      </c>
      <c r="O124" t="inlineStr">
        <is>
          <t>20230717</t>
        </is>
      </c>
      <c r="P124" t="inlineStr">
        <is>
          <t>Nusa Tenggara Barat</t>
        </is>
      </c>
      <c r="Q124" t="inlineStr"/>
    </row>
    <row r="125">
      <c r="A125" t="inlineStr">
        <is>
          <t>MUTIARA SULTAN</t>
        </is>
      </c>
      <c r="B125" t="inlineStr">
        <is>
          <t>Kota Cilegon</t>
        </is>
      </c>
      <c r="C125" t="inlineStr">
        <is>
          <t>087771097515</t>
        </is>
      </c>
      <c r="D125" t="inlineStr">
        <is>
          <t>cv.mutiarasultan@gmail.com</t>
        </is>
      </c>
      <c r="E125" t="inlineStr">
        <is>
          <t>https://lpjk.pu.go.id/search-badan-usaha-detail/b3A3emxkZm0vTERQWDlPQllGQ2ZRdz09</t>
        </is>
      </c>
      <c r="F125" t="n">
        <v>2</v>
      </c>
      <c r="G125" t="inlineStr">
        <is>
          <t>BS001</t>
        </is>
      </c>
      <c r="H125" t="inlineStr">
        <is>
          <t>11 Januari 2023</t>
        </is>
      </c>
      <c r="I125" s="2" t="n">
        <v>46222</v>
      </c>
      <c r="J125" t="inlineStr">
        <is>
          <t>Disetujui</t>
        </is>
      </c>
      <c r="K125" t="n">
        <v>30</v>
      </c>
      <c r="L125" t="inlineStr">
        <is>
          <t>19 Juli 2026</t>
        </is>
      </c>
      <c r="M125" t="inlineStr">
        <is>
          <t>Konstruksi Bangunan Sipil Jalan</t>
        </is>
      </c>
      <c r="N125" t="inlineStr">
        <is>
          <t>K</t>
        </is>
      </c>
      <c r="O125" t="inlineStr">
        <is>
          <t>20230321</t>
        </is>
      </c>
      <c r="P125" t="inlineStr">
        <is>
          <t>Banten</t>
        </is>
      </c>
      <c r="Q125" t="inlineStr"/>
    </row>
    <row r="126">
      <c r="A126" t="inlineStr">
        <is>
          <t>MUTIARA SULTENG CONTRACTOR</t>
        </is>
      </c>
      <c r="B126" t="inlineStr">
        <is>
          <t>Kab. Sigi</t>
        </is>
      </c>
      <c r="C126" t="inlineStr">
        <is>
          <t>081253686485</t>
        </is>
      </c>
      <c r="D126" t="inlineStr">
        <is>
          <t>hasrianamia@gmail.com</t>
        </is>
      </c>
      <c r="E126" t="inlineStr">
        <is>
          <t>https://lpjk.pu.go.id/search-badan-usaha-detail/aXRreGhoUWI5V3U1YlMrUTlEa1dEQT09</t>
        </is>
      </c>
      <c r="F126" t="n">
        <v>2</v>
      </c>
      <c r="G126" t="inlineStr">
        <is>
          <t>BG006, BG009</t>
        </is>
      </c>
      <c r="H126" t="inlineStr">
        <is>
          <t>13 Februari 2017</t>
        </is>
      </c>
      <c r="I126" s="2" t="n">
        <v>46222</v>
      </c>
      <c r="J126" t="inlineStr">
        <is>
          <t>Disetujui</t>
        </is>
      </c>
      <c r="K126" t="n">
        <v>30</v>
      </c>
      <c r="L126" t="inlineStr">
        <is>
          <t>19 Juli 2026</t>
        </is>
      </c>
      <c r="M126" t="inlineStr">
        <is>
          <t>Konstruksi Gedung Lainnya, Konstruksi Gedung Pendidikan</t>
        </is>
      </c>
      <c r="N126" t="inlineStr">
        <is>
          <t>K</t>
        </is>
      </c>
      <c r="O126" t="inlineStr">
        <is>
          <t>20230715</t>
        </is>
      </c>
      <c r="P126" t="inlineStr">
        <is>
          <t>Sulawesi Tengah</t>
        </is>
      </c>
      <c r="Q126" t="inlineStr"/>
    </row>
    <row r="127">
      <c r="A127" t="inlineStr">
        <is>
          <t>MUTIARA TANJUNG KEMBAR</t>
        </is>
      </c>
      <c r="B127" t="inlineStr">
        <is>
          <t>Kab. Tangerang</t>
        </is>
      </c>
      <c r="C127" t="inlineStr">
        <is>
          <t>081281230545</t>
        </is>
      </c>
      <c r="D127" t="inlineStr">
        <is>
          <t>cv.mutiaratk@gmail.com</t>
        </is>
      </c>
      <c r="E127" t="inlineStr">
        <is>
          <t>https://lpjk.pu.go.id/search-badan-usaha-detail/WFVJaW52Vm1oaHp6enRSc1Z5NVVjQT09</t>
        </is>
      </c>
      <c r="F127" t="n">
        <v>2</v>
      </c>
      <c r="G127" t="inlineStr">
        <is>
          <t>BS001</t>
        </is>
      </c>
      <c r="H127" t="inlineStr">
        <is>
          <t>29 Maret 2017</t>
        </is>
      </c>
      <c r="I127" s="2" t="n">
        <v>46222</v>
      </c>
      <c r="J127" t="inlineStr">
        <is>
          <t>Disetujui</t>
        </is>
      </c>
      <c r="K127" t="n">
        <v>30</v>
      </c>
      <c r="L127" t="inlineStr">
        <is>
          <t>19 Juli 2026</t>
        </is>
      </c>
      <c r="M127" t="inlineStr">
        <is>
          <t>Konstruksi Bangunan Sipil Jalan</t>
        </is>
      </c>
      <c r="N127" t="inlineStr">
        <is>
          <t>K</t>
        </is>
      </c>
      <c r="O127" t="inlineStr">
        <is>
          <t>20230716</t>
        </is>
      </c>
      <c r="P127" t="inlineStr">
        <is>
          <t>Banten</t>
        </is>
      </c>
      <c r="Q127" t="inlineStr"/>
    </row>
    <row r="128">
      <c r="A128" t="inlineStr">
        <is>
          <t>NARA SOMA</t>
        </is>
      </c>
      <c r="B128" t="inlineStr">
        <is>
          <t>Kab. Nganjuk</t>
        </is>
      </c>
      <c r="C128" t="inlineStr">
        <is>
          <t>081259150151</t>
        </is>
      </c>
      <c r="D128" t="inlineStr">
        <is>
          <t>cvnarasoma@yahoo.com</t>
        </is>
      </c>
      <c r="E128" t="inlineStr">
        <is>
          <t>https://lpjk.pu.go.id/search-badan-usaha-detail/STRiZk5PMG04eGhNYVhPRFpTVHA2QT09</t>
        </is>
      </c>
      <c r="F128" t="n">
        <v>1</v>
      </c>
      <c r="G128" t="inlineStr">
        <is>
          <t>BG005</t>
        </is>
      </c>
      <c r="H128" t="inlineStr">
        <is>
          <t>21 Desember 2006</t>
        </is>
      </c>
      <c r="I128" s="2" t="n">
        <v>46222</v>
      </c>
      <c r="J128" t="inlineStr">
        <is>
          <t>Disetujui</t>
        </is>
      </c>
      <c r="K128" t="n">
        <v>30</v>
      </c>
      <c r="L128" t="inlineStr">
        <is>
          <t>19 Juli 2026</t>
        </is>
      </c>
      <c r="M128" t="inlineStr">
        <is>
          <t>Konstruksi Gedung Kesehatan</t>
        </is>
      </c>
      <c r="N128" t="inlineStr">
        <is>
          <t>K</t>
        </is>
      </c>
      <c r="O128" t="inlineStr">
        <is>
          <t>20230408</t>
        </is>
      </c>
      <c r="P128" t="inlineStr">
        <is>
          <t>Jawa Timur</t>
        </is>
      </c>
      <c r="Q128" t="inlineStr"/>
    </row>
    <row r="129">
      <c r="A129" t="inlineStr">
        <is>
          <t>NAZARI CIPTA DESAIN</t>
        </is>
      </c>
      <c r="B129" t="inlineStr">
        <is>
          <t>Kota Pontianak</t>
        </is>
      </c>
      <c r="C129" t="inlineStr">
        <is>
          <t>081250144248</t>
        </is>
      </c>
      <c r="D129" t="inlineStr">
        <is>
          <t>cv.nazariciptadesain@gmail.com</t>
        </is>
      </c>
      <c r="E129" t="inlineStr">
        <is>
          <t>https://lpjk.pu.go.id/search-badan-usaha-detail/aXh0eFFTVk4vdG9MSk9Fd3pTclM1QT09</t>
        </is>
      </c>
      <c r="F129" t="n">
        <v>2</v>
      </c>
      <c r="G129" t="inlineStr">
        <is>
          <t>RK002, RK003</t>
        </is>
      </c>
      <c r="H129" t="inlineStr">
        <is>
          <t>24 Januari 2023</t>
        </is>
      </c>
      <c r="I129" s="2" t="n">
        <v>46222</v>
      </c>
      <c r="J129" t="inlineStr">
        <is>
          <t>Disetujui</t>
        </is>
      </c>
      <c r="K129" t="n">
        <v>30</v>
      </c>
      <c r="L129" t="inlineStr">
        <is>
          <t>19 Juli 2026</t>
        </is>
      </c>
      <c r="M129" t="inlineStr">
        <is>
          <t>Jasa Rekayasa Pekerjaan Teknik Sipil Sumber Daya Air, Jasa Rekayasa Pekerjaan Teknik Sipil Transportasi</t>
        </is>
      </c>
      <c r="N129" t="inlineStr">
        <is>
          <t>K</t>
        </is>
      </c>
      <c r="O129" t="inlineStr">
        <is>
          <t>20230706</t>
        </is>
      </c>
      <c r="P129" t="inlineStr">
        <is>
          <t>Kalimantan Barat</t>
        </is>
      </c>
      <c r="Q129" t="inlineStr"/>
    </row>
    <row r="130">
      <c r="A130" t="inlineStr">
        <is>
          <t>NUANSA TIMUR RAYA</t>
        </is>
      </c>
      <c r="B130" t="inlineStr">
        <is>
          <t>Kota Langsa</t>
        </is>
      </c>
      <c r="C130" t="inlineStr">
        <is>
          <t>0641</t>
        </is>
      </c>
      <c r="D130" t="inlineStr">
        <is>
          <t>nuansatimurraya8@gmail.com</t>
        </is>
      </c>
      <c r="E130" t="inlineStr">
        <is>
          <t>https://lpjk.pu.go.id/search-badan-usaha-detail/TkJCSk1kWjV1am0xZE1TdUVMK0pjQT09</t>
        </is>
      </c>
      <c r="F130" t="n">
        <v>2</v>
      </c>
      <c r="G130" t="inlineStr">
        <is>
          <t>BG005, BG009</t>
        </is>
      </c>
      <c r="H130" t="inlineStr">
        <is>
          <t>1 Juli 2022</t>
        </is>
      </c>
      <c r="I130" s="2" t="n">
        <v>46222</v>
      </c>
      <c r="J130" t="inlineStr">
        <is>
          <t>Disetujui</t>
        </is>
      </c>
      <c r="K130" t="n">
        <v>30</v>
      </c>
      <c r="L130" t="inlineStr">
        <is>
          <t>19 Juli 2026</t>
        </is>
      </c>
      <c r="M130" t="inlineStr">
        <is>
          <t>Konstruksi Gedung Kesehatan, Konstruksi Gedung Lainnya</t>
        </is>
      </c>
      <c r="N130" t="inlineStr">
        <is>
          <t>K</t>
        </is>
      </c>
      <c r="O130" t="inlineStr">
        <is>
          <t>20230718</t>
        </is>
      </c>
      <c r="P130" t="inlineStr">
        <is>
          <t>Aceh</t>
        </is>
      </c>
      <c r="Q130" t="inlineStr"/>
    </row>
    <row r="131">
      <c r="A131" t="inlineStr">
        <is>
          <t>PADIMUN GOLDEN</t>
        </is>
      </c>
      <c r="B131" t="inlineStr">
        <is>
          <t>Kota Adm. Jakarta Pusat</t>
        </is>
      </c>
      <c r="C131" t="inlineStr">
        <is>
          <t>0213147106</t>
        </is>
      </c>
      <c r="D131" t="inlineStr">
        <is>
          <t>pad_gold@yahoo.co.id</t>
        </is>
      </c>
      <c r="E131" t="inlineStr">
        <is>
          <t>https://lpjk.pu.go.id/search-badan-usaha-detail/VWpjcFhlcTB2ekJ3bXpPSnEyQXczdz09</t>
        </is>
      </c>
      <c r="F131" t="n">
        <v>1</v>
      </c>
      <c r="G131" t="inlineStr">
        <is>
          <t>BG001</t>
        </is>
      </c>
      <c r="H131" t="inlineStr">
        <is>
          <t>7 Oktober 1977</t>
        </is>
      </c>
      <c r="I131" s="2" t="n">
        <v>46222</v>
      </c>
      <c r="J131" t="inlineStr">
        <is>
          <t>Disetujui</t>
        </is>
      </c>
      <c r="K131" t="n">
        <v>30</v>
      </c>
      <c r="L131" t="inlineStr">
        <is>
          <t>19 Juli 2026</t>
        </is>
      </c>
      <c r="M131" t="inlineStr">
        <is>
          <t>Konstruksi Gedung Hunian</t>
        </is>
      </c>
      <c r="N131" t="inlineStr">
        <is>
          <t>M</t>
        </is>
      </c>
      <c r="O131" t="inlineStr">
        <is>
          <t>20230714</t>
        </is>
      </c>
      <c r="P131" t="inlineStr">
        <is>
          <t>DKI Jakarta</t>
        </is>
      </c>
      <c r="Q131" t="inlineStr"/>
    </row>
    <row r="132">
      <c r="A132" t="inlineStr">
        <is>
          <t>PANDAWA LIMA CONSULTANT</t>
        </is>
      </c>
      <c r="B132" t="inlineStr">
        <is>
          <t>Kota Samarinda</t>
        </is>
      </c>
      <c r="C132" t="inlineStr">
        <is>
          <t>085246346585</t>
        </is>
      </c>
      <c r="D132" t="inlineStr">
        <is>
          <t>cvpandawa005@gmail.com</t>
        </is>
      </c>
      <c r="E132" t="inlineStr">
        <is>
          <t>https://lpjk.pu.go.id/search-badan-usaha-detail/QndrNUVZdG1uUVgwMDhOaHczb29Ydz09</t>
        </is>
      </c>
      <c r="F132" t="n">
        <v>6</v>
      </c>
      <c r="G132" t="inlineStr">
        <is>
          <t>RK001, RK002, RK003</t>
        </is>
      </c>
      <c r="H132" t="inlineStr">
        <is>
          <t>6 Januari 2020</t>
        </is>
      </c>
      <c r="I132" s="2" t="n">
        <v>46222</v>
      </c>
      <c r="J132" t="inlineStr">
        <is>
          <t>Disetujui</t>
        </is>
      </c>
      <c r="K132" t="n">
        <v>30</v>
      </c>
      <c r="L132" t="inlineStr">
        <is>
          <t>19 Juli 2026</t>
        </is>
      </c>
      <c r="M132" t="inlineStr">
        <is>
          <t>Jasa Rekayasa Konstruksi Bangunan Gedung Hunian dan Non Hunian, Jasa Rekayasa Pekerjaan Teknik Sipil Sumber Daya Air, Jasa Rekayasa Pekerjaan Teknik Sipil Transportasi</t>
        </is>
      </c>
      <c r="N132" t="inlineStr">
        <is>
          <t>K</t>
        </is>
      </c>
      <c r="O132" t="inlineStr">
        <is>
          <t>20230708</t>
        </is>
      </c>
      <c r="P132" t="inlineStr">
        <is>
          <t>Kalimantan Timur</t>
        </is>
      </c>
      <c r="Q132" t="inlineStr"/>
    </row>
    <row r="133">
      <c r="A133" t="inlineStr">
        <is>
          <t>PARSAMEAN NAULI INTI PERSADA</t>
        </is>
      </c>
      <c r="B133" t="inlineStr">
        <is>
          <t>Kota Medan</t>
        </is>
      </c>
      <c r="C133" t="inlineStr">
        <is>
          <t>085262127774</t>
        </is>
      </c>
      <c r="D133" t="inlineStr">
        <is>
          <t>parsameannauli_intipersada@yahoo.com</t>
        </is>
      </c>
      <c r="E133" t="inlineStr">
        <is>
          <t>https://lpjk.pu.go.id/search-badan-usaha-detail/Tlc1RzhBRTZFbS9xRTd5MkJhQnA4QT09</t>
        </is>
      </c>
      <c r="F133" t="n">
        <v>1</v>
      </c>
      <c r="G133" t="inlineStr">
        <is>
          <t>BG006</t>
        </is>
      </c>
      <c r="H133" t="inlineStr">
        <is>
          <t>18 Februari 2016</t>
        </is>
      </c>
      <c r="I133" s="2" t="n">
        <v>46222</v>
      </c>
      <c r="J133" t="inlineStr">
        <is>
          <t>Pembekuan</t>
        </is>
      </c>
      <c r="K133" t="n">
        <v>30</v>
      </c>
      <c r="L133" t="inlineStr">
        <is>
          <t>19 Juli 2026</t>
        </is>
      </c>
      <c r="M133" t="inlineStr">
        <is>
          <t>Konstruksi Gedung Pendidikan</t>
        </is>
      </c>
      <c r="N133" t="inlineStr">
        <is>
          <t>M</t>
        </is>
      </c>
      <c r="O133" t="inlineStr">
        <is>
          <t>20230717</t>
        </is>
      </c>
      <c r="P133" t="inlineStr">
        <is>
          <t>Sumatera Utara</t>
        </is>
      </c>
      <c r="Q133" t="inlineStr"/>
    </row>
    <row r="134">
      <c r="A134" t="inlineStr">
        <is>
          <t>PASIR MAS</t>
        </is>
      </c>
      <c r="B134" t="inlineStr">
        <is>
          <t>Kab. Rembang</t>
        </is>
      </c>
      <c r="C134" t="inlineStr">
        <is>
          <t>081391770619</t>
        </is>
      </c>
      <c r="D134" t="inlineStr">
        <is>
          <t>cvpasirmas567@gmail.com</t>
        </is>
      </c>
      <c r="E134" t="inlineStr">
        <is>
          <t>https://lpjk.pu.go.id/search-badan-usaha-detail/RVRNSlhSU0RVS2FUSFhlcWVUbEdBUT09</t>
        </is>
      </c>
      <c r="F134" t="n">
        <v>2</v>
      </c>
      <c r="G134" t="inlineStr">
        <is>
          <t>BS001, BS002</t>
        </is>
      </c>
      <c r="H134" t="inlineStr">
        <is>
          <t>13 Maret 2023</t>
        </is>
      </c>
      <c r="I134" s="2" t="n">
        <v>46222</v>
      </c>
      <c r="J134" t="inlineStr">
        <is>
          <t>Disetujui</t>
        </is>
      </c>
      <c r="K134" t="n">
        <v>30</v>
      </c>
      <c r="L134" t="inlineStr">
        <is>
          <t>19 Juli 2026</t>
        </is>
      </c>
      <c r="M134" t="inlineStr">
        <is>
          <t>Bangunan Sipil Jembatan, Jalan Layang, Fly Over, dan Underpass, Konstruksi Bangunan Sipil Jalan</t>
        </is>
      </c>
      <c r="N134" t="inlineStr">
        <is>
          <t>K</t>
        </is>
      </c>
      <c r="O134" t="inlineStr">
        <is>
          <t>20230719</t>
        </is>
      </c>
      <c r="P134" t="inlineStr">
        <is>
          <t>Jawa Tengah</t>
        </is>
      </c>
      <c r="Q134" t="inlineStr"/>
    </row>
    <row r="135">
      <c r="A135" t="inlineStr">
        <is>
          <t>PILAR TUNGGAL PERKASA</t>
        </is>
      </c>
      <c r="B135" t="inlineStr">
        <is>
          <t>Kab. Majalengka</t>
        </is>
      </c>
      <c r="C135" t="inlineStr">
        <is>
          <t>085324277430</t>
        </is>
      </c>
      <c r="D135" t="inlineStr">
        <is>
          <t>pilartunggalperkasa@yahoo.com</t>
        </is>
      </c>
      <c r="E135" t="inlineStr">
        <is>
          <t>https://lpjk.pu.go.id/search-badan-usaha-detail/Mk5rZ1lXbDNBSWN5MXlxUUdWWjRHdz09</t>
        </is>
      </c>
      <c r="F135" t="n">
        <v>1</v>
      </c>
      <c r="G135" t="inlineStr">
        <is>
          <t>BS001</t>
        </is>
      </c>
      <c r="H135" t="inlineStr">
        <is>
          <t>28 Maret 2014</t>
        </is>
      </c>
      <c r="I135" s="2" t="n">
        <v>46222</v>
      </c>
      <c r="J135" t="inlineStr">
        <is>
          <t>Disetujui</t>
        </is>
      </c>
      <c r="K135" t="n">
        <v>30</v>
      </c>
      <c r="L135" t="inlineStr">
        <is>
          <t>19 Juli 2026</t>
        </is>
      </c>
      <c r="M135" t="inlineStr">
        <is>
          <t>Konstruksi Bangunan Sipil Jalan</t>
        </is>
      </c>
      <c r="N135" t="inlineStr">
        <is>
          <t>K</t>
        </is>
      </c>
      <c r="O135" t="inlineStr">
        <is>
          <t>20230718</t>
        </is>
      </c>
      <c r="P135" t="inlineStr">
        <is>
          <t>Jawa Barat</t>
        </is>
      </c>
      <c r="Q135" t="inlineStr"/>
    </row>
    <row r="136">
      <c r="A136" t="inlineStr">
        <is>
          <t>PRIMA DWI UTAMA</t>
        </is>
      </c>
      <c r="B136" t="inlineStr">
        <is>
          <t>Kota Kendari</t>
        </is>
      </c>
      <c r="C136" t="inlineStr">
        <is>
          <t>082328043444</t>
        </is>
      </c>
      <c r="D136" t="inlineStr">
        <is>
          <t>kendaripdu@gmail.com</t>
        </is>
      </c>
      <c r="E136" t="inlineStr">
        <is>
          <t>https://lpjk.pu.go.id/search-badan-usaha-detail/YnJrOXFxZEk0dEg4VlAzWUpVZ1l3dz09</t>
        </is>
      </c>
      <c r="F136" t="n">
        <v>1</v>
      </c>
      <c r="G136" t="inlineStr">
        <is>
          <t>BG006</t>
        </is>
      </c>
      <c r="H136" t="inlineStr">
        <is>
          <t>14 November 1996</t>
        </is>
      </c>
      <c r="I136" s="2" t="n">
        <v>46222</v>
      </c>
      <c r="J136" t="inlineStr">
        <is>
          <t>Disetujui</t>
        </is>
      </c>
      <c r="K136" t="n">
        <v>30</v>
      </c>
      <c r="L136" t="inlineStr">
        <is>
          <t>19 Juli 2026</t>
        </is>
      </c>
      <c r="M136" t="inlineStr">
        <is>
          <t>Konstruksi Gedung Pendidikan</t>
        </is>
      </c>
      <c r="N136" t="inlineStr">
        <is>
          <t>M</t>
        </is>
      </c>
      <c r="O136" t="inlineStr">
        <is>
          <t>20230717</t>
        </is>
      </c>
      <c r="P136" t="inlineStr">
        <is>
          <t>Sulawesi Tenggara</t>
        </is>
      </c>
      <c r="Q136" t="inlineStr"/>
    </row>
    <row r="137">
      <c r="A137" t="inlineStr">
        <is>
          <t>PRIMADENA UTAMA JAYA</t>
        </is>
      </c>
      <c r="B137" t="inlineStr">
        <is>
          <t>Kota Padang</t>
        </is>
      </c>
      <c r="C137" t="inlineStr">
        <is>
          <t>08117765007</t>
        </is>
      </c>
      <c r="D137" t="inlineStr">
        <is>
          <t>primadenautamajaya1@gmail.com</t>
        </is>
      </c>
      <c r="E137" t="inlineStr">
        <is>
          <t>https://lpjk.pu.go.id/search-badan-usaha-detail/RWhZL3lya3dlRnJhMDhNQnZKR1F6dz09</t>
        </is>
      </c>
      <c r="F137" t="n">
        <v>1</v>
      </c>
      <c r="G137" t="inlineStr">
        <is>
          <t>BS001</t>
        </is>
      </c>
      <c r="H137" t="inlineStr">
        <is>
          <t>13 Mei 1996</t>
        </is>
      </c>
      <c r="I137" s="2" t="n">
        <v>46222</v>
      </c>
      <c r="J137" t="inlineStr">
        <is>
          <t>Pencabutan</t>
        </is>
      </c>
      <c r="K137" t="n">
        <v>30</v>
      </c>
      <c r="L137" t="inlineStr">
        <is>
          <t>19 Juli 2026</t>
        </is>
      </c>
      <c r="M137" t="inlineStr">
        <is>
          <t>Konstruksi Bangunan Sipil Jalan</t>
        </is>
      </c>
      <c r="N137" t="inlineStr">
        <is>
          <t>K</t>
        </is>
      </c>
      <c r="O137" t="inlineStr">
        <is>
          <t>20221206</t>
        </is>
      </c>
      <c r="P137" t="inlineStr">
        <is>
          <t>Sumatera Barat</t>
        </is>
      </c>
      <c r="Q137" t="inlineStr"/>
    </row>
    <row r="138">
      <c r="A138" t="inlineStr">
        <is>
          <t>PUNCAK RIMBA RAYA</t>
        </is>
      </c>
      <c r="B138" t="inlineStr">
        <is>
          <t>Kab. Mamuju</t>
        </is>
      </c>
      <c r="C138" t="inlineStr">
        <is>
          <t>081242874287</t>
        </is>
      </c>
      <c r="D138" t="inlineStr">
        <is>
          <t>cvpuncakrimbaraya@gmail.com</t>
        </is>
      </c>
      <c r="E138" t="inlineStr">
        <is>
          <t>https://lpjk.pu.go.id/search-badan-usaha-detail/L24rNTQyNkZiSGgxUUdDR0o3bkI4Zz09</t>
        </is>
      </c>
      <c r="F138" t="n">
        <v>2</v>
      </c>
      <c r="G138" t="inlineStr">
        <is>
          <t>BG002, BG006</t>
        </is>
      </c>
      <c r="H138" t="inlineStr">
        <is>
          <t>13 Januari 2023</t>
        </is>
      </c>
      <c r="I138" s="2" t="n">
        <v>46222</v>
      </c>
      <c r="J138" t="inlineStr">
        <is>
          <t>Pencabutan</t>
        </is>
      </c>
      <c r="K138" t="n">
        <v>30</v>
      </c>
      <c r="L138" t="inlineStr">
        <is>
          <t>19 Juli 2026</t>
        </is>
      </c>
      <c r="M138" t="inlineStr">
        <is>
          <t>Konstruksi Gedung Pendidikan, Konstruksi Gedung Perkantoran</t>
        </is>
      </c>
      <c r="N138" t="inlineStr">
        <is>
          <t>K</t>
        </is>
      </c>
      <c r="O138" t="inlineStr">
        <is>
          <t>20230712, 20230718</t>
        </is>
      </c>
      <c r="P138" t="inlineStr">
        <is>
          <t>Sulawesi Barat</t>
        </is>
      </c>
      <c r="Q138" t="inlineStr"/>
    </row>
    <row r="139">
      <c r="A139" t="inlineStr">
        <is>
          <t>PUSAKA ALAM SAKTI</t>
        </is>
      </c>
      <c r="B139" t="inlineStr">
        <is>
          <t>Kab. Pamekasan</t>
        </is>
      </c>
      <c r="C139" t="inlineStr">
        <is>
          <t>087838880189</t>
        </is>
      </c>
      <c r="D139" t="inlineStr">
        <is>
          <t>pusaka.alamsakti@gmail.com</t>
        </is>
      </c>
      <c r="E139" t="inlineStr">
        <is>
          <t>https://lpjk.pu.go.id/search-badan-usaha-detail/V05VZW5HTkNlRzNDSjZ6U1JmRGtEUT09</t>
        </is>
      </c>
      <c r="F139" t="n">
        <v>1</v>
      </c>
      <c r="G139" t="inlineStr">
        <is>
          <t>BS001</t>
        </is>
      </c>
      <c r="H139" t="inlineStr">
        <is>
          <t>12 Juli 2023</t>
        </is>
      </c>
      <c r="I139" s="2" t="n">
        <v>46222</v>
      </c>
      <c r="J139" t="inlineStr">
        <is>
          <t>Disetujui</t>
        </is>
      </c>
      <c r="K139" t="n">
        <v>30</v>
      </c>
      <c r="L139" t="inlineStr">
        <is>
          <t>19 Juli 2026</t>
        </is>
      </c>
      <c r="M139" t="inlineStr">
        <is>
          <t>Konstruksi Bangunan Sipil Jalan</t>
        </is>
      </c>
      <c r="N139" t="inlineStr">
        <is>
          <t>K</t>
        </is>
      </c>
      <c r="O139" t="inlineStr">
        <is>
          <t>20230718</t>
        </is>
      </c>
      <c r="P139" t="inlineStr">
        <is>
          <t>Jawa Timur</t>
        </is>
      </c>
      <c r="Q139" t="inlineStr"/>
    </row>
    <row r="140">
      <c r="A140" t="inlineStr">
        <is>
          <t>PUTRA FADILLAH</t>
        </is>
      </c>
      <c r="B140" t="inlineStr">
        <is>
          <t>Kab. Garut</t>
        </is>
      </c>
      <c r="C140" t="inlineStr">
        <is>
          <t>082217233233</t>
        </is>
      </c>
      <c r="D140" t="inlineStr">
        <is>
          <t>putrafadillah.cv@gmail.com</t>
        </is>
      </c>
      <c r="E140" t="inlineStr">
        <is>
          <t>https://lpjk.pu.go.id/search-badan-usaha-detail/eXR6enluNGRTSHUxcW1YRXozUjdLZz09</t>
        </is>
      </c>
      <c r="F140" t="n">
        <v>3</v>
      </c>
      <c r="G140" t="inlineStr">
        <is>
          <t>BS001, BS002, BS004</t>
        </is>
      </c>
      <c r="H140" t="inlineStr">
        <is>
          <t>24 Januari 2019</t>
        </is>
      </c>
      <c r="I140" s="2" t="n">
        <v>46222</v>
      </c>
      <c r="J140" t="inlineStr">
        <is>
          <t>Disetujui</t>
        </is>
      </c>
      <c r="K140" t="n">
        <v>30</v>
      </c>
      <c r="L140" t="inlineStr">
        <is>
          <t>19 Juli 2026</t>
        </is>
      </c>
      <c r="M140" t="inlineStr">
        <is>
          <t>Bangunan Sipil Jembatan, Jalan Layang, Fly Over, dan Underpass, Konstruksi Bangunan Sipil Jalan, Konstruksi Jaringan Irigasi dan Drainase</t>
        </is>
      </c>
      <c r="N140" t="inlineStr">
        <is>
          <t>K</t>
        </is>
      </c>
      <c r="O140" t="inlineStr">
        <is>
          <t>20230718</t>
        </is>
      </c>
      <c r="P140" t="inlineStr">
        <is>
          <t>Jawa Barat</t>
        </is>
      </c>
      <c r="Q140" t="inlineStr"/>
    </row>
    <row r="141">
      <c r="A141" t="inlineStr">
        <is>
          <t>PUTRA RANU</t>
        </is>
      </c>
      <c r="B141" t="inlineStr">
        <is>
          <t>Kab. Pasuruan</t>
        </is>
      </c>
      <c r="C141" t="inlineStr">
        <is>
          <t>081217797662</t>
        </is>
      </c>
      <c r="D141" t="inlineStr">
        <is>
          <t>cv.putraranu88@gmail.com</t>
        </is>
      </c>
      <c r="E141" t="inlineStr">
        <is>
          <t>https://lpjk.pu.go.id/search-badan-usaha-detail/K050bjdXS0ZJcmFVYkhmOWdoTmZkdz09</t>
        </is>
      </c>
      <c r="F141" t="n">
        <v>1</v>
      </c>
      <c r="G141" t="inlineStr">
        <is>
          <t>BS004</t>
        </is>
      </c>
      <c r="H141" t="inlineStr">
        <is>
          <t>13 November 2003</t>
        </is>
      </c>
      <c r="I141" s="2" t="n">
        <v>46222</v>
      </c>
      <c r="J141" t="inlineStr">
        <is>
          <t>Disetujui</t>
        </is>
      </c>
      <c r="K141" t="n">
        <v>30</v>
      </c>
      <c r="L141" t="inlineStr">
        <is>
          <t>19 Juli 2026</t>
        </is>
      </c>
      <c r="M141" t="inlineStr">
        <is>
          <t>Konstruksi Jaringan Irigasi dan Drainase</t>
        </is>
      </c>
      <c r="N141" t="inlineStr">
        <is>
          <t>K</t>
        </is>
      </c>
      <c r="O141" t="inlineStr">
        <is>
          <t>20230714</t>
        </is>
      </c>
      <c r="P141" t="inlineStr">
        <is>
          <t>Jawa Timur</t>
        </is>
      </c>
      <c r="Q141" t="inlineStr"/>
    </row>
    <row r="142">
      <c r="A142" t="inlineStr">
        <is>
          <t>PUTRI BUNGSU</t>
        </is>
      </c>
      <c r="B142" t="inlineStr">
        <is>
          <t>Kab. Muaro Jambi</t>
        </is>
      </c>
      <c r="C142" t="inlineStr">
        <is>
          <t>085357772277</t>
        </is>
      </c>
      <c r="D142" t="inlineStr">
        <is>
          <t>cvputribungsu27@gmail.com</t>
        </is>
      </c>
      <c r="E142" t="inlineStr">
        <is>
          <t>https://lpjk.pu.go.id/search-badan-usaha-detail/U2N6RDZheVZFMU5SSFFaWXhDU01sZz09</t>
        </is>
      </c>
      <c r="F142" t="n">
        <v>1</v>
      </c>
      <c r="G142" t="inlineStr">
        <is>
          <t>BG005</t>
        </is>
      </c>
      <c r="H142" t="inlineStr">
        <is>
          <t>18 Oktober 2017</t>
        </is>
      </c>
      <c r="I142" s="2" t="n">
        <v>46222</v>
      </c>
      <c r="J142" t="inlineStr">
        <is>
          <t>Disetujui</t>
        </is>
      </c>
      <c r="K142" t="n">
        <v>30</v>
      </c>
      <c r="L142" t="inlineStr">
        <is>
          <t>19 Juli 2026</t>
        </is>
      </c>
      <c r="M142" t="inlineStr">
        <is>
          <t>Konstruksi Gedung Kesehatan</t>
        </is>
      </c>
      <c r="N142" t="inlineStr">
        <is>
          <t>K</t>
        </is>
      </c>
      <c r="O142" t="inlineStr">
        <is>
          <t>20230621</t>
        </is>
      </c>
      <c r="P142" t="inlineStr">
        <is>
          <t>Jambi</t>
        </is>
      </c>
      <c r="Q142" t="inlineStr"/>
    </row>
    <row r="143">
      <c r="A143" t="inlineStr">
        <is>
          <t>PUTRI KARYA</t>
        </is>
      </c>
      <c r="B143" t="inlineStr">
        <is>
          <t>Kab. Ogan Komering Ilir</t>
        </is>
      </c>
      <c r="C143" t="inlineStr">
        <is>
          <t>085220980222</t>
        </is>
      </c>
      <c r="D143" t="inlineStr">
        <is>
          <t>cvputrikaryaoki@yahoo.com</t>
        </is>
      </c>
      <c r="E143" t="inlineStr">
        <is>
          <t>https://lpjk.pu.go.id/search-badan-usaha-detail/Z2FrSm1DL2JnSmdSQ29hRE4zY1JXZz09</t>
        </is>
      </c>
      <c r="F143" t="n">
        <v>1</v>
      </c>
      <c r="G143" t="inlineStr">
        <is>
          <t>BS001</t>
        </is>
      </c>
      <c r="H143" t="inlineStr">
        <is>
          <t>15 Agustus 2018</t>
        </is>
      </c>
      <c r="I143" s="2" t="n">
        <v>46222</v>
      </c>
      <c r="J143" t="inlineStr">
        <is>
          <t>Disetujui</t>
        </is>
      </c>
      <c r="K143" t="n">
        <v>30</v>
      </c>
      <c r="L143" t="inlineStr">
        <is>
          <t>19 Juli 2026</t>
        </is>
      </c>
      <c r="M143" t="inlineStr">
        <is>
          <t>Konstruksi Bangunan Sipil Jalan</t>
        </is>
      </c>
      <c r="N143" t="inlineStr">
        <is>
          <t>K</t>
        </is>
      </c>
      <c r="O143" t="inlineStr">
        <is>
          <t>20230720</t>
        </is>
      </c>
      <c r="P143" t="inlineStr">
        <is>
          <t>Sumatera Selatan</t>
        </is>
      </c>
      <c r="Q143" t="inlineStr"/>
    </row>
    <row r="144">
      <c r="A144" t="inlineStr">
        <is>
          <t>PUTRI PILAR ABADI</t>
        </is>
      </c>
      <c r="B144" t="inlineStr">
        <is>
          <t>Kota Pasuruan</t>
        </is>
      </c>
      <c r="C144" t="inlineStr">
        <is>
          <t>082231197473</t>
        </is>
      </c>
      <c r="D144" t="inlineStr">
        <is>
          <t>putripilarabadi@gmail.com</t>
        </is>
      </c>
      <c r="E144" t="inlineStr">
        <is>
          <t>https://lpjk.pu.go.id/search-badan-usaha-detail/b3ROU0ZDVXc5b3VzY1Y0SFZudHNPQT09</t>
        </is>
      </c>
      <c r="F144" t="n">
        <v>4</v>
      </c>
      <c r="G144" t="inlineStr">
        <is>
          <t>BG005, BG009, BS001, BS002</t>
        </is>
      </c>
      <c r="H144" t="inlineStr">
        <is>
          <t>9 Desember 2019</t>
        </is>
      </c>
      <c r="I144" s="2" t="n">
        <v>46222</v>
      </c>
      <c r="J144" t="inlineStr">
        <is>
          <t>Disetujui</t>
        </is>
      </c>
      <c r="K144" t="n">
        <v>30</v>
      </c>
      <c r="L144" t="inlineStr">
        <is>
          <t>19 Juli 2026</t>
        </is>
      </c>
      <c r="M144" t="inlineStr">
        <is>
          <t>Bangunan Sipil Jembatan, Jalan Layang, Fly Over, dan Underpass, Konstruksi Bangunan Sipil Jalan, Konstruksi Gedung Kesehatan, Konstruksi Gedung Lainnya</t>
        </is>
      </c>
      <c r="N144" t="inlineStr">
        <is>
          <t>K</t>
        </is>
      </c>
      <c r="O144" t="inlineStr">
        <is>
          <t>20230712</t>
        </is>
      </c>
      <c r="P144" t="inlineStr">
        <is>
          <t>Jawa Timur</t>
        </is>
      </c>
      <c r="Q144" t="inlineStr"/>
    </row>
    <row r="145">
      <c r="A145" t="inlineStr">
        <is>
          <t>PUTRI SULUNG</t>
        </is>
      </c>
      <c r="B145" t="inlineStr">
        <is>
          <t>Kab. Lahat</t>
        </is>
      </c>
      <c r="C145" t="inlineStr">
        <is>
          <t>081386440123</t>
        </is>
      </c>
      <c r="D145" t="inlineStr">
        <is>
          <t>cvputrisulung@yahoo.com</t>
        </is>
      </c>
      <c r="E145" t="inlineStr">
        <is>
          <t>https://lpjk.pu.go.id/search-badan-usaha-detail/WjFGc2FIQzE1bWVML3dkUmNvYzNPdz09</t>
        </is>
      </c>
      <c r="F145" t="n">
        <v>1</v>
      </c>
      <c r="G145" t="inlineStr">
        <is>
          <t>BS001</t>
        </is>
      </c>
      <c r="H145" t="inlineStr">
        <is>
          <t>4 Januari 2003</t>
        </is>
      </c>
      <c r="I145" s="2" t="n">
        <v>46222</v>
      </c>
      <c r="J145" t="inlineStr">
        <is>
          <t>Pencabutan</t>
        </is>
      </c>
      <c r="K145" t="n">
        <v>30</v>
      </c>
      <c r="L145" t="inlineStr">
        <is>
          <t>19 Juli 2026</t>
        </is>
      </c>
      <c r="M145" t="inlineStr">
        <is>
          <t>Konstruksi Bangunan Sipil Jalan</t>
        </is>
      </c>
      <c r="N145" t="inlineStr">
        <is>
          <t>K</t>
        </is>
      </c>
      <c r="O145" t="inlineStr">
        <is>
          <t>20230719</t>
        </is>
      </c>
      <c r="P145" t="inlineStr">
        <is>
          <t>Sumatera Selatan</t>
        </is>
      </c>
      <c r="Q145" t="inlineStr"/>
    </row>
    <row r="146">
      <c r="A146" t="inlineStr">
        <is>
          <t>RAHMAT JAYA</t>
        </is>
      </c>
      <c r="B146" t="inlineStr">
        <is>
          <t>Kota Gorontalo</t>
        </is>
      </c>
      <c r="C146" t="inlineStr">
        <is>
          <t>085255483166</t>
        </is>
      </c>
      <c r="D146" t="inlineStr">
        <is>
          <t>andirahmanazis92@gmail.com</t>
        </is>
      </c>
      <c r="E146" t="inlineStr">
        <is>
          <t>https://lpjk.pu.go.id/search-badan-usaha-detail/MFJNQmk0MUpXdEhTN2RSYjhuclpvUT09</t>
        </is>
      </c>
      <c r="F146" t="n">
        <v>2</v>
      </c>
      <c r="G146" t="inlineStr">
        <is>
          <t>BS001</t>
        </is>
      </c>
      <c r="H146" t="inlineStr">
        <is>
          <t>13 November 2014</t>
        </is>
      </c>
      <c r="I146" s="2" t="n">
        <v>46222</v>
      </c>
      <c r="J146" t="inlineStr">
        <is>
          <t>Pencabutan</t>
        </is>
      </c>
      <c r="K146" t="n">
        <v>30</v>
      </c>
      <c r="L146" t="inlineStr">
        <is>
          <t>19 Juli 2026</t>
        </is>
      </c>
      <c r="M146" t="inlineStr">
        <is>
          <t>Konstruksi Bangunan Sipil Jalan</t>
        </is>
      </c>
      <c r="N146" t="inlineStr">
        <is>
          <t>K</t>
        </is>
      </c>
      <c r="O146" t="inlineStr">
        <is>
          <t>20230719</t>
        </is>
      </c>
      <c r="P146" t="inlineStr">
        <is>
          <t>Gorontalo</t>
        </is>
      </c>
      <c r="Q146" t="inlineStr"/>
    </row>
    <row r="147">
      <c r="A147" t="inlineStr">
        <is>
          <t>RAJA SILAT MEGA PERKASA</t>
        </is>
      </c>
      <c r="B147" t="inlineStr">
        <is>
          <t>Kab. Kapuas Hulu</t>
        </is>
      </c>
      <c r="C147" t="inlineStr">
        <is>
          <t>081345000949</t>
        </is>
      </c>
      <c r="D147" t="inlineStr">
        <is>
          <t>rajasilat.megaperkasa@gmail.com</t>
        </is>
      </c>
      <c r="E147" t="inlineStr">
        <is>
          <t>https://lpjk.pu.go.id/search-badan-usaha-detail/cERoRUF6ZDlIWEhBQWRqMzNjTGpqQT09</t>
        </is>
      </c>
      <c r="F147" t="n">
        <v>3</v>
      </c>
      <c r="G147" t="inlineStr">
        <is>
          <t>BG005, BG009, BS001</t>
        </is>
      </c>
      <c r="H147" t="inlineStr">
        <is>
          <t>8 Januari 2020</t>
        </is>
      </c>
      <c r="I147" s="2" t="n">
        <v>46222</v>
      </c>
      <c r="J147" t="inlineStr">
        <is>
          <t>Disetujui</t>
        </is>
      </c>
      <c r="K147" t="n">
        <v>30</v>
      </c>
      <c r="L147" t="inlineStr">
        <is>
          <t>19 Juli 2026</t>
        </is>
      </c>
      <c r="M147" t="inlineStr">
        <is>
          <t>Konstruksi Bangunan Sipil Jalan, Konstruksi Gedung Kesehatan, Konstruksi Gedung Lainnya</t>
        </is>
      </c>
      <c r="N147" t="inlineStr">
        <is>
          <t>K</t>
        </is>
      </c>
      <c r="O147" t="inlineStr">
        <is>
          <t>20230717, 20230718</t>
        </is>
      </c>
      <c r="P147" t="inlineStr">
        <is>
          <t>Kalimantan Barat</t>
        </is>
      </c>
      <c r="Q147" t="inlineStr"/>
    </row>
    <row r="148">
      <c r="A148" t="inlineStr">
        <is>
          <t>RAMA KARYA ABADI</t>
        </is>
      </c>
      <c r="B148" t="inlineStr">
        <is>
          <t>Kab. Pasuruan</t>
        </is>
      </c>
      <c r="C148" t="inlineStr">
        <is>
          <t>082131876010</t>
        </is>
      </c>
      <c r="D148" t="inlineStr">
        <is>
          <t>ramakaryaabadi@gmail.com</t>
        </is>
      </c>
      <c r="E148" t="inlineStr">
        <is>
          <t>https://lpjk.pu.go.id/search-badan-usaha-detail/RktGREU5K3YyNk16SHJQdjdneWQvZz09</t>
        </is>
      </c>
      <c r="F148" t="n">
        <v>1</v>
      </c>
      <c r="G148" t="inlineStr">
        <is>
          <t>BS001</t>
        </is>
      </c>
      <c r="H148" t="inlineStr">
        <is>
          <t>8 Desember 2016</t>
        </is>
      </c>
      <c r="I148" s="2" t="n">
        <v>46222</v>
      </c>
      <c r="J148" t="inlineStr">
        <is>
          <t>Disetujui</t>
        </is>
      </c>
      <c r="K148" t="n">
        <v>30</v>
      </c>
      <c r="L148" t="inlineStr">
        <is>
          <t>19 Juli 2026</t>
        </is>
      </c>
      <c r="M148" t="inlineStr">
        <is>
          <t>Konstruksi Bangunan Sipil Jalan</t>
        </is>
      </c>
      <c r="N148" t="inlineStr">
        <is>
          <t>K</t>
        </is>
      </c>
      <c r="O148" t="inlineStr">
        <is>
          <t>20230714</t>
        </is>
      </c>
      <c r="P148" t="inlineStr">
        <is>
          <t>Jawa Timur</t>
        </is>
      </c>
      <c r="Q148" t="inlineStr"/>
    </row>
    <row r="149">
      <c r="A149" t="inlineStr">
        <is>
          <t>RATU CITRA ABADI</t>
        </is>
      </c>
      <c r="B149" t="inlineStr">
        <is>
          <t>Kota Jambi</t>
        </is>
      </c>
      <c r="C149" t="inlineStr">
        <is>
          <t>081373481268</t>
        </is>
      </c>
      <c r="D149" t="inlineStr">
        <is>
          <t>cv.ratucitraabadi@gmail.com</t>
        </is>
      </c>
      <c r="E149" t="inlineStr">
        <is>
          <t>https://lpjk.pu.go.id/search-badan-usaha-detail/bUVubFp1ZzhSVk9odWVUam85Q2h6QT09</t>
        </is>
      </c>
      <c r="F149" t="n">
        <v>2</v>
      </c>
      <c r="G149" t="inlineStr">
        <is>
          <t>BG002, BG006</t>
        </is>
      </c>
      <c r="H149" t="inlineStr">
        <is>
          <t>28 Desember 2021</t>
        </is>
      </c>
      <c r="I149" s="2" t="n">
        <v>46222</v>
      </c>
      <c r="J149" t="inlineStr">
        <is>
          <t>Disetujui</t>
        </is>
      </c>
      <c r="K149" t="n">
        <v>30</v>
      </c>
      <c r="L149" t="inlineStr">
        <is>
          <t>19 Juli 2026</t>
        </is>
      </c>
      <c r="M149" t="inlineStr">
        <is>
          <t>Konstruksi Gedung Pendidikan, Konstruksi Gedung Perkantoran</t>
        </is>
      </c>
      <c r="N149" t="inlineStr">
        <is>
          <t>K</t>
        </is>
      </c>
      <c r="O149" t="inlineStr">
        <is>
          <t>20230718</t>
        </is>
      </c>
      <c r="P149" t="inlineStr">
        <is>
          <t>Jambi</t>
        </is>
      </c>
      <c r="Q149" t="inlineStr"/>
    </row>
    <row r="150">
      <c r="A150" t="inlineStr">
        <is>
          <t>RESKY AMALIA</t>
        </is>
      </c>
      <c r="B150" t="inlineStr">
        <is>
          <t>Kab. Luwu</t>
        </is>
      </c>
      <c r="C150" t="inlineStr">
        <is>
          <t>085255157428</t>
        </is>
      </c>
      <c r="D150" t="inlineStr">
        <is>
          <t>reskyamalia1970@gmail.com</t>
        </is>
      </c>
      <c r="E150" t="inlineStr">
        <is>
          <t>https://lpjk.pu.go.id/search-badan-usaha-detail/anRTTGh5Wlp4dmc3cytNWGNLNUh5UT09</t>
        </is>
      </c>
      <c r="F150" t="n">
        <v>5</v>
      </c>
      <c r="G150" t="inlineStr">
        <is>
          <t>BG006, BG009, BS001, BS004, BS005</t>
        </is>
      </c>
      <c r="H150" t="inlineStr">
        <is>
          <t>30 Maret 2016</t>
        </is>
      </c>
      <c r="I150" s="2" t="n">
        <v>46222</v>
      </c>
      <c r="J150" t="inlineStr">
        <is>
          <t>Disetujui, Pencabutan</t>
        </is>
      </c>
      <c r="K150" t="n">
        <v>30</v>
      </c>
      <c r="L150" t="inlineStr">
        <is>
          <t>19 Juli 2026</t>
        </is>
      </c>
      <c r="M150" t="inlineStr">
        <is>
          <t>Konstruksi Bangunan Sipil Jalan, Konstruksi Bangunan Sipil Pengolahan Air Bersih, Konstruksi Gedung Lainnya, Konstruksi Gedung Pendidikan, Konstruksi Jaringan Irigasi dan Drainase</t>
        </is>
      </c>
      <c r="N150" t="inlineStr">
        <is>
          <t>K</t>
        </is>
      </c>
      <c r="O150" t="inlineStr">
        <is>
          <t>20230717, 20230719</t>
        </is>
      </c>
      <c r="P150" t="inlineStr">
        <is>
          <t>Sulawesi Selatan</t>
        </is>
      </c>
      <c r="Q150" t="inlineStr"/>
    </row>
    <row r="151">
      <c r="A151" t="inlineStr">
        <is>
          <t>SABAR JAYA INDAH</t>
        </is>
      </c>
      <c r="B151" t="inlineStr">
        <is>
          <t>Kab. Merauke</t>
        </is>
      </c>
      <c r="C151" t="inlineStr">
        <is>
          <t>085244234449</t>
        </is>
      </c>
      <c r="D151" t="inlineStr">
        <is>
          <t>sabarjayaindah304@gmail.com</t>
        </is>
      </c>
      <c r="E151" t="inlineStr">
        <is>
          <t>https://lpjk.pu.go.id/search-badan-usaha-detail/UHhxckM0ZjMrMHpYU2hyNWw4a2prZz09</t>
        </is>
      </c>
      <c r="F151" t="n">
        <v>2</v>
      </c>
      <c r="G151" t="inlineStr">
        <is>
          <t>BG001, BG005</t>
        </is>
      </c>
      <c r="H151" t="inlineStr">
        <is>
          <t>10 Februari 2020</t>
        </is>
      </c>
      <c r="I151" s="2" t="n">
        <v>46222</v>
      </c>
      <c r="J151" t="inlineStr">
        <is>
          <t>Disetujui</t>
        </is>
      </c>
      <c r="K151" t="n">
        <v>30</v>
      </c>
      <c r="L151" t="inlineStr">
        <is>
          <t>19 Juli 2026</t>
        </is>
      </c>
      <c r="M151" t="inlineStr">
        <is>
          <t>Konstruksi Gedung Hunian, Konstruksi Gedung Kesehatan</t>
        </is>
      </c>
      <c r="N151" t="inlineStr">
        <is>
          <t>K</t>
        </is>
      </c>
      <c r="O151" t="inlineStr">
        <is>
          <t>20230718</t>
        </is>
      </c>
      <c r="P151" t="inlineStr">
        <is>
          <t>Papua</t>
        </is>
      </c>
      <c r="Q151" t="inlineStr"/>
    </row>
    <row r="152">
      <c r="A152" t="inlineStr">
        <is>
          <t>SANGGYA SADARA SEJAHTERA</t>
        </is>
      </c>
      <c r="B152" t="inlineStr">
        <is>
          <t>Kota Surabaya</t>
        </is>
      </c>
      <c r="C152" t="inlineStr">
        <is>
          <t>08112262229</t>
        </is>
      </c>
      <c r="D152" t="inlineStr">
        <is>
          <t>sanggyasadara@gmail.com</t>
        </is>
      </c>
      <c r="E152" t="inlineStr">
        <is>
          <t>https://lpjk.pu.go.id/search-badan-usaha-detail/dXlhb0VER0hFVnVZWUk4b29qUXgxZz09</t>
        </is>
      </c>
      <c r="F152" t="n">
        <v>2</v>
      </c>
      <c r="G152" t="inlineStr">
        <is>
          <t>BG006, BG009</t>
        </is>
      </c>
      <c r="H152" t="inlineStr">
        <is>
          <t>25 November 2020</t>
        </is>
      </c>
      <c r="I152" s="2" t="n">
        <v>46222</v>
      </c>
      <c r="J152" t="inlineStr">
        <is>
          <t>Disetujui</t>
        </is>
      </c>
      <c r="K152" t="n">
        <v>30</v>
      </c>
      <c r="L152" t="inlineStr">
        <is>
          <t>19 Juli 2026</t>
        </is>
      </c>
      <c r="M152" t="inlineStr">
        <is>
          <t>Konstruksi Gedung Lainnya, Konstruksi Gedung Pendidikan</t>
        </is>
      </c>
      <c r="N152" t="inlineStr">
        <is>
          <t>K</t>
        </is>
      </c>
      <c r="O152" t="inlineStr">
        <is>
          <t>20230707</t>
        </is>
      </c>
      <c r="P152" t="inlineStr">
        <is>
          <t>Jawa Timur</t>
        </is>
      </c>
      <c r="Q152" t="inlineStr"/>
    </row>
    <row r="153">
      <c r="A153" t="inlineStr">
        <is>
          <t>SANGIANG MANDIRI</t>
        </is>
      </c>
      <c r="B153" t="inlineStr">
        <is>
          <t>Kota Serang</t>
        </is>
      </c>
      <c r="C153" t="inlineStr">
        <is>
          <t>081422011458</t>
        </is>
      </c>
      <c r="D153" t="inlineStr">
        <is>
          <t>Cv_sangiang_mandiri@yahoo.com</t>
        </is>
      </c>
      <c r="E153" t="inlineStr">
        <is>
          <t>https://lpjk.pu.go.id/search-badan-usaha-detail/eStXN3JURm5XRUQ5dEhSTE5oVG5GQT09</t>
        </is>
      </c>
      <c r="F153" t="n">
        <v>1</v>
      </c>
      <c r="G153" t="inlineStr">
        <is>
          <t>BG009</t>
        </is>
      </c>
      <c r="H153" t="inlineStr">
        <is>
          <t>5 Juli 2021</t>
        </is>
      </c>
      <c r="I153" s="2" t="n">
        <v>46222</v>
      </c>
      <c r="J153" t="inlineStr">
        <is>
          <t>Pencabutan</t>
        </is>
      </c>
      <c r="K153" t="n">
        <v>30</v>
      </c>
      <c r="L153" t="inlineStr">
        <is>
          <t>19 Juli 2026</t>
        </is>
      </c>
      <c r="M153" t="inlineStr">
        <is>
          <t>Konstruksi Gedung Lainnya</t>
        </is>
      </c>
      <c r="N153" t="inlineStr">
        <is>
          <t>K</t>
        </is>
      </c>
      <c r="O153" t="inlineStr">
        <is>
          <t>20230717</t>
        </is>
      </c>
      <c r="P153" t="inlineStr">
        <is>
          <t>Banten</t>
        </is>
      </c>
      <c r="Q153" t="inlineStr"/>
    </row>
    <row r="154">
      <c r="A154" t="inlineStr">
        <is>
          <t>SANGKAN PERMAI</t>
        </is>
      </c>
      <c r="B154" t="inlineStr">
        <is>
          <t>Kab. Sekadau</t>
        </is>
      </c>
      <c r="C154" t="inlineStr">
        <is>
          <t>082148692057</t>
        </is>
      </c>
      <c r="D154" t="inlineStr">
        <is>
          <t>SANGKANPERMAI123@GMAIL.COM</t>
        </is>
      </c>
      <c r="E154" t="inlineStr">
        <is>
          <t>https://lpjk.pu.go.id/search-badan-usaha-detail/TXBqcXlWbStVV08wbk9kbnFHRkMwdz09</t>
        </is>
      </c>
      <c r="F154" t="n">
        <v>2</v>
      </c>
      <c r="G154" t="inlineStr">
        <is>
          <t>BS002</t>
        </is>
      </c>
      <c r="H154" t="inlineStr">
        <is>
          <t>20 April 2015</t>
        </is>
      </c>
      <c r="I154" s="2" t="n">
        <v>46222</v>
      </c>
      <c r="J154" t="inlineStr">
        <is>
          <t>Disetujui</t>
        </is>
      </c>
      <c r="K154" t="n">
        <v>30</v>
      </c>
      <c r="L154" t="inlineStr">
        <is>
          <t>19 Juli 2026</t>
        </is>
      </c>
      <c r="M154" t="inlineStr">
        <is>
          <t>Bangunan Sipil Jembatan, Jalan Layang, Fly Over, dan Underpass</t>
        </is>
      </c>
      <c r="N154" t="inlineStr">
        <is>
          <t>K</t>
        </is>
      </c>
      <c r="O154" t="inlineStr">
        <is>
          <t>20230720</t>
        </is>
      </c>
      <c r="P154" t="inlineStr">
        <is>
          <t>Kalimantan Barat</t>
        </is>
      </c>
      <c r="Q154" t="inlineStr"/>
    </row>
    <row r="155">
      <c r="A155" t="inlineStr">
        <is>
          <t>SARANA MULIA</t>
        </is>
      </c>
      <c r="B155" t="inlineStr">
        <is>
          <t>Kota Pontianak</t>
        </is>
      </c>
      <c r="C155" t="inlineStr">
        <is>
          <t>085387549422</t>
        </is>
      </c>
      <c r="D155" t="inlineStr">
        <is>
          <t>sarana.firman@gmail.com</t>
        </is>
      </c>
      <c r="E155" t="inlineStr">
        <is>
          <t>https://lpjk.pu.go.id/search-badan-usaha-detail/L2pydkJwdzVrUE02ZUtEaUdZZ1huQT09</t>
        </is>
      </c>
      <c r="F155" t="n">
        <v>1</v>
      </c>
      <c r="G155" t="inlineStr">
        <is>
          <t>BG006</t>
        </is>
      </c>
      <c r="H155" t="inlineStr">
        <is>
          <t>24 September 2018</t>
        </is>
      </c>
      <c r="I155" s="2" t="n">
        <v>46222</v>
      </c>
      <c r="J155" t="inlineStr">
        <is>
          <t>Disetujui</t>
        </is>
      </c>
      <c r="K155" t="n">
        <v>30</v>
      </c>
      <c r="L155" t="inlineStr">
        <is>
          <t>19 Juli 2026</t>
        </is>
      </c>
      <c r="M155" t="inlineStr">
        <is>
          <t>Konstruksi Gedung Pendidikan</t>
        </is>
      </c>
      <c r="N155" t="inlineStr">
        <is>
          <t>K</t>
        </is>
      </c>
      <c r="O155" t="inlineStr">
        <is>
          <t>20230710</t>
        </is>
      </c>
      <c r="P155" t="inlineStr">
        <is>
          <t>Kalimantan Barat</t>
        </is>
      </c>
      <c r="Q155" t="inlineStr"/>
    </row>
    <row r="156">
      <c r="A156" t="inlineStr">
        <is>
          <t>SATRIA DESA HAKINDO</t>
        </is>
      </c>
      <c r="B156" t="inlineStr">
        <is>
          <t>Kota Bandung</t>
        </is>
      </c>
      <c r="C156" t="inlineStr">
        <is>
          <t>0222534360</t>
        </is>
      </c>
      <c r="D156" t="inlineStr">
        <is>
          <t>legal.oss@dyagroup.co.id</t>
        </is>
      </c>
      <c r="E156" t="inlineStr">
        <is>
          <t>https://lpjk.pu.go.id/search-badan-usaha-detail/RjJyZllOS3FZb0dPZ0prZHpTWVVzNmtmOU1YMm42WWt0cVVTS3QyclBKST0</t>
        </is>
      </c>
      <c r="F156" t="n">
        <v>1</v>
      </c>
      <c r="G156" t="inlineStr">
        <is>
          <t>BS001</t>
        </is>
      </c>
      <c r="H156" t="inlineStr">
        <is>
          <t>18 Maret 2013</t>
        </is>
      </c>
      <c r="I156" s="2" t="n">
        <v>46222</v>
      </c>
      <c r="J156" t="inlineStr">
        <is>
          <t>Dokumen Tidak Lengkap</t>
        </is>
      </c>
      <c r="K156" t="n">
        <v>30</v>
      </c>
      <c r="L156" t="inlineStr">
        <is>
          <t>19 Juli 2026</t>
        </is>
      </c>
      <c r="M156" t="inlineStr">
        <is>
          <t>Konstruksi Bangunan Sipil Jalan</t>
        </is>
      </c>
      <c r="N156" t="inlineStr">
        <is>
          <t>M</t>
        </is>
      </c>
      <c r="O156" t="inlineStr">
        <is>
          <t>20230301</t>
        </is>
      </c>
      <c r="P156" t="inlineStr">
        <is>
          <t>Jawa Barat</t>
        </is>
      </c>
      <c r="Q156" t="inlineStr"/>
    </row>
    <row r="157">
      <c r="A157" t="inlineStr">
        <is>
          <t>SATRIA MAHKOTA TUNGGAL</t>
        </is>
      </c>
      <c r="B157" t="inlineStr">
        <is>
          <t>Kota Samarinda</t>
        </is>
      </c>
      <c r="C157" t="inlineStr">
        <is>
          <t>082251464889</t>
        </is>
      </c>
      <c r="D157" t="inlineStr">
        <is>
          <t>cvmahkotatunggal@gmail.com</t>
        </is>
      </c>
      <c r="E157" t="inlineStr">
        <is>
          <t>https://lpjk.pu.go.id/search-badan-usaha-detail/ODlkc2VOUWptRVRpeDJWRkhYbVVPZz09</t>
        </is>
      </c>
      <c r="F157" t="n">
        <v>1</v>
      </c>
      <c r="G157" t="inlineStr">
        <is>
          <t>BG005</t>
        </is>
      </c>
      <c r="H157" t="inlineStr">
        <is>
          <t>10 Juli 2023</t>
        </is>
      </c>
      <c r="I157" s="2" t="n">
        <v>46222</v>
      </c>
      <c r="J157" t="inlineStr">
        <is>
          <t>Disetujui</t>
        </is>
      </c>
      <c r="K157" t="n">
        <v>30</v>
      </c>
      <c r="L157" t="inlineStr">
        <is>
          <t>19 Juli 2026</t>
        </is>
      </c>
      <c r="M157" t="inlineStr">
        <is>
          <t>Konstruksi Gedung Kesehatan</t>
        </is>
      </c>
      <c r="N157" t="inlineStr">
        <is>
          <t>K</t>
        </is>
      </c>
      <c r="O157" t="inlineStr">
        <is>
          <t>20230719</t>
        </is>
      </c>
      <c r="P157" t="inlineStr">
        <is>
          <t>Kalimantan Timur</t>
        </is>
      </c>
      <c r="Q157" t="inlineStr"/>
    </row>
    <row r="158">
      <c r="A158" t="inlineStr">
        <is>
          <t>SHAFA</t>
        </is>
      </c>
      <c r="B158" t="inlineStr">
        <is>
          <t>Kab. Kediri</t>
        </is>
      </c>
      <c r="C158" t="inlineStr">
        <is>
          <t>085235319101</t>
        </is>
      </c>
      <c r="D158" t="inlineStr">
        <is>
          <t>shafakedirijatim10@gmail.com</t>
        </is>
      </c>
      <c r="E158" t="inlineStr">
        <is>
          <t>https://lpjk.pu.go.id/search-badan-usaha-detail/V2NRN28zeEtrZGlzeTQyNFZVcCtLZz09</t>
        </is>
      </c>
      <c r="F158" t="n">
        <v>1</v>
      </c>
      <c r="G158" t="inlineStr">
        <is>
          <t>BS004</t>
        </is>
      </c>
      <c r="H158" t="inlineStr">
        <is>
          <t>11 Mei 2015</t>
        </is>
      </c>
      <c r="I158" s="2" t="n">
        <v>46222</v>
      </c>
      <c r="J158" t="inlineStr">
        <is>
          <t>Disetujui</t>
        </is>
      </c>
      <c r="K158" t="n">
        <v>30</v>
      </c>
      <c r="L158" t="inlineStr">
        <is>
          <t>19 Juli 2026</t>
        </is>
      </c>
      <c r="M158" t="inlineStr">
        <is>
          <t>Konstruksi Jaringan Irigasi dan Drainase</t>
        </is>
      </c>
      <c r="N158" t="inlineStr">
        <is>
          <t>K</t>
        </is>
      </c>
      <c r="O158" t="inlineStr">
        <is>
          <t>20230720</t>
        </is>
      </c>
      <c r="P158" t="inlineStr">
        <is>
          <t>Jawa Timur</t>
        </is>
      </c>
      <c r="Q158" t="inlineStr"/>
    </row>
    <row r="159">
      <c r="A159" t="inlineStr">
        <is>
          <t>SINAR INOVASI PROPERTI</t>
        </is>
      </c>
      <c r="B159" t="inlineStr">
        <is>
          <t>Kota Cilegon</t>
        </is>
      </c>
      <c r="C159" t="inlineStr">
        <is>
          <t>08176857720</t>
        </is>
      </c>
      <c r="D159" t="inlineStr">
        <is>
          <t>sinarinovasiproperti@gmail.com</t>
        </is>
      </c>
      <c r="E159" t="inlineStr">
        <is>
          <t>https://lpjk.pu.go.id/search-badan-usaha-detail/U2haYVBnVDNlc0RBMHFhYWRrNDdYZz09</t>
        </is>
      </c>
      <c r="F159" t="n">
        <v>1</v>
      </c>
      <c r="G159" t="inlineStr">
        <is>
          <t>BG001</t>
        </is>
      </c>
      <c r="H159" t="inlineStr">
        <is>
          <t>24 Mei 2023</t>
        </is>
      </c>
      <c r="I159" s="2" t="n">
        <v>46222</v>
      </c>
      <c r="J159" t="inlineStr">
        <is>
          <t>Disetujui</t>
        </is>
      </c>
      <c r="K159" t="n">
        <v>30</v>
      </c>
      <c r="L159" t="inlineStr">
        <is>
          <t>19 Juli 2026</t>
        </is>
      </c>
      <c r="M159" t="inlineStr">
        <is>
          <t>Konstruksi Gedung Hunian</t>
        </is>
      </c>
      <c r="N159" t="inlineStr">
        <is>
          <t>K</t>
        </is>
      </c>
      <c r="O159" t="inlineStr">
        <is>
          <t>20230713</t>
        </is>
      </c>
      <c r="P159" t="inlineStr">
        <is>
          <t>Banten</t>
        </is>
      </c>
      <c r="Q159" t="inlineStr"/>
    </row>
    <row r="160">
      <c r="A160" t="inlineStr">
        <is>
          <t>SINAR SATU DELAPAN ABADI</t>
        </is>
      </c>
      <c r="B160" t="inlineStr">
        <is>
          <t>Kab. Gowa</t>
        </is>
      </c>
      <c r="C160" t="inlineStr">
        <is>
          <t>081210002345</t>
        </is>
      </c>
      <c r="D160" t="inlineStr">
        <is>
          <t>cvsinara35@gmail.com</t>
        </is>
      </c>
      <c r="E160" t="inlineStr">
        <is>
          <t>https://lpjk.pu.go.id/search-badan-usaha-detail/SCs2aDlCVmY5NHBpNUtOUURTUDdRZz09</t>
        </is>
      </c>
      <c r="F160" t="n">
        <v>1</v>
      </c>
      <c r="G160" t="inlineStr">
        <is>
          <t>KK011</t>
        </is>
      </c>
      <c r="H160" t="inlineStr">
        <is>
          <t>8 Agustus 2022</t>
        </is>
      </c>
      <c r="I160" s="2" t="n">
        <v>46222</v>
      </c>
      <c r="J160" t="inlineStr">
        <is>
          <t>Pembekuan</t>
        </is>
      </c>
      <c r="K160" t="n">
        <v>30</v>
      </c>
      <c r="L160" t="inlineStr">
        <is>
          <t>19 Juli 2026</t>
        </is>
      </c>
      <c r="M160" t="inlineStr">
        <is>
          <t>Pemasangan Rangka dan Atap/Roof Covering</t>
        </is>
      </c>
      <c r="N160" t="inlineStr">
        <is>
          <t>Spesialis</t>
        </is>
      </c>
      <c r="O160" t="inlineStr">
        <is>
          <t>20230714</t>
        </is>
      </c>
      <c r="P160" t="inlineStr">
        <is>
          <t>Sulawesi Selatan</t>
        </is>
      </c>
      <c r="Q160" t="inlineStr"/>
    </row>
    <row r="161">
      <c r="A161" t="inlineStr">
        <is>
          <t>SINAR SETIA</t>
        </is>
      </c>
      <c r="B161" t="inlineStr">
        <is>
          <t>Kab. Jombang</t>
        </is>
      </c>
      <c r="C161" t="inlineStr">
        <is>
          <t>08125298091</t>
        </is>
      </c>
      <c r="D161" t="inlineStr">
        <is>
          <t>cvsinarsetiajombang@yahoo.com</t>
        </is>
      </c>
      <c r="E161" t="inlineStr">
        <is>
          <t>https://lpjk.pu.go.id/search-badan-usaha-detail/Nk5pb0lYWWZPcTBJTDg2Q2ttYzNDUT09</t>
        </is>
      </c>
      <c r="F161" t="n">
        <v>1</v>
      </c>
      <c r="G161" t="inlineStr">
        <is>
          <t>BG009</t>
        </is>
      </c>
      <c r="H161" t="inlineStr">
        <is>
          <t>23 Mei 2013</t>
        </is>
      </c>
      <c r="I161" s="2" t="n">
        <v>46222</v>
      </c>
      <c r="J161" t="inlineStr">
        <is>
          <t>Disetujui</t>
        </is>
      </c>
      <c r="K161" t="n">
        <v>30</v>
      </c>
      <c r="L161" t="inlineStr">
        <is>
          <t>19 Juli 2026</t>
        </is>
      </c>
      <c r="M161" t="inlineStr">
        <is>
          <t>Konstruksi Gedung Lainnya</t>
        </is>
      </c>
      <c r="N161" t="inlineStr">
        <is>
          <t>K</t>
        </is>
      </c>
      <c r="O161" t="inlineStr">
        <is>
          <t>20230710</t>
        </is>
      </c>
      <c r="P161" t="inlineStr">
        <is>
          <t>Jawa Timur</t>
        </is>
      </c>
      <c r="Q161" t="inlineStr"/>
    </row>
    <row r="162">
      <c r="A162" t="inlineStr">
        <is>
          <t>SINERGI BANYUBENING</t>
        </is>
      </c>
      <c r="B162" t="inlineStr">
        <is>
          <t>Kab. Garut</t>
        </is>
      </c>
      <c r="C162" t="inlineStr">
        <is>
          <t>085314781956</t>
        </is>
      </c>
      <c r="D162" t="inlineStr">
        <is>
          <t>cv.sinergibanyubening@gmail.com</t>
        </is>
      </c>
      <c r="E162" t="inlineStr">
        <is>
          <t>https://lpjk.pu.go.id/search-badan-usaha-detail/VE5VWmRpWUxQbUt0bTJUT2tVLzVJdz09</t>
        </is>
      </c>
      <c r="F162" t="n">
        <v>1</v>
      </c>
      <c r="G162" t="inlineStr">
        <is>
          <t>BG002</t>
        </is>
      </c>
      <c r="H162" t="inlineStr">
        <is>
          <t>10 Juli 2019</t>
        </is>
      </c>
      <c r="I162" s="2" t="n">
        <v>46222</v>
      </c>
      <c r="J162" t="inlineStr">
        <is>
          <t>Disetujui</t>
        </is>
      </c>
      <c r="K162" t="n">
        <v>30</v>
      </c>
      <c r="L162" t="inlineStr">
        <is>
          <t>19 Juli 2026</t>
        </is>
      </c>
      <c r="M162" t="inlineStr">
        <is>
          <t>Konstruksi Gedung Perkantoran</t>
        </is>
      </c>
      <c r="N162" t="inlineStr">
        <is>
          <t>K</t>
        </is>
      </c>
      <c r="O162" t="inlineStr">
        <is>
          <t>20230622</t>
        </is>
      </c>
      <c r="P162" t="inlineStr">
        <is>
          <t>Jawa Barat</t>
        </is>
      </c>
      <c r="Q162" t="inlineStr"/>
    </row>
    <row r="163">
      <c r="A163" t="inlineStr">
        <is>
          <t>SINERGI KARYA HUTAMA</t>
        </is>
      </c>
      <c r="B163" t="inlineStr">
        <is>
          <t>Kab. Pasuruan</t>
        </is>
      </c>
      <c r="C163" t="inlineStr">
        <is>
          <t>081234970660</t>
        </is>
      </c>
      <c r="D163" t="inlineStr">
        <is>
          <t>sinergi.karyah@gmail.com</t>
        </is>
      </c>
      <c r="E163" t="inlineStr">
        <is>
          <t>https://lpjk.pu.go.id/search-badan-usaha-detail/dm9aSG5ZWFNUbXBrWDJJaDBXdFB1QT09</t>
        </is>
      </c>
      <c r="F163" t="n">
        <v>1</v>
      </c>
      <c r="G163" t="inlineStr">
        <is>
          <t>BG009</t>
        </is>
      </c>
      <c r="H163" t="inlineStr">
        <is>
          <t>21 Maret 2023</t>
        </is>
      </c>
      <c r="I163" s="2" t="n">
        <v>46222</v>
      </c>
      <c r="J163" t="inlineStr">
        <is>
          <t>Disetujui</t>
        </is>
      </c>
      <c r="K163" t="n">
        <v>30</v>
      </c>
      <c r="L163" t="inlineStr">
        <is>
          <t>19 Juli 2026</t>
        </is>
      </c>
      <c r="M163" t="inlineStr">
        <is>
          <t>Konstruksi Gedung Lainnya</t>
        </is>
      </c>
      <c r="N163" t="inlineStr">
        <is>
          <t>K</t>
        </is>
      </c>
      <c r="O163" t="inlineStr">
        <is>
          <t>20230714</t>
        </is>
      </c>
      <c r="P163" t="inlineStr">
        <is>
          <t>Jawa Timur</t>
        </is>
      </c>
      <c r="Q163" t="inlineStr"/>
    </row>
    <row r="164">
      <c r="A164" t="inlineStr">
        <is>
          <t>SIRATA BATUAH</t>
        </is>
      </c>
      <c r="B164" t="inlineStr">
        <is>
          <t>Kota Pontianak</t>
        </is>
      </c>
      <c r="C164" t="inlineStr">
        <is>
          <t>085345239966</t>
        </is>
      </c>
      <c r="D164" t="inlineStr">
        <is>
          <t>siratabatuah137@gmail.com</t>
        </is>
      </c>
      <c r="E164" t="inlineStr">
        <is>
          <t>https://lpjk.pu.go.id/search-badan-usaha-detail/aG9yZE11SVZvTVhPQTVZY0JIZ3dxdz09</t>
        </is>
      </c>
      <c r="F164" t="n">
        <v>1</v>
      </c>
      <c r="G164" t="inlineStr">
        <is>
          <t>BG009</t>
        </is>
      </c>
      <c r="H164" t="inlineStr">
        <is>
          <t>8 Mei 2023</t>
        </is>
      </c>
      <c r="I164" s="2" t="n">
        <v>46222</v>
      </c>
      <c r="J164" t="inlineStr">
        <is>
          <t>Disetujui</t>
        </is>
      </c>
      <c r="K164" t="n">
        <v>30</v>
      </c>
      <c r="L164" t="inlineStr">
        <is>
          <t>19 Juli 2026</t>
        </is>
      </c>
      <c r="M164" t="inlineStr">
        <is>
          <t>Konstruksi Gedung Lainnya</t>
        </is>
      </c>
      <c r="N164" t="inlineStr">
        <is>
          <t>K</t>
        </is>
      </c>
      <c r="O164" t="inlineStr">
        <is>
          <t>20230719</t>
        </is>
      </c>
      <c r="P164" t="inlineStr">
        <is>
          <t>Kalimantan Barat</t>
        </is>
      </c>
      <c r="Q164" t="inlineStr"/>
    </row>
    <row r="165">
      <c r="A165" t="inlineStr">
        <is>
          <t>SRIWIJAYA</t>
        </is>
      </c>
      <c r="B165" t="inlineStr">
        <is>
          <t>Kab. Sukabumi</t>
        </is>
      </c>
      <c r="C165" t="inlineStr">
        <is>
          <t>082258039720</t>
        </is>
      </c>
      <c r="D165" t="inlineStr">
        <is>
          <t>deny_sriwijaya@yahoo.co.id</t>
        </is>
      </c>
      <c r="E165" t="inlineStr">
        <is>
          <t>https://lpjk.pu.go.id/search-badan-usaha-detail/bDFndW1LRWxXRDl6MXZDMzFVb2xGUT09</t>
        </is>
      </c>
      <c r="F165" t="n">
        <v>6</v>
      </c>
      <c r="G165" t="inlineStr">
        <is>
          <t>BG005, BG008, BG009, BS001, BS004, BS005</t>
        </is>
      </c>
      <c r="H165" t="inlineStr">
        <is>
          <t>27 September 1999</t>
        </is>
      </c>
      <c r="I165" s="2" t="n">
        <v>46222</v>
      </c>
      <c r="J165" t="inlineStr">
        <is>
          <t>Disetujui</t>
        </is>
      </c>
      <c r="K165" t="n">
        <v>30</v>
      </c>
      <c r="L165" t="inlineStr">
        <is>
          <t>19 Juli 2026</t>
        </is>
      </c>
      <c r="M165" t="inlineStr">
        <is>
          <t>Konstruksi Bangunan Sipil Jalan, Konstruksi Bangunan Sipil Pengolahan Air Bersih, Konstruksi Gedung Kesehatan, Konstruksi Gedung Lainnya, Konstruksi Gedung Tempat Hiburan dan Olahraga, Konstruksi Jaringan Irigasi dan Drainase</t>
        </is>
      </c>
      <c r="N165" t="inlineStr">
        <is>
          <t>K</t>
        </is>
      </c>
      <c r="O165" t="inlineStr">
        <is>
          <t>20230711, 20230712</t>
        </is>
      </c>
      <c r="P165" t="inlineStr">
        <is>
          <t>Jawa Barat</t>
        </is>
      </c>
      <c r="Q165" t="inlineStr"/>
    </row>
    <row r="166">
      <c r="A166" t="inlineStr">
        <is>
          <t>SUBUR MAKMUR SENTOSA</t>
        </is>
      </c>
      <c r="B166" t="inlineStr">
        <is>
          <t>Kota Batam</t>
        </is>
      </c>
      <c r="C166" t="inlineStr">
        <is>
          <t>08117708454</t>
        </is>
      </c>
      <c r="D166" t="inlineStr">
        <is>
          <t>sultonbtm@gmail.com</t>
        </is>
      </c>
      <c r="E166" t="inlineStr">
        <is>
          <t>https://lpjk.pu.go.id/search-badan-usaha-detail/M3UwREpEOE53RlplZmVlWW1TelRhQT09</t>
        </is>
      </c>
      <c r="F166" t="n">
        <v>1</v>
      </c>
      <c r="G166" t="inlineStr">
        <is>
          <t>BS004</t>
        </is>
      </c>
      <c r="H166" t="inlineStr">
        <is>
          <t>19 Januari 2015</t>
        </is>
      </c>
      <c r="I166" s="2" t="n">
        <v>46222</v>
      </c>
      <c r="J166" t="inlineStr">
        <is>
          <t>Disetujui</t>
        </is>
      </c>
      <c r="K166" t="n">
        <v>30</v>
      </c>
      <c r="L166" t="inlineStr">
        <is>
          <t>19 Juli 2026</t>
        </is>
      </c>
      <c r="M166" t="inlineStr">
        <is>
          <t>Konstruksi Jaringan Irigasi dan Drainase</t>
        </is>
      </c>
      <c r="N166" t="inlineStr">
        <is>
          <t>K</t>
        </is>
      </c>
      <c r="O166" t="inlineStr">
        <is>
          <t>20230718</t>
        </is>
      </c>
      <c r="P166" t="inlineStr">
        <is>
          <t>Kepulauan Riau</t>
        </is>
      </c>
      <c r="Q166" t="inlineStr"/>
    </row>
    <row r="167">
      <c r="A167" t="inlineStr">
        <is>
          <t>SUKA MAJU</t>
        </is>
      </c>
      <c r="B167" t="inlineStr">
        <is>
          <t>Kota Kediri</t>
        </is>
      </c>
      <c r="C167" t="inlineStr">
        <is>
          <t>081234102581</t>
        </is>
      </c>
      <c r="D167" t="inlineStr">
        <is>
          <t>sukamaju.cv@gmail.com</t>
        </is>
      </c>
      <c r="E167" t="inlineStr">
        <is>
          <t>https://lpjk.pu.go.id/search-badan-usaha-detail/WnZCWG1vaERZTVk4ZGxXblJtVGNIQT09</t>
        </is>
      </c>
      <c r="F167" t="n">
        <v>5</v>
      </c>
      <c r="G167" t="inlineStr">
        <is>
          <t>BG002, BG006, BG009, BS001, BS004</t>
        </is>
      </c>
      <c r="H167" t="inlineStr">
        <is>
          <t>24 Oktober 2002</t>
        </is>
      </c>
      <c r="I167" s="2" t="n">
        <v>46222</v>
      </c>
      <c r="J167" t="inlineStr">
        <is>
          <t>Disetujui</t>
        </is>
      </c>
      <c r="K167" t="n">
        <v>30</v>
      </c>
      <c r="L167" t="inlineStr">
        <is>
          <t>19 Juli 2026</t>
        </is>
      </c>
      <c r="M167" t="inlineStr">
        <is>
          <t>Konstruksi Bangunan Sipil Jalan, Konstruksi Gedung Lainnya, Konstruksi Gedung Pendidikan, Konstruksi Gedung Perkantoran, Konstruksi Jaringan Irigasi dan Drainase</t>
        </is>
      </c>
      <c r="N167" t="inlineStr">
        <is>
          <t>K</t>
        </is>
      </c>
      <c r="O167" t="inlineStr">
        <is>
          <t>20230711</t>
        </is>
      </c>
      <c r="P167" t="inlineStr">
        <is>
          <t>Jawa Timur</t>
        </is>
      </c>
      <c r="Q167" t="inlineStr"/>
    </row>
    <row r="168">
      <c r="A168" t="inlineStr">
        <is>
          <t>SUMBER AGUNG</t>
        </is>
      </c>
      <c r="B168" t="inlineStr">
        <is>
          <t>Kota Metro</t>
        </is>
      </c>
      <c r="C168" t="inlineStr">
        <is>
          <t>08127914500</t>
        </is>
      </c>
      <c r="D168" t="inlineStr">
        <is>
          <t>sumberagung17cv@gmail.com</t>
        </is>
      </c>
      <c r="E168" t="inlineStr">
        <is>
          <t>https://lpjk.pu.go.id/search-badan-usaha-detail/Wjh5anVkanBuUDViYnJybGxiaFJZZz09</t>
        </is>
      </c>
      <c r="F168" t="n">
        <v>1</v>
      </c>
      <c r="G168" t="inlineStr">
        <is>
          <t>BS004</t>
        </is>
      </c>
      <c r="H168" t="inlineStr">
        <is>
          <t>5 September 2017</t>
        </is>
      </c>
      <c r="I168" s="2" t="n">
        <v>46222</v>
      </c>
      <c r="J168" t="inlineStr">
        <is>
          <t>Disetujui</t>
        </is>
      </c>
      <c r="K168" t="n">
        <v>30</v>
      </c>
      <c r="L168" t="inlineStr">
        <is>
          <t>19 Juli 2026</t>
        </is>
      </c>
      <c r="M168" t="inlineStr">
        <is>
          <t>Konstruksi Jaringan Irigasi dan Drainase</t>
        </is>
      </c>
      <c r="N168" t="inlineStr">
        <is>
          <t>K</t>
        </is>
      </c>
      <c r="O168" t="inlineStr">
        <is>
          <t>20230717</t>
        </is>
      </c>
      <c r="P168" t="inlineStr">
        <is>
          <t>Lampung</t>
        </is>
      </c>
      <c r="Q168" t="inlineStr"/>
    </row>
    <row r="169">
      <c r="A169" t="inlineStr">
        <is>
          <t>SUMBER KUAT</t>
        </is>
      </c>
      <c r="B169" t="inlineStr">
        <is>
          <t>Kab. Sukabumi</t>
        </is>
      </c>
      <c r="C169" t="inlineStr">
        <is>
          <t>085863546555</t>
        </is>
      </c>
      <c r="D169" t="inlineStr">
        <is>
          <t>aisutijah344@gmail.com</t>
        </is>
      </c>
      <c r="E169" t="inlineStr">
        <is>
          <t>https://lpjk.pu.go.id/search-badan-usaha-detail/TDJRL0xHR3NLSnhraGNKcG1kOUFNZz09</t>
        </is>
      </c>
      <c r="F169" t="n">
        <v>1</v>
      </c>
      <c r="G169" t="inlineStr">
        <is>
          <t>BS004</t>
        </is>
      </c>
      <c r="H169" t="inlineStr">
        <is>
          <t>25 November 2015</t>
        </is>
      </c>
      <c r="I169" s="2" t="n">
        <v>46222</v>
      </c>
      <c r="J169" t="inlineStr">
        <is>
          <t>Pencabutan</t>
        </is>
      </c>
      <c r="K169" t="n">
        <v>30</v>
      </c>
      <c r="L169" t="inlineStr">
        <is>
          <t>19 Juli 2026</t>
        </is>
      </c>
      <c r="M169" t="inlineStr">
        <is>
          <t>Konstruksi Jaringan Irigasi dan Drainase</t>
        </is>
      </c>
      <c r="N169" t="inlineStr">
        <is>
          <t>K</t>
        </is>
      </c>
      <c r="O169" t="inlineStr">
        <is>
          <t>20230714</t>
        </is>
      </c>
      <c r="P169" t="inlineStr">
        <is>
          <t>Jawa Barat</t>
        </is>
      </c>
      <c r="Q169" t="inlineStr"/>
    </row>
    <row r="170">
      <c r="A170" t="inlineStr">
        <is>
          <t>SUMBER MULYO</t>
        </is>
      </c>
      <c r="B170" t="inlineStr">
        <is>
          <t>Kab. Gunungkidul</t>
        </is>
      </c>
      <c r="C170" t="inlineStr">
        <is>
          <t>081327725559</t>
        </is>
      </c>
      <c r="D170" t="inlineStr">
        <is>
          <t>sumbermulyocvpri@ymail.com</t>
        </is>
      </c>
      <c r="E170" t="inlineStr">
        <is>
          <t>https://lpjk.pu.go.id/search-badan-usaha-detail/d3hmTEg5ZjJVOVZURUh2VFp5TnFoQT09</t>
        </is>
      </c>
      <c r="F170" t="n">
        <v>1</v>
      </c>
      <c r="G170" t="inlineStr">
        <is>
          <t>BG003</t>
        </is>
      </c>
      <c r="H170" t="inlineStr">
        <is>
          <t>31 Juli 2004</t>
        </is>
      </c>
      <c r="I170" s="2" t="n">
        <v>46222</v>
      </c>
      <c r="J170" t="inlineStr">
        <is>
          <t>Disetujui</t>
        </is>
      </c>
      <c r="K170" t="n">
        <v>30</v>
      </c>
      <c r="L170" t="inlineStr">
        <is>
          <t>19 Juli 2026</t>
        </is>
      </c>
      <c r="M170" t="inlineStr">
        <is>
          <t>Konstruksi Gedung Industri</t>
        </is>
      </c>
      <c r="N170" t="inlineStr">
        <is>
          <t>K</t>
        </is>
      </c>
      <c r="O170" t="inlineStr">
        <is>
          <t>20230717</t>
        </is>
      </c>
      <c r="P170" t="inlineStr">
        <is>
          <t>DI Yogyakarta</t>
        </is>
      </c>
      <c r="Q170" t="inlineStr"/>
    </row>
    <row r="171">
      <c r="A171" t="inlineStr">
        <is>
          <t>SUMBER WIJAYA SAKTI 1</t>
        </is>
      </c>
      <c r="B171" t="inlineStr">
        <is>
          <t>Kab. Magelang</t>
        </is>
      </c>
      <c r="C171" t="inlineStr">
        <is>
          <t>0293 589144</t>
        </is>
      </c>
      <c r="D171" t="inlineStr">
        <is>
          <t>cvsumberwijayasakti01@gmail.com</t>
        </is>
      </c>
      <c r="E171" t="inlineStr">
        <is>
          <t>https://lpjk.pu.go.id/search-badan-usaha-detail/SkRPMk5OUm9mT3FhTk9XSi92NkVLQT09</t>
        </is>
      </c>
      <c r="F171" t="n">
        <v>2</v>
      </c>
      <c r="G171" t="inlineStr">
        <is>
          <t>BG002, BG006</t>
        </is>
      </c>
      <c r="H171" t="inlineStr">
        <is>
          <t>15 Desember 2015</t>
        </is>
      </c>
      <c r="I171" s="2" t="n">
        <v>46222</v>
      </c>
      <c r="J171" t="inlineStr">
        <is>
          <t>Disetujui</t>
        </is>
      </c>
      <c r="K171" t="n">
        <v>30</v>
      </c>
      <c r="L171" t="inlineStr">
        <is>
          <t>19 Juli 2026</t>
        </is>
      </c>
      <c r="M171" t="inlineStr">
        <is>
          <t>Konstruksi Gedung Pendidikan, Konstruksi Gedung Perkantoran</t>
        </is>
      </c>
      <c r="N171" t="inlineStr">
        <is>
          <t>K</t>
        </is>
      </c>
      <c r="O171" t="inlineStr">
        <is>
          <t>20230718</t>
        </is>
      </c>
      <c r="P171" t="inlineStr">
        <is>
          <t>Jawa Tengah</t>
        </is>
      </c>
      <c r="Q171" t="inlineStr"/>
    </row>
    <row r="172">
      <c r="A172" t="inlineStr">
        <is>
          <t>SUMUR AGUNG</t>
        </is>
      </c>
      <c r="B172" t="inlineStr">
        <is>
          <t>Kab. Demak</t>
        </is>
      </c>
      <c r="C172" t="inlineStr">
        <is>
          <t>088239770685</t>
        </is>
      </c>
      <c r="D172" t="inlineStr">
        <is>
          <t>sumuragung98@gmail.com</t>
        </is>
      </c>
      <c r="E172" t="inlineStr">
        <is>
          <t>https://lpjk.pu.go.id/search-badan-usaha-detail/QW40THJRL0hERXEwR05oaDhzTWZSUT09</t>
        </is>
      </c>
      <c r="F172" t="n">
        <v>1</v>
      </c>
      <c r="G172" t="inlineStr">
        <is>
          <t>BS001</t>
        </is>
      </c>
      <c r="H172" t="inlineStr">
        <is>
          <t>2 Mei 2000</t>
        </is>
      </c>
      <c r="I172" s="2" t="n">
        <v>46222</v>
      </c>
      <c r="J172" t="inlineStr">
        <is>
          <t>Disetujui</t>
        </is>
      </c>
      <c r="K172" t="n">
        <v>30</v>
      </c>
      <c r="L172" t="inlineStr">
        <is>
          <t>19 Juli 2026</t>
        </is>
      </c>
      <c r="M172" t="inlineStr">
        <is>
          <t>Konstruksi Bangunan Sipil Jalan</t>
        </is>
      </c>
      <c r="N172" t="inlineStr">
        <is>
          <t>K</t>
        </is>
      </c>
      <c r="O172" t="inlineStr">
        <is>
          <t>20230720</t>
        </is>
      </c>
      <c r="P172" t="inlineStr">
        <is>
          <t>Jawa Tengah</t>
        </is>
      </c>
      <c r="Q172" t="inlineStr"/>
    </row>
    <row r="173">
      <c r="A173" t="inlineStr">
        <is>
          <t>SURYA JAYA SAKTI</t>
        </is>
      </c>
      <c r="B173" t="inlineStr">
        <is>
          <t>Kota Gorontalo</t>
        </is>
      </c>
      <c r="C173" t="inlineStr">
        <is>
          <t>081244221617</t>
        </is>
      </c>
      <c r="D173" t="inlineStr">
        <is>
          <t>suryajayasakti00@gmail.com</t>
        </is>
      </c>
      <c r="E173" t="inlineStr">
        <is>
          <t>https://lpjk.pu.go.id/search-badan-usaha-detail/a2M3L2lncWVlWWhra1l0Ui84OWNUdz09</t>
        </is>
      </c>
      <c r="F173" t="n">
        <v>1</v>
      </c>
      <c r="G173" t="inlineStr">
        <is>
          <t>BG002</t>
        </is>
      </c>
      <c r="H173" t="inlineStr">
        <is>
          <t>7 April 1999</t>
        </is>
      </c>
      <c r="I173" s="2" t="n">
        <v>46222</v>
      </c>
      <c r="J173" t="inlineStr">
        <is>
          <t>Disetujui</t>
        </is>
      </c>
      <c r="K173" t="n">
        <v>30</v>
      </c>
      <c r="L173" t="inlineStr">
        <is>
          <t>19 Juli 2026</t>
        </is>
      </c>
      <c r="M173" t="inlineStr">
        <is>
          <t>Konstruksi Gedung Perkantoran</t>
        </is>
      </c>
      <c r="N173" t="inlineStr">
        <is>
          <t>K</t>
        </is>
      </c>
      <c r="O173" t="inlineStr">
        <is>
          <t>20230718</t>
        </is>
      </c>
      <c r="P173" t="inlineStr">
        <is>
          <t>Gorontalo</t>
        </is>
      </c>
      <c r="Q173" t="inlineStr"/>
    </row>
    <row r="174">
      <c r="A174" t="inlineStr">
        <is>
          <t>SURYA MANNA KARYA</t>
        </is>
      </c>
      <c r="B174" t="inlineStr">
        <is>
          <t>Kota Jayapura</t>
        </is>
      </c>
      <c r="C174" t="inlineStr">
        <is>
          <t>08524382891</t>
        </is>
      </c>
      <c r="D174" t="inlineStr">
        <is>
          <t>suryamanna00@gmail.com</t>
        </is>
      </c>
      <c r="E174" t="inlineStr">
        <is>
          <t>https://lpjk.pu.go.id/search-badan-usaha-detail/NjUxTlpsaFpxVjZFNXpHUVh0bnIzQT09</t>
        </is>
      </c>
      <c r="F174" t="n">
        <v>1</v>
      </c>
      <c r="G174" t="inlineStr">
        <is>
          <t>BG002</t>
        </is>
      </c>
      <c r="H174" t="inlineStr">
        <is>
          <t>28 Juni 2019</t>
        </is>
      </c>
      <c r="I174" s="2" t="n">
        <v>46222</v>
      </c>
      <c r="J174" t="inlineStr">
        <is>
          <t>Disetujui</t>
        </is>
      </c>
      <c r="K174" t="n">
        <v>30</v>
      </c>
      <c r="L174" t="inlineStr">
        <is>
          <t>19 Juli 2026</t>
        </is>
      </c>
      <c r="M174" t="inlineStr">
        <is>
          <t>Konstruksi Gedung Perkantoran</t>
        </is>
      </c>
      <c r="N174" t="inlineStr">
        <is>
          <t>K</t>
        </is>
      </c>
      <c r="O174" t="inlineStr">
        <is>
          <t>20230720</t>
        </is>
      </c>
      <c r="P174" t="inlineStr">
        <is>
          <t>Papua</t>
        </is>
      </c>
      <c r="Q174" t="inlineStr"/>
    </row>
    <row r="175">
      <c r="A175" t="inlineStr">
        <is>
          <t>TANGGUH JAYA KREASINDO</t>
        </is>
      </c>
      <c r="B175" t="inlineStr">
        <is>
          <t>Kota Kendari</t>
        </is>
      </c>
      <c r="C175" t="inlineStr">
        <is>
          <t>082249308971</t>
        </is>
      </c>
      <c r="D175" t="inlineStr">
        <is>
          <t>Tangguhjayakreasindo@gmail.com</t>
        </is>
      </c>
      <c r="E175" t="inlineStr">
        <is>
          <t>https://lpjk.pu.go.id/search-badan-usaha-detail/STYrQ2JMSGVudG9HWVBHVnNCeGFRdz09</t>
        </is>
      </c>
      <c r="F175" t="n">
        <v>1</v>
      </c>
      <c r="G175" t="inlineStr">
        <is>
          <t>BS004</t>
        </is>
      </c>
      <c r="H175" t="inlineStr">
        <is>
          <t>15 Agustus 2022</t>
        </is>
      </c>
      <c r="I175" s="2" t="n">
        <v>46222</v>
      </c>
      <c r="J175" t="inlineStr">
        <is>
          <t>Disetujui</t>
        </is>
      </c>
      <c r="K175" t="n">
        <v>30</v>
      </c>
      <c r="L175" t="inlineStr">
        <is>
          <t>19 Juli 2026</t>
        </is>
      </c>
      <c r="M175" t="inlineStr">
        <is>
          <t>Konstruksi Jaringan Irigasi dan Drainase</t>
        </is>
      </c>
      <c r="N175" t="inlineStr">
        <is>
          <t>K</t>
        </is>
      </c>
      <c r="O175" t="inlineStr">
        <is>
          <t>20230718</t>
        </is>
      </c>
      <c r="P175" t="inlineStr">
        <is>
          <t>Sulawesi Tenggara</t>
        </is>
      </c>
      <c r="Q175" t="inlineStr"/>
    </row>
    <row r="176">
      <c r="A176" t="inlineStr">
        <is>
          <t>TECHNOSKILL CONSULTANT</t>
        </is>
      </c>
      <c r="B176" t="inlineStr">
        <is>
          <t>Kab. Pangandaran</t>
        </is>
      </c>
      <c r="C176" t="inlineStr">
        <is>
          <t>081313484294</t>
        </is>
      </c>
      <c r="D176" t="inlineStr">
        <is>
          <t>technoskill2014@yahoo.com</t>
        </is>
      </c>
      <c r="E176" t="inlineStr">
        <is>
          <t>https://lpjk.pu.go.id/search-badan-usaha-detail/S2duQVdQNEVkeGszdWlJUXdYeVVGZz09</t>
        </is>
      </c>
      <c r="F176" t="n">
        <v>3</v>
      </c>
      <c r="G176" t="inlineStr">
        <is>
          <t>AR001</t>
        </is>
      </c>
      <c r="H176" t="inlineStr">
        <is>
          <t>26 Januari 2023</t>
        </is>
      </c>
      <c r="I176" s="2" t="n">
        <v>46222</v>
      </c>
      <c r="J176" t="inlineStr">
        <is>
          <t>Disetujui</t>
        </is>
      </c>
      <c r="K176" t="n">
        <v>30</v>
      </c>
      <c r="L176" t="inlineStr">
        <is>
          <t>19 Juli 2026</t>
        </is>
      </c>
      <c r="M176" t="inlineStr">
        <is>
          <t>Jasa Arsitektural Bangunan Gedung Hunian dan Non Hunian</t>
        </is>
      </c>
      <c r="N176" t="inlineStr">
        <is>
          <t>K</t>
        </is>
      </c>
      <c r="O176" t="inlineStr">
        <is>
          <t>20230308</t>
        </is>
      </c>
      <c r="P176" t="inlineStr">
        <is>
          <t>Jawa Barat</t>
        </is>
      </c>
      <c r="Q176" t="inlineStr"/>
    </row>
    <row r="177">
      <c r="A177" t="inlineStr">
        <is>
          <t>TELAGA EMAS MAHKOTA ABADI</t>
        </is>
      </c>
      <c r="B177" t="inlineStr">
        <is>
          <t>Kota Padang</t>
        </is>
      </c>
      <c r="C177" t="inlineStr">
        <is>
          <t>08116641276</t>
        </is>
      </c>
      <c r="D177" t="inlineStr">
        <is>
          <t>pttema179@gmail.com</t>
        </is>
      </c>
      <c r="E177" t="inlineStr">
        <is>
          <t>https://lpjk.pu.go.id/search-badan-usaha-detail/aVU2VUtSdjI0R1RWd29lRFpwM056Zz09</t>
        </is>
      </c>
      <c r="F177" t="n">
        <v>2</v>
      </c>
      <c r="G177" t="inlineStr">
        <is>
          <t>BG003, BG006</t>
        </is>
      </c>
      <c r="H177" t="inlineStr">
        <is>
          <t>7 November 2013</t>
        </is>
      </c>
      <c r="I177" s="2" t="n">
        <v>46222</v>
      </c>
      <c r="J177" t="inlineStr">
        <is>
          <t>Disetujui</t>
        </is>
      </c>
      <c r="K177" t="n">
        <v>30</v>
      </c>
      <c r="L177" t="inlineStr">
        <is>
          <t>19 Juli 2026</t>
        </is>
      </c>
      <c r="M177" t="inlineStr">
        <is>
          <t>Konstruksi Gedung Industri, Konstruksi Gedung Pendidikan</t>
        </is>
      </c>
      <c r="N177" t="inlineStr">
        <is>
          <t>K</t>
        </is>
      </c>
      <c r="O177" t="inlineStr">
        <is>
          <t>20230523, 20230526</t>
        </is>
      </c>
      <c r="P177" t="inlineStr">
        <is>
          <t>Sumatera Barat</t>
        </is>
      </c>
      <c r="Q177" t="inlineStr"/>
    </row>
    <row r="178">
      <c r="A178" t="inlineStr">
        <is>
          <t>TIGAN PRODUCTION</t>
        </is>
      </c>
      <c r="B178" t="inlineStr">
        <is>
          <t>Kota Manado</t>
        </is>
      </c>
      <c r="C178" t="inlineStr">
        <is>
          <t>085256709997</t>
        </is>
      </c>
      <c r="D178" t="inlineStr">
        <is>
          <t>tiganproductionmdc@gmail.com</t>
        </is>
      </c>
      <c r="E178" t="inlineStr">
        <is>
          <t>https://lpjk.pu.go.id/search-badan-usaha-detail/ZG1yQ2ZoOWtwM2VYeFJTWWdIbW9Fdz09</t>
        </is>
      </c>
      <c r="F178" t="n">
        <v>1</v>
      </c>
      <c r="G178" t="inlineStr">
        <is>
          <t>BG002</t>
        </is>
      </c>
      <c r="H178" t="inlineStr">
        <is>
          <t>22 Desember 2017</t>
        </is>
      </c>
      <c r="I178" s="2" t="n">
        <v>46222</v>
      </c>
      <c r="J178" t="inlineStr">
        <is>
          <t>Disetujui</t>
        </is>
      </c>
      <c r="K178" t="n">
        <v>30</v>
      </c>
      <c r="L178" t="inlineStr">
        <is>
          <t>19 Juli 2026</t>
        </is>
      </c>
      <c r="M178" t="inlineStr">
        <is>
          <t>Konstruksi Gedung Perkantoran</t>
        </is>
      </c>
      <c r="N178" t="inlineStr">
        <is>
          <t>K</t>
        </is>
      </c>
      <c r="O178" t="inlineStr">
        <is>
          <t>20230714</t>
        </is>
      </c>
      <c r="P178" t="inlineStr">
        <is>
          <t>Sulawesi Utara</t>
        </is>
      </c>
      <c r="Q178" t="inlineStr"/>
    </row>
    <row r="179">
      <c r="A179" t="inlineStr">
        <is>
          <t>TIGATO SOLUSI TEKNIK</t>
        </is>
      </c>
      <c r="B179" t="inlineStr">
        <is>
          <t>Kab. Kendal</t>
        </is>
      </c>
      <c r="C179" t="inlineStr">
        <is>
          <t>0294644236</t>
        </is>
      </c>
      <c r="D179" t="inlineStr">
        <is>
          <t>eko.xkuto@gmail.com</t>
        </is>
      </c>
      <c r="E179" t="inlineStr">
        <is>
          <t>https://lpjk.pu.go.id/search-badan-usaha-detail/bDhjbnRmZXJ0TnB2SHp1WmFhRzlrUT09</t>
        </is>
      </c>
      <c r="F179" t="n">
        <v>2</v>
      </c>
      <c r="G179" t="inlineStr">
        <is>
          <t>RK001, RK003</t>
        </is>
      </c>
      <c r="H179" t="inlineStr">
        <is>
          <t>1 Februari 2017</t>
        </is>
      </c>
      <c r="I179" s="2" t="n">
        <v>46222</v>
      </c>
      <c r="J179" t="inlineStr">
        <is>
          <t>Disetujui, Pencabutan</t>
        </is>
      </c>
      <c r="K179" t="n">
        <v>30</v>
      </c>
      <c r="L179" t="inlineStr">
        <is>
          <t>19 Juli 2026</t>
        </is>
      </c>
      <c r="M179" t="inlineStr">
        <is>
          <t>Jasa Rekayasa Konstruksi Bangunan Gedung Hunian dan Non Hunian, Jasa Rekayasa Pekerjaan Teknik Sipil Transportasi</t>
        </is>
      </c>
      <c r="N179" t="inlineStr">
        <is>
          <t>K</t>
        </is>
      </c>
      <c r="O179" t="inlineStr">
        <is>
          <t>20230612</t>
        </is>
      </c>
      <c r="P179" t="inlineStr">
        <is>
          <t>Jawa Tengah</t>
        </is>
      </c>
      <c r="Q179" t="inlineStr"/>
    </row>
    <row r="180">
      <c r="A180" t="inlineStr">
        <is>
          <t>TIRTA MANDIRI</t>
        </is>
      </c>
      <c r="B180" t="inlineStr">
        <is>
          <t>Kota Magelang</t>
        </is>
      </c>
      <c r="C180" t="inlineStr">
        <is>
          <t>085815543005</t>
        </is>
      </c>
      <c r="D180" t="inlineStr">
        <is>
          <t>tirtamandiri.mgl@gmail.com</t>
        </is>
      </c>
      <c r="E180" t="inlineStr">
        <is>
          <t>https://lpjk.pu.go.id/search-badan-usaha-detail/aDIzSUhjNklYVHBhTm5RSkNFQTViUT09</t>
        </is>
      </c>
      <c r="F180" t="n">
        <v>2</v>
      </c>
      <c r="G180" t="inlineStr">
        <is>
          <t>BS001, BS004</t>
        </is>
      </c>
      <c r="H180" t="inlineStr">
        <is>
          <t>5 Februari 2015</t>
        </is>
      </c>
      <c r="I180" s="2" t="n">
        <v>46222</v>
      </c>
      <c r="J180" t="inlineStr">
        <is>
          <t>Disetujui</t>
        </is>
      </c>
      <c r="K180" t="n">
        <v>30</v>
      </c>
      <c r="L180" t="inlineStr">
        <is>
          <t>19 Juli 2026</t>
        </is>
      </c>
      <c r="M180" t="inlineStr">
        <is>
          <t>Konstruksi Bangunan Sipil Jalan, Konstruksi Jaringan Irigasi dan Drainase</t>
        </is>
      </c>
      <c r="N180" t="inlineStr">
        <is>
          <t>K</t>
        </is>
      </c>
      <c r="O180" t="inlineStr">
        <is>
          <t>20230719</t>
        </is>
      </c>
      <c r="P180" t="inlineStr">
        <is>
          <t>Jawa Tengah</t>
        </is>
      </c>
      <c r="Q180" t="inlineStr"/>
    </row>
    <row r="181">
      <c r="A181" t="inlineStr">
        <is>
          <t>TIRTA SARANA MULIA TECHNOLOGY</t>
        </is>
      </c>
      <c r="B181" t="inlineStr">
        <is>
          <t>Kota Surabaya</t>
        </is>
      </c>
      <c r="C181" t="inlineStr">
        <is>
          <t>0315997686</t>
        </is>
      </c>
      <c r="D181" t="inlineStr">
        <is>
          <t>pt.tsmt@gmail.com</t>
        </is>
      </c>
      <c r="E181" t="inlineStr">
        <is>
          <t>https://lpjk.pu.go.id/search-badan-usaha-detail/UHMxYUUrZzBNRVpwRmROMkJUMFlKSmYzaEh5UGdBYXRhV2kwK1BkZTd2MD0</t>
        </is>
      </c>
      <c r="F181" t="n">
        <v>1</v>
      </c>
      <c r="G181" t="inlineStr">
        <is>
          <t>BS005</t>
        </is>
      </c>
      <c r="H181" t="inlineStr">
        <is>
          <t>7 Juni 2023</t>
        </is>
      </c>
      <c r="I181" s="2" t="n">
        <v>46222</v>
      </c>
      <c r="J181" t="inlineStr">
        <is>
          <t>Disetujui</t>
        </is>
      </c>
      <c r="K181" t="n">
        <v>30</v>
      </c>
      <c r="L181" t="inlineStr">
        <is>
          <t>19 Juli 2026</t>
        </is>
      </c>
      <c r="M181" t="inlineStr">
        <is>
          <t>Konstruksi Bangunan Sipil Pengolahan Air Bersih</t>
        </is>
      </c>
      <c r="N181" t="inlineStr">
        <is>
          <t>M</t>
        </is>
      </c>
      <c r="O181" t="inlineStr">
        <is>
          <t>20230704</t>
        </is>
      </c>
      <c r="P181" t="inlineStr">
        <is>
          <t>Jawa Timur</t>
        </is>
      </c>
      <c r="Q181" t="inlineStr"/>
    </row>
    <row r="182">
      <c r="A182" t="inlineStr">
        <is>
          <t>TRI BHAKTI</t>
        </is>
      </c>
      <c r="B182" t="inlineStr">
        <is>
          <t>Kota Metro</t>
        </is>
      </c>
      <c r="C182" t="inlineStr">
        <is>
          <t>07257850333</t>
        </is>
      </c>
      <c r="D182" t="inlineStr">
        <is>
          <t>tribmetro@yahoo.co.id</t>
        </is>
      </c>
      <c r="E182" t="inlineStr">
        <is>
          <t>https://lpjk.pu.go.id/search-badan-usaha-detail/eU1HSm50WTR5Nlora3c3b2lyYzk3QT09</t>
        </is>
      </c>
      <c r="F182" t="n">
        <v>1</v>
      </c>
      <c r="G182" t="inlineStr">
        <is>
          <t>BS001</t>
        </is>
      </c>
      <c r="H182" t="inlineStr">
        <is>
          <t>16 April 2003</t>
        </is>
      </c>
      <c r="I182" s="2" t="n">
        <v>46222</v>
      </c>
      <c r="J182" t="inlineStr">
        <is>
          <t>Disetujui</t>
        </is>
      </c>
      <c r="K182" t="n">
        <v>30</v>
      </c>
      <c r="L182" t="inlineStr">
        <is>
          <t>19 Juli 2026</t>
        </is>
      </c>
      <c r="M182" t="inlineStr">
        <is>
          <t>Konstruksi Bangunan Sipil Jalan</t>
        </is>
      </c>
      <c r="N182" t="inlineStr">
        <is>
          <t>M</t>
        </is>
      </c>
      <c r="O182" t="inlineStr">
        <is>
          <t>20230705</t>
        </is>
      </c>
      <c r="P182" t="inlineStr">
        <is>
          <t>Lampung</t>
        </is>
      </c>
      <c r="Q182" t="inlineStr"/>
    </row>
    <row r="183">
      <c r="A183" t="inlineStr">
        <is>
          <t>TRI MARKA DJAYA</t>
        </is>
      </c>
      <c r="B183" t="inlineStr">
        <is>
          <t>Kab. Tebo</t>
        </is>
      </c>
      <c r="C183" t="inlineStr">
        <is>
          <t>082282425623</t>
        </is>
      </c>
      <c r="D183" t="inlineStr">
        <is>
          <t>tri.marka.djaya@gmail.com</t>
        </is>
      </c>
      <c r="E183" t="inlineStr">
        <is>
          <t>https://lpjk.pu.go.id/search-badan-usaha-detail/emxUbnNmdXNDaWZqd1FHalN2VElnQT09</t>
        </is>
      </c>
      <c r="F183" t="n">
        <v>1</v>
      </c>
      <c r="G183" t="inlineStr">
        <is>
          <t>RK003</t>
        </is>
      </c>
      <c r="H183" t="inlineStr">
        <is>
          <t>15 Agustus 2022</t>
        </is>
      </c>
      <c r="I183" s="2" t="n">
        <v>46222</v>
      </c>
      <c r="J183" t="inlineStr">
        <is>
          <t>Disetujui</t>
        </is>
      </c>
      <c r="K183" t="n">
        <v>30</v>
      </c>
      <c r="L183" t="inlineStr">
        <is>
          <t>19 Juli 2026</t>
        </is>
      </c>
      <c r="M183" t="inlineStr">
        <is>
          <t>Jasa Rekayasa Pekerjaan Teknik Sipil Transportasi</t>
        </is>
      </c>
      <c r="N183" t="inlineStr">
        <is>
          <t>K</t>
        </is>
      </c>
      <c r="O183" t="inlineStr">
        <is>
          <t>20230707</t>
        </is>
      </c>
      <c r="P183" t="inlineStr">
        <is>
          <t>Jambi</t>
        </is>
      </c>
      <c r="Q183" t="inlineStr"/>
    </row>
    <row r="184">
      <c r="A184" t="inlineStr">
        <is>
          <t>TRIASA ALAM PRAKARSA</t>
        </is>
      </c>
      <c r="B184" t="inlineStr">
        <is>
          <t>Kota Banda Aceh</t>
        </is>
      </c>
      <c r="C184" t="inlineStr">
        <is>
          <t>081269691456</t>
        </is>
      </c>
      <c r="D184" t="inlineStr">
        <is>
          <t>triasaalamprakarsa@gmail.com</t>
        </is>
      </c>
      <c r="E184" t="inlineStr">
        <is>
          <t>https://lpjk.pu.go.id/search-badan-usaha-detail/SHg3dllKTzBKMHpTelJkaENnQ0RMQT09</t>
        </is>
      </c>
      <c r="F184" t="n">
        <v>12</v>
      </c>
      <c r="G184" t="inlineStr">
        <is>
          <t>BG002, BG005, BG006, BG009</t>
        </is>
      </c>
      <c r="H184" t="inlineStr">
        <is>
          <t>15 Mei 2020</t>
        </is>
      </c>
      <c r="I184" s="2" t="n">
        <v>46222</v>
      </c>
      <c r="J184" t="inlineStr">
        <is>
          <t>Disetujui</t>
        </is>
      </c>
      <c r="K184" t="n">
        <v>30</v>
      </c>
      <c r="L184" t="inlineStr">
        <is>
          <t>19 Juli 2026</t>
        </is>
      </c>
      <c r="M184" t="inlineStr">
        <is>
          <t>Konstruksi Gedung Kesehatan, Konstruksi Gedung Lainnya, Konstruksi Gedung Pendidikan, Konstruksi Gedung Perkantoran</t>
        </is>
      </c>
      <c r="N184" t="inlineStr">
        <is>
          <t>K</t>
        </is>
      </c>
      <c r="O184" t="inlineStr">
        <is>
          <t>20230714, 20230717</t>
        </is>
      </c>
      <c r="P184" t="inlineStr">
        <is>
          <t>Aceh</t>
        </is>
      </c>
      <c r="Q184" t="inlineStr"/>
    </row>
    <row r="185">
      <c r="A185" t="inlineStr">
        <is>
          <t>TUNAS ENGINEERING</t>
        </is>
      </c>
      <c r="B185" t="inlineStr">
        <is>
          <t>Kota Tangerang Selatan</t>
        </is>
      </c>
      <c r="C185" t="inlineStr">
        <is>
          <t>02175882435</t>
        </is>
      </c>
      <c r="D185" t="inlineStr">
        <is>
          <t>tunas_engineering@yahoo.com</t>
        </is>
      </c>
      <c r="E185" t="inlineStr">
        <is>
          <t>https://lpjk.pu.go.id/search-badan-usaha-detail/MVVKNWRHTXA0Y2ZidVc5alpLSGZhdz09</t>
        </is>
      </c>
      <c r="F185" t="n">
        <v>3</v>
      </c>
      <c r="G185" t="inlineStr">
        <is>
          <t>AR001, RK001, RK005</t>
        </is>
      </c>
      <c r="H185" t="inlineStr">
        <is>
          <t>2 Maret 2010</t>
        </is>
      </c>
      <c r="I185" s="2" t="n">
        <v>46222</v>
      </c>
      <c r="J185" t="inlineStr">
        <is>
          <t>Disetujui</t>
        </is>
      </c>
      <c r="K185" t="n">
        <v>30</v>
      </c>
      <c r="L185" t="inlineStr">
        <is>
          <t>19 Juli 2026</t>
        </is>
      </c>
      <c r="M185" t="inlineStr">
        <is>
          <t>Jasa Arsitektural Bangunan Gedung Hunian dan Non Hunian, Jasa Rekayasa Konstruksi Bangunan Gedung Hunian dan Non Hunian, Jasa Rekayasa Lainnya</t>
        </is>
      </c>
      <c r="N185" t="inlineStr">
        <is>
          <t>K</t>
        </is>
      </c>
      <c r="O185" t="inlineStr">
        <is>
          <t>20230704</t>
        </is>
      </c>
      <c r="P185" t="inlineStr">
        <is>
          <t>Banten</t>
        </is>
      </c>
      <c r="Q185" t="inlineStr"/>
    </row>
    <row r="186">
      <c r="A186" t="inlineStr">
        <is>
          <t>TUNAS HARAPAN</t>
        </is>
      </c>
      <c r="B186" t="inlineStr">
        <is>
          <t>Kota Magelang</t>
        </is>
      </c>
      <c r="C186" t="inlineStr">
        <is>
          <t>085743337005</t>
        </is>
      </c>
      <c r="D186" t="inlineStr">
        <is>
          <t>tunasharapan05@gmail.com</t>
        </is>
      </c>
      <c r="E186" t="inlineStr">
        <is>
          <t>https://lpjk.pu.go.id/search-badan-usaha-detail/Z0ZRS2hMenlBcUVpZVdpK1VHMDlvQT09</t>
        </is>
      </c>
      <c r="F186" t="n">
        <v>1</v>
      </c>
      <c r="G186" t="inlineStr">
        <is>
          <t>BG006</t>
        </is>
      </c>
      <c r="H186" t="inlineStr">
        <is>
          <t>28 Januari 2009</t>
        </is>
      </c>
      <c r="I186" s="2" t="n">
        <v>46222</v>
      </c>
      <c r="J186" t="inlineStr">
        <is>
          <t>Pencabutan</t>
        </is>
      </c>
      <c r="K186" t="n">
        <v>30</v>
      </c>
      <c r="L186" t="inlineStr">
        <is>
          <t>19 Juli 2026</t>
        </is>
      </c>
      <c r="M186" t="inlineStr">
        <is>
          <t>Konstruksi Gedung Pendidikan</t>
        </is>
      </c>
      <c r="N186" t="inlineStr">
        <is>
          <t>K</t>
        </is>
      </c>
      <c r="O186" t="inlineStr">
        <is>
          <t>20230718</t>
        </is>
      </c>
      <c r="P186" t="inlineStr">
        <is>
          <t>Jawa Tengah</t>
        </is>
      </c>
      <c r="Q186" t="inlineStr"/>
    </row>
    <row r="187">
      <c r="A187" t="inlineStr">
        <is>
          <t>UNGGUL KARYA</t>
        </is>
      </c>
      <c r="B187" t="inlineStr">
        <is>
          <t>Kab. Wonosobo</t>
        </is>
      </c>
      <c r="C187" t="inlineStr">
        <is>
          <t>082177741134</t>
        </is>
      </c>
      <c r="D187" t="inlineStr">
        <is>
          <t>unggulkaryacompany@gmail.com</t>
        </is>
      </c>
      <c r="E187" t="inlineStr">
        <is>
          <t>https://lpjk.pu.go.id/search-badan-usaha-detail/aTJLTUFyaWh2SnNVSlFaTUlVaUtZQT09</t>
        </is>
      </c>
      <c r="F187" t="n">
        <v>4</v>
      </c>
      <c r="G187" t="inlineStr">
        <is>
          <t>BG005, BG006, BS001, BS004</t>
        </is>
      </c>
      <c r="H187" t="inlineStr">
        <is>
          <t>21 Juni 2019</t>
        </is>
      </c>
      <c r="I187" s="2" t="n">
        <v>46222</v>
      </c>
      <c r="J187" t="inlineStr">
        <is>
          <t>Disetujui</t>
        </is>
      </c>
      <c r="K187" t="n">
        <v>30</v>
      </c>
      <c r="L187" t="inlineStr">
        <is>
          <t>19 Juli 2026</t>
        </is>
      </c>
      <c r="M187" t="inlineStr">
        <is>
          <t>Konstruksi Bangunan Sipil Jalan, Konstruksi Gedung Kesehatan, Konstruksi Gedung Pendidikan, Konstruksi Jaringan Irigasi dan Drainase</t>
        </is>
      </c>
      <c r="N187" t="inlineStr">
        <is>
          <t>K</t>
        </is>
      </c>
      <c r="O187" t="inlineStr">
        <is>
          <t>20230720</t>
        </is>
      </c>
      <c r="P187" t="inlineStr">
        <is>
          <t>Jawa Tengah</t>
        </is>
      </c>
      <c r="Q187" t="inlineStr"/>
    </row>
    <row r="188">
      <c r="A188" t="inlineStr">
        <is>
          <t>URBAN EKOLOGI KONSULTAN</t>
        </is>
      </c>
      <c r="B188" t="inlineStr">
        <is>
          <t>Kota Pontianak</t>
        </is>
      </c>
      <c r="C188" t="inlineStr">
        <is>
          <t>085245688912</t>
        </is>
      </c>
      <c r="D188" t="inlineStr">
        <is>
          <t>urbelco.info@gmail.com</t>
        </is>
      </c>
      <c r="E188" t="inlineStr">
        <is>
          <t>https://lpjk.pu.go.id/search-badan-usaha-detail/QVZTN0tMVDdFWm9PdDE5T2V4ZlprUT09</t>
        </is>
      </c>
      <c r="F188" t="n">
        <v>2</v>
      </c>
      <c r="G188" t="inlineStr">
        <is>
          <t>AR001, AR002</t>
        </is>
      </c>
      <c r="H188" t="inlineStr">
        <is>
          <t>21 Juni 2022</t>
        </is>
      </c>
      <c r="I188" s="2" t="n">
        <v>46222</v>
      </c>
      <c r="J188" t="inlineStr">
        <is>
          <t>Pencabutan</t>
        </is>
      </c>
      <c r="K188" t="n">
        <v>30</v>
      </c>
      <c r="L188" t="inlineStr">
        <is>
          <t>19 Juli 2026</t>
        </is>
      </c>
      <c r="M188" t="inlineStr">
        <is>
          <t>Jasa Arsitektural Bangunan Gedung Hunian dan Non Hunian, Jasa Arsitektural Lainnya</t>
        </is>
      </c>
      <c r="N188" t="inlineStr">
        <is>
          <t>K</t>
        </is>
      </c>
      <c r="O188" t="inlineStr">
        <is>
          <t>20230626</t>
        </is>
      </c>
      <c r="P188" t="inlineStr">
        <is>
          <t>Kalimantan Barat</t>
        </is>
      </c>
      <c r="Q188" t="inlineStr"/>
    </row>
    <row r="189">
      <c r="A189" t="inlineStr">
        <is>
          <t>UTARI KREASINDO UTAMA</t>
        </is>
      </c>
      <c r="B189" t="inlineStr">
        <is>
          <t>Kab. Cianjur</t>
        </is>
      </c>
      <c r="C189" t="inlineStr">
        <is>
          <t>081912124333</t>
        </is>
      </c>
      <c r="D189" t="inlineStr">
        <is>
          <t>utarikreasindo12@gmail.com</t>
        </is>
      </c>
      <c r="E189" t="inlineStr">
        <is>
          <t>https://lpjk.pu.go.id/search-badan-usaha-detail/cHhGbFI2NSsvSWNTK0xKTFBVTXoyQT09</t>
        </is>
      </c>
      <c r="F189" t="n">
        <v>4</v>
      </c>
      <c r="G189" t="inlineStr">
        <is>
          <t>BG005, BG006, BG009, BS001</t>
        </is>
      </c>
      <c r="H189" t="inlineStr">
        <is>
          <t>1 Juli 2020</t>
        </is>
      </c>
      <c r="I189" s="2" t="n">
        <v>46222</v>
      </c>
      <c r="J189" t="inlineStr">
        <is>
          <t>Disetujui</t>
        </is>
      </c>
      <c r="K189" t="n">
        <v>30</v>
      </c>
      <c r="L189" t="inlineStr">
        <is>
          <t>19 Juli 2026</t>
        </is>
      </c>
      <c r="M189" t="inlineStr">
        <is>
          <t>Konstruksi Bangunan Sipil Jalan, Konstruksi Gedung Kesehatan, Konstruksi Gedung Lainnya, Konstruksi Gedung Pendidikan</t>
        </is>
      </c>
      <c r="N189" t="inlineStr">
        <is>
          <t>K</t>
        </is>
      </c>
      <c r="O189" t="inlineStr">
        <is>
          <t>20230714</t>
        </is>
      </c>
      <c r="P189" t="inlineStr">
        <is>
          <t>Jawa Barat</t>
        </is>
      </c>
      <c r="Q189" t="inlineStr"/>
    </row>
    <row r="190">
      <c r="A190" t="inlineStr">
        <is>
          <t>WANAMARTHA ANUGRAH SAMAWA</t>
        </is>
      </c>
      <c r="B190" t="inlineStr">
        <is>
          <t>Kab. Sumbawa</t>
        </is>
      </c>
      <c r="C190" t="inlineStr">
        <is>
          <t>081237249134</t>
        </is>
      </c>
      <c r="D190" t="inlineStr">
        <is>
          <t>cwanamartha@gmail.com</t>
        </is>
      </c>
      <c r="E190" t="inlineStr">
        <is>
          <t>https://lpjk.pu.go.id/search-badan-usaha-detail/S3pndThHWjhNNFdFOUlSaFZ2SnQ5dz09</t>
        </is>
      </c>
      <c r="F190" t="n">
        <v>2</v>
      </c>
      <c r="G190" t="inlineStr">
        <is>
          <t>BS001, BS004</t>
        </is>
      </c>
      <c r="H190" t="inlineStr">
        <is>
          <t>9 Juli 1998</t>
        </is>
      </c>
      <c r="I190" s="2" t="n">
        <v>46222</v>
      </c>
      <c r="J190" t="inlineStr">
        <is>
          <t>Disetujui</t>
        </is>
      </c>
      <c r="K190" t="n">
        <v>30</v>
      </c>
      <c r="L190" t="inlineStr">
        <is>
          <t>19 Juli 2026</t>
        </is>
      </c>
      <c r="M190" t="inlineStr">
        <is>
          <t>Konstruksi Bangunan Sipil Jalan, Konstruksi Jaringan Irigasi dan Drainase</t>
        </is>
      </c>
      <c r="N190" t="inlineStr">
        <is>
          <t>K</t>
        </is>
      </c>
      <c r="O190" t="inlineStr">
        <is>
          <t>20230714</t>
        </is>
      </c>
      <c r="P190" t="inlineStr">
        <is>
          <t>Nusa Tenggara Barat</t>
        </is>
      </c>
      <c r="Q190" t="inlineStr"/>
    </row>
    <row r="191">
      <c r="A191" t="inlineStr">
        <is>
          <t>WANITA KARYA</t>
        </is>
      </c>
      <c r="B191" t="inlineStr">
        <is>
          <t>Kab. Pacitan</t>
        </is>
      </c>
      <c r="C191" t="inlineStr">
        <is>
          <t>087701769933</t>
        </is>
      </c>
      <c r="D191" t="inlineStr">
        <is>
          <t>wanitakaryapct@gmail.com</t>
        </is>
      </c>
      <c r="E191" t="inlineStr">
        <is>
          <t>https://lpjk.pu.go.id/search-badan-usaha-detail/Ly80dFdHWWlIRXZKTENSNkhzZUlRZz09</t>
        </is>
      </c>
      <c r="F191" t="n">
        <v>1</v>
      </c>
      <c r="G191" t="inlineStr">
        <is>
          <t>BG006</t>
        </is>
      </c>
      <c r="H191" t="inlineStr">
        <is>
          <t>8 Oktober 1993</t>
        </is>
      </c>
      <c r="I191" s="2" t="n">
        <v>46222</v>
      </c>
      <c r="J191" t="inlineStr">
        <is>
          <t>Disetujui</t>
        </is>
      </c>
      <c r="K191" t="n">
        <v>30</v>
      </c>
      <c r="L191" t="inlineStr">
        <is>
          <t>19 Juli 2026</t>
        </is>
      </c>
      <c r="M191" t="inlineStr">
        <is>
          <t>Konstruksi Gedung Pendidikan</t>
        </is>
      </c>
      <c r="N191" t="inlineStr">
        <is>
          <t>K</t>
        </is>
      </c>
      <c r="O191" t="inlineStr">
        <is>
          <t>20230711</t>
        </is>
      </c>
      <c r="P191" t="inlineStr">
        <is>
          <t>Jawa Timur</t>
        </is>
      </c>
      <c r="Q191" t="inlineStr"/>
    </row>
    <row r="192">
      <c r="A192" t="inlineStr">
        <is>
          <t>WIJAYA KUSUMA</t>
        </is>
      </c>
      <c r="B192" t="inlineStr">
        <is>
          <t>Kab. Sragen</t>
        </is>
      </c>
      <c r="C192" t="inlineStr">
        <is>
          <t>0822 4333 7222</t>
        </is>
      </c>
      <c r="D192" t="inlineStr">
        <is>
          <t>wijayakusuma@contractor.net</t>
        </is>
      </c>
      <c r="E192" t="inlineStr">
        <is>
          <t>https://lpjk.pu.go.id/search-badan-usaha-detail/TGJhYUMwc1VHcERTdmFUeGhtdU1MQT09</t>
        </is>
      </c>
      <c r="F192" t="n">
        <v>2</v>
      </c>
      <c r="G192" t="inlineStr">
        <is>
          <t>BG006</t>
        </is>
      </c>
      <c r="H192" t="inlineStr">
        <is>
          <t>29 Desember 2001</t>
        </is>
      </c>
      <c r="I192" s="2" t="n">
        <v>46222</v>
      </c>
      <c r="J192" t="inlineStr">
        <is>
          <t>Disetujui</t>
        </is>
      </c>
      <c r="K192" t="n">
        <v>30</v>
      </c>
      <c r="L192" t="inlineStr">
        <is>
          <t>19 Juli 2026</t>
        </is>
      </c>
      <c r="M192" t="inlineStr">
        <is>
          <t>Konstruksi Gedung Pendidikan</t>
        </is>
      </c>
      <c r="N192" t="inlineStr">
        <is>
          <t>K</t>
        </is>
      </c>
      <c r="O192" t="inlineStr">
        <is>
          <t>20230720</t>
        </is>
      </c>
      <c r="P192" t="inlineStr">
        <is>
          <t>Jawa Tengah</t>
        </is>
      </c>
      <c r="Q1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2026-06-19T03:43:12Z</dcterms:created>
  <dcterms:modified xsi:type="dcterms:W3CDTF">2026-06-19T03:43:12Z</dcterms:modified>
</cp:coreProperties>
</file>