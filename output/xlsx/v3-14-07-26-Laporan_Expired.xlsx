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1"/>
  <sheetViews>
    <sheetView workbookViewId="0">
      <selection activeCell="A1" sqref="A1"/>
    </sheetView>
  </sheetViews>
  <sheetFormatPr baseColWidth="8" defaultRowHeight="15"/>
  <cols>
    <col width="31" customWidth="1" min="1" max="1"/>
    <col width="27" customWidth="1" min="2" max="2"/>
    <col width="16" customWidth="1" min="3" max="3"/>
    <col width="40" customWidth="1" min="4" max="4"/>
    <col width="50" customWidth="1" min="5" max="5"/>
    <col width="18" customWidth="1" min="6" max="6"/>
    <col width="49" customWidth="1" min="7" max="7"/>
    <col width="20" customWidth="1" min="8" max="8"/>
    <col width="28" customWidth="1" min="9" max="9"/>
    <col width="45" customWidth="1" min="10" max="10"/>
    <col width="11" customWidth="1" min="11" max="11"/>
    <col width="17" customWidth="1" min="12" max="12"/>
    <col width="50" customWidth="1" min="13" max="13"/>
    <col width="14" customWidth="1" min="14" max="14"/>
    <col width="2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ABIPLAN DINAMIKA CONSULTANT</t>
        </is>
      </c>
      <c r="B2" t="inlineStr">
        <is>
          <t>Kota Bekasi</t>
        </is>
      </c>
      <c r="C2" t="inlineStr">
        <is>
          <t>081233551538</t>
        </is>
      </c>
      <c r="D2" t="inlineStr">
        <is>
          <t>abiplanpku@yahoo.com</t>
        </is>
      </c>
      <c r="E2" t="inlineStr">
        <is>
          <t>https://lpjk.pu.go.id/search-badan-usaha-detail/eWpncHpSUVpRcUQrT2gzWWpRWW8wK3RwMnpqcnpKZmtmRkF0TnZyc09RTT0</t>
        </is>
      </c>
      <c r="F2" t="n">
        <v>1</v>
      </c>
      <c r="G2" t="inlineStr">
        <is>
          <t>RK002</t>
        </is>
      </c>
      <c r="H2" t="inlineStr">
        <is>
          <t>17 Desember 2025</t>
        </is>
      </c>
      <c r="I2" s="2" t="n">
        <v>46307</v>
      </c>
      <c r="J2" t="inlineStr">
        <is>
          <t>Disetujui</t>
        </is>
      </c>
      <c r="K2" t="n">
        <v>90</v>
      </c>
      <c r="L2" t="inlineStr">
        <is>
          <t>12 Oktober 2026</t>
        </is>
      </c>
      <c r="M2" t="inlineStr">
        <is>
          <t>Jasa Rekayasa Pekerjaan Teknik Sipil Sumber Daya Air</t>
        </is>
      </c>
      <c r="N2" t="inlineStr">
        <is>
          <t>M</t>
        </is>
      </c>
      <c r="O2" t="inlineStr">
        <is>
          <t>20230926</t>
        </is>
      </c>
      <c r="P2" t="inlineStr">
        <is>
          <t>Jawa Barat</t>
        </is>
      </c>
      <c r="Q2" s="3">
        <f>HYPERLINK("https://wa.me/6281233551538?text=Selamat siang Bapak/Ibu pimpinan ABIPLAN DINAMIKA CONSULTANT,%0A%0ASemoga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ADITYA CIPTA JAYA</t>
        </is>
      </c>
      <c r="B3" t="inlineStr">
        <is>
          <t>Kota Bekasi</t>
        </is>
      </c>
      <c r="C3" t="inlineStr">
        <is>
          <t>082223332212</t>
        </is>
      </c>
      <c r="D3" t="inlineStr">
        <is>
          <t>adityaciptajaya@gmail.com</t>
        </is>
      </c>
      <c r="E3" t="inlineStr">
        <is>
          <t>https://lpjk.pu.go.id/search-badan-usaha-detail/RzlNeDYvdm8vL3JSeGVnMDA3NnM5QT09</t>
        </is>
      </c>
      <c r="F3" t="n">
        <v>5</v>
      </c>
      <c r="G3" t="inlineStr">
        <is>
          <t>BG001, BG002, BG006, BG009, IN004</t>
        </is>
      </c>
      <c r="H3" t="inlineStr">
        <is>
          <t>29 September 2023</t>
        </is>
      </c>
      <c r="I3" s="2" t="n">
        <v>46307</v>
      </c>
      <c r="J3" t="inlineStr">
        <is>
          <t>Disetujui, Pembekuan</t>
        </is>
      </c>
      <c r="K3" t="n">
        <v>90</v>
      </c>
      <c r="L3" t="inlineStr">
        <is>
          <t>12 Oktober 2026</t>
        </is>
      </c>
      <c r="M3" t="inlineStr">
        <is>
          <t>Instalasi Minyak dan Gas, Konstruksi Gedung Hunian, Konstruksi Gedung Lainnya, Konstruksi Gedung Pendidikan, Konstruksi Gedung Perkantoran</t>
        </is>
      </c>
      <c r="N3" t="inlineStr">
        <is>
          <t>K, Spesialis</t>
        </is>
      </c>
      <c r="O3" t="inlineStr">
        <is>
          <t>20231012</t>
        </is>
      </c>
      <c r="P3" t="inlineStr">
        <is>
          <t>Jawa Barat</t>
        </is>
      </c>
      <c r="Q3" s="3">
        <f>HYPERLINK("https://wa.me/6282223332212?text=Selamat siang Bapak/Ibu pimpinan ADITYA CIPTA JAYA,%0A%0ASemoga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ALBELINA SEJAHTERA</t>
        </is>
      </c>
      <c r="B4" t="inlineStr">
        <is>
          <t>Kota Bekasi</t>
        </is>
      </c>
      <c r="C4" t="inlineStr">
        <is>
          <t>08561765320</t>
        </is>
      </c>
      <c r="D4" t="inlineStr">
        <is>
          <t>albelina.abs@gmail.com</t>
        </is>
      </c>
      <c r="E4" t="inlineStr">
        <is>
          <t>https://lpjk.pu.go.id/search-badan-usaha-detail/S2pVeVFSVVVnK1hyY1lmNWdIYnp3UT09</t>
        </is>
      </c>
      <c r="F4" t="n">
        <v>1</v>
      </c>
      <c r="G4" t="inlineStr">
        <is>
          <t>BG002</t>
        </is>
      </c>
      <c r="H4" t="inlineStr">
        <is>
          <t>1 Maret 2023</t>
        </is>
      </c>
      <c r="I4" s="2" t="n">
        <v>46307</v>
      </c>
      <c r="J4" t="inlineStr">
        <is>
          <t>Disetujui</t>
        </is>
      </c>
      <c r="K4" t="n">
        <v>90</v>
      </c>
      <c r="L4" t="inlineStr">
        <is>
          <t>12 Oktober 2026</t>
        </is>
      </c>
      <c r="M4" t="inlineStr">
        <is>
          <t>Konstruksi Gedung Perkantoran</t>
        </is>
      </c>
      <c r="N4" t="inlineStr">
        <is>
          <t>K</t>
        </is>
      </c>
      <c r="O4" t="inlineStr">
        <is>
          <t>20230815</t>
        </is>
      </c>
      <c r="P4" t="inlineStr">
        <is>
          <t>Jawa Barat</t>
        </is>
      </c>
      <c r="Q4" s="3">
        <f>HYPERLINK("https://wa.me/628561765320?text=Selamat siang Bapak/Ibu pimpinan ALBELINA SEJAHTERA,%0A%0ASemoga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ANDO METANOIA TEKNOLOGI</t>
        </is>
      </c>
      <c r="B5" t="inlineStr">
        <is>
          <t>Kota Bekasi</t>
        </is>
      </c>
      <c r="C5" t="inlineStr">
        <is>
          <t>087781124045</t>
        </is>
      </c>
      <c r="D5" t="inlineStr">
        <is>
          <t>ando.teknologi@gmail.com</t>
        </is>
      </c>
      <c r="E5" t="inlineStr">
        <is>
          <t>https://lpjk.pu.go.id/search-badan-usaha-detail/UFM5b05zbDN0U1FkNWQ2VWlsQURmdz09</t>
        </is>
      </c>
      <c r="F5" t="n">
        <v>2</v>
      </c>
      <c r="G5" t="inlineStr">
        <is>
          <t>BG005, BG006</t>
        </is>
      </c>
      <c r="H5" t="inlineStr">
        <is>
          <t>20 Januari 2017</t>
        </is>
      </c>
      <c r="I5" s="2" t="n">
        <v>46307</v>
      </c>
      <c r="J5" t="inlineStr">
        <is>
          <t>Disetujui</t>
        </is>
      </c>
      <c r="K5" t="n">
        <v>90</v>
      </c>
      <c r="L5" t="inlineStr">
        <is>
          <t>12 Oktober 2026</t>
        </is>
      </c>
      <c r="M5" t="inlineStr">
        <is>
          <t>Konstruksi Gedung Kesehatan, Konstruksi Gedung Pendidikan</t>
        </is>
      </c>
      <c r="N5" t="inlineStr">
        <is>
          <t>K</t>
        </is>
      </c>
      <c r="O5" t="inlineStr">
        <is>
          <t>20230927</t>
        </is>
      </c>
      <c r="P5" t="inlineStr">
        <is>
          <t>Jawa Barat</t>
        </is>
      </c>
      <c r="Q5" s="3">
        <f>HYPERLINK("https://wa.me/6287781124045?text=Selamat siang Bapak/Ibu pimpinan ANDO METANOIA TEKNOLOGI,%0A%0ASemoga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ARTHA UNGGUL JAYA</t>
        </is>
      </c>
      <c r="B6" t="inlineStr">
        <is>
          <t>Kota Adm. Jakarta Timur</t>
        </is>
      </c>
      <c r="C6" t="inlineStr">
        <is>
          <t>081316317846</t>
        </is>
      </c>
      <c r="D6" t="inlineStr">
        <is>
          <t>pt.arthaungguljaya@gmail.com</t>
        </is>
      </c>
      <c r="E6" t="inlineStr">
        <is>
          <t>https://lpjk.pu.go.id/search-badan-usaha-detail/cjhZKzJ0ZEdRUGkrL2Q4M3U4QmlDZz09</t>
        </is>
      </c>
      <c r="F6" t="n">
        <v>1</v>
      </c>
      <c r="G6" t="inlineStr">
        <is>
          <t>BS016</t>
        </is>
      </c>
      <c r="H6" t="inlineStr">
        <is>
          <t>18 Oktober 2022</t>
        </is>
      </c>
      <c r="I6" s="2" t="n">
        <v>46307</v>
      </c>
      <c r="J6" t="inlineStr">
        <is>
          <t>Disetujui</t>
        </is>
      </c>
      <c r="K6" t="n">
        <v>90</v>
      </c>
      <c r="L6" t="inlineStr">
        <is>
          <t>12 Oktober 2026</t>
        </is>
      </c>
      <c r="M6" t="inlineStr">
        <is>
          <t>Konstruksi Bangunan Sipil Fasilitas Olah Raga</t>
        </is>
      </c>
      <c r="N6" t="inlineStr">
        <is>
          <t>K</t>
        </is>
      </c>
      <c r="O6" t="inlineStr">
        <is>
          <t>20230925</t>
        </is>
      </c>
      <c r="P6" t="inlineStr">
        <is>
          <t>DKI Jakarta</t>
        </is>
      </c>
      <c r="Q6" s="3">
        <f>HYPERLINK("https://wa.me/6281316317846?text=Selamat siang Bapak/Ibu pimpinan ARTHA UNGGUL JAYA,%0A%0ASemoga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ASAKARYA UTAMA</t>
        </is>
      </c>
      <c r="B7" t="inlineStr">
        <is>
          <t>Kota Bekasi</t>
        </is>
      </c>
      <c r="C7" t="inlineStr">
        <is>
          <t>0811883643</t>
        </is>
      </c>
      <c r="D7" t="inlineStr">
        <is>
          <t>asakaryautama@gmail.com</t>
        </is>
      </c>
      <c r="E7" t="inlineStr">
        <is>
          <t>https://lpjk.pu.go.id/search-badan-usaha-detail/S1N3Wll6S3RsdVU0NWJmT0RCOGJFZz09</t>
        </is>
      </c>
      <c r="F7" t="n">
        <v>1</v>
      </c>
      <c r="G7" t="inlineStr">
        <is>
          <t>BG002</t>
        </is>
      </c>
      <c r="H7" t="inlineStr">
        <is>
          <t>23 Oktober 1996</t>
        </is>
      </c>
      <c r="I7" s="2" t="n">
        <v>46307</v>
      </c>
      <c r="J7" t="inlineStr">
        <is>
          <t>Disetujui</t>
        </is>
      </c>
      <c r="K7" t="n">
        <v>90</v>
      </c>
      <c r="L7" t="inlineStr">
        <is>
          <t>12 Oktober 2026</t>
        </is>
      </c>
      <c r="M7" t="inlineStr">
        <is>
          <t>Konstruksi Gedung Perkantoran</t>
        </is>
      </c>
      <c r="N7" t="inlineStr">
        <is>
          <t>K</t>
        </is>
      </c>
      <c r="O7" t="inlineStr">
        <is>
          <t>20231010</t>
        </is>
      </c>
      <c r="P7" t="inlineStr">
        <is>
          <t>Jawa Barat</t>
        </is>
      </c>
      <c r="Q7" s="3">
        <f>HYPERLINK("https://wa.me/62811883643?text=Selamat siang Bapak/Ibu pimpinan ASAKARYA UTAMA,%0A%0ASemoga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BEKJA MAJU SENTOSA</t>
        </is>
      </c>
      <c r="B8" t="inlineStr">
        <is>
          <t>Kota Depok</t>
        </is>
      </c>
      <c r="C8" t="inlineStr">
        <is>
          <t>0818914761</t>
        </is>
      </c>
      <c r="D8" t="inlineStr">
        <is>
          <t>bekjasentosa@gmail.com</t>
        </is>
      </c>
      <c r="E8" t="inlineStr">
        <is>
          <t>https://lpjk.pu.go.id/search-badan-usaha-detail/ZDhaZmpVM215TlNBdVZickUzRkxRZz09</t>
        </is>
      </c>
      <c r="F8" t="n">
        <v>2</v>
      </c>
      <c r="G8" t="inlineStr">
        <is>
          <t>BS001, BS004</t>
        </is>
      </c>
      <c r="H8" t="inlineStr">
        <is>
          <t>26 Juni 2023</t>
        </is>
      </c>
      <c r="I8" s="2" t="n">
        <v>46307</v>
      </c>
      <c r="J8" t="inlineStr">
        <is>
          <t>Disetujui</t>
        </is>
      </c>
      <c r="K8" t="n">
        <v>90</v>
      </c>
      <c r="L8" t="inlineStr">
        <is>
          <t>12 Oktober 2026</t>
        </is>
      </c>
      <c r="M8" t="inlineStr">
        <is>
          <t>Konstruksi Bangunan Sipil Jalan, Konstruksi Jaringan Irigasi dan Drainase</t>
        </is>
      </c>
      <c r="N8" t="inlineStr">
        <is>
          <t>K</t>
        </is>
      </c>
      <c r="O8" t="inlineStr">
        <is>
          <t>20230825, 20231010</t>
        </is>
      </c>
      <c r="P8" t="inlineStr">
        <is>
          <t>Jawa Barat</t>
        </is>
      </c>
      <c r="Q8" s="3">
        <f>HYPERLINK("https://wa.me/62818914761?text=Selamat siang Bapak/Ibu pimpinan BEKJA MAJU SENTOSA,%0A%0ASemoga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BUNGA AGUNG PERKASA</t>
        </is>
      </c>
      <c r="B9" t="inlineStr">
        <is>
          <t>Kab. Bekasi</t>
        </is>
      </c>
      <c r="C9" t="inlineStr">
        <is>
          <t>087776000839</t>
        </is>
      </c>
      <c r="D9" t="inlineStr">
        <is>
          <t>bungaagung.cv@gmail.com</t>
        </is>
      </c>
      <c r="E9" t="inlineStr">
        <is>
          <t>https://lpjk.pu.go.id/search-badan-usaha-detail/Vld0SjF1azVHMjdHcVExbHVGUzNIZz09</t>
        </is>
      </c>
      <c r="F9" t="n">
        <v>3</v>
      </c>
      <c r="G9" t="inlineStr">
        <is>
          <t>BG008, BG009, BS001</t>
        </is>
      </c>
      <c r="H9" t="inlineStr">
        <is>
          <t>5 Mei 2014</t>
        </is>
      </c>
      <c r="I9" s="2" t="n">
        <v>46307</v>
      </c>
      <c r="J9" t="inlineStr">
        <is>
          <t>Disetujui</t>
        </is>
      </c>
      <c r="K9" t="n">
        <v>90</v>
      </c>
      <c r="L9" t="inlineStr">
        <is>
          <t>12 Oktober 2026</t>
        </is>
      </c>
      <c r="M9" t="inlineStr">
        <is>
          <t>Konstruksi Bangunan Sipil Jalan, Konstruksi Gedung Lainnya, Konstruksi Gedung Tempat Hiburan dan Olahraga</t>
        </is>
      </c>
      <c r="N9" t="inlineStr">
        <is>
          <t>K</t>
        </is>
      </c>
      <c r="O9" t="inlineStr">
        <is>
          <t>20231012</t>
        </is>
      </c>
      <c r="P9" t="inlineStr">
        <is>
          <t>Jawa Barat</t>
        </is>
      </c>
      <c r="Q9" s="3">
        <f>HYPERLINK("https://wa.me/6287776000839?text=Selamat siang Bapak/Ibu pimpinan BUNGA AGUNG PERKASA,%0A%0ASemoga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0">
      <c r="A10" t="inlineStr">
        <is>
          <t>BUSTAN JAYA</t>
        </is>
      </c>
      <c r="B10" t="inlineStr">
        <is>
          <t>Kota Bekasi</t>
        </is>
      </c>
      <c r="C10" t="inlineStr">
        <is>
          <t>081291657063</t>
        </is>
      </c>
      <c r="D10" t="inlineStr">
        <is>
          <t>bustanjaya.2023@gmail.com</t>
        </is>
      </c>
      <c r="E10" t="inlineStr">
        <is>
          <t>https://lpjk.pu.go.id/search-badan-usaha-detail/eEtDdUdFWnByS0p4TlpyZDBIV2tMQT09</t>
        </is>
      </c>
      <c r="F10" t="n">
        <v>2</v>
      </c>
      <c r="G10" t="inlineStr">
        <is>
          <t>BS001, BS004</t>
        </is>
      </c>
      <c r="H10" t="inlineStr">
        <is>
          <t>19 Mei 2023</t>
        </is>
      </c>
      <c r="I10" s="2" t="n">
        <v>46307</v>
      </c>
      <c r="J10" t="inlineStr">
        <is>
          <t>Pencabutan</t>
        </is>
      </c>
      <c r="K10" t="n">
        <v>90</v>
      </c>
      <c r="L10" t="inlineStr">
        <is>
          <t>12 Oktober 2026</t>
        </is>
      </c>
      <c r="M10" t="inlineStr">
        <is>
          <t>Konstruksi Bangunan Sipil Jalan, Konstruksi Jaringan Irigasi dan Drainase</t>
        </is>
      </c>
      <c r="N10" t="inlineStr">
        <is>
          <t>K</t>
        </is>
      </c>
      <c r="O10" t="inlineStr">
        <is>
          <t>20231007</t>
        </is>
      </c>
      <c r="P10" t="inlineStr">
        <is>
          <t>Jawa Barat</t>
        </is>
      </c>
      <c r="Q10" s="3">
        <f>HYPERLINK("https://wa.me/6281291657063?text=Selamat siang Bapak/Ibu pimpinan BUSTAN JAYA,%0A%0ASemoga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CANDRA INTECH PERKASA</t>
        </is>
      </c>
      <c r="B11" t="inlineStr">
        <is>
          <t>Kab. Bogor</t>
        </is>
      </c>
      <c r="C11" t="inlineStr">
        <is>
          <t>0218674333</t>
        </is>
      </c>
      <c r="D11" t="inlineStr">
        <is>
          <t>candraintech1@gmail.com</t>
        </is>
      </c>
      <c r="E11" t="inlineStr">
        <is>
          <t>https://lpjk.pu.go.id/search-badan-usaha-detail/eDB4U2pwZGJ1RTJ4MjZJU3h6UHViQT09</t>
        </is>
      </c>
      <c r="F11" t="n">
        <v>1</v>
      </c>
      <c r="G11" t="inlineStr">
        <is>
          <t>BG006</t>
        </is>
      </c>
      <c r="H11" t="inlineStr">
        <is>
          <t>14 Juni 2005</t>
        </is>
      </c>
      <c r="I11" s="2" t="n">
        <v>46307</v>
      </c>
      <c r="J11" t="inlineStr">
        <is>
          <t>Pembekuan</t>
        </is>
      </c>
      <c r="K11" t="n">
        <v>90</v>
      </c>
      <c r="L11" t="inlineStr">
        <is>
          <t>12 Oktober 2026</t>
        </is>
      </c>
      <c r="M11" t="inlineStr">
        <is>
          <t>Konstruksi Gedung Pendidikan</t>
        </is>
      </c>
      <c r="N11" t="inlineStr">
        <is>
          <t>M</t>
        </is>
      </c>
      <c r="O11" t="inlineStr">
        <is>
          <t>20231012</t>
        </is>
      </c>
      <c r="P11" t="inlineStr">
        <is>
          <t>Jawa Barat</t>
        </is>
      </c>
      <c r="Q11" t="inlineStr"/>
    </row>
    <row r="12">
      <c r="A12" t="inlineStr">
        <is>
          <t>FITRI UTAMA MANDIRI</t>
        </is>
      </c>
      <c r="B12" t="inlineStr">
        <is>
          <t>Kota Adm. Jakarta Timur</t>
        </is>
      </c>
      <c r="C12" t="inlineStr">
        <is>
          <t>081293401556</t>
        </is>
      </c>
      <c r="D12" t="inlineStr">
        <is>
          <t>mfitriutama@yahoo.com</t>
        </is>
      </c>
      <c r="E12" t="inlineStr">
        <is>
          <t>https://lpjk.pu.go.id/search-badan-usaha-detail/YVBJMHg4c0FYSVBWR1pVa0IxcXAzQT09</t>
        </is>
      </c>
      <c r="F12" t="n">
        <v>6</v>
      </c>
      <c r="G12" t="inlineStr">
        <is>
          <t>BG001, BG003, BG008</t>
        </is>
      </c>
      <c r="H12" t="inlineStr">
        <is>
          <t>1 Februari 2012</t>
        </is>
      </c>
      <c r="I12" s="2" t="n">
        <v>46307</v>
      </c>
      <c r="J12" t="inlineStr">
        <is>
          <t>Disetujui</t>
        </is>
      </c>
      <c r="K12" t="n">
        <v>90</v>
      </c>
      <c r="L12" t="inlineStr">
        <is>
          <t>12 Oktober 2026</t>
        </is>
      </c>
      <c r="M12" t="inlineStr">
        <is>
          <t>Konstruksi Gedung Hunian, Konstruksi Gedung Industri, Konstruksi Gedung Tempat Hiburan dan Olahraga</t>
        </is>
      </c>
      <c r="N12" t="inlineStr">
        <is>
          <t>K</t>
        </is>
      </c>
      <c r="O12" t="inlineStr">
        <is>
          <t>20231003</t>
        </is>
      </c>
      <c r="P12" t="inlineStr">
        <is>
          <t>DKI Jakarta</t>
        </is>
      </c>
      <c r="Q12" s="3">
        <f>HYPERLINK("https://wa.me/6281293401556?text=Selamat siang Bapak/Ibu pimpinan FITRI UTAMA MANDIRI,%0A%0ASemoga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3">
      <c r="A13" t="inlineStr">
        <is>
          <t>KHUBA PUTRA KONSTRUKSI</t>
        </is>
      </c>
      <c r="B13" t="inlineStr">
        <is>
          <t>Kota Depok</t>
        </is>
      </c>
      <c r="C13" t="inlineStr">
        <is>
          <t>0895380558411</t>
        </is>
      </c>
      <c r="D13" t="inlineStr">
        <is>
          <t>khubakonstruksicv@gmail.com</t>
        </is>
      </c>
      <c r="E13" t="inlineStr">
        <is>
          <t>https://lpjk.pu.go.id/search-badan-usaha-detail/Q0FRUS9SSEQ4dW9HMktvaXFCa3pidz09</t>
        </is>
      </c>
      <c r="F13" t="n">
        <v>1</v>
      </c>
      <c r="G13" t="inlineStr">
        <is>
          <t>BS004</t>
        </is>
      </c>
      <c r="H13" t="inlineStr">
        <is>
          <t>2 Oktober 2023</t>
        </is>
      </c>
      <c r="I13" s="2" t="n">
        <v>46307</v>
      </c>
      <c r="J13" t="inlineStr">
        <is>
          <t>Disetujui</t>
        </is>
      </c>
      <c r="K13" t="n">
        <v>90</v>
      </c>
      <c r="L13" t="inlineStr">
        <is>
          <t>12 Oktober 2026</t>
        </is>
      </c>
      <c r="M13" t="inlineStr">
        <is>
          <t>Konstruksi Jaringan Irigasi dan Drainase</t>
        </is>
      </c>
      <c r="N13" t="inlineStr">
        <is>
          <t>K</t>
        </is>
      </c>
      <c r="O13" t="inlineStr">
        <is>
          <t>20231012</t>
        </is>
      </c>
      <c r="P13" t="inlineStr">
        <is>
          <t>Jawa Barat</t>
        </is>
      </c>
      <c r="Q13" s="3">
        <f>HYPERLINK("https://wa.me/62895380558411?text=Selamat siang Bapak/Ibu pimpinan KHUBA PUTRA KONSTRUKSI,%0A%0ASemoga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4">
      <c r="A14" t="inlineStr">
        <is>
          <t>NAZ JALIL GEMILANG</t>
        </is>
      </c>
      <c r="B14" t="inlineStr">
        <is>
          <t>Kota Bekasi</t>
        </is>
      </c>
      <c r="C14" t="inlineStr">
        <is>
          <t>081381992872</t>
        </is>
      </c>
      <c r="D14" t="inlineStr">
        <is>
          <t>az.jalilgemilang123@gmail.com</t>
        </is>
      </c>
      <c r="E14" t="inlineStr">
        <is>
          <t>https://lpjk.pu.go.id/search-badan-usaha-detail/ekF0dmplNXJuOC9yWWR3VHVMUnU2UT09</t>
        </is>
      </c>
      <c r="F14" t="n">
        <v>1</v>
      </c>
      <c r="G14" t="inlineStr">
        <is>
          <t>BG003</t>
        </is>
      </c>
      <c r="H14" t="inlineStr">
        <is>
          <t>6 Oktober 2023</t>
        </is>
      </c>
      <c r="I14" s="2" t="n">
        <v>46307</v>
      </c>
      <c r="J14" t="inlineStr">
        <is>
          <t>Pencabutan</t>
        </is>
      </c>
      <c r="K14" t="n">
        <v>90</v>
      </c>
      <c r="L14" t="inlineStr">
        <is>
          <t>12 Oktober 2026</t>
        </is>
      </c>
      <c r="M14" t="inlineStr">
        <is>
          <t>Konstruksi Gedung Industri</t>
        </is>
      </c>
      <c r="N14" t="inlineStr">
        <is>
          <t>K</t>
        </is>
      </c>
      <c r="O14" t="inlineStr">
        <is>
          <t>20231011</t>
        </is>
      </c>
      <c r="P14" t="inlineStr">
        <is>
          <t>Jawa Barat</t>
        </is>
      </c>
      <c r="Q14" s="3">
        <f>HYPERLINK("https://wa.me/6281381992872?text=Selamat siang Bapak/Ibu pimpinan NAZ JALIL GEMILANG,%0A%0ASemoga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5">
      <c r="A15" t="inlineStr">
        <is>
          <t>PRATAMA BAYU SANJAYA</t>
        </is>
      </c>
      <c r="B15" t="inlineStr">
        <is>
          <t>Kota Depok</t>
        </is>
      </c>
      <c r="C15" t="inlineStr">
        <is>
          <t>081511755154</t>
        </is>
      </c>
      <c r="D15" t="inlineStr">
        <is>
          <t>pratamabayusanjaya@gmail.com</t>
        </is>
      </c>
      <c r="E15" t="inlineStr">
        <is>
          <t>https://lpjk.pu.go.id/search-badan-usaha-detail/cjhyWHFjSm0yV0EwakdLRm85T1BZUT09</t>
        </is>
      </c>
      <c r="F15" t="n">
        <v>1</v>
      </c>
      <c r="G15" t="inlineStr">
        <is>
          <t>BS007</t>
        </is>
      </c>
      <c r="H15" t="inlineStr">
        <is>
          <t>8 September 2017</t>
        </is>
      </c>
      <c r="I15" s="2" t="n">
        <v>46307</v>
      </c>
      <c r="J15" t="inlineStr">
        <is>
          <t>Disetujui</t>
        </is>
      </c>
      <c r="K15" t="n">
        <v>90</v>
      </c>
      <c r="L15" t="inlineStr">
        <is>
          <t>12 Oktober 2026</t>
        </is>
      </c>
      <c r="M15" t="inlineStr">
        <is>
          <t>Konstruksi Bangunan Sipil Elektrikal</t>
        </is>
      </c>
      <c r="N15" t="inlineStr">
        <is>
          <t>K</t>
        </is>
      </c>
      <c r="O15" t="inlineStr">
        <is>
          <t>20231004</t>
        </is>
      </c>
      <c r="P15" t="inlineStr">
        <is>
          <t>Jawa Barat</t>
        </is>
      </c>
      <c r="Q15" s="3">
        <f>HYPERLINK("https://wa.me/6281511755154?text=Selamat siang Bapak/Ibu pimpinan PRATAMA BAYU SANJAYA,%0A%0ASemoga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6">
      <c r="A16" t="inlineStr">
        <is>
          <t>PUTERA FAHLEVI</t>
        </is>
      </c>
      <c r="B16" t="inlineStr">
        <is>
          <t>Kota Bogor</t>
        </is>
      </c>
      <c r="C16" t="inlineStr">
        <is>
          <t>081399017896</t>
        </is>
      </c>
      <c r="D16" t="inlineStr">
        <is>
          <t>rizkiakbar.legalmp@gmail.com</t>
        </is>
      </c>
      <c r="E16" t="inlineStr">
        <is>
          <t>https://lpjk.pu.go.id/search-badan-usaha-detail/cmdxL0x0NEl4L1NQdUdQeXRXYWRsZz09</t>
        </is>
      </c>
      <c r="F16" t="n">
        <v>1</v>
      </c>
      <c r="G16" t="inlineStr">
        <is>
          <t>BS001</t>
        </is>
      </c>
      <c r="H16" t="inlineStr">
        <is>
          <t>7 Agustus 2023</t>
        </is>
      </c>
      <c r="I16" s="2" t="n">
        <v>46307</v>
      </c>
      <c r="J16" t="inlineStr">
        <is>
          <t>Disetujui</t>
        </is>
      </c>
      <c r="K16" t="n">
        <v>90</v>
      </c>
      <c r="L16" t="inlineStr">
        <is>
          <t>12 Oktober 2026</t>
        </is>
      </c>
      <c r="M16" t="inlineStr">
        <is>
          <t>Konstruksi Bangunan Sipil Jalan</t>
        </is>
      </c>
      <c r="N16" t="inlineStr">
        <is>
          <t>K</t>
        </is>
      </c>
      <c r="O16" t="inlineStr">
        <is>
          <t>20231012</t>
        </is>
      </c>
      <c r="P16" t="inlineStr">
        <is>
          <t>Jawa Barat</t>
        </is>
      </c>
      <c r="Q16" s="3">
        <f>HYPERLINK("https://wa.me/6281399017896?text=Selamat siang Bapak/Ibu pimpinan PUTERA FAHLEVI,%0A%0ASemoga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7">
      <c r="A17" t="inlineStr">
        <is>
          <t>RAYA JAYA ABADI</t>
        </is>
      </c>
      <c r="B17" t="inlineStr">
        <is>
          <t>Kota Bogor</t>
        </is>
      </c>
      <c r="C17" t="inlineStr">
        <is>
          <t>087711036880</t>
        </is>
      </c>
      <c r="D17" t="inlineStr">
        <is>
          <t>radenalpim@gmail.com</t>
        </is>
      </c>
      <c r="E17" t="inlineStr">
        <is>
          <t>https://lpjk.pu.go.id/search-badan-usaha-detail/VzN2bjl3NFVaUzM1Q3hTTGk2VzVpZz09</t>
        </is>
      </c>
      <c r="F17" t="n">
        <v>2</v>
      </c>
      <c r="G17" t="inlineStr">
        <is>
          <t>BG006, BG009</t>
        </is>
      </c>
      <c r="H17" t="inlineStr">
        <is>
          <t>1 Desember 2011</t>
        </is>
      </c>
      <c r="I17" s="2" t="n">
        <v>46307</v>
      </c>
      <c r="J17" t="inlineStr">
        <is>
          <t>Disetujui</t>
        </is>
      </c>
      <c r="K17" t="n">
        <v>90</v>
      </c>
      <c r="L17" t="inlineStr">
        <is>
          <t>12 Oktober 2026</t>
        </is>
      </c>
      <c r="M17" t="inlineStr">
        <is>
          <t>Konstruksi Gedung Lainnya, Konstruksi Gedung Pendidikan</t>
        </is>
      </c>
      <c r="N17" t="inlineStr">
        <is>
          <t>K</t>
        </is>
      </c>
      <c r="O17" t="inlineStr">
        <is>
          <t>20230826, 20231003</t>
        </is>
      </c>
      <c r="P17" t="inlineStr">
        <is>
          <t>Jawa Barat</t>
        </is>
      </c>
      <c r="Q17" s="3">
        <f>HYPERLINK("https://wa.me/6287711036880?text=Selamat siang Bapak/Ibu pimpinan RAYA JAYA ABADI,%0A%0ASemoga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8">
      <c r="A18" t="inlineStr">
        <is>
          <t>WAHANA MITRA ABADI</t>
        </is>
      </c>
      <c r="B18" t="inlineStr">
        <is>
          <t>Kota Adm. Jakarta Timur</t>
        </is>
      </c>
      <c r="C18" t="inlineStr">
        <is>
          <t>087736947363</t>
        </is>
      </c>
      <c r="D18" t="inlineStr">
        <is>
          <t>wahana.mitraabadi@yahoo.co.id</t>
        </is>
      </c>
      <c r="E18" t="inlineStr">
        <is>
          <t>https://lpjk.pu.go.id/search-badan-usaha-detail/VUZXcmdVcUxrTkg1ZUNsSmNMdHZCZz09</t>
        </is>
      </c>
      <c r="F18" t="n">
        <v>1</v>
      </c>
      <c r="G18" t="inlineStr">
        <is>
          <t>BS001</t>
        </is>
      </c>
      <c r="H18" t="inlineStr">
        <is>
          <t>21 Maret 2005</t>
        </is>
      </c>
      <c r="I18" s="2" t="n">
        <v>46307</v>
      </c>
      <c r="J18" t="inlineStr">
        <is>
          <t>Disetujui</t>
        </is>
      </c>
      <c r="K18" t="n">
        <v>90</v>
      </c>
      <c r="L18" t="inlineStr">
        <is>
          <t>12 Oktober 2026</t>
        </is>
      </c>
      <c r="M18" t="inlineStr">
        <is>
          <t>Konstruksi Bangunan Sipil Jalan</t>
        </is>
      </c>
      <c r="N18" t="inlineStr">
        <is>
          <t>K</t>
        </is>
      </c>
      <c r="O18" t="inlineStr">
        <is>
          <t>20230927</t>
        </is>
      </c>
      <c r="P18" t="inlineStr">
        <is>
          <t>DKI Jakarta</t>
        </is>
      </c>
      <c r="Q18" s="3">
        <f>HYPERLINK("https://wa.me/6287736947363?text=Selamat siang Bapak/Ibu pimpinan WAHANA MITRA ABADI,%0A%0ASemoga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9">
      <c r="A19" t="inlineStr">
        <is>
          <t>ZAVARA</t>
        </is>
      </c>
      <c r="B19" t="inlineStr">
        <is>
          <t>Kota Bogor</t>
        </is>
      </c>
      <c r="C19" t="inlineStr">
        <is>
          <t>08131064442</t>
        </is>
      </c>
      <c r="D19" t="inlineStr">
        <is>
          <t>zavara.konsultan@gmail.com</t>
        </is>
      </c>
      <c r="E19" t="inlineStr">
        <is>
          <t>https://lpjk.pu.go.id/search-badan-usaha-detail/SDRFbU91OW1nRFh2b01PVFhRUkZNZz09</t>
        </is>
      </c>
      <c r="F19" t="n">
        <v>1</v>
      </c>
      <c r="G19" t="inlineStr">
        <is>
          <t>RK003</t>
        </is>
      </c>
      <c r="H19" t="inlineStr">
        <is>
          <t>14 Februari 2019</t>
        </is>
      </c>
      <c r="I19" s="2" t="n">
        <v>46307</v>
      </c>
      <c r="J19" t="inlineStr">
        <is>
          <t>Pencabutan</t>
        </is>
      </c>
      <c r="K19" t="n">
        <v>90</v>
      </c>
      <c r="L19" t="inlineStr">
        <is>
          <t>12 Oktober 2026</t>
        </is>
      </c>
      <c r="M19" t="inlineStr">
        <is>
          <t>Jasa Rekayasa Pekerjaan Teknik Sipil Transportasi</t>
        </is>
      </c>
      <c r="N19" t="inlineStr">
        <is>
          <t>K</t>
        </is>
      </c>
      <c r="O19" t="inlineStr">
        <is>
          <t>20231001</t>
        </is>
      </c>
      <c r="P19" t="inlineStr">
        <is>
          <t>Jawa Barat</t>
        </is>
      </c>
      <c r="Q19" s="3">
        <f>HYPERLINK("https://wa.me/628131064442?text=Selamat siang Bapak/Ibu pimpinan ZAVARA,%0A%0ASemoga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20">
      <c r="A20" t="inlineStr">
        <is>
          <t>ABABA PEMERATA</t>
        </is>
      </c>
      <c r="B20" t="inlineStr">
        <is>
          <t>Kab. Bandung</t>
        </is>
      </c>
      <c r="C20" t="inlineStr">
        <is>
          <t>022 2060076</t>
        </is>
      </c>
      <c r="D20" t="inlineStr">
        <is>
          <t>ababapemerata@yahoo.co.id</t>
        </is>
      </c>
      <c r="E20" t="inlineStr">
        <is>
          <t>https://lpjk.pu.go.id/search-badan-usaha-detail/Q0hLOVhyVHk3ZkduU05rL0ZKMmExQT09</t>
        </is>
      </c>
      <c r="F20" t="n">
        <v>1</v>
      </c>
      <c r="G20" t="inlineStr">
        <is>
          <t>BS005</t>
        </is>
      </c>
      <c r="H20" t="inlineStr">
        <is>
          <t>28 September 1987</t>
        </is>
      </c>
      <c r="I20" s="2" t="n">
        <v>46307</v>
      </c>
      <c r="J20" t="inlineStr">
        <is>
          <t>Disetujui</t>
        </is>
      </c>
      <c r="K20" t="n">
        <v>90</v>
      </c>
      <c r="L20" t="inlineStr">
        <is>
          <t>12 Oktober 2026</t>
        </is>
      </c>
      <c r="M20" t="inlineStr">
        <is>
          <t>Konstruksi Bangunan Sipil Pengolahan Air Bersih</t>
        </is>
      </c>
      <c r="N20" t="inlineStr">
        <is>
          <t>K</t>
        </is>
      </c>
      <c r="O20" t="inlineStr">
        <is>
          <t>20231013</t>
        </is>
      </c>
      <c r="P20" t="inlineStr">
        <is>
          <t>Jawa Barat</t>
        </is>
      </c>
      <c r="Q20" t="inlineStr"/>
    </row>
    <row r="21">
      <c r="A21" t="inlineStr">
        <is>
          <t>ABDI DHARMA ABADI</t>
        </is>
      </c>
      <c r="B21" t="inlineStr">
        <is>
          <t>Kab. Bondowoso</t>
        </is>
      </c>
      <c r="C21" t="inlineStr">
        <is>
          <t>085259114499</t>
        </is>
      </c>
      <c r="D21" t="inlineStr">
        <is>
          <t>cvabdidharmaabadi161@gmail.com</t>
        </is>
      </c>
      <c r="E21" t="inlineStr">
        <is>
          <t>https://lpjk.pu.go.id/search-badan-usaha-detail/cGp3OTE5SjNuWUhEWCtDelZlS2c3dz09</t>
        </is>
      </c>
      <c r="F21" t="n">
        <v>1</v>
      </c>
      <c r="G21" t="inlineStr">
        <is>
          <t>BS001</t>
        </is>
      </c>
      <c r="H21" t="inlineStr">
        <is>
          <t>27 Juli 2002</t>
        </is>
      </c>
      <c r="I21" s="2" t="n">
        <v>46307</v>
      </c>
      <c r="J21" t="inlineStr">
        <is>
          <t>Disetujui</t>
        </is>
      </c>
      <c r="K21" t="n">
        <v>90</v>
      </c>
      <c r="L21" t="inlineStr">
        <is>
          <t>12 Oktober 2026</t>
        </is>
      </c>
      <c r="M21" t="inlineStr">
        <is>
          <t>Konstruksi Bangunan Sipil Jalan</t>
        </is>
      </c>
      <c r="N21" t="inlineStr">
        <is>
          <t>K</t>
        </is>
      </c>
      <c r="O21" t="inlineStr">
        <is>
          <t>20231009</t>
        </is>
      </c>
      <c r="P21" t="inlineStr">
        <is>
          <t>Jawa Timur</t>
        </is>
      </c>
      <c r="Q21" t="inlineStr"/>
    </row>
    <row r="22">
      <c r="A22" t="inlineStr">
        <is>
          <t>ADE MARENTA</t>
        </is>
      </c>
      <c r="B22" t="inlineStr">
        <is>
          <t>Kota Palu</t>
        </is>
      </c>
      <c r="C22" t="inlineStr">
        <is>
          <t>081245308941</t>
        </is>
      </c>
      <c r="D22" t="inlineStr">
        <is>
          <t>ramamonggo223@gmail.com</t>
        </is>
      </c>
      <c r="E22" t="inlineStr">
        <is>
          <t>https://lpjk.pu.go.id/search-badan-usaha-detail/TzFDdzZpN3lpNlQxbmZhM1JNaWdIQT09</t>
        </is>
      </c>
      <c r="F22" t="n">
        <v>4</v>
      </c>
      <c r="G22" t="inlineStr">
        <is>
          <t>BG001, BG002, BG004, BG006</t>
        </is>
      </c>
      <c r="H22" t="inlineStr">
        <is>
          <t>16 Januari 2019</t>
        </is>
      </c>
      <c r="I22" s="2" t="n">
        <v>46307</v>
      </c>
      <c r="J22" t="inlineStr">
        <is>
          <t>Disetujui</t>
        </is>
      </c>
      <c r="K22" t="n">
        <v>90</v>
      </c>
      <c r="L22" t="inlineStr">
        <is>
          <t>12 Oktober 2026</t>
        </is>
      </c>
      <c r="M22" t="inlineStr">
        <is>
          <t>Konstruksi Gedung Hunian, Konstruksi Gedung Pendidikan, Konstruksi Gedung Perbelanjaan, Konstruksi Gedung Perkantoran</t>
        </is>
      </c>
      <c r="N22" t="inlineStr">
        <is>
          <t>K</t>
        </is>
      </c>
      <c r="O22" t="inlineStr">
        <is>
          <t>20231010, 20231012</t>
        </is>
      </c>
      <c r="P22" t="inlineStr">
        <is>
          <t>Sulawesi Tengah</t>
        </is>
      </c>
      <c r="Q22" t="inlineStr"/>
    </row>
    <row r="23">
      <c r="A23" t="inlineStr">
        <is>
          <t>ADHID JOMPHY</t>
        </is>
      </c>
      <c r="B23" t="inlineStr">
        <is>
          <t>Kab. Muna</t>
        </is>
      </c>
      <c r="C23" t="inlineStr">
        <is>
          <t>081341662471</t>
        </is>
      </c>
      <c r="D23" t="inlineStr">
        <is>
          <t>cv.adhidjomphy@gmail.com</t>
        </is>
      </c>
      <c r="E23" t="inlineStr">
        <is>
          <t>https://lpjk.pu.go.id/search-badan-usaha-detail/SUhUaituRmtlTGhQbmllUU5KNjY3UT09</t>
        </is>
      </c>
      <c r="F23" t="n">
        <v>1</v>
      </c>
      <c r="G23" t="inlineStr">
        <is>
          <t>BG009</t>
        </is>
      </c>
      <c r="H23" t="inlineStr">
        <is>
          <t>9 Februari 2017</t>
        </is>
      </c>
      <c r="I23" s="2" t="n">
        <v>46307</v>
      </c>
      <c r="J23" t="inlineStr">
        <is>
          <t>Disetujui</t>
        </is>
      </c>
      <c r="K23" t="n">
        <v>90</v>
      </c>
      <c r="L23" t="inlineStr">
        <is>
          <t>12 Oktober 2026</t>
        </is>
      </c>
      <c r="M23" t="inlineStr">
        <is>
          <t>Konstruksi Gedung Lainnya</t>
        </is>
      </c>
      <c r="N23" t="inlineStr">
        <is>
          <t>K</t>
        </is>
      </c>
      <c r="O23" t="inlineStr">
        <is>
          <t>20231004</t>
        </is>
      </c>
      <c r="P23" t="inlineStr">
        <is>
          <t>Sulawesi Tenggara</t>
        </is>
      </c>
      <c r="Q23" t="inlineStr"/>
    </row>
    <row r="24">
      <c r="A24" t="inlineStr">
        <is>
          <t>AIR LANGGA</t>
        </is>
      </c>
      <c r="B24" t="inlineStr">
        <is>
          <t>Kab. Pemalang</t>
        </is>
      </c>
      <c r="C24" t="inlineStr">
        <is>
          <t>-</t>
        </is>
      </c>
      <c r="D24" t="inlineStr">
        <is>
          <t>airlanggacv3@gmail.com</t>
        </is>
      </c>
      <c r="E24" t="inlineStr">
        <is>
          <t>https://lpjk.pu.go.id/search-badan-usaha-detail/MWdzOC9yT2w3OEMyWWVtbHZxVHAzQT09</t>
        </is>
      </c>
      <c r="F24" t="n">
        <v>5</v>
      </c>
      <c r="G24" t="inlineStr">
        <is>
          <t>BG002, BG005, BG009, BS001, BS004</t>
        </is>
      </c>
      <c r="H24" t="inlineStr">
        <is>
          <t>24 Desember 2002</t>
        </is>
      </c>
      <c r="I24" s="2" t="n">
        <v>46307</v>
      </c>
      <c r="J24" t="inlineStr">
        <is>
          <t>Pencabutan</t>
        </is>
      </c>
      <c r="K24" t="n">
        <v>90</v>
      </c>
      <c r="L24" t="inlineStr">
        <is>
          <t>12 Oktober 2026</t>
        </is>
      </c>
      <c r="M24" t="inlineStr">
        <is>
          <t>Konstruksi Bangunan Sipil Jalan, Konstruksi Gedung Kesehatan, Konstruksi Gedung Lainnya, Konstruksi Gedung Perkantoran, Konstruksi Jaringan Irigasi dan Drainase</t>
        </is>
      </c>
      <c r="N24" t="inlineStr">
        <is>
          <t>K</t>
        </is>
      </c>
      <c r="O24" t="inlineStr">
        <is>
          <t>20231009, 20231010</t>
        </is>
      </c>
      <c r="P24" t="inlineStr">
        <is>
          <t>Jawa Tengah</t>
        </is>
      </c>
      <c r="Q24" t="inlineStr"/>
    </row>
    <row r="25">
      <c r="A25" t="inlineStr">
        <is>
          <t>AKBAR JAYA KONSULTAN</t>
        </is>
      </c>
      <c r="B25" t="inlineStr">
        <is>
          <t>Kota Bandar Lampung</t>
        </is>
      </c>
      <c r="C25" t="inlineStr">
        <is>
          <t>081278308307</t>
        </is>
      </c>
      <c r="D25" t="inlineStr">
        <is>
          <t>akbarjayaconsultant@yahoo.co.id</t>
        </is>
      </c>
      <c r="E25" t="inlineStr">
        <is>
          <t>https://lpjk.pu.go.id/search-badan-usaha-detail/TlVGTHYyci9DWHFNQkJaWU5YRE5Hdz09</t>
        </is>
      </c>
      <c r="F25" t="n">
        <v>2</v>
      </c>
      <c r="G25" t="inlineStr">
        <is>
          <t>RK001, RK002</t>
        </is>
      </c>
      <c r="H25" t="inlineStr">
        <is>
          <t>22 September 1998</t>
        </is>
      </c>
      <c r="I25" s="2" t="n">
        <v>46307</v>
      </c>
      <c r="J25" t="inlineStr">
        <is>
          <t>Disetujui</t>
        </is>
      </c>
      <c r="K25" t="n">
        <v>90</v>
      </c>
      <c r="L25" t="inlineStr">
        <is>
          <t>12 Oktober 2026</t>
        </is>
      </c>
      <c r="M25" t="inlineStr">
        <is>
          <t>Jasa Rekayasa Konstruksi Bangunan Gedung Hunian dan Non Hunian, Jasa Rekayasa Pekerjaan Teknik Sipil Sumber Daya Air</t>
        </is>
      </c>
      <c r="N25" t="inlineStr">
        <is>
          <t>K, M</t>
        </is>
      </c>
      <c r="O25" t="inlineStr">
        <is>
          <t>20231006</t>
        </is>
      </c>
      <c r="P25" t="inlineStr">
        <is>
          <t>Lampung</t>
        </is>
      </c>
      <c r="Q25" t="inlineStr"/>
    </row>
    <row r="26">
      <c r="A26" t="inlineStr">
        <is>
          <t>ALAM VERTIKAL TEKNIK</t>
        </is>
      </c>
      <c r="B26" t="inlineStr">
        <is>
          <t>Kota Surabaya</t>
        </is>
      </c>
      <c r="C26" t="inlineStr">
        <is>
          <t>085731716697</t>
        </is>
      </c>
      <c r="D26" t="inlineStr">
        <is>
          <t>alamvertikal.teknik@yahoo.com</t>
        </is>
      </c>
      <c r="E26" t="inlineStr">
        <is>
          <t>https://lpjk.pu.go.id/search-badan-usaha-detail/NG16MHY0VHNQWnpqVnV5K3crc1hhdz09</t>
        </is>
      </c>
      <c r="F26" t="n">
        <v>1</v>
      </c>
      <c r="G26" t="inlineStr">
        <is>
          <t>BS007</t>
        </is>
      </c>
      <c r="H26" t="inlineStr">
        <is>
          <t>19 Oktober 2022</t>
        </is>
      </c>
      <c r="I26" s="2" t="n">
        <v>46307</v>
      </c>
      <c r="J26" t="inlineStr">
        <is>
          <t>Disetujui</t>
        </is>
      </c>
      <c r="K26" t="n">
        <v>90</v>
      </c>
      <c r="L26" t="inlineStr">
        <is>
          <t>12 Oktober 2026</t>
        </is>
      </c>
      <c r="M26" t="inlineStr">
        <is>
          <t>Konstruksi Bangunan Sipil Elektrikal</t>
        </is>
      </c>
      <c r="N26" t="inlineStr">
        <is>
          <t>K</t>
        </is>
      </c>
      <c r="O26" t="inlineStr">
        <is>
          <t>20231013</t>
        </is>
      </c>
      <c r="P26" t="inlineStr">
        <is>
          <t>Jawa Timur</t>
        </is>
      </c>
      <c r="Q26" t="inlineStr"/>
    </row>
    <row r="27">
      <c r="A27" t="inlineStr">
        <is>
          <t>ALOCITA MANDIRI</t>
        </is>
      </c>
      <c r="B27" t="inlineStr">
        <is>
          <t>Kota Bandung</t>
        </is>
      </c>
      <c r="C27" t="inlineStr">
        <is>
          <t>022 87307478</t>
        </is>
      </c>
      <c r="D27" t="inlineStr">
        <is>
          <t>alocitamandiri19@gmail.com</t>
        </is>
      </c>
      <c r="E27" t="inlineStr">
        <is>
          <t>https://lpjk.pu.go.id/search-badan-usaha-detail/STV6eW1oSCtuYUhuL21MbVV2MXB1UT09</t>
        </is>
      </c>
      <c r="F27" t="n">
        <v>2</v>
      </c>
      <c r="G27" t="inlineStr">
        <is>
          <t>RK002</t>
        </is>
      </c>
      <c r="H27" t="inlineStr">
        <is>
          <t>2 Maret 1992</t>
        </is>
      </c>
      <c r="I27" s="2" t="n">
        <v>46307</v>
      </c>
      <c r="J27" t="inlineStr">
        <is>
          <t>Disetujui</t>
        </is>
      </c>
      <c r="K27" t="n">
        <v>90</v>
      </c>
      <c r="L27" t="inlineStr">
        <is>
          <t>12 Oktober 2026</t>
        </is>
      </c>
      <c r="M27" t="inlineStr">
        <is>
          <t>Jasa Rekayasa Pekerjaan Teknik Sipil Sumber Daya Air</t>
        </is>
      </c>
      <c r="N27" t="inlineStr">
        <is>
          <t>K</t>
        </is>
      </c>
      <c r="O27" t="inlineStr">
        <is>
          <t>20220726</t>
        </is>
      </c>
      <c r="P27" t="inlineStr">
        <is>
          <t>Jawa Barat</t>
        </is>
      </c>
      <c r="Q27" t="inlineStr"/>
    </row>
    <row r="28">
      <c r="A28" t="inlineStr">
        <is>
          <t>AMANAH BERSAMA SEJAHTERA</t>
        </is>
      </c>
      <c r="B28" t="inlineStr">
        <is>
          <t>Kab. Musi Rawas Utara</t>
        </is>
      </c>
      <c r="C28" t="inlineStr">
        <is>
          <t>085216079380</t>
        </is>
      </c>
      <c r="D28" t="inlineStr">
        <is>
          <t>anggimaurie@gmail.com</t>
        </is>
      </c>
      <c r="E28" t="inlineStr">
        <is>
          <t>https://lpjk.pu.go.id/search-badan-usaha-detail/cmtadHExK3dVWWN4TEQwb3dYTXZBUT09</t>
        </is>
      </c>
      <c r="F28" t="n">
        <v>3</v>
      </c>
      <c r="G28" t="inlineStr">
        <is>
          <t>BG006</t>
        </is>
      </c>
      <c r="H28" t="inlineStr">
        <is>
          <t>15 Desember 2017</t>
        </is>
      </c>
      <c r="I28" s="2" t="n">
        <v>46307</v>
      </c>
      <c r="J28" t="inlineStr">
        <is>
          <t>Disetujui</t>
        </is>
      </c>
      <c r="K28" t="n">
        <v>90</v>
      </c>
      <c r="L28" t="inlineStr">
        <is>
          <t>12 Oktober 2026</t>
        </is>
      </c>
      <c r="M28" t="inlineStr">
        <is>
          <t>Konstruksi Gedung Pendidikan</t>
        </is>
      </c>
      <c r="N28" t="inlineStr">
        <is>
          <t>K</t>
        </is>
      </c>
      <c r="O28" t="inlineStr">
        <is>
          <t>20231012</t>
        </is>
      </c>
      <c r="P28" t="inlineStr">
        <is>
          <t>Sumatera Selatan</t>
        </is>
      </c>
      <c r="Q28" t="inlineStr"/>
    </row>
    <row r="29">
      <c r="A29" t="inlineStr">
        <is>
          <t>AMBARA KARYA</t>
        </is>
      </c>
      <c r="B29" t="inlineStr">
        <is>
          <t>Kab. Kutai Kartanegara</t>
        </is>
      </c>
      <c r="C29" t="inlineStr">
        <is>
          <t>081347490071</t>
        </is>
      </c>
      <c r="D29" t="inlineStr">
        <is>
          <t>cv.ambarakarya.samboja@gmail.com</t>
        </is>
      </c>
      <c r="E29" t="inlineStr">
        <is>
          <t>https://lpjk.pu.go.id/search-badan-usaha-detail/dXkvQ1NsZFpLRU5tQ2Yvd0dQdklvUT09</t>
        </is>
      </c>
      <c r="F29" t="n">
        <v>1</v>
      </c>
      <c r="G29" t="inlineStr">
        <is>
          <t>BG006</t>
        </is>
      </c>
      <c r="H29" t="inlineStr">
        <is>
          <t>14 Februari 2008</t>
        </is>
      </c>
      <c r="I29" s="2" t="n">
        <v>46307</v>
      </c>
      <c r="J29" t="inlineStr">
        <is>
          <t>Pencabutan</t>
        </is>
      </c>
      <c r="K29" t="n">
        <v>90</v>
      </c>
      <c r="L29" t="inlineStr">
        <is>
          <t>12 Oktober 2026</t>
        </is>
      </c>
      <c r="M29" t="inlineStr">
        <is>
          <t>Konstruksi Gedung Pendidikan</t>
        </is>
      </c>
      <c r="N29" t="inlineStr">
        <is>
          <t>K</t>
        </is>
      </c>
      <c r="O29" t="inlineStr">
        <is>
          <t>20231012</t>
        </is>
      </c>
      <c r="P29" t="inlineStr">
        <is>
          <t>Kalimantan Timur</t>
        </is>
      </c>
      <c r="Q29" t="inlineStr"/>
    </row>
    <row r="30">
      <c r="A30" t="inlineStr">
        <is>
          <t>ANDI WHINATA</t>
        </is>
      </c>
      <c r="B30" t="inlineStr">
        <is>
          <t>Kab. Jember</t>
        </is>
      </c>
      <c r="C30" t="inlineStr">
        <is>
          <t>082330201171</t>
        </is>
      </c>
      <c r="D30" t="inlineStr">
        <is>
          <t>cvandiwhinata@yahoo.co.id</t>
        </is>
      </c>
      <c r="E30" t="inlineStr">
        <is>
          <t>https://lpjk.pu.go.id/search-badan-usaha-detail/R1B0Wk41enFDN01IVkgxRGFyMStCZz09</t>
        </is>
      </c>
      <c r="F30" t="n">
        <v>1</v>
      </c>
      <c r="G30" t="inlineStr">
        <is>
          <t>BS005</t>
        </is>
      </c>
      <c r="H30" t="inlineStr">
        <is>
          <t>29 Juli 1996</t>
        </is>
      </c>
      <c r="I30" s="2" t="n">
        <v>46307</v>
      </c>
      <c r="J30" t="inlineStr">
        <is>
          <t>Pencabutan</t>
        </is>
      </c>
      <c r="K30" t="n">
        <v>90</v>
      </c>
      <c r="L30" t="inlineStr">
        <is>
          <t>12 Oktober 2026</t>
        </is>
      </c>
      <c r="M30" t="inlineStr">
        <is>
          <t>Konstruksi Bangunan Sipil Pengolahan Air Bersih</t>
        </is>
      </c>
      <c r="N30" t="inlineStr">
        <is>
          <t>K</t>
        </is>
      </c>
      <c r="O30" t="inlineStr">
        <is>
          <t>20231009</t>
        </is>
      </c>
      <c r="P30" t="inlineStr">
        <is>
          <t>Jawa Timur</t>
        </is>
      </c>
      <c r="Q30" t="inlineStr"/>
    </row>
    <row r="31">
      <c r="A31" t="inlineStr">
        <is>
          <t>ANDIKA SEJAHTERA</t>
        </is>
      </c>
      <c r="B31" t="inlineStr">
        <is>
          <t>Kota Palembang</t>
        </is>
      </c>
      <c r="C31" t="inlineStr">
        <is>
          <t>-</t>
        </is>
      </c>
      <c r="D31" t="inlineStr">
        <is>
          <t>andika_sejahtera@ymail.com</t>
        </is>
      </c>
      <c r="E31" t="inlineStr">
        <is>
          <t>https://lpjk.pu.go.id/search-badan-usaha-detail/NGtuY1VYcmV4eWFXcmR1a25qdU5qdz09</t>
        </is>
      </c>
      <c r="F31" t="n">
        <v>4</v>
      </c>
      <c r="G31" t="inlineStr">
        <is>
          <t>BS001, BS004</t>
        </is>
      </c>
      <c r="H31" t="inlineStr">
        <is>
          <t>18 Juli 1996</t>
        </is>
      </c>
      <c r="I31" s="2" t="n">
        <v>46307</v>
      </c>
      <c r="J31" t="inlineStr">
        <is>
          <t>Disetujui</t>
        </is>
      </c>
      <c r="K31" t="n">
        <v>90</v>
      </c>
      <c r="L31" t="inlineStr">
        <is>
          <t>12 Oktober 2026</t>
        </is>
      </c>
      <c r="M31" t="inlineStr">
        <is>
          <t>Konstruksi Bangunan Sipil Jalan, Konstruksi Jaringan Irigasi dan Drainase</t>
        </is>
      </c>
      <c r="N31" t="inlineStr">
        <is>
          <t>K</t>
        </is>
      </c>
      <c r="O31" t="inlineStr">
        <is>
          <t>20231007, 20231009</t>
        </is>
      </c>
      <c r="P31" t="inlineStr">
        <is>
          <t>Sumatera Selatan</t>
        </is>
      </c>
      <c r="Q31" t="inlineStr"/>
    </row>
    <row r="32">
      <c r="A32" t="inlineStr">
        <is>
          <t>ANGGA PUTRA</t>
        </is>
      </c>
      <c r="B32" t="inlineStr">
        <is>
          <t>Kota Surabaya</t>
        </is>
      </c>
      <c r="C32" t="inlineStr">
        <is>
          <t>0315939193</t>
        </is>
      </c>
      <c r="D32" t="inlineStr">
        <is>
          <t>ptanggaputra2020@gmail.com</t>
        </is>
      </c>
      <c r="E32" t="inlineStr">
        <is>
          <t>https://lpjk.pu.go.id/search-badan-usaha-detail/eEZoQUYyQ3VZOC8rTFFJU1FFekg5UT09</t>
        </is>
      </c>
      <c r="F32" t="n">
        <v>1</v>
      </c>
      <c r="G32" t="inlineStr">
        <is>
          <t>BG009</t>
        </is>
      </c>
      <c r="H32" t="inlineStr">
        <is>
          <t>12 Maret 2004</t>
        </is>
      </c>
      <c r="I32" s="2" t="n">
        <v>46307</v>
      </c>
      <c r="J32" t="inlineStr">
        <is>
          <t>Pencabutan</t>
        </is>
      </c>
      <c r="K32" t="n">
        <v>90</v>
      </c>
      <c r="L32" t="inlineStr">
        <is>
          <t>12 Oktober 2026</t>
        </is>
      </c>
      <c r="M32" t="inlineStr">
        <is>
          <t>Konstruksi Gedung Lainnya</t>
        </is>
      </c>
      <c r="N32" t="inlineStr">
        <is>
          <t>K</t>
        </is>
      </c>
      <c r="O32" t="inlineStr">
        <is>
          <t>20231012</t>
        </is>
      </c>
      <c r="P32" t="inlineStr">
        <is>
          <t>Jawa Timur</t>
        </is>
      </c>
      <c r="Q32" t="inlineStr"/>
    </row>
    <row r="33">
      <c r="A33" t="inlineStr">
        <is>
          <t>ANNUR PUTRA</t>
        </is>
      </c>
      <c r="B33" t="inlineStr">
        <is>
          <t>Kab. Kutai Kartanegara</t>
        </is>
      </c>
      <c r="C33" t="inlineStr">
        <is>
          <t>08115999759</t>
        </is>
      </c>
      <c r="D33" t="inlineStr">
        <is>
          <t>annur_putra75@yahoo.com</t>
        </is>
      </c>
      <c r="E33" t="inlineStr">
        <is>
          <t>https://lpjk.pu.go.id/search-badan-usaha-detail/bU1DeDhWaFRlOVVoQjArdWVneS94dz09</t>
        </is>
      </c>
      <c r="F33" t="n">
        <v>1</v>
      </c>
      <c r="G33" t="inlineStr">
        <is>
          <t>BS001</t>
        </is>
      </c>
      <c r="H33" t="inlineStr">
        <is>
          <t>15 Januari 2010</t>
        </is>
      </c>
      <c r="I33" s="2" t="n">
        <v>46307</v>
      </c>
      <c r="J33" t="inlineStr">
        <is>
          <t>Disetujui</t>
        </is>
      </c>
      <c r="K33" t="n">
        <v>90</v>
      </c>
      <c r="L33" t="inlineStr">
        <is>
          <t>12 Oktober 2026</t>
        </is>
      </c>
      <c r="M33" t="inlineStr">
        <is>
          <t>Konstruksi Bangunan Sipil Jalan</t>
        </is>
      </c>
      <c r="N33" t="inlineStr">
        <is>
          <t>K</t>
        </is>
      </c>
      <c r="O33" t="inlineStr">
        <is>
          <t>20231012</t>
        </is>
      </c>
      <c r="P33" t="inlineStr">
        <is>
          <t>Kalimantan Timur</t>
        </is>
      </c>
      <c r="Q33" t="inlineStr"/>
    </row>
    <row r="34">
      <c r="A34" t="inlineStr">
        <is>
          <t>ANTON SELAMET JAYA</t>
        </is>
      </c>
      <c r="B34" t="inlineStr">
        <is>
          <t>Kab. Sumedang</t>
        </is>
      </c>
      <c r="C34" t="inlineStr">
        <is>
          <t>081320662054</t>
        </is>
      </c>
      <c r="D34" t="inlineStr">
        <is>
          <t>cv.antonselametjaya@gmail.com</t>
        </is>
      </c>
      <c r="E34" t="inlineStr">
        <is>
          <t>https://lpjk.pu.go.id/search-badan-usaha-detail/RzRmQzY0bU1Uazh4LzVOMHFlNFd5UT09</t>
        </is>
      </c>
      <c r="F34" t="n">
        <v>1</v>
      </c>
      <c r="G34" t="inlineStr">
        <is>
          <t>BG009</t>
        </is>
      </c>
      <c r="H34" t="inlineStr">
        <is>
          <t>22 Juni 2012</t>
        </is>
      </c>
      <c r="I34" s="2" t="n">
        <v>46307</v>
      </c>
      <c r="J34" t="inlineStr">
        <is>
          <t>Disetujui</t>
        </is>
      </c>
      <c r="K34" t="n">
        <v>90</v>
      </c>
      <c r="L34" t="inlineStr">
        <is>
          <t>12 Oktober 2026</t>
        </is>
      </c>
      <c r="M34" t="inlineStr">
        <is>
          <t>Konstruksi Gedung Lainnya</t>
        </is>
      </c>
      <c r="N34" t="inlineStr">
        <is>
          <t>K</t>
        </is>
      </c>
      <c r="O34" t="inlineStr">
        <is>
          <t>20230522</t>
        </is>
      </c>
      <c r="P34" t="inlineStr">
        <is>
          <t>Jawa Barat</t>
        </is>
      </c>
      <c r="Q34" t="inlineStr"/>
    </row>
    <row r="35">
      <c r="A35" t="inlineStr">
        <is>
          <t>ANUGERAH ALAM KARYA</t>
        </is>
      </c>
      <c r="B35" t="inlineStr">
        <is>
          <t>Kota Palembang</t>
        </is>
      </c>
      <c r="C35" t="inlineStr">
        <is>
          <t>082180002284</t>
        </is>
      </c>
      <c r="D35" t="inlineStr">
        <is>
          <t>cvanugerahalamkarya@yahoo.com</t>
        </is>
      </c>
      <c r="E35" t="inlineStr">
        <is>
          <t>https://lpjk.pu.go.id/search-badan-usaha-detail/UUwzRDBUaWZXak5BazY5QkVQNEt5UT09</t>
        </is>
      </c>
      <c r="F35" t="n">
        <v>1</v>
      </c>
      <c r="G35" t="inlineStr">
        <is>
          <t>BS004</t>
        </is>
      </c>
      <c r="H35" t="inlineStr">
        <is>
          <t>6 September 2023</t>
        </is>
      </c>
      <c r="I35" s="2" t="n">
        <v>46307</v>
      </c>
      <c r="J35" t="inlineStr">
        <is>
          <t>Disetujui</t>
        </is>
      </c>
      <c r="K35" t="n">
        <v>90</v>
      </c>
      <c r="L35" t="inlineStr">
        <is>
          <t>12 Oktober 2026</t>
        </is>
      </c>
      <c r="M35" t="inlineStr">
        <is>
          <t>Konstruksi Jaringan Irigasi dan Drainase</t>
        </is>
      </c>
      <c r="N35" t="inlineStr">
        <is>
          <t>K</t>
        </is>
      </c>
      <c r="O35" t="inlineStr">
        <is>
          <t>20231006</t>
        </is>
      </c>
      <c r="P35" t="inlineStr">
        <is>
          <t>Sumatera Selatan</t>
        </is>
      </c>
      <c r="Q35" t="inlineStr"/>
    </row>
    <row r="36">
      <c r="A36" t="inlineStr">
        <is>
          <t>ARGA PILAR INDONESIA</t>
        </is>
      </c>
      <c r="B36" t="inlineStr">
        <is>
          <t>Kota Bandung</t>
        </is>
      </c>
      <c r="C36" t="inlineStr">
        <is>
          <t>08112104558</t>
        </is>
      </c>
      <c r="D36" t="inlineStr">
        <is>
          <t>pt.argapilarindonesia@gmail.com</t>
        </is>
      </c>
      <c r="E36" t="inlineStr">
        <is>
          <t>https://lpjk.pu.go.id/search-badan-usaha-detail/am53RU5MeW5hL1Zodm96STFCQVI1Zz09</t>
        </is>
      </c>
      <c r="F36" t="n">
        <v>5</v>
      </c>
      <c r="G36" t="inlineStr">
        <is>
          <t>BG002, BG004, BG005, BG006, BG009</t>
        </is>
      </c>
      <c r="H36" t="inlineStr">
        <is>
          <t>27 Juli 2023</t>
        </is>
      </c>
      <c r="I36" s="2" t="n">
        <v>46307</v>
      </c>
      <c r="J36" t="inlineStr">
        <is>
          <t>Disetujui</t>
        </is>
      </c>
      <c r="K36" t="n">
        <v>90</v>
      </c>
      <c r="L36" t="inlineStr">
        <is>
          <t>12 Oktober 2026</t>
        </is>
      </c>
      <c r="M36" t="inlineStr">
        <is>
          <t>Konstruksi Gedung Kesehatan, Konstruksi Gedung Lainnya, Konstruksi Gedung Pendidikan, Konstruksi Gedung Perbelanjaan, Konstruksi Gedung Perkantoran</t>
        </is>
      </c>
      <c r="N36" t="inlineStr">
        <is>
          <t>K</t>
        </is>
      </c>
      <c r="O36" t="inlineStr">
        <is>
          <t>20231012, 20231013</t>
        </is>
      </c>
      <c r="P36" t="inlineStr">
        <is>
          <t>Jawa Barat</t>
        </is>
      </c>
      <c r="Q36" t="inlineStr"/>
    </row>
    <row r="37">
      <c r="A37" t="inlineStr">
        <is>
          <t>ARIA BERSAUDARA GROUP</t>
        </is>
      </c>
      <c r="B37" t="inlineStr">
        <is>
          <t>Kab. Ogan Ilir</t>
        </is>
      </c>
      <c r="C37" t="inlineStr">
        <is>
          <t>08154036647</t>
        </is>
      </c>
      <c r="D37" t="inlineStr">
        <is>
          <t>cv.ariabersaudaragroup@gmail.com</t>
        </is>
      </c>
      <c r="E37" t="inlineStr">
        <is>
          <t>https://lpjk.pu.go.id/search-badan-usaha-detail/L3Vsd3NpZ2Q1aGxRczJ6c2UzZk5SUT09</t>
        </is>
      </c>
      <c r="F37" t="n">
        <v>1</v>
      </c>
      <c r="G37" t="inlineStr">
        <is>
          <t>BG009</t>
        </is>
      </c>
      <c r="H37" t="inlineStr">
        <is>
          <t>31 Mei 2023</t>
        </is>
      </c>
      <c r="I37" s="2" t="n">
        <v>46307</v>
      </c>
      <c r="J37" t="inlineStr">
        <is>
          <t>Disetujui</t>
        </is>
      </c>
      <c r="K37" t="n">
        <v>90</v>
      </c>
      <c r="L37" t="inlineStr">
        <is>
          <t>12 Oktober 2026</t>
        </is>
      </c>
      <c r="M37" t="inlineStr">
        <is>
          <t>Konstruksi Gedung Lainnya</t>
        </is>
      </c>
      <c r="N37" t="inlineStr">
        <is>
          <t>K</t>
        </is>
      </c>
      <c r="O37" t="inlineStr">
        <is>
          <t>20231011</t>
        </is>
      </c>
      <c r="P37" t="inlineStr">
        <is>
          <t>Sumatera Selatan</t>
        </is>
      </c>
      <c r="Q37" t="inlineStr"/>
    </row>
    <row r="38">
      <c r="A38" t="inlineStr">
        <is>
          <t>ARKANA REZTIANA PROPERTI</t>
        </is>
      </c>
      <c r="B38" t="inlineStr">
        <is>
          <t>Kota Bandung</t>
        </is>
      </c>
      <c r="C38" t="inlineStr">
        <is>
          <t>087825284851</t>
        </is>
      </c>
      <c r="D38" t="inlineStr">
        <is>
          <t>arkanareztiana.pt@gmail.com</t>
        </is>
      </c>
      <c r="E38" t="inlineStr">
        <is>
          <t>https://lpjk.pu.go.id/search-badan-usaha-detail/WjJZQSt4QmVsSG9DZW8zQmppQStudz09</t>
        </is>
      </c>
      <c r="F38" t="n">
        <v>6</v>
      </c>
      <c r="G38" t="inlineStr">
        <is>
          <t>BG001, BG002</t>
        </is>
      </c>
      <c r="H38" t="inlineStr">
        <is>
          <t>4 Agustus 2023</t>
        </is>
      </c>
      <c r="I38" s="2" t="n">
        <v>46307</v>
      </c>
      <c r="J38" t="inlineStr">
        <is>
          <t>Disetujui</t>
        </is>
      </c>
      <c r="K38" t="n">
        <v>90</v>
      </c>
      <c r="L38" t="inlineStr">
        <is>
          <t>12 Oktober 2026</t>
        </is>
      </c>
      <c r="M38" t="inlineStr">
        <is>
          <t>Konstruksi Gedung Hunian, Konstruksi Gedung Perkantoran</t>
        </is>
      </c>
      <c r="N38" t="inlineStr">
        <is>
          <t>K</t>
        </is>
      </c>
      <c r="O38" t="inlineStr">
        <is>
          <t>20231012</t>
        </is>
      </c>
      <c r="P38" t="inlineStr">
        <is>
          <t>Jawa Barat</t>
        </is>
      </c>
      <c r="Q38" t="inlineStr"/>
    </row>
    <row r="39">
      <c r="A39" t="inlineStr">
        <is>
          <t>ARUM CONSULINDO</t>
        </is>
      </c>
      <c r="B39" t="inlineStr">
        <is>
          <t>Kab. Balangan</t>
        </is>
      </c>
      <c r="C39" t="inlineStr">
        <is>
          <t>081250081632</t>
        </is>
      </c>
      <c r="D39" t="inlineStr">
        <is>
          <t>budiyartibalangan7577@gmail.com</t>
        </is>
      </c>
      <c r="E39" t="inlineStr">
        <is>
          <t>https://lpjk.pu.go.id/search-badan-usaha-detail/eGI1SHVnQkh3VGg0VmF1Sy8xYk5LUT09</t>
        </is>
      </c>
      <c r="F39" t="n">
        <v>1</v>
      </c>
      <c r="G39" t="inlineStr">
        <is>
          <t>RK003</t>
        </is>
      </c>
      <c r="H39" t="inlineStr">
        <is>
          <t>9 Juni 2016</t>
        </is>
      </c>
      <c r="I39" s="2" t="n">
        <v>46307</v>
      </c>
      <c r="J39" t="inlineStr">
        <is>
          <t>Disetujui</t>
        </is>
      </c>
      <c r="K39" t="n">
        <v>90</v>
      </c>
      <c r="L39" t="inlineStr">
        <is>
          <t>12 Oktober 2026</t>
        </is>
      </c>
      <c r="M39" t="inlineStr">
        <is>
          <t>Jasa Rekayasa Pekerjaan Teknik Sipil Transportasi</t>
        </is>
      </c>
      <c r="N39" t="inlineStr">
        <is>
          <t>K</t>
        </is>
      </c>
      <c r="O39" t="inlineStr">
        <is>
          <t>20230804</t>
        </is>
      </c>
      <c r="P39" t="inlineStr">
        <is>
          <t>Kalimantan Selatan</t>
        </is>
      </c>
      <c r="Q39" t="inlineStr"/>
    </row>
    <row r="40">
      <c r="A40" t="inlineStr">
        <is>
          <t>ATHARRAZKA MANDIRI BERSAMA</t>
        </is>
      </c>
      <c r="B40" t="inlineStr">
        <is>
          <t>Kab. Kutai Kartanegara</t>
        </is>
      </c>
      <c r="C40" t="inlineStr">
        <is>
          <t>085246237558</t>
        </is>
      </c>
      <c r="D40" t="inlineStr">
        <is>
          <t>cvatharazzkamandiribersama@gmail.com</t>
        </is>
      </c>
      <c r="E40" t="inlineStr">
        <is>
          <t>https://lpjk.pu.go.id/search-badan-usaha-detail/QnZQdFAyQ3gwR2RUQVhKTGdGU2tXdz09</t>
        </is>
      </c>
      <c r="F40" t="n">
        <v>1</v>
      </c>
      <c r="G40" t="inlineStr">
        <is>
          <t>BS004</t>
        </is>
      </c>
      <c r="H40" t="inlineStr">
        <is>
          <t>14 September 2023</t>
        </is>
      </c>
      <c r="I40" s="2" t="n">
        <v>46307</v>
      </c>
      <c r="J40" t="inlineStr">
        <is>
          <t>Disetujui</t>
        </is>
      </c>
      <c r="K40" t="n">
        <v>90</v>
      </c>
      <c r="L40" t="inlineStr">
        <is>
          <t>12 Oktober 2026</t>
        </is>
      </c>
      <c r="M40" t="inlineStr">
        <is>
          <t>Konstruksi Jaringan Irigasi dan Drainase</t>
        </is>
      </c>
      <c r="N40" t="inlineStr">
        <is>
          <t>K</t>
        </is>
      </c>
      <c r="O40" t="inlineStr">
        <is>
          <t>20231012</t>
        </is>
      </c>
      <c r="P40" t="inlineStr">
        <is>
          <t>Kalimantan Timur</t>
        </is>
      </c>
      <c r="Q40" t="inlineStr"/>
    </row>
    <row r="41">
      <c r="A41" t="inlineStr">
        <is>
          <t>BANGUN KARYA PERKASA JAYA</t>
        </is>
      </c>
      <c r="B41" t="inlineStr">
        <is>
          <t>Kota Surabaya</t>
        </is>
      </c>
      <c r="C41" t="inlineStr">
        <is>
          <t>082230570908</t>
        </is>
      </c>
      <c r="D41" t="inlineStr">
        <is>
          <t>pt_bkpjaya@yahoo.com</t>
        </is>
      </c>
      <c r="E41" t="inlineStr">
        <is>
          <t>https://lpjk.pu.go.id/search-badan-usaha-detail/dG5iUFJFaWdzKzZBS1pOQ1FRbnpJdz09</t>
        </is>
      </c>
      <c r="F41" t="n">
        <v>1</v>
      </c>
      <c r="G41" t="inlineStr">
        <is>
          <t>BS004</t>
        </is>
      </c>
      <c r="H41" t="inlineStr">
        <is>
          <t>7 Januari 2007</t>
        </is>
      </c>
      <c r="I41" s="2" t="n">
        <v>46307</v>
      </c>
      <c r="J41" t="inlineStr">
        <is>
          <t>Disetujui</t>
        </is>
      </c>
      <c r="K41" t="n">
        <v>90</v>
      </c>
      <c r="L41" t="inlineStr">
        <is>
          <t>12 Oktober 2026</t>
        </is>
      </c>
      <c r="M41" t="inlineStr">
        <is>
          <t>Konstruksi Jaringan Irigasi dan Drainase</t>
        </is>
      </c>
      <c r="N41" t="inlineStr">
        <is>
          <t>K</t>
        </is>
      </c>
      <c r="O41" t="inlineStr">
        <is>
          <t>20231009</t>
        </is>
      </c>
      <c r="P41" t="inlineStr">
        <is>
          <t>Jawa Timur</t>
        </is>
      </c>
      <c r="Q41" t="inlineStr"/>
    </row>
    <row r="42">
      <c r="A42" t="inlineStr">
        <is>
          <t>BANGUN TAMBAK ABADI</t>
        </is>
      </c>
      <c r="B42" t="inlineStr">
        <is>
          <t>Kota Bandung</t>
        </is>
      </c>
      <c r="C42" t="inlineStr">
        <is>
          <t>081369300616</t>
        </is>
      </c>
      <c r="D42" t="inlineStr">
        <is>
          <t>cvbanguntambak@gmail.com</t>
        </is>
      </c>
      <c r="E42" t="inlineStr">
        <is>
          <t>https://lpjk.pu.go.id/search-badan-usaha-detail/TzdpMmhhR1VES2hDeVJsSlhCLzhEZz09</t>
        </is>
      </c>
      <c r="F42" t="n">
        <v>1</v>
      </c>
      <c r="G42" t="inlineStr">
        <is>
          <t>BG009</t>
        </is>
      </c>
      <c r="H42" t="inlineStr">
        <is>
          <t>21 September 2023</t>
        </is>
      </c>
      <c r="I42" s="2" t="n">
        <v>46307</v>
      </c>
      <c r="J42" t="inlineStr">
        <is>
          <t>Disetujui</t>
        </is>
      </c>
      <c r="K42" t="n">
        <v>90</v>
      </c>
      <c r="L42" t="inlineStr">
        <is>
          <t>12 Oktober 2026</t>
        </is>
      </c>
      <c r="M42" t="inlineStr">
        <is>
          <t>Konstruksi Gedung Lainnya</t>
        </is>
      </c>
      <c r="N42" t="inlineStr">
        <is>
          <t>K</t>
        </is>
      </c>
      <c r="O42" t="inlineStr">
        <is>
          <t>20231009</t>
        </is>
      </c>
      <c r="P42" t="inlineStr">
        <is>
          <t>Jawa Barat</t>
        </is>
      </c>
      <c r="Q42" t="inlineStr"/>
    </row>
    <row r="43">
      <c r="A43" t="inlineStr">
        <is>
          <t>BATURAJA INDAH SARANA</t>
        </is>
      </c>
      <c r="B43" t="inlineStr">
        <is>
          <t>Kab. Ogan Komering Ulu</t>
        </is>
      </c>
      <c r="C43" t="inlineStr">
        <is>
          <t>0</t>
        </is>
      </c>
      <c r="D43" t="inlineStr">
        <is>
          <t>baturajasarana@gmail.com</t>
        </is>
      </c>
      <c r="E43" t="inlineStr">
        <is>
          <t>https://lpjk.pu.go.id/search-badan-usaha-detail/OWNCUzZlckFDUnNBbThpYnlaZjVuZz09</t>
        </is>
      </c>
      <c r="F43" t="n">
        <v>6</v>
      </c>
      <c r="G43" t="inlineStr">
        <is>
          <t>BG006, BG009</t>
        </is>
      </c>
      <c r="H43" t="inlineStr">
        <is>
          <t>15 Januari 2001</t>
        </is>
      </c>
      <c r="I43" s="2" t="n">
        <v>46307</v>
      </c>
      <c r="J43" t="inlineStr">
        <is>
          <t>Disetujui</t>
        </is>
      </c>
      <c r="K43" t="n">
        <v>90</v>
      </c>
      <c r="L43" t="inlineStr">
        <is>
          <t>12 Oktober 2026</t>
        </is>
      </c>
      <c r="M43" t="inlineStr">
        <is>
          <t>Konstruksi Gedung Lainnya, Konstruksi Gedung Pendidikan</t>
        </is>
      </c>
      <c r="N43" t="inlineStr">
        <is>
          <t>K</t>
        </is>
      </c>
      <c r="O43" t="inlineStr">
        <is>
          <t>20231010</t>
        </is>
      </c>
      <c r="P43" t="inlineStr">
        <is>
          <t>Sumatera Selatan</t>
        </is>
      </c>
      <c r="Q43" t="inlineStr"/>
    </row>
    <row r="44">
      <c r="A44" t="inlineStr">
        <is>
          <t>BERKAH CAHAYA MAHABBAH</t>
        </is>
      </c>
      <c r="B44" t="inlineStr">
        <is>
          <t>Kab. Tapin</t>
        </is>
      </c>
      <c r="C44" t="inlineStr">
        <is>
          <t>085250913069</t>
        </is>
      </c>
      <c r="D44" t="inlineStr">
        <is>
          <t>cvberkahcahayamahabbah@gmail.com</t>
        </is>
      </c>
      <c r="E44" t="inlineStr">
        <is>
          <t>https://lpjk.pu.go.id/search-badan-usaha-detail/bnlyODZvd0libHR0R21JQmZIM09XZz09</t>
        </is>
      </c>
      <c r="F44" t="n">
        <v>12</v>
      </c>
      <c r="G44" t="inlineStr">
        <is>
          <t>BG006, BG009, BS001, BS002, BS004, BS010</t>
        </is>
      </c>
      <c r="H44" t="inlineStr">
        <is>
          <t>29 Agustus 2023</t>
        </is>
      </c>
      <c r="I44" s="2" t="n">
        <v>46307</v>
      </c>
      <c r="J44" t="inlineStr">
        <is>
          <t>Disetujui</t>
        </is>
      </c>
      <c r="K44" t="n">
        <v>90</v>
      </c>
      <c r="L44" t="inlineStr">
        <is>
          <t>12 Oktober 2026</t>
        </is>
      </c>
      <c r="M44" t="inlineStr">
        <is>
          <t>Bangunan Sipil Jembatan, Jalan Layang, Fly Over, dan Underpass, Konstruksi Bangunan Prasarana Sumber Daya Air, Konstruksi Bangunan Sipil Jalan, Konstruksi Gedung Lainnya, Konstruksi Gedung Pendidikan, Konstruksi Jaringan Irigasi dan Drainase</t>
        </is>
      </c>
      <c r="N44" t="inlineStr">
        <is>
          <t>K</t>
        </is>
      </c>
      <c r="O44" t="inlineStr">
        <is>
          <t>20230809, 20231013</t>
        </is>
      </c>
      <c r="P44" t="inlineStr">
        <is>
          <t>Kalimantan Selatan</t>
        </is>
      </c>
      <c r="Q44" t="inlineStr"/>
    </row>
    <row r="45">
      <c r="A45" t="inlineStr">
        <is>
          <t>BERKAT ENERGI MUTIARA</t>
        </is>
      </c>
      <c r="B45" t="inlineStr">
        <is>
          <t>Kota Palembang</t>
        </is>
      </c>
      <c r="C45" t="inlineStr">
        <is>
          <t>081373898697</t>
        </is>
      </c>
      <c r="D45" t="inlineStr">
        <is>
          <t>ptberkatenergimutiara@gmail.com</t>
        </is>
      </c>
      <c r="E45" t="inlineStr">
        <is>
          <t>https://lpjk.pu.go.id/search-badan-usaha-detail/UmljRFBvWnJ3L2gyMGFGek9GdGJrUT09</t>
        </is>
      </c>
      <c r="F45" t="n">
        <v>2</v>
      </c>
      <c r="G45" t="inlineStr">
        <is>
          <t>BS001</t>
        </is>
      </c>
      <c r="H45" t="inlineStr">
        <is>
          <t>16 Agustus 2022</t>
        </is>
      </c>
      <c r="I45" s="2" t="n">
        <v>46307</v>
      </c>
      <c r="J45" t="inlineStr">
        <is>
          <t>Disetujui</t>
        </is>
      </c>
      <c r="K45" t="n">
        <v>90</v>
      </c>
      <c r="L45" t="inlineStr">
        <is>
          <t>12 Oktober 2026</t>
        </is>
      </c>
      <c r="M45" t="inlineStr">
        <is>
          <t>Konstruksi Bangunan Sipil Jalan</t>
        </is>
      </c>
      <c r="N45" t="inlineStr">
        <is>
          <t>K</t>
        </is>
      </c>
      <c r="O45" t="inlineStr">
        <is>
          <t>20231013</t>
        </is>
      </c>
      <c r="P45" t="inlineStr">
        <is>
          <t>Sumatera Selatan</t>
        </is>
      </c>
      <c r="Q45" t="inlineStr"/>
    </row>
    <row r="46">
      <c r="A46" t="inlineStr">
        <is>
          <t>BERKAT POLBIN</t>
        </is>
      </c>
      <c r="B46" t="inlineStr">
        <is>
          <t>Kota Pematangsiantar</t>
        </is>
      </c>
      <c r="C46" t="inlineStr">
        <is>
          <t>082163381554</t>
        </is>
      </c>
      <c r="D46" t="inlineStr">
        <is>
          <t>cv.berkatpolbin@gmail.com</t>
        </is>
      </c>
      <c r="E46" t="inlineStr">
        <is>
          <t>https://lpjk.pu.go.id/search-badan-usaha-detail/RWh1UVMyazFuUjQ0ZXc3ME92VVVXUT09</t>
        </is>
      </c>
      <c r="F46" t="n">
        <v>8</v>
      </c>
      <c r="G46" t="inlineStr">
        <is>
          <t>BG005, BG006, BG009, BS001</t>
        </is>
      </c>
      <c r="H46" t="inlineStr">
        <is>
          <t>14 Februari 2023</t>
        </is>
      </c>
      <c r="I46" s="2" t="n">
        <v>46307</v>
      </c>
      <c r="J46" t="inlineStr">
        <is>
          <t>Disetujui</t>
        </is>
      </c>
      <c r="K46" t="n">
        <v>90</v>
      </c>
      <c r="L46" t="inlineStr">
        <is>
          <t>12 Oktober 2026</t>
        </is>
      </c>
      <c r="M46" t="inlineStr">
        <is>
          <t>Konstruksi Bangunan Sipil Jalan, Konstruksi Gedung Kesehatan, Konstruksi Gedung Lainnya, Konstruksi Gedung Pendidikan</t>
        </is>
      </c>
      <c r="N46" t="inlineStr">
        <is>
          <t>K</t>
        </is>
      </c>
      <c r="O46" t="inlineStr">
        <is>
          <t>20230505, 20230920</t>
        </is>
      </c>
      <c r="P46" t="inlineStr">
        <is>
          <t>Sumatera Utara</t>
        </is>
      </c>
      <c r="Q46" t="inlineStr"/>
    </row>
    <row r="47">
      <c r="A47" t="inlineStr">
        <is>
          <t>BERKAT SINAR PELANGI</t>
        </is>
      </c>
      <c r="B47" t="inlineStr">
        <is>
          <t>Kab. Kutai Timur</t>
        </is>
      </c>
      <c r="C47" t="inlineStr">
        <is>
          <t>081350634387</t>
        </is>
      </c>
      <c r="D47" t="inlineStr">
        <is>
          <t>cv.berkatsinarpelangi@gmail.com</t>
        </is>
      </c>
      <c r="E47" t="inlineStr">
        <is>
          <t>https://lpjk.pu.go.id/search-badan-usaha-detail/MytvR2RCWmVlWllXQ2NXc2FoNmlpZz09</t>
        </is>
      </c>
      <c r="F47" t="n">
        <v>4</v>
      </c>
      <c r="G47" t="inlineStr">
        <is>
          <t>BG006, BG009</t>
        </is>
      </c>
      <c r="H47" t="inlineStr">
        <is>
          <t>1 April 2008</t>
        </is>
      </c>
      <c r="I47" s="2" t="n">
        <v>46307</v>
      </c>
      <c r="J47" t="inlineStr">
        <is>
          <t>Disetujui</t>
        </is>
      </c>
      <c r="K47" t="n">
        <v>90</v>
      </c>
      <c r="L47" t="inlineStr">
        <is>
          <t>12 Oktober 2026</t>
        </is>
      </c>
      <c r="M47" t="inlineStr">
        <is>
          <t>Konstruksi Gedung Lainnya, Konstruksi Gedung Pendidikan</t>
        </is>
      </c>
      <c r="N47" t="inlineStr">
        <is>
          <t>K</t>
        </is>
      </c>
      <c r="O47" t="inlineStr">
        <is>
          <t>20231010</t>
        </is>
      </c>
      <c r="P47" t="inlineStr">
        <is>
          <t>Kalimantan Timur</t>
        </is>
      </c>
      <c r="Q47" t="inlineStr"/>
    </row>
    <row r="48">
      <c r="A48" t="inlineStr">
        <is>
          <t>BHUMI PALA</t>
        </is>
      </c>
      <c r="B48" t="inlineStr">
        <is>
          <t>Kab. Banjarnegara</t>
        </is>
      </c>
      <c r="C48" t="inlineStr">
        <is>
          <t>085299350563</t>
        </is>
      </c>
      <c r="D48" t="inlineStr">
        <is>
          <t>bhumipala1@gmail.com</t>
        </is>
      </c>
      <c r="E48" t="inlineStr">
        <is>
          <t>https://lpjk.pu.go.id/search-badan-usaha-detail/a0lZLy9RbENrMG1sNVBsSGJSRmF5dz09</t>
        </is>
      </c>
      <c r="F48" t="n">
        <v>4</v>
      </c>
      <c r="G48" t="inlineStr">
        <is>
          <t>BG003, BG006, BG009</t>
        </is>
      </c>
      <c r="H48" t="inlineStr">
        <is>
          <t>4 April 2002</t>
        </is>
      </c>
      <c r="I48" s="2" t="n">
        <v>46307</v>
      </c>
      <c r="J48" t="inlineStr">
        <is>
          <t>Disetujui, Pencabutan</t>
        </is>
      </c>
      <c r="K48" t="n">
        <v>90</v>
      </c>
      <c r="L48" t="inlineStr">
        <is>
          <t>12 Oktober 2026</t>
        </is>
      </c>
      <c r="M48" t="inlineStr">
        <is>
          <t>Konstruksi Gedung Industri, Konstruksi Gedung Lainnya, Konstruksi Gedung Pendidikan</t>
        </is>
      </c>
      <c r="N48" t="inlineStr">
        <is>
          <t>K</t>
        </is>
      </c>
      <c r="O48" t="inlineStr">
        <is>
          <t>20231005, 20231010</t>
        </is>
      </c>
      <c r="P48" t="inlineStr">
        <is>
          <t>Jawa Tengah</t>
        </is>
      </c>
      <c r="Q48" t="inlineStr"/>
    </row>
    <row r="49">
      <c r="A49" t="inlineStr">
        <is>
          <t>BINA RAYA ABADI</t>
        </is>
      </c>
      <c r="B49" t="inlineStr">
        <is>
          <t>Kota Blitar</t>
        </is>
      </c>
      <c r="C49" t="inlineStr">
        <is>
          <t>08122231589</t>
        </is>
      </c>
      <c r="D49" t="inlineStr">
        <is>
          <t>binarayaabadi.cv@gmail.com</t>
        </is>
      </c>
      <c r="E49" t="inlineStr">
        <is>
          <t>https://lpjk.pu.go.id/search-badan-usaha-detail/cEU1UmZtZndPLzJGTGhHY2FnWGljQT09</t>
        </is>
      </c>
      <c r="F49" t="n">
        <v>1</v>
      </c>
      <c r="G49" t="inlineStr">
        <is>
          <t>BG005</t>
        </is>
      </c>
      <c r="H49" t="inlineStr">
        <is>
          <t>3 Januari 2022</t>
        </is>
      </c>
      <c r="I49" s="2" t="n">
        <v>46307</v>
      </c>
      <c r="J49" t="inlineStr">
        <is>
          <t>Disetujui</t>
        </is>
      </c>
      <c r="K49" t="n">
        <v>90</v>
      </c>
      <c r="L49" t="inlineStr">
        <is>
          <t>12 Oktober 2026</t>
        </is>
      </c>
      <c r="M49" t="inlineStr">
        <is>
          <t>Konstruksi Gedung Kesehatan</t>
        </is>
      </c>
      <c r="N49" t="inlineStr">
        <is>
          <t>K</t>
        </is>
      </c>
      <c r="O49" t="inlineStr">
        <is>
          <t>20231013</t>
        </is>
      </c>
      <c r="P49" t="inlineStr">
        <is>
          <t>Jawa Timur</t>
        </is>
      </c>
      <c r="Q49" t="inlineStr"/>
    </row>
    <row r="50">
      <c r="A50" t="inlineStr">
        <is>
          <t>BINTANG JAYA</t>
        </is>
      </c>
      <c r="B50" t="inlineStr">
        <is>
          <t>Kab. Nganjuk</t>
        </is>
      </c>
      <c r="C50" t="inlineStr">
        <is>
          <t>085331487395</t>
        </is>
      </c>
      <c r="D50" t="inlineStr">
        <is>
          <t>cv_bintangj@yahoo.com</t>
        </is>
      </c>
      <c r="E50" t="inlineStr">
        <is>
          <t>https://lpjk.pu.go.id/search-badan-usaha-detail/ZTZZaWdOdmJtaE92SFFPS0NDQVU3dz09</t>
        </is>
      </c>
      <c r="F50" t="n">
        <v>2</v>
      </c>
      <c r="G50" t="inlineStr">
        <is>
          <t>BG005</t>
        </is>
      </c>
      <c r="H50" t="inlineStr">
        <is>
          <t>15 Juli 2003</t>
        </is>
      </c>
      <c r="I50" s="2" t="n">
        <v>46307</v>
      </c>
      <c r="J50" t="inlineStr">
        <is>
          <t>Disetujui</t>
        </is>
      </c>
      <c r="K50" t="n">
        <v>90</v>
      </c>
      <c r="L50" t="inlineStr">
        <is>
          <t>12 Oktober 2026</t>
        </is>
      </c>
      <c r="M50" t="inlineStr">
        <is>
          <t>Konstruksi Gedung Kesehatan</t>
        </is>
      </c>
      <c r="N50" t="inlineStr">
        <is>
          <t>K</t>
        </is>
      </c>
      <c r="O50" t="inlineStr">
        <is>
          <t>20231004</t>
        </is>
      </c>
      <c r="P50" t="inlineStr">
        <is>
          <t>Jawa Timur</t>
        </is>
      </c>
      <c r="Q50" t="inlineStr"/>
    </row>
    <row r="51">
      <c r="A51" t="inlineStr">
        <is>
          <t>BORNEO BERSAMA MANDIRI</t>
        </is>
      </c>
      <c r="B51" t="inlineStr">
        <is>
          <t>Kab. Kutai Timur</t>
        </is>
      </c>
      <c r="C51" t="inlineStr">
        <is>
          <t>081347908546</t>
        </is>
      </c>
      <c r="D51" t="inlineStr">
        <is>
          <t>borneobersamamandiri2@gmail.com</t>
        </is>
      </c>
      <c r="E51" t="inlineStr">
        <is>
          <t>https://lpjk.pu.go.id/search-badan-usaha-detail/cnB2a0FyNnM1NUN5OWV0SytTVVFwQT09</t>
        </is>
      </c>
      <c r="F51" t="n">
        <v>1</v>
      </c>
      <c r="G51" t="inlineStr">
        <is>
          <t>BS001</t>
        </is>
      </c>
      <c r="H51" t="inlineStr">
        <is>
          <t>26 Januari 2016</t>
        </is>
      </c>
      <c r="I51" s="2" t="n">
        <v>46307</v>
      </c>
      <c r="J51" t="inlineStr">
        <is>
          <t>Disetujui</t>
        </is>
      </c>
      <c r="K51" t="n">
        <v>90</v>
      </c>
      <c r="L51" t="inlineStr">
        <is>
          <t>12 Oktober 2026</t>
        </is>
      </c>
      <c r="M51" t="inlineStr">
        <is>
          <t>Konstruksi Bangunan Sipil Jalan</t>
        </is>
      </c>
      <c r="N51" t="inlineStr">
        <is>
          <t>K</t>
        </is>
      </c>
      <c r="O51" t="inlineStr">
        <is>
          <t>20231011</t>
        </is>
      </c>
      <c r="P51" t="inlineStr">
        <is>
          <t>Kalimantan Timur</t>
        </is>
      </c>
      <c r="Q51" t="inlineStr"/>
    </row>
    <row r="52">
      <c r="A52" t="inlineStr">
        <is>
          <t>BORNEO INTAN PERMATA ENERGI</t>
        </is>
      </c>
      <c r="B52" t="inlineStr">
        <is>
          <t>Kab. Lamongan</t>
        </is>
      </c>
      <c r="C52" t="inlineStr">
        <is>
          <t>082188550051</t>
        </is>
      </c>
      <c r="D52" t="inlineStr">
        <is>
          <t>ptborneointanpermataenergi@gmail.com</t>
        </is>
      </c>
      <c r="E52" t="inlineStr">
        <is>
          <t>https://lpjk.pu.go.id/search-badan-usaha-detail/a2s2NW1JN20vMmlHQ21MZUFTWkd6UT09</t>
        </is>
      </c>
      <c r="F52" t="n">
        <v>1</v>
      </c>
      <c r="G52" t="inlineStr">
        <is>
          <t>BS007</t>
        </is>
      </c>
      <c r="H52" t="inlineStr">
        <is>
          <t>20 September 2023</t>
        </is>
      </c>
      <c r="I52" s="2" t="n">
        <v>46307</v>
      </c>
      <c r="J52" t="inlineStr">
        <is>
          <t>Disetujui</t>
        </is>
      </c>
      <c r="K52" t="n">
        <v>90</v>
      </c>
      <c r="L52" t="inlineStr">
        <is>
          <t>12 Oktober 2026</t>
        </is>
      </c>
      <c r="M52" t="inlineStr">
        <is>
          <t>Konstruksi Bangunan Sipil Elektrikal</t>
        </is>
      </c>
      <c r="N52" t="inlineStr">
        <is>
          <t>K</t>
        </is>
      </c>
      <c r="O52" t="inlineStr">
        <is>
          <t>20231010</t>
        </is>
      </c>
      <c r="P52" t="inlineStr">
        <is>
          <t>Jawa Timur</t>
        </is>
      </c>
      <c r="Q52" t="inlineStr"/>
    </row>
    <row r="53">
      <c r="A53" t="inlineStr">
        <is>
          <t>BORNEO MADANI</t>
        </is>
      </c>
      <c r="B53" t="inlineStr">
        <is>
          <t>Kota Palangkaraya</t>
        </is>
      </c>
      <c r="C53" t="inlineStr">
        <is>
          <t>081253603099</t>
        </is>
      </c>
      <c r="D53" t="inlineStr">
        <is>
          <t>cv.borneomadani2023@gmail.com</t>
        </is>
      </c>
      <c r="E53" t="inlineStr">
        <is>
          <t>https://lpjk.pu.go.id/search-badan-usaha-detail/b2Q4cng2QVEwQUVJWm9wVTBpcWN4Zz09</t>
        </is>
      </c>
      <c r="F53" t="n">
        <v>1</v>
      </c>
      <c r="G53" t="inlineStr">
        <is>
          <t>BS004</t>
        </is>
      </c>
      <c r="H53" t="inlineStr">
        <is>
          <t>29 September 2023</t>
        </is>
      </c>
      <c r="I53" s="2" t="n">
        <v>46307</v>
      </c>
      <c r="J53" t="inlineStr">
        <is>
          <t>Disetujui</t>
        </is>
      </c>
      <c r="K53" t="n">
        <v>90</v>
      </c>
      <c r="L53" t="inlineStr">
        <is>
          <t>12 Oktober 2026</t>
        </is>
      </c>
      <c r="M53" t="inlineStr">
        <is>
          <t>Konstruksi Jaringan Irigasi dan Drainase</t>
        </is>
      </c>
      <c r="N53" t="inlineStr">
        <is>
          <t>K</t>
        </is>
      </c>
      <c r="O53" t="inlineStr">
        <is>
          <t>20231010</t>
        </is>
      </c>
      <c r="P53" t="inlineStr">
        <is>
          <t>Kalimantan Tengah</t>
        </is>
      </c>
      <c r="Q53" t="inlineStr"/>
    </row>
    <row r="54">
      <c r="A54" t="inlineStr">
        <is>
          <t>BORNEO TARIGAS</t>
        </is>
      </c>
      <c r="B54" t="inlineStr">
        <is>
          <t>Kota Singkawang</t>
        </is>
      </c>
      <c r="C54" t="inlineStr">
        <is>
          <t>081280939117</t>
        </is>
      </c>
      <c r="D54" t="inlineStr">
        <is>
          <t>cvborneotarigas@gmail.com</t>
        </is>
      </c>
      <c r="E54" t="inlineStr">
        <is>
          <t>https://lpjk.pu.go.id/search-badan-usaha-detail/ejBoa3Yza2tEeGVsOGp3RmFkaFRrUT09</t>
        </is>
      </c>
      <c r="F54" t="n">
        <v>1</v>
      </c>
      <c r="G54" t="inlineStr">
        <is>
          <t>BS004</t>
        </is>
      </c>
      <c r="H54" t="inlineStr">
        <is>
          <t>10 Februari 2017</t>
        </is>
      </c>
      <c r="I54" s="2" t="n">
        <v>46307</v>
      </c>
      <c r="J54" t="inlineStr">
        <is>
          <t>Disetujui</t>
        </is>
      </c>
      <c r="K54" t="n">
        <v>90</v>
      </c>
      <c r="L54" t="inlineStr">
        <is>
          <t>12 Oktober 2026</t>
        </is>
      </c>
      <c r="M54" t="inlineStr">
        <is>
          <t>Konstruksi Jaringan Irigasi dan Drainase</t>
        </is>
      </c>
      <c r="N54" t="inlineStr">
        <is>
          <t>K</t>
        </is>
      </c>
      <c r="O54" t="inlineStr">
        <is>
          <t>20231012</t>
        </is>
      </c>
      <c r="P54" t="inlineStr">
        <is>
          <t>Kalimantan Barat</t>
        </is>
      </c>
      <c r="Q54" t="inlineStr"/>
    </row>
    <row r="55">
      <c r="A55" t="inlineStr">
        <is>
          <t>BUKIT RAYA ENGINEERING</t>
        </is>
      </c>
      <c r="B55" t="inlineStr">
        <is>
          <t>Kota Palangkaraya</t>
        </is>
      </c>
      <c r="C55" t="inlineStr">
        <is>
          <t>081348009280</t>
        </is>
      </c>
      <c r="D55" t="inlineStr">
        <is>
          <t>cvbre.plk@gmail.com</t>
        </is>
      </c>
      <c r="E55" t="inlineStr">
        <is>
          <t>https://lpjk.pu.go.id/search-badan-usaha-detail/VnM4K0JHeTM3bmVGWjZZMVpUVWUwdz09</t>
        </is>
      </c>
      <c r="F55" t="n">
        <v>2</v>
      </c>
      <c r="G55" t="inlineStr">
        <is>
          <t>RK001, RK003</t>
        </is>
      </c>
      <c r="H55" t="inlineStr">
        <is>
          <t>13 September 2007</t>
        </is>
      </c>
      <c r="I55" s="2" t="n">
        <v>46307</v>
      </c>
      <c r="J55" t="inlineStr">
        <is>
          <t>Disetujui</t>
        </is>
      </c>
      <c r="K55" t="n">
        <v>90</v>
      </c>
      <c r="L55" t="inlineStr">
        <is>
          <t>12 Oktober 2026</t>
        </is>
      </c>
      <c r="M55" t="inlineStr">
        <is>
          <t>Jasa Rekayasa Konstruksi Bangunan Gedung Hunian dan Non Hunian, Jasa Rekayasa Pekerjaan Teknik Sipil Transportasi</t>
        </is>
      </c>
      <c r="N55" t="inlineStr">
        <is>
          <t>K</t>
        </is>
      </c>
      <c r="O55" t="inlineStr">
        <is>
          <t>20231005</t>
        </is>
      </c>
      <c r="P55" t="inlineStr">
        <is>
          <t>Kalimantan Tengah</t>
        </is>
      </c>
      <c r="Q55" t="inlineStr"/>
    </row>
    <row r="56">
      <c r="A56" t="inlineStr">
        <is>
          <t>BUMI MUDA SEDIA</t>
        </is>
      </c>
      <c r="B56" t="inlineStr">
        <is>
          <t>Kab. Muaro Jambi</t>
        </is>
      </c>
      <c r="C56" t="inlineStr">
        <is>
          <t>082281317915</t>
        </is>
      </c>
      <c r="D56" t="inlineStr">
        <is>
          <t>bms.cv2023@gmail.com</t>
        </is>
      </c>
      <c r="E56" t="inlineStr">
        <is>
          <t>https://lpjk.pu.go.id/search-badan-usaha-detail/YnJLUXR0WHZjUXBHc0xjaGpONE9XZz09</t>
        </is>
      </c>
      <c r="F56" t="n">
        <v>1</v>
      </c>
      <c r="G56" t="inlineStr">
        <is>
          <t>BS001</t>
        </is>
      </c>
      <c r="H56" t="inlineStr">
        <is>
          <t>24 Juli 2023</t>
        </is>
      </c>
      <c r="I56" s="2" t="n">
        <v>46307</v>
      </c>
      <c r="J56" t="inlineStr">
        <is>
          <t>Disetujui</t>
        </is>
      </c>
      <c r="K56" t="n">
        <v>90</v>
      </c>
      <c r="L56" t="inlineStr">
        <is>
          <t>12 Oktober 2026</t>
        </is>
      </c>
      <c r="M56" t="inlineStr">
        <is>
          <t>Konstruksi Bangunan Sipil Jalan</t>
        </is>
      </c>
      <c r="N56" t="inlineStr">
        <is>
          <t>K</t>
        </is>
      </c>
      <c r="O56" t="inlineStr">
        <is>
          <t>20231010</t>
        </is>
      </c>
      <c r="P56" t="inlineStr">
        <is>
          <t>Jambi</t>
        </is>
      </c>
      <c r="Q56" t="inlineStr"/>
    </row>
    <row r="57">
      <c r="A57" t="inlineStr">
        <is>
          <t>CAHAYA FAJAR UTAMA</t>
        </is>
      </c>
      <c r="B57" t="inlineStr">
        <is>
          <t>Kab. Kuningan</t>
        </is>
      </c>
      <c r="C57" t="inlineStr">
        <is>
          <t>082218567548</t>
        </is>
      </c>
      <c r="D57" t="inlineStr">
        <is>
          <t>cahaya.fu@gmail.com</t>
        </is>
      </c>
      <c r="E57" t="inlineStr">
        <is>
          <t>https://lpjk.pu.go.id/search-badan-usaha-detail/S3RZUjNtT1VZUi9USzcwZndYTHZFZz09</t>
        </is>
      </c>
      <c r="F57" t="n">
        <v>1</v>
      </c>
      <c r="G57" t="inlineStr">
        <is>
          <t>BG002</t>
        </is>
      </c>
      <c r="H57" t="inlineStr">
        <is>
          <t>5 Februari 2016</t>
        </is>
      </c>
      <c r="I57" s="2" t="n">
        <v>46307</v>
      </c>
      <c r="J57" t="inlineStr">
        <is>
          <t>Disetujui</t>
        </is>
      </c>
      <c r="K57" t="n">
        <v>90</v>
      </c>
      <c r="L57" t="inlineStr">
        <is>
          <t>12 Oktober 2026</t>
        </is>
      </c>
      <c r="M57" t="inlineStr">
        <is>
          <t>Konstruksi Gedung Perkantoran</t>
        </is>
      </c>
      <c r="N57" t="inlineStr">
        <is>
          <t>K</t>
        </is>
      </c>
      <c r="O57" t="inlineStr">
        <is>
          <t>20231010</t>
        </is>
      </c>
      <c r="P57" t="inlineStr">
        <is>
          <t>Jawa Barat</t>
        </is>
      </c>
      <c r="Q57" t="inlineStr"/>
    </row>
    <row r="58">
      <c r="A58" t="inlineStr">
        <is>
          <t>CANDRA MAYA</t>
        </is>
      </c>
      <c r="B58" t="inlineStr">
        <is>
          <t>Kab. Labuhanbatu Selatan</t>
        </is>
      </c>
      <c r="C58" t="inlineStr">
        <is>
          <t>081361456274</t>
        </is>
      </c>
      <c r="D58" t="inlineStr">
        <is>
          <t>mayacandra114@gmail.com</t>
        </is>
      </c>
      <c r="E58" t="inlineStr">
        <is>
          <t>https://lpjk.pu.go.id/search-badan-usaha-detail/Si9FRnovK0hzTkxza3dpTWEycExOQT09</t>
        </is>
      </c>
      <c r="F58" t="n">
        <v>1</v>
      </c>
      <c r="G58" t="inlineStr">
        <is>
          <t>BG003</t>
        </is>
      </c>
      <c r="H58" t="inlineStr">
        <is>
          <t>30 Agustus 2022</t>
        </is>
      </c>
      <c r="I58" s="2" t="n">
        <v>46307</v>
      </c>
      <c r="J58" t="inlineStr">
        <is>
          <t>Disetujui</t>
        </is>
      </c>
      <c r="K58" t="n">
        <v>90</v>
      </c>
      <c r="L58" t="inlineStr">
        <is>
          <t>12 Oktober 2026</t>
        </is>
      </c>
      <c r="M58" t="inlineStr">
        <is>
          <t>Konstruksi Gedung Industri</t>
        </is>
      </c>
      <c r="N58" t="inlineStr">
        <is>
          <t>K</t>
        </is>
      </c>
      <c r="O58" t="inlineStr">
        <is>
          <t>20231011</t>
        </is>
      </c>
      <c r="P58" t="inlineStr">
        <is>
          <t>Sumatera Utara</t>
        </is>
      </c>
      <c r="Q58" t="inlineStr"/>
    </row>
    <row r="59">
      <c r="A59" t="inlineStr">
        <is>
          <t>CIPTA MANDIRI</t>
        </is>
      </c>
      <c r="B59" t="inlineStr">
        <is>
          <t>Kota Medan</t>
        </is>
      </c>
      <c r="C59" t="inlineStr">
        <is>
          <t>0617320322</t>
        </is>
      </c>
      <c r="D59" t="inlineStr">
        <is>
          <t>cv.ciptamandiri@rocketmail.com</t>
        </is>
      </c>
      <c r="E59" t="inlineStr">
        <is>
          <t>https://lpjk.pu.go.id/search-badan-usaha-detail/SEwzYldHYjNZOTVzdEJqNEkraFFDUT09</t>
        </is>
      </c>
      <c r="F59" t="n">
        <v>4</v>
      </c>
      <c r="G59" t="inlineStr">
        <is>
          <t>BG003, BG008</t>
        </is>
      </c>
      <c r="H59" t="inlineStr">
        <is>
          <t>22 Desember 2003</t>
        </is>
      </c>
      <c r="I59" s="2" t="n">
        <v>46307</v>
      </c>
      <c r="J59" t="inlineStr">
        <is>
          <t>Pencabutan</t>
        </is>
      </c>
      <c r="K59" t="n">
        <v>90</v>
      </c>
      <c r="L59" t="inlineStr">
        <is>
          <t>12 Oktober 2026</t>
        </is>
      </c>
      <c r="M59" t="inlineStr">
        <is>
          <t>Konstruksi Gedung Industri, Konstruksi Gedung Tempat Hiburan dan Olahraga</t>
        </is>
      </c>
      <c r="N59" t="inlineStr">
        <is>
          <t>K</t>
        </is>
      </c>
      <c r="O59" t="inlineStr">
        <is>
          <t>20231009</t>
        </is>
      </c>
      <c r="P59" t="inlineStr">
        <is>
          <t>Sumatera Utara</t>
        </is>
      </c>
      <c r="Q59" t="inlineStr"/>
    </row>
    <row r="60">
      <c r="A60" t="inlineStr">
        <is>
          <t>CIPTA TUNGGUL WILIS</t>
        </is>
      </c>
      <c r="B60" t="inlineStr">
        <is>
          <t>Kab. Nganjuk</t>
        </is>
      </c>
      <c r="C60" t="inlineStr">
        <is>
          <t>85649268460</t>
        </is>
      </c>
      <c r="D60" t="inlineStr">
        <is>
          <t>ciptatunggulwilis@gmail.com</t>
        </is>
      </c>
      <c r="E60" t="inlineStr">
        <is>
          <t>https://lpjk.pu.go.id/search-badan-usaha-detail/K2ppSjFoa2tlZStuQkFVdzJCbFd5QT09</t>
        </is>
      </c>
      <c r="F60" t="n">
        <v>4</v>
      </c>
      <c r="G60" t="inlineStr">
        <is>
          <t>BG006, BG009</t>
        </is>
      </c>
      <c r="H60" t="inlineStr">
        <is>
          <t>23 Oktober 2020</t>
        </is>
      </c>
      <c r="I60" s="2" t="n">
        <v>46307</v>
      </c>
      <c r="J60" t="inlineStr">
        <is>
          <t>Disetujui</t>
        </is>
      </c>
      <c r="K60" t="n">
        <v>90</v>
      </c>
      <c r="L60" t="inlineStr">
        <is>
          <t>12 Oktober 2026</t>
        </is>
      </c>
      <c r="M60" t="inlineStr">
        <is>
          <t>Konstruksi Gedung Lainnya, Konstruksi Gedung Pendidikan</t>
        </is>
      </c>
      <c r="N60" t="inlineStr">
        <is>
          <t>K</t>
        </is>
      </c>
      <c r="O60" t="inlineStr">
        <is>
          <t>20231011</t>
        </is>
      </c>
      <c r="P60" t="inlineStr">
        <is>
          <t>Jawa Timur</t>
        </is>
      </c>
      <c r="Q60" t="inlineStr"/>
    </row>
    <row r="61">
      <c r="A61" t="inlineStr">
        <is>
          <t>CV. ABDI KARYA</t>
        </is>
      </c>
      <c r="B61" t="inlineStr">
        <is>
          <t>Kota Kendari</t>
        </is>
      </c>
      <c r="C61" t="inlineStr">
        <is>
          <t>081285767562</t>
        </is>
      </c>
      <c r="D61" t="inlineStr">
        <is>
          <t>cvabdikarya01@gmail.com</t>
        </is>
      </c>
      <c r="E61" t="inlineStr">
        <is>
          <t>https://lpjk.pu.go.id/search-badan-usaha-detail/QlpXZ1ZrTWt6emswVEVJTUJ6M0ludz09</t>
        </is>
      </c>
      <c r="F61" t="n">
        <v>2</v>
      </c>
      <c r="G61" t="inlineStr">
        <is>
          <t>BS005</t>
        </is>
      </c>
      <c r="H61" t="inlineStr">
        <is>
          <t>16 September 2014</t>
        </is>
      </c>
      <c r="I61" s="2" t="n">
        <v>46307</v>
      </c>
      <c r="J61" t="inlineStr">
        <is>
          <t>Pencabutan</t>
        </is>
      </c>
      <c r="K61" t="n">
        <v>90</v>
      </c>
      <c r="L61" t="inlineStr">
        <is>
          <t>12 Oktober 2026</t>
        </is>
      </c>
      <c r="M61" t="inlineStr">
        <is>
          <t>Konstruksi Bangunan Sipil Pengolahan Air Bersih</t>
        </is>
      </c>
      <c r="N61" t="inlineStr">
        <is>
          <t>K</t>
        </is>
      </c>
      <c r="O61" t="inlineStr">
        <is>
          <t>20231010</t>
        </is>
      </c>
      <c r="P61" t="inlineStr">
        <is>
          <t>Sulawesi Tenggara</t>
        </is>
      </c>
      <c r="Q61" t="inlineStr"/>
    </row>
    <row r="62">
      <c r="A62" t="inlineStr">
        <is>
          <t>CV. MANNA GRATIA</t>
        </is>
      </c>
      <c r="B62" t="inlineStr">
        <is>
          <t>Kota Bitung</t>
        </is>
      </c>
      <c r="C62" t="inlineStr">
        <is>
          <t>085340036563</t>
        </is>
      </c>
      <c r="D62" t="inlineStr">
        <is>
          <t>manna.gratia@gmail.com</t>
        </is>
      </c>
      <c r="E62" t="inlineStr">
        <is>
          <t>https://lpjk.pu.go.id/search-badan-usaha-detail/YzU4QXVLWG9tZXlxLzE5bitLV3JEUT09</t>
        </is>
      </c>
      <c r="F62" t="n">
        <v>1</v>
      </c>
      <c r="G62" t="inlineStr">
        <is>
          <t>BG002</t>
        </is>
      </c>
      <c r="H62" t="inlineStr">
        <is>
          <t>29 November 2019</t>
        </is>
      </c>
      <c r="I62" s="2" t="n">
        <v>46307</v>
      </c>
      <c r="J62" t="inlineStr">
        <is>
          <t>Pencabutan</t>
        </is>
      </c>
      <c r="K62" t="n">
        <v>90</v>
      </c>
      <c r="L62" t="inlineStr">
        <is>
          <t>12 Oktober 2026</t>
        </is>
      </c>
      <c r="M62" t="inlineStr">
        <is>
          <t>Konstruksi Gedung Perkantoran</t>
        </is>
      </c>
      <c r="N62" t="inlineStr">
        <is>
          <t>K</t>
        </is>
      </c>
      <c r="O62" t="inlineStr">
        <is>
          <t>20231010</t>
        </is>
      </c>
      <c r="P62" t="inlineStr">
        <is>
          <t>Sulawesi Utara</t>
        </is>
      </c>
      <c r="Q62" t="inlineStr"/>
    </row>
    <row r="63">
      <c r="A63" t="inlineStr">
        <is>
          <t>DIMENSI RUANG</t>
        </is>
      </c>
      <c r="B63" t="inlineStr">
        <is>
          <t>Kab. Toraja Utara</t>
        </is>
      </c>
      <c r="C63" t="inlineStr">
        <is>
          <t>081343945358</t>
        </is>
      </c>
      <c r="D63" t="inlineStr">
        <is>
          <t>dimensiruang2016@gmail.com</t>
        </is>
      </c>
      <c r="E63" t="inlineStr">
        <is>
          <t>https://lpjk.pu.go.id/search-badan-usaha-detail/ekZNQ0VRT3AwL3hsVkphNkVlSU9Edz09</t>
        </is>
      </c>
      <c r="F63" t="n">
        <v>2</v>
      </c>
      <c r="G63" t="inlineStr">
        <is>
          <t>AR001, RK003</t>
        </is>
      </c>
      <c r="H63" t="inlineStr">
        <is>
          <t>22 Juni 2012</t>
        </is>
      </c>
      <c r="I63" s="2" t="n">
        <v>46307</v>
      </c>
      <c r="J63" t="inlineStr">
        <is>
          <t>Disetujui</t>
        </is>
      </c>
      <c r="K63" t="n">
        <v>90</v>
      </c>
      <c r="L63" t="inlineStr">
        <is>
          <t>12 Oktober 2026</t>
        </is>
      </c>
      <c r="M63" t="inlineStr">
        <is>
          <t>Jasa Arsitektural Bangunan Gedung Hunian dan Non Hunian, Jasa Rekayasa Pekerjaan Teknik Sipil Transportasi</t>
        </is>
      </c>
      <c r="N63" t="inlineStr">
        <is>
          <t>K</t>
        </is>
      </c>
      <c r="O63" t="inlineStr">
        <is>
          <t>20230907, 20231003</t>
        </is>
      </c>
      <c r="P63" t="inlineStr">
        <is>
          <t>Sulawesi Selatan</t>
        </is>
      </c>
      <c r="Q63" t="inlineStr"/>
    </row>
    <row r="64">
      <c r="A64" t="inlineStr">
        <is>
          <t>DUA PUTRA</t>
        </is>
      </c>
      <c r="B64" t="inlineStr">
        <is>
          <t>Kab. Lampung Tengah</t>
        </is>
      </c>
      <c r="C64" t="inlineStr">
        <is>
          <t>082179199933</t>
        </is>
      </c>
      <c r="D64" t="inlineStr">
        <is>
          <t>cvduaputra11@gmail.com</t>
        </is>
      </c>
      <c r="E64" t="inlineStr">
        <is>
          <t>https://lpjk.pu.go.id/search-badan-usaha-detail/YlV6TFdIam1PQU9pTlFwSHhnQUV4dz09</t>
        </is>
      </c>
      <c r="F64" t="n">
        <v>5</v>
      </c>
      <c r="G64" t="inlineStr">
        <is>
          <t>BG006, BG009, BS001, BS002, BS004</t>
        </is>
      </c>
      <c r="H64" t="inlineStr">
        <is>
          <t>28 April 2006</t>
        </is>
      </c>
      <c r="I64" s="2" t="n">
        <v>46307</v>
      </c>
      <c r="J64" t="inlineStr">
        <is>
          <t>Disetujui</t>
        </is>
      </c>
      <c r="K64" t="n">
        <v>90</v>
      </c>
      <c r="L64" t="inlineStr">
        <is>
          <t>12 Oktober 2026</t>
        </is>
      </c>
      <c r="M64" t="inlineStr">
        <is>
          <t>Bangunan Sipil Jembatan, Jalan Layang, Fly Over, dan Underpass, Konstruksi Bangunan Sipil Jalan, Konstruksi Gedung Lainnya, Konstruksi Gedung Pendidikan, Konstruksi Jaringan Irigasi dan Drainase</t>
        </is>
      </c>
      <c r="N64" t="inlineStr">
        <is>
          <t>K</t>
        </is>
      </c>
      <c r="O64" t="inlineStr">
        <is>
          <t>20231007</t>
        </is>
      </c>
      <c r="P64" t="inlineStr">
        <is>
          <t>Lampung</t>
        </is>
      </c>
      <c r="Q64" t="inlineStr"/>
    </row>
    <row r="65">
      <c r="A65" t="inlineStr">
        <is>
          <t>DUA PUTRA NDAO</t>
        </is>
      </c>
      <c r="B65" t="inlineStr">
        <is>
          <t>Kota Kupang</t>
        </is>
      </c>
      <c r="C65" t="inlineStr">
        <is>
          <t>081239894217</t>
        </is>
      </c>
      <c r="D65" t="inlineStr">
        <is>
          <t>duaputrandao18@gmail.com</t>
        </is>
      </c>
      <c r="E65" t="inlineStr">
        <is>
          <t>https://lpjk.pu.go.id/search-badan-usaha-detail/L1lCQk5IUk5oUzBleGFSUTVTWFZoUT09</t>
        </is>
      </c>
      <c r="F65" t="n">
        <v>1</v>
      </c>
      <c r="G65" t="inlineStr">
        <is>
          <t>BS001</t>
        </is>
      </c>
      <c r="H65" t="inlineStr">
        <is>
          <t>17 April 2023</t>
        </is>
      </c>
      <c r="I65" s="2" t="n">
        <v>46307</v>
      </c>
      <c r="J65" t="inlineStr">
        <is>
          <t>Disetujui</t>
        </is>
      </c>
      <c r="K65" t="n">
        <v>90</v>
      </c>
      <c r="L65" t="inlineStr">
        <is>
          <t>12 Oktober 2026</t>
        </is>
      </c>
      <c r="M65" t="inlineStr">
        <is>
          <t>Konstruksi Bangunan Sipil Jalan</t>
        </is>
      </c>
      <c r="N65" t="inlineStr">
        <is>
          <t>K</t>
        </is>
      </c>
      <c r="O65" t="inlineStr">
        <is>
          <t>20231013</t>
        </is>
      </c>
      <c r="P65" t="inlineStr">
        <is>
          <t>Nusa Tenggara Timur</t>
        </is>
      </c>
      <c r="Q65" t="inlineStr"/>
    </row>
    <row r="66">
      <c r="A66" t="inlineStr">
        <is>
          <t>DUA RIBU LIMA</t>
        </is>
      </c>
      <c r="B66" t="inlineStr">
        <is>
          <t>Kab. Ogan Komering Ulu</t>
        </is>
      </c>
      <c r="C66" t="inlineStr">
        <is>
          <t>081274340463</t>
        </is>
      </c>
      <c r="D66" t="inlineStr">
        <is>
          <t>cvduaribulima@gmail.com</t>
        </is>
      </c>
      <c r="E66" t="inlineStr">
        <is>
          <t>https://lpjk.pu.go.id/search-badan-usaha-detail/V2Q1cWpEbXJFVFk1M29rK0x5UFE1Zz09</t>
        </is>
      </c>
      <c r="F66" t="n">
        <v>1</v>
      </c>
      <c r="G66" t="inlineStr">
        <is>
          <t>BS001</t>
        </is>
      </c>
      <c r="H66" t="inlineStr">
        <is>
          <t>25 November 2005</t>
        </is>
      </c>
      <c r="I66" s="2" t="n">
        <v>46307</v>
      </c>
      <c r="J66" t="inlineStr">
        <is>
          <t>Disetujui</t>
        </is>
      </c>
      <c r="K66" t="n">
        <v>90</v>
      </c>
      <c r="L66" t="inlineStr">
        <is>
          <t>12 Oktober 2026</t>
        </is>
      </c>
      <c r="M66" t="inlineStr">
        <is>
          <t>Konstruksi Bangunan Sipil Jalan</t>
        </is>
      </c>
      <c r="N66" t="inlineStr">
        <is>
          <t>K</t>
        </is>
      </c>
      <c r="O66" t="inlineStr">
        <is>
          <t>20231011</t>
        </is>
      </c>
      <c r="P66" t="inlineStr">
        <is>
          <t>Sumatera Selatan</t>
        </is>
      </c>
      <c r="Q66" t="inlineStr"/>
    </row>
    <row r="67">
      <c r="A67" t="inlineStr">
        <is>
          <t>DUMAI ANUGERAH PERKASA</t>
        </is>
      </c>
      <c r="B67" t="inlineStr">
        <is>
          <t>Kota Dumai</t>
        </is>
      </c>
      <c r="C67" t="inlineStr">
        <is>
          <t>085356525251</t>
        </is>
      </c>
      <c r="D67" t="inlineStr">
        <is>
          <t>dumaianugerahperkasa@gmail.com</t>
        </is>
      </c>
      <c r="E67" t="inlineStr">
        <is>
          <t>https://lpjk.pu.go.id/search-badan-usaha-detail/dWZFenYvNVNmWUhNNUFQa1REU1lZUT09</t>
        </is>
      </c>
      <c r="F67" t="n">
        <v>2</v>
      </c>
      <c r="G67" t="inlineStr">
        <is>
          <t>BG006</t>
        </is>
      </c>
      <c r="H67" t="inlineStr">
        <is>
          <t>30 Januari 2023</t>
        </is>
      </c>
      <c r="I67" s="2" t="n">
        <v>46307</v>
      </c>
      <c r="J67" t="inlineStr">
        <is>
          <t>Disetujui</t>
        </is>
      </c>
      <c r="K67" t="n">
        <v>90</v>
      </c>
      <c r="L67" t="inlineStr">
        <is>
          <t>12 Oktober 2026</t>
        </is>
      </c>
      <c r="M67" t="inlineStr">
        <is>
          <t>Konstruksi Gedung Pendidikan</t>
        </is>
      </c>
      <c r="N67" t="inlineStr">
        <is>
          <t>K</t>
        </is>
      </c>
      <c r="O67" t="inlineStr">
        <is>
          <t>20231011</t>
        </is>
      </c>
      <c r="P67" t="inlineStr">
        <is>
          <t>Riau</t>
        </is>
      </c>
      <c r="Q67" t="inlineStr"/>
    </row>
    <row r="68">
      <c r="A68" t="inlineStr">
        <is>
          <t>ERINA WIJAYA</t>
        </is>
      </c>
      <c r="B68" t="inlineStr">
        <is>
          <t>Kab. Kudus</t>
        </is>
      </c>
      <c r="C68" t="inlineStr">
        <is>
          <t>085641537290</t>
        </is>
      </c>
      <c r="D68" t="inlineStr">
        <is>
          <t>erinawijayaconsult@gmail.com</t>
        </is>
      </c>
      <c r="E68" t="inlineStr">
        <is>
          <t>https://lpjk.pu.go.id/search-badan-usaha-detail/Z08xQ2UwNnEzdVpVUFA2Q0YxTzhVZjgvQVU3VURFK2ViZTc4SG5vYm5ldz0</t>
        </is>
      </c>
      <c r="F68" t="n">
        <v>1</v>
      </c>
      <c r="G68" t="inlineStr">
        <is>
          <t>RK001</t>
        </is>
      </c>
      <c r="H68" t="inlineStr">
        <is>
          <t>26 Januari 2026</t>
        </is>
      </c>
      <c r="I68" s="2" t="n">
        <v>46307</v>
      </c>
      <c r="J68" t="inlineStr">
        <is>
          <t>Disetujui</t>
        </is>
      </c>
      <c r="K68" t="n">
        <v>90</v>
      </c>
      <c r="L68" t="inlineStr">
        <is>
          <t>12 Oktober 2026</t>
        </is>
      </c>
      <c r="M68" t="inlineStr">
        <is>
          <t>Jasa Rekayasa Konstruksi Bangunan Gedung Hunian dan Non Hunian</t>
        </is>
      </c>
      <c r="N68" t="inlineStr">
        <is>
          <t>K</t>
        </is>
      </c>
      <c r="O68" t="inlineStr">
        <is>
          <t>20231010</t>
        </is>
      </c>
      <c r="P68" t="inlineStr">
        <is>
          <t>Jawa Tengah</t>
        </is>
      </c>
      <c r="Q68" t="inlineStr"/>
    </row>
    <row r="69">
      <c r="A69" t="inlineStr">
        <is>
          <t>FATIH BAROKAH ALFARIZKI</t>
        </is>
      </c>
      <c r="B69" t="inlineStr">
        <is>
          <t>Kab. Sukabumi</t>
        </is>
      </c>
      <c r="C69" t="inlineStr">
        <is>
          <t>085713169600</t>
        </is>
      </c>
      <c r="D69" t="inlineStr">
        <is>
          <t>cvfatihbarokahalfarizki@gmail.com</t>
        </is>
      </c>
      <c r="E69" t="inlineStr">
        <is>
          <t>https://lpjk.pu.go.id/search-badan-usaha-detail/LzQzNnZlOTJsTXloOWNYOHczSG1VQT09</t>
        </is>
      </c>
      <c r="F69" t="n">
        <v>1</v>
      </c>
      <c r="G69" t="inlineStr">
        <is>
          <t>BS001</t>
        </is>
      </c>
      <c r="H69" t="inlineStr">
        <is>
          <t>18 September 2023</t>
        </is>
      </c>
      <c r="I69" s="2" t="n">
        <v>46307</v>
      </c>
      <c r="J69" t="inlineStr">
        <is>
          <t>Disetujui</t>
        </is>
      </c>
      <c r="K69" t="n">
        <v>90</v>
      </c>
      <c r="L69" t="inlineStr">
        <is>
          <t>12 Oktober 2026</t>
        </is>
      </c>
      <c r="M69" t="inlineStr">
        <is>
          <t>Konstruksi Bangunan Sipil Jalan</t>
        </is>
      </c>
      <c r="N69" t="inlineStr">
        <is>
          <t>K</t>
        </is>
      </c>
      <c r="O69" t="inlineStr">
        <is>
          <t>20231012</t>
        </is>
      </c>
      <c r="P69" t="inlineStr">
        <is>
          <t>Jawa Barat</t>
        </is>
      </c>
      <c r="Q69" t="inlineStr"/>
    </row>
    <row r="70">
      <c r="A70" t="inlineStr">
        <is>
          <t>FLORA NATAMA KARYA</t>
        </is>
      </c>
      <c r="B70" t="inlineStr">
        <is>
          <t>Kota Medan</t>
        </is>
      </c>
      <c r="C70" t="inlineStr">
        <is>
          <t>0617353879</t>
        </is>
      </c>
      <c r="D70" t="inlineStr">
        <is>
          <t>floranatamakarya20@gmail.com</t>
        </is>
      </c>
      <c r="E70" t="inlineStr">
        <is>
          <t>https://lpjk.pu.go.id/search-badan-usaha-detail/RWlWa3E4NDBiNFFUS1g5UnFIVFUzQT09</t>
        </is>
      </c>
      <c r="F70" t="n">
        <v>7</v>
      </c>
      <c r="G70" t="inlineStr">
        <is>
          <t>BG001, BG002, BG006, BG009, BS002, BS004, BS010</t>
        </is>
      </c>
      <c r="H70" t="inlineStr">
        <is>
          <t>9 Januari 2008</t>
        </is>
      </c>
      <c r="I70" s="2" t="n">
        <v>46307</v>
      </c>
      <c r="J70" t="inlineStr">
        <is>
          <t>Disetujui</t>
        </is>
      </c>
      <c r="K70" t="n">
        <v>90</v>
      </c>
      <c r="L70" t="inlineStr">
        <is>
          <t>12 Oktober 2026</t>
        </is>
      </c>
      <c r="M70" t="inlineStr">
        <is>
          <t>Bangunan Sipil Jembatan, Jalan Layang, Fly Over, dan Underpass, Konstruksi Bangunan Prasarana Sumber Daya Air, Konstruksi Gedung Hunian, Konstruksi Gedung Lainnya, Konstruksi Gedung Pendidikan, Konstruksi Gedung Perkantoran, Konstruksi Jaringan Irigasi dan Drainase</t>
        </is>
      </c>
      <c r="N70" t="inlineStr">
        <is>
          <t>K</t>
        </is>
      </c>
      <c r="O70" t="inlineStr">
        <is>
          <t>20231009, 20231010</t>
        </is>
      </c>
      <c r="P70" t="inlineStr">
        <is>
          <t>Sumatera Utara</t>
        </is>
      </c>
      <c r="Q70" t="inlineStr"/>
    </row>
    <row r="71">
      <c r="A71" t="inlineStr">
        <is>
          <t>GABE PUTRA</t>
        </is>
      </c>
      <c r="B71" t="inlineStr">
        <is>
          <t>Kota Medan</t>
        </is>
      </c>
      <c r="C71" t="inlineStr">
        <is>
          <t>0618456980</t>
        </is>
      </c>
      <c r="D71" t="inlineStr">
        <is>
          <t>gabeputra150@gmail.com</t>
        </is>
      </c>
      <c r="E71" t="inlineStr">
        <is>
          <t>https://lpjk.pu.go.id/search-badan-usaha-detail/MDlvWlVnQ0lXM1BlRGc4N09lMU40UT09</t>
        </is>
      </c>
      <c r="F71" t="n">
        <v>2</v>
      </c>
      <c r="G71" t="inlineStr">
        <is>
          <t>BS001, BS004</t>
        </is>
      </c>
      <c r="H71" t="inlineStr">
        <is>
          <t>22 Januari 2005</t>
        </is>
      </c>
      <c r="I71" s="2" t="n">
        <v>46307</v>
      </c>
      <c r="J71" t="inlineStr">
        <is>
          <t>Disetujui</t>
        </is>
      </c>
      <c r="K71" t="n">
        <v>90</v>
      </c>
      <c r="L71" t="inlineStr">
        <is>
          <t>12 Oktober 2026</t>
        </is>
      </c>
      <c r="M71" t="inlineStr">
        <is>
          <t>Konstruksi Bangunan Sipil Jalan, Konstruksi Jaringan Irigasi dan Drainase</t>
        </is>
      </c>
      <c r="N71" t="inlineStr">
        <is>
          <t>K</t>
        </is>
      </c>
      <c r="O71" t="inlineStr">
        <is>
          <t>20231010</t>
        </is>
      </c>
      <c r="P71" t="inlineStr">
        <is>
          <t>Sumatera Utara</t>
        </is>
      </c>
      <c r="Q71" t="inlineStr"/>
    </row>
    <row r="72">
      <c r="A72" t="inlineStr">
        <is>
          <t>GALUH PUSAKA</t>
        </is>
      </c>
      <c r="B72" t="inlineStr">
        <is>
          <t>Kab. Bandung Barat</t>
        </is>
      </c>
      <c r="C72" t="inlineStr">
        <is>
          <t>087821147394</t>
        </is>
      </c>
      <c r="D72" t="inlineStr">
        <is>
          <t>rasendria094@gmail.com</t>
        </is>
      </c>
      <c r="E72" t="inlineStr">
        <is>
          <t>https://lpjk.pu.go.id/search-badan-usaha-detail/QXgwdEN3QjJXVzd6RW1oSDdOOWNzUT09</t>
        </is>
      </c>
      <c r="F72" t="n">
        <v>1</v>
      </c>
      <c r="G72" t="inlineStr">
        <is>
          <t>BS001</t>
        </is>
      </c>
      <c r="H72" t="inlineStr">
        <is>
          <t>22 Juni 2012</t>
        </is>
      </c>
      <c r="I72" s="2" t="n">
        <v>46307</v>
      </c>
      <c r="J72" t="inlineStr">
        <is>
          <t>Disetujui</t>
        </is>
      </c>
      <c r="K72" t="n">
        <v>90</v>
      </c>
      <c r="L72" t="inlineStr">
        <is>
          <t>12 Oktober 2026</t>
        </is>
      </c>
      <c r="M72" t="inlineStr">
        <is>
          <t>Konstruksi Bangunan Sipil Jalan</t>
        </is>
      </c>
      <c r="N72" t="inlineStr">
        <is>
          <t>K</t>
        </is>
      </c>
      <c r="O72" t="inlineStr">
        <is>
          <t>20230731</t>
        </is>
      </c>
      <c r="P72" t="inlineStr">
        <is>
          <t>Jawa Barat</t>
        </is>
      </c>
      <c r="Q72" t="inlineStr"/>
    </row>
    <row r="73">
      <c r="A73" t="inlineStr">
        <is>
          <t>GELORA CIPTA JAYA</t>
        </is>
      </c>
      <c r="B73" t="inlineStr">
        <is>
          <t>Kota Adm. Jakarta Utara</t>
        </is>
      </c>
      <c r="C73" t="inlineStr">
        <is>
          <t>0877884436354</t>
        </is>
      </c>
      <c r="D73" t="inlineStr">
        <is>
          <t>ptgeloraciptajaya@gmail.com</t>
        </is>
      </c>
      <c r="E73" t="inlineStr">
        <is>
          <t>https://lpjk.pu.go.id/search-badan-usaha-detail/a1hBcWQ1bE5FNFZBL21mZmVGdzZQdz09</t>
        </is>
      </c>
      <c r="F73" t="n">
        <v>8</v>
      </c>
      <c r="G73" t="inlineStr">
        <is>
          <t>BG002, BG005, BG006, BG007, BG009, BS001, BS004</t>
        </is>
      </c>
      <c r="H73" t="inlineStr">
        <is>
          <t>13 Juli 2023</t>
        </is>
      </c>
      <c r="I73" s="2" t="n">
        <v>46307</v>
      </c>
      <c r="J73" t="inlineStr">
        <is>
          <t>Disetujui</t>
        </is>
      </c>
      <c r="K73" t="n">
        <v>90</v>
      </c>
      <c r="L73" t="inlineStr">
        <is>
          <t>12 Oktober 2026</t>
        </is>
      </c>
      <c r="M73" t="inlineStr">
        <is>
          <t>Konstruksi Bangunan Sipil Jalan, Konstruksi Gedung Kesehatan, Konstruksi Gedung Lainnya, Konstruksi Gedung Pendidikan, Konstruksi Gedung Penginapan, Konstruksi Gedung Perkantoran, Konstruksi Jaringan Irigasi dan Drainase</t>
        </is>
      </c>
      <c r="N73" t="inlineStr">
        <is>
          <t>K</t>
        </is>
      </c>
      <c r="O73" t="inlineStr">
        <is>
          <t>20231005</t>
        </is>
      </c>
      <c r="P73" t="inlineStr">
        <is>
          <t>DKI Jakarta</t>
        </is>
      </c>
      <c r="Q73" t="inlineStr"/>
    </row>
    <row r="74">
      <c r="A74" t="inlineStr">
        <is>
          <t>GEMALA</t>
        </is>
      </c>
      <c r="B74" t="inlineStr">
        <is>
          <t>Kab. Cirebon</t>
        </is>
      </c>
      <c r="C74" t="inlineStr">
        <is>
          <t>087848112362</t>
        </is>
      </c>
      <c r="D74" t="inlineStr">
        <is>
          <t>msuyanthi@yahoo.com</t>
        </is>
      </c>
      <c r="E74" t="inlineStr">
        <is>
          <t>https://lpjk.pu.go.id/search-badan-usaha-detail/ZDRPQUN1dDNpOVhTOUVUZ2J0OHFyZz09</t>
        </is>
      </c>
      <c r="F74" t="n">
        <v>2</v>
      </c>
      <c r="G74" t="inlineStr">
        <is>
          <t>BG005, BS001</t>
        </is>
      </c>
      <c r="H74" t="inlineStr">
        <is>
          <t>23 Oktober 2002</t>
        </is>
      </c>
      <c r="I74" s="2" t="n">
        <v>46307</v>
      </c>
      <c r="J74" t="inlineStr">
        <is>
          <t>Disetujui</t>
        </is>
      </c>
      <c r="K74" t="n">
        <v>90</v>
      </c>
      <c r="L74" t="inlineStr">
        <is>
          <t>12 Oktober 2026</t>
        </is>
      </c>
      <c r="M74" t="inlineStr">
        <is>
          <t>Konstruksi Bangunan Sipil Jalan, Konstruksi Gedung Kesehatan</t>
        </is>
      </c>
      <c r="N74" t="inlineStr">
        <is>
          <t>K</t>
        </is>
      </c>
      <c r="O74" t="inlineStr">
        <is>
          <t>20231010, 20231011</t>
        </is>
      </c>
      <c r="P74" t="inlineStr">
        <is>
          <t>Jawa Barat</t>
        </is>
      </c>
      <c r="Q74" t="inlineStr"/>
    </row>
    <row r="75">
      <c r="A75" t="inlineStr">
        <is>
          <t>GENTA CEMERLANG PROPERTI</t>
        </is>
      </c>
      <c r="B75" t="inlineStr">
        <is>
          <t>Kab. Solok</t>
        </is>
      </c>
      <c r="C75" t="inlineStr">
        <is>
          <t>08116655665</t>
        </is>
      </c>
      <c r="D75" t="inlineStr">
        <is>
          <t>gentacemerlangproperti@gmail.com</t>
        </is>
      </c>
      <c r="E75" t="inlineStr">
        <is>
          <t>https://lpjk.pu.go.id/search-badan-usaha-detail/RXpjK3A2VVk3UDRvbk9UUUFBRjlXdz09</t>
        </is>
      </c>
      <c r="F75" t="n">
        <v>1</v>
      </c>
      <c r="G75" t="inlineStr">
        <is>
          <t>BG001</t>
        </is>
      </c>
      <c r="H75" t="inlineStr">
        <is>
          <t>8 Mei 2023</t>
        </is>
      </c>
      <c r="I75" s="2" t="n">
        <v>46307</v>
      </c>
      <c r="J75" t="inlineStr">
        <is>
          <t>Disetujui</t>
        </is>
      </c>
      <c r="K75" t="n">
        <v>90</v>
      </c>
      <c r="L75" t="inlineStr">
        <is>
          <t>12 Oktober 2026</t>
        </is>
      </c>
      <c r="M75" t="inlineStr">
        <is>
          <t>Konstruksi Gedung Hunian</t>
        </is>
      </c>
      <c r="N75" t="inlineStr">
        <is>
          <t>K</t>
        </is>
      </c>
      <c r="O75" t="inlineStr">
        <is>
          <t>20231010</t>
        </is>
      </c>
      <c r="P75" t="inlineStr">
        <is>
          <t>Sumatera Barat</t>
        </is>
      </c>
      <c r="Q75" t="inlineStr"/>
    </row>
    <row r="76">
      <c r="A76" t="inlineStr">
        <is>
          <t>GLOBAL DAYA MANUNGGAL</t>
        </is>
      </c>
      <c r="B76" t="inlineStr">
        <is>
          <t>Kota Adm. Jakarta Barat</t>
        </is>
      </c>
      <c r="C76" t="inlineStr">
        <is>
          <t>0215654655</t>
        </is>
      </c>
      <c r="D76" t="inlineStr">
        <is>
          <t>gdm_global@yahoo.com</t>
        </is>
      </c>
      <c r="E76" t="inlineStr">
        <is>
          <t>https://lpjk.pu.go.id/search-badan-usaha-detail/dFF1bU1HZnJYRmNqNENsdWNUam1mQT09</t>
        </is>
      </c>
      <c r="F76" t="n">
        <v>1</v>
      </c>
      <c r="G76" t="inlineStr">
        <is>
          <t>BG008</t>
        </is>
      </c>
      <c r="H76" t="inlineStr">
        <is>
          <t>13 Juli 1984</t>
        </is>
      </c>
      <c r="I76" s="2" t="n">
        <v>46307</v>
      </c>
      <c r="J76" t="inlineStr">
        <is>
          <t>Pencabutan</t>
        </is>
      </c>
      <c r="K76" t="n">
        <v>90</v>
      </c>
      <c r="L76" t="inlineStr">
        <is>
          <t>12 Oktober 2026</t>
        </is>
      </c>
      <c r="M76" t="inlineStr">
        <is>
          <t>Konstruksi Gedung Tempat Hiburan dan Olahraga</t>
        </is>
      </c>
      <c r="N76" t="inlineStr">
        <is>
          <t>M</t>
        </is>
      </c>
      <c r="O76" t="inlineStr">
        <is>
          <t>20230830</t>
        </is>
      </c>
      <c r="P76" t="inlineStr">
        <is>
          <t>DKI Jakarta</t>
        </is>
      </c>
      <c r="Q76" t="inlineStr"/>
    </row>
    <row r="77">
      <c r="A77" t="inlineStr">
        <is>
          <t>GLOBAL KHATULISTIWA KONSULTAN</t>
        </is>
      </c>
      <c r="B77" t="inlineStr">
        <is>
          <t>Kota Pontianak</t>
        </is>
      </c>
      <c r="C77" t="inlineStr">
        <is>
          <t>085654537954</t>
        </is>
      </c>
      <c r="D77" t="inlineStr">
        <is>
          <t>globalkk@yahoo.co.id</t>
        </is>
      </c>
      <c r="E77" t="inlineStr">
        <is>
          <t>https://lpjk.pu.go.id/search-badan-usaha-detail/YnFrZ2d3eFNySWxlQmFuaEg3Vld4Zz09</t>
        </is>
      </c>
      <c r="F77" t="n">
        <v>1</v>
      </c>
      <c r="G77" t="inlineStr">
        <is>
          <t>RK003</t>
        </is>
      </c>
      <c r="H77" t="inlineStr">
        <is>
          <t>5 Juli 2005</t>
        </is>
      </c>
      <c r="I77" s="2" t="n">
        <v>46307</v>
      </c>
      <c r="J77" t="inlineStr">
        <is>
          <t>Disetujui</t>
        </is>
      </c>
      <c r="K77" t="n">
        <v>90</v>
      </c>
      <c r="L77" t="inlineStr">
        <is>
          <t>12 Oktober 2026</t>
        </is>
      </c>
      <c r="M77" t="inlineStr">
        <is>
          <t>Jasa Rekayasa Pekerjaan Teknik Sipil Transportasi</t>
        </is>
      </c>
      <c r="N77" t="inlineStr">
        <is>
          <t>K</t>
        </is>
      </c>
      <c r="O77" t="inlineStr">
        <is>
          <t>20231006</t>
        </is>
      </c>
      <c r="P77" t="inlineStr">
        <is>
          <t>Kalimantan Barat</t>
        </is>
      </c>
      <c r="Q77" t="inlineStr"/>
    </row>
    <row r="78">
      <c r="A78" t="inlineStr">
        <is>
          <t>GRAHA SARANA KONSTRUKSI</t>
        </is>
      </c>
      <c r="B78" t="inlineStr">
        <is>
          <t>Kab. Tuban</t>
        </is>
      </c>
      <c r="C78" t="inlineStr">
        <is>
          <t>082336164748</t>
        </is>
      </c>
      <c r="D78" t="inlineStr">
        <is>
          <t>pt.grahasaranakonstruksi@gmail.com</t>
        </is>
      </c>
      <c r="E78" t="inlineStr">
        <is>
          <t>https://lpjk.pu.go.id/search-badan-usaha-detail/aDVTcVRNdGRYemZtdWxlTUt3M3RLZz09</t>
        </is>
      </c>
      <c r="F78" t="n">
        <v>1</v>
      </c>
      <c r="G78" t="inlineStr">
        <is>
          <t>BG001</t>
        </is>
      </c>
      <c r="H78" t="inlineStr">
        <is>
          <t>4 Januari 2023</t>
        </is>
      </c>
      <c r="I78" s="2" t="n">
        <v>46307</v>
      </c>
      <c r="J78" t="inlineStr">
        <is>
          <t>Disetujui</t>
        </is>
      </c>
      <c r="K78" t="n">
        <v>90</v>
      </c>
      <c r="L78" t="inlineStr">
        <is>
          <t>12 Oktober 2026</t>
        </is>
      </c>
      <c r="M78" t="inlineStr">
        <is>
          <t>Konstruksi Gedung Hunian</t>
        </is>
      </c>
      <c r="N78" t="inlineStr">
        <is>
          <t>K</t>
        </is>
      </c>
      <c r="O78" t="inlineStr">
        <is>
          <t>20231011</t>
        </is>
      </c>
      <c r="P78" t="inlineStr">
        <is>
          <t>Jawa Timur</t>
        </is>
      </c>
      <c r="Q78" t="inlineStr"/>
    </row>
    <row r="79">
      <c r="A79" t="inlineStr">
        <is>
          <t>GRAHITA SEMBRANI KONSTRUKSI</t>
        </is>
      </c>
      <c r="B79" t="inlineStr">
        <is>
          <t>Kota Cimahi</t>
        </is>
      </c>
      <c r="C79" t="inlineStr">
        <is>
          <t>085222270411</t>
        </is>
      </c>
      <c r="D79" t="inlineStr">
        <is>
          <t>cv.grahitasembranikonstruksi@gmail.com</t>
        </is>
      </c>
      <c r="E79" t="inlineStr">
        <is>
          <t>https://lpjk.pu.go.id/search-badan-usaha-detail/OFRRSm5zMWRURFdzSFJuSzVCOEtsUT09</t>
        </is>
      </c>
      <c r="F79" t="n">
        <v>2</v>
      </c>
      <c r="G79" t="inlineStr">
        <is>
          <t>BG009, BS001</t>
        </is>
      </c>
      <c r="H79" t="inlineStr">
        <is>
          <t>2 Juni 2022</t>
        </is>
      </c>
      <c r="I79" s="2" t="n">
        <v>46307</v>
      </c>
      <c r="J79" t="inlineStr">
        <is>
          <t>Pencabutan</t>
        </is>
      </c>
      <c r="K79" t="n">
        <v>90</v>
      </c>
      <c r="L79" t="inlineStr">
        <is>
          <t>12 Oktober 2026</t>
        </is>
      </c>
      <c r="M79" t="inlineStr">
        <is>
          <t>Konstruksi Bangunan Sipil Jalan, Konstruksi Gedung Lainnya</t>
        </is>
      </c>
      <c r="N79" t="inlineStr">
        <is>
          <t>K</t>
        </is>
      </c>
      <c r="O79" t="inlineStr">
        <is>
          <t>20231013</t>
        </is>
      </c>
      <c r="P79" t="inlineStr">
        <is>
          <t>Jawa Barat</t>
        </is>
      </c>
      <c r="Q79" t="inlineStr"/>
    </row>
    <row r="80">
      <c r="A80" t="inlineStr">
        <is>
          <t>GRIYA CEMERLANG SEJAHTERA</t>
        </is>
      </c>
      <c r="B80" t="inlineStr">
        <is>
          <t>Kab. Tangerang</t>
        </is>
      </c>
      <c r="C80" t="inlineStr">
        <is>
          <t>081389010639</t>
        </is>
      </c>
      <c r="D80" t="inlineStr">
        <is>
          <t>pt.griyacemerlangsejahtera@gmail.com</t>
        </is>
      </c>
      <c r="E80" t="inlineStr">
        <is>
          <t>https://lpjk.pu.go.id/search-badan-usaha-detail/THFNYTdkZWdrcVkwKzJPVDRsTzRjZz09</t>
        </is>
      </c>
      <c r="F80" t="n">
        <v>1</v>
      </c>
      <c r="G80" t="inlineStr">
        <is>
          <t>BG004</t>
        </is>
      </c>
      <c r="H80" t="inlineStr">
        <is>
          <t>6 Juni 2015</t>
        </is>
      </c>
      <c r="I80" s="2" t="n">
        <v>46307</v>
      </c>
      <c r="J80" t="inlineStr">
        <is>
          <t>Disetujui</t>
        </is>
      </c>
      <c r="K80" t="n">
        <v>90</v>
      </c>
      <c r="L80" t="inlineStr">
        <is>
          <t>12 Oktober 2026</t>
        </is>
      </c>
      <c r="M80" t="inlineStr">
        <is>
          <t>Konstruksi Gedung Perbelanjaan</t>
        </is>
      </c>
      <c r="N80" t="inlineStr">
        <is>
          <t>B</t>
        </is>
      </c>
      <c r="O80" t="inlineStr">
        <is>
          <t>20231012</t>
        </is>
      </c>
      <c r="P80" t="inlineStr">
        <is>
          <t>Banten</t>
        </is>
      </c>
      <c r="Q80" t="inlineStr"/>
    </row>
    <row r="81">
      <c r="A81" t="inlineStr">
        <is>
          <t>HADED BARAKAT UTAMA</t>
        </is>
      </c>
      <c r="B81" t="inlineStr">
        <is>
          <t>Kab. Banjar</t>
        </is>
      </c>
      <c r="C81" t="inlineStr">
        <is>
          <t>081256673779</t>
        </is>
      </c>
      <c r="D81" t="inlineStr">
        <is>
          <t>hadedbarakat@gmail.com</t>
        </is>
      </c>
      <c r="E81" t="inlineStr">
        <is>
          <t>https://lpjk.pu.go.id/search-badan-usaha-detail/OHVuS1REK1ppa3JRaVJSQ2tYbnpXdz09</t>
        </is>
      </c>
      <c r="F81" t="n">
        <v>3</v>
      </c>
      <c r="G81" t="inlineStr">
        <is>
          <t>RK001, RK002, RK003</t>
        </is>
      </c>
      <c r="H81" t="inlineStr">
        <is>
          <t>17 Januari 2022</t>
        </is>
      </c>
      <c r="I81" s="2" t="n">
        <v>46307</v>
      </c>
      <c r="J81" t="inlineStr">
        <is>
          <t>Disetujui</t>
        </is>
      </c>
      <c r="K81" t="n">
        <v>90</v>
      </c>
      <c r="L81" t="inlineStr">
        <is>
          <t>12 Oktober 2026</t>
        </is>
      </c>
      <c r="M81" t="inlineStr">
        <is>
          <t>Jasa Rekayasa Konstruksi Bangunan Gedung Hunian dan Non Hunian, Jasa Rekayasa Pekerjaan Teknik Sipil Sumber Daya Air, Jasa Rekayasa Pekerjaan Teknik Sipil Transportasi</t>
        </is>
      </c>
      <c r="N81" t="inlineStr">
        <is>
          <t>K</t>
        </is>
      </c>
      <c r="O81" t="inlineStr">
        <is>
          <t>20230922</t>
        </is>
      </c>
      <c r="P81" t="inlineStr">
        <is>
          <t>Kalimantan Selatan</t>
        </is>
      </c>
      <c r="Q81" t="inlineStr"/>
    </row>
    <row r="82">
      <c r="A82" t="inlineStr">
        <is>
          <t>HADI MAKMUR</t>
        </is>
      </c>
      <c r="B82" t="inlineStr">
        <is>
          <t>Kab. Jombang</t>
        </is>
      </c>
      <c r="C82" t="inlineStr">
        <is>
          <t>085646120770</t>
        </is>
      </c>
      <c r="D82" t="inlineStr">
        <is>
          <t>arissafirotulf.ks115@gmail.com</t>
        </is>
      </c>
      <c r="E82" t="inlineStr">
        <is>
          <t>https://lpjk.pu.go.id/search-badan-usaha-detail/RDBWbU5YcDVhekxwTkRGVXNlVXkzUT09</t>
        </is>
      </c>
      <c r="F82" t="n">
        <v>1</v>
      </c>
      <c r="G82" t="inlineStr">
        <is>
          <t>BG006</t>
        </is>
      </c>
      <c r="H82" t="inlineStr">
        <is>
          <t>9 Maret 2019</t>
        </is>
      </c>
      <c r="I82" s="2" t="n">
        <v>46307</v>
      </c>
      <c r="J82" t="inlineStr">
        <is>
          <t>Pencabutan</t>
        </is>
      </c>
      <c r="K82" t="n">
        <v>90</v>
      </c>
      <c r="L82" t="inlineStr">
        <is>
          <t>12 Oktober 2026</t>
        </is>
      </c>
      <c r="M82" t="inlineStr">
        <is>
          <t>Konstruksi Gedung Pendidikan</t>
        </is>
      </c>
      <c r="N82" t="inlineStr">
        <is>
          <t>K</t>
        </is>
      </c>
      <c r="O82" t="inlineStr">
        <is>
          <t>20231011</t>
        </is>
      </c>
      <c r="P82" t="inlineStr">
        <is>
          <t>Jawa Timur</t>
        </is>
      </c>
      <c r="Q82" t="inlineStr"/>
    </row>
    <row r="83">
      <c r="A83" t="inlineStr">
        <is>
          <t>HASILKARYA DELTANUGRAHA</t>
        </is>
      </c>
      <c r="B83" t="inlineStr">
        <is>
          <t>Kota Bandung</t>
        </is>
      </c>
      <c r="C83" t="inlineStr">
        <is>
          <t>08122013366</t>
        </is>
      </c>
      <c r="D83" t="inlineStr">
        <is>
          <t>hasilkaryadeltanugraha@yahoo.co.id</t>
        </is>
      </c>
      <c r="E83" t="inlineStr">
        <is>
          <t>https://lpjk.pu.go.id/search-badan-usaha-detail/Y1RkRzhOclNJVlpvNm5CQWlLYXBGQT09</t>
        </is>
      </c>
      <c r="F83" t="n">
        <v>2</v>
      </c>
      <c r="G83" t="inlineStr">
        <is>
          <t>BG005, BG009</t>
        </is>
      </c>
      <c r="H83" t="inlineStr">
        <is>
          <t>19 Mei 1994</t>
        </is>
      </c>
      <c r="I83" s="2" t="n">
        <v>46307</v>
      </c>
      <c r="J83" t="inlineStr">
        <is>
          <t>Disetujui</t>
        </is>
      </c>
      <c r="K83" t="n">
        <v>90</v>
      </c>
      <c r="L83" t="inlineStr">
        <is>
          <t>12 Oktober 2026</t>
        </is>
      </c>
      <c r="M83" t="inlineStr">
        <is>
          <t>Konstruksi Gedung Kesehatan, Konstruksi Gedung Lainnya</t>
        </is>
      </c>
      <c r="N83" t="inlineStr">
        <is>
          <t>K</t>
        </is>
      </c>
      <c r="O83" t="inlineStr">
        <is>
          <t>20231010</t>
        </is>
      </c>
      <c r="P83" t="inlineStr">
        <is>
          <t>Jawa Barat</t>
        </is>
      </c>
      <c r="Q83" t="inlineStr"/>
    </row>
    <row r="84">
      <c r="A84" t="inlineStr">
        <is>
          <t>HASTA DELI PERSADA</t>
        </is>
      </c>
      <c r="B84" t="inlineStr">
        <is>
          <t>Kota Medan</t>
        </is>
      </c>
      <c r="C84" t="inlineStr">
        <is>
          <t>082362928899</t>
        </is>
      </c>
      <c r="D84" t="inlineStr">
        <is>
          <t>siharianto@gmail.com</t>
        </is>
      </c>
      <c r="E84" t="inlineStr">
        <is>
          <t>https://lpjk.pu.go.id/search-badan-usaha-detail/Z01oYVlQeXpXVWJvd0t0bTA1RXpqdz09</t>
        </is>
      </c>
      <c r="F84" t="n">
        <v>1</v>
      </c>
      <c r="G84" t="inlineStr">
        <is>
          <t>BG001</t>
        </is>
      </c>
      <c r="H84" t="inlineStr">
        <is>
          <t>28 Februari 2018</t>
        </is>
      </c>
      <c r="I84" s="2" t="n">
        <v>46307</v>
      </c>
      <c r="J84" t="inlineStr">
        <is>
          <t>Disetujui</t>
        </is>
      </c>
      <c r="K84" t="n">
        <v>90</v>
      </c>
      <c r="L84" t="inlineStr">
        <is>
          <t>12 Oktober 2026</t>
        </is>
      </c>
      <c r="M84" t="inlineStr">
        <is>
          <t>Konstruksi Gedung Hunian</t>
        </is>
      </c>
      <c r="N84" t="inlineStr">
        <is>
          <t>K</t>
        </is>
      </c>
      <c r="O84" t="inlineStr">
        <is>
          <t>20230918</t>
        </is>
      </c>
      <c r="P84" t="inlineStr">
        <is>
          <t>Sumatera Utara</t>
        </is>
      </c>
      <c r="Q84" t="inlineStr"/>
    </row>
    <row r="85">
      <c r="A85" t="inlineStr">
        <is>
          <t>IKHLAS</t>
        </is>
      </c>
      <c r="B85" t="inlineStr">
        <is>
          <t>Kab. Bondowoso</t>
        </is>
      </c>
      <c r="C85" t="inlineStr">
        <is>
          <t>081334851291</t>
        </is>
      </c>
      <c r="D85" t="inlineStr">
        <is>
          <t>cv.ikhlas@yahoo.co.id</t>
        </is>
      </c>
      <c r="E85" t="inlineStr">
        <is>
          <t>https://lpjk.pu.go.id/search-badan-usaha-detail/VFlYcTBFT0RSd2dIT1UwaHB6bnE0UT09</t>
        </is>
      </c>
      <c r="F85" t="n">
        <v>3</v>
      </c>
      <c r="G85" t="inlineStr">
        <is>
          <t>BG006, BS001, BS004</t>
        </is>
      </c>
      <c r="H85" t="inlineStr">
        <is>
          <t>22 Juni 2012</t>
        </is>
      </c>
      <c r="I85" s="2" t="n">
        <v>46307</v>
      </c>
      <c r="J85" t="inlineStr">
        <is>
          <t>Disetujui</t>
        </is>
      </c>
      <c r="K85" t="n">
        <v>90</v>
      </c>
      <c r="L85" t="inlineStr">
        <is>
          <t>12 Oktober 2026</t>
        </is>
      </c>
      <c r="M85" t="inlineStr">
        <is>
          <t>Konstruksi Bangunan Sipil Jalan, Konstruksi Gedung Pendidikan, Konstruksi Jaringan Irigasi dan Drainase</t>
        </is>
      </c>
      <c r="N85" t="inlineStr">
        <is>
          <t>K</t>
        </is>
      </c>
      <c r="O85" t="inlineStr">
        <is>
          <t>20230619, 20231010</t>
        </is>
      </c>
      <c r="P85" t="inlineStr">
        <is>
          <t>Jawa Timur</t>
        </is>
      </c>
      <c r="Q85" t="inlineStr"/>
    </row>
    <row r="86">
      <c r="A86" t="inlineStr">
        <is>
          <t>INDAH FLOWER</t>
        </is>
      </c>
      <c r="B86" t="inlineStr">
        <is>
          <t>Kab. Sidoarjo</t>
        </is>
      </c>
      <c r="C86" t="inlineStr">
        <is>
          <t>082266061513</t>
        </is>
      </c>
      <c r="D86" t="inlineStr">
        <is>
          <t>indahflower2020@gmail.com</t>
        </is>
      </c>
      <c r="E86" t="inlineStr">
        <is>
          <t>https://lpjk.pu.go.id/search-badan-usaha-detail/UDFDdG5hTFozRldOeDRYSHlBaDAwQT09</t>
        </is>
      </c>
      <c r="F86" t="n">
        <v>1</v>
      </c>
      <c r="G86" t="inlineStr">
        <is>
          <t>PB010</t>
        </is>
      </c>
      <c r="H86" t="inlineStr">
        <is>
          <t>16 Juni 2020</t>
        </is>
      </c>
      <c r="I86" s="2" t="n">
        <v>46307</v>
      </c>
      <c r="J86" t="inlineStr">
        <is>
          <t>Pembekuan</t>
        </is>
      </c>
      <c r="K86" t="n">
        <v>90</v>
      </c>
      <c r="L86" t="inlineStr">
        <is>
          <t>12 Oktober 2026</t>
        </is>
      </c>
      <c r="M86" t="inlineStr">
        <is>
          <t>Pekerjaan Lanskap, Pertamanan, dan Penanaman Vegetasi</t>
        </is>
      </c>
      <c r="N86" t="inlineStr">
        <is>
          <t>Spesialis</t>
        </is>
      </c>
      <c r="O86" t="inlineStr">
        <is>
          <t>20231013</t>
        </is>
      </c>
      <c r="P86" t="inlineStr">
        <is>
          <t>Jawa Timur</t>
        </is>
      </c>
      <c r="Q86" t="inlineStr"/>
    </row>
    <row r="87">
      <c r="A87" t="inlineStr">
        <is>
          <t>INDO PRATAMA</t>
        </is>
      </c>
      <c r="B87" t="inlineStr">
        <is>
          <t>Kab. Pasaman</t>
        </is>
      </c>
      <c r="C87" t="inlineStr">
        <is>
          <t>081277785025</t>
        </is>
      </c>
      <c r="D87" t="inlineStr">
        <is>
          <t>rezkihsb@gmail.com</t>
        </is>
      </c>
      <c r="E87" t="inlineStr">
        <is>
          <t>https://lpjk.pu.go.id/search-badan-usaha-detail/T3hieGszaFZ5YXh1ODFBNi9XRkFJUT09</t>
        </is>
      </c>
      <c r="F87" t="n">
        <v>2</v>
      </c>
      <c r="G87" t="inlineStr">
        <is>
          <t>BG005, BS004</t>
        </is>
      </c>
      <c r="H87" t="inlineStr">
        <is>
          <t>4 April 2012</t>
        </is>
      </c>
      <c r="I87" s="2" t="n">
        <v>46307</v>
      </c>
      <c r="J87" t="inlineStr">
        <is>
          <t>Disetujui</t>
        </is>
      </c>
      <c r="K87" t="n">
        <v>90</v>
      </c>
      <c r="L87" t="inlineStr">
        <is>
          <t>12 Oktober 2026</t>
        </is>
      </c>
      <c r="M87" t="inlineStr">
        <is>
          <t>Konstruksi Gedung Kesehatan, Konstruksi Jaringan Irigasi dan Drainase</t>
        </is>
      </c>
      <c r="N87" t="inlineStr">
        <is>
          <t>K</t>
        </is>
      </c>
      <c r="O87" t="inlineStr">
        <is>
          <t>20231012, 20231013</t>
        </is>
      </c>
      <c r="P87" t="inlineStr">
        <is>
          <t>Sumatera Barat</t>
        </is>
      </c>
      <c r="Q87" t="inlineStr"/>
    </row>
    <row r="88">
      <c r="A88" t="inlineStr">
        <is>
          <t>INDO SUPER TRAKTOR</t>
        </is>
      </c>
      <c r="B88" t="inlineStr">
        <is>
          <t>Kota Samarinda</t>
        </is>
      </c>
      <c r="C88" t="inlineStr">
        <is>
          <t>08115844124</t>
        </is>
      </c>
      <c r="D88" t="inlineStr">
        <is>
          <t>ptindosupertraktor@gmail.com</t>
        </is>
      </c>
      <c r="E88" t="inlineStr">
        <is>
          <t>https://lpjk.pu.go.id/search-badan-usaha-detail/MUp5Q2JXYm0zcHByblU2cmErcEZ0UT09</t>
        </is>
      </c>
      <c r="F88" t="n">
        <v>1</v>
      </c>
      <c r="G88" t="inlineStr">
        <is>
          <t>BS001</t>
        </is>
      </c>
      <c r="H88" t="inlineStr">
        <is>
          <t>11 Maret 2017</t>
        </is>
      </c>
      <c r="I88" s="2" t="n">
        <v>46307</v>
      </c>
      <c r="J88" t="inlineStr">
        <is>
          <t>Pencabutan</t>
        </is>
      </c>
      <c r="K88" t="n">
        <v>90</v>
      </c>
      <c r="L88" t="inlineStr">
        <is>
          <t>12 Oktober 2026</t>
        </is>
      </c>
      <c r="M88" t="inlineStr">
        <is>
          <t>Konstruksi Bangunan Sipil Jalan</t>
        </is>
      </c>
      <c r="N88" t="inlineStr">
        <is>
          <t>M</t>
        </is>
      </c>
      <c r="O88" t="inlineStr">
        <is>
          <t>20231012</t>
        </is>
      </c>
      <c r="P88" t="inlineStr">
        <is>
          <t>Kalimantan Timur</t>
        </is>
      </c>
      <c r="Q88" t="inlineStr"/>
    </row>
    <row r="89">
      <c r="A89" t="inlineStr">
        <is>
          <t>INDONAKANO</t>
        </is>
      </c>
      <c r="B89" t="inlineStr">
        <is>
          <t>Kota Adm. Jakarta Selatan</t>
        </is>
      </c>
      <c r="C89" t="inlineStr">
        <is>
          <t>021 39720897</t>
        </is>
      </c>
      <c r="D89" t="inlineStr">
        <is>
          <t>in01@indonakano.co.id</t>
        </is>
      </c>
      <c r="E89" t="inlineStr">
        <is>
          <t>https://lpjk.pu.go.id/search-badan-usaha-detail/MmVvSGsrS0lCRllIU3FYRFlXa0lLZz09</t>
        </is>
      </c>
      <c r="F89" t="n">
        <v>4</v>
      </c>
      <c r="G89" t="inlineStr">
        <is>
          <t>BG004</t>
        </is>
      </c>
      <c r="H89" t="inlineStr">
        <is>
          <t>19 September 1985</t>
        </is>
      </c>
      <c r="I89" s="2" t="n">
        <v>46307</v>
      </c>
      <c r="J89" t="inlineStr">
        <is>
          <t>Disetujui</t>
        </is>
      </c>
      <c r="K89" t="n">
        <v>90</v>
      </c>
      <c r="L89" t="inlineStr">
        <is>
          <t>12 Oktober 2026</t>
        </is>
      </c>
      <c r="M89" t="inlineStr">
        <is>
          <t>Konstruksi Gedung Perbelanjaan</t>
        </is>
      </c>
      <c r="N89" t="inlineStr">
        <is>
          <t>B</t>
        </is>
      </c>
      <c r="O89" t="inlineStr">
        <is>
          <t>20231002</t>
        </is>
      </c>
      <c r="P89" t="inlineStr">
        <is>
          <t>DKI Jakarta</t>
        </is>
      </c>
      <c r="Q89" t="inlineStr"/>
    </row>
    <row r="90">
      <c r="A90" t="inlineStr">
        <is>
          <t>JALAMAS SEBONE TELEKOMINDO</t>
        </is>
      </c>
      <c r="B90" t="inlineStr">
        <is>
          <t>Kota Adm. Jakarta Selatan</t>
        </is>
      </c>
      <c r="C90" t="inlineStr">
        <is>
          <t>081221220300</t>
        </is>
      </c>
      <c r="D90" t="inlineStr">
        <is>
          <t>jalamasstelekomindo@gmail.com</t>
        </is>
      </c>
      <c r="E90" t="inlineStr">
        <is>
          <t>https://lpjk.pu.go.id/search-badan-usaha-detail/dVpIajBrdDVmT1YvMWJaQUh4SmNrQT09</t>
        </is>
      </c>
      <c r="F90" t="n">
        <v>1</v>
      </c>
      <c r="G90" t="inlineStr">
        <is>
          <t>BS009</t>
        </is>
      </c>
      <c r="H90" t="inlineStr">
        <is>
          <t>31 Juli 2023</t>
        </is>
      </c>
      <c r="I90" s="2" t="n">
        <v>46307</v>
      </c>
      <c r="J90" t="inlineStr">
        <is>
          <t>Disetujui</t>
        </is>
      </c>
      <c r="K90" t="n">
        <v>90</v>
      </c>
      <c r="L90" t="inlineStr">
        <is>
          <t>12 Oktober 2026</t>
        </is>
      </c>
      <c r="M90" t="inlineStr">
        <is>
          <t>Konstruksi Sentral Telekomunikasi</t>
        </is>
      </c>
      <c r="N90" t="inlineStr">
        <is>
          <t>K</t>
        </is>
      </c>
      <c r="O90" t="inlineStr">
        <is>
          <t>20231011</t>
        </is>
      </c>
      <c r="P90" t="inlineStr">
        <is>
          <t>DKI Jakarta</t>
        </is>
      </c>
      <c r="Q90" t="inlineStr"/>
    </row>
    <row r="91">
      <c r="A91" t="inlineStr">
        <is>
          <t>JASA FAMILI KONSTRUKSI</t>
        </is>
      </c>
      <c r="B91" t="inlineStr">
        <is>
          <t>Kota Langsa</t>
        </is>
      </c>
      <c r="C91" t="inlineStr">
        <is>
          <t>08116801605</t>
        </is>
      </c>
      <c r="D91" t="inlineStr">
        <is>
          <t>cvjfk18@gmail.com</t>
        </is>
      </c>
      <c r="E91" t="inlineStr">
        <is>
          <t>https://lpjk.pu.go.id/search-badan-usaha-detail/SCtnZjlkZFM5NlE2WUNYTW9kOXVEUT09</t>
        </is>
      </c>
      <c r="F91" t="n">
        <v>1</v>
      </c>
      <c r="G91" t="inlineStr">
        <is>
          <t>PB004</t>
        </is>
      </c>
      <c r="H91" t="inlineStr">
        <is>
          <t>1 Februari 2018</t>
        </is>
      </c>
      <c r="I91" s="2" t="n">
        <v>46307</v>
      </c>
      <c r="J91" t="inlineStr">
        <is>
          <t>Disetujui</t>
        </is>
      </c>
      <c r="K91" t="n">
        <v>90</v>
      </c>
      <c r="L91" t="inlineStr">
        <is>
          <t>12 Oktober 2026</t>
        </is>
      </c>
      <c r="M91" t="inlineStr">
        <is>
          <t>Dekorasi Interior</t>
        </is>
      </c>
      <c r="N91" t="inlineStr">
        <is>
          <t>Spesialis</t>
        </is>
      </c>
      <c r="O91" t="inlineStr">
        <is>
          <t>20231012</t>
        </is>
      </c>
      <c r="P91" t="inlineStr">
        <is>
          <t>Aceh</t>
        </is>
      </c>
      <c r="Q91" t="inlineStr"/>
    </row>
    <row r="92">
      <c r="A92" t="inlineStr">
        <is>
          <t>JASA KONSTRUKSI</t>
        </is>
      </c>
      <c r="B92" t="inlineStr">
        <is>
          <t>Kab. Sintang</t>
        </is>
      </c>
      <c r="C92" t="inlineStr">
        <is>
          <t>085725163547</t>
        </is>
      </c>
      <c r="D92" t="inlineStr">
        <is>
          <t>jasakonstruksi754@gmail.com</t>
        </is>
      </c>
      <c r="E92" t="inlineStr">
        <is>
          <t>https://lpjk.pu.go.id/search-badan-usaha-detail/WmNUc0VtNWFmblhxNURsZ1JZYUwvQT09</t>
        </is>
      </c>
      <c r="F92" t="n">
        <v>1</v>
      </c>
      <c r="G92" t="inlineStr">
        <is>
          <t>BS005</t>
        </is>
      </c>
      <c r="H92" t="inlineStr">
        <is>
          <t>23 Januari 2018</t>
        </is>
      </c>
      <c r="I92" s="2" t="n">
        <v>46307</v>
      </c>
      <c r="J92" t="inlineStr">
        <is>
          <t>Disetujui</t>
        </is>
      </c>
      <c r="K92" t="n">
        <v>90</v>
      </c>
      <c r="L92" t="inlineStr">
        <is>
          <t>12 Oktober 2026</t>
        </is>
      </c>
      <c r="M92" t="inlineStr">
        <is>
          <t>Konstruksi Bangunan Sipil Pengolahan Air Bersih</t>
        </is>
      </c>
      <c r="N92" t="inlineStr">
        <is>
          <t>K</t>
        </is>
      </c>
      <c r="O92" t="inlineStr">
        <is>
          <t>20231008</t>
        </is>
      </c>
      <c r="P92" t="inlineStr">
        <is>
          <t>Kalimantan Barat</t>
        </is>
      </c>
      <c r="Q92" t="inlineStr"/>
    </row>
    <row r="93">
      <c r="A93" t="inlineStr">
        <is>
          <t>JATI BARU</t>
        </is>
      </c>
      <c r="B93" t="inlineStr">
        <is>
          <t>Kab. Banjar</t>
        </is>
      </c>
      <c r="C93" t="inlineStr">
        <is>
          <t>05114720155</t>
        </is>
      </c>
      <c r="D93" t="inlineStr">
        <is>
          <t>ptjatibaru37@gmail.com</t>
        </is>
      </c>
      <c r="E93" t="inlineStr">
        <is>
          <t>https://lpjk.pu.go.id/search-badan-usaha-detail/YWpGb0R0Z3BVNy92R1puQTkwUFpCZz09</t>
        </is>
      </c>
      <c r="F93" t="n">
        <v>1</v>
      </c>
      <c r="G93" t="inlineStr">
        <is>
          <t>BS001</t>
        </is>
      </c>
      <c r="H93" t="inlineStr">
        <is>
          <t>15 Agustus 1985</t>
        </is>
      </c>
      <c r="I93" s="2" t="n">
        <v>46307</v>
      </c>
      <c r="J93" t="inlineStr">
        <is>
          <t>Disetujui</t>
        </is>
      </c>
      <c r="K93" t="n">
        <v>90</v>
      </c>
      <c r="L93" t="inlineStr">
        <is>
          <t>12 Oktober 2026</t>
        </is>
      </c>
      <c r="M93" t="inlineStr">
        <is>
          <t>Konstruksi Bangunan Sipil Jalan</t>
        </is>
      </c>
      <c r="N93" t="inlineStr">
        <is>
          <t>M</t>
        </is>
      </c>
      <c r="O93" t="inlineStr">
        <is>
          <t>20231010</t>
        </is>
      </c>
      <c r="P93" t="inlineStr">
        <is>
          <t>Kalimantan Selatan</t>
        </is>
      </c>
      <c r="Q93" t="inlineStr"/>
    </row>
    <row r="94">
      <c r="A94" t="inlineStr">
        <is>
          <t>JAVADWIPA DUTA MANDIRI</t>
        </is>
      </c>
      <c r="B94" t="inlineStr">
        <is>
          <t>Kota Surabaya</t>
        </is>
      </c>
      <c r="C94" t="inlineStr">
        <is>
          <t>083849539666</t>
        </is>
      </c>
      <c r="D94" t="inlineStr">
        <is>
          <t>divlegaljdm@gmail.com</t>
        </is>
      </c>
      <c r="E94" t="inlineStr">
        <is>
          <t>https://lpjk.pu.go.id/search-badan-usaha-detail/cC9POGwwMXFRUmxXMm9kSmkxY1RNNkRMYnNWT1dWMjBBTjB0NDRNTmE0QT0</t>
        </is>
      </c>
      <c r="F94" t="n">
        <v>1</v>
      </c>
      <c r="G94" t="inlineStr">
        <is>
          <t>BS009</t>
        </is>
      </c>
      <c r="H94" t="inlineStr">
        <is>
          <t>11 Januari 2022</t>
        </is>
      </c>
      <c r="I94" s="2" t="n">
        <v>46307</v>
      </c>
      <c r="J94" t="inlineStr">
        <is>
          <t>Disetujui</t>
        </is>
      </c>
      <c r="K94" t="n">
        <v>90</v>
      </c>
      <c r="L94" t="inlineStr">
        <is>
          <t>12 Oktober 2026</t>
        </is>
      </c>
      <c r="M94" t="inlineStr">
        <is>
          <t>Konstruksi Sentral Telekomunikasi</t>
        </is>
      </c>
      <c r="N94" t="inlineStr">
        <is>
          <t>M</t>
        </is>
      </c>
      <c r="O94" t="inlineStr">
        <is>
          <t>20231006</t>
        </is>
      </c>
      <c r="P94" t="inlineStr">
        <is>
          <t>Jawa Timur</t>
        </is>
      </c>
      <c r="Q94" t="inlineStr"/>
    </row>
    <row r="95">
      <c r="A95" t="inlineStr">
        <is>
          <t>JAYA ABADI ELECTRICA</t>
        </is>
      </c>
      <c r="B95" t="inlineStr">
        <is>
          <t>Kota Pekanbaru</t>
        </is>
      </c>
      <c r="C95" t="inlineStr">
        <is>
          <t>082169289696</t>
        </is>
      </c>
      <c r="D95" t="inlineStr">
        <is>
          <t>jayaabadielectrica@gmail.com</t>
        </is>
      </c>
      <c r="E95" t="inlineStr">
        <is>
          <t>https://lpjk.pu.go.id/search-badan-usaha-detail/VTFqV0tXekVlSnBxVEVaK3dnOFQ4UT09</t>
        </is>
      </c>
      <c r="F95" t="n">
        <v>2</v>
      </c>
      <c r="G95" t="inlineStr">
        <is>
          <t>BS009, IN002</t>
        </is>
      </c>
      <c r="H95" t="inlineStr">
        <is>
          <t>16 Agustus 2023</t>
        </is>
      </c>
      <c r="I95" s="2" t="n">
        <v>46307</v>
      </c>
      <c r="J95" t="inlineStr">
        <is>
          <t>Disetujui, Pembekuan</t>
        </is>
      </c>
      <c r="K95" t="n">
        <v>90</v>
      </c>
      <c r="L95" t="inlineStr">
        <is>
          <t>12 Oktober 2026</t>
        </is>
      </c>
      <c r="M95" t="inlineStr">
        <is>
          <t>Instalasi Telekomunikasi, Konstruksi Sentral Telekomunikasi</t>
        </is>
      </c>
      <c r="N95" t="inlineStr">
        <is>
          <t>K, Spesialis</t>
        </is>
      </c>
      <c r="O95" t="inlineStr">
        <is>
          <t>20231012</t>
        </is>
      </c>
      <c r="P95" t="inlineStr">
        <is>
          <t>Riau</t>
        </is>
      </c>
      <c r="Q95" t="inlineStr"/>
    </row>
    <row r="96">
      <c r="A96" t="inlineStr">
        <is>
          <t>JAYA ABADI MEMBANGUN</t>
        </is>
      </c>
      <c r="B96" t="inlineStr">
        <is>
          <t>Kota Palembang</t>
        </is>
      </c>
      <c r="C96" t="inlineStr">
        <is>
          <t>082177778983</t>
        </is>
      </c>
      <c r="D96" t="inlineStr">
        <is>
          <t>cvjayaabadimembangun@gmail.com</t>
        </is>
      </c>
      <c r="E96" t="inlineStr">
        <is>
          <t>https://lpjk.pu.go.id/search-badan-usaha-detail/MTRnRmwvTU9GMkowL3YwU3FVV2hOUT09</t>
        </is>
      </c>
      <c r="F96" t="n">
        <v>1</v>
      </c>
      <c r="G96" t="inlineStr">
        <is>
          <t>BS001</t>
        </is>
      </c>
      <c r="H96" t="inlineStr">
        <is>
          <t>11 Januari 2016</t>
        </is>
      </c>
      <c r="I96" s="2" t="n">
        <v>46307</v>
      </c>
      <c r="J96" t="inlineStr">
        <is>
          <t>Disetujui</t>
        </is>
      </c>
      <c r="K96" t="n">
        <v>90</v>
      </c>
      <c r="L96" t="inlineStr">
        <is>
          <t>12 Oktober 2026</t>
        </is>
      </c>
      <c r="M96" t="inlineStr">
        <is>
          <t>Konstruksi Bangunan Sipil Jalan</t>
        </is>
      </c>
      <c r="N96" t="inlineStr">
        <is>
          <t>K</t>
        </is>
      </c>
      <c r="O96" t="inlineStr">
        <is>
          <t>20231011</t>
        </is>
      </c>
      <c r="P96" t="inlineStr">
        <is>
          <t>Sumatera Selatan</t>
        </is>
      </c>
      <c r="Q96" t="inlineStr"/>
    </row>
    <row r="97">
      <c r="A97" t="inlineStr">
        <is>
          <t>JAYA MULYA KONSTRUKSI</t>
        </is>
      </c>
      <c r="B97" t="inlineStr">
        <is>
          <t>Kota Semarang</t>
        </is>
      </c>
      <c r="C97" t="inlineStr">
        <is>
          <t>(024) 76417440</t>
        </is>
      </c>
      <c r="D97" t="inlineStr">
        <is>
          <t>jayamulyakonstruksi@gmail.com</t>
        </is>
      </c>
      <c r="E97" t="inlineStr">
        <is>
          <t>https://lpjk.pu.go.id/search-badan-usaha-detail/QWZ0NCs1K3JWWUpZL0NGN3o3a1p1QT09</t>
        </is>
      </c>
      <c r="F97" t="n">
        <v>1</v>
      </c>
      <c r="G97" t="inlineStr">
        <is>
          <t>BS001</t>
        </is>
      </c>
      <c r="H97" t="inlineStr">
        <is>
          <t>18 Desember 2018</t>
        </is>
      </c>
      <c r="I97" s="2" t="n">
        <v>46307</v>
      </c>
      <c r="J97" t="inlineStr">
        <is>
          <t>Disetujui</t>
        </is>
      </c>
      <c r="K97" t="n">
        <v>90</v>
      </c>
      <c r="L97" t="inlineStr">
        <is>
          <t>12 Oktober 2026</t>
        </is>
      </c>
      <c r="M97" t="inlineStr">
        <is>
          <t>Konstruksi Bangunan Sipil Jalan</t>
        </is>
      </c>
      <c r="N97" t="inlineStr">
        <is>
          <t>K</t>
        </is>
      </c>
      <c r="O97" t="inlineStr">
        <is>
          <t>20231009</t>
        </is>
      </c>
      <c r="P97" t="inlineStr">
        <is>
          <t>Jawa Tengah</t>
        </is>
      </c>
      <c r="Q97" t="inlineStr"/>
    </row>
    <row r="98">
      <c r="A98" t="inlineStr">
        <is>
          <t>JAYA RAFFA MANDIRI</t>
        </is>
      </c>
      <c r="B98" t="inlineStr">
        <is>
          <t>Kab. Jayawijaya</t>
        </is>
      </c>
      <c r="C98" t="inlineStr">
        <is>
          <t>082199063689</t>
        </is>
      </c>
      <c r="D98" t="inlineStr">
        <is>
          <t>lokobalserianus891@gmail.com</t>
        </is>
      </c>
      <c r="E98" t="inlineStr">
        <is>
          <t>https://lpjk.pu.go.id/search-badan-usaha-detail/N1cvR2JrT3Jyd1B0RFNEb05QajE4QT09</t>
        </is>
      </c>
      <c r="F98" t="n">
        <v>1</v>
      </c>
      <c r="G98" t="inlineStr">
        <is>
          <t>BS001</t>
        </is>
      </c>
      <c r="H98" t="inlineStr">
        <is>
          <t>22 Mei 2023</t>
        </is>
      </c>
      <c r="I98" s="2" t="n">
        <v>46307</v>
      </c>
      <c r="J98" t="inlineStr">
        <is>
          <t>Disetujui</t>
        </is>
      </c>
      <c r="K98" t="n">
        <v>90</v>
      </c>
      <c r="L98" t="inlineStr">
        <is>
          <t>12 Oktober 2026</t>
        </is>
      </c>
      <c r="M98" t="inlineStr">
        <is>
          <t>Konstruksi Bangunan Sipil Jalan</t>
        </is>
      </c>
      <c r="N98" t="inlineStr">
        <is>
          <t>K</t>
        </is>
      </c>
      <c r="O98" t="inlineStr">
        <is>
          <t>20231007</t>
        </is>
      </c>
      <c r="P98" t="inlineStr">
        <is>
          <t>Papua</t>
        </is>
      </c>
      <c r="Q98" t="inlineStr"/>
    </row>
    <row r="99">
      <c r="A99" t="inlineStr">
        <is>
          <t>JEJAK TRIKARYA PERKASA</t>
        </is>
      </c>
      <c r="B99" t="inlineStr">
        <is>
          <t>Kota Adm. Jakarta Selatan</t>
        </is>
      </c>
      <c r="C99" t="inlineStr">
        <is>
          <t>081222617333</t>
        </is>
      </c>
      <c r="D99" t="inlineStr">
        <is>
          <t>rockyleroylumowa@gmail.com</t>
        </is>
      </c>
      <c r="E99" t="inlineStr">
        <is>
          <t>https://lpjk.pu.go.id/search-badan-usaha-detail/bnRIdWdpcWZUbU8zRlEyUTlYTHVpUT09</t>
        </is>
      </c>
      <c r="F99" t="n">
        <v>1</v>
      </c>
      <c r="G99" t="inlineStr">
        <is>
          <t>BG008</t>
        </is>
      </c>
      <c r="H99" t="inlineStr">
        <is>
          <t>24 Agustus 2023</t>
        </is>
      </c>
      <c r="I99" s="2" t="n">
        <v>46307</v>
      </c>
      <c r="J99" t="inlineStr">
        <is>
          <t>Pencabutan</t>
        </is>
      </c>
      <c r="K99" t="n">
        <v>90</v>
      </c>
      <c r="L99" t="inlineStr">
        <is>
          <t>12 Oktober 2026</t>
        </is>
      </c>
      <c r="M99" t="inlineStr">
        <is>
          <t>Konstruksi Gedung Tempat Hiburan dan Olahraga</t>
        </is>
      </c>
      <c r="N99" t="inlineStr">
        <is>
          <t>K</t>
        </is>
      </c>
      <c r="O99" t="inlineStr">
        <is>
          <t>20230930</t>
        </is>
      </c>
      <c r="P99" t="inlineStr">
        <is>
          <t>DKI Jakarta</t>
        </is>
      </c>
      <c r="Q99" t="inlineStr"/>
    </row>
    <row r="100">
      <c r="A100" t="inlineStr">
        <is>
          <t>KARYA AGI</t>
        </is>
      </c>
      <c r="B100" t="inlineStr">
        <is>
          <t>Kota Padang</t>
        </is>
      </c>
      <c r="C100" t="inlineStr">
        <is>
          <t>08126789604</t>
        </is>
      </c>
      <c r="D100" t="inlineStr">
        <is>
          <t>ptkaria_agi@yahoo.com</t>
        </is>
      </c>
      <c r="E100" t="inlineStr">
        <is>
          <t>https://lpjk.pu.go.id/search-badan-usaha-detail/ZEtZTC9HUmJBMCtKM1FsRkdGVEFyUT09</t>
        </is>
      </c>
      <c r="F100" t="n">
        <v>2</v>
      </c>
      <c r="G100" t="inlineStr">
        <is>
          <t>BG002, BG003</t>
        </is>
      </c>
      <c r="H100" t="inlineStr">
        <is>
          <t>23 Agustus 2011</t>
        </is>
      </c>
      <c r="I100" s="2" t="n">
        <v>46307</v>
      </c>
      <c r="J100" t="inlineStr">
        <is>
          <t>Pencabutan</t>
        </is>
      </c>
      <c r="K100" t="n">
        <v>90</v>
      </c>
      <c r="L100" t="inlineStr">
        <is>
          <t>12 Oktober 2026</t>
        </is>
      </c>
      <c r="M100" t="inlineStr">
        <is>
          <t>Konstruksi Gedung Industri, Konstruksi Gedung Perkantoran</t>
        </is>
      </c>
      <c r="N100" t="inlineStr">
        <is>
          <t>K</t>
        </is>
      </c>
      <c r="O100" t="inlineStr">
        <is>
          <t>20230922</t>
        </is>
      </c>
      <c r="P100" t="inlineStr">
        <is>
          <t>Sumatera Barat</t>
        </is>
      </c>
      <c r="Q100" t="inlineStr"/>
    </row>
    <row r="101">
      <c r="A101" t="inlineStr">
        <is>
          <t>KARYA MULTI PRIMA</t>
        </is>
      </c>
      <c r="B101" t="inlineStr">
        <is>
          <t>Kota Adm. Jakarta Barat</t>
        </is>
      </c>
      <c r="C101" t="inlineStr">
        <is>
          <t>0215803280</t>
        </is>
      </c>
      <c r="D101" t="inlineStr">
        <is>
          <t>karyamultiprima.finance@gmail.com</t>
        </is>
      </c>
      <c r="E101" t="inlineStr">
        <is>
          <t>https://lpjk.pu.go.id/search-badan-usaha-detail/UjBBMzJHM25seXY5TGI5VzFYR3dRZz09</t>
        </is>
      </c>
      <c r="F101" t="n">
        <v>1</v>
      </c>
      <c r="G101" t="inlineStr">
        <is>
          <t>BS002</t>
        </is>
      </c>
      <c r="H101" t="inlineStr">
        <is>
          <t>18 Februari 2005</t>
        </is>
      </c>
      <c r="I101" s="2" t="n">
        <v>46307</v>
      </c>
      <c r="J101" t="inlineStr">
        <is>
          <t>Disetujui</t>
        </is>
      </c>
      <c r="K101" t="n">
        <v>90</v>
      </c>
      <c r="L101" t="inlineStr">
        <is>
          <t>12 Oktober 2026</t>
        </is>
      </c>
      <c r="M101" t="inlineStr">
        <is>
          <t>Bangunan Sipil Jembatan, Jalan Layang, Fly Over, dan Underpass</t>
        </is>
      </c>
      <c r="N101" t="inlineStr">
        <is>
          <t>K</t>
        </is>
      </c>
      <c r="O101" t="inlineStr">
        <is>
          <t>20231009</t>
        </is>
      </c>
      <c r="P101" t="inlineStr">
        <is>
          <t>DKI Jakarta</t>
        </is>
      </c>
      <c r="Q101" t="inlineStr"/>
    </row>
    <row r="102">
      <c r="A102" t="inlineStr">
        <is>
          <t>KEMBANG SEREH</t>
        </is>
      </c>
      <c r="B102" t="inlineStr">
        <is>
          <t>Kab. Blitar</t>
        </is>
      </c>
      <c r="C102" t="inlineStr">
        <is>
          <t>085655721828</t>
        </is>
      </c>
      <c r="D102" t="inlineStr">
        <is>
          <t>kembangsereh78@gmail.com</t>
        </is>
      </c>
      <c r="E102" t="inlineStr">
        <is>
          <t>https://lpjk.pu.go.id/search-badan-usaha-detail/ejRrUFN0ZXc1MEZyVXE2bG1aZllYUT09</t>
        </is>
      </c>
      <c r="F102" t="n">
        <v>1</v>
      </c>
      <c r="G102" t="inlineStr">
        <is>
          <t>BS004</t>
        </is>
      </c>
      <c r="H102" t="inlineStr">
        <is>
          <t>13 Maret 2015</t>
        </is>
      </c>
      <c r="I102" s="2" t="n">
        <v>46307</v>
      </c>
      <c r="J102" t="inlineStr">
        <is>
          <t>Disetujui</t>
        </is>
      </c>
      <c r="K102" t="n">
        <v>90</v>
      </c>
      <c r="L102" t="inlineStr">
        <is>
          <t>12 Oktober 2026</t>
        </is>
      </c>
      <c r="M102" t="inlineStr">
        <is>
          <t>Konstruksi Jaringan Irigasi dan Drainase</t>
        </is>
      </c>
      <c r="N102" t="inlineStr">
        <is>
          <t>K</t>
        </is>
      </c>
      <c r="O102" t="inlineStr">
        <is>
          <t>20231007</t>
        </is>
      </c>
      <c r="P102" t="inlineStr">
        <is>
          <t>Jawa Timur</t>
        </is>
      </c>
      <c r="Q102" t="inlineStr"/>
    </row>
    <row r="103">
      <c r="A103" t="inlineStr">
        <is>
          <t>KENCANA HUTAMA NUSANTARA</t>
        </is>
      </c>
      <c r="B103" t="inlineStr">
        <is>
          <t>Kab. Pelalawan</t>
        </is>
      </c>
      <c r="C103" t="inlineStr">
        <is>
          <t>085265806258</t>
        </is>
      </c>
      <c r="D103" t="inlineStr">
        <is>
          <t>khn_pt@yahoo.co.id</t>
        </is>
      </c>
      <c r="E103" t="inlineStr">
        <is>
          <t>https://lpjk.pu.go.id/search-badan-usaha-detail/UVFwUERCVlNPSHZaMFNUU09hSDFyZz09</t>
        </is>
      </c>
      <c r="F103" t="n">
        <v>1</v>
      </c>
      <c r="G103" t="inlineStr">
        <is>
          <t>BG001</t>
        </is>
      </c>
      <c r="H103" t="inlineStr">
        <is>
          <t>29 Februari 2012</t>
        </is>
      </c>
      <c r="I103" s="2" t="n">
        <v>46307</v>
      </c>
      <c r="J103" t="inlineStr">
        <is>
          <t>Disetujui</t>
        </is>
      </c>
      <c r="K103" t="n">
        <v>90</v>
      </c>
      <c r="L103" t="inlineStr">
        <is>
          <t>12 Oktober 2026</t>
        </is>
      </c>
      <c r="M103" t="inlineStr">
        <is>
          <t>Konstruksi Gedung Hunian</t>
        </is>
      </c>
      <c r="N103" t="inlineStr">
        <is>
          <t>K</t>
        </is>
      </c>
      <c r="O103" t="inlineStr">
        <is>
          <t>20231005</t>
        </is>
      </c>
      <c r="P103" t="inlineStr">
        <is>
          <t>Riau</t>
        </is>
      </c>
      <c r="Q103" t="inlineStr"/>
    </row>
    <row r="104">
      <c r="A104" t="inlineStr">
        <is>
          <t>KENCANA MAS</t>
        </is>
      </c>
      <c r="B104" t="inlineStr">
        <is>
          <t>Kab. Indramayu</t>
        </is>
      </c>
      <c r="C104" t="inlineStr">
        <is>
          <t>08122218341</t>
        </is>
      </c>
      <c r="D104" t="inlineStr">
        <is>
          <t>kencanamascv13@gmail.com</t>
        </is>
      </c>
      <c r="E104" t="inlineStr">
        <is>
          <t>https://lpjk.pu.go.id/search-badan-usaha-detail/OExCcFBmOXlJRG9kYmt1UnhYVHRWZz09</t>
        </is>
      </c>
      <c r="F104" t="n">
        <v>1</v>
      </c>
      <c r="G104" t="inlineStr">
        <is>
          <t>BG006</t>
        </is>
      </c>
      <c r="H104" t="inlineStr">
        <is>
          <t>24 Januari 2002</t>
        </is>
      </c>
      <c r="I104" s="2" t="n">
        <v>46307</v>
      </c>
      <c r="J104" t="inlineStr">
        <is>
          <t>Disetujui</t>
        </is>
      </c>
      <c r="K104" t="n">
        <v>90</v>
      </c>
      <c r="L104" t="inlineStr">
        <is>
          <t>12 Oktober 2026</t>
        </is>
      </c>
      <c r="M104" t="inlineStr">
        <is>
          <t>Konstruksi Gedung Pendidikan</t>
        </is>
      </c>
      <c r="N104" t="inlineStr">
        <is>
          <t>K</t>
        </is>
      </c>
      <c r="O104" t="inlineStr">
        <is>
          <t>20230622</t>
        </is>
      </c>
      <c r="P104" t="inlineStr">
        <is>
          <t>Jawa Barat</t>
        </is>
      </c>
      <c r="Q104" t="inlineStr"/>
    </row>
    <row r="105">
      <c r="A105" t="inlineStr">
        <is>
          <t>KHARISMA MITRA SEJAJAR</t>
        </is>
      </c>
      <c r="B105" t="inlineStr">
        <is>
          <t>Kota Manado</t>
        </is>
      </c>
      <c r="C105" t="inlineStr">
        <is>
          <t>085240342620</t>
        </is>
      </c>
      <c r="D105" t="inlineStr">
        <is>
          <t>rumah.kharisma@yahoo.com</t>
        </is>
      </c>
      <c r="E105" t="inlineStr">
        <is>
          <t>https://lpjk.pu.go.id/search-badan-usaha-detail/bmZPUXNkV0tkZ0djV09UMzFPemJaZz09</t>
        </is>
      </c>
      <c r="F105" t="n">
        <v>2</v>
      </c>
      <c r="G105" t="inlineStr">
        <is>
          <t>BG001</t>
        </is>
      </c>
      <c r="H105" t="inlineStr">
        <is>
          <t>29 Maret 2007</t>
        </is>
      </c>
      <c r="I105" s="2" t="n">
        <v>46307</v>
      </c>
      <c r="J105" t="inlineStr">
        <is>
          <t>Disetujui</t>
        </is>
      </c>
      <c r="K105" t="n">
        <v>90</v>
      </c>
      <c r="L105" t="inlineStr">
        <is>
          <t>12 Oktober 2026</t>
        </is>
      </c>
      <c r="M105" t="inlineStr">
        <is>
          <t>Konstruksi Gedung Hunian</t>
        </is>
      </c>
      <c r="N105" t="inlineStr">
        <is>
          <t>K</t>
        </is>
      </c>
      <c r="O105" t="inlineStr">
        <is>
          <t>20231006</t>
        </is>
      </c>
      <c r="P105" t="inlineStr">
        <is>
          <t>Sulawesi Utara</t>
        </is>
      </c>
      <c r="Q105" t="inlineStr"/>
    </row>
    <row r="106">
      <c r="A106" t="inlineStr">
        <is>
          <t>KUNCI WIJAYA</t>
        </is>
      </c>
      <c r="B106" t="inlineStr">
        <is>
          <t>Kab. Cilacap</t>
        </is>
      </c>
      <c r="C106" t="inlineStr">
        <is>
          <t>081804990999</t>
        </is>
      </c>
      <c r="D106" t="inlineStr">
        <is>
          <t>kunciwijaya@gmail.com</t>
        </is>
      </c>
      <c r="E106" t="inlineStr">
        <is>
          <t>https://lpjk.pu.go.id/search-badan-usaha-detail/UEFZWVAvc2VNQ1F2Y2VocUF3S2lMZz09</t>
        </is>
      </c>
      <c r="F106" t="n">
        <v>1</v>
      </c>
      <c r="G106" t="inlineStr">
        <is>
          <t>BS001</t>
        </is>
      </c>
      <c r="H106" t="inlineStr">
        <is>
          <t>14 Juni 1982</t>
        </is>
      </c>
      <c r="I106" s="2" t="n">
        <v>46307</v>
      </c>
      <c r="J106" t="inlineStr">
        <is>
          <t>Disetujui</t>
        </is>
      </c>
      <c r="K106" t="n">
        <v>90</v>
      </c>
      <c r="L106" t="inlineStr">
        <is>
          <t>12 Oktober 2026</t>
        </is>
      </c>
      <c r="M106" t="inlineStr">
        <is>
          <t>Konstruksi Bangunan Sipil Jalan</t>
        </is>
      </c>
      <c r="N106" t="inlineStr">
        <is>
          <t>K</t>
        </is>
      </c>
      <c r="O106" t="inlineStr">
        <is>
          <t>20231005</t>
        </is>
      </c>
      <c r="P106" t="inlineStr">
        <is>
          <t>Jawa Tengah</t>
        </is>
      </c>
      <c r="Q106" t="inlineStr"/>
    </row>
    <row r="107">
      <c r="A107" t="inlineStr">
        <is>
          <t>KURNIA AKBAR</t>
        </is>
      </c>
      <c r="B107" t="inlineStr">
        <is>
          <t>Kab. Bangka Barat</t>
        </is>
      </c>
      <c r="C107" t="inlineStr">
        <is>
          <t>081994128908</t>
        </is>
      </c>
      <c r="D107" t="inlineStr">
        <is>
          <t>kurniaakbar1717@gmail.com</t>
        </is>
      </c>
      <c r="E107" t="inlineStr">
        <is>
          <t>https://lpjk.pu.go.id/search-badan-usaha-detail/c1NJMlVGSEFvVk55bjVRSGFkL1prdz09</t>
        </is>
      </c>
      <c r="F107" t="n">
        <v>1</v>
      </c>
      <c r="G107" t="inlineStr">
        <is>
          <t>BS004</t>
        </is>
      </c>
      <c r="H107" t="inlineStr">
        <is>
          <t>22 Oktober 2002</t>
        </is>
      </c>
      <c r="I107" s="2" t="n">
        <v>46307</v>
      </c>
      <c r="J107" t="inlineStr">
        <is>
          <t>Disetujui</t>
        </is>
      </c>
      <c r="K107" t="n">
        <v>90</v>
      </c>
      <c r="L107" t="inlineStr">
        <is>
          <t>12 Oktober 2026</t>
        </is>
      </c>
      <c r="M107" t="inlineStr">
        <is>
          <t>Konstruksi Jaringan Irigasi dan Drainase</t>
        </is>
      </c>
      <c r="N107" t="inlineStr">
        <is>
          <t>K</t>
        </is>
      </c>
      <c r="O107" t="inlineStr">
        <is>
          <t>20231005</t>
        </is>
      </c>
      <c r="P107" t="inlineStr">
        <is>
          <t>Kepulauan Bangka Belitung</t>
        </is>
      </c>
      <c r="Q107" t="inlineStr"/>
    </row>
    <row r="108">
      <c r="A108" t="inlineStr">
        <is>
          <t>LINK AMERTA</t>
        </is>
      </c>
      <c r="B108" t="inlineStr">
        <is>
          <t>Kota Kendari</t>
        </is>
      </c>
      <c r="C108" t="inlineStr">
        <is>
          <t>082117375596</t>
        </is>
      </c>
      <c r="D108" t="inlineStr">
        <is>
          <t>linkamerta1@gmail.com</t>
        </is>
      </c>
      <c r="E108" t="inlineStr">
        <is>
          <t>https://lpjk.pu.go.id/search-badan-usaha-detail/T2prSXpuWExUM0c3SFJRUDU2KzFCUT09</t>
        </is>
      </c>
      <c r="F108" t="n">
        <v>2</v>
      </c>
      <c r="G108" t="inlineStr">
        <is>
          <t>BG006, BG009</t>
        </is>
      </c>
      <c r="H108" t="inlineStr">
        <is>
          <t>31 Agustus 2023</t>
        </is>
      </c>
      <c r="I108" s="2" t="n">
        <v>46307</v>
      </c>
      <c r="J108" t="inlineStr">
        <is>
          <t>Disetujui</t>
        </is>
      </c>
      <c r="K108" t="n">
        <v>90</v>
      </c>
      <c r="L108" t="inlineStr">
        <is>
          <t>12 Oktober 2026</t>
        </is>
      </c>
      <c r="M108" t="inlineStr">
        <is>
          <t>Konstruksi Gedung Lainnya, Konstruksi Gedung Pendidikan</t>
        </is>
      </c>
      <c r="N108" t="inlineStr">
        <is>
          <t>K</t>
        </is>
      </c>
      <c r="O108" t="inlineStr">
        <is>
          <t>20230923, 20230927</t>
        </is>
      </c>
      <c r="P108" t="inlineStr">
        <is>
          <t>Sulawesi Tenggara</t>
        </is>
      </c>
      <c r="Q108" t="inlineStr"/>
    </row>
    <row r="109">
      <c r="A109" t="inlineStr">
        <is>
          <t>LINTAS KAPUAS PERSADA</t>
        </is>
      </c>
      <c r="B109" t="inlineStr">
        <is>
          <t>Kab. Kapuas Hulu</t>
        </is>
      </c>
      <c r="C109" t="inlineStr">
        <is>
          <t>085245567116</t>
        </is>
      </c>
      <c r="D109" t="inlineStr">
        <is>
          <t>pt.lintaskapuaspersada123@gmail.com</t>
        </is>
      </c>
      <c r="E109" t="inlineStr">
        <is>
          <t>https://lpjk.pu.go.id/search-badan-usaha-detail/YWxqV2o4cy96K3BjN2xEWDJUaVpGZz09</t>
        </is>
      </c>
      <c r="F109" t="n">
        <v>1</v>
      </c>
      <c r="G109" t="inlineStr">
        <is>
          <t>BS010</t>
        </is>
      </c>
      <c r="H109" t="inlineStr">
        <is>
          <t>14 Maret 2003</t>
        </is>
      </c>
      <c r="I109" s="2" t="n">
        <v>46307</v>
      </c>
      <c r="J109" t="inlineStr">
        <is>
          <t>Disetujui</t>
        </is>
      </c>
      <c r="K109" t="n">
        <v>90</v>
      </c>
      <c r="L109" t="inlineStr">
        <is>
          <t>12 Oktober 2026</t>
        </is>
      </c>
      <c r="M109" t="inlineStr">
        <is>
          <t>Konstruksi Bangunan Prasarana Sumber Daya Air</t>
        </is>
      </c>
      <c r="N109" t="inlineStr">
        <is>
          <t>M</t>
        </is>
      </c>
      <c r="O109" t="inlineStr">
        <is>
          <t>20231009</t>
        </is>
      </c>
      <c r="P109" t="inlineStr">
        <is>
          <t>Kalimantan Barat</t>
        </is>
      </c>
      <c r="Q109" t="inlineStr"/>
    </row>
    <row r="110">
      <c r="A110" t="inlineStr">
        <is>
          <t>MADYA ARZEN SEJAHTERA</t>
        </is>
      </c>
      <c r="B110" t="inlineStr">
        <is>
          <t>Kota Samarinda</t>
        </is>
      </c>
      <c r="C110" t="inlineStr">
        <is>
          <t>081347079777</t>
        </is>
      </c>
      <c r="D110" t="inlineStr">
        <is>
          <t>madyaarzensejahtera@gmail.com</t>
        </is>
      </c>
      <c r="E110" t="inlineStr">
        <is>
          <t>https://lpjk.pu.go.id/search-badan-usaha-detail/eUhzT2duMHNKa2ZMczNVaWJXWmVSQT09</t>
        </is>
      </c>
      <c r="F110" t="n">
        <v>1</v>
      </c>
      <c r="G110" t="inlineStr">
        <is>
          <t>BS004</t>
        </is>
      </c>
      <c r="H110" t="inlineStr">
        <is>
          <t>31 Januari 2023</t>
        </is>
      </c>
      <c r="I110" s="2" t="n">
        <v>46307</v>
      </c>
      <c r="J110" t="inlineStr">
        <is>
          <t>Pembekuan</t>
        </is>
      </c>
      <c r="K110" t="n">
        <v>90</v>
      </c>
      <c r="L110" t="inlineStr">
        <is>
          <t>12 Oktober 2026</t>
        </is>
      </c>
      <c r="M110" t="inlineStr">
        <is>
          <t>Konstruksi Jaringan Irigasi dan Drainase</t>
        </is>
      </c>
      <c r="N110" t="inlineStr">
        <is>
          <t>K</t>
        </is>
      </c>
      <c r="O110" t="inlineStr">
        <is>
          <t>20230909</t>
        </is>
      </c>
      <c r="P110" t="inlineStr">
        <is>
          <t>Kalimantan Timur</t>
        </is>
      </c>
      <c r="Q110" t="inlineStr"/>
    </row>
    <row r="111">
      <c r="A111" t="inlineStr">
        <is>
          <t>MAHA PUTRI PERKASA</t>
        </is>
      </c>
      <c r="B111" t="inlineStr">
        <is>
          <t>Kab. Ketapang</t>
        </is>
      </c>
      <c r="C111" t="inlineStr">
        <is>
          <t>085245239636</t>
        </is>
      </c>
      <c r="D111" t="inlineStr">
        <is>
          <t>cvmahaputriperkasa@gmail.com</t>
        </is>
      </c>
      <c r="E111" t="inlineStr">
        <is>
          <t>https://lpjk.pu.go.id/search-badan-usaha-detail/NkFCSnF5R2tGVWxJS0w1TFF0Nzd1dz09</t>
        </is>
      </c>
      <c r="F111" t="n">
        <v>1</v>
      </c>
      <c r="G111" t="inlineStr">
        <is>
          <t>BS004</t>
        </is>
      </c>
      <c r="H111" t="inlineStr">
        <is>
          <t>2 Mei 2017</t>
        </is>
      </c>
      <c r="I111" s="2" t="n">
        <v>46307</v>
      </c>
      <c r="J111" t="inlineStr">
        <is>
          <t>Disetujui</t>
        </is>
      </c>
      <c r="K111" t="n">
        <v>90</v>
      </c>
      <c r="L111" t="inlineStr">
        <is>
          <t>12 Oktober 2026</t>
        </is>
      </c>
      <c r="M111" t="inlineStr">
        <is>
          <t>Konstruksi Jaringan Irigasi dan Drainase</t>
        </is>
      </c>
      <c r="N111" t="inlineStr">
        <is>
          <t>K</t>
        </is>
      </c>
      <c r="O111" t="inlineStr">
        <is>
          <t>20231011</t>
        </is>
      </c>
      <c r="P111" t="inlineStr">
        <is>
          <t>Kalimantan Barat</t>
        </is>
      </c>
      <c r="Q111" t="inlineStr"/>
    </row>
    <row r="112">
      <c r="A112" t="inlineStr">
        <is>
          <t>MAHARDIKA</t>
        </is>
      </c>
      <c r="B112" t="inlineStr">
        <is>
          <t>Kota Padang</t>
        </is>
      </c>
      <c r="C112" t="inlineStr">
        <is>
          <t>081363576633</t>
        </is>
      </c>
      <c r="D112" t="inlineStr">
        <is>
          <t>cvmahardika.padang@gmail.com</t>
        </is>
      </c>
      <c r="E112" t="inlineStr">
        <is>
          <t>https://lpjk.pu.go.id/search-badan-usaha-detail/elJIU05GcC83R0l4L0h4N0V3WFF0QT09</t>
        </is>
      </c>
      <c r="F112" t="n">
        <v>3</v>
      </c>
      <c r="G112" t="inlineStr">
        <is>
          <t>BG009</t>
        </is>
      </c>
      <c r="H112" t="inlineStr">
        <is>
          <t>12 Maret 2007</t>
        </is>
      </c>
      <c r="I112" s="2" t="n">
        <v>46307</v>
      </c>
      <c r="J112" t="inlineStr">
        <is>
          <t>Disetujui</t>
        </is>
      </c>
      <c r="K112" t="n">
        <v>90</v>
      </c>
      <c r="L112" t="inlineStr">
        <is>
          <t>12 Oktober 2026</t>
        </is>
      </c>
      <c r="M112" t="inlineStr">
        <is>
          <t>Konstruksi Gedung Lainnya</t>
        </is>
      </c>
      <c r="N112" t="inlineStr">
        <is>
          <t>K</t>
        </is>
      </c>
      <c r="O112" t="inlineStr">
        <is>
          <t>20231004</t>
        </is>
      </c>
      <c r="P112" t="inlineStr">
        <is>
          <t>Sumatera Barat</t>
        </is>
      </c>
      <c r="Q112" t="inlineStr"/>
    </row>
    <row r="113">
      <c r="A113" t="inlineStr">
        <is>
          <t>MAHARDIKA ARTHA GEMILANG</t>
        </is>
      </c>
      <c r="B113" t="inlineStr">
        <is>
          <t>Kab. Tangerang</t>
        </is>
      </c>
      <c r="C113" t="inlineStr">
        <is>
          <t>08129624591</t>
        </is>
      </c>
      <c r="D113" t="inlineStr">
        <is>
          <t>cvmahardikaarthag@gmail.com</t>
        </is>
      </c>
      <c r="E113" t="inlineStr">
        <is>
          <t>https://lpjk.pu.go.id/search-badan-usaha-detail/a21KUStCSm9Xd29NNmpLSWo1bzhYdz09</t>
        </is>
      </c>
      <c r="F113" t="n">
        <v>3</v>
      </c>
      <c r="G113" t="inlineStr">
        <is>
          <t>BS004</t>
        </is>
      </c>
      <c r="H113" t="inlineStr">
        <is>
          <t>4 Januari 2021</t>
        </is>
      </c>
      <c r="I113" s="2" t="n">
        <v>46307</v>
      </c>
      <c r="J113" t="inlineStr">
        <is>
          <t>Disetujui</t>
        </is>
      </c>
      <c r="K113" t="n">
        <v>90</v>
      </c>
      <c r="L113" t="inlineStr">
        <is>
          <t>12 Oktober 2026</t>
        </is>
      </c>
      <c r="M113" t="inlineStr">
        <is>
          <t>Konstruksi Jaringan Irigasi dan Drainase</t>
        </is>
      </c>
      <c r="N113" t="inlineStr">
        <is>
          <t>K</t>
        </is>
      </c>
      <c r="O113" t="inlineStr">
        <is>
          <t>20231003</t>
        </is>
      </c>
      <c r="P113" t="inlineStr">
        <is>
          <t>Banten</t>
        </is>
      </c>
      <c r="Q113" t="inlineStr"/>
    </row>
    <row r="114">
      <c r="A114" t="inlineStr">
        <is>
          <t>MAKMUR JAYA BERKAT KONTRAKTOR</t>
        </is>
      </c>
      <c r="B114" t="inlineStr">
        <is>
          <t>Kota Adm. Jakarta Utara</t>
        </is>
      </c>
      <c r="C114" t="inlineStr">
        <is>
          <t>02129745083</t>
        </is>
      </c>
      <c r="D114" t="inlineStr">
        <is>
          <t>ptmjbk.comp@yahoo.co.id</t>
        </is>
      </c>
      <c r="E114" t="inlineStr">
        <is>
          <t>https://lpjk.pu.go.id/search-badan-usaha-detail/M0J5TXRCdk5XbW5ya2pDK2ZXU2lUZz09</t>
        </is>
      </c>
      <c r="F114" t="n">
        <v>2</v>
      </c>
      <c r="G114" t="inlineStr">
        <is>
          <t>BG003, BG004</t>
        </is>
      </c>
      <c r="H114" t="inlineStr">
        <is>
          <t>20 September 2023</t>
        </is>
      </c>
      <c r="I114" s="2" t="n">
        <v>46307</v>
      </c>
      <c r="J114" t="inlineStr">
        <is>
          <t>Pencabutan</t>
        </is>
      </c>
      <c r="K114" t="n">
        <v>90</v>
      </c>
      <c r="L114" t="inlineStr">
        <is>
          <t>12 Oktober 2026</t>
        </is>
      </c>
      <c r="M114" t="inlineStr">
        <is>
          <t>Konstruksi Gedung Industri, Konstruksi Gedung Perbelanjaan</t>
        </is>
      </c>
      <c r="N114" t="inlineStr">
        <is>
          <t>B</t>
        </is>
      </c>
      <c r="O114" t="inlineStr">
        <is>
          <t>20231009, 20231010</t>
        </is>
      </c>
      <c r="P114" t="inlineStr">
        <is>
          <t>DKI Jakarta</t>
        </is>
      </c>
      <c r="Q114" t="inlineStr"/>
    </row>
    <row r="115">
      <c r="A115" t="inlineStr">
        <is>
          <t>MANDIRI</t>
        </is>
      </c>
      <c r="B115" t="inlineStr">
        <is>
          <t>Kota Tasikmalaya</t>
        </is>
      </c>
      <c r="C115" t="inlineStr">
        <is>
          <t>081313834555</t>
        </is>
      </c>
      <c r="D115" t="inlineStr">
        <is>
          <t>mandiri_cv@ymail.com</t>
        </is>
      </c>
      <c r="E115" t="inlineStr">
        <is>
          <t>https://lpjk.pu.go.id/search-badan-usaha-detail/Ukx4M1NxQ3pVYXN2UHY0SlloQlV1Zz09</t>
        </is>
      </c>
      <c r="F115" t="n">
        <v>1</v>
      </c>
      <c r="G115" t="inlineStr">
        <is>
          <t>BS005</t>
        </is>
      </c>
      <c r="H115" t="inlineStr">
        <is>
          <t>5 Oktober 1993</t>
        </is>
      </c>
      <c r="I115" s="2" t="n">
        <v>46307</v>
      </c>
      <c r="J115" t="inlineStr">
        <is>
          <t>Disetujui</t>
        </is>
      </c>
      <c r="K115" t="n">
        <v>90</v>
      </c>
      <c r="L115" t="inlineStr">
        <is>
          <t>12 Oktober 2026</t>
        </is>
      </c>
      <c r="M115" t="inlineStr">
        <is>
          <t>Konstruksi Bangunan Sipil Pengolahan Air Bersih</t>
        </is>
      </c>
      <c r="N115" t="inlineStr">
        <is>
          <t>K</t>
        </is>
      </c>
      <c r="O115" t="inlineStr">
        <is>
          <t>20230901</t>
        </is>
      </c>
      <c r="P115" t="inlineStr">
        <is>
          <t>Jawa Barat</t>
        </is>
      </c>
      <c r="Q115" t="inlineStr"/>
    </row>
    <row r="116">
      <c r="A116" t="inlineStr">
        <is>
          <t>MANDIRI JAYA ABADI</t>
        </is>
      </c>
      <c r="B116" t="inlineStr">
        <is>
          <t>Kota Bandung</t>
        </is>
      </c>
      <c r="C116" t="inlineStr">
        <is>
          <t>02242690311</t>
        </is>
      </c>
      <c r="D116" t="inlineStr">
        <is>
          <t>mja.2008@yahoo.com</t>
        </is>
      </c>
      <c r="E116" t="inlineStr">
        <is>
          <t>https://lpjk.pu.go.id/search-badan-usaha-detail/bXUxNVR1WG9Ed2hyUERrZzZ2QzRvQT09</t>
        </is>
      </c>
      <c r="F116" t="n">
        <v>1</v>
      </c>
      <c r="G116" t="inlineStr">
        <is>
          <t>BG006</t>
        </is>
      </c>
      <c r="H116" t="inlineStr">
        <is>
          <t>22 Juni 2012</t>
        </is>
      </c>
      <c r="I116" s="2" t="n">
        <v>46307</v>
      </c>
      <c r="J116" t="inlineStr">
        <is>
          <t>Disetujui</t>
        </is>
      </c>
      <c r="K116" t="n">
        <v>90</v>
      </c>
      <c r="L116" t="inlineStr">
        <is>
          <t>12 Oktober 2026</t>
        </is>
      </c>
      <c r="M116" t="inlineStr">
        <is>
          <t>Konstruksi Gedung Pendidikan</t>
        </is>
      </c>
      <c r="N116" t="inlineStr">
        <is>
          <t>K</t>
        </is>
      </c>
      <c r="O116" t="inlineStr">
        <is>
          <t>20231010</t>
        </is>
      </c>
      <c r="P116" t="inlineStr">
        <is>
          <t>Jawa Barat</t>
        </is>
      </c>
      <c r="Q116" t="inlineStr"/>
    </row>
    <row r="117">
      <c r="A117" t="inlineStr">
        <is>
          <t>MANGKU JAGAD</t>
        </is>
      </c>
      <c r="B117" t="inlineStr">
        <is>
          <t>Kab. Nganjuk</t>
        </is>
      </c>
      <c r="C117" t="inlineStr">
        <is>
          <t>081233444244</t>
        </is>
      </c>
      <c r="D117" t="inlineStr">
        <is>
          <t>mangkujagad10@gmail.com</t>
        </is>
      </c>
      <c r="E117" t="inlineStr">
        <is>
          <t>https://lpjk.pu.go.id/search-badan-usaha-detail/dDlpRmpydXVKUzVIRFBTNlZrL0gyQT09</t>
        </is>
      </c>
      <c r="F117" t="n">
        <v>3</v>
      </c>
      <c r="G117" t="inlineStr">
        <is>
          <t>BG002, BG005, BG009</t>
        </is>
      </c>
      <c r="H117" t="inlineStr">
        <is>
          <t>2 Februari 2022</t>
        </is>
      </c>
      <c r="I117" s="2" t="n">
        <v>46307</v>
      </c>
      <c r="J117" t="inlineStr">
        <is>
          <t>Disetujui</t>
        </is>
      </c>
      <c r="K117" t="n">
        <v>90</v>
      </c>
      <c r="L117" t="inlineStr">
        <is>
          <t>12 Oktober 2026</t>
        </is>
      </c>
      <c r="M117" t="inlineStr">
        <is>
          <t>Konstruksi Gedung Kesehatan, Konstruksi Gedung Lainnya, Konstruksi Gedung Perkantoran</t>
        </is>
      </c>
      <c r="N117" t="inlineStr">
        <is>
          <t>K</t>
        </is>
      </c>
      <c r="O117" t="inlineStr">
        <is>
          <t>20231005, 20231006</t>
        </is>
      </c>
      <c r="P117" t="inlineStr">
        <is>
          <t>Jawa Timur</t>
        </is>
      </c>
      <c r="Q117" t="inlineStr"/>
    </row>
    <row r="118">
      <c r="A118" t="inlineStr">
        <is>
          <t>MARTINA KARYA</t>
        </is>
      </c>
      <c r="B118" t="inlineStr">
        <is>
          <t>Kota Ambon</t>
        </is>
      </c>
      <c r="C118" t="inlineStr">
        <is>
          <t>085243924917</t>
        </is>
      </c>
      <c r="D118" t="inlineStr">
        <is>
          <t>nanulaittaberth@yahoo.co.id</t>
        </is>
      </c>
      <c r="E118" t="inlineStr">
        <is>
          <t>https://lpjk.pu.go.id/search-badan-usaha-detail/V1AxQWZYS0tEaUczT3A3dFpVVEVZUT09</t>
        </is>
      </c>
      <c r="F118" t="n">
        <v>1</v>
      </c>
      <c r="G118" t="inlineStr">
        <is>
          <t>BG009</t>
        </is>
      </c>
      <c r="H118" t="inlineStr">
        <is>
          <t>21 September 1990</t>
        </is>
      </c>
      <c r="I118" s="2" t="n">
        <v>46307</v>
      </c>
      <c r="J118" t="inlineStr">
        <is>
          <t>Disetujui</t>
        </is>
      </c>
      <c r="K118" t="n">
        <v>90</v>
      </c>
      <c r="L118" t="inlineStr">
        <is>
          <t>12 Oktober 2026</t>
        </is>
      </c>
      <c r="M118" t="inlineStr">
        <is>
          <t>Konstruksi Gedung Lainnya</t>
        </is>
      </c>
      <c r="N118" t="inlineStr">
        <is>
          <t>K</t>
        </is>
      </c>
      <c r="O118" t="inlineStr">
        <is>
          <t>20231009</t>
        </is>
      </c>
      <c r="P118" t="inlineStr">
        <is>
          <t>Maluku</t>
        </is>
      </c>
      <c r="Q118" t="inlineStr"/>
    </row>
    <row r="119">
      <c r="A119" t="inlineStr">
        <is>
          <t>MEGAH PERKASA KONSTRUKSI</t>
        </is>
      </c>
      <c r="B119" t="inlineStr">
        <is>
          <t>Kota Salatiga</t>
        </is>
      </c>
      <c r="C119" t="inlineStr">
        <is>
          <t>0817426512</t>
        </is>
      </c>
      <c r="D119" t="inlineStr">
        <is>
          <t>cvmegahperkasakonstruksi@gmail.com</t>
        </is>
      </c>
      <c r="E119" t="inlineStr">
        <is>
          <t>https://lpjk.pu.go.id/search-badan-usaha-detail/QWdkeS9Vcno2OUQweU9wWnRta1dDZz09</t>
        </is>
      </c>
      <c r="F119" t="n">
        <v>3</v>
      </c>
      <c r="G119" t="inlineStr">
        <is>
          <t>BS001</t>
        </is>
      </c>
      <c r="H119" t="inlineStr">
        <is>
          <t>12 Juni 2023</t>
        </is>
      </c>
      <c r="I119" s="2" t="n">
        <v>46307</v>
      </c>
      <c r="J119" t="inlineStr">
        <is>
          <t>Disetujui</t>
        </is>
      </c>
      <c r="K119" t="n">
        <v>90</v>
      </c>
      <c r="L119" t="inlineStr">
        <is>
          <t>12 Oktober 2026</t>
        </is>
      </c>
      <c r="M119" t="inlineStr">
        <is>
          <t>Konstruksi Bangunan Sipil Jalan</t>
        </is>
      </c>
      <c r="N119" t="inlineStr">
        <is>
          <t>K</t>
        </is>
      </c>
      <c r="O119" t="inlineStr">
        <is>
          <t>20231011</t>
        </is>
      </c>
      <c r="P119" t="inlineStr">
        <is>
          <t>Jawa Tengah</t>
        </is>
      </c>
      <c r="Q119" t="inlineStr"/>
    </row>
    <row r="120">
      <c r="A120" t="inlineStr">
        <is>
          <t>MEKANIKA DESIGN CONSULTANT</t>
        </is>
      </c>
      <c r="B120" t="inlineStr">
        <is>
          <t>Kota Kendari</t>
        </is>
      </c>
      <c r="C120" t="inlineStr">
        <is>
          <t>082187555327</t>
        </is>
      </c>
      <c r="D120" t="inlineStr">
        <is>
          <t>cv.mekanikadesaignconsultant@gmail.com</t>
        </is>
      </c>
      <c r="E120" t="inlineStr">
        <is>
          <t>https://lpjk.pu.go.id/search-badan-usaha-detail/WURqUEg1NUdKWjZ0UzBvSXJsZThoQT09</t>
        </is>
      </c>
      <c r="F120" t="n">
        <v>1</v>
      </c>
      <c r="G120" t="inlineStr">
        <is>
          <t>RK001</t>
        </is>
      </c>
      <c r="H120" t="inlineStr">
        <is>
          <t>13 September 2016</t>
        </is>
      </c>
      <c r="I120" s="2" t="n">
        <v>46307</v>
      </c>
      <c r="J120" t="inlineStr">
        <is>
          <t>Disetujui</t>
        </is>
      </c>
      <c r="K120" t="n">
        <v>90</v>
      </c>
      <c r="L120" t="inlineStr">
        <is>
          <t>12 Oktober 2026</t>
        </is>
      </c>
      <c r="M120" t="inlineStr">
        <is>
          <t>Jasa Rekayasa Konstruksi Bangunan Gedung Hunian dan Non Hunian</t>
        </is>
      </c>
      <c r="N120" t="inlineStr">
        <is>
          <t>K</t>
        </is>
      </c>
      <c r="O120" t="inlineStr">
        <is>
          <t>20230919</t>
        </is>
      </c>
      <c r="P120" t="inlineStr">
        <is>
          <t>Sulawesi Tenggara</t>
        </is>
      </c>
      <c r="Q120" t="inlineStr"/>
    </row>
    <row r="121">
      <c r="A121" t="inlineStr">
        <is>
          <t>META VISIO INDONESIA</t>
        </is>
      </c>
      <c r="B121" t="inlineStr">
        <is>
          <t>Kota Adm. Jakarta Selatan</t>
        </is>
      </c>
      <c r="C121" t="inlineStr">
        <is>
          <t>081293742797</t>
        </is>
      </c>
      <c r="D121" t="inlineStr">
        <is>
          <t>info@mevisindo.com</t>
        </is>
      </c>
      <c r="E121" t="inlineStr">
        <is>
          <t>https://lpjk.pu.go.id/search-badan-usaha-detail/OHVQSzNIT1FudC9jZ3luUUszVlZhQT09</t>
        </is>
      </c>
      <c r="F121" t="n">
        <v>3</v>
      </c>
      <c r="G121" t="inlineStr">
        <is>
          <t>RK002, RK005</t>
        </is>
      </c>
      <c r="H121" t="inlineStr">
        <is>
          <t>11 Desember 2017</t>
        </is>
      </c>
      <c r="I121" s="2" t="n">
        <v>46307</v>
      </c>
      <c r="J121" t="inlineStr">
        <is>
          <t>Disetujui</t>
        </is>
      </c>
      <c r="K121" t="n">
        <v>90</v>
      </c>
      <c r="L121" t="inlineStr">
        <is>
          <t>12 Oktober 2026</t>
        </is>
      </c>
      <c r="M121" t="inlineStr">
        <is>
          <t>Jasa Rekayasa Lainnya, Jasa Rekayasa Pekerjaan Teknik Sipil Sumber Daya Air</t>
        </is>
      </c>
      <c r="N121" t="inlineStr">
        <is>
          <t>K</t>
        </is>
      </c>
      <c r="O121" t="inlineStr">
        <is>
          <t>20230927</t>
        </is>
      </c>
      <c r="P121" t="inlineStr">
        <is>
          <t>DKI Jakarta</t>
        </is>
      </c>
      <c r="Q121" t="inlineStr"/>
    </row>
    <row r="122">
      <c r="A122" t="inlineStr">
        <is>
          <t>MINA UTAMA</t>
        </is>
      </c>
      <c r="B122" t="inlineStr">
        <is>
          <t>Kota Makassar</t>
        </is>
      </c>
      <c r="C122" t="inlineStr">
        <is>
          <t>085299550889</t>
        </is>
      </c>
      <c r="D122" t="inlineStr">
        <is>
          <t>cvminautama@gmail.com</t>
        </is>
      </c>
      <c r="E122" t="inlineStr">
        <is>
          <t>https://lpjk.pu.go.id/search-badan-usaha-detail/eDRVT1NoakpVNkkwRVlTN3M4bmxIdz09</t>
        </is>
      </c>
      <c r="F122" t="n">
        <v>1</v>
      </c>
      <c r="G122" t="inlineStr">
        <is>
          <t>BG006</t>
        </is>
      </c>
      <c r="H122" t="inlineStr">
        <is>
          <t>22 Juni 2012</t>
        </is>
      </c>
      <c r="I122" s="2" t="n">
        <v>46307</v>
      </c>
      <c r="J122" t="inlineStr">
        <is>
          <t>Disetujui</t>
        </is>
      </c>
      <c r="K122" t="n">
        <v>90</v>
      </c>
      <c r="L122" t="inlineStr">
        <is>
          <t>12 Oktober 2026</t>
        </is>
      </c>
      <c r="M122" t="inlineStr">
        <is>
          <t>Konstruksi Gedung Pendidikan</t>
        </is>
      </c>
      <c r="N122" t="inlineStr">
        <is>
          <t>K</t>
        </is>
      </c>
      <c r="O122" t="inlineStr">
        <is>
          <t>20230822</t>
        </is>
      </c>
      <c r="P122" t="inlineStr">
        <is>
          <t>Sulawesi Selatan</t>
        </is>
      </c>
      <c r="Q122" t="inlineStr"/>
    </row>
    <row r="123">
      <c r="A123" t="inlineStr">
        <is>
          <t>MITRA KARYA BERSAMA</t>
        </is>
      </c>
      <c r="B123" t="inlineStr">
        <is>
          <t>Kab. Kutai Timur</t>
        </is>
      </c>
      <c r="C123" t="inlineStr">
        <is>
          <t>085391939663</t>
        </is>
      </c>
      <c r="D123" t="inlineStr">
        <is>
          <t>mkb.sangatta@gmail.com</t>
        </is>
      </c>
      <c r="E123" t="inlineStr">
        <is>
          <t>https://lpjk.pu.go.id/search-badan-usaha-detail/OGxRcWlhaEdaMFZCa2lrc0Q4WW41UT09</t>
        </is>
      </c>
      <c r="F123" t="n">
        <v>1</v>
      </c>
      <c r="G123" t="inlineStr">
        <is>
          <t>BG009</t>
        </is>
      </c>
      <c r="H123" t="inlineStr">
        <is>
          <t>23 Mei 2014</t>
        </is>
      </c>
      <c r="I123" s="2" t="n">
        <v>46307</v>
      </c>
      <c r="J123" t="inlineStr">
        <is>
          <t>Disetujui</t>
        </is>
      </c>
      <c r="K123" t="n">
        <v>90</v>
      </c>
      <c r="L123" t="inlineStr">
        <is>
          <t>12 Oktober 2026</t>
        </is>
      </c>
      <c r="M123" t="inlineStr">
        <is>
          <t>Konstruksi Gedung Lainnya</t>
        </is>
      </c>
      <c r="N123" t="inlineStr">
        <is>
          <t>K</t>
        </is>
      </c>
      <c r="O123" t="inlineStr">
        <is>
          <t>20231009</t>
        </is>
      </c>
      <c r="P123" t="inlineStr">
        <is>
          <t>Kalimantan Timur</t>
        </is>
      </c>
      <c r="Q123" t="inlineStr"/>
    </row>
    <row r="124">
      <c r="A124" t="inlineStr">
        <is>
          <t>MITRA KONSTRUKSI</t>
        </is>
      </c>
      <c r="B124" t="inlineStr">
        <is>
          <t>Kota Kendari</t>
        </is>
      </c>
      <c r="C124" t="inlineStr">
        <is>
          <t>085396998210</t>
        </is>
      </c>
      <c r="D124" t="inlineStr">
        <is>
          <t>mitra.konstruksi2000@gmail.com</t>
        </is>
      </c>
      <c r="E124" t="inlineStr">
        <is>
          <t>https://lpjk.pu.go.id/search-badan-usaha-detail/TTdoVUhBVmJlSDdiVS9TQ0FZUUF6dz09</t>
        </is>
      </c>
      <c r="F124" t="n">
        <v>1</v>
      </c>
      <c r="G124" t="inlineStr">
        <is>
          <t>BG006</t>
        </is>
      </c>
      <c r="H124" t="inlineStr">
        <is>
          <t>15 Januari 2014</t>
        </is>
      </c>
      <c r="I124" s="2" t="n">
        <v>46307</v>
      </c>
      <c r="J124" t="inlineStr">
        <is>
          <t>Disetujui</t>
        </is>
      </c>
      <c r="K124" t="n">
        <v>90</v>
      </c>
      <c r="L124" t="inlineStr">
        <is>
          <t>12 Oktober 2026</t>
        </is>
      </c>
      <c r="M124" t="inlineStr">
        <is>
          <t>Konstruksi Gedung Pendidikan</t>
        </is>
      </c>
      <c r="N124" t="inlineStr">
        <is>
          <t>K</t>
        </is>
      </c>
      <c r="O124" t="inlineStr">
        <is>
          <t>20231010</t>
        </is>
      </c>
      <c r="P124" t="inlineStr">
        <is>
          <t>Sulawesi Tenggara</t>
        </is>
      </c>
      <c r="Q124" t="inlineStr"/>
    </row>
    <row r="125">
      <c r="A125" t="inlineStr">
        <is>
          <t>MITRA PENGABUAN</t>
        </is>
      </c>
      <c r="B125" t="inlineStr">
        <is>
          <t>Kab. Tanjung Jabung Barat</t>
        </is>
      </c>
      <c r="C125" t="inlineStr">
        <is>
          <t>085266663336</t>
        </is>
      </c>
      <c r="D125" t="inlineStr">
        <is>
          <t>yoyonhariyanto174@gmail.com</t>
        </is>
      </c>
      <c r="E125" t="inlineStr">
        <is>
          <t>https://lpjk.pu.go.id/search-badan-usaha-detail/aXVpTXBXcEY2d0huSW9naklrQUdldz09</t>
        </is>
      </c>
      <c r="F125" t="n">
        <v>1</v>
      </c>
      <c r="G125" t="inlineStr">
        <is>
          <t>BS001</t>
        </is>
      </c>
      <c r="H125" t="inlineStr">
        <is>
          <t>29 Juli 2002</t>
        </is>
      </c>
      <c r="I125" s="2" t="n">
        <v>46307</v>
      </c>
      <c r="J125" t="inlineStr">
        <is>
          <t>Pencabutan</t>
        </is>
      </c>
      <c r="K125" t="n">
        <v>90</v>
      </c>
      <c r="L125" t="inlineStr">
        <is>
          <t>12 Oktober 2026</t>
        </is>
      </c>
      <c r="M125" t="inlineStr">
        <is>
          <t>Konstruksi Bangunan Sipil Jalan</t>
        </is>
      </c>
      <c r="N125" t="inlineStr">
        <is>
          <t>K</t>
        </is>
      </c>
      <c r="O125" t="inlineStr">
        <is>
          <t>20231011</t>
        </is>
      </c>
      <c r="P125" t="inlineStr">
        <is>
          <t>Jambi</t>
        </is>
      </c>
      <c r="Q125" t="inlineStr"/>
    </row>
    <row r="126">
      <c r="A126" t="inlineStr">
        <is>
          <t>MITRA TEKNIK BAROKAH</t>
        </is>
      </c>
      <c r="B126" t="inlineStr">
        <is>
          <t>Kota Samarinda</t>
        </is>
      </c>
      <c r="C126" t="inlineStr">
        <is>
          <t>085840099036</t>
        </is>
      </c>
      <c r="D126" t="inlineStr">
        <is>
          <t>cv.mitrateknikbarokah@gmail.com</t>
        </is>
      </c>
      <c r="E126" t="inlineStr">
        <is>
          <t>https://lpjk.pu.go.id/search-badan-usaha-detail/WHN1cDVPelFWVXhYZmN2YWIzdEo4dz09</t>
        </is>
      </c>
      <c r="F126" t="n">
        <v>5</v>
      </c>
      <c r="G126" t="inlineStr">
        <is>
          <t>BG002, BG006, BG009, BS001, BS004</t>
        </is>
      </c>
      <c r="H126" t="inlineStr">
        <is>
          <t>10 Juli 2020</t>
        </is>
      </c>
      <c r="I126" s="2" t="n">
        <v>46307</v>
      </c>
      <c r="J126" t="inlineStr">
        <is>
          <t>Disetujui</t>
        </is>
      </c>
      <c r="K126" t="n">
        <v>90</v>
      </c>
      <c r="L126" t="inlineStr">
        <is>
          <t>12 Oktober 2026</t>
        </is>
      </c>
      <c r="M126" t="inlineStr">
        <is>
          <t>Konstruksi Bangunan Sipil Jalan, Konstruksi Gedung Lainnya, Konstruksi Gedung Pendidikan, Konstruksi Gedung Perkantoran, Konstruksi Jaringan Irigasi dan Drainase</t>
        </is>
      </c>
      <c r="N126" t="inlineStr">
        <is>
          <t>K</t>
        </is>
      </c>
      <c r="O126" t="inlineStr">
        <is>
          <t>20231011</t>
        </is>
      </c>
      <c r="P126" t="inlineStr">
        <is>
          <t>Kalimantan Timur</t>
        </is>
      </c>
      <c r="Q126" t="inlineStr"/>
    </row>
    <row r="127">
      <c r="A127" t="inlineStr">
        <is>
          <t>MITRA TEKNIK UTAMA</t>
        </is>
      </c>
      <c r="B127" t="inlineStr">
        <is>
          <t>Kota Denpasar</t>
        </is>
      </c>
      <c r="C127" t="inlineStr">
        <is>
          <t>03618461811</t>
        </is>
      </c>
      <c r="D127" t="inlineStr">
        <is>
          <t>mitrateknikutama@yahoo.com</t>
        </is>
      </c>
      <c r="E127" t="inlineStr">
        <is>
          <t>https://lpjk.pu.go.id/search-badan-usaha-detail/dml0RjBBdEJDcmFuODJZWmVkN2R6dz09</t>
        </is>
      </c>
      <c r="F127" t="n">
        <v>1</v>
      </c>
      <c r="G127" t="inlineStr">
        <is>
          <t>BG009</t>
        </is>
      </c>
      <c r="H127" t="inlineStr">
        <is>
          <t>6 Juni 1995</t>
        </is>
      </c>
      <c r="I127" s="2" t="n">
        <v>46307</v>
      </c>
      <c r="J127" t="inlineStr">
        <is>
          <t>Disetujui</t>
        </is>
      </c>
      <c r="K127" t="n">
        <v>90</v>
      </c>
      <c r="L127" t="inlineStr">
        <is>
          <t>12 Oktober 2026</t>
        </is>
      </c>
      <c r="M127" t="inlineStr">
        <is>
          <t>Konstruksi Gedung Lainnya</t>
        </is>
      </c>
      <c r="N127" t="inlineStr">
        <is>
          <t>K</t>
        </is>
      </c>
      <c r="O127" t="inlineStr">
        <is>
          <t>20231009</t>
        </is>
      </c>
      <c r="P127" t="inlineStr">
        <is>
          <t>Bali</t>
        </is>
      </c>
      <c r="Q127" t="inlineStr"/>
    </row>
    <row r="128">
      <c r="A128" t="inlineStr">
        <is>
          <t>MULTI PLANNING CONSULTANT</t>
        </is>
      </c>
      <c r="B128" t="inlineStr">
        <is>
          <t>Kota Kendari</t>
        </is>
      </c>
      <c r="C128" t="inlineStr">
        <is>
          <t>082344334717</t>
        </is>
      </c>
      <c r="D128" t="inlineStr">
        <is>
          <t>multiplan.co@gmail.com</t>
        </is>
      </c>
      <c r="E128" t="inlineStr">
        <is>
          <t>https://lpjk.pu.go.id/search-badan-usaha-detail/cmR2WEZPdWQrZkI0SHFYS2FnUUZUdz09</t>
        </is>
      </c>
      <c r="F128" t="n">
        <v>2</v>
      </c>
      <c r="G128" t="inlineStr">
        <is>
          <t>RK001, RK003</t>
        </is>
      </c>
      <c r="H128" t="inlineStr">
        <is>
          <t>1 September 2016</t>
        </is>
      </c>
      <c r="I128" s="2" t="n">
        <v>46307</v>
      </c>
      <c r="J128" t="inlineStr">
        <is>
          <t>Disetujui</t>
        </is>
      </c>
      <c r="K128" t="n">
        <v>90</v>
      </c>
      <c r="L128" t="inlineStr">
        <is>
          <t>12 Oktober 2026</t>
        </is>
      </c>
      <c r="M128" t="inlineStr">
        <is>
          <t>Jasa Rekayasa Konstruksi Bangunan Gedung Hunian dan Non Hunian, Jasa Rekayasa Pekerjaan Teknik Sipil Transportasi</t>
        </is>
      </c>
      <c r="N128" t="inlineStr">
        <is>
          <t>K</t>
        </is>
      </c>
      <c r="O128" t="inlineStr">
        <is>
          <t>20230112, 20230912</t>
        </is>
      </c>
      <c r="P128" t="inlineStr">
        <is>
          <t>Sulawesi Tenggara</t>
        </is>
      </c>
      <c r="Q128" t="inlineStr"/>
    </row>
    <row r="129">
      <c r="A129" t="inlineStr">
        <is>
          <t>MULYA PRATAMA ABADI</t>
        </is>
      </c>
      <c r="B129" t="inlineStr">
        <is>
          <t>Kab. Sukabumi</t>
        </is>
      </c>
      <c r="C129" t="inlineStr">
        <is>
          <t>085523960136</t>
        </is>
      </c>
      <c r="D129" t="inlineStr">
        <is>
          <t>cvmulyapratamaabadi@gmail.com</t>
        </is>
      </c>
      <c r="E129" t="inlineStr">
        <is>
          <t>https://lpjk.pu.go.id/search-badan-usaha-detail/enE2YmRaQ1ZvNzFkZThIVlM0WXVVUT09</t>
        </is>
      </c>
      <c r="F129" t="n">
        <v>1</v>
      </c>
      <c r="G129" t="inlineStr">
        <is>
          <t>BG001</t>
        </is>
      </c>
      <c r="H129" t="inlineStr">
        <is>
          <t>17 November 2021</t>
        </is>
      </c>
      <c r="I129" s="2" t="n">
        <v>46307</v>
      </c>
      <c r="J129" t="inlineStr">
        <is>
          <t>Disetujui</t>
        </is>
      </c>
      <c r="K129" t="n">
        <v>90</v>
      </c>
      <c r="L129" t="inlineStr">
        <is>
          <t>12 Oktober 2026</t>
        </is>
      </c>
      <c r="M129" t="inlineStr">
        <is>
          <t>Konstruksi Gedung Hunian</t>
        </is>
      </c>
      <c r="N129" t="inlineStr">
        <is>
          <t>K</t>
        </is>
      </c>
      <c r="O129" t="inlineStr">
        <is>
          <t>20231012</t>
        </is>
      </c>
      <c r="P129" t="inlineStr">
        <is>
          <t>Jawa Barat</t>
        </is>
      </c>
      <c r="Q129" t="inlineStr"/>
    </row>
    <row r="130">
      <c r="A130" t="inlineStr">
        <is>
          <t>MUTIARA</t>
        </is>
      </c>
      <c r="B130" t="inlineStr">
        <is>
          <t>Kab. Wonosobo</t>
        </is>
      </c>
      <c r="C130" t="inlineStr">
        <is>
          <t>081328506825</t>
        </is>
      </c>
      <c r="D130" t="inlineStr">
        <is>
          <t>mutiaracv12@yahoo.com</t>
        </is>
      </c>
      <c r="E130" t="inlineStr">
        <is>
          <t>https://lpjk.pu.go.id/search-badan-usaha-detail/aStFY1BrMkd6T25lZU42MmVROHMydz09</t>
        </is>
      </c>
      <c r="F130" t="n">
        <v>2</v>
      </c>
      <c r="G130" t="inlineStr">
        <is>
          <t>BS001</t>
        </is>
      </c>
      <c r="H130" t="inlineStr">
        <is>
          <t>12 November 2007</t>
        </is>
      </c>
      <c r="I130" s="2" t="n">
        <v>46307</v>
      </c>
      <c r="J130" t="inlineStr">
        <is>
          <t>Disetujui</t>
        </is>
      </c>
      <c r="K130" t="n">
        <v>90</v>
      </c>
      <c r="L130" t="inlineStr">
        <is>
          <t>12 Oktober 2026</t>
        </is>
      </c>
      <c r="M130" t="inlineStr">
        <is>
          <t>Konstruksi Bangunan Sipil Jalan</t>
        </is>
      </c>
      <c r="N130" t="inlineStr">
        <is>
          <t>K</t>
        </is>
      </c>
      <c r="O130" t="inlineStr">
        <is>
          <t>20231006</t>
        </is>
      </c>
      <c r="P130" t="inlineStr">
        <is>
          <t>Jawa Tengah</t>
        </is>
      </c>
      <c r="Q130" t="inlineStr"/>
    </row>
    <row r="131">
      <c r="A131" t="inlineStr">
        <is>
          <t>MUTIARA HITAM PAPUA</t>
        </is>
      </c>
      <c r="B131" t="inlineStr">
        <is>
          <t>Kab. Yalimo</t>
        </is>
      </c>
      <c r="C131" t="inlineStr">
        <is>
          <t>082193121144</t>
        </is>
      </c>
      <c r="D131" t="inlineStr">
        <is>
          <t>papuacvmutiarahitam@gmail.com</t>
        </is>
      </c>
      <c r="E131" t="inlineStr">
        <is>
          <t>https://lpjk.pu.go.id/search-badan-usaha-detail/ZmI1emJYTCswTU8yc0t2QTlRTkdKdz09</t>
        </is>
      </c>
      <c r="F131" t="n">
        <v>10</v>
      </c>
      <c r="G131" t="inlineStr">
        <is>
          <t>BG002, BG005, BG006, BS001, BS002</t>
        </is>
      </c>
      <c r="H131" t="inlineStr">
        <is>
          <t>7 September 2022</t>
        </is>
      </c>
      <c r="I131" s="2" t="n">
        <v>46307</v>
      </c>
      <c r="J131" t="inlineStr">
        <is>
          <t>Disetujui</t>
        </is>
      </c>
      <c r="K131" t="n">
        <v>90</v>
      </c>
      <c r="L131" t="inlineStr">
        <is>
          <t>12 Oktober 2026</t>
        </is>
      </c>
      <c r="M131" t="inlineStr">
        <is>
          <t>Bangunan Sipil Jembatan, Jalan Layang, Fly Over, dan Underpass, Konstruksi Bangunan Sipil Jalan, Konstruksi Gedung Kesehatan, Konstruksi Gedung Pendidikan, Konstruksi Gedung Perkantoran</t>
        </is>
      </c>
      <c r="N131" t="inlineStr">
        <is>
          <t>K</t>
        </is>
      </c>
      <c r="O131" t="inlineStr">
        <is>
          <t>20231009, 20231010</t>
        </is>
      </c>
      <c r="P131" t="inlineStr">
        <is>
          <t>Papua</t>
        </is>
      </c>
      <c r="Q131" t="inlineStr"/>
    </row>
    <row r="132">
      <c r="A132" t="inlineStr">
        <is>
          <t>NAILA TATA PERSADA</t>
        </is>
      </c>
      <c r="B132" t="inlineStr">
        <is>
          <t>Kota Malang</t>
        </is>
      </c>
      <c r="C132" t="inlineStr">
        <is>
          <t>081233319911</t>
        </is>
      </c>
      <c r="D132" t="inlineStr">
        <is>
          <t>dendhe@gmail.com</t>
        </is>
      </c>
      <c r="E132" t="inlineStr">
        <is>
          <t>https://lpjk.pu.go.id/search-badan-usaha-detail/cUVqSVpscnR6UXhvdUw0NTJBenJ1dz09</t>
        </is>
      </c>
      <c r="F132" t="n">
        <v>3</v>
      </c>
      <c r="G132" t="inlineStr">
        <is>
          <t>BG002, BG006, BS001</t>
        </is>
      </c>
      <c r="H132" t="inlineStr">
        <is>
          <t>21 Maret 2022</t>
        </is>
      </c>
      <c r="I132" s="2" t="n">
        <v>46307</v>
      </c>
      <c r="J132" t="inlineStr">
        <is>
          <t>Disetujui</t>
        </is>
      </c>
      <c r="K132" t="n">
        <v>90</v>
      </c>
      <c r="L132" t="inlineStr">
        <is>
          <t>12 Oktober 2026</t>
        </is>
      </c>
      <c r="M132" t="inlineStr">
        <is>
          <t>Konstruksi Bangunan Sipil Jalan, Konstruksi Gedung Pendidikan, Konstruksi Gedung Perkantoran</t>
        </is>
      </c>
      <c r="N132" t="inlineStr">
        <is>
          <t>K</t>
        </is>
      </c>
      <c r="O132" t="inlineStr">
        <is>
          <t>20231012, 20231013</t>
        </is>
      </c>
      <c r="P132" t="inlineStr">
        <is>
          <t>Jawa Timur</t>
        </is>
      </c>
      <c r="Q132" t="inlineStr"/>
    </row>
    <row r="133">
      <c r="A133" t="inlineStr">
        <is>
          <t>NILA NASRA NINA</t>
        </is>
      </c>
      <c r="B133" t="inlineStr">
        <is>
          <t>Kab. Aceh Jaya</t>
        </is>
      </c>
      <c r="C133" t="inlineStr">
        <is>
          <t>085277919989</t>
        </is>
      </c>
      <c r="D133" t="inlineStr">
        <is>
          <t>pt.griya09@gmail.com</t>
        </is>
      </c>
      <c r="E133" t="inlineStr">
        <is>
          <t>https://lpjk.pu.go.id/search-badan-usaha-detail/ZXBjK0hWQi9oWGh6eGI4c3lZMzAvUT09</t>
        </is>
      </c>
      <c r="F133" t="n">
        <v>2</v>
      </c>
      <c r="G133" t="inlineStr">
        <is>
          <t>BG002, BG009</t>
        </is>
      </c>
      <c r="H133" t="inlineStr">
        <is>
          <t>14 Maret 2012</t>
        </is>
      </c>
      <c r="I133" s="2" t="n">
        <v>46307</v>
      </c>
      <c r="J133" t="inlineStr">
        <is>
          <t>Pembekuan</t>
        </is>
      </c>
      <c r="K133" t="n">
        <v>90</v>
      </c>
      <c r="L133" t="inlineStr">
        <is>
          <t>12 Oktober 2026</t>
        </is>
      </c>
      <c r="M133" t="inlineStr">
        <is>
          <t>Konstruksi Gedung Lainnya, Konstruksi Gedung Perkantoran</t>
        </is>
      </c>
      <c r="N133" t="inlineStr">
        <is>
          <t>M</t>
        </is>
      </c>
      <c r="O133" t="inlineStr">
        <is>
          <t>20230925, 20231011</t>
        </is>
      </c>
      <c r="P133" t="inlineStr">
        <is>
          <t>Aceh</t>
        </is>
      </c>
      <c r="Q133" t="inlineStr"/>
    </row>
    <row r="134">
      <c r="A134" t="inlineStr">
        <is>
          <t>PANORAMA FAJAR</t>
        </is>
      </c>
      <c r="B134" t="inlineStr">
        <is>
          <t>Kab. Cianjur</t>
        </is>
      </c>
      <c r="C134" t="inlineStr">
        <is>
          <t>087756144001</t>
        </is>
      </c>
      <c r="D134" t="inlineStr">
        <is>
          <t>panoramafajar.cjr@gmail.com</t>
        </is>
      </c>
      <c r="E134" t="inlineStr">
        <is>
          <t>https://lpjk.pu.go.id/search-badan-usaha-detail/cVAwcUticEdjK0d4U3h3QzE0aE1Zdz09</t>
        </is>
      </c>
      <c r="F134" t="n">
        <v>1</v>
      </c>
      <c r="G134" t="inlineStr">
        <is>
          <t>BS001</t>
        </is>
      </c>
      <c r="H134" t="inlineStr">
        <is>
          <t>14 Februari 2002</t>
        </is>
      </c>
      <c r="I134" s="2" t="n">
        <v>46307</v>
      </c>
      <c r="J134" t="inlineStr">
        <is>
          <t>Disetujui</t>
        </is>
      </c>
      <c r="K134" t="n">
        <v>90</v>
      </c>
      <c r="L134" t="inlineStr">
        <is>
          <t>12 Oktober 2026</t>
        </is>
      </c>
      <c r="M134" t="inlineStr">
        <is>
          <t>Konstruksi Bangunan Sipil Jalan</t>
        </is>
      </c>
      <c r="N134" t="inlineStr">
        <is>
          <t>K</t>
        </is>
      </c>
      <c r="O134" t="inlineStr">
        <is>
          <t>20231010</t>
        </is>
      </c>
      <c r="P134" t="inlineStr">
        <is>
          <t>Jawa Barat</t>
        </is>
      </c>
      <c r="Q134" t="inlineStr"/>
    </row>
    <row r="135">
      <c r="A135" t="inlineStr">
        <is>
          <t>PERKASA</t>
        </is>
      </c>
      <c r="B135" t="inlineStr">
        <is>
          <t>Kab. Kotawaringin Timur</t>
        </is>
      </c>
      <c r="C135" t="inlineStr">
        <is>
          <t>082158497323</t>
        </is>
      </c>
      <c r="D135" t="inlineStr">
        <is>
          <t>cvperkasa.sampit@yahoo.com</t>
        </is>
      </c>
      <c r="E135" t="inlineStr">
        <is>
          <t>https://lpjk.pu.go.id/search-badan-usaha-detail/cHhveE9McEZNMThuRkx4Q1JpdVE3dz09</t>
        </is>
      </c>
      <c r="F135" t="n">
        <v>1</v>
      </c>
      <c r="G135" t="inlineStr">
        <is>
          <t>BG001</t>
        </is>
      </c>
      <c r="H135" t="inlineStr">
        <is>
          <t>13 Januari 2014</t>
        </is>
      </c>
      <c r="I135" s="2" t="n">
        <v>46307</v>
      </c>
      <c r="J135" t="inlineStr">
        <is>
          <t>Disetujui</t>
        </is>
      </c>
      <c r="K135" t="n">
        <v>90</v>
      </c>
      <c r="L135" t="inlineStr">
        <is>
          <t>12 Oktober 2026</t>
        </is>
      </c>
      <c r="M135" t="inlineStr">
        <is>
          <t>Konstruksi Gedung Hunian</t>
        </is>
      </c>
      <c r="N135" t="inlineStr">
        <is>
          <t>K</t>
        </is>
      </c>
      <c r="O135" t="inlineStr">
        <is>
          <t>20231011</t>
        </is>
      </c>
      <c r="P135" t="inlineStr">
        <is>
          <t>Kalimantan Tengah</t>
        </is>
      </c>
      <c r="Q135" t="inlineStr"/>
    </row>
    <row r="136">
      <c r="A136" t="inlineStr">
        <is>
          <t>PRIMA VOKA KENCANA</t>
        </is>
      </c>
      <c r="B136" t="inlineStr">
        <is>
          <t>Kota Padang</t>
        </is>
      </c>
      <c r="C136" t="inlineStr">
        <is>
          <t>08116677469</t>
        </is>
      </c>
      <c r="D136" t="inlineStr">
        <is>
          <t>primavokakencana@gmail.com</t>
        </is>
      </c>
      <c r="E136" t="inlineStr">
        <is>
          <t>https://lpjk.pu.go.id/search-badan-usaha-detail/MmxTMWQzRmNwTDRyR1YrOVI4Y0FmUT09</t>
        </is>
      </c>
      <c r="F136" t="n">
        <v>1</v>
      </c>
      <c r="G136" t="inlineStr">
        <is>
          <t>BS004</t>
        </is>
      </c>
      <c r="H136" t="inlineStr">
        <is>
          <t>6 September 2023</t>
        </is>
      </c>
      <c r="I136" s="2" t="n">
        <v>46307</v>
      </c>
      <c r="J136" t="inlineStr">
        <is>
          <t>Disetujui</t>
        </is>
      </c>
      <c r="K136" t="n">
        <v>90</v>
      </c>
      <c r="L136" t="inlineStr">
        <is>
          <t>12 Oktober 2026</t>
        </is>
      </c>
      <c r="M136" t="inlineStr">
        <is>
          <t>Konstruksi Jaringan Irigasi dan Drainase</t>
        </is>
      </c>
      <c r="N136" t="inlineStr">
        <is>
          <t>K</t>
        </is>
      </c>
      <c r="O136" t="inlineStr">
        <is>
          <t>20231012</t>
        </is>
      </c>
      <c r="P136" t="inlineStr">
        <is>
          <t>Sumatera Barat</t>
        </is>
      </c>
      <c r="Q136" t="inlineStr"/>
    </row>
    <row r="137">
      <c r="A137" t="inlineStr">
        <is>
          <t>PURNAMA RAYA</t>
        </is>
      </c>
      <c r="B137" t="inlineStr">
        <is>
          <t>Kab. Sumbawa</t>
        </is>
      </c>
      <c r="C137" t="inlineStr">
        <is>
          <t>082341241280</t>
        </is>
      </c>
      <c r="D137" t="inlineStr">
        <is>
          <t>purnamaraya.cv@yahoo.com</t>
        </is>
      </c>
      <c r="E137" t="inlineStr">
        <is>
          <t>https://lpjk.pu.go.id/search-badan-usaha-detail/clVUVWN2aVRobGpnUHl6aWN2YjBvUT09</t>
        </is>
      </c>
      <c r="F137" t="n">
        <v>2</v>
      </c>
      <c r="G137" t="inlineStr">
        <is>
          <t>BS004</t>
        </is>
      </c>
      <c r="H137" t="inlineStr">
        <is>
          <t>1 Desember 2014</t>
        </is>
      </c>
      <c r="I137" s="2" t="n">
        <v>46307</v>
      </c>
      <c r="J137" t="inlineStr">
        <is>
          <t>Disetujui</t>
        </is>
      </c>
      <c r="K137" t="n">
        <v>90</v>
      </c>
      <c r="L137" t="inlineStr">
        <is>
          <t>12 Oktober 2026</t>
        </is>
      </c>
      <c r="M137" t="inlineStr">
        <is>
          <t>Konstruksi Jaringan Irigasi dan Drainase</t>
        </is>
      </c>
      <c r="N137" t="inlineStr">
        <is>
          <t>K</t>
        </is>
      </c>
      <c r="O137" t="inlineStr">
        <is>
          <t>20231011</t>
        </is>
      </c>
      <c r="P137" t="inlineStr">
        <is>
          <t>Nusa Tenggara Barat</t>
        </is>
      </c>
      <c r="Q137" t="inlineStr"/>
    </row>
    <row r="138">
      <c r="A138" t="inlineStr">
        <is>
          <t>PUTRA DEWATA</t>
        </is>
      </c>
      <c r="B138" t="inlineStr">
        <is>
          <t>Kota Blitar</t>
        </is>
      </c>
      <c r="C138" t="inlineStr">
        <is>
          <t>0</t>
        </is>
      </c>
      <c r="D138" t="inlineStr">
        <is>
          <t>putradewata_cv@yahoo.co.id</t>
        </is>
      </c>
      <c r="E138" t="inlineStr">
        <is>
          <t>https://lpjk.pu.go.id/search-badan-usaha-detail/SDkzTHJ6YVFjcm9DamJuWDVaVkNldz09</t>
        </is>
      </c>
      <c r="F138" t="n">
        <v>2</v>
      </c>
      <c r="G138" t="inlineStr">
        <is>
          <t>BG002, BG004</t>
        </is>
      </c>
      <c r="H138" t="inlineStr">
        <is>
          <t>10 April 2001</t>
        </is>
      </c>
      <c r="I138" s="2" t="n">
        <v>46307</v>
      </c>
      <c r="J138" t="inlineStr">
        <is>
          <t>Disetujui</t>
        </is>
      </c>
      <c r="K138" t="n">
        <v>90</v>
      </c>
      <c r="L138" t="inlineStr">
        <is>
          <t>12 Oktober 2026</t>
        </is>
      </c>
      <c r="M138" t="inlineStr">
        <is>
          <t>Konstruksi Gedung Perbelanjaan, Konstruksi Gedung Perkantoran</t>
        </is>
      </c>
      <c r="N138" t="inlineStr">
        <is>
          <t>K</t>
        </is>
      </c>
      <c r="O138" t="inlineStr">
        <is>
          <t>20230714, 20230804</t>
        </is>
      </c>
      <c r="P138" t="inlineStr">
        <is>
          <t>Jawa Timur</t>
        </is>
      </c>
      <c r="Q138" t="inlineStr"/>
    </row>
    <row r="139">
      <c r="A139" t="inlineStr">
        <is>
          <t>PUTRA NUSANTARA</t>
        </is>
      </c>
      <c r="B139" t="inlineStr">
        <is>
          <t>Kab. Klaten</t>
        </is>
      </c>
      <c r="C139" t="inlineStr">
        <is>
          <t>085290157293</t>
        </is>
      </c>
      <c r="D139" t="inlineStr">
        <is>
          <t>putranusantara520@ymail.com</t>
        </is>
      </c>
      <c r="E139" t="inlineStr">
        <is>
          <t>https://lpjk.pu.go.id/search-badan-usaha-detail/ejUwcnBwQnlOSlUrSWtxcHBxYVg2Zz09</t>
        </is>
      </c>
      <c r="F139" t="n">
        <v>1</v>
      </c>
      <c r="G139" t="inlineStr">
        <is>
          <t>BS001</t>
        </is>
      </c>
      <c r="H139" t="inlineStr">
        <is>
          <t>14 September 2012</t>
        </is>
      </c>
      <c r="I139" s="2" t="n">
        <v>46307</v>
      </c>
      <c r="J139" t="inlineStr">
        <is>
          <t>Disetujui</t>
        </is>
      </c>
      <c r="K139" t="n">
        <v>90</v>
      </c>
      <c r="L139" t="inlineStr">
        <is>
          <t>12 Oktober 2026</t>
        </is>
      </c>
      <c r="M139" t="inlineStr">
        <is>
          <t>Konstruksi Bangunan Sipil Jalan</t>
        </is>
      </c>
      <c r="N139" t="inlineStr">
        <is>
          <t>K</t>
        </is>
      </c>
      <c r="O139" t="inlineStr">
        <is>
          <t>20231011</t>
        </is>
      </c>
      <c r="P139" t="inlineStr">
        <is>
          <t>Jawa Tengah</t>
        </is>
      </c>
      <c r="Q139" t="inlineStr"/>
    </row>
    <row r="140">
      <c r="A140" t="inlineStr">
        <is>
          <t>RAKA JAYA</t>
        </is>
      </c>
      <c r="B140" t="inlineStr">
        <is>
          <t>Kab. Sleman</t>
        </is>
      </c>
      <c r="C140" t="inlineStr">
        <is>
          <t>0817265163</t>
        </is>
      </c>
      <c r="D140" t="inlineStr">
        <is>
          <t>cv_rakajaya@yahoo.co.id</t>
        </is>
      </c>
      <c r="E140" t="inlineStr">
        <is>
          <t>https://lpjk.pu.go.id/search-badan-usaha-detail/V2dHZExoTGd5NWRqTDJ3VWVyR2IwQT09</t>
        </is>
      </c>
      <c r="F140" t="n">
        <v>1</v>
      </c>
      <c r="G140" t="inlineStr">
        <is>
          <t>BS002</t>
        </is>
      </c>
      <c r="H140" t="inlineStr">
        <is>
          <t>5 Oktober 2010</t>
        </is>
      </c>
      <c r="I140" s="2" t="n">
        <v>46307</v>
      </c>
      <c r="J140" t="inlineStr">
        <is>
          <t>Disetujui</t>
        </is>
      </c>
      <c r="K140" t="n">
        <v>90</v>
      </c>
      <c r="L140" t="inlineStr">
        <is>
          <t>12 Oktober 2026</t>
        </is>
      </c>
      <c r="M140" t="inlineStr">
        <is>
          <t>Bangunan Sipil Jembatan, Jalan Layang, Fly Over, dan Underpass</t>
        </is>
      </c>
      <c r="N140" t="inlineStr">
        <is>
          <t>K</t>
        </is>
      </c>
      <c r="O140" t="inlineStr">
        <is>
          <t>20231012</t>
        </is>
      </c>
      <c r="P140" t="inlineStr">
        <is>
          <t>DI Yogyakarta</t>
        </is>
      </c>
      <c r="Q140" t="inlineStr"/>
    </row>
    <row r="141">
      <c r="A141" t="inlineStr">
        <is>
          <t>REZKY UTAMA KONSTRUKSI</t>
        </is>
      </c>
      <c r="B141" t="inlineStr">
        <is>
          <t>Kab. Nunukan</t>
        </is>
      </c>
      <c r="C141" t="inlineStr">
        <is>
          <t>081347474023</t>
        </is>
      </c>
      <c r="D141" t="inlineStr">
        <is>
          <t>rezkyutamakonstruksi@yahoo.com</t>
        </is>
      </c>
      <c r="E141" t="inlineStr">
        <is>
          <t>https://lpjk.pu.go.id/search-badan-usaha-detail/WENZZWVzK2tCckxEdmtqalRzTWpOQT09</t>
        </is>
      </c>
      <c r="F141" t="n">
        <v>3</v>
      </c>
      <c r="G141" t="inlineStr">
        <is>
          <t>BG001, BG002, BG006</t>
        </is>
      </c>
      <c r="H141" t="inlineStr">
        <is>
          <t>15 November 2019</t>
        </is>
      </c>
      <c r="I141" s="2" t="n">
        <v>46307</v>
      </c>
      <c r="J141" t="inlineStr">
        <is>
          <t>Disetujui</t>
        </is>
      </c>
      <c r="K141" t="n">
        <v>90</v>
      </c>
      <c r="L141" t="inlineStr">
        <is>
          <t>12 Oktober 2026</t>
        </is>
      </c>
      <c r="M141" t="inlineStr">
        <is>
          <t>Konstruksi Gedung Hunian, Konstruksi Gedung Pendidikan, Konstruksi Gedung Perkantoran</t>
        </is>
      </c>
      <c r="N141" t="inlineStr">
        <is>
          <t>K</t>
        </is>
      </c>
      <c r="O141" t="inlineStr">
        <is>
          <t>20231009</t>
        </is>
      </c>
      <c r="P141" t="inlineStr">
        <is>
          <t>Kalimantan Utara</t>
        </is>
      </c>
      <c r="Q141" t="inlineStr"/>
    </row>
    <row r="142">
      <c r="A142" t="inlineStr">
        <is>
          <t>ROMIZA</t>
        </is>
      </c>
      <c r="B142" t="inlineStr">
        <is>
          <t>Kota Tasikmalaya</t>
        </is>
      </c>
      <c r="C142" t="inlineStr">
        <is>
          <t>0895383179802</t>
        </is>
      </c>
      <c r="D142" t="inlineStr">
        <is>
          <t>1.romiza.cv@gmail.com</t>
        </is>
      </c>
      <c r="E142" t="inlineStr">
        <is>
          <t>https://lpjk.pu.go.id/search-badan-usaha-detail/VFdxMnRzRnVyOVZlYTl1ckYwOStwQT09</t>
        </is>
      </c>
      <c r="F142" t="n">
        <v>6</v>
      </c>
      <c r="G142" t="inlineStr">
        <is>
          <t>BG001, BG004, BG005, BG006, BG009</t>
        </is>
      </c>
      <c r="H142" t="inlineStr">
        <is>
          <t>16 Agustus 2011</t>
        </is>
      </c>
      <c r="I142" s="2" t="n">
        <v>46307</v>
      </c>
      <c r="J142" t="inlineStr">
        <is>
          <t>Disetujui</t>
        </is>
      </c>
      <c r="K142" t="n">
        <v>90</v>
      </c>
      <c r="L142" t="inlineStr">
        <is>
          <t>12 Oktober 2026</t>
        </is>
      </c>
      <c r="M142" t="inlineStr">
        <is>
          <t>Konstruksi Gedung Hunian, Konstruksi Gedung Kesehatan, Konstruksi Gedung Lainnya, Konstruksi Gedung Pendidikan, Konstruksi Gedung Perbelanjaan</t>
        </is>
      </c>
      <c r="N142" t="inlineStr">
        <is>
          <t>K</t>
        </is>
      </c>
      <c r="O142" t="inlineStr">
        <is>
          <t>20230920</t>
        </is>
      </c>
      <c r="P142" t="inlineStr">
        <is>
          <t>Jawa Barat</t>
        </is>
      </c>
      <c r="Q142" t="inlineStr"/>
    </row>
    <row r="143">
      <c r="A143" t="inlineStr">
        <is>
          <t>SAHABAT SEJATI NADA</t>
        </is>
      </c>
      <c r="B143" t="inlineStr">
        <is>
          <t>Kota Banjarmasin</t>
        </is>
      </c>
      <c r="C143" t="inlineStr">
        <is>
          <t>081239480555</t>
        </is>
      </c>
      <c r="D143" t="inlineStr">
        <is>
          <t>sahabatsejatinada@gmail.com</t>
        </is>
      </c>
      <c r="E143" t="inlineStr">
        <is>
          <t>https://lpjk.pu.go.id/search-badan-usaha-detail/cERLeDA1dUk3SWMzTEcyZHhzR2FzUT09</t>
        </is>
      </c>
      <c r="F143" t="n">
        <v>4</v>
      </c>
      <c r="G143" t="inlineStr">
        <is>
          <t>BG001, BG005, BS001, BS004</t>
        </is>
      </c>
      <c r="H143" t="inlineStr">
        <is>
          <t>15 Agustus 2019</t>
        </is>
      </c>
      <c r="I143" s="2" t="n">
        <v>46307</v>
      </c>
      <c r="J143" t="inlineStr">
        <is>
          <t>Disetujui</t>
        </is>
      </c>
      <c r="K143" t="n">
        <v>90</v>
      </c>
      <c r="L143" t="inlineStr">
        <is>
          <t>12 Oktober 2026</t>
        </is>
      </c>
      <c r="M143" t="inlineStr">
        <is>
          <t>Konstruksi Bangunan Sipil Jalan, Konstruksi Gedung Hunian, Konstruksi Gedung Kesehatan, Konstruksi Jaringan Irigasi dan Drainase</t>
        </is>
      </c>
      <c r="N143" t="inlineStr">
        <is>
          <t>K</t>
        </is>
      </c>
      <c r="O143" t="inlineStr">
        <is>
          <t>20231011, 20231012</t>
        </is>
      </c>
      <c r="P143" t="inlineStr">
        <is>
          <t>Kalimantan Selatan</t>
        </is>
      </c>
      <c r="Q143" t="inlineStr"/>
    </row>
    <row r="144">
      <c r="A144" t="inlineStr">
        <is>
          <t>SEJAHTERA KREASI</t>
        </is>
      </c>
      <c r="B144" t="inlineStr">
        <is>
          <t>Kota Pontianak</t>
        </is>
      </c>
      <c r="C144" t="inlineStr">
        <is>
          <t>081351226226</t>
        </is>
      </c>
      <c r="D144" t="inlineStr">
        <is>
          <t>cvsejahtereakreasi@gmail.com</t>
        </is>
      </c>
      <c r="E144" t="inlineStr">
        <is>
          <t>https://lpjk.pu.go.id/search-badan-usaha-detail/SmpLREhPcTcwZU45MnI2OFFOdFBRdz09</t>
        </is>
      </c>
      <c r="F144" t="n">
        <v>5</v>
      </c>
      <c r="G144" t="inlineStr">
        <is>
          <t>BG002, BG004, BG005, BG006, BG009</t>
        </is>
      </c>
      <c r="H144" t="inlineStr">
        <is>
          <t>14 Januari 2020</t>
        </is>
      </c>
      <c r="I144" s="2" t="n">
        <v>46307</v>
      </c>
      <c r="J144" t="inlineStr">
        <is>
          <t>Disetujui</t>
        </is>
      </c>
      <c r="K144" t="n">
        <v>90</v>
      </c>
      <c r="L144" t="inlineStr">
        <is>
          <t>12 Oktober 2026</t>
        </is>
      </c>
      <c r="M144" t="inlineStr">
        <is>
          <t>Konstruksi Gedung Kesehatan, Konstruksi Gedung Lainnya, Konstruksi Gedung Pendidikan, Konstruksi Gedung Perbelanjaan, Konstruksi Gedung Perkantoran</t>
        </is>
      </c>
      <c r="N144" t="inlineStr">
        <is>
          <t>K</t>
        </is>
      </c>
      <c r="O144" t="inlineStr">
        <is>
          <t>20231012</t>
        </is>
      </c>
      <c r="P144" t="inlineStr">
        <is>
          <t>Kalimantan Barat</t>
        </is>
      </c>
      <c r="Q144" t="inlineStr"/>
    </row>
    <row r="145">
      <c r="A145" t="inlineStr">
        <is>
          <t>SEMBILAN HAKIM NUSANTARA</t>
        </is>
      </c>
      <c r="B145" t="inlineStr">
        <is>
          <t>Kota Bandar Lampung</t>
        </is>
      </c>
      <c r="C145" t="inlineStr">
        <is>
          <t>08117290909</t>
        </is>
      </c>
      <c r="D145" t="inlineStr">
        <is>
          <t>9hnusantara@gmail.com</t>
        </is>
      </c>
      <c r="E145" t="inlineStr">
        <is>
          <t>https://lpjk.pu.go.id/search-badan-usaha-detail/MGhvdWFkbzB6MVRZQzg2MlNBSTF6Zz09</t>
        </is>
      </c>
      <c r="F145" t="n">
        <v>1</v>
      </c>
      <c r="G145" t="inlineStr">
        <is>
          <t>BG007</t>
        </is>
      </c>
      <c r="H145" t="inlineStr">
        <is>
          <t>19 Juni 2009</t>
        </is>
      </c>
      <c r="I145" s="2" t="n">
        <v>46307</v>
      </c>
      <c r="J145" t="inlineStr">
        <is>
          <t>Disetujui</t>
        </is>
      </c>
      <c r="K145" t="n">
        <v>90</v>
      </c>
      <c r="L145" t="inlineStr">
        <is>
          <t>12 Oktober 2026</t>
        </is>
      </c>
      <c r="M145" t="inlineStr">
        <is>
          <t>Konstruksi Gedung Penginapan</t>
        </is>
      </c>
      <c r="N145" t="inlineStr">
        <is>
          <t>K</t>
        </is>
      </c>
      <c r="O145" t="inlineStr">
        <is>
          <t>20231012</t>
        </is>
      </c>
      <c r="P145" t="inlineStr">
        <is>
          <t>Lampung</t>
        </is>
      </c>
      <c r="Q145" t="inlineStr"/>
    </row>
    <row r="146">
      <c r="A146" t="inlineStr">
        <is>
          <t>SEPAKAT SEBELAS DUA BELAS</t>
        </is>
      </c>
      <c r="B146" t="inlineStr">
        <is>
          <t>Kab. Indramayu</t>
        </is>
      </c>
      <c r="C146" t="inlineStr">
        <is>
          <t>081223808789</t>
        </is>
      </c>
      <c r="D146" t="inlineStr">
        <is>
          <t>cv.sepakat1112@gmail.com</t>
        </is>
      </c>
      <c r="E146" t="inlineStr">
        <is>
          <t>https://lpjk.pu.go.id/search-badan-usaha-detail/MzRacDlvWmVwdXJrQnBmbXZkNS84Zz09</t>
        </is>
      </c>
      <c r="F146" t="n">
        <v>2</v>
      </c>
      <c r="G146" t="inlineStr">
        <is>
          <t>BS001, BS004</t>
        </is>
      </c>
      <c r="H146" t="inlineStr">
        <is>
          <t>22 Januari 2021</t>
        </is>
      </c>
      <c r="I146" s="2" t="n">
        <v>46307</v>
      </c>
      <c r="J146" t="inlineStr">
        <is>
          <t>Disetujui</t>
        </is>
      </c>
      <c r="K146" t="n">
        <v>90</v>
      </c>
      <c r="L146" t="inlineStr">
        <is>
          <t>12 Oktober 2026</t>
        </is>
      </c>
      <c r="M146" t="inlineStr">
        <is>
          <t>Konstruksi Bangunan Sipil Jalan, Konstruksi Jaringan Irigasi dan Drainase</t>
        </is>
      </c>
      <c r="N146" t="inlineStr">
        <is>
          <t>K</t>
        </is>
      </c>
      <c r="O146" t="inlineStr">
        <is>
          <t>20230915, 20231011</t>
        </is>
      </c>
      <c r="P146" t="inlineStr">
        <is>
          <t>Jawa Barat</t>
        </is>
      </c>
      <c r="Q146" t="inlineStr"/>
    </row>
    <row r="147">
      <c r="A147" t="inlineStr">
        <is>
          <t>SINAR ADAM</t>
        </is>
      </c>
      <c r="B147" t="inlineStr">
        <is>
          <t>Kota Metro</t>
        </is>
      </c>
      <c r="C147" t="inlineStr">
        <is>
          <t>082380777790</t>
        </is>
      </c>
      <c r="D147" t="inlineStr">
        <is>
          <t>sinaradam77@gmail.com</t>
        </is>
      </c>
      <c r="E147" t="inlineStr">
        <is>
          <t>https://lpjk.pu.go.id/search-badan-usaha-detail/RUEzQ3VYSGs0dEc2MGNPSStWYmtCQT09</t>
        </is>
      </c>
      <c r="F147" t="n">
        <v>2</v>
      </c>
      <c r="G147" t="inlineStr">
        <is>
          <t>BS001, BS004</t>
        </is>
      </c>
      <c r="H147" t="inlineStr">
        <is>
          <t>26 Oktober 2001</t>
        </is>
      </c>
      <c r="I147" s="2" t="n">
        <v>46307</v>
      </c>
      <c r="J147" t="inlineStr">
        <is>
          <t>Disetujui, Permohonan Perubahan Non Asesmen</t>
        </is>
      </c>
      <c r="K147" t="n">
        <v>90</v>
      </c>
      <c r="L147" t="inlineStr">
        <is>
          <t>12 Oktober 2026</t>
        </is>
      </c>
      <c r="M147" t="inlineStr">
        <is>
          <t>Konstruksi Bangunan Sipil Jalan, Konstruksi Jaringan Irigasi dan Drainase</t>
        </is>
      </c>
      <c r="N147" t="inlineStr">
        <is>
          <t>K</t>
        </is>
      </c>
      <c r="O147" t="inlineStr">
        <is>
          <t>20231012</t>
        </is>
      </c>
      <c r="P147" t="inlineStr">
        <is>
          <t>Lampung</t>
        </is>
      </c>
      <c r="Q147" t="inlineStr"/>
    </row>
    <row r="148">
      <c r="A148" t="inlineStr">
        <is>
          <t>SINTESA NARAJAYA</t>
        </is>
      </c>
      <c r="B148" t="inlineStr">
        <is>
          <t>Kota Serang</t>
        </is>
      </c>
      <c r="C148" t="inlineStr">
        <is>
          <t>08176952608</t>
        </is>
      </c>
      <c r="D148" t="inlineStr">
        <is>
          <t>sintesanarajaya@gmail.com</t>
        </is>
      </c>
      <c r="E148" t="inlineStr">
        <is>
          <t>https://lpjk.pu.go.id/search-badan-usaha-detail/N1dxRWhtTTZRR21MUjlRQ3VLRkg5Zz09</t>
        </is>
      </c>
      <c r="F148" t="n">
        <v>1</v>
      </c>
      <c r="G148" t="inlineStr">
        <is>
          <t>BG009</t>
        </is>
      </c>
      <c r="H148" t="inlineStr">
        <is>
          <t>21 Juni 2019</t>
        </is>
      </c>
      <c r="I148" s="2" t="n">
        <v>46307</v>
      </c>
      <c r="J148" t="inlineStr">
        <is>
          <t>Disetujui</t>
        </is>
      </c>
      <c r="K148" t="n">
        <v>90</v>
      </c>
      <c r="L148" t="inlineStr">
        <is>
          <t>12 Oktober 2026</t>
        </is>
      </c>
      <c r="M148" t="inlineStr">
        <is>
          <t>Konstruksi Gedung Lainnya</t>
        </is>
      </c>
      <c r="N148" t="inlineStr">
        <is>
          <t>K</t>
        </is>
      </c>
      <c r="O148" t="inlineStr">
        <is>
          <t>20231009</t>
        </is>
      </c>
      <c r="P148" t="inlineStr">
        <is>
          <t>Banten</t>
        </is>
      </c>
      <c r="Q148" t="inlineStr"/>
    </row>
    <row r="149">
      <c r="A149" t="inlineStr">
        <is>
          <t>SOLATA MAKMUR</t>
        </is>
      </c>
      <c r="B149" t="inlineStr">
        <is>
          <t>Kab. Nunukan</t>
        </is>
      </c>
      <c r="C149" t="inlineStr">
        <is>
          <t>082349046166</t>
        </is>
      </c>
      <c r="D149" t="inlineStr">
        <is>
          <t>solatamakmur@gmail.com</t>
        </is>
      </c>
      <c r="E149" t="inlineStr">
        <is>
          <t>https://lpjk.pu.go.id/search-badan-usaha-detail/dWhxc1RmQzF4T0h3UU52UjFZeWtOQT09</t>
        </is>
      </c>
      <c r="F149" t="n">
        <v>2</v>
      </c>
      <c r="G149" t="inlineStr">
        <is>
          <t>BG009</t>
        </is>
      </c>
      <c r="H149" t="inlineStr">
        <is>
          <t>14 September 2020</t>
        </is>
      </c>
      <c r="I149" s="2" t="n">
        <v>46307</v>
      </c>
      <c r="J149" t="inlineStr">
        <is>
          <t>Disetujui</t>
        </is>
      </c>
      <c r="K149" t="n">
        <v>90</v>
      </c>
      <c r="L149" t="inlineStr">
        <is>
          <t>12 Oktober 2026</t>
        </is>
      </c>
      <c r="M149" t="inlineStr">
        <is>
          <t>Konstruksi Gedung Lainnya</t>
        </is>
      </c>
      <c r="N149" t="inlineStr">
        <is>
          <t>K</t>
        </is>
      </c>
      <c r="O149" t="inlineStr">
        <is>
          <t>20231010</t>
        </is>
      </c>
      <c r="P149" t="inlineStr">
        <is>
          <t>Kalimantan Utara</t>
        </is>
      </c>
      <c r="Q149" t="inlineStr"/>
    </row>
    <row r="150">
      <c r="A150" t="inlineStr">
        <is>
          <t>SUCI TRI LESTARI</t>
        </is>
      </c>
      <c r="B150" t="inlineStr">
        <is>
          <t>Kota Pekanbaru</t>
        </is>
      </c>
      <c r="C150" t="inlineStr">
        <is>
          <t>082385599944</t>
        </is>
      </c>
      <c r="D150" t="inlineStr">
        <is>
          <t>cvsucitrilestari@gmail.com</t>
        </is>
      </c>
      <c r="E150" t="inlineStr">
        <is>
          <t>https://lpjk.pu.go.id/search-badan-usaha-detail/b1I5bERyS2VScVBIcHlpaDFBYkZTZz09</t>
        </is>
      </c>
      <c r="F150" t="n">
        <v>1</v>
      </c>
      <c r="G150" t="inlineStr">
        <is>
          <t>BG002</t>
        </is>
      </c>
      <c r="H150" t="inlineStr">
        <is>
          <t>19 Agustus 2023</t>
        </is>
      </c>
      <c r="I150" s="2" t="n">
        <v>46307</v>
      </c>
      <c r="J150" t="inlineStr">
        <is>
          <t>Pencabutan</t>
        </is>
      </c>
      <c r="K150" t="n">
        <v>90</v>
      </c>
      <c r="L150" t="inlineStr">
        <is>
          <t>12 Oktober 2026</t>
        </is>
      </c>
      <c r="M150" t="inlineStr">
        <is>
          <t>Konstruksi Gedung Perkantoran</t>
        </is>
      </c>
      <c r="N150" t="inlineStr">
        <is>
          <t>K</t>
        </is>
      </c>
      <c r="O150" t="inlineStr">
        <is>
          <t>20231012</t>
        </is>
      </c>
      <c r="P150" t="inlineStr">
        <is>
          <t>Riau</t>
        </is>
      </c>
      <c r="Q150" t="inlineStr"/>
    </row>
    <row r="151">
      <c r="A151" t="inlineStr">
        <is>
          <t>SUN JAYA</t>
        </is>
      </c>
      <c r="B151" t="inlineStr">
        <is>
          <t>Kota Semarang</t>
        </is>
      </c>
      <c r="C151" t="inlineStr">
        <is>
          <t>085741048199</t>
        </is>
      </c>
      <c r="D151" t="inlineStr">
        <is>
          <t>cvsunjaya2023@gmail.com</t>
        </is>
      </c>
      <c r="E151" t="inlineStr">
        <is>
          <t>https://lpjk.pu.go.id/search-badan-usaha-detail/NVRDUlJVUFF4eWpDUCttSlp6NEJRUT09</t>
        </is>
      </c>
      <c r="F151" t="n">
        <v>3</v>
      </c>
      <c r="G151" t="inlineStr">
        <is>
          <t>BG002, BG005, BG009</t>
        </is>
      </c>
      <c r="H151" t="inlineStr">
        <is>
          <t>9 November 2016</t>
        </is>
      </c>
      <c r="I151" s="2" t="n">
        <v>46307</v>
      </c>
      <c r="J151" t="inlineStr">
        <is>
          <t>Disetujui</t>
        </is>
      </c>
      <c r="K151" t="n">
        <v>90</v>
      </c>
      <c r="L151" t="inlineStr">
        <is>
          <t>12 Oktober 2026</t>
        </is>
      </c>
      <c r="M151" t="inlineStr">
        <is>
          <t>Konstruksi Gedung Kesehatan, Konstruksi Gedung Lainnya, Konstruksi Gedung Perkantoran</t>
        </is>
      </c>
      <c r="N151" t="inlineStr">
        <is>
          <t>K</t>
        </is>
      </c>
      <c r="O151" t="inlineStr">
        <is>
          <t>20231010</t>
        </is>
      </c>
      <c r="P151" t="inlineStr">
        <is>
          <t>Jawa Tengah</t>
        </is>
      </c>
      <c r="Q151" t="inlineStr"/>
    </row>
    <row r="152">
      <c r="A152" t="inlineStr">
        <is>
          <t>TABINA JAYA MANDIRI</t>
        </is>
      </c>
      <c r="B152" t="inlineStr">
        <is>
          <t>Kota Banda Aceh</t>
        </is>
      </c>
      <c r="C152" t="inlineStr">
        <is>
          <t>082363848767</t>
        </is>
      </c>
      <c r="D152" t="inlineStr">
        <is>
          <t>tabinajayamandiri@gmail.com</t>
        </is>
      </c>
      <c r="E152" t="inlineStr">
        <is>
          <t>https://lpjk.pu.go.id/search-badan-usaha-detail/SEdRamlTeHdkRmJNenM2eTNPeEo5QT09</t>
        </is>
      </c>
      <c r="F152" t="n">
        <v>1</v>
      </c>
      <c r="G152" t="inlineStr">
        <is>
          <t>PB004</t>
        </is>
      </c>
      <c r="H152" t="inlineStr">
        <is>
          <t>7 September 2023</t>
        </is>
      </c>
      <c r="I152" s="2" t="n">
        <v>46307</v>
      </c>
      <c r="J152" t="inlineStr">
        <is>
          <t>Disetujui</t>
        </is>
      </c>
      <c r="K152" t="n">
        <v>90</v>
      </c>
      <c r="L152" t="inlineStr">
        <is>
          <t>12 Oktober 2026</t>
        </is>
      </c>
      <c r="M152" t="inlineStr">
        <is>
          <t>Dekorasi Interior</t>
        </is>
      </c>
      <c r="N152" t="inlineStr">
        <is>
          <t>Spesialis</t>
        </is>
      </c>
      <c r="O152" t="inlineStr">
        <is>
          <t>20231009</t>
        </is>
      </c>
      <c r="P152" t="inlineStr">
        <is>
          <t>Aceh</t>
        </is>
      </c>
      <c r="Q152" t="inlineStr"/>
    </row>
    <row r="153">
      <c r="A153" t="inlineStr">
        <is>
          <t>THREE CAHAYA ABADI</t>
        </is>
      </c>
      <c r="B153" t="inlineStr">
        <is>
          <t>Kota Kupang</t>
        </is>
      </c>
      <c r="C153" t="inlineStr">
        <is>
          <t>081239098472</t>
        </is>
      </c>
      <c r="D153" t="inlineStr">
        <is>
          <t>cvthreecahayaabadi@gmail.com</t>
        </is>
      </c>
      <c r="E153" t="inlineStr">
        <is>
          <t>https://lpjk.pu.go.id/search-badan-usaha-detail/QWN0TGhBRnNCZ1h4aDdsSjJubnVFZz09</t>
        </is>
      </c>
      <c r="F153" t="n">
        <v>2</v>
      </c>
      <c r="G153" t="inlineStr">
        <is>
          <t>BG002, BG004</t>
        </is>
      </c>
      <c r="H153" t="inlineStr">
        <is>
          <t>18 Oktober 2022</t>
        </is>
      </c>
      <c r="I153" s="2" t="n">
        <v>46307</v>
      </c>
      <c r="J153" t="inlineStr">
        <is>
          <t>Disetujui</t>
        </is>
      </c>
      <c r="K153" t="n">
        <v>90</v>
      </c>
      <c r="L153" t="inlineStr">
        <is>
          <t>12 Oktober 2026</t>
        </is>
      </c>
      <c r="M153" t="inlineStr">
        <is>
          <t>Konstruksi Gedung Perbelanjaan, Konstruksi Gedung Perkantoran</t>
        </is>
      </c>
      <c r="N153" t="inlineStr">
        <is>
          <t>K</t>
        </is>
      </c>
      <c r="O153" t="inlineStr">
        <is>
          <t>20231006</t>
        </is>
      </c>
      <c r="P153" t="inlineStr">
        <is>
          <t>Nusa Tenggara Timur</t>
        </is>
      </c>
      <c r="Q153" t="inlineStr"/>
    </row>
    <row r="154">
      <c r="A154" t="inlineStr">
        <is>
          <t>TIGA PERKASA</t>
        </is>
      </c>
      <c r="B154" t="inlineStr">
        <is>
          <t>Kab. Pandeglang</t>
        </is>
      </c>
      <c r="C154" t="inlineStr">
        <is>
          <t>085323326779</t>
        </is>
      </c>
      <c r="D154" t="inlineStr">
        <is>
          <t>tigaperkasa22wr@gmail.com</t>
        </is>
      </c>
      <c r="E154" t="inlineStr">
        <is>
          <t>https://lpjk.pu.go.id/search-badan-usaha-detail/QWtxVmdEMjZKRjk1TWh4c0ZOVFpqQT09</t>
        </is>
      </c>
      <c r="F154" t="n">
        <v>1</v>
      </c>
      <c r="G154" t="inlineStr">
        <is>
          <t>BS001</t>
        </is>
      </c>
      <c r="H154" t="inlineStr">
        <is>
          <t>28 Februari 2023</t>
        </is>
      </c>
      <c r="I154" s="2" t="n">
        <v>46307</v>
      </c>
      <c r="J154" t="inlineStr">
        <is>
          <t>Pencabutan</t>
        </is>
      </c>
      <c r="K154" t="n">
        <v>90</v>
      </c>
      <c r="L154" t="inlineStr">
        <is>
          <t>12 Oktober 2026</t>
        </is>
      </c>
      <c r="M154" t="inlineStr">
        <is>
          <t>Konstruksi Bangunan Sipil Jalan</t>
        </is>
      </c>
      <c r="N154" t="inlineStr">
        <is>
          <t>M</t>
        </is>
      </c>
      <c r="O154" t="inlineStr">
        <is>
          <t>20230927</t>
        </is>
      </c>
      <c r="P154" t="inlineStr">
        <is>
          <t>Banten</t>
        </is>
      </c>
      <c r="Q154" t="inlineStr"/>
    </row>
    <row r="155">
      <c r="A155" t="inlineStr">
        <is>
          <t>TIGA SUKU INDONESIA</t>
        </is>
      </c>
      <c r="B155" t="inlineStr">
        <is>
          <t>Kota Tangerang</t>
        </is>
      </c>
      <c r="C155" t="inlineStr">
        <is>
          <t>0811925981</t>
        </is>
      </c>
      <c r="D155" t="inlineStr">
        <is>
          <t>Info@tigasuku.com</t>
        </is>
      </c>
      <c r="E155" t="inlineStr">
        <is>
          <t>https://lpjk.pu.go.id/search-badan-usaha-detail/RmwwWTF5ay9FM2FVU0RqVHgyaEdrdz09</t>
        </is>
      </c>
      <c r="F155" t="n">
        <v>1</v>
      </c>
      <c r="G155" t="inlineStr">
        <is>
          <t>BS001</t>
        </is>
      </c>
      <c r="H155" t="inlineStr">
        <is>
          <t>15 November 2022</t>
        </is>
      </c>
      <c r="I155" s="2" t="n">
        <v>46307</v>
      </c>
      <c r="J155" t="inlineStr">
        <is>
          <t>Disetujui</t>
        </is>
      </c>
      <c r="K155" t="n">
        <v>90</v>
      </c>
      <c r="L155" t="inlineStr">
        <is>
          <t>12 Oktober 2026</t>
        </is>
      </c>
      <c r="M155" t="inlineStr">
        <is>
          <t>Konstruksi Bangunan Sipil Jalan</t>
        </is>
      </c>
      <c r="N155" t="inlineStr">
        <is>
          <t>K</t>
        </is>
      </c>
      <c r="O155" t="inlineStr">
        <is>
          <t>20231010</t>
        </is>
      </c>
      <c r="P155" t="inlineStr">
        <is>
          <t>Banten</t>
        </is>
      </c>
      <c r="Q155" t="inlineStr"/>
    </row>
    <row r="156">
      <c r="A156" t="inlineStr">
        <is>
          <t>TIRTA MAS DUA</t>
        </is>
      </c>
      <c r="B156" t="inlineStr">
        <is>
          <t>Kab. Bojonegoro</t>
        </is>
      </c>
      <c r="C156" t="inlineStr">
        <is>
          <t>081333301875</t>
        </is>
      </c>
      <c r="D156" t="inlineStr">
        <is>
          <t>cvtirtamasduaa@gmail.com</t>
        </is>
      </c>
      <c r="E156" t="inlineStr">
        <is>
          <t>https://lpjk.pu.go.id/search-badan-usaha-detail/T3VoU0lkUHlPdG5pTUVxWFpWU2lFZz09</t>
        </is>
      </c>
      <c r="F156" t="n">
        <v>1</v>
      </c>
      <c r="G156" t="inlineStr">
        <is>
          <t>BS002</t>
        </is>
      </c>
      <c r="H156" t="inlineStr">
        <is>
          <t>6 Juni 2023</t>
        </is>
      </c>
      <c r="I156" s="2" t="n">
        <v>46307</v>
      </c>
      <c r="J156" t="inlineStr">
        <is>
          <t>Pencabutan</t>
        </is>
      </c>
      <c r="K156" t="n">
        <v>90</v>
      </c>
      <c r="L156" t="inlineStr">
        <is>
          <t>12 Oktober 2026</t>
        </is>
      </c>
      <c r="M156" t="inlineStr">
        <is>
          <t>Bangunan Sipil Jembatan, Jalan Layang, Fly Over, dan Underpass</t>
        </is>
      </c>
      <c r="N156" t="inlineStr">
        <is>
          <t>K</t>
        </is>
      </c>
      <c r="O156" t="inlineStr">
        <is>
          <t>20231010</t>
        </is>
      </c>
      <c r="P156" t="inlineStr">
        <is>
          <t>Jawa Timur</t>
        </is>
      </c>
      <c r="Q156" t="inlineStr"/>
    </row>
    <row r="157">
      <c r="A157" t="inlineStr">
        <is>
          <t>TRI EKA USAHA</t>
        </is>
      </c>
      <c r="B157" t="inlineStr">
        <is>
          <t>Kota Pematangsiantar</t>
        </is>
      </c>
      <c r="C157" t="inlineStr">
        <is>
          <t>081370946809</t>
        </is>
      </c>
      <c r="D157" t="inlineStr">
        <is>
          <t>cv.triekausaha2019@gmail.com</t>
        </is>
      </c>
      <c r="E157" t="inlineStr">
        <is>
          <t>https://lpjk.pu.go.id/search-badan-usaha-detail/SzhabmxmTEtNUkNrVFJsY1RqSUh2QT09</t>
        </is>
      </c>
      <c r="F157" t="n">
        <v>1</v>
      </c>
      <c r="G157" t="inlineStr">
        <is>
          <t>BG009</t>
        </is>
      </c>
      <c r="H157" t="inlineStr">
        <is>
          <t>20 November 2019</t>
        </is>
      </c>
      <c r="I157" s="2" t="n">
        <v>46307</v>
      </c>
      <c r="J157" t="inlineStr">
        <is>
          <t>Disetujui</t>
        </is>
      </c>
      <c r="K157" t="n">
        <v>90</v>
      </c>
      <c r="L157" t="inlineStr">
        <is>
          <t>12 Oktober 2026</t>
        </is>
      </c>
      <c r="M157" t="inlineStr">
        <is>
          <t>Konstruksi Gedung Lainnya</t>
        </is>
      </c>
      <c r="N157" t="inlineStr">
        <is>
          <t>K</t>
        </is>
      </c>
      <c r="O157" t="inlineStr">
        <is>
          <t>20230715</t>
        </is>
      </c>
      <c r="P157" t="inlineStr">
        <is>
          <t>Sumatera Utara</t>
        </is>
      </c>
      <c r="Q157" t="inlineStr"/>
    </row>
    <row r="158">
      <c r="A158" t="inlineStr">
        <is>
          <t>TRI TUNGGAL SAKTI</t>
        </is>
      </c>
      <c r="B158" t="inlineStr">
        <is>
          <t>Kab. Sidoarjo</t>
        </is>
      </c>
      <c r="C158" t="inlineStr">
        <is>
          <t>082132257528</t>
        </is>
      </c>
      <c r="D158" t="inlineStr">
        <is>
          <t>tritunggalsakti86@gmail.com</t>
        </is>
      </c>
      <c r="E158" t="inlineStr">
        <is>
          <t>https://lpjk.pu.go.id/search-badan-usaha-detail/S2NJeXh2cjFDM3FrQUo4U2dLZmpCQT09</t>
        </is>
      </c>
      <c r="F158" t="n">
        <v>2</v>
      </c>
      <c r="G158" t="inlineStr">
        <is>
          <t>BG005, BS001</t>
        </is>
      </c>
      <c r="H158" t="inlineStr">
        <is>
          <t>7 Agustus 2019</t>
        </is>
      </c>
      <c r="I158" s="2" t="n">
        <v>46307</v>
      </c>
      <c r="J158" t="inlineStr">
        <is>
          <t>Disetujui</t>
        </is>
      </c>
      <c r="K158" t="n">
        <v>90</v>
      </c>
      <c r="L158" t="inlineStr">
        <is>
          <t>12 Oktober 2026</t>
        </is>
      </c>
      <c r="M158" t="inlineStr">
        <is>
          <t>Konstruksi Bangunan Sipil Jalan, Konstruksi Gedung Kesehatan</t>
        </is>
      </c>
      <c r="N158" t="inlineStr">
        <is>
          <t>K</t>
        </is>
      </c>
      <c r="O158" t="inlineStr">
        <is>
          <t>20231012</t>
        </is>
      </c>
      <c r="P158" t="inlineStr">
        <is>
          <t>Jawa Timur</t>
        </is>
      </c>
      <c r="Q158" t="inlineStr"/>
    </row>
    <row r="159">
      <c r="A159" t="inlineStr">
        <is>
          <t>WAHYU MUSTIKA ENGINEERING</t>
        </is>
      </c>
      <c r="B159" t="inlineStr">
        <is>
          <t>Kota Cilegon</t>
        </is>
      </c>
      <c r="C159" t="inlineStr">
        <is>
          <t>081282073832</t>
        </is>
      </c>
      <c r="D159" t="inlineStr">
        <is>
          <t>wahyumustikaengineering@yahoo.co.id</t>
        </is>
      </c>
      <c r="E159" t="inlineStr">
        <is>
          <t>https://lpjk.pu.go.id/search-badan-usaha-detail/RWVOZHpGWk1GaGovYWc0ak9HMzc3QT09</t>
        </is>
      </c>
      <c r="F159" t="n">
        <v>1</v>
      </c>
      <c r="G159" t="inlineStr">
        <is>
          <t>KK016</t>
        </is>
      </c>
      <c r="H159" t="inlineStr">
        <is>
          <t>17 Maret 2011</t>
        </is>
      </c>
      <c r="I159" s="2" t="n">
        <v>46307</v>
      </c>
      <c r="J159" t="inlineStr">
        <is>
          <t>Disetujui</t>
        </is>
      </c>
      <c r="K159" t="n">
        <v>90</v>
      </c>
      <c r="L159" t="inlineStr">
        <is>
          <t>12 Oktober 2026</t>
        </is>
      </c>
      <c r="M159" t="inlineStr">
        <is>
          <t>Pemasangan Kerangka Baja</t>
        </is>
      </c>
      <c r="N159" t="inlineStr">
        <is>
          <t>Spesialis</t>
        </is>
      </c>
      <c r="O159" t="inlineStr">
        <is>
          <t>20231012</t>
        </is>
      </c>
      <c r="P159" t="inlineStr">
        <is>
          <t>Banten</t>
        </is>
      </c>
      <c r="Q159" t="inlineStr"/>
    </row>
    <row r="160">
      <c r="A160" t="inlineStr">
        <is>
          <t>WINDU PUTRA KENCANA</t>
        </is>
      </c>
      <c r="B160" t="inlineStr">
        <is>
          <t>Kota Surabaya</t>
        </is>
      </c>
      <c r="C160" t="inlineStr">
        <is>
          <t>088230413576</t>
        </is>
      </c>
      <c r="D160" t="inlineStr">
        <is>
          <t>ptwinduputrakencana@gmail.com</t>
        </is>
      </c>
      <c r="E160" t="inlineStr">
        <is>
          <t>https://lpjk.pu.go.id/search-badan-usaha-detail/MnJhNUNOdEhHekRKWCtZRmlZK0wyQT09</t>
        </is>
      </c>
      <c r="F160" t="n">
        <v>1</v>
      </c>
      <c r="G160" t="inlineStr">
        <is>
          <t>BG009</t>
        </is>
      </c>
      <c r="H160" t="inlineStr">
        <is>
          <t>20 September 2023</t>
        </is>
      </c>
      <c r="I160" s="2" t="n">
        <v>46307</v>
      </c>
      <c r="J160" t="inlineStr">
        <is>
          <t>Disetujui</t>
        </is>
      </c>
      <c r="K160" t="n">
        <v>90</v>
      </c>
      <c r="L160" t="inlineStr">
        <is>
          <t>12 Oktober 2026</t>
        </is>
      </c>
      <c r="M160" t="inlineStr">
        <is>
          <t>Konstruksi Gedung Lainnya</t>
        </is>
      </c>
      <c r="N160" t="inlineStr">
        <is>
          <t>K</t>
        </is>
      </c>
      <c r="O160" t="inlineStr">
        <is>
          <t>20230927</t>
        </is>
      </c>
      <c r="P160" t="inlineStr">
        <is>
          <t>Jawa Timur</t>
        </is>
      </c>
      <c r="Q160" t="inlineStr"/>
    </row>
    <row r="161">
      <c r="A161" t="inlineStr">
        <is>
          <t>YUDI HASANAH</t>
        </is>
      </c>
      <c r="B161" t="inlineStr">
        <is>
          <t>Kota Palembang</t>
        </is>
      </c>
      <c r="C161" t="inlineStr">
        <is>
          <t>08117859933</t>
        </is>
      </c>
      <c r="D161" t="inlineStr">
        <is>
          <t>yudihasanah.cv@gmail.com</t>
        </is>
      </c>
      <c r="E161" t="inlineStr">
        <is>
          <t>https://lpjk.pu.go.id/search-badan-usaha-detail/MEdIa3RHMFlsYlZ1QXBtTTlneThMZz09</t>
        </is>
      </c>
      <c r="F161" t="n">
        <v>1</v>
      </c>
      <c r="G161" t="inlineStr">
        <is>
          <t>BS010</t>
        </is>
      </c>
      <c r="H161" t="inlineStr">
        <is>
          <t>3 Januari 2018</t>
        </is>
      </c>
      <c r="I161" s="2" t="n">
        <v>46307</v>
      </c>
      <c r="J161" t="inlineStr">
        <is>
          <t>Disetujui</t>
        </is>
      </c>
      <c r="K161" t="n">
        <v>90</v>
      </c>
      <c r="L161" t="inlineStr">
        <is>
          <t>12 Oktober 2026</t>
        </is>
      </c>
      <c r="M161" t="inlineStr">
        <is>
          <t>Konstruksi Bangunan Prasarana Sumber Daya Air</t>
        </is>
      </c>
      <c r="N161" t="inlineStr">
        <is>
          <t>K</t>
        </is>
      </c>
      <c r="O161" t="inlineStr">
        <is>
          <t>20231011</t>
        </is>
      </c>
      <c r="P161" t="inlineStr">
        <is>
          <t>Sumatera Selatan</t>
        </is>
      </c>
      <c r="Q1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0" customWidth="1" min="1" max="1"/>
    <col width="28" customWidth="1" min="2" max="2"/>
    <col width="16" customWidth="1" min="3" max="3"/>
    <col width="40"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9" customWidth="1" min="12" max="12"/>
    <col width="50" customWidth="1" min="13" max="13"/>
    <col width="13"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ADITYA KENCANA SAHAJA</t>
        </is>
      </c>
      <c r="B2" t="inlineStr">
        <is>
          <t>Kab. Bekasi</t>
        </is>
      </c>
      <c r="C2" t="inlineStr">
        <is>
          <t>085312539791</t>
        </is>
      </c>
      <c r="D2" t="inlineStr">
        <is>
          <t>adityakencanasahaja@yahoo.com</t>
        </is>
      </c>
      <c r="E2" t="inlineStr">
        <is>
          <t>https://lpjk.pu.go.id/search-badan-usaha-detail/TjI5NnZ6YytsSEwrT1hzQ2g3RzRJUT09</t>
        </is>
      </c>
      <c r="F2" t="n">
        <v>1</v>
      </c>
      <c r="G2" t="inlineStr">
        <is>
          <t>BS004</t>
        </is>
      </c>
      <c r="H2" t="inlineStr">
        <is>
          <t>21 Oktober 2016</t>
        </is>
      </c>
      <c r="I2" s="2" t="n">
        <v>46277</v>
      </c>
      <c r="J2" t="inlineStr">
        <is>
          <t>Disetujui</t>
        </is>
      </c>
      <c r="K2" t="n">
        <v>60</v>
      </c>
      <c r="L2" t="inlineStr">
        <is>
          <t>12 September 2026</t>
        </is>
      </c>
      <c r="M2" t="inlineStr">
        <is>
          <t>Konstruksi Jaringan Irigasi dan Drainase</t>
        </is>
      </c>
      <c r="N2" t="inlineStr">
        <is>
          <t>K</t>
        </is>
      </c>
      <c r="O2" t="inlineStr">
        <is>
          <t>20230906</t>
        </is>
      </c>
      <c r="P2" t="inlineStr">
        <is>
          <t>Jawa Barat</t>
        </is>
      </c>
      <c r="Q2" s="3">
        <f>HYPERLINK("https://wa.me/6285312539791?text=*[PENGINGAT MASA BERLAKU SBU ADITYA KENCANA SAHAJA]*%0A%0AYth. Pimpinan ADITYA KENCANA SAHAJA,%0AMohon izin menginformasikan status SBU Anda di sistem LPJK:%0A%0A📄 SBU: BS004%0A📅 Expired: 12 September 2026 (60 Hari Lagi)%0A%0AKami tim PT. ESDEA Assistance Management siap men-support proses perpanjangan segera agar administrasi proyek tidak terhambat%0A%0AApakah boleh saya bantu siapkan estimasi biaya dan waktu pengerjaannya?.", "Hubungi")</f>
        <v/>
      </c>
    </row>
    <row r="3">
      <c r="A3" t="inlineStr">
        <is>
          <t>ANUGERAH KAMANIA JAYA</t>
        </is>
      </c>
      <c r="B3" t="inlineStr">
        <is>
          <t>Kab. Bekasi</t>
        </is>
      </c>
      <c r="C3" t="inlineStr">
        <is>
          <t>02122108006</t>
        </is>
      </c>
      <c r="D3" t="inlineStr">
        <is>
          <t>ptanugerahkamaniajaya17@gmail.com</t>
        </is>
      </c>
      <c r="E3" t="inlineStr">
        <is>
          <t>https://lpjk.pu.go.id/search-badan-usaha-detail/K003SFdIVGpXYUxEQXlEUGc3ekRnZz09</t>
        </is>
      </c>
      <c r="F3" t="n">
        <v>2</v>
      </c>
      <c r="G3" t="inlineStr">
        <is>
          <t>BG003, BG009</t>
        </is>
      </c>
      <c r="H3" t="inlineStr">
        <is>
          <t>14 November 2017</t>
        </is>
      </c>
      <c r="I3" s="2" t="n">
        <v>46277</v>
      </c>
      <c r="J3" t="inlineStr">
        <is>
          <t>Disetujui</t>
        </is>
      </c>
      <c r="K3" t="n">
        <v>60</v>
      </c>
      <c r="L3" t="inlineStr">
        <is>
          <t>12 September 2026</t>
        </is>
      </c>
      <c r="M3" t="inlineStr">
        <is>
          <t>Konstruksi Gedung Industri, Konstruksi Gedung Lainnya</t>
        </is>
      </c>
      <c r="N3" t="inlineStr">
        <is>
          <t>K</t>
        </is>
      </c>
      <c r="O3" t="inlineStr">
        <is>
          <t>20230911, 20230912</t>
        </is>
      </c>
      <c r="P3" t="inlineStr">
        <is>
          <t>Jawa Barat</t>
        </is>
      </c>
      <c r="Q3" t="inlineStr"/>
    </row>
    <row r="4">
      <c r="A4" t="inlineStr">
        <is>
          <t>BRILIAN CEMERLANG</t>
        </is>
      </c>
      <c r="B4" t="inlineStr">
        <is>
          <t>Kota Depok</t>
        </is>
      </c>
      <c r="C4" t="inlineStr">
        <is>
          <t>081283271716</t>
        </is>
      </c>
      <c r="D4" t="inlineStr">
        <is>
          <t>cv.briliancemerlang@gmail.com</t>
        </is>
      </c>
      <c r="E4" t="inlineStr">
        <is>
          <t>https://lpjk.pu.go.id/search-badan-usaha-detail/YzNJZXFVbUdJOUw3L2Q3bE9yZlBpZz09</t>
        </is>
      </c>
      <c r="F4" t="n">
        <v>1</v>
      </c>
      <c r="G4" t="inlineStr">
        <is>
          <t>BS001</t>
        </is>
      </c>
      <c r="H4" t="inlineStr">
        <is>
          <t>26 Maret 2018</t>
        </is>
      </c>
      <c r="I4" s="2" t="n">
        <v>46277</v>
      </c>
      <c r="J4" t="inlineStr">
        <is>
          <t>Disetujui</t>
        </is>
      </c>
      <c r="K4" t="n">
        <v>60</v>
      </c>
      <c r="L4" t="inlineStr">
        <is>
          <t>12 September 2026</t>
        </is>
      </c>
      <c r="M4" t="inlineStr">
        <is>
          <t>Konstruksi Bangunan Sipil Jalan</t>
        </is>
      </c>
      <c r="N4" t="inlineStr">
        <is>
          <t>K</t>
        </is>
      </c>
      <c r="O4" t="inlineStr">
        <is>
          <t>20230907</t>
        </is>
      </c>
      <c r="P4" t="inlineStr">
        <is>
          <t>Jawa Barat</t>
        </is>
      </c>
      <c r="Q4" s="3">
        <f>HYPERLINK("https://wa.me/6281283271716?text=*[PENGINGAT MASA BERLAKU SBU BRILIAN CEMERLANG]*%0A%0AYth. Pimpinan BRILIAN CEMERLANG,%0AMohon izin menginformasikan status SBU Anda di sistem LPJK:%0A%0A📄 SBU: BS001%0A📅 Expired: 12 September 2026 (60 Hari Lagi)%0A%0AKami tim PT. ESDEA Assistance Management siap men-support proses perpanjangan segera agar administrasi proyek tidak terhambat%0A%0AApakah boleh saya bantu siapkan estimasi biaya dan waktu pengerjaannya?.", "Hubungi")</f>
        <v/>
      </c>
    </row>
    <row r="5">
      <c r="A5" t="inlineStr">
        <is>
          <t>CIPTA WIDYA DHARMA</t>
        </is>
      </c>
      <c r="B5" t="inlineStr">
        <is>
          <t>Kota Bogor</t>
        </is>
      </c>
      <c r="C5" t="inlineStr">
        <is>
          <t>081511111480</t>
        </is>
      </c>
      <c r="D5" t="inlineStr">
        <is>
          <t>cv.ciptawidyadharma@gmail.com</t>
        </is>
      </c>
      <c r="E5" t="inlineStr">
        <is>
          <t>https://lpjk.pu.go.id/search-badan-usaha-detail/TGlnQkdtakFhMUdSVUk0T0xpNUxCdz09</t>
        </is>
      </c>
      <c r="F5" t="n">
        <v>8</v>
      </c>
      <c r="G5" t="inlineStr">
        <is>
          <t>BG003, BG004, BG007, BG008</t>
        </is>
      </c>
      <c r="H5" t="inlineStr">
        <is>
          <t>13 Maret 2017</t>
        </is>
      </c>
      <c r="I5" s="2" t="n">
        <v>46277</v>
      </c>
      <c r="J5" t="inlineStr">
        <is>
          <t>Disetujui, Pencabutan</t>
        </is>
      </c>
      <c r="K5" t="n">
        <v>60</v>
      </c>
      <c r="L5" t="inlineStr">
        <is>
          <t>12 September 2026</t>
        </is>
      </c>
      <c r="M5" t="inlineStr">
        <is>
          <t>Konstruksi Gedung Industri, Konstruksi Gedung Penginapan, Konstruksi Gedung Perbelanjaan, Konstruksi Gedung Tempat Hiburan dan Olahraga</t>
        </is>
      </c>
      <c r="N5" t="inlineStr">
        <is>
          <t>K</t>
        </is>
      </c>
      <c r="O5" t="inlineStr">
        <is>
          <t>20230912</t>
        </is>
      </c>
      <c r="P5" t="inlineStr">
        <is>
          <t>Jawa Barat</t>
        </is>
      </c>
      <c r="Q5" s="3">
        <f>HYPERLINK("https://wa.me/6281511111480?text=*[PENGINGAT MASA BERLAKU SBU CIPTA WIDYA DHARMA]*%0A%0AYth. Pimpinan CIPTA WIDYA DHARMA,%0AMohon izin menginformasikan status SBU Anda di sistem LPJK:%0A%0A📄 SBU: BG003, BG004, BG007, BG008%0A📅 Expired: 12 September 2026 (60 Hari Lagi)%0A%0AKami tim PT. ESDEA Assistance Management siap men-support proses perpanjangan segera agar administrasi proyek tidak terhambat%0A%0AApakah boleh saya bantu siapkan estimasi biaya dan waktu pengerjaannya?.", "Hubungi")</f>
        <v/>
      </c>
    </row>
    <row r="6">
      <c r="A6" t="inlineStr">
        <is>
          <t>ENERGY SARANA SEJAHTERA</t>
        </is>
      </c>
      <c r="B6" t="inlineStr">
        <is>
          <t>Kota Adm. Jakarta Timur</t>
        </is>
      </c>
      <c r="C6" t="inlineStr">
        <is>
          <t>02121057178</t>
        </is>
      </c>
      <c r="D6" t="inlineStr">
        <is>
          <t>energysejahtera@gmail.com</t>
        </is>
      </c>
      <c r="E6" t="inlineStr">
        <is>
          <t>https://lpjk.pu.go.id/search-badan-usaha-detail/Q0lBMktta21KQjM1Rk9wNnJsV3llQT09</t>
        </is>
      </c>
      <c r="F6" t="n">
        <v>1</v>
      </c>
      <c r="G6" t="inlineStr">
        <is>
          <t>PL003</t>
        </is>
      </c>
      <c r="H6" t="inlineStr">
        <is>
          <t>26 Februari 2009</t>
        </is>
      </c>
      <c r="I6" s="2" t="n">
        <v>46277</v>
      </c>
      <c r="J6" t="inlineStr">
        <is>
          <t>Pembekuan</t>
        </is>
      </c>
      <c r="K6" t="n">
        <v>60</v>
      </c>
      <c r="L6" t="inlineStr">
        <is>
          <t>12 September 2026</t>
        </is>
      </c>
      <c r="M6" t="inlineStr">
        <is>
          <t>Penyiapan Lahan Konstruksi</t>
        </is>
      </c>
      <c r="N6" t="inlineStr">
        <is>
          <t>Spesialis</t>
        </is>
      </c>
      <c r="O6" t="inlineStr">
        <is>
          <t>20230912</t>
        </is>
      </c>
      <c r="P6" t="inlineStr">
        <is>
          <t>DKI Jakarta</t>
        </is>
      </c>
      <c r="Q6" t="inlineStr"/>
    </row>
    <row r="7">
      <c r="A7" t="inlineStr">
        <is>
          <t>GIRI MULYO BERSINAR</t>
        </is>
      </c>
      <c r="B7" t="inlineStr">
        <is>
          <t>Kota Bekasi</t>
        </is>
      </c>
      <c r="C7" t="inlineStr">
        <is>
          <t>083870571290</t>
        </is>
      </c>
      <c r="D7" t="inlineStr">
        <is>
          <t>girimulyobersinar@gmail.com</t>
        </is>
      </c>
      <c r="E7" t="inlineStr">
        <is>
          <t>https://lpjk.pu.go.id/search-badan-usaha-detail/T2N5RHVOMm1xaExReVV1M2FSa21JQT09</t>
        </is>
      </c>
      <c r="F7" t="n">
        <v>2</v>
      </c>
      <c r="G7" t="inlineStr">
        <is>
          <t>BG002, BG006</t>
        </is>
      </c>
      <c r="H7" t="inlineStr">
        <is>
          <t>27 Juli 2023</t>
        </is>
      </c>
      <c r="I7" s="2" t="n">
        <v>46277</v>
      </c>
      <c r="J7" t="inlineStr">
        <is>
          <t>Disetujui</t>
        </is>
      </c>
      <c r="K7" t="n">
        <v>60</v>
      </c>
      <c r="L7" t="inlineStr">
        <is>
          <t>12 September 2026</t>
        </is>
      </c>
      <c r="M7" t="inlineStr">
        <is>
          <t>Konstruksi Gedung Pendidikan, Konstruksi Gedung Perkantoran</t>
        </is>
      </c>
      <c r="N7" t="inlineStr">
        <is>
          <t>K</t>
        </is>
      </c>
      <c r="O7" t="inlineStr">
        <is>
          <t>20230911</t>
        </is>
      </c>
      <c r="P7" t="inlineStr">
        <is>
          <t>Jawa Barat</t>
        </is>
      </c>
      <c r="Q7" s="3">
        <f>HYPERLINK("https://wa.me/6283870571290?text=*[PENGINGAT MASA BERLAKU SBU GIRI MULYO BERSINAR]*%0A%0AYth. Pimpinan GIRI MULYO BERSINAR,%0AMohon izin menginformasikan status SBU Anda di sistem LPJK:%0A%0A📄 SBU: BG002, BG006%0A📅 Expired: 12 September 2026 (60 Hari Lagi)%0A%0AKami tim PT. ESDEA Assistance Management siap men-support proses perpanjangan segera agar administrasi proyek tidak terhambat%0A%0AApakah boleh saya bantu siapkan estimasi biaya dan waktu pengerjaannya?.", "Hubungi")</f>
        <v/>
      </c>
    </row>
    <row r="8">
      <c r="A8" t="inlineStr">
        <is>
          <t>HUTAMA CITRA ESTETIKA</t>
        </is>
      </c>
      <c r="B8" t="inlineStr">
        <is>
          <t>Kab. Bogor</t>
        </is>
      </c>
      <c r="C8" t="inlineStr">
        <is>
          <t>082299451856</t>
        </is>
      </c>
      <c r="D8" t="inlineStr">
        <is>
          <t>pt.hutamacitra@gmail.com</t>
        </is>
      </c>
      <c r="E8" t="inlineStr">
        <is>
          <t>https://lpjk.pu.go.id/search-badan-usaha-detail/blYyRDFHSkVhYTkrQTMxNHk3TkZTQT09</t>
        </is>
      </c>
      <c r="F8" t="n">
        <v>2</v>
      </c>
      <c r="G8" t="inlineStr">
        <is>
          <t>BG009</t>
        </is>
      </c>
      <c r="H8" t="inlineStr">
        <is>
          <t>30 Januari 2023</t>
        </is>
      </c>
      <c r="I8" s="2" t="n">
        <v>46277</v>
      </c>
      <c r="J8" t="inlineStr">
        <is>
          <t>Disetujui</t>
        </is>
      </c>
      <c r="K8" t="n">
        <v>60</v>
      </c>
      <c r="L8" t="inlineStr">
        <is>
          <t>12 September 2026</t>
        </is>
      </c>
      <c r="M8" t="inlineStr">
        <is>
          <t>Konstruksi Gedung Lainnya</t>
        </is>
      </c>
      <c r="N8" t="inlineStr">
        <is>
          <t>K</t>
        </is>
      </c>
      <c r="O8" t="inlineStr">
        <is>
          <t>20230901</t>
        </is>
      </c>
      <c r="P8" t="inlineStr">
        <is>
          <t>Jawa Barat</t>
        </is>
      </c>
      <c r="Q8" s="3">
        <f>HYPERLINK("https://wa.me/6282299451856?text=*[PENGINGAT MASA BERLAKU SBU HUTAMA CITRA ESTETIKA]*%0A%0AYth. Pimpinan HUTAMA CITRA ESTETIKA,%0AMohon izin menginformasikan status SBU Anda di sistem LPJK:%0A%0A📄 SBU: BG009%0A📅 Expired: 12 September 2026 (60 Hari Lagi)%0A%0AKami tim PT. ESDEA Assistance Management siap men-support proses perpanjangan segera agar administrasi proyek tidak terhambat%0A%0AApakah boleh saya bantu siapkan estimasi biaya dan waktu pengerjaannya?.", "Hubungi")</f>
        <v/>
      </c>
    </row>
    <row r="9">
      <c r="A9" t="inlineStr">
        <is>
          <t>KREASI INVESTAMA TEKNOKINDO</t>
        </is>
      </c>
      <c r="B9" t="inlineStr">
        <is>
          <t>Kab. Bogor</t>
        </is>
      </c>
      <c r="C9" t="inlineStr">
        <is>
          <t>02175674072</t>
        </is>
      </c>
      <c r="D9" t="inlineStr">
        <is>
          <t>kreasiinvestamateknokindo@gmail.com</t>
        </is>
      </c>
      <c r="E9" t="inlineStr">
        <is>
          <t>https://lpjk.pu.go.id/search-badan-usaha-detail/ZlJYU0kxaGRtVnhDMXF1YUlHS0FvZz09</t>
        </is>
      </c>
      <c r="F9" t="n">
        <v>1</v>
      </c>
      <c r="G9" t="inlineStr">
        <is>
          <t>BG009</t>
        </is>
      </c>
      <c r="H9" t="inlineStr">
        <is>
          <t>18 April 2022</t>
        </is>
      </c>
      <c r="I9" s="2" t="n">
        <v>46277</v>
      </c>
      <c r="J9" t="inlineStr">
        <is>
          <t>Disetujui</t>
        </is>
      </c>
      <c r="K9" t="n">
        <v>60</v>
      </c>
      <c r="L9" t="inlineStr">
        <is>
          <t>12 September 2026</t>
        </is>
      </c>
      <c r="M9" t="inlineStr">
        <is>
          <t>Konstruksi Gedung Lainnya</t>
        </is>
      </c>
      <c r="N9" t="inlineStr">
        <is>
          <t>K</t>
        </is>
      </c>
      <c r="O9" t="inlineStr">
        <is>
          <t>20230906</t>
        </is>
      </c>
      <c r="P9" t="inlineStr">
        <is>
          <t>Jawa Barat</t>
        </is>
      </c>
      <c r="Q9" t="inlineStr"/>
    </row>
    <row r="10">
      <c r="A10" t="inlineStr">
        <is>
          <t>RAYULITA JAYA</t>
        </is>
      </c>
      <c r="B10" t="inlineStr">
        <is>
          <t>Kota Adm. Jakarta Timur</t>
        </is>
      </c>
      <c r="C10" t="inlineStr">
        <is>
          <t>081219073150</t>
        </is>
      </c>
      <c r="D10" t="inlineStr">
        <is>
          <t>rayulitaj@gmail.com</t>
        </is>
      </c>
      <c r="E10" t="inlineStr">
        <is>
          <t>https://lpjk.pu.go.id/search-badan-usaha-detail/N2QyUjRMMFI5dEk1Mjc3K2tnSVpWQT09</t>
        </is>
      </c>
      <c r="F10" t="n">
        <v>5</v>
      </c>
      <c r="G10" t="inlineStr">
        <is>
          <t>BG001, BG002, BG005, BG006, BG009</t>
        </is>
      </c>
      <c r="H10" t="inlineStr">
        <is>
          <t>17 Desember 2008</t>
        </is>
      </c>
      <c r="I10" s="2" t="n">
        <v>46277</v>
      </c>
      <c r="J10" t="inlineStr">
        <is>
          <t>Disetujui</t>
        </is>
      </c>
      <c r="K10" t="n">
        <v>60</v>
      </c>
      <c r="L10" t="inlineStr">
        <is>
          <t>12 September 2026</t>
        </is>
      </c>
      <c r="M10" t="inlineStr">
        <is>
          <t>Konstruksi Gedung Hunian, Konstruksi Gedung Kesehatan, Konstruksi Gedung Lainnya, Konstruksi Gedung Pendidikan, Konstruksi Gedung Perkantoran</t>
        </is>
      </c>
      <c r="N10" t="inlineStr">
        <is>
          <t>K</t>
        </is>
      </c>
      <c r="O10" t="inlineStr">
        <is>
          <t>20230911</t>
        </is>
      </c>
      <c r="P10" t="inlineStr">
        <is>
          <t>DKI Jakarta</t>
        </is>
      </c>
      <c r="Q10" s="3">
        <f>HYPERLINK("https://wa.me/6281219073150?text=*[PENGINGAT MASA BERLAKU SBU RAYULITA JAYA]*%0A%0AYth. Pimpinan RAYULITA JAYA,%0AMohon izin menginformasikan status SBU Anda di sistem LPJK:%0A%0A📄 SBU: BG001, BG002, BG005, BG006, BG009%0A📅 Expired: 12 September 2026 (60 Hari Lagi)%0A%0AKami tim PT. ESDEA Assistance Management siap men-support proses perpanjangan segera agar administrasi proyek tidak terhambat%0A%0AApakah boleh saya bantu siapkan estimasi biaya dan waktu pengerjaannya?.", "Hubungi")</f>
        <v/>
      </c>
    </row>
    <row r="11">
      <c r="A11" t="inlineStr">
        <is>
          <t>ADHI PRATAMA SEJAHTERA</t>
        </is>
      </c>
      <c r="B11" t="inlineStr">
        <is>
          <t>Kab. Semarang</t>
        </is>
      </c>
      <c r="C11" t="inlineStr">
        <is>
          <t>081325923761</t>
        </is>
      </c>
      <c r="D11" t="inlineStr">
        <is>
          <t>adhipratamasejahtera@gmail.com</t>
        </is>
      </c>
      <c r="E11" t="inlineStr">
        <is>
          <t>https://lpjk.pu.go.id/search-badan-usaha-detail/QnFiSXNHMXNhQkh5ZkZkR1lQNy9xUT09</t>
        </is>
      </c>
      <c r="F11" t="n">
        <v>1</v>
      </c>
      <c r="G11" t="inlineStr">
        <is>
          <t>BG009</t>
        </is>
      </c>
      <c r="H11" t="inlineStr">
        <is>
          <t>28 Juni 2001</t>
        </is>
      </c>
      <c r="I11" s="2" t="n">
        <v>46277</v>
      </c>
      <c r="J11" t="inlineStr">
        <is>
          <t>Pencabutan</t>
        </is>
      </c>
      <c r="K11" t="n">
        <v>60</v>
      </c>
      <c r="L11" t="inlineStr">
        <is>
          <t>12 September 2026</t>
        </is>
      </c>
      <c r="M11" t="inlineStr">
        <is>
          <t>Konstruksi Gedung Lainnya</t>
        </is>
      </c>
      <c r="N11" t="inlineStr">
        <is>
          <t>K</t>
        </is>
      </c>
      <c r="O11" t="inlineStr">
        <is>
          <t>20230912</t>
        </is>
      </c>
      <c r="P11" t="inlineStr">
        <is>
          <t>Jawa Tengah</t>
        </is>
      </c>
      <c r="Q11" t="inlineStr"/>
    </row>
    <row r="12">
      <c r="A12" t="inlineStr">
        <is>
          <t>ANANDA INTI SEJAHTERA</t>
        </is>
      </c>
      <c r="B12" t="inlineStr">
        <is>
          <t>Kab. Mempawah</t>
        </is>
      </c>
      <c r="C12" t="inlineStr">
        <is>
          <t>081282811878</t>
        </is>
      </c>
      <c r="D12" t="inlineStr">
        <is>
          <t>anandaintisejahtera123@gmail.com</t>
        </is>
      </c>
      <c r="E12" t="inlineStr">
        <is>
          <t>https://lpjk.pu.go.id/search-badan-usaha-detail/cWN6N1ZXdzNmSlBMMG5CZUpFYzNEUT09</t>
        </is>
      </c>
      <c r="F12" t="n">
        <v>2</v>
      </c>
      <c r="G12" t="inlineStr">
        <is>
          <t>BS010</t>
        </is>
      </c>
      <c r="H12" t="inlineStr">
        <is>
          <t>30 Maret 2023</t>
        </is>
      </c>
      <c r="I12" s="2" t="n">
        <v>46277</v>
      </c>
      <c r="J12" t="inlineStr">
        <is>
          <t>Disetujui</t>
        </is>
      </c>
      <c r="K12" t="n">
        <v>60</v>
      </c>
      <c r="L12" t="inlineStr">
        <is>
          <t>12 September 2026</t>
        </is>
      </c>
      <c r="M12" t="inlineStr">
        <is>
          <t>Konstruksi Bangunan Prasarana Sumber Daya Air</t>
        </is>
      </c>
      <c r="N12" t="inlineStr">
        <is>
          <t>K</t>
        </is>
      </c>
      <c r="O12" t="inlineStr">
        <is>
          <t>20230907</t>
        </is>
      </c>
      <c r="P12" t="inlineStr">
        <is>
          <t>Kalimantan Barat</t>
        </is>
      </c>
      <c r="Q12" t="inlineStr"/>
    </row>
    <row r="13">
      <c r="A13" t="inlineStr">
        <is>
          <t>ANDHIKA MANDIRI SEJAHTERA</t>
        </is>
      </c>
      <c r="B13" t="inlineStr">
        <is>
          <t>Kota Tarakan</t>
        </is>
      </c>
      <c r="C13" t="inlineStr">
        <is>
          <t>085247200918</t>
        </is>
      </c>
      <c r="D13" t="inlineStr">
        <is>
          <t>cv.andhika.mandiri.sejahtera@gmail.com</t>
        </is>
      </c>
      <c r="E13" t="inlineStr">
        <is>
          <t>https://lpjk.pu.go.id/search-badan-usaha-detail/RkRhaHpWZFNMbE5yWWhseXlsd0ZJZz09</t>
        </is>
      </c>
      <c r="F13" t="n">
        <v>1</v>
      </c>
      <c r="G13" t="inlineStr">
        <is>
          <t>BG009</t>
        </is>
      </c>
      <c r="H13" t="inlineStr">
        <is>
          <t>23 Desember 2009</t>
        </is>
      </c>
      <c r="I13" s="2" t="n">
        <v>46277</v>
      </c>
      <c r="J13" t="inlineStr">
        <is>
          <t>Disetujui</t>
        </is>
      </c>
      <c r="K13" t="n">
        <v>60</v>
      </c>
      <c r="L13" t="inlineStr">
        <is>
          <t>12 September 2026</t>
        </is>
      </c>
      <c r="M13" t="inlineStr">
        <is>
          <t>Konstruksi Gedung Lainnya</t>
        </is>
      </c>
      <c r="N13" t="inlineStr">
        <is>
          <t>K</t>
        </is>
      </c>
      <c r="O13" t="inlineStr">
        <is>
          <t>20230905</t>
        </is>
      </c>
      <c r="P13" t="inlineStr">
        <is>
          <t>Kalimantan Utara</t>
        </is>
      </c>
      <c r="Q13" t="inlineStr"/>
    </row>
    <row r="14">
      <c r="A14" t="inlineStr">
        <is>
          <t>ANDIKA</t>
        </is>
      </c>
      <c r="B14" t="inlineStr">
        <is>
          <t>Kab. Tanah Laut</t>
        </is>
      </c>
      <c r="C14" t="inlineStr">
        <is>
          <t>08125174707</t>
        </is>
      </c>
      <c r="D14" t="inlineStr">
        <is>
          <t>cv.andika03@gmail.com</t>
        </is>
      </c>
      <c r="E14" t="inlineStr">
        <is>
          <t>https://lpjk.pu.go.id/search-badan-usaha-detail/MDBpSlFVUCt1UENTTDY3b2Y0WWxtQT09</t>
        </is>
      </c>
      <c r="F14" t="n">
        <v>4</v>
      </c>
      <c r="G14" t="inlineStr">
        <is>
          <t>BG006, BG009</t>
        </is>
      </c>
      <c r="H14" t="inlineStr">
        <is>
          <t>27 Maret 2002</t>
        </is>
      </c>
      <c r="I14" s="2" t="n">
        <v>46277</v>
      </c>
      <c r="J14" t="inlineStr">
        <is>
          <t>Disetujui</t>
        </is>
      </c>
      <c r="K14" t="n">
        <v>60</v>
      </c>
      <c r="L14" t="inlineStr">
        <is>
          <t>12 September 2026</t>
        </is>
      </c>
      <c r="M14" t="inlineStr">
        <is>
          <t>Konstruksi Gedung Lainnya, Konstruksi Gedung Pendidikan</t>
        </is>
      </c>
      <c r="N14" t="inlineStr">
        <is>
          <t>K</t>
        </is>
      </c>
      <c r="O14" t="inlineStr">
        <is>
          <t>20230907</t>
        </is>
      </c>
      <c r="P14" t="inlineStr">
        <is>
          <t>Kalimantan Selatan</t>
        </is>
      </c>
      <c r="Q14" t="inlineStr"/>
    </row>
    <row r="15">
      <c r="A15" t="inlineStr">
        <is>
          <t>ANEKA BANGUN SARANA</t>
        </is>
      </c>
      <c r="B15" t="inlineStr">
        <is>
          <t>Kab. Kebumen</t>
        </is>
      </c>
      <c r="C15" t="inlineStr">
        <is>
          <t>0287471667</t>
        </is>
      </c>
      <c r="D15" t="inlineStr">
        <is>
          <t>aneka_bangun_sarana@yahoo.co.id</t>
        </is>
      </c>
      <c r="E15" t="inlineStr">
        <is>
          <t>https://lpjk.pu.go.id/search-badan-usaha-detail/ZU5udFEveE03Q2gya1VGaC9TTGZJdz09</t>
        </is>
      </c>
      <c r="F15" t="n">
        <v>2</v>
      </c>
      <c r="G15" t="inlineStr">
        <is>
          <t>BG006</t>
        </is>
      </c>
      <c r="H15" t="inlineStr">
        <is>
          <t>22 Desember 2003</t>
        </is>
      </c>
      <c r="I15" s="2" t="n">
        <v>46277</v>
      </c>
      <c r="J15" t="inlineStr">
        <is>
          <t>Pencabutan</t>
        </is>
      </c>
      <c r="K15" t="n">
        <v>60</v>
      </c>
      <c r="L15" t="inlineStr">
        <is>
          <t>12 September 2026</t>
        </is>
      </c>
      <c r="M15" t="inlineStr">
        <is>
          <t>Konstruksi Gedung Pendidikan</t>
        </is>
      </c>
      <c r="N15" t="inlineStr">
        <is>
          <t>M</t>
        </is>
      </c>
      <c r="O15" t="inlineStr">
        <is>
          <t>20230728</t>
        </is>
      </c>
      <c r="P15" t="inlineStr">
        <is>
          <t>Jawa Tengah</t>
        </is>
      </c>
      <c r="Q15" t="inlineStr"/>
    </row>
    <row r="16">
      <c r="A16" t="inlineStr">
        <is>
          <t>ANEKA KARYA</t>
        </is>
      </c>
      <c r="B16" t="inlineStr">
        <is>
          <t>Kab. Tuban</t>
        </is>
      </c>
      <c r="C16" t="inlineStr">
        <is>
          <t>08113400840</t>
        </is>
      </c>
      <c r="D16" t="inlineStr">
        <is>
          <t>ikifath@gmail.com</t>
        </is>
      </c>
      <c r="E16" t="inlineStr">
        <is>
          <t>https://lpjk.pu.go.id/search-badan-usaha-detail/S1p3M05jQlJrblFselRtTFR0d2lidz09</t>
        </is>
      </c>
      <c r="F16" t="n">
        <v>2</v>
      </c>
      <c r="G16" t="inlineStr">
        <is>
          <t>BG002</t>
        </is>
      </c>
      <c r="H16" t="inlineStr">
        <is>
          <t>6 November 2015</t>
        </is>
      </c>
      <c r="I16" s="2" t="n">
        <v>46277</v>
      </c>
      <c r="J16" t="inlineStr">
        <is>
          <t>Disetujui</t>
        </is>
      </c>
      <c r="K16" t="n">
        <v>60</v>
      </c>
      <c r="L16" t="inlineStr">
        <is>
          <t>12 September 2026</t>
        </is>
      </c>
      <c r="M16" t="inlineStr">
        <is>
          <t>Konstruksi Gedung Perkantoran</t>
        </is>
      </c>
      <c r="N16" t="inlineStr">
        <is>
          <t>K</t>
        </is>
      </c>
      <c r="O16" t="inlineStr">
        <is>
          <t>20230901</t>
        </is>
      </c>
      <c r="P16" t="inlineStr">
        <is>
          <t>Jawa Timur</t>
        </is>
      </c>
      <c r="Q16" t="inlineStr"/>
    </row>
    <row r="17">
      <c r="A17" t="inlineStr">
        <is>
          <t>ANUGERAH MYCHAEL</t>
        </is>
      </c>
      <c r="B17" t="inlineStr">
        <is>
          <t>Kota Kupang</t>
        </is>
      </c>
      <c r="C17" t="inlineStr">
        <is>
          <t>085239625123</t>
        </is>
      </c>
      <c r="D17" t="inlineStr">
        <is>
          <t>anugerah.mychael@gmail.com</t>
        </is>
      </c>
      <c r="E17" t="inlineStr">
        <is>
          <t>https://lpjk.pu.go.id/search-badan-usaha-detail/Yk9xaE04VkRUQjU5K1hPa0tFdzdCUT09</t>
        </is>
      </c>
      <c r="F17" t="n">
        <v>1</v>
      </c>
      <c r="G17" t="inlineStr">
        <is>
          <t>BG009</t>
        </is>
      </c>
      <c r="H17" t="inlineStr">
        <is>
          <t>8 Juni 2017</t>
        </is>
      </c>
      <c r="I17" s="2" t="n">
        <v>46277</v>
      </c>
      <c r="J17" t="inlineStr">
        <is>
          <t>Disetujui</t>
        </is>
      </c>
      <c r="K17" t="n">
        <v>60</v>
      </c>
      <c r="L17" t="inlineStr">
        <is>
          <t>12 September 2026</t>
        </is>
      </c>
      <c r="M17" t="inlineStr">
        <is>
          <t>Konstruksi Gedung Lainnya</t>
        </is>
      </c>
      <c r="N17" t="inlineStr">
        <is>
          <t>K</t>
        </is>
      </c>
      <c r="O17" t="inlineStr">
        <is>
          <t>20230911</t>
        </is>
      </c>
      <c r="P17" t="inlineStr">
        <is>
          <t>Nusa Tenggara Timur</t>
        </is>
      </c>
      <c r="Q17" t="inlineStr"/>
    </row>
    <row r="18">
      <c r="A18" t="inlineStr">
        <is>
          <t>ANUGERAH REZEKI MULIA</t>
        </is>
      </c>
      <c r="B18" t="inlineStr">
        <is>
          <t>Kota Banjarmasin</t>
        </is>
      </c>
      <c r="C18" t="inlineStr">
        <is>
          <t>081351096597</t>
        </is>
      </c>
      <c r="D18" t="inlineStr">
        <is>
          <t>ptanugerahrezekimulia@gmail.com</t>
        </is>
      </c>
      <c r="E18" t="inlineStr">
        <is>
          <t>https://lpjk.pu.go.id/search-badan-usaha-detail/MjBPcW5HYXlTd0lYWmJOaVk1N2h4dz09</t>
        </is>
      </c>
      <c r="F18" t="n">
        <v>1</v>
      </c>
      <c r="G18" t="inlineStr">
        <is>
          <t>BG008</t>
        </is>
      </c>
      <c r="H18" t="inlineStr">
        <is>
          <t>10 November 2022</t>
        </is>
      </c>
      <c r="I18" s="2" t="n">
        <v>46277</v>
      </c>
      <c r="J18" t="inlineStr">
        <is>
          <t>Disetujui</t>
        </is>
      </c>
      <c r="K18" t="n">
        <v>60</v>
      </c>
      <c r="L18" t="inlineStr">
        <is>
          <t>12 September 2026</t>
        </is>
      </c>
      <c r="M18" t="inlineStr">
        <is>
          <t>Konstruksi Gedung Tempat Hiburan dan Olahraga</t>
        </is>
      </c>
      <c r="N18" t="inlineStr">
        <is>
          <t>K</t>
        </is>
      </c>
      <c r="O18" t="inlineStr">
        <is>
          <t>20230901</t>
        </is>
      </c>
      <c r="P18" t="inlineStr">
        <is>
          <t>Kalimantan Selatan</t>
        </is>
      </c>
      <c r="Q18" t="inlineStr"/>
    </row>
    <row r="19">
      <c r="A19" t="inlineStr">
        <is>
          <t>ANUGRAH MAHA KARYA PERSADA</t>
        </is>
      </c>
      <c r="B19" t="inlineStr">
        <is>
          <t>Kab. Tuban</t>
        </is>
      </c>
      <c r="C19" t="inlineStr">
        <is>
          <t>082143196801</t>
        </is>
      </c>
      <c r="D19" t="inlineStr">
        <is>
          <t>pt.amkpersada@gmail.com</t>
        </is>
      </c>
      <c r="E19" t="inlineStr">
        <is>
          <t>https://lpjk.pu.go.id/search-badan-usaha-detail/WWtvUElndjdnNGNDbXdOUiswalhhZz09</t>
        </is>
      </c>
      <c r="F19" t="n">
        <v>2</v>
      </c>
      <c r="G19" t="inlineStr">
        <is>
          <t>BS001</t>
        </is>
      </c>
      <c r="H19" t="inlineStr">
        <is>
          <t>11 Maret 2020</t>
        </is>
      </c>
      <c r="I19" s="2" t="n">
        <v>46277</v>
      </c>
      <c r="J19" t="inlineStr">
        <is>
          <t>Disetujui</t>
        </is>
      </c>
      <c r="K19" t="n">
        <v>60</v>
      </c>
      <c r="L19" t="inlineStr">
        <is>
          <t>12 September 2026</t>
        </is>
      </c>
      <c r="M19" t="inlineStr">
        <is>
          <t>Konstruksi Bangunan Sipil Jalan</t>
        </is>
      </c>
      <c r="N19" t="inlineStr">
        <is>
          <t>K</t>
        </is>
      </c>
      <c r="O19" t="inlineStr">
        <is>
          <t>20230911</t>
        </is>
      </c>
      <c r="P19" t="inlineStr">
        <is>
          <t>Jawa Timur</t>
        </is>
      </c>
      <c r="Q19" t="inlineStr"/>
    </row>
    <row r="20">
      <c r="A20" t="inlineStr">
        <is>
          <t>AYA KARYA MANDIRI</t>
        </is>
      </c>
      <c r="B20" t="inlineStr">
        <is>
          <t>Kab. Bandung</t>
        </is>
      </c>
      <c r="C20" t="inlineStr">
        <is>
          <t>081222208588</t>
        </is>
      </c>
      <c r="D20" t="inlineStr">
        <is>
          <t>cv.ayakaryamandiri@gmail.com</t>
        </is>
      </c>
      <c r="E20" t="inlineStr">
        <is>
          <t>https://lpjk.pu.go.id/search-badan-usaha-detail/clZTTUo4bjJ4cGF2WjJhL0V3RUhQUT09</t>
        </is>
      </c>
      <c r="F20" t="n">
        <v>1</v>
      </c>
      <c r="G20" t="inlineStr">
        <is>
          <t>BG006</t>
        </is>
      </c>
      <c r="H20" t="inlineStr">
        <is>
          <t>10 Agustus 2021</t>
        </is>
      </c>
      <c r="I20" s="2" t="n">
        <v>46277</v>
      </c>
      <c r="J20" t="inlineStr">
        <is>
          <t>Disetujui</t>
        </is>
      </c>
      <c r="K20" t="n">
        <v>60</v>
      </c>
      <c r="L20" t="inlineStr">
        <is>
          <t>12 September 2026</t>
        </is>
      </c>
      <c r="M20" t="inlineStr">
        <is>
          <t>Konstruksi Gedung Pendidikan</t>
        </is>
      </c>
      <c r="N20" t="inlineStr">
        <is>
          <t>K</t>
        </is>
      </c>
      <c r="O20" t="inlineStr">
        <is>
          <t>20230912</t>
        </is>
      </c>
      <c r="P20" t="inlineStr">
        <is>
          <t>Jawa Barat</t>
        </is>
      </c>
      <c r="Q20" t="inlineStr"/>
    </row>
    <row r="21">
      <c r="A21" t="inlineStr">
        <is>
          <t>BANGUN WIRA UTAMA</t>
        </is>
      </c>
      <c r="B21" t="inlineStr">
        <is>
          <t>Kab. Bantul</t>
        </is>
      </c>
      <c r="C21" t="inlineStr">
        <is>
          <t>0818268821</t>
        </is>
      </c>
      <c r="D21" t="inlineStr">
        <is>
          <t>cvwirautama321@gmail.com</t>
        </is>
      </c>
      <c r="E21" t="inlineStr">
        <is>
          <t>https://lpjk.pu.go.id/search-badan-usaha-detail/anJ2V3B0N3hoMVljakFFN0tHeVF3UT09</t>
        </is>
      </c>
      <c r="F21" t="n">
        <v>1</v>
      </c>
      <c r="G21" t="inlineStr">
        <is>
          <t>BG006</t>
        </is>
      </c>
      <c r="H21" t="inlineStr">
        <is>
          <t>22 Agustus 2022</t>
        </is>
      </c>
      <c r="I21" s="2" t="n">
        <v>46277</v>
      </c>
      <c r="J21" t="inlineStr">
        <is>
          <t>Disetujui</t>
        </is>
      </c>
      <c r="K21" t="n">
        <v>60</v>
      </c>
      <c r="L21" t="inlineStr">
        <is>
          <t>12 September 2026</t>
        </is>
      </c>
      <c r="M21" t="inlineStr">
        <is>
          <t>Konstruksi Gedung Pendidikan</t>
        </is>
      </c>
      <c r="N21" t="inlineStr">
        <is>
          <t>K</t>
        </is>
      </c>
      <c r="O21" t="inlineStr">
        <is>
          <t>20230907</t>
        </is>
      </c>
      <c r="P21" t="inlineStr">
        <is>
          <t>DI Yogyakarta</t>
        </is>
      </c>
      <c r="Q21" t="inlineStr"/>
    </row>
    <row r="22">
      <c r="A22" t="inlineStr">
        <is>
          <t>BANUA BANGUN NUSA</t>
        </is>
      </c>
      <c r="B22" t="inlineStr">
        <is>
          <t>Kota Palembang</t>
        </is>
      </c>
      <c r="C22" t="inlineStr">
        <is>
          <t>082177766639</t>
        </is>
      </c>
      <c r="D22" t="inlineStr">
        <is>
          <t>cv.borneobangunnusa@yahoo.com</t>
        </is>
      </c>
      <c r="E22" t="inlineStr">
        <is>
          <t>https://lpjk.pu.go.id/search-badan-usaha-detail/b0VsaDFoMTlWSXlZajY2WHlibVkrUT09</t>
        </is>
      </c>
      <c r="F22" t="n">
        <v>2</v>
      </c>
      <c r="G22" t="inlineStr">
        <is>
          <t>BS010</t>
        </is>
      </c>
      <c r="H22" t="inlineStr">
        <is>
          <t>1 Juli 2014</t>
        </is>
      </c>
      <c r="I22" s="2" t="n">
        <v>46277</v>
      </c>
      <c r="J22" t="inlineStr">
        <is>
          <t>Disetujui</t>
        </is>
      </c>
      <c r="K22" t="n">
        <v>60</v>
      </c>
      <c r="L22" t="inlineStr">
        <is>
          <t>12 September 2026</t>
        </is>
      </c>
      <c r="M22" t="inlineStr">
        <is>
          <t>Konstruksi Bangunan Prasarana Sumber Daya Air</t>
        </is>
      </c>
      <c r="N22" t="inlineStr">
        <is>
          <t>K</t>
        </is>
      </c>
      <c r="O22" t="inlineStr">
        <is>
          <t>20230904</t>
        </is>
      </c>
      <c r="P22" t="inlineStr">
        <is>
          <t>Sumatera Selatan</t>
        </is>
      </c>
      <c r="Q22" t="inlineStr"/>
    </row>
    <row r="23">
      <c r="A23" t="inlineStr">
        <is>
          <t>BAWAN PERMAI GROUP</t>
        </is>
      </c>
      <c r="B23" t="inlineStr">
        <is>
          <t>Kota Palangkaraya</t>
        </is>
      </c>
      <c r="C23" t="inlineStr">
        <is>
          <t>081254448872</t>
        </is>
      </c>
      <c r="D23" t="inlineStr">
        <is>
          <t>bawanpermaigroup@gmail.com</t>
        </is>
      </c>
      <c r="E23" t="inlineStr">
        <is>
          <t>https://lpjk.pu.go.id/search-badan-usaha-detail/VkFSa094aWFCWnRrR3dESk5sakZyZz09</t>
        </is>
      </c>
      <c r="F23" t="n">
        <v>1</v>
      </c>
      <c r="G23" t="inlineStr">
        <is>
          <t>BS001</t>
        </is>
      </c>
      <c r="H23" t="inlineStr">
        <is>
          <t>2 Juni 2006</t>
        </is>
      </c>
      <c r="I23" s="2" t="n">
        <v>46277</v>
      </c>
      <c r="J23" t="inlineStr">
        <is>
          <t>Pencabutan</t>
        </is>
      </c>
      <c r="K23" t="n">
        <v>60</v>
      </c>
      <c r="L23" t="inlineStr">
        <is>
          <t>12 September 2026</t>
        </is>
      </c>
      <c r="M23" t="inlineStr">
        <is>
          <t>Konstruksi Bangunan Sipil Jalan</t>
        </is>
      </c>
      <c r="N23" t="inlineStr">
        <is>
          <t>B</t>
        </is>
      </c>
      <c r="O23" t="inlineStr">
        <is>
          <t>20230816</t>
        </is>
      </c>
      <c r="P23" t="inlineStr">
        <is>
          <t>Kalimantan Tengah</t>
        </is>
      </c>
      <c r="Q23" t="inlineStr"/>
    </row>
    <row r="24">
      <c r="A24" t="inlineStr">
        <is>
          <t>BERKAH</t>
        </is>
      </c>
      <c r="B24" t="inlineStr">
        <is>
          <t>Kab. Sleman</t>
        </is>
      </c>
      <c r="C24" t="inlineStr">
        <is>
          <t>08122745924</t>
        </is>
      </c>
      <c r="D24" t="inlineStr">
        <is>
          <t>berkahjogja_cv@yahoo.co.id</t>
        </is>
      </c>
      <c r="E24" t="inlineStr">
        <is>
          <t>https://lpjk.pu.go.id/search-badan-usaha-detail/bktsSDhONXlNQTZpTXBSNlg5c3dMUT09</t>
        </is>
      </c>
      <c r="F24" t="n">
        <v>6</v>
      </c>
      <c r="G24" t="inlineStr">
        <is>
          <t>BG008, BG009, BS002</t>
        </is>
      </c>
      <c r="H24" t="inlineStr">
        <is>
          <t>22 Juni 2012</t>
        </is>
      </c>
      <c r="I24" s="2" t="n">
        <v>46277</v>
      </c>
      <c r="J24" t="inlineStr">
        <is>
          <t>Disetujui</t>
        </is>
      </c>
      <c r="K24" t="n">
        <v>60</v>
      </c>
      <c r="L24" t="inlineStr">
        <is>
          <t>12 September 2026</t>
        </is>
      </c>
      <c r="M24" t="inlineStr">
        <is>
          <t>Bangunan Sipil Jembatan, Jalan Layang, Fly Over, dan Underpass, Konstruksi Gedung Lainnya, Konstruksi Gedung Tempat Hiburan dan Olahraga</t>
        </is>
      </c>
      <c r="N24" t="inlineStr">
        <is>
          <t>K</t>
        </is>
      </c>
      <c r="O24" t="inlineStr">
        <is>
          <t>20230830, 20230901, 20230911</t>
        </is>
      </c>
      <c r="P24" t="inlineStr">
        <is>
          <t>DI Yogyakarta</t>
        </is>
      </c>
      <c r="Q24" t="inlineStr"/>
    </row>
    <row r="25">
      <c r="A25" t="inlineStr">
        <is>
          <t>BERKAH ETAM SEJAHTERA</t>
        </is>
      </c>
      <c r="B25" t="inlineStr">
        <is>
          <t>Kab. Kutai Timur</t>
        </is>
      </c>
      <c r="C25" t="inlineStr">
        <is>
          <t>081254620329</t>
        </is>
      </c>
      <c r="D25" t="inlineStr">
        <is>
          <t>cv.berkahetamsejahtera@gmail.com</t>
        </is>
      </c>
      <c r="E25" t="inlineStr">
        <is>
          <t>https://lpjk.pu.go.id/search-badan-usaha-detail/NlAyZmFxV0E3YXBrRDFMQmJOeDV6Zz09</t>
        </is>
      </c>
      <c r="F25" t="n">
        <v>4</v>
      </c>
      <c r="G25" t="inlineStr">
        <is>
          <t>BG005, BG006</t>
        </is>
      </c>
      <c r="H25" t="inlineStr">
        <is>
          <t>23 Agustus 2023</t>
        </is>
      </c>
      <c r="I25" s="2" t="n">
        <v>46277</v>
      </c>
      <c r="J25" t="inlineStr">
        <is>
          <t>Disetujui</t>
        </is>
      </c>
      <c r="K25" t="n">
        <v>60</v>
      </c>
      <c r="L25" t="inlineStr">
        <is>
          <t>12 September 2026</t>
        </is>
      </c>
      <c r="M25" t="inlineStr">
        <is>
          <t>Konstruksi Gedung Kesehatan, Konstruksi Gedung Pendidikan</t>
        </is>
      </c>
      <c r="N25" t="inlineStr">
        <is>
          <t>K</t>
        </is>
      </c>
      <c r="O25" t="inlineStr">
        <is>
          <t>20230909</t>
        </is>
      </c>
      <c r="P25" t="inlineStr">
        <is>
          <t>Kalimantan Timur</t>
        </is>
      </c>
      <c r="Q25" t="inlineStr"/>
    </row>
    <row r="26">
      <c r="A26" t="inlineStr">
        <is>
          <t>BERKAH GAWI ABADI</t>
        </is>
      </c>
      <c r="B26" t="inlineStr">
        <is>
          <t>Kab. Barito Kuala</t>
        </is>
      </c>
      <c r="C26" t="inlineStr">
        <is>
          <t>081351357099</t>
        </is>
      </c>
      <c r="D26" t="inlineStr">
        <is>
          <t>abd.berkahgawi@yahoo.com</t>
        </is>
      </c>
      <c r="E26" t="inlineStr">
        <is>
          <t>https://lpjk.pu.go.id/search-badan-usaha-detail/WkNLNk5OaDVtK3dRb2dheGFnS0F3QT09</t>
        </is>
      </c>
      <c r="F26" t="n">
        <v>2</v>
      </c>
      <c r="G26" t="inlineStr">
        <is>
          <t>BS002</t>
        </is>
      </c>
      <c r="H26" t="inlineStr">
        <is>
          <t>1 September 2023</t>
        </is>
      </c>
      <c r="I26" s="2" t="n">
        <v>46277</v>
      </c>
      <c r="J26" t="inlineStr">
        <is>
          <t>Pencabutan</t>
        </is>
      </c>
      <c r="K26" t="n">
        <v>60</v>
      </c>
      <c r="L26" t="inlineStr">
        <is>
          <t>12 September 2026</t>
        </is>
      </c>
      <c r="M26" t="inlineStr">
        <is>
          <t>Bangunan Sipil Jembatan, Jalan Layang, Fly Over, dan Underpass</t>
        </is>
      </c>
      <c r="N26" t="inlineStr">
        <is>
          <t>K</t>
        </is>
      </c>
      <c r="O26" t="inlineStr">
        <is>
          <t>20230906</t>
        </is>
      </c>
      <c r="P26" t="inlineStr">
        <is>
          <t>Kalimantan Selatan</t>
        </is>
      </c>
      <c r="Q26" t="inlineStr"/>
    </row>
    <row r="27">
      <c r="A27" t="inlineStr">
        <is>
          <t>BERKAH SUMBER BARU</t>
        </is>
      </c>
      <c r="B27" t="inlineStr">
        <is>
          <t>Kota Surabaya</t>
        </is>
      </c>
      <c r="C27" t="inlineStr">
        <is>
          <t>081234620193</t>
        </is>
      </c>
      <c r="D27" t="inlineStr">
        <is>
          <t>bagasadmadi4@gmail.com</t>
        </is>
      </c>
      <c r="E27" t="inlineStr">
        <is>
          <t>https://lpjk.pu.go.id/search-badan-usaha-detail/WlJWVUdFdVNFUlVPNzlNWTRwK2Q3dz09</t>
        </is>
      </c>
      <c r="F27" t="n">
        <v>6</v>
      </c>
      <c r="G27" t="inlineStr">
        <is>
          <t>BG005, BG006, BG009</t>
        </is>
      </c>
      <c r="H27" t="inlineStr">
        <is>
          <t>3 Juli 2023</t>
        </is>
      </c>
      <c r="I27" s="2" t="n">
        <v>46277</v>
      </c>
      <c r="J27" t="inlineStr">
        <is>
          <t>Disetujui</t>
        </is>
      </c>
      <c r="K27" t="n">
        <v>60</v>
      </c>
      <c r="L27" t="inlineStr">
        <is>
          <t>12 September 2026</t>
        </is>
      </c>
      <c r="M27" t="inlineStr">
        <is>
          <t>Konstruksi Gedung Kesehatan, Konstruksi Gedung Lainnya, Konstruksi Gedung Pendidikan</t>
        </is>
      </c>
      <c r="N27" t="inlineStr">
        <is>
          <t>K</t>
        </is>
      </c>
      <c r="O27" t="inlineStr">
        <is>
          <t>20230911, 20230912</t>
        </is>
      </c>
      <c r="P27" t="inlineStr">
        <is>
          <t>Jawa Timur</t>
        </is>
      </c>
      <c r="Q27" t="inlineStr"/>
    </row>
    <row r="28">
      <c r="A28" t="inlineStr">
        <is>
          <t>BERKAT CEMERLANG</t>
        </is>
      </c>
      <c r="B28" t="inlineStr">
        <is>
          <t>Kota Bitung</t>
        </is>
      </c>
      <c r="C28" t="inlineStr">
        <is>
          <t>081340590981</t>
        </is>
      </c>
      <c r="D28" t="inlineStr">
        <is>
          <t>andristuange16@gmail.com</t>
        </is>
      </c>
      <c r="E28" t="inlineStr">
        <is>
          <t>https://lpjk.pu.go.id/search-badan-usaha-detail/RlpCanJjSVVWL1VJRFJKQmt6N001Zz09</t>
        </is>
      </c>
      <c r="F28" t="n">
        <v>2</v>
      </c>
      <c r="G28" t="inlineStr">
        <is>
          <t>BS004</t>
        </is>
      </c>
      <c r="H28" t="inlineStr">
        <is>
          <t>6 Maret 2018</t>
        </is>
      </c>
      <c r="I28" s="2" t="n">
        <v>46277</v>
      </c>
      <c r="J28" t="inlineStr">
        <is>
          <t>Disetujui</t>
        </is>
      </c>
      <c r="K28" t="n">
        <v>60</v>
      </c>
      <c r="L28" t="inlineStr">
        <is>
          <t>12 September 2026</t>
        </is>
      </c>
      <c r="M28" t="inlineStr">
        <is>
          <t>Konstruksi Jaringan Irigasi dan Drainase</t>
        </is>
      </c>
      <c r="N28" t="inlineStr">
        <is>
          <t>K</t>
        </is>
      </c>
      <c r="O28" t="inlineStr">
        <is>
          <t>20230912</t>
        </is>
      </c>
      <c r="P28" t="inlineStr">
        <is>
          <t>Sulawesi Utara</t>
        </is>
      </c>
      <c r="Q28" t="inlineStr"/>
    </row>
    <row r="29">
      <c r="A29" t="inlineStr">
        <is>
          <t>BINA HARMONI SEMESTA</t>
        </is>
      </c>
      <c r="B29" t="inlineStr">
        <is>
          <t>Kab. Situbondo</t>
        </is>
      </c>
      <c r="C29" t="inlineStr">
        <is>
          <t>081931565111</t>
        </is>
      </c>
      <c r="D29" t="inlineStr">
        <is>
          <t>lsbugkb3512@gmail.com</t>
        </is>
      </c>
      <c r="E29" t="inlineStr">
        <is>
          <t>https://lpjk.pu.go.id/search-badan-usaha-detail/NUM4NWlTRVhCcDhRNEU0VTJHQ29Ddz09</t>
        </is>
      </c>
      <c r="F29" t="n">
        <v>1</v>
      </c>
      <c r="G29" t="inlineStr">
        <is>
          <t>BS004</t>
        </is>
      </c>
      <c r="H29" t="inlineStr">
        <is>
          <t>24 April 2018</t>
        </is>
      </c>
      <c r="I29" s="2" t="n">
        <v>46277</v>
      </c>
      <c r="J29" t="inlineStr">
        <is>
          <t>Disetujui</t>
        </is>
      </c>
      <c r="K29" t="n">
        <v>60</v>
      </c>
      <c r="L29" t="inlineStr">
        <is>
          <t>12 September 2026</t>
        </is>
      </c>
      <c r="M29" t="inlineStr">
        <is>
          <t>Konstruksi Jaringan Irigasi dan Drainase</t>
        </is>
      </c>
      <c r="N29" t="inlineStr">
        <is>
          <t>K</t>
        </is>
      </c>
      <c r="O29" t="inlineStr">
        <is>
          <t>20230908</t>
        </is>
      </c>
      <c r="P29" t="inlineStr">
        <is>
          <t>Jawa Timur</t>
        </is>
      </c>
      <c r="Q29" t="inlineStr"/>
    </row>
    <row r="30">
      <c r="A30" t="inlineStr">
        <is>
          <t>BINTANG MATARAM SEJAHTERA</t>
        </is>
      </c>
      <c r="B30" t="inlineStr">
        <is>
          <t>Kota Adm. Jakarta Selatan</t>
        </is>
      </c>
      <c r="C30" t="inlineStr">
        <is>
          <t>0217997925</t>
        </is>
      </c>
      <c r="D30" t="inlineStr">
        <is>
          <t>bintangmataramsejahtera.pt@yahoo.com</t>
        </is>
      </c>
      <c r="E30" t="inlineStr">
        <is>
          <t>https://lpjk.pu.go.id/search-badan-usaha-detail/NXdhTld0SXJHTkNjcmkvVDIvdXFUUT09</t>
        </is>
      </c>
      <c r="F30" t="n">
        <v>2</v>
      </c>
      <c r="G30" t="inlineStr">
        <is>
          <t>BG001</t>
        </is>
      </c>
      <c r="H30" t="inlineStr">
        <is>
          <t>8 Agustus 2012</t>
        </is>
      </c>
      <c r="I30" s="2" t="n">
        <v>46277</v>
      </c>
      <c r="J30" t="inlineStr">
        <is>
          <t>Disetujui</t>
        </is>
      </c>
      <c r="K30" t="n">
        <v>60</v>
      </c>
      <c r="L30" t="inlineStr">
        <is>
          <t>12 September 2026</t>
        </is>
      </c>
      <c r="M30" t="inlineStr">
        <is>
          <t>Konstruksi Gedung Hunian</t>
        </is>
      </c>
      <c r="N30" t="inlineStr">
        <is>
          <t>M</t>
        </is>
      </c>
      <c r="O30" t="inlineStr">
        <is>
          <t>20230907</t>
        </is>
      </c>
      <c r="P30" t="inlineStr">
        <is>
          <t>DKI Jakarta</t>
        </is>
      </c>
      <c r="Q30" t="inlineStr"/>
    </row>
    <row r="31">
      <c r="A31" t="inlineStr">
        <is>
          <t>BINTANG SAMUDRA</t>
        </is>
      </c>
      <c r="B31" t="inlineStr">
        <is>
          <t>Kab. Semarang</t>
        </is>
      </c>
      <c r="C31" t="inlineStr">
        <is>
          <t>0246 9229 04__</t>
        </is>
      </c>
      <c r="D31" t="inlineStr">
        <is>
          <t>bintangsamudera43@yahoo.co.id</t>
        </is>
      </c>
      <c r="E31" t="inlineStr">
        <is>
          <t>https://lpjk.pu.go.id/search-badan-usaha-detail/TTl0YzhtUzlqY3FCT1l3SXBTZTRkUT09</t>
        </is>
      </c>
      <c r="F31" t="n">
        <v>16</v>
      </c>
      <c r="G31" t="inlineStr">
        <is>
          <t>BG004, BG005, BG006, BG008, BG009, BS001, BS004, BS005</t>
        </is>
      </c>
      <c r="H31" t="inlineStr">
        <is>
          <t>27 November 1996</t>
        </is>
      </c>
      <c r="I31" s="2" t="n">
        <v>46277</v>
      </c>
      <c r="J31" t="inlineStr">
        <is>
          <t>Disetujui, Pencabutan</t>
        </is>
      </c>
      <c r="K31" t="n">
        <v>60</v>
      </c>
      <c r="L31" t="inlineStr">
        <is>
          <t>12 September 2026</t>
        </is>
      </c>
      <c r="M31" t="inlineStr">
        <is>
          <t>Konstruksi Bangunan Sipil Jalan, Konstruksi Bangunan Sipil Pengolahan Air Bersih, Konstruksi Gedung Kesehatan, Konstruksi Gedung Lainnya, Konstruksi Gedung Pendidikan, Konstruksi Gedung Perbelanjaan, Konstruksi Gedung Tempat Hiburan dan Olahraga, Konstruksi Jaringan Irigasi dan Drainase</t>
        </is>
      </c>
      <c r="N31" t="inlineStr">
        <is>
          <t>K</t>
        </is>
      </c>
      <c r="O31" t="inlineStr">
        <is>
          <t>20230906, 20230908</t>
        </is>
      </c>
      <c r="P31" t="inlineStr">
        <is>
          <t>Jawa Tengah</t>
        </is>
      </c>
      <c r="Q31" t="inlineStr"/>
    </row>
    <row r="32">
      <c r="A32" t="inlineStr">
        <is>
          <t>BONANZA</t>
        </is>
      </c>
      <c r="B32" t="inlineStr">
        <is>
          <t>Kota Malang</t>
        </is>
      </c>
      <c r="C32" t="inlineStr">
        <is>
          <t>082112481235</t>
        </is>
      </c>
      <c r="D32" t="inlineStr">
        <is>
          <t>alifianbonanzacons@gmail.com</t>
        </is>
      </c>
      <c r="E32" t="inlineStr">
        <is>
          <t>https://lpjk.pu.go.id/search-badan-usaha-detail/cVpBZ1M3OUkwMHNHRjdoUWFFa1l6dz09</t>
        </is>
      </c>
      <c r="F32" t="n">
        <v>2</v>
      </c>
      <c r="G32" t="inlineStr">
        <is>
          <t>BS001</t>
        </is>
      </c>
      <c r="H32" t="inlineStr">
        <is>
          <t>22 Januari 2010</t>
        </is>
      </c>
      <c r="I32" s="2" t="n">
        <v>46277</v>
      </c>
      <c r="J32" t="inlineStr">
        <is>
          <t>Disetujui</t>
        </is>
      </c>
      <c r="K32" t="n">
        <v>60</v>
      </c>
      <c r="L32" t="inlineStr">
        <is>
          <t>12 September 2026</t>
        </is>
      </c>
      <c r="M32" t="inlineStr">
        <is>
          <t>Konstruksi Bangunan Sipil Jalan</t>
        </is>
      </c>
      <c r="N32" t="inlineStr">
        <is>
          <t>K</t>
        </is>
      </c>
      <c r="O32" t="inlineStr">
        <is>
          <t>20230912</t>
        </is>
      </c>
      <c r="P32" t="inlineStr">
        <is>
          <t>Jawa Timur</t>
        </is>
      </c>
      <c r="Q32" t="inlineStr"/>
    </row>
    <row r="33">
      <c r="A33" t="inlineStr">
        <is>
          <t>CENDANA INDAH</t>
        </is>
      </c>
      <c r="B33" t="inlineStr">
        <is>
          <t>Kab. Sampang</t>
        </is>
      </c>
      <c r="C33" t="inlineStr">
        <is>
          <t>081949862346</t>
        </is>
      </c>
      <c r="D33" t="inlineStr">
        <is>
          <t>cendana.indah_cv@yahoo.com</t>
        </is>
      </c>
      <c r="E33" t="inlineStr">
        <is>
          <t>https://lpjk.pu.go.id/search-badan-usaha-detail/SDRHY2l0VDZLMXN0L1BNZUxXMWdpTENGM2x6Z0lEZXovblVzTmlDZFUxbz0</t>
        </is>
      </c>
      <c r="F33" t="n">
        <v>1</v>
      </c>
      <c r="G33" t="inlineStr">
        <is>
          <t>BS004</t>
        </is>
      </c>
      <c r="H33" t="inlineStr">
        <is>
          <t>2 April 2026</t>
        </is>
      </c>
      <c r="I33" s="2" t="n">
        <v>46277</v>
      </c>
      <c r="J33" t="inlineStr">
        <is>
          <t>Disetujui</t>
        </is>
      </c>
      <c r="K33" t="n">
        <v>60</v>
      </c>
      <c r="L33" t="inlineStr">
        <is>
          <t>12 September 2026</t>
        </is>
      </c>
      <c r="M33" t="inlineStr">
        <is>
          <t>Konstruksi Jaringan Irigasi dan Drainase</t>
        </is>
      </c>
      <c r="N33" t="inlineStr">
        <is>
          <t>K</t>
        </is>
      </c>
      <c r="O33" t="inlineStr">
        <is>
          <t>20230713</t>
        </is>
      </c>
      <c r="P33" t="inlineStr">
        <is>
          <t>Jawa Timur</t>
        </is>
      </c>
      <c r="Q33" t="inlineStr"/>
    </row>
    <row r="34">
      <c r="A34" t="inlineStr">
        <is>
          <t>CIPTA PERMATA GRAHA</t>
        </is>
      </c>
      <c r="B34" t="inlineStr">
        <is>
          <t>Kota Malang</t>
        </is>
      </c>
      <c r="C34" t="inlineStr">
        <is>
          <t>03414372727</t>
        </is>
      </c>
      <c r="D34" t="inlineStr">
        <is>
          <t>cpg_mlg@yahoo.co.id</t>
        </is>
      </c>
      <c r="E34" t="inlineStr">
        <is>
          <t>https://lpjk.pu.go.id/search-badan-usaha-detail/clB1a1M1Zmc4dDl1SHpBMFJiazJlZz09</t>
        </is>
      </c>
      <c r="F34" t="n">
        <v>2</v>
      </c>
      <c r="G34" t="inlineStr">
        <is>
          <t>BG006</t>
        </is>
      </c>
      <c r="H34" t="inlineStr">
        <is>
          <t>18 Juni 2003</t>
        </is>
      </c>
      <c r="I34" s="2" t="n">
        <v>46277</v>
      </c>
      <c r="J34" t="inlineStr">
        <is>
          <t>Pencabutan</t>
        </is>
      </c>
      <c r="K34" t="n">
        <v>60</v>
      </c>
      <c r="L34" t="inlineStr">
        <is>
          <t>12 September 2026</t>
        </is>
      </c>
      <c r="M34" t="inlineStr">
        <is>
          <t>Konstruksi Gedung Pendidikan</t>
        </is>
      </c>
      <c r="N34" t="inlineStr">
        <is>
          <t>K</t>
        </is>
      </c>
      <c r="O34" t="inlineStr">
        <is>
          <t>20230824</t>
        </is>
      </c>
      <c r="P34" t="inlineStr">
        <is>
          <t>Jawa Timur</t>
        </is>
      </c>
      <c r="Q34" t="inlineStr"/>
    </row>
    <row r="35">
      <c r="A35" t="inlineStr">
        <is>
          <t>CIPTA SOLUSI BERKARYA</t>
        </is>
      </c>
      <c r="B35" t="inlineStr">
        <is>
          <t>Kab. Pandeglang</t>
        </is>
      </c>
      <c r="C35" t="inlineStr">
        <is>
          <t>08125222876</t>
        </is>
      </c>
      <c r="D35" t="inlineStr">
        <is>
          <t>solusibersamacipta@gmail.com</t>
        </is>
      </c>
      <c r="E35" t="inlineStr">
        <is>
          <t>https://lpjk.pu.go.id/search-badan-usaha-detail/d0xQY1dxSWRKSUR0OXVvbmVEYVJBQT09</t>
        </is>
      </c>
      <c r="F35" t="n">
        <v>1</v>
      </c>
      <c r="G35" t="inlineStr">
        <is>
          <t>BS002</t>
        </is>
      </c>
      <c r="H35" t="inlineStr">
        <is>
          <t>29 Maret 2023</t>
        </is>
      </c>
      <c r="I35" s="2" t="n">
        <v>46277</v>
      </c>
      <c r="J35" t="inlineStr">
        <is>
          <t>Pencabutan</t>
        </is>
      </c>
      <c r="K35" t="n">
        <v>60</v>
      </c>
      <c r="L35" t="inlineStr">
        <is>
          <t>12 September 2026</t>
        </is>
      </c>
      <c r="M35" t="inlineStr">
        <is>
          <t>Bangunan Sipil Jembatan, Jalan Layang, Fly Over, dan Underpass</t>
        </is>
      </c>
      <c r="N35" t="inlineStr">
        <is>
          <t>K</t>
        </is>
      </c>
      <c r="O35" t="inlineStr">
        <is>
          <t>20230509</t>
        </is>
      </c>
      <c r="P35" t="inlineStr">
        <is>
          <t>Banten</t>
        </is>
      </c>
      <c r="Q35" t="inlineStr"/>
    </row>
    <row r="36">
      <c r="A36" t="inlineStr">
        <is>
          <t>CIPTAYASA CONSULTANT</t>
        </is>
      </c>
      <c r="B36" t="inlineStr">
        <is>
          <t>Kab. Kotawaringin Barat</t>
        </is>
      </c>
      <c r="C36" t="inlineStr">
        <is>
          <t>081334044155</t>
        </is>
      </c>
      <c r="D36" t="inlineStr">
        <is>
          <t>ciptayasa.consultant80@gmail.com</t>
        </is>
      </c>
      <c r="E36" t="inlineStr">
        <is>
          <t>https://lpjk.pu.go.id/search-badan-usaha-detail/R0pUTXBRUk5RYmMrVHBqYjdLQTQ4Zz09</t>
        </is>
      </c>
      <c r="F36" t="n">
        <v>1</v>
      </c>
      <c r="G36" t="inlineStr">
        <is>
          <t>RK003</t>
        </is>
      </c>
      <c r="H36" t="inlineStr">
        <is>
          <t>28 April 2014</t>
        </is>
      </c>
      <c r="I36" s="2" t="n">
        <v>46277</v>
      </c>
      <c r="J36" t="inlineStr">
        <is>
          <t>Disetujui</t>
        </is>
      </c>
      <c r="K36" t="n">
        <v>60</v>
      </c>
      <c r="L36" t="inlineStr">
        <is>
          <t>12 September 2026</t>
        </is>
      </c>
      <c r="M36" t="inlineStr">
        <is>
          <t>Jasa Rekayasa Pekerjaan Teknik Sipil Transportasi</t>
        </is>
      </c>
      <c r="N36" t="inlineStr">
        <is>
          <t>K</t>
        </is>
      </c>
      <c r="O36" t="inlineStr">
        <is>
          <t>20230825</t>
        </is>
      </c>
      <c r="P36" t="inlineStr">
        <is>
          <t>Kalimantan Tengah</t>
        </is>
      </c>
      <c r="Q36" t="inlineStr"/>
    </row>
    <row r="37">
      <c r="A37" t="inlineStr">
        <is>
          <t>CITRA BANGUN USAHA MANDIRI</t>
        </is>
      </c>
      <c r="B37" t="inlineStr">
        <is>
          <t>Kota Adm. Jakarta Barat</t>
        </is>
      </c>
      <c r="C37" t="inlineStr">
        <is>
          <t>0215414258</t>
        </is>
      </c>
      <c r="D37" t="inlineStr">
        <is>
          <t>citra_bum@yahoo.com</t>
        </is>
      </c>
      <c r="E37" t="inlineStr">
        <is>
          <t>https://lpjk.pu.go.id/search-badan-usaha-detail/ZkViVVoybkcxMnNBaGw4d2RDUFFYdz09</t>
        </is>
      </c>
      <c r="F37" t="n">
        <v>1</v>
      </c>
      <c r="G37" t="inlineStr">
        <is>
          <t>BG003</t>
        </is>
      </c>
      <c r="H37" t="inlineStr">
        <is>
          <t>19 Februari 2008</t>
        </is>
      </c>
      <c r="I37" s="2" t="n">
        <v>46277</v>
      </c>
      <c r="J37" t="inlineStr">
        <is>
          <t>Disetujui</t>
        </is>
      </c>
      <c r="K37" t="n">
        <v>60</v>
      </c>
      <c r="L37" t="inlineStr">
        <is>
          <t>12 September 2026</t>
        </is>
      </c>
      <c r="M37" t="inlineStr">
        <is>
          <t>Konstruksi Gedung Industri</t>
        </is>
      </c>
      <c r="N37" t="inlineStr">
        <is>
          <t>K</t>
        </is>
      </c>
      <c r="O37" t="inlineStr">
        <is>
          <t>20230905</t>
        </is>
      </c>
      <c r="P37" t="inlineStr">
        <is>
          <t>DKI Jakarta</t>
        </is>
      </c>
      <c r="Q37" t="inlineStr"/>
    </row>
    <row r="38">
      <c r="A38" t="inlineStr">
        <is>
          <t>CITRA JAYA PERSADA</t>
        </is>
      </c>
      <c r="B38" t="inlineStr">
        <is>
          <t>Kab. Bandung Barat</t>
        </is>
      </c>
      <c r="C38" t="inlineStr">
        <is>
          <t>082117933916</t>
        </is>
      </c>
      <c r="D38" t="inlineStr">
        <is>
          <t>citrajp62@gmail.com</t>
        </is>
      </c>
      <c r="E38" t="inlineStr">
        <is>
          <t>https://lpjk.pu.go.id/search-badan-usaha-detail/blVwWDZYMzFPQ2dzNkZXS2MwZENiZz09</t>
        </is>
      </c>
      <c r="F38" t="n">
        <v>2</v>
      </c>
      <c r="G38" t="inlineStr">
        <is>
          <t>BG009, BS001</t>
        </is>
      </c>
      <c r="H38" t="inlineStr">
        <is>
          <t>25 Januari 2002</t>
        </is>
      </c>
      <c r="I38" s="2" t="n">
        <v>46277</v>
      </c>
      <c r="J38" t="inlineStr">
        <is>
          <t>Disetujui</t>
        </is>
      </c>
      <c r="K38" t="n">
        <v>60</v>
      </c>
      <c r="L38" t="inlineStr">
        <is>
          <t>12 September 2026</t>
        </is>
      </c>
      <c r="M38" t="inlineStr">
        <is>
          <t>Konstruksi Bangunan Sipil Jalan, Konstruksi Gedung Lainnya</t>
        </is>
      </c>
      <c r="N38" t="inlineStr">
        <is>
          <t>K</t>
        </is>
      </c>
      <c r="O38" t="inlineStr">
        <is>
          <t>20230912, 20230913</t>
        </is>
      </c>
      <c r="P38" t="inlineStr">
        <is>
          <t>Jawa Barat</t>
        </is>
      </c>
      <c r="Q38" t="inlineStr"/>
    </row>
    <row r="39">
      <c r="A39" t="inlineStr">
        <is>
          <t>CV. ELSA CIPTA UTAMA</t>
        </is>
      </c>
      <c r="B39" t="inlineStr">
        <is>
          <t>Kota Kendari</t>
        </is>
      </c>
      <c r="C39" t="inlineStr">
        <is>
          <t>08114033319</t>
        </is>
      </c>
      <c r="D39" t="inlineStr">
        <is>
          <t>theproandryanto@gmail.com</t>
        </is>
      </c>
      <c r="E39" t="inlineStr">
        <is>
          <t>https://lpjk.pu.go.id/search-badan-usaha-detail/SnJMdGpsSVZuaEN5UmRvOVpEMkthUT09</t>
        </is>
      </c>
      <c r="F39" t="n">
        <v>2</v>
      </c>
      <c r="G39" t="inlineStr">
        <is>
          <t>BG001</t>
        </is>
      </c>
      <c r="H39" t="inlineStr">
        <is>
          <t>25 Januari 2016</t>
        </is>
      </c>
      <c r="I39" s="2" t="n">
        <v>46277</v>
      </c>
      <c r="J39" t="inlineStr">
        <is>
          <t>Pencabutan</t>
        </is>
      </c>
      <c r="K39" t="n">
        <v>60</v>
      </c>
      <c r="L39" t="inlineStr">
        <is>
          <t>12 September 2026</t>
        </is>
      </c>
      <c r="M39" t="inlineStr">
        <is>
          <t>Konstruksi Gedung Hunian</t>
        </is>
      </c>
      <c r="N39" t="inlineStr">
        <is>
          <t>K</t>
        </is>
      </c>
      <c r="O39" t="inlineStr">
        <is>
          <t>20230912</t>
        </is>
      </c>
      <c r="P39" t="inlineStr">
        <is>
          <t>Sulawesi Tenggara</t>
        </is>
      </c>
      <c r="Q39" t="inlineStr"/>
    </row>
    <row r="40">
      <c r="A40" t="inlineStr">
        <is>
          <t>CV. ZAREN JAYA PRATAMA</t>
        </is>
      </c>
      <c r="B40" t="inlineStr">
        <is>
          <t>Kota Pontianak</t>
        </is>
      </c>
      <c r="C40" t="inlineStr">
        <is>
          <t>082251353023</t>
        </is>
      </c>
      <c r="D40" t="inlineStr">
        <is>
          <t>cv.zarenjayapratama21@gmail.com</t>
        </is>
      </c>
      <c r="E40" t="inlineStr">
        <is>
          <t>https://lpjk.pu.go.id/search-badan-usaha-detail/V3hsTmtoSmFrdHN4NXkzQ0dIMTJxUT09</t>
        </is>
      </c>
      <c r="F40" t="n">
        <v>1</v>
      </c>
      <c r="G40" t="inlineStr">
        <is>
          <t>BG008</t>
        </is>
      </c>
      <c r="H40" t="inlineStr">
        <is>
          <t>28 Desember 2020</t>
        </is>
      </c>
      <c r="I40" s="2" t="n">
        <v>46277</v>
      </c>
      <c r="J40" t="inlineStr">
        <is>
          <t>Pencabutan</t>
        </is>
      </c>
      <c r="K40" t="n">
        <v>60</v>
      </c>
      <c r="L40" t="inlineStr">
        <is>
          <t>12 September 2026</t>
        </is>
      </c>
      <c r="M40" t="inlineStr">
        <is>
          <t>Konstruksi Gedung Tempat Hiburan dan Olahraga</t>
        </is>
      </c>
      <c r="N40" t="inlineStr">
        <is>
          <t>K</t>
        </is>
      </c>
      <c r="O40" t="inlineStr">
        <is>
          <t>20230912</t>
        </is>
      </c>
      <c r="P40" t="inlineStr">
        <is>
          <t>Kalimantan Barat</t>
        </is>
      </c>
      <c r="Q40" t="inlineStr"/>
    </row>
    <row r="41">
      <c r="A41" t="inlineStr">
        <is>
          <t>DAMA MULTI PERSADA</t>
        </is>
      </c>
      <c r="B41" t="inlineStr">
        <is>
          <t>Kab. Bandung</t>
        </is>
      </c>
      <c r="C41" t="inlineStr">
        <is>
          <t>081223408448</t>
        </is>
      </c>
      <c r="D41" t="inlineStr">
        <is>
          <t>damamultipersada@gmail.com</t>
        </is>
      </c>
      <c r="E41" t="inlineStr">
        <is>
          <t>https://lpjk.pu.go.id/search-badan-usaha-detail/dmRwK3NLakF6STBQSVlEYUhwMU1kQT09</t>
        </is>
      </c>
      <c r="F41" t="n">
        <v>1</v>
      </c>
      <c r="G41" t="inlineStr">
        <is>
          <t>BS009</t>
        </is>
      </c>
      <c r="H41" t="inlineStr">
        <is>
          <t>18 April 2023</t>
        </is>
      </c>
      <c r="I41" s="2" t="n">
        <v>46277</v>
      </c>
      <c r="J41" t="inlineStr">
        <is>
          <t>Disetujui</t>
        </is>
      </c>
      <c r="K41" t="n">
        <v>60</v>
      </c>
      <c r="L41" t="inlineStr">
        <is>
          <t>12 September 2026</t>
        </is>
      </c>
      <c r="M41" t="inlineStr">
        <is>
          <t>Konstruksi Sentral Telekomunikasi</t>
        </is>
      </c>
      <c r="N41" t="inlineStr">
        <is>
          <t>K</t>
        </is>
      </c>
      <c r="O41" t="inlineStr">
        <is>
          <t>20230912</t>
        </is>
      </c>
      <c r="P41" t="inlineStr">
        <is>
          <t>Jawa Barat</t>
        </is>
      </c>
      <c r="Q41" t="inlineStr"/>
    </row>
    <row r="42">
      <c r="A42" t="inlineStr">
        <is>
          <t>DAYA INDAH DINAMIKA</t>
        </is>
      </c>
      <c r="B42" t="inlineStr">
        <is>
          <t>Kota Adm. Jakarta Selatan</t>
        </is>
      </c>
      <c r="C42" t="inlineStr">
        <is>
          <t>02129315503</t>
        </is>
      </c>
      <c r="D42" t="inlineStr">
        <is>
          <t>dayaindahdinamika@gmail.com</t>
        </is>
      </c>
      <c r="E42" t="inlineStr">
        <is>
          <t>https://lpjk.pu.go.id/search-badan-usaha-detail/YlpWSHd5Z3dtSlFmUFJIczBLQWJsQT09</t>
        </is>
      </c>
      <c r="F42" t="n">
        <v>2</v>
      </c>
      <c r="G42" t="inlineStr">
        <is>
          <t>AR001, RK001</t>
        </is>
      </c>
      <c r="H42" t="inlineStr">
        <is>
          <t>19 Desember 2014</t>
        </is>
      </c>
      <c r="I42" s="2" t="n">
        <v>46277</v>
      </c>
      <c r="J42" t="inlineStr">
        <is>
          <t>Disetujui</t>
        </is>
      </c>
      <c r="K42" t="n">
        <v>60</v>
      </c>
      <c r="L42" t="inlineStr">
        <is>
          <t>12 September 2026</t>
        </is>
      </c>
      <c r="M42" t="inlineStr">
        <is>
          <t>Jasa Arsitektural Bangunan Gedung Hunian dan Non Hunian, Jasa Rekayasa Konstruksi Bangunan Gedung Hunian dan Non Hunian</t>
        </is>
      </c>
      <c r="N42" t="inlineStr">
        <is>
          <t>K</t>
        </is>
      </c>
      <c r="O42" t="inlineStr">
        <is>
          <t>20230829</t>
        </is>
      </c>
      <c r="P42" t="inlineStr">
        <is>
          <t>DKI Jakarta</t>
        </is>
      </c>
      <c r="Q42" t="inlineStr"/>
    </row>
    <row r="43">
      <c r="A43" t="inlineStr">
        <is>
          <t>DAYA NUSANTARA ADYATAMA</t>
        </is>
      </c>
      <c r="B43" t="inlineStr">
        <is>
          <t>Kab. Bojonegoro</t>
        </is>
      </c>
      <c r="C43" t="inlineStr">
        <is>
          <t>-</t>
        </is>
      </c>
      <c r="D43" t="inlineStr">
        <is>
          <t>dayanusantaraadyatama.cv@gmail.com</t>
        </is>
      </c>
      <c r="E43" t="inlineStr">
        <is>
          <t>https://lpjk.pu.go.id/search-badan-usaha-detail/bkFqNlNVL0dVNzA5RjBPYzJOQXVqdz09</t>
        </is>
      </c>
      <c r="F43" t="n">
        <v>1</v>
      </c>
      <c r="G43" t="inlineStr">
        <is>
          <t>BG005</t>
        </is>
      </c>
      <c r="H43" t="inlineStr">
        <is>
          <t>27 Juli 2017</t>
        </is>
      </c>
      <c r="I43" s="2" t="n">
        <v>46277</v>
      </c>
      <c r="J43" t="inlineStr">
        <is>
          <t>Pencabutan</t>
        </is>
      </c>
      <c r="K43" t="n">
        <v>60</v>
      </c>
      <c r="L43" t="inlineStr">
        <is>
          <t>12 September 2026</t>
        </is>
      </c>
      <c r="M43" t="inlineStr">
        <is>
          <t>Konstruksi Gedung Kesehatan</t>
        </is>
      </c>
      <c r="N43" t="inlineStr">
        <is>
          <t>K</t>
        </is>
      </c>
      <c r="O43" t="inlineStr">
        <is>
          <t>20230911</t>
        </is>
      </c>
      <c r="P43" t="inlineStr">
        <is>
          <t>Jawa Timur</t>
        </is>
      </c>
      <c r="Q43" t="inlineStr"/>
    </row>
    <row r="44">
      <c r="A44" t="inlineStr">
        <is>
          <t>DELIMA INTI PERKASA</t>
        </is>
      </c>
      <c r="B44" t="inlineStr">
        <is>
          <t>Kota Pekanbaru</t>
        </is>
      </c>
      <c r="C44" t="inlineStr">
        <is>
          <t>085374324999</t>
        </is>
      </c>
      <c r="D44" t="inlineStr">
        <is>
          <t>pt.delimaintiperkasa@gmail.com</t>
        </is>
      </c>
      <c r="E44" t="inlineStr">
        <is>
          <t>https://lpjk.pu.go.id/search-badan-usaha-detail/ZmZTWStNaURyLzZLeDZRalBsaGRiUT09</t>
        </is>
      </c>
      <c r="F44" t="n">
        <v>2</v>
      </c>
      <c r="G44" t="inlineStr">
        <is>
          <t>BG003</t>
        </is>
      </c>
      <c r="H44" t="inlineStr">
        <is>
          <t>19 Agustus 2013</t>
        </is>
      </c>
      <c r="I44" s="2" t="n">
        <v>46277</v>
      </c>
      <c r="J44" t="inlineStr">
        <is>
          <t>Pencabutan</t>
        </is>
      </c>
      <c r="K44" t="n">
        <v>60</v>
      </c>
      <c r="L44" t="inlineStr">
        <is>
          <t>12 September 2026</t>
        </is>
      </c>
      <c r="M44" t="inlineStr">
        <is>
          <t>Konstruksi Gedung Industri</t>
        </is>
      </c>
      <c r="N44" t="inlineStr">
        <is>
          <t>M</t>
        </is>
      </c>
      <c r="O44" t="inlineStr">
        <is>
          <t>20230905</t>
        </is>
      </c>
      <c r="P44" t="inlineStr">
        <is>
          <t>Riau</t>
        </is>
      </c>
      <c r="Q44" t="inlineStr"/>
    </row>
    <row r="45">
      <c r="A45" t="inlineStr">
        <is>
          <t>DITA MULTI SARANA</t>
        </is>
      </c>
      <c r="B45" t="inlineStr">
        <is>
          <t>Kota Bontang</t>
        </is>
      </c>
      <c r="C45" t="inlineStr">
        <is>
          <t>081347649007</t>
        </is>
      </c>
      <c r="D45" t="inlineStr">
        <is>
          <t>ditamultisarana@gmail.com</t>
        </is>
      </c>
      <c r="E45" t="inlineStr">
        <is>
          <t>https://lpjk.pu.go.id/search-badan-usaha-detail/a2pYNGxmUWhSeFgrMXMvUFJocFMvUT09</t>
        </is>
      </c>
      <c r="F45" t="n">
        <v>1</v>
      </c>
      <c r="G45" t="inlineStr">
        <is>
          <t>BS004</t>
        </is>
      </c>
      <c r="H45" t="inlineStr">
        <is>
          <t>29 April 2016</t>
        </is>
      </c>
      <c r="I45" s="2" t="n">
        <v>46277</v>
      </c>
      <c r="J45" t="inlineStr">
        <is>
          <t>Disetujui</t>
        </is>
      </c>
      <c r="K45" t="n">
        <v>60</v>
      </c>
      <c r="L45" t="inlineStr">
        <is>
          <t>12 September 2026</t>
        </is>
      </c>
      <c r="M45" t="inlineStr">
        <is>
          <t>Konstruksi Jaringan Irigasi dan Drainase</t>
        </is>
      </c>
      <c r="N45" t="inlineStr">
        <is>
          <t>K</t>
        </is>
      </c>
      <c r="O45" t="inlineStr">
        <is>
          <t>20230912</t>
        </is>
      </c>
      <c r="P45" t="inlineStr">
        <is>
          <t>Kalimantan Timur</t>
        </is>
      </c>
      <c r="Q45" t="inlineStr"/>
    </row>
    <row r="46">
      <c r="A46" t="inlineStr">
        <is>
          <t>DUA PUTRA PERKASA</t>
        </is>
      </c>
      <c r="B46" t="inlineStr">
        <is>
          <t>Kab. Ketapang</t>
        </is>
      </c>
      <c r="C46" t="inlineStr">
        <is>
          <t>089527631683</t>
        </is>
      </c>
      <c r="D46" t="inlineStr">
        <is>
          <t>duaputraperkasa07@gmail.com</t>
        </is>
      </c>
      <c r="E46" t="inlineStr">
        <is>
          <t>https://lpjk.pu.go.id/search-badan-usaha-detail/bkRJSUVtbXlvekFRNEIwTUl5QitxZz09</t>
        </is>
      </c>
      <c r="F46" t="n">
        <v>1</v>
      </c>
      <c r="G46" t="inlineStr">
        <is>
          <t>BG008</t>
        </is>
      </c>
      <c r="H46" t="inlineStr">
        <is>
          <t>6 April 2002</t>
        </is>
      </c>
      <c r="I46" s="2" t="n">
        <v>46277</v>
      </c>
      <c r="J46" t="inlineStr">
        <is>
          <t>Disetujui</t>
        </is>
      </c>
      <c r="K46" t="n">
        <v>60</v>
      </c>
      <c r="L46" t="inlineStr">
        <is>
          <t>12 September 2026</t>
        </is>
      </c>
      <c r="M46" t="inlineStr">
        <is>
          <t>Konstruksi Gedung Tempat Hiburan dan Olahraga</t>
        </is>
      </c>
      <c r="N46" t="inlineStr">
        <is>
          <t>K</t>
        </is>
      </c>
      <c r="O46" t="inlineStr">
        <is>
          <t>20230912</t>
        </is>
      </c>
      <c r="P46" t="inlineStr">
        <is>
          <t>Kalimantan Barat</t>
        </is>
      </c>
      <c r="Q46" t="inlineStr"/>
    </row>
    <row r="47">
      <c r="A47" t="inlineStr">
        <is>
          <t>DUA PUTRI</t>
        </is>
      </c>
      <c r="B47" t="inlineStr">
        <is>
          <t>Kota Sawahlunto</t>
        </is>
      </c>
      <c r="C47" t="inlineStr">
        <is>
          <t>085376181849</t>
        </is>
      </c>
      <c r="D47" t="inlineStr">
        <is>
          <t>cvduaputri5@gmail.com</t>
        </is>
      </c>
      <c r="E47" t="inlineStr">
        <is>
          <t>https://lpjk.pu.go.id/search-badan-usaha-detail/eG5mdlNDcTArckpzWnhDamRZdU1wdz09</t>
        </is>
      </c>
      <c r="F47" t="n">
        <v>1</v>
      </c>
      <c r="G47" t="inlineStr">
        <is>
          <t>BS004</t>
        </is>
      </c>
      <c r="H47" t="inlineStr">
        <is>
          <t>2 Januari 2019</t>
        </is>
      </c>
      <c r="I47" s="2" t="n">
        <v>46277</v>
      </c>
      <c r="J47" t="inlineStr">
        <is>
          <t>Disetujui</t>
        </is>
      </c>
      <c r="K47" t="n">
        <v>60</v>
      </c>
      <c r="L47" t="inlineStr">
        <is>
          <t>12 September 2026</t>
        </is>
      </c>
      <c r="M47" t="inlineStr">
        <is>
          <t>Konstruksi Jaringan Irigasi dan Drainase</t>
        </is>
      </c>
      <c r="N47" t="inlineStr">
        <is>
          <t>K</t>
        </is>
      </c>
      <c r="O47" t="inlineStr">
        <is>
          <t>20230904</t>
        </is>
      </c>
      <c r="P47" t="inlineStr">
        <is>
          <t>Sumatera Barat</t>
        </is>
      </c>
      <c r="Q47" t="inlineStr"/>
    </row>
    <row r="48">
      <c r="A48" t="inlineStr">
        <is>
          <t>DUTA KONTRAKTOR INDONESIA</t>
        </is>
      </c>
      <c r="B48" t="inlineStr">
        <is>
          <t>Kota Adm. Jakarta Barat</t>
        </is>
      </c>
      <c r="C48" t="inlineStr">
        <is>
          <t>081211117490</t>
        </is>
      </c>
      <c r="D48" t="inlineStr">
        <is>
          <t>dki888jakarta@gmail.com</t>
        </is>
      </c>
      <c r="E48" t="inlineStr">
        <is>
          <t>https://lpjk.pu.go.id/search-badan-usaha-detail/MTNoRWpuSnBrb1ZOSjE5SmRNWVJzQT09</t>
        </is>
      </c>
      <c r="F48" t="n">
        <v>1</v>
      </c>
      <c r="G48" t="inlineStr">
        <is>
          <t>RT002</t>
        </is>
      </c>
      <c r="H48" t="inlineStr">
        <is>
          <t>23 Februari 2021</t>
        </is>
      </c>
      <c r="I48" s="2" t="n">
        <v>46277</v>
      </c>
      <c r="J48" t="inlineStr">
        <is>
          <t>Disetujui</t>
        </is>
      </c>
      <c r="K48" t="n">
        <v>60</v>
      </c>
      <c r="L48" t="inlineStr">
        <is>
          <t>12 September 2026</t>
        </is>
      </c>
      <c r="M48" t="inlineStr">
        <is>
          <t>Jasa Rekayasa Konstruksi Pembangkit, Jaringan Transmisi, Gardu Induk, dan Distribusi Tenaga Listrik</t>
        </is>
      </c>
      <c r="N48" t="inlineStr">
        <is>
          <t>K</t>
        </is>
      </c>
      <c r="O48" t="inlineStr">
        <is>
          <t>20230910</t>
        </is>
      </c>
      <c r="P48" t="inlineStr">
        <is>
          <t>DKI Jakarta</t>
        </is>
      </c>
      <c r="Q48" t="inlineStr"/>
    </row>
    <row r="49">
      <c r="A49" t="inlineStr">
        <is>
          <t>DUTA SARANA MANDIRI</t>
        </is>
      </c>
      <c r="B49" t="inlineStr">
        <is>
          <t>Kota Adm. Jakarta Barat</t>
        </is>
      </c>
      <c r="C49" t="inlineStr">
        <is>
          <t>02166670555</t>
        </is>
      </c>
      <c r="D49" t="inlineStr">
        <is>
          <t>dutasaranamandiri2019@gmail.com</t>
        </is>
      </c>
      <c r="E49" t="inlineStr">
        <is>
          <t>https://lpjk.pu.go.id/search-badan-usaha-detail/OG40SHFIQXpiNFlUcHUrc25LU1NDZz09</t>
        </is>
      </c>
      <c r="F49" t="n">
        <v>1</v>
      </c>
      <c r="G49" t="inlineStr">
        <is>
          <t>BG005</t>
        </is>
      </c>
      <c r="H49" t="inlineStr">
        <is>
          <t>14 Juni 2010</t>
        </is>
      </c>
      <c r="I49" s="2" t="n">
        <v>46277</v>
      </c>
      <c r="J49" t="inlineStr">
        <is>
          <t>Disetujui</t>
        </is>
      </c>
      <c r="K49" t="n">
        <v>60</v>
      </c>
      <c r="L49" t="inlineStr">
        <is>
          <t>12 September 2026</t>
        </is>
      </c>
      <c r="M49" t="inlineStr">
        <is>
          <t>Konstruksi Gedung Kesehatan</t>
        </is>
      </c>
      <c r="N49" t="inlineStr">
        <is>
          <t>M</t>
        </is>
      </c>
      <c r="O49" t="inlineStr">
        <is>
          <t>20230316</t>
        </is>
      </c>
      <c r="P49" t="inlineStr">
        <is>
          <t>DKI Jakarta</t>
        </is>
      </c>
      <c r="Q49" t="inlineStr"/>
    </row>
    <row r="50">
      <c r="A50" t="inlineStr">
        <is>
          <t>DWIPUTRA JAYA SENTOSA</t>
        </is>
      </c>
      <c r="B50" t="inlineStr">
        <is>
          <t>Kota Surabaya</t>
        </is>
      </c>
      <c r="C50" t="inlineStr">
        <is>
          <t>085157887209</t>
        </is>
      </c>
      <c r="D50" t="inlineStr">
        <is>
          <t>dwiputra.js@gmail.com</t>
        </is>
      </c>
      <c r="E50" t="inlineStr">
        <is>
          <t>https://lpjk.pu.go.id/search-badan-usaha-detail/R0FUaXMrTlNYU3B2QmlYM1o5cGhMZz09</t>
        </is>
      </c>
      <c r="F50" t="n">
        <v>1</v>
      </c>
      <c r="G50" t="inlineStr">
        <is>
          <t>BG009</t>
        </is>
      </c>
      <c r="H50" t="inlineStr">
        <is>
          <t>18 Juli 2022</t>
        </is>
      </c>
      <c r="I50" s="2" t="n">
        <v>46277</v>
      </c>
      <c r="J50" t="inlineStr">
        <is>
          <t>Pencabutan</t>
        </is>
      </c>
      <c r="K50" t="n">
        <v>60</v>
      </c>
      <c r="L50" t="inlineStr">
        <is>
          <t>12 September 2026</t>
        </is>
      </c>
      <c r="M50" t="inlineStr">
        <is>
          <t>Konstruksi Gedung Lainnya</t>
        </is>
      </c>
      <c r="N50" t="inlineStr">
        <is>
          <t>K</t>
        </is>
      </c>
      <c r="O50" t="inlineStr">
        <is>
          <t>20230912</t>
        </is>
      </c>
      <c r="P50" t="inlineStr">
        <is>
          <t>Jawa Timur</t>
        </is>
      </c>
      <c r="Q50" t="inlineStr"/>
    </row>
    <row r="51">
      <c r="A51" t="inlineStr">
        <is>
          <t>EMPAT PUTRA BANGSA SEJATI</t>
        </is>
      </c>
      <c r="B51" t="inlineStr">
        <is>
          <t>Kota Bandung</t>
        </is>
      </c>
      <c r="C51" t="inlineStr">
        <is>
          <t>08561198310</t>
        </is>
      </c>
      <c r="D51" t="inlineStr">
        <is>
          <t>empatputrabangsasejati@gmail.com</t>
        </is>
      </c>
      <c r="E51" t="inlineStr">
        <is>
          <t>https://lpjk.pu.go.id/search-badan-usaha-detail/anVVcFZLazRtUVFDZzFkOGYzUXlVZz09</t>
        </is>
      </c>
      <c r="F51" t="n">
        <v>2</v>
      </c>
      <c r="G51" t="inlineStr">
        <is>
          <t>BG005, BG006</t>
        </is>
      </c>
      <c r="H51" t="inlineStr">
        <is>
          <t>24 Juli 2023</t>
        </is>
      </c>
      <c r="I51" s="2" t="n">
        <v>46277</v>
      </c>
      <c r="J51" t="inlineStr">
        <is>
          <t>Disetujui</t>
        </is>
      </c>
      <c r="K51" t="n">
        <v>60</v>
      </c>
      <c r="L51" t="inlineStr">
        <is>
          <t>12 September 2026</t>
        </is>
      </c>
      <c r="M51" t="inlineStr">
        <is>
          <t>Konstruksi Gedung Kesehatan, Konstruksi Gedung Pendidikan</t>
        </is>
      </c>
      <c r="N51" t="inlineStr">
        <is>
          <t>K</t>
        </is>
      </c>
      <c r="O51" t="inlineStr">
        <is>
          <t>20230912</t>
        </is>
      </c>
      <c r="P51" t="inlineStr">
        <is>
          <t>Jawa Barat</t>
        </is>
      </c>
      <c r="Q51" t="inlineStr"/>
    </row>
    <row r="52">
      <c r="A52" t="inlineStr">
        <is>
          <t>EWAKO BORNEO</t>
        </is>
      </c>
      <c r="B52" t="inlineStr">
        <is>
          <t>Kota Balikpapan</t>
        </is>
      </c>
      <c r="C52" t="inlineStr">
        <is>
          <t>085341914828</t>
        </is>
      </c>
      <c r="D52" t="inlineStr">
        <is>
          <t>ewakoborneocv@gmail.com</t>
        </is>
      </c>
      <c r="E52" t="inlineStr">
        <is>
          <t>https://lpjk.pu.go.id/search-badan-usaha-detail/VUMrUFNhMzhCTzBjVHpRTlI1YTNTUT09</t>
        </is>
      </c>
      <c r="F52" t="n">
        <v>2</v>
      </c>
      <c r="G52" t="inlineStr">
        <is>
          <t>BG005, BG009</t>
        </is>
      </c>
      <c r="H52" t="inlineStr">
        <is>
          <t>9 Januari 2021</t>
        </is>
      </c>
      <c r="I52" s="2" t="n">
        <v>46277</v>
      </c>
      <c r="J52" t="inlineStr">
        <is>
          <t>Disetujui</t>
        </is>
      </c>
      <c r="K52" t="n">
        <v>60</v>
      </c>
      <c r="L52" t="inlineStr">
        <is>
          <t>12 September 2026</t>
        </is>
      </c>
      <c r="M52" t="inlineStr">
        <is>
          <t>Konstruksi Gedung Kesehatan, Konstruksi Gedung Lainnya</t>
        </is>
      </c>
      <c r="N52" t="inlineStr">
        <is>
          <t>K</t>
        </is>
      </c>
      <c r="O52" t="inlineStr">
        <is>
          <t>20230912</t>
        </is>
      </c>
      <c r="P52" t="inlineStr">
        <is>
          <t>Kalimantan Timur</t>
        </is>
      </c>
      <c r="Q52" t="inlineStr"/>
    </row>
    <row r="53">
      <c r="A53" t="inlineStr">
        <is>
          <t>FAJAR FADILAH</t>
        </is>
      </c>
      <c r="B53" t="inlineStr">
        <is>
          <t>Kota Malang</t>
        </is>
      </c>
      <c r="C53" t="inlineStr">
        <is>
          <t>08123356095</t>
        </is>
      </c>
      <c r="D53" t="inlineStr">
        <is>
          <t>fajarfadilah.cv@gmail.com</t>
        </is>
      </c>
      <c r="E53" t="inlineStr">
        <is>
          <t>https://lpjk.pu.go.id/search-badan-usaha-detail/VGY4enp1SzEvVXZXT0swbU43ZDVOdz09</t>
        </is>
      </c>
      <c r="F53" t="n">
        <v>1</v>
      </c>
      <c r="G53" t="inlineStr">
        <is>
          <t>BS001</t>
        </is>
      </c>
      <c r="H53" t="inlineStr">
        <is>
          <t>17 Januari 2008</t>
        </is>
      </c>
      <c r="I53" s="2" t="n">
        <v>46277</v>
      </c>
      <c r="J53" t="inlineStr">
        <is>
          <t>Disetujui</t>
        </is>
      </c>
      <c r="K53" t="n">
        <v>60</v>
      </c>
      <c r="L53" t="inlineStr">
        <is>
          <t>12 September 2026</t>
        </is>
      </c>
      <c r="M53" t="inlineStr">
        <is>
          <t>Konstruksi Bangunan Sipil Jalan</t>
        </is>
      </c>
      <c r="N53" t="inlineStr">
        <is>
          <t>K</t>
        </is>
      </c>
      <c r="O53" t="inlineStr">
        <is>
          <t>20230821</t>
        </is>
      </c>
      <c r="P53" t="inlineStr">
        <is>
          <t>Jawa Timur</t>
        </is>
      </c>
      <c r="Q53" t="inlineStr"/>
    </row>
    <row r="54">
      <c r="A54" t="inlineStr">
        <is>
          <t>GEO BIM INDONESIA</t>
        </is>
      </c>
      <c r="B54" t="inlineStr">
        <is>
          <t>Kab. Sleman</t>
        </is>
      </c>
      <c r="C54" t="inlineStr">
        <is>
          <t>082112286587</t>
        </is>
      </c>
      <c r="D54" t="inlineStr">
        <is>
          <t>admin@geobimindonesia.com</t>
        </is>
      </c>
      <c r="E54" t="inlineStr">
        <is>
          <t>https://lpjk.pu.go.id/search-badan-usaha-detail/NmpwZ0pvckFpcG5pNmJWd0NvVFBaUT09</t>
        </is>
      </c>
      <c r="F54" t="n">
        <v>1</v>
      </c>
      <c r="G54" t="inlineStr">
        <is>
          <t>RK003</t>
        </is>
      </c>
      <c r="H54" t="inlineStr">
        <is>
          <t>3 April 2023</t>
        </is>
      </c>
      <c r="I54" s="2" t="n">
        <v>46277</v>
      </c>
      <c r="J54" t="inlineStr">
        <is>
          <t>Disetujui</t>
        </is>
      </c>
      <c r="K54" t="n">
        <v>60</v>
      </c>
      <c r="L54" t="inlineStr">
        <is>
          <t>12 September 2026</t>
        </is>
      </c>
      <c r="M54" t="inlineStr">
        <is>
          <t>Jasa Rekayasa Pekerjaan Teknik Sipil Transportasi</t>
        </is>
      </c>
      <c r="N54" t="inlineStr">
        <is>
          <t>K</t>
        </is>
      </c>
      <c r="O54" t="inlineStr">
        <is>
          <t>20230906</t>
        </is>
      </c>
      <c r="P54" t="inlineStr">
        <is>
          <t>DI Yogyakarta</t>
        </is>
      </c>
      <c r="Q54" t="inlineStr"/>
    </row>
    <row r="55">
      <c r="A55" t="inlineStr">
        <is>
          <t>GINA PUTRI</t>
        </is>
      </c>
      <c r="B55" t="inlineStr">
        <is>
          <t>Kab. Subang</t>
        </is>
      </c>
      <c r="C55" t="inlineStr">
        <is>
          <t>081322656432</t>
        </is>
      </c>
      <c r="D55" t="inlineStr">
        <is>
          <t>cv.gina_putri@yahoo.com</t>
        </is>
      </c>
      <c r="E55" t="inlineStr">
        <is>
          <t>https://lpjk.pu.go.id/search-badan-usaha-detail/QlJYeFMxOWIyRk1rZ2dBMVVQMHQzQT09</t>
        </is>
      </c>
      <c r="F55" t="n">
        <v>1</v>
      </c>
      <c r="G55" t="inlineStr">
        <is>
          <t>BS004</t>
        </is>
      </c>
      <c r="H55" t="inlineStr">
        <is>
          <t>25 Oktober 2018</t>
        </is>
      </c>
      <c r="I55" s="2" t="n">
        <v>46277</v>
      </c>
      <c r="J55" t="inlineStr">
        <is>
          <t>Pencabutan</t>
        </is>
      </c>
      <c r="K55" t="n">
        <v>60</v>
      </c>
      <c r="L55" t="inlineStr">
        <is>
          <t>12 September 2026</t>
        </is>
      </c>
      <c r="M55" t="inlineStr">
        <is>
          <t>Konstruksi Jaringan Irigasi dan Drainase</t>
        </is>
      </c>
      <c r="N55" t="inlineStr">
        <is>
          <t>K</t>
        </is>
      </c>
      <c r="O55" t="inlineStr">
        <is>
          <t>20230912</t>
        </is>
      </c>
      <c r="P55" t="inlineStr">
        <is>
          <t>Jawa Barat</t>
        </is>
      </c>
      <c r="Q55" t="inlineStr"/>
    </row>
    <row r="56">
      <c r="A56" t="inlineStr">
        <is>
          <t>GLOBAL MULTI PRASADA</t>
        </is>
      </c>
      <c r="B56" t="inlineStr">
        <is>
          <t>Kota Surabaya</t>
        </is>
      </c>
      <c r="C56" t="inlineStr">
        <is>
          <t>03199858890</t>
        </is>
      </c>
      <c r="D56" t="inlineStr">
        <is>
          <t>globalmulti.prasada@gmail.com</t>
        </is>
      </c>
      <c r="E56" t="inlineStr">
        <is>
          <t>https://lpjk.pu.go.id/search-badan-usaha-detail/bWJFQys3aWxwSmFjV0FOUm94clY1UT09</t>
        </is>
      </c>
      <c r="F56" t="n">
        <v>1</v>
      </c>
      <c r="G56" t="inlineStr">
        <is>
          <t>BS001</t>
        </is>
      </c>
      <c r="H56" t="inlineStr">
        <is>
          <t>6 Agustus 2022</t>
        </is>
      </c>
      <c r="I56" s="2" t="n">
        <v>46277</v>
      </c>
      <c r="J56" t="inlineStr">
        <is>
          <t>Disetujui</t>
        </is>
      </c>
      <c r="K56" t="n">
        <v>60</v>
      </c>
      <c r="L56" t="inlineStr">
        <is>
          <t>12 September 2026</t>
        </is>
      </c>
      <c r="M56" t="inlineStr">
        <is>
          <t>Konstruksi Bangunan Sipil Jalan</t>
        </is>
      </c>
      <c r="N56" t="inlineStr">
        <is>
          <t>K</t>
        </is>
      </c>
      <c r="O56" t="inlineStr">
        <is>
          <t>20230907</t>
        </is>
      </c>
      <c r="P56" t="inlineStr">
        <is>
          <t>Jawa Timur</t>
        </is>
      </c>
      <c r="Q56" t="inlineStr"/>
    </row>
    <row r="57">
      <c r="A57" t="inlineStr">
        <is>
          <t>GRAHA MITRA UTAMA</t>
        </is>
      </c>
      <c r="B57" t="inlineStr">
        <is>
          <t>Kab. Malang</t>
        </is>
      </c>
      <c r="C57" t="inlineStr">
        <is>
          <t>081233464141</t>
        </is>
      </c>
      <c r="D57" t="inlineStr">
        <is>
          <t>admingraha@gmail.com</t>
        </is>
      </c>
      <c r="E57" t="inlineStr">
        <is>
          <t>https://lpjk.pu.go.id/search-badan-usaha-detail/cVRzNGxRejQ1dzRxZWpBNFd5YlV6Zz09</t>
        </is>
      </c>
      <c r="F57" t="n">
        <v>3</v>
      </c>
      <c r="G57" t="inlineStr">
        <is>
          <t>BG005, BG009, BS004</t>
        </is>
      </c>
      <c r="H57" t="inlineStr">
        <is>
          <t>22 Desember 2008</t>
        </is>
      </c>
      <c r="I57" s="2" t="n">
        <v>46277</v>
      </c>
      <c r="J57" t="inlineStr">
        <is>
          <t>Disetujui</t>
        </is>
      </c>
      <c r="K57" t="n">
        <v>60</v>
      </c>
      <c r="L57" t="inlineStr">
        <is>
          <t>12 September 2026</t>
        </is>
      </c>
      <c r="M57" t="inlineStr">
        <is>
          <t>Konstruksi Gedung Kesehatan, Konstruksi Gedung Lainnya, Konstruksi Jaringan Irigasi dan Drainase</t>
        </is>
      </c>
      <c r="N57" t="inlineStr">
        <is>
          <t>K</t>
        </is>
      </c>
      <c r="O57" t="inlineStr">
        <is>
          <t>20230810, 20230812, 20230822</t>
        </is>
      </c>
      <c r="P57" t="inlineStr">
        <is>
          <t>Jawa Timur</t>
        </is>
      </c>
      <c r="Q57" t="inlineStr"/>
    </row>
    <row r="58">
      <c r="A58" t="inlineStr">
        <is>
          <t>GUNA KARYA</t>
        </is>
      </c>
      <c r="B58" t="inlineStr">
        <is>
          <t>Kab. Lumajang</t>
        </is>
      </c>
      <c r="C58" t="inlineStr">
        <is>
          <t>081336777789</t>
        </is>
      </c>
      <c r="D58" t="inlineStr">
        <is>
          <t>group.gkarya@gmail.com</t>
        </is>
      </c>
      <c r="E58" t="inlineStr">
        <is>
          <t>https://lpjk.pu.go.id/search-badan-usaha-detail/Q3BsdWU0eW9leDBWcmdyOERlenFRZz09</t>
        </is>
      </c>
      <c r="F58" t="n">
        <v>1</v>
      </c>
      <c r="G58" t="inlineStr">
        <is>
          <t>BG001</t>
        </is>
      </c>
      <c r="H58" t="inlineStr">
        <is>
          <t>12 Juli 2006</t>
        </is>
      </c>
      <c r="I58" s="2" t="n">
        <v>46277</v>
      </c>
      <c r="J58" t="inlineStr">
        <is>
          <t>Disetujui</t>
        </is>
      </c>
      <c r="K58" t="n">
        <v>60</v>
      </c>
      <c r="L58" t="inlineStr">
        <is>
          <t>12 September 2026</t>
        </is>
      </c>
      <c r="M58" t="inlineStr">
        <is>
          <t>Konstruksi Gedung Hunian</t>
        </is>
      </c>
      <c r="N58" t="inlineStr">
        <is>
          <t>K</t>
        </is>
      </c>
      <c r="O58" t="inlineStr">
        <is>
          <t>20230909</t>
        </is>
      </c>
      <c r="P58" t="inlineStr">
        <is>
          <t>Jawa Timur</t>
        </is>
      </c>
      <c r="Q58" t="inlineStr"/>
    </row>
    <row r="59">
      <c r="A59" t="inlineStr">
        <is>
          <t>HARUM</t>
        </is>
      </c>
      <c r="B59" t="inlineStr">
        <is>
          <t>Kab. Indramayu</t>
        </is>
      </c>
      <c r="C59" t="inlineStr">
        <is>
          <t>08156401062</t>
        </is>
      </c>
      <c r="D59" t="inlineStr">
        <is>
          <t>cholidasadi@yahoo.com</t>
        </is>
      </c>
      <c r="E59" t="inlineStr">
        <is>
          <t>https://lpjk.pu.go.id/search-badan-usaha-detail/SFcwMHBPZG1nb2lXV3hPOUZVNzNSZz09</t>
        </is>
      </c>
      <c r="F59" t="n">
        <v>1</v>
      </c>
      <c r="G59" t="inlineStr">
        <is>
          <t>BS010</t>
        </is>
      </c>
      <c r="H59" t="inlineStr">
        <is>
          <t>9 Agustus 1986</t>
        </is>
      </c>
      <c r="I59" s="2" t="n">
        <v>46277</v>
      </c>
      <c r="J59" t="inlineStr">
        <is>
          <t>Disetujui</t>
        </is>
      </c>
      <c r="K59" t="n">
        <v>60</v>
      </c>
      <c r="L59" t="inlineStr">
        <is>
          <t>12 September 2026</t>
        </is>
      </c>
      <c r="M59" t="inlineStr">
        <is>
          <t>Konstruksi Bangunan Prasarana Sumber Daya Air</t>
        </is>
      </c>
      <c r="N59" t="inlineStr">
        <is>
          <t>K</t>
        </is>
      </c>
      <c r="O59" t="inlineStr">
        <is>
          <t>20230911</t>
        </is>
      </c>
      <c r="P59" t="inlineStr">
        <is>
          <t>Jawa Barat</t>
        </is>
      </c>
      <c r="Q59" t="inlineStr"/>
    </row>
    <row r="60">
      <c r="A60" t="inlineStr">
        <is>
          <t>HASEA KONSTRUKSI</t>
        </is>
      </c>
      <c r="B60" t="inlineStr">
        <is>
          <t>Kota Pontianak</t>
        </is>
      </c>
      <c r="C60" t="inlineStr">
        <is>
          <t>089526211116</t>
        </is>
      </c>
      <c r="D60" t="inlineStr">
        <is>
          <t>haseakonstruksi2022@gmail.com</t>
        </is>
      </c>
      <c r="E60" t="inlineStr">
        <is>
          <t>https://lpjk.pu.go.id/search-badan-usaha-detail/VU9FMFJnSXlwbkEvNHp3bnpQL1pBQT09</t>
        </is>
      </c>
      <c r="F60" t="n">
        <v>1</v>
      </c>
      <c r="G60" t="inlineStr">
        <is>
          <t>BS010</t>
        </is>
      </c>
      <c r="H60" t="inlineStr">
        <is>
          <t>29 September 2018</t>
        </is>
      </c>
      <c r="I60" s="2" t="n">
        <v>46277</v>
      </c>
      <c r="J60" t="inlineStr">
        <is>
          <t>Disetujui</t>
        </is>
      </c>
      <c r="K60" t="n">
        <v>60</v>
      </c>
      <c r="L60" t="inlineStr">
        <is>
          <t>12 September 2026</t>
        </is>
      </c>
      <c r="M60" t="inlineStr">
        <is>
          <t>Konstruksi Bangunan Prasarana Sumber Daya Air</t>
        </is>
      </c>
      <c r="N60" t="inlineStr">
        <is>
          <t>K</t>
        </is>
      </c>
      <c r="O60" t="inlineStr">
        <is>
          <t>20230825</t>
        </is>
      </c>
      <c r="P60" t="inlineStr">
        <is>
          <t>Kalimantan Barat</t>
        </is>
      </c>
      <c r="Q60" t="inlineStr"/>
    </row>
    <row r="61">
      <c r="A61" t="inlineStr">
        <is>
          <t>HEKSAGON TIWIKRAMA</t>
        </is>
      </c>
      <c r="B61" t="inlineStr">
        <is>
          <t>Kota Adm. Jakarta Utara</t>
        </is>
      </c>
      <c r="C61" t="inlineStr">
        <is>
          <t>0216412817</t>
        </is>
      </c>
      <c r="D61" t="inlineStr">
        <is>
          <t>account@heksagon.co.id</t>
        </is>
      </c>
      <c r="E61" t="inlineStr">
        <is>
          <t>https://lpjk.pu.go.id/search-badan-usaha-detail/TjVyRXFaSGtBUWg5eE13YW9QYUtMdz09</t>
        </is>
      </c>
      <c r="F61" t="n">
        <v>1</v>
      </c>
      <c r="G61" t="inlineStr">
        <is>
          <t>IN004</t>
        </is>
      </c>
      <c r="H61" t="inlineStr">
        <is>
          <t>14 September 1995</t>
        </is>
      </c>
      <c r="I61" s="2" t="n">
        <v>46277</v>
      </c>
      <c r="J61" t="inlineStr">
        <is>
          <t>Disetujui</t>
        </is>
      </c>
      <c r="K61" t="n">
        <v>60</v>
      </c>
      <c r="L61" t="inlineStr">
        <is>
          <t>12 September 2026</t>
        </is>
      </c>
      <c r="M61" t="inlineStr">
        <is>
          <t>Instalasi Minyak dan Gas</t>
        </is>
      </c>
      <c r="N61" t="inlineStr">
        <is>
          <t>Spesialis</t>
        </is>
      </c>
      <c r="O61" t="inlineStr">
        <is>
          <t>20230907</t>
        </is>
      </c>
      <c r="P61" t="inlineStr">
        <is>
          <t>DKI Jakarta</t>
        </is>
      </c>
      <c r="Q61" t="inlineStr"/>
    </row>
    <row r="62">
      <c r="A62" t="inlineStr">
        <is>
          <t>JANUR BERKAH SENTOSA</t>
        </is>
      </c>
      <c r="B62" t="inlineStr">
        <is>
          <t>Kota Yogyakarta</t>
        </is>
      </c>
      <c r="C62" t="inlineStr">
        <is>
          <t>081325060347</t>
        </is>
      </c>
      <c r="D62" t="inlineStr">
        <is>
          <t>cvjbsindonesia@gmail.com</t>
        </is>
      </c>
      <c r="E62" t="inlineStr">
        <is>
          <t>https://lpjk.pu.go.id/search-badan-usaha-detail/UXFPYzNWZXhIM0Y2VnVnMGFhanJZdz09</t>
        </is>
      </c>
      <c r="F62" t="n">
        <v>1</v>
      </c>
      <c r="G62" t="inlineStr">
        <is>
          <t>BG004</t>
        </is>
      </c>
      <c r="H62" t="inlineStr">
        <is>
          <t>19 Maret 2020</t>
        </is>
      </c>
      <c r="I62" s="2" t="n">
        <v>46277</v>
      </c>
      <c r="J62" t="inlineStr">
        <is>
          <t>Disetujui</t>
        </is>
      </c>
      <c r="K62" t="n">
        <v>60</v>
      </c>
      <c r="L62" t="inlineStr">
        <is>
          <t>12 September 2026</t>
        </is>
      </c>
      <c r="M62" t="inlineStr">
        <is>
          <t>Konstruksi Gedung Perbelanjaan</t>
        </is>
      </c>
      <c r="N62" t="inlineStr">
        <is>
          <t>K</t>
        </is>
      </c>
      <c r="O62" t="inlineStr">
        <is>
          <t>20230831</t>
        </is>
      </c>
      <c r="P62" t="inlineStr">
        <is>
          <t>DI Yogyakarta</t>
        </is>
      </c>
      <c r="Q62" t="inlineStr"/>
    </row>
    <row r="63">
      <c r="A63" t="inlineStr">
        <is>
          <t>KALIJAGA</t>
        </is>
      </c>
      <c r="B63" t="inlineStr">
        <is>
          <t>Kab. Jombang</t>
        </is>
      </c>
      <c r="C63" t="inlineStr">
        <is>
          <t>0813 5789 4477</t>
        </is>
      </c>
      <c r="D63" t="inlineStr">
        <is>
          <t>cvkalijaga.ina@gmail.com</t>
        </is>
      </c>
      <c r="E63" t="inlineStr">
        <is>
          <t>https://lpjk.pu.go.id/search-badan-usaha-detail/djVSNTQ3OG9TZFBSdTJocnRES29nUT09</t>
        </is>
      </c>
      <c r="F63" t="n">
        <v>1</v>
      </c>
      <c r="G63" t="inlineStr">
        <is>
          <t>BG004</t>
        </is>
      </c>
      <c r="H63" t="inlineStr">
        <is>
          <t>28 Maret 2018</t>
        </is>
      </c>
      <c r="I63" s="2" t="n">
        <v>46277</v>
      </c>
      <c r="J63" t="inlineStr">
        <is>
          <t>Disetujui</t>
        </is>
      </c>
      <c r="K63" t="n">
        <v>60</v>
      </c>
      <c r="L63" t="inlineStr">
        <is>
          <t>12 September 2026</t>
        </is>
      </c>
      <c r="M63" t="inlineStr">
        <is>
          <t>Konstruksi Gedung Perbelanjaan</t>
        </is>
      </c>
      <c r="N63" t="inlineStr">
        <is>
          <t>K</t>
        </is>
      </c>
      <c r="O63" t="inlineStr">
        <is>
          <t>20230912</t>
        </is>
      </c>
      <c r="P63" t="inlineStr">
        <is>
          <t>Jawa Timur</t>
        </is>
      </c>
      <c r="Q63" t="inlineStr"/>
    </row>
    <row r="64">
      <c r="A64" t="inlineStr">
        <is>
          <t>KAMIL ANUGERAH PRATAMA</t>
        </is>
      </c>
      <c r="B64" t="inlineStr">
        <is>
          <t>Kab. Banjar</t>
        </is>
      </c>
      <c r="C64" t="inlineStr">
        <is>
          <t>085248006246</t>
        </is>
      </c>
      <c r="D64" t="inlineStr">
        <is>
          <t>kamilanugerahpratama@gmail.com</t>
        </is>
      </c>
      <c r="E64" t="inlineStr">
        <is>
          <t>https://lpjk.pu.go.id/search-badan-usaha-detail/V1FrTFRRZkE3aURURFBmWW85UVI5QT09</t>
        </is>
      </c>
      <c r="F64" t="n">
        <v>1</v>
      </c>
      <c r="G64" t="inlineStr">
        <is>
          <t>BG006</t>
        </is>
      </c>
      <c r="H64" t="inlineStr">
        <is>
          <t>23 Juli 2018</t>
        </is>
      </c>
      <c r="I64" s="2" t="n">
        <v>46277</v>
      </c>
      <c r="J64" t="inlineStr">
        <is>
          <t>Pencabutan</t>
        </is>
      </c>
      <c r="K64" t="n">
        <v>60</v>
      </c>
      <c r="L64" t="inlineStr">
        <is>
          <t>12 September 2026</t>
        </is>
      </c>
      <c r="M64" t="inlineStr">
        <is>
          <t>Konstruksi Gedung Pendidikan</t>
        </is>
      </c>
      <c r="N64" t="inlineStr">
        <is>
          <t>K</t>
        </is>
      </c>
      <c r="O64" t="inlineStr">
        <is>
          <t>20230820</t>
        </is>
      </c>
      <c r="P64" t="inlineStr">
        <is>
          <t>Kalimantan Selatan</t>
        </is>
      </c>
      <c r="Q64" t="inlineStr"/>
    </row>
    <row r="65">
      <c r="A65" t="inlineStr">
        <is>
          <t>KARYA DHUHA</t>
        </is>
      </c>
      <c r="B65" t="inlineStr">
        <is>
          <t>Kab. Lombok Timur</t>
        </is>
      </c>
      <c r="C65" t="inlineStr">
        <is>
          <t>087863444440</t>
        </is>
      </c>
      <c r="D65" t="inlineStr">
        <is>
          <t>cvkaryadhuha6@gmail.com</t>
        </is>
      </c>
      <c r="E65" t="inlineStr">
        <is>
          <t>https://lpjk.pu.go.id/search-badan-usaha-detail/cG16NlJyaGhKcllPWmxqc1dzSk1oQT09</t>
        </is>
      </c>
      <c r="F65" t="n">
        <v>1</v>
      </c>
      <c r="G65" t="inlineStr">
        <is>
          <t>BG009</t>
        </is>
      </c>
      <c r="H65" t="inlineStr">
        <is>
          <t>2 Maret 2005</t>
        </is>
      </c>
      <c r="I65" s="2" t="n">
        <v>46277</v>
      </c>
      <c r="J65" t="inlineStr">
        <is>
          <t>Disetujui</t>
        </is>
      </c>
      <c r="K65" t="n">
        <v>60</v>
      </c>
      <c r="L65" t="inlineStr">
        <is>
          <t>12 September 2026</t>
        </is>
      </c>
      <c r="M65" t="inlineStr">
        <is>
          <t>Konstruksi Gedung Lainnya</t>
        </is>
      </c>
      <c r="N65" t="inlineStr">
        <is>
          <t>K</t>
        </is>
      </c>
      <c r="O65" t="inlineStr">
        <is>
          <t>20230901</t>
        </is>
      </c>
      <c r="P65" t="inlineStr">
        <is>
          <t>Nusa Tenggara Barat</t>
        </is>
      </c>
      <c r="Q65" t="inlineStr"/>
    </row>
    <row r="66">
      <c r="A66" t="inlineStr">
        <is>
          <t>KARYA KIYURA JAYA</t>
        </is>
      </c>
      <c r="B66" t="inlineStr">
        <is>
          <t>Kab. Sumenep</t>
        </is>
      </c>
      <c r="C66" t="inlineStr">
        <is>
          <t>087730505060</t>
        </is>
      </c>
      <c r="D66" t="inlineStr">
        <is>
          <t>cv.karyakiyurajaya@gmail.com</t>
        </is>
      </c>
      <c r="E66" t="inlineStr">
        <is>
          <t>https://lpjk.pu.go.id/search-badan-usaha-detail/K1hCK0V1RzFMUEdLeFZHbmRGdGdlUT09</t>
        </is>
      </c>
      <c r="F66" t="n">
        <v>1</v>
      </c>
      <c r="G66" t="inlineStr">
        <is>
          <t>BS001</t>
        </is>
      </c>
      <c r="H66" t="inlineStr">
        <is>
          <t>20 Februari 2020</t>
        </is>
      </c>
      <c r="I66" s="2" t="n">
        <v>46277</v>
      </c>
      <c r="J66" t="inlineStr">
        <is>
          <t>Disetujui</t>
        </is>
      </c>
      <c r="K66" t="n">
        <v>60</v>
      </c>
      <c r="L66" t="inlineStr">
        <is>
          <t>12 September 2026</t>
        </is>
      </c>
      <c r="M66" t="inlineStr">
        <is>
          <t>Konstruksi Bangunan Sipil Jalan</t>
        </is>
      </c>
      <c r="N66" t="inlineStr">
        <is>
          <t>K</t>
        </is>
      </c>
      <c r="O66" t="inlineStr">
        <is>
          <t>20230901</t>
        </is>
      </c>
      <c r="P66" t="inlineStr">
        <is>
          <t>Jawa Timur</t>
        </is>
      </c>
      <c r="Q66" t="inlineStr"/>
    </row>
    <row r="67">
      <c r="A67" t="inlineStr">
        <is>
          <t>KARYA PARANG SEBILAH</t>
        </is>
      </c>
      <c r="B67" t="inlineStr">
        <is>
          <t>Kab. Penukal Abab Lematang</t>
        </is>
      </c>
      <c r="C67" t="inlineStr">
        <is>
          <t>081274296337</t>
        </is>
      </c>
      <c r="D67" t="inlineStr">
        <is>
          <t>cvkaryaparangsebilah@gmail.com</t>
        </is>
      </c>
      <c r="E67" t="inlineStr">
        <is>
          <t>https://lpjk.pu.go.id/search-badan-usaha-detail/a1l5aG1EeFRidDJPSHgrcDBCSThlUT09</t>
        </is>
      </c>
      <c r="F67" t="n">
        <v>1</v>
      </c>
      <c r="G67" t="inlineStr">
        <is>
          <t>BS001</t>
        </is>
      </c>
      <c r="H67" t="inlineStr">
        <is>
          <t>10 Agustus 2023</t>
        </is>
      </c>
      <c r="I67" s="2" t="n">
        <v>46277</v>
      </c>
      <c r="J67" t="inlineStr">
        <is>
          <t>Disetujui</t>
        </is>
      </c>
      <c r="K67" t="n">
        <v>60</v>
      </c>
      <c r="L67" t="inlineStr">
        <is>
          <t>12 September 2026</t>
        </is>
      </c>
      <c r="M67" t="inlineStr">
        <is>
          <t>Konstruksi Bangunan Sipil Jalan</t>
        </is>
      </c>
      <c r="N67" t="inlineStr">
        <is>
          <t>K</t>
        </is>
      </c>
      <c r="O67" t="inlineStr">
        <is>
          <t>20230912</t>
        </is>
      </c>
      <c r="P67" t="inlineStr">
        <is>
          <t>Sumatera Selatan</t>
        </is>
      </c>
      <c r="Q67" t="inlineStr"/>
    </row>
    <row r="68">
      <c r="A68" t="inlineStr">
        <is>
          <t>KARYA SENTOSA CONTRACTOR</t>
        </is>
      </c>
      <c r="B68" t="inlineStr">
        <is>
          <t>Kab. Paser</t>
        </is>
      </c>
      <c r="C68" t="inlineStr">
        <is>
          <t>085347101875</t>
        </is>
      </c>
      <c r="D68" t="inlineStr">
        <is>
          <t>cvkaryasentosacontractor@gmail.com</t>
        </is>
      </c>
      <c r="E68" t="inlineStr">
        <is>
          <t>https://lpjk.pu.go.id/search-badan-usaha-detail/TGtxUGVTK3A0V0dWaTBaMFhtakFvdz09</t>
        </is>
      </c>
      <c r="F68" t="n">
        <v>1</v>
      </c>
      <c r="G68" t="inlineStr">
        <is>
          <t>BS004</t>
        </is>
      </c>
      <c r="H68" t="inlineStr">
        <is>
          <t>3 Juli 2023</t>
        </is>
      </c>
      <c r="I68" s="2" t="n">
        <v>46277</v>
      </c>
      <c r="J68" t="inlineStr">
        <is>
          <t>Disetujui</t>
        </is>
      </c>
      <c r="K68" t="n">
        <v>60</v>
      </c>
      <c r="L68" t="inlineStr">
        <is>
          <t>12 September 2026</t>
        </is>
      </c>
      <c r="M68" t="inlineStr">
        <is>
          <t>Konstruksi Jaringan Irigasi dan Drainase</t>
        </is>
      </c>
      <c r="N68" t="inlineStr">
        <is>
          <t>K</t>
        </is>
      </c>
      <c r="O68" t="inlineStr">
        <is>
          <t>20230907</t>
        </is>
      </c>
      <c r="P68" t="inlineStr">
        <is>
          <t>Kalimantan Timur</t>
        </is>
      </c>
      <c r="Q68" t="inlineStr"/>
    </row>
    <row r="69">
      <c r="A69" t="inlineStr">
        <is>
          <t>KARYA TITRI KONSTRUKSI</t>
        </is>
      </c>
      <c r="B69" t="inlineStr">
        <is>
          <t>Kota Padang</t>
        </is>
      </c>
      <c r="C69" t="inlineStr">
        <is>
          <t>081374357575</t>
        </is>
      </c>
      <c r="D69" t="inlineStr">
        <is>
          <t>cvkaryatitrikonstruksi@gmail.com</t>
        </is>
      </c>
      <c r="E69" t="inlineStr">
        <is>
          <t>https://lpjk.pu.go.id/search-badan-usaha-detail/ODV0TFlRS2V1aEhrNFVGaks2YkJxUT09</t>
        </is>
      </c>
      <c r="F69" t="n">
        <v>1</v>
      </c>
      <c r="G69" t="inlineStr">
        <is>
          <t>BG004</t>
        </is>
      </c>
      <c r="H69" t="inlineStr">
        <is>
          <t>18 Juli 2023</t>
        </is>
      </c>
      <c r="I69" s="2" t="n">
        <v>46277</v>
      </c>
      <c r="J69" t="inlineStr">
        <is>
          <t>Disetujui</t>
        </is>
      </c>
      <c r="K69" t="n">
        <v>60</v>
      </c>
      <c r="L69" t="inlineStr">
        <is>
          <t>12 September 2026</t>
        </is>
      </c>
      <c r="M69" t="inlineStr">
        <is>
          <t>Konstruksi Gedung Perbelanjaan</t>
        </is>
      </c>
      <c r="N69" t="inlineStr">
        <is>
          <t>K</t>
        </is>
      </c>
      <c r="O69" t="inlineStr">
        <is>
          <t>20230908</t>
        </is>
      </c>
      <c r="P69" t="inlineStr">
        <is>
          <t>Sumatera Barat</t>
        </is>
      </c>
      <c r="Q69" t="inlineStr"/>
    </row>
    <row r="70">
      <c r="A70" t="inlineStr">
        <is>
          <t>KARYA UTAMA</t>
        </is>
      </c>
      <c r="B70" t="inlineStr">
        <is>
          <t>Kota Pekanbaru</t>
        </is>
      </c>
      <c r="C70" t="inlineStr">
        <is>
          <t>0761849594</t>
        </is>
      </c>
      <c r="D70" t="inlineStr">
        <is>
          <t>cv.karyautamapku@outlook.com</t>
        </is>
      </c>
      <c r="E70" t="inlineStr">
        <is>
          <t>https://lpjk.pu.go.id/search-badan-usaha-detail/Z29NcjhLK1NCUGY4eXJPMXpMRUJnUT09</t>
        </is>
      </c>
      <c r="F70" t="n">
        <v>4</v>
      </c>
      <c r="G70" t="inlineStr">
        <is>
          <t>BS001, BS002, BS004, BS010</t>
        </is>
      </c>
      <c r="H70" t="inlineStr">
        <is>
          <t>1 Juli 1999</t>
        </is>
      </c>
      <c r="I70" s="2" t="n">
        <v>46277</v>
      </c>
      <c r="J70" t="inlineStr">
        <is>
          <t>Disetujui</t>
        </is>
      </c>
      <c r="K70" t="n">
        <v>60</v>
      </c>
      <c r="L70" t="inlineStr">
        <is>
          <t>12 September 2026</t>
        </is>
      </c>
      <c r="M70" t="inlineStr">
        <is>
          <t>Bangunan Sipil Jembatan, Jalan Layang, Fly Over, dan Underpass, Konstruksi Bangunan Prasarana Sumber Daya Air, Konstruksi Bangunan Sipil Jalan, Konstruksi Jaringan Irigasi dan Drainase</t>
        </is>
      </c>
      <c r="N70" t="inlineStr">
        <is>
          <t>K</t>
        </is>
      </c>
      <c r="O70" t="inlineStr">
        <is>
          <t>20230904, 20230907</t>
        </is>
      </c>
      <c r="P70" t="inlineStr">
        <is>
          <t>Riau</t>
        </is>
      </c>
      <c r="Q70" t="inlineStr"/>
    </row>
    <row r="71">
      <c r="A71" t="inlineStr">
        <is>
          <t>KENCANA JAYA KREASINDO</t>
        </is>
      </c>
      <c r="B71" t="inlineStr">
        <is>
          <t>Kab. Tebo</t>
        </is>
      </c>
      <c r="C71" t="inlineStr">
        <is>
          <t>085266797976</t>
        </is>
      </c>
      <c r="D71" t="inlineStr">
        <is>
          <t>kencanajayakreasindo@gmail.com</t>
        </is>
      </c>
      <c r="E71" t="inlineStr">
        <is>
          <t>https://lpjk.pu.go.id/search-badan-usaha-detail/dGxJTjY1SE8zN3dQVitnZlMyeno4dz09</t>
        </is>
      </c>
      <c r="F71" t="n">
        <v>1</v>
      </c>
      <c r="G71" t="inlineStr">
        <is>
          <t>BG004</t>
        </is>
      </c>
      <c r="H71" t="inlineStr">
        <is>
          <t>27 November 2019</t>
        </is>
      </c>
      <c r="I71" s="2" t="n">
        <v>46277</v>
      </c>
      <c r="J71" t="inlineStr">
        <is>
          <t>Disetujui</t>
        </is>
      </c>
      <c r="K71" t="n">
        <v>60</v>
      </c>
      <c r="L71" t="inlineStr">
        <is>
          <t>12 September 2026</t>
        </is>
      </c>
      <c r="M71" t="inlineStr">
        <is>
          <t>Konstruksi Gedung Perbelanjaan</t>
        </is>
      </c>
      <c r="N71" t="inlineStr">
        <is>
          <t>K</t>
        </is>
      </c>
      <c r="O71" t="inlineStr">
        <is>
          <t>20230909</t>
        </is>
      </c>
      <c r="P71" t="inlineStr">
        <is>
          <t>Jambi</t>
        </is>
      </c>
      <c r="Q71" t="inlineStr"/>
    </row>
    <row r="72">
      <c r="A72" t="inlineStr">
        <is>
          <t>KENCANA SARI UTAMA</t>
        </is>
      </c>
      <c r="B72" t="inlineStr">
        <is>
          <t>Kab. Ciamis</t>
        </is>
      </c>
      <c r="C72" t="inlineStr">
        <is>
          <t>081224990364</t>
        </is>
      </c>
      <c r="D72" t="inlineStr">
        <is>
          <t>saritriana.legalmp@gmail.com</t>
        </is>
      </c>
      <c r="E72" t="inlineStr">
        <is>
          <t>https://lpjk.pu.go.id/search-badan-usaha-detail/ZEorbFRSUytydkZFbmdNTEs3Z2VUQT09</t>
        </is>
      </c>
      <c r="F72" t="n">
        <v>2</v>
      </c>
      <c r="G72" t="inlineStr">
        <is>
          <t>BG002, BG009</t>
        </is>
      </c>
      <c r="H72" t="inlineStr">
        <is>
          <t>6 Maret 2023</t>
        </is>
      </c>
      <c r="I72" s="2" t="n">
        <v>46277</v>
      </c>
      <c r="J72" t="inlineStr">
        <is>
          <t>Disetujui</t>
        </is>
      </c>
      <c r="K72" t="n">
        <v>60</v>
      </c>
      <c r="L72" t="inlineStr">
        <is>
          <t>12 September 2026</t>
        </is>
      </c>
      <c r="M72" t="inlineStr">
        <is>
          <t>Konstruksi Gedung Lainnya, Konstruksi Gedung Perkantoran</t>
        </is>
      </c>
      <c r="N72" t="inlineStr">
        <is>
          <t>K</t>
        </is>
      </c>
      <c r="O72" t="inlineStr">
        <is>
          <t>20230908</t>
        </is>
      </c>
      <c r="P72" t="inlineStr">
        <is>
          <t>Jawa Barat</t>
        </is>
      </c>
      <c r="Q72" t="inlineStr"/>
    </row>
    <row r="73">
      <c r="A73" t="inlineStr">
        <is>
          <t>KHARISMA PUTRA GEMILANG</t>
        </is>
      </c>
      <c r="B73" t="inlineStr">
        <is>
          <t>Kab. Malang</t>
        </is>
      </c>
      <c r="C73" t="inlineStr">
        <is>
          <t>082233606436</t>
        </is>
      </c>
      <c r="D73" t="inlineStr">
        <is>
          <t>cvkharismaputragemilang@gmail.com</t>
        </is>
      </c>
      <c r="E73" t="inlineStr">
        <is>
          <t>https://lpjk.pu.go.id/search-badan-usaha-detail/TVFBbHV2MGJ5ZkxZOVFBdCs0djJNdz09</t>
        </is>
      </c>
      <c r="F73" t="n">
        <v>2</v>
      </c>
      <c r="G73" t="inlineStr">
        <is>
          <t>BS001</t>
        </is>
      </c>
      <c r="H73" t="inlineStr">
        <is>
          <t>10 Januari 2020</t>
        </is>
      </c>
      <c r="I73" s="2" t="n">
        <v>46277</v>
      </c>
      <c r="J73" t="inlineStr">
        <is>
          <t>Disetujui</t>
        </is>
      </c>
      <c r="K73" t="n">
        <v>60</v>
      </c>
      <c r="L73" t="inlineStr">
        <is>
          <t>12 September 2026</t>
        </is>
      </c>
      <c r="M73" t="inlineStr">
        <is>
          <t>Konstruksi Bangunan Sipil Jalan</t>
        </is>
      </c>
      <c r="N73" t="inlineStr">
        <is>
          <t>K</t>
        </is>
      </c>
      <c r="O73" t="inlineStr">
        <is>
          <t>20230906</t>
        </is>
      </c>
      <c r="P73" t="inlineStr">
        <is>
          <t>Jawa Timur</t>
        </is>
      </c>
      <c r="Q73" t="inlineStr"/>
    </row>
    <row r="74">
      <c r="A74" t="inlineStr">
        <is>
          <t>KUALA PANAE</t>
        </is>
      </c>
      <c r="B74" t="inlineStr">
        <is>
          <t>Kab. Rokan Hilir</t>
        </is>
      </c>
      <c r="C74" t="inlineStr">
        <is>
          <t>085265758566</t>
        </is>
      </c>
      <c r="D74" t="inlineStr">
        <is>
          <t>cv.kualapanaekontruksi@yahoo.com</t>
        </is>
      </c>
      <c r="E74" t="inlineStr">
        <is>
          <t>https://lpjk.pu.go.id/search-badan-usaha-detail/U3VjNW5aS2Y3MzMxb241TEhraG1hUT09</t>
        </is>
      </c>
      <c r="F74" t="n">
        <v>1</v>
      </c>
      <c r="G74" t="inlineStr">
        <is>
          <t>BG006</t>
        </is>
      </c>
      <c r="H74" t="inlineStr">
        <is>
          <t>18 November 2002</t>
        </is>
      </c>
      <c r="I74" s="2" t="n">
        <v>46277</v>
      </c>
      <c r="J74" t="inlineStr">
        <is>
          <t>Disetujui</t>
        </is>
      </c>
      <c r="K74" t="n">
        <v>60</v>
      </c>
      <c r="L74" t="inlineStr">
        <is>
          <t>12 September 2026</t>
        </is>
      </c>
      <c r="M74" t="inlineStr">
        <is>
          <t>Konstruksi Gedung Pendidikan</t>
        </is>
      </c>
      <c r="N74" t="inlineStr">
        <is>
          <t>K</t>
        </is>
      </c>
      <c r="O74" t="inlineStr">
        <is>
          <t>20230912</t>
        </is>
      </c>
      <c r="P74" t="inlineStr">
        <is>
          <t>Riau</t>
        </is>
      </c>
      <c r="Q74" t="inlineStr"/>
    </row>
    <row r="75">
      <c r="A75" t="inlineStr">
        <is>
          <t>LESTARI</t>
        </is>
      </c>
      <c r="B75" t="inlineStr">
        <is>
          <t>Kab. Tapanuli Selatan</t>
        </is>
      </c>
      <c r="C75" t="inlineStr">
        <is>
          <t>081377377492</t>
        </is>
      </c>
      <c r="D75" t="inlineStr">
        <is>
          <t>cvlestari8@gmail.com</t>
        </is>
      </c>
      <c r="E75" t="inlineStr">
        <is>
          <t>https://lpjk.pu.go.id/search-badan-usaha-detail/ZytTY1Vwa1ZSeTRIblpqY2VidFFJQT09</t>
        </is>
      </c>
      <c r="F75" t="n">
        <v>1</v>
      </c>
      <c r="G75" t="inlineStr">
        <is>
          <t>BS001</t>
        </is>
      </c>
      <c r="H75" t="inlineStr">
        <is>
          <t>13 Desember 1994</t>
        </is>
      </c>
      <c r="I75" s="2" t="n">
        <v>46277</v>
      </c>
      <c r="J75" t="inlineStr">
        <is>
          <t>Disetujui</t>
        </is>
      </c>
      <c r="K75" t="n">
        <v>60</v>
      </c>
      <c r="L75" t="inlineStr">
        <is>
          <t>12 September 2026</t>
        </is>
      </c>
      <c r="M75" t="inlineStr">
        <is>
          <t>Konstruksi Bangunan Sipil Jalan</t>
        </is>
      </c>
      <c r="N75" t="inlineStr">
        <is>
          <t>K</t>
        </is>
      </c>
      <c r="O75" t="inlineStr">
        <is>
          <t>20230908</t>
        </is>
      </c>
      <c r="P75" t="inlineStr">
        <is>
          <t>Sumatera Utara</t>
        </is>
      </c>
      <c r="Q75" t="inlineStr"/>
    </row>
    <row r="76">
      <c r="A76" t="inlineStr">
        <is>
          <t>LIMACANKA INDONESIA</t>
        </is>
      </c>
      <c r="B76" t="inlineStr">
        <is>
          <t>Kota Adm. Jakarta Utara</t>
        </is>
      </c>
      <c r="C76" t="inlineStr">
        <is>
          <t>02122642037</t>
        </is>
      </c>
      <c r="D76" t="inlineStr">
        <is>
          <t>legal@limacankaadvertising.com</t>
        </is>
      </c>
      <c r="E76" t="inlineStr">
        <is>
          <t>https://lpjk.pu.go.id/search-badan-usaha-detail/WkZmbUZsMXo5QVBZbVNWNkxIc2lUZz09</t>
        </is>
      </c>
      <c r="F76" t="n">
        <v>1</v>
      </c>
      <c r="G76" t="inlineStr">
        <is>
          <t>BG004</t>
        </is>
      </c>
      <c r="H76" t="inlineStr">
        <is>
          <t>11 Juni 2013</t>
        </is>
      </c>
      <c r="I76" s="2" t="n">
        <v>46277</v>
      </c>
      <c r="J76" t="inlineStr">
        <is>
          <t>Disetujui</t>
        </is>
      </c>
      <c r="K76" t="n">
        <v>60</v>
      </c>
      <c r="L76" t="inlineStr">
        <is>
          <t>12 September 2026</t>
        </is>
      </c>
      <c r="M76" t="inlineStr">
        <is>
          <t>Konstruksi Gedung Perbelanjaan</t>
        </is>
      </c>
      <c r="N76" t="inlineStr">
        <is>
          <t>K</t>
        </is>
      </c>
      <c r="O76" t="inlineStr">
        <is>
          <t>20230911</t>
        </is>
      </c>
      <c r="P76" t="inlineStr">
        <is>
          <t>DKI Jakarta</t>
        </is>
      </c>
      <c r="Q76" t="inlineStr"/>
    </row>
    <row r="77">
      <c r="A77" t="inlineStr">
        <is>
          <t>MALELANG JAYA</t>
        </is>
      </c>
      <c r="B77" t="inlineStr">
        <is>
          <t>Kota Kotamobagu</t>
        </is>
      </c>
      <c r="C77" t="inlineStr">
        <is>
          <t>081340808019</t>
        </is>
      </c>
      <c r="D77" t="inlineStr">
        <is>
          <t>malelangjaya.19@gmail.com</t>
        </is>
      </c>
      <c r="E77" t="inlineStr">
        <is>
          <t>https://lpjk.pu.go.id/search-badan-usaha-detail/ZGpOQUdVelB1bU41V1ZwZXVyRllMUT09</t>
        </is>
      </c>
      <c r="F77" t="n">
        <v>3</v>
      </c>
      <c r="G77" t="inlineStr">
        <is>
          <t>BG005, BG006, BG009</t>
        </is>
      </c>
      <c r="H77" t="inlineStr">
        <is>
          <t>16 September 2022</t>
        </is>
      </c>
      <c r="I77" s="2" t="n">
        <v>46277</v>
      </c>
      <c r="J77" t="inlineStr">
        <is>
          <t>Disetujui, Pencabutan</t>
        </is>
      </c>
      <c r="K77" t="n">
        <v>60</v>
      </c>
      <c r="L77" t="inlineStr">
        <is>
          <t>12 September 2026</t>
        </is>
      </c>
      <c r="M77" t="inlineStr">
        <is>
          <t>Konstruksi Gedung Kesehatan, Konstruksi Gedung Lainnya, Konstruksi Gedung Pendidikan</t>
        </is>
      </c>
      <c r="N77" t="inlineStr">
        <is>
          <t>K</t>
        </is>
      </c>
      <c r="O77" t="inlineStr">
        <is>
          <t>20230912</t>
        </is>
      </c>
      <c r="P77" t="inlineStr">
        <is>
          <t>Sulawesi Utara</t>
        </is>
      </c>
      <c r="Q77" t="inlineStr"/>
    </row>
    <row r="78">
      <c r="A78" t="inlineStr">
        <is>
          <t>MANDIRI LANGGENG GEMILANG</t>
        </is>
      </c>
      <c r="B78" t="inlineStr">
        <is>
          <t>Kota Batu</t>
        </is>
      </c>
      <c r="C78" t="inlineStr">
        <is>
          <t>082143167880</t>
        </is>
      </c>
      <c r="D78" t="inlineStr">
        <is>
          <t>mandirilan88enggemilang@gmail.com</t>
        </is>
      </c>
      <c r="E78" t="inlineStr">
        <is>
          <t>https://lpjk.pu.go.id/search-badan-usaha-detail/Mm5lU2RQSkd6WS83TWhRSWNEeXQ4QT09</t>
        </is>
      </c>
      <c r="F78" t="n">
        <v>1</v>
      </c>
      <c r="G78" t="inlineStr">
        <is>
          <t>BG009</t>
        </is>
      </c>
      <c r="H78" t="inlineStr">
        <is>
          <t>13 Desember 2016</t>
        </is>
      </c>
      <c r="I78" s="2" t="n">
        <v>46277</v>
      </c>
      <c r="J78" t="inlineStr">
        <is>
          <t>Disetujui</t>
        </is>
      </c>
      <c r="K78" t="n">
        <v>60</v>
      </c>
      <c r="L78" t="inlineStr">
        <is>
          <t>12 September 2026</t>
        </is>
      </c>
      <c r="M78" t="inlineStr">
        <is>
          <t>Konstruksi Gedung Lainnya</t>
        </is>
      </c>
      <c r="N78" t="inlineStr">
        <is>
          <t>K</t>
        </is>
      </c>
      <c r="O78" t="inlineStr">
        <is>
          <t>20230828</t>
        </is>
      </c>
      <c r="P78" t="inlineStr">
        <is>
          <t>Jawa Timur</t>
        </is>
      </c>
      <c r="Q78" t="inlineStr"/>
    </row>
    <row r="79">
      <c r="A79" t="inlineStr">
        <is>
          <t>MANDIRI TATA BINA KONSULTAN</t>
        </is>
      </c>
      <c r="B79" t="inlineStr">
        <is>
          <t>Kota Serang</t>
        </is>
      </c>
      <c r="C79" t="inlineStr">
        <is>
          <t>081311456943</t>
        </is>
      </c>
      <c r="D79" t="inlineStr">
        <is>
          <t>mandiritatabinakonsultan@gmail.com</t>
        </is>
      </c>
      <c r="E79" t="inlineStr">
        <is>
          <t>https://lpjk.pu.go.id/search-badan-usaha-detail/eGN3emRwUVI5N0djYW9UT0ZLaGNRUT09</t>
        </is>
      </c>
      <c r="F79" t="n">
        <v>10</v>
      </c>
      <c r="G79" t="inlineStr">
        <is>
          <t>AR001, AR002, AR003, RK001, RK002, RK003, RK004</t>
        </is>
      </c>
      <c r="H79" t="inlineStr">
        <is>
          <t>8 Agustus 2011</t>
        </is>
      </c>
      <c r="I79" s="2" t="n">
        <v>46277</v>
      </c>
      <c r="J79" t="inlineStr">
        <is>
          <t>Disetujui</t>
        </is>
      </c>
      <c r="K79" t="n">
        <v>60</v>
      </c>
      <c r="L79" t="inlineStr">
        <is>
          <t>12 September 2026</t>
        </is>
      </c>
      <c r="M79" t="inlineStr">
        <is>
          <t>Jasa Arsitektural Bangunan Gedung Hunian dan Non Hunian, Jasa Arsitektural Lainnya, Jasa Desain Interior pada Bangunan Gedung dan Bangunan Sipil, Jasa Rekayasa Konstruksi Bangunan Gedung Hunian dan Non Hunian, Jasa Rekayasa Pekerjaan Mekanikal Dalam Bangunan, Jasa Rekayasa Pekerjaan Teknik Sipil Sumber Daya Air, Jasa Rekayasa Pekerjaan Teknik Sipil Transportasi</t>
        </is>
      </c>
      <c r="N79" t="inlineStr">
        <is>
          <t>K</t>
        </is>
      </c>
      <c r="O79" t="inlineStr">
        <is>
          <t>20230829, 20230830</t>
        </is>
      </c>
      <c r="P79" t="inlineStr">
        <is>
          <t>Banten</t>
        </is>
      </c>
      <c r="Q79" t="inlineStr"/>
    </row>
    <row r="80">
      <c r="A80" t="inlineStr">
        <is>
          <t>MANDIRI USAHA</t>
        </is>
      </c>
      <c r="B80" t="inlineStr">
        <is>
          <t>Kab. Indramayu</t>
        </is>
      </c>
      <c r="C80" t="inlineStr">
        <is>
          <t>087708774074</t>
        </is>
      </c>
      <c r="D80" t="inlineStr">
        <is>
          <t>mandiriusaha_cv@ymail.com</t>
        </is>
      </c>
      <c r="E80" t="inlineStr">
        <is>
          <t>https://lpjk.pu.go.id/search-badan-usaha-detail/Mmgxamd3WWxjU25MTGhnTUxKRWh5UT09</t>
        </is>
      </c>
      <c r="F80" t="n">
        <v>1</v>
      </c>
      <c r="G80" t="inlineStr">
        <is>
          <t>BG006</t>
        </is>
      </c>
      <c r="H80" t="inlineStr">
        <is>
          <t>9 September 2002</t>
        </is>
      </c>
      <c r="I80" s="2" t="n">
        <v>46277</v>
      </c>
      <c r="J80" t="inlineStr">
        <is>
          <t>Disetujui</t>
        </is>
      </c>
      <c r="K80" t="n">
        <v>60</v>
      </c>
      <c r="L80" t="inlineStr">
        <is>
          <t>12 September 2026</t>
        </is>
      </c>
      <c r="M80" t="inlineStr">
        <is>
          <t>Konstruksi Gedung Pendidikan</t>
        </is>
      </c>
      <c r="N80" t="inlineStr">
        <is>
          <t>K</t>
        </is>
      </c>
      <c r="O80" t="inlineStr">
        <is>
          <t>20230911</t>
        </is>
      </c>
      <c r="P80" t="inlineStr">
        <is>
          <t>Jawa Barat</t>
        </is>
      </c>
      <c r="Q80" t="inlineStr"/>
    </row>
    <row r="81">
      <c r="A81" t="inlineStr">
        <is>
          <t>MANDIRI UTAMA</t>
        </is>
      </c>
      <c r="B81" t="inlineStr">
        <is>
          <t>Kota Bima</t>
        </is>
      </c>
      <c r="C81" t="inlineStr">
        <is>
          <t>0823 3903 9180</t>
        </is>
      </c>
      <c r="D81" t="inlineStr">
        <is>
          <t>cvmandiriutama2019@gmail.com</t>
        </is>
      </c>
      <c r="E81" t="inlineStr">
        <is>
          <t>https://lpjk.pu.go.id/search-badan-usaha-detail/NDFQaUJSVnNGOXZ0RVpqTnJvL2FhUT09</t>
        </is>
      </c>
      <c r="F81" t="n">
        <v>1</v>
      </c>
      <c r="G81" t="inlineStr">
        <is>
          <t>BS001</t>
        </is>
      </c>
      <c r="H81" t="inlineStr">
        <is>
          <t>3 Februari 2017</t>
        </is>
      </c>
      <c r="I81" s="2" t="n">
        <v>46277</v>
      </c>
      <c r="J81" t="inlineStr">
        <is>
          <t>Disetujui</t>
        </is>
      </c>
      <c r="K81" t="n">
        <v>60</v>
      </c>
      <c r="L81" t="inlineStr">
        <is>
          <t>12 September 2026</t>
        </is>
      </c>
      <c r="M81" t="inlineStr">
        <is>
          <t>Konstruksi Bangunan Sipil Jalan</t>
        </is>
      </c>
      <c r="N81" t="inlineStr">
        <is>
          <t>K</t>
        </is>
      </c>
      <c r="O81" t="inlineStr">
        <is>
          <t>20230907</t>
        </is>
      </c>
      <c r="P81" t="inlineStr">
        <is>
          <t>Nusa Tenggara Barat</t>
        </is>
      </c>
      <c r="Q81" t="inlineStr"/>
    </row>
    <row r="82">
      <c r="A82" t="inlineStr">
        <is>
          <t>MANGLAYANG BERSINAR</t>
        </is>
      </c>
      <c r="B82" t="inlineStr">
        <is>
          <t>Kab. Sumedang</t>
        </is>
      </c>
      <c r="C82" t="inlineStr">
        <is>
          <t>081294496288</t>
        </is>
      </c>
      <c r="D82" t="inlineStr">
        <is>
          <t>cv.manglayangbersinar@gmail.com</t>
        </is>
      </c>
      <c r="E82" t="inlineStr">
        <is>
          <t>https://lpjk.pu.go.id/search-badan-usaha-detail/Wmw4T0dCMk8yaG5XeWROR1M2R2Fpdz09</t>
        </is>
      </c>
      <c r="F82" t="n">
        <v>2</v>
      </c>
      <c r="G82" t="inlineStr">
        <is>
          <t>BG006, BG009</t>
        </is>
      </c>
      <c r="H82" t="inlineStr">
        <is>
          <t>7 Desember 1999</t>
        </is>
      </c>
      <c r="I82" s="2" t="n">
        <v>46277</v>
      </c>
      <c r="J82" t="inlineStr">
        <is>
          <t>Disetujui</t>
        </is>
      </c>
      <c r="K82" t="n">
        <v>60</v>
      </c>
      <c r="L82" t="inlineStr">
        <is>
          <t>12 September 2026</t>
        </is>
      </c>
      <c r="M82" t="inlineStr">
        <is>
          <t>Konstruksi Gedung Lainnya, Konstruksi Gedung Pendidikan</t>
        </is>
      </c>
      <c r="N82" t="inlineStr">
        <is>
          <t>K</t>
        </is>
      </c>
      <c r="O82" t="inlineStr">
        <is>
          <t>20230906</t>
        </is>
      </c>
      <c r="P82" t="inlineStr">
        <is>
          <t>Jawa Barat</t>
        </is>
      </c>
      <c r="Q82" t="inlineStr"/>
    </row>
    <row r="83">
      <c r="A83" t="inlineStr">
        <is>
          <t>MANJADDA WAJADA</t>
        </is>
      </c>
      <c r="B83" t="inlineStr">
        <is>
          <t>Kab. Majalengka</t>
        </is>
      </c>
      <c r="C83" t="inlineStr">
        <is>
          <t>085324462660</t>
        </is>
      </c>
      <c r="D83" t="inlineStr">
        <is>
          <t>cv.manjaddawajada01@gmail.com</t>
        </is>
      </c>
      <c r="E83" t="inlineStr">
        <is>
          <t>https://lpjk.pu.go.id/search-badan-usaha-detail/TVAyQXNjOWFvNXZkTWRtZlJiakhSdz09</t>
        </is>
      </c>
      <c r="F83" t="n">
        <v>1</v>
      </c>
      <c r="G83" t="inlineStr">
        <is>
          <t>BS005</t>
        </is>
      </c>
      <c r="H83" t="inlineStr">
        <is>
          <t>14 Oktober 2019</t>
        </is>
      </c>
      <c r="I83" s="2" t="n">
        <v>46277</v>
      </c>
      <c r="J83" t="inlineStr">
        <is>
          <t>Disetujui</t>
        </is>
      </c>
      <c r="K83" t="n">
        <v>60</v>
      </c>
      <c r="L83" t="inlineStr">
        <is>
          <t>12 September 2026</t>
        </is>
      </c>
      <c r="M83" t="inlineStr">
        <is>
          <t>Konstruksi Bangunan Sipil Pengolahan Air Bersih</t>
        </is>
      </c>
      <c r="N83" t="inlineStr">
        <is>
          <t>K</t>
        </is>
      </c>
      <c r="O83" t="inlineStr">
        <is>
          <t>20230911</t>
        </is>
      </c>
      <c r="P83" t="inlineStr">
        <is>
          <t>Jawa Barat</t>
        </is>
      </c>
      <c r="Q83" t="inlineStr"/>
    </row>
    <row r="84">
      <c r="A84" t="inlineStr">
        <is>
          <t>MASA INDAH</t>
        </is>
      </c>
      <c r="B84" t="inlineStr">
        <is>
          <t>Kota Banjarmasin</t>
        </is>
      </c>
      <c r="C84" t="inlineStr">
        <is>
          <t>0811504537</t>
        </is>
      </c>
      <c r="D84" t="inlineStr">
        <is>
          <t>masa.indah03@gmail.com</t>
        </is>
      </c>
      <c r="E84" t="inlineStr">
        <is>
          <t>https://lpjk.pu.go.id/search-badan-usaha-detail/a1dzdDJIZVB5VzM2bVE3SCtsVVgzdz09</t>
        </is>
      </c>
      <c r="F84" t="n">
        <v>1</v>
      </c>
      <c r="G84" t="inlineStr">
        <is>
          <t>BS001</t>
        </is>
      </c>
      <c r="H84" t="inlineStr">
        <is>
          <t>19 Desember 1984</t>
        </is>
      </c>
      <c r="I84" s="2" t="n">
        <v>46277</v>
      </c>
      <c r="J84" t="inlineStr">
        <is>
          <t>Disetujui</t>
        </is>
      </c>
      <c r="K84" t="n">
        <v>60</v>
      </c>
      <c r="L84" t="inlineStr">
        <is>
          <t>12 September 2026</t>
        </is>
      </c>
      <c r="M84" t="inlineStr">
        <is>
          <t>Konstruksi Bangunan Sipil Jalan</t>
        </is>
      </c>
      <c r="N84" t="inlineStr">
        <is>
          <t>K</t>
        </is>
      </c>
      <c r="O84" t="inlineStr">
        <is>
          <t>20230905</t>
        </is>
      </c>
      <c r="P84" t="inlineStr">
        <is>
          <t>Kalimantan Selatan</t>
        </is>
      </c>
      <c r="Q84" t="inlineStr"/>
    </row>
    <row r="85">
      <c r="A85" t="inlineStr">
        <is>
          <t>MATARAM TUNGGAL BORNEO</t>
        </is>
      </c>
      <c r="B85" t="inlineStr">
        <is>
          <t>Kota Samarinda</t>
        </is>
      </c>
      <c r="C85" t="inlineStr">
        <is>
          <t>081346253467</t>
        </is>
      </c>
      <c r="D85" t="inlineStr">
        <is>
          <t>cv.mataramtunggalborneo@gmail.com</t>
        </is>
      </c>
      <c r="E85" t="inlineStr">
        <is>
          <t>https://lpjk.pu.go.id/search-badan-usaha-detail/eWJhUFM1MGNvb0lybENnU3l2dXZoQT09</t>
        </is>
      </c>
      <c r="F85" t="n">
        <v>2</v>
      </c>
      <c r="G85" t="inlineStr">
        <is>
          <t>BS001</t>
        </is>
      </c>
      <c r="H85" t="inlineStr">
        <is>
          <t>28 Agustus 2019</t>
        </is>
      </c>
      <c r="I85" s="2" t="n">
        <v>46277</v>
      </c>
      <c r="J85" t="inlineStr">
        <is>
          <t>Disetujui</t>
        </is>
      </c>
      <c r="K85" t="n">
        <v>60</v>
      </c>
      <c r="L85" t="inlineStr">
        <is>
          <t>12 September 2026</t>
        </is>
      </c>
      <c r="M85" t="inlineStr">
        <is>
          <t>Konstruksi Bangunan Sipil Jalan</t>
        </is>
      </c>
      <c r="N85" t="inlineStr">
        <is>
          <t>K</t>
        </is>
      </c>
      <c r="O85" t="inlineStr">
        <is>
          <t>20230906</t>
        </is>
      </c>
      <c r="P85" t="inlineStr">
        <is>
          <t>Kalimantan Timur</t>
        </is>
      </c>
      <c r="Q85" t="inlineStr"/>
    </row>
    <row r="86">
      <c r="A86" t="inlineStr">
        <is>
          <t>MEGA CILO PRATAMA</t>
        </is>
      </c>
      <c r="B86" t="inlineStr">
        <is>
          <t>Kota Malang</t>
        </is>
      </c>
      <c r="C86" t="inlineStr">
        <is>
          <t>081234011200</t>
        </is>
      </c>
      <c r="D86" t="inlineStr">
        <is>
          <t>megacilopratama@gmail.com</t>
        </is>
      </c>
      <c r="E86" t="inlineStr">
        <is>
          <t>https://lpjk.pu.go.id/search-badan-usaha-detail/VTVYUnp2b2FDQlpGQVUzSk9uekdoZz09</t>
        </is>
      </c>
      <c r="F86" t="n">
        <v>1</v>
      </c>
      <c r="G86" t="inlineStr">
        <is>
          <t>BG001</t>
        </is>
      </c>
      <c r="H86" t="inlineStr">
        <is>
          <t>27 Juli 2022</t>
        </is>
      </c>
      <c r="I86" s="2" t="n">
        <v>46277</v>
      </c>
      <c r="J86" t="inlineStr">
        <is>
          <t>Disetujui</t>
        </is>
      </c>
      <c r="K86" t="n">
        <v>60</v>
      </c>
      <c r="L86" t="inlineStr">
        <is>
          <t>12 September 2026</t>
        </is>
      </c>
      <c r="M86" t="inlineStr">
        <is>
          <t>Konstruksi Gedung Hunian</t>
        </is>
      </c>
      <c r="N86" t="inlineStr">
        <is>
          <t>K</t>
        </is>
      </c>
      <c r="O86" t="inlineStr">
        <is>
          <t>20230907</t>
        </is>
      </c>
      <c r="P86" t="inlineStr">
        <is>
          <t>Jawa Timur</t>
        </is>
      </c>
      <c r="Q86" t="inlineStr"/>
    </row>
    <row r="87">
      <c r="A87" t="inlineStr">
        <is>
          <t>MUARA MULIA TEKNIK</t>
        </is>
      </c>
      <c r="B87" t="inlineStr">
        <is>
          <t>Kab. Tapanuli Selatan</t>
        </is>
      </c>
      <c r="C87" t="inlineStr">
        <is>
          <t>081376656164</t>
        </is>
      </c>
      <c r="D87" t="inlineStr">
        <is>
          <t>muaramuliateknik@gmail.com</t>
        </is>
      </c>
      <c r="E87" t="inlineStr">
        <is>
          <t>https://lpjk.pu.go.id/search-badan-usaha-detail/eVFERDhsdEl5U29JSGVJTVZRRUVyUT09</t>
        </is>
      </c>
      <c r="F87" t="n">
        <v>3</v>
      </c>
      <c r="G87" t="inlineStr">
        <is>
          <t>BG005</t>
        </is>
      </c>
      <c r="H87" t="inlineStr">
        <is>
          <t>19 November 2020</t>
        </is>
      </c>
      <c r="I87" s="2" t="n">
        <v>46277</v>
      </c>
      <c r="J87" t="inlineStr">
        <is>
          <t>Pencabutan</t>
        </is>
      </c>
      <c r="K87" t="n">
        <v>60</v>
      </c>
      <c r="L87" t="inlineStr">
        <is>
          <t>12 September 2026</t>
        </is>
      </c>
      <c r="M87" t="inlineStr">
        <is>
          <t>Konstruksi Gedung Kesehatan</t>
        </is>
      </c>
      <c r="N87" t="inlineStr">
        <is>
          <t>K</t>
        </is>
      </c>
      <c r="O87" t="inlineStr">
        <is>
          <t>20230904</t>
        </is>
      </c>
      <c r="P87" t="inlineStr">
        <is>
          <t>Sumatera Utara</t>
        </is>
      </c>
      <c r="Q87" t="inlineStr"/>
    </row>
    <row r="88">
      <c r="A88" t="inlineStr">
        <is>
          <t>MUTIARA ABADI</t>
        </is>
      </c>
      <c r="B88" t="inlineStr">
        <is>
          <t>Kab. Ciamis</t>
        </is>
      </c>
      <c r="C88" t="inlineStr">
        <is>
          <t>0265773807</t>
        </is>
      </c>
      <c r="D88" t="inlineStr">
        <is>
          <t>mutiara_abadi03@yahoo.co.id</t>
        </is>
      </c>
      <c r="E88" t="inlineStr">
        <is>
          <t>https://lpjk.pu.go.id/search-badan-usaha-detail/V2lEaUFuclgzd25OdmZ4REcwRVRCdz09</t>
        </is>
      </c>
      <c r="F88" t="n">
        <v>10</v>
      </c>
      <c r="G88" t="inlineStr">
        <is>
          <t>BG006, BG009, BS002, BS004, BS005</t>
        </is>
      </c>
      <c r="H88" t="inlineStr">
        <is>
          <t>20 Maret 2007</t>
        </is>
      </c>
      <c r="I88" s="2" t="n">
        <v>46277</v>
      </c>
      <c r="J88" t="inlineStr">
        <is>
          <t>Disetujui</t>
        </is>
      </c>
      <c r="K88" t="n">
        <v>60</v>
      </c>
      <c r="L88" t="inlineStr">
        <is>
          <t>12 September 2026</t>
        </is>
      </c>
      <c r="M88" t="inlineStr">
        <is>
          <t>Bangunan Sipil Jembatan, Jalan Layang, Fly Over, dan Underpass, Konstruksi Bangunan Sipil Pengolahan Air Bersih, Konstruksi Gedung Lainnya, Konstruksi Gedung Pendidikan, Konstruksi Jaringan Irigasi dan Drainase</t>
        </is>
      </c>
      <c r="N88" t="inlineStr">
        <is>
          <t>K</t>
        </is>
      </c>
      <c r="O88" t="inlineStr">
        <is>
          <t>20230831, 20230911</t>
        </is>
      </c>
      <c r="P88" t="inlineStr">
        <is>
          <t>Jawa Barat</t>
        </is>
      </c>
      <c r="Q88" t="inlineStr"/>
    </row>
    <row r="89">
      <c r="A89" t="inlineStr">
        <is>
          <t>NADIA PUTRI</t>
        </is>
      </c>
      <c r="B89" t="inlineStr">
        <is>
          <t>Kota Palembang</t>
        </is>
      </c>
      <c r="C89" t="inlineStr">
        <is>
          <t>081368676176</t>
        </is>
      </c>
      <c r="D89" t="inlineStr">
        <is>
          <t>nidia_putri_cv@yahoo.com</t>
        </is>
      </c>
      <c r="E89" t="inlineStr">
        <is>
          <t>https://lpjk.pu.go.id/search-badan-usaha-detail/NEdBOFAyYk1XdzBISUsweklFWmRPQT09</t>
        </is>
      </c>
      <c r="F89" t="n">
        <v>2</v>
      </c>
      <c r="G89" t="inlineStr">
        <is>
          <t>BG002, BG006</t>
        </is>
      </c>
      <c r="H89" t="inlineStr">
        <is>
          <t>25 April 2006</t>
        </is>
      </c>
      <c r="I89" s="2" t="n">
        <v>46277</v>
      </c>
      <c r="J89" t="inlineStr">
        <is>
          <t>Disetujui</t>
        </is>
      </c>
      <c r="K89" t="n">
        <v>60</v>
      </c>
      <c r="L89" t="inlineStr">
        <is>
          <t>12 September 2026</t>
        </is>
      </c>
      <c r="M89" t="inlineStr">
        <is>
          <t>Konstruksi Gedung Pendidikan, Konstruksi Gedung Perkantoran</t>
        </is>
      </c>
      <c r="N89" t="inlineStr">
        <is>
          <t>K</t>
        </is>
      </c>
      <c r="O89" t="inlineStr">
        <is>
          <t>20230911</t>
        </is>
      </c>
      <c r="P89" t="inlineStr">
        <is>
          <t>Sumatera Selatan</t>
        </is>
      </c>
      <c r="Q89" t="inlineStr"/>
    </row>
    <row r="90">
      <c r="A90" t="inlineStr">
        <is>
          <t>NAGABE JAYA MANDIRI</t>
        </is>
      </c>
      <c r="B90" t="inlineStr">
        <is>
          <t>Kota Padang Sidempuan</t>
        </is>
      </c>
      <c r="C90" t="inlineStr">
        <is>
          <t>082260211854</t>
        </is>
      </c>
      <c r="D90" t="inlineStr">
        <is>
          <t>nagabejayamandiripsp@gmail.com</t>
        </is>
      </c>
      <c r="E90" t="inlineStr">
        <is>
          <t>https://lpjk.pu.go.id/search-badan-usaha-detail/ZktaNE1TSjlhb0twU0psWGVkNm9OUT09</t>
        </is>
      </c>
      <c r="F90" t="n">
        <v>1</v>
      </c>
      <c r="G90" t="inlineStr">
        <is>
          <t>BS001</t>
        </is>
      </c>
      <c r="H90" t="inlineStr">
        <is>
          <t>15 Juli 2023</t>
        </is>
      </c>
      <c r="I90" s="2" t="n">
        <v>46277</v>
      </c>
      <c r="J90" t="inlineStr">
        <is>
          <t>Pencabutan</t>
        </is>
      </c>
      <c r="K90" t="n">
        <v>60</v>
      </c>
      <c r="L90" t="inlineStr">
        <is>
          <t>12 September 2026</t>
        </is>
      </c>
      <c r="M90" t="inlineStr">
        <is>
          <t>Konstruksi Bangunan Sipil Jalan</t>
        </is>
      </c>
      <c r="N90" t="inlineStr">
        <is>
          <t>K</t>
        </is>
      </c>
      <c r="O90" t="inlineStr">
        <is>
          <t>20230911</t>
        </is>
      </c>
      <c r="P90" t="inlineStr">
        <is>
          <t>Sumatera Utara</t>
        </is>
      </c>
      <c r="Q90" t="inlineStr"/>
    </row>
    <row r="91">
      <c r="A91" t="inlineStr">
        <is>
          <t>NAGARI LUKINDO SEJAHTERA</t>
        </is>
      </c>
      <c r="B91" t="inlineStr">
        <is>
          <t>Kota Padang</t>
        </is>
      </c>
      <c r="C91" t="inlineStr">
        <is>
          <t>081363338800</t>
        </is>
      </c>
      <c r="D91" t="inlineStr">
        <is>
          <t>mardialselas@yahoo.com</t>
        </is>
      </c>
      <c r="E91" t="inlineStr">
        <is>
          <t>https://lpjk.pu.go.id/search-badan-usaha-detail/M1g5NXZxcGZZc216dmFCWndtUW1zdz09</t>
        </is>
      </c>
      <c r="F91" t="n">
        <v>1</v>
      </c>
      <c r="G91" t="inlineStr">
        <is>
          <t>BG003</t>
        </is>
      </c>
      <c r="H91" t="inlineStr">
        <is>
          <t>5 Mei 2011</t>
        </is>
      </c>
      <c r="I91" s="2" t="n">
        <v>46277</v>
      </c>
      <c r="J91" t="inlineStr">
        <is>
          <t>Disetujui</t>
        </is>
      </c>
      <c r="K91" t="n">
        <v>60</v>
      </c>
      <c r="L91" t="inlineStr">
        <is>
          <t>12 September 2026</t>
        </is>
      </c>
      <c r="M91" t="inlineStr">
        <is>
          <t>Konstruksi Gedung Industri</t>
        </is>
      </c>
      <c r="N91" t="inlineStr">
        <is>
          <t>K</t>
        </is>
      </c>
      <c r="O91" t="inlineStr">
        <is>
          <t>20230908</t>
        </is>
      </c>
      <c r="P91" t="inlineStr">
        <is>
          <t>Sumatera Barat</t>
        </is>
      </c>
      <c r="Q91" t="inlineStr"/>
    </row>
    <row r="92">
      <c r="A92" t="inlineStr">
        <is>
          <t>NATAMI</t>
        </is>
      </c>
      <c r="B92" t="inlineStr">
        <is>
          <t>Kota Medan</t>
        </is>
      </c>
      <c r="C92" t="inlineStr">
        <is>
          <t>082164609464</t>
        </is>
      </c>
      <c r="D92" t="inlineStr">
        <is>
          <t>natami_cv@ymail.com</t>
        </is>
      </c>
      <c r="E92" t="inlineStr">
        <is>
          <t>https://lpjk.pu.go.id/search-badan-usaha-detail/M3RwTFIyUDFTUmJQWnJLVnRWZWE1Zz09</t>
        </is>
      </c>
      <c r="F92" t="n">
        <v>2</v>
      </c>
      <c r="G92" t="inlineStr">
        <is>
          <t>BS002, BS004</t>
        </is>
      </c>
      <c r="H92" t="inlineStr">
        <is>
          <t>29 Desember 2005</t>
        </is>
      </c>
      <c r="I92" s="2" t="n">
        <v>46277</v>
      </c>
      <c r="J92" t="inlineStr">
        <is>
          <t>Disetujui</t>
        </is>
      </c>
      <c r="K92" t="n">
        <v>60</v>
      </c>
      <c r="L92" t="inlineStr">
        <is>
          <t>12 September 2026</t>
        </is>
      </c>
      <c r="M92" t="inlineStr">
        <is>
          <t>Bangunan Sipil Jembatan, Jalan Layang, Fly Over, dan Underpass, Konstruksi Jaringan Irigasi dan Drainase</t>
        </is>
      </c>
      <c r="N92" t="inlineStr">
        <is>
          <t>K</t>
        </is>
      </c>
      <c r="O92" t="inlineStr">
        <is>
          <t>20230912</t>
        </is>
      </c>
      <c r="P92" t="inlineStr">
        <is>
          <t>Sumatera Utara</t>
        </is>
      </c>
      <c r="Q92" t="inlineStr"/>
    </row>
    <row r="93">
      <c r="A93" t="inlineStr">
        <is>
          <t>NAURAH UTAMA</t>
        </is>
      </c>
      <c r="B93" t="inlineStr">
        <is>
          <t>Kota Padang Sidempuan</t>
        </is>
      </c>
      <c r="C93" t="inlineStr">
        <is>
          <t>082162960176</t>
        </is>
      </c>
      <c r="D93" t="inlineStr">
        <is>
          <t>cvnaurahutama@gmail.com</t>
        </is>
      </c>
      <c r="E93" t="inlineStr">
        <is>
          <t>https://lpjk.pu.go.id/search-badan-usaha-detail/NllTcnhvK3pZVlZ3VGVINzlDOHJJUT09</t>
        </is>
      </c>
      <c r="F93" t="n">
        <v>1</v>
      </c>
      <c r="G93" t="inlineStr">
        <is>
          <t>BG008</t>
        </is>
      </c>
      <c r="H93" t="inlineStr">
        <is>
          <t>23 Agustus 2023</t>
        </is>
      </c>
      <c r="I93" s="2" t="n">
        <v>46277</v>
      </c>
      <c r="J93" t="inlineStr">
        <is>
          <t>Disetujui</t>
        </is>
      </c>
      <c r="K93" t="n">
        <v>60</v>
      </c>
      <c r="L93" t="inlineStr">
        <is>
          <t>12 September 2026</t>
        </is>
      </c>
      <c r="M93" t="inlineStr">
        <is>
          <t>Konstruksi Gedung Tempat Hiburan dan Olahraga</t>
        </is>
      </c>
      <c r="N93" t="inlineStr">
        <is>
          <t>K</t>
        </is>
      </c>
      <c r="O93" t="inlineStr">
        <is>
          <t>20230912</t>
        </is>
      </c>
      <c r="P93" t="inlineStr">
        <is>
          <t>Sumatera Utara</t>
        </is>
      </c>
      <c r="Q93" t="inlineStr"/>
    </row>
    <row r="94">
      <c r="A94" t="inlineStr">
        <is>
          <t>NIRWANA SENTRACO</t>
        </is>
      </c>
      <c r="B94" t="inlineStr">
        <is>
          <t>Kab. Malang</t>
        </is>
      </c>
      <c r="C94" t="inlineStr">
        <is>
          <t>085331185097</t>
        </is>
      </c>
      <c r="D94" t="inlineStr">
        <is>
          <t>nirwanasentraco@yahoo.co.id</t>
        </is>
      </c>
      <c r="E94" t="inlineStr">
        <is>
          <t>https://lpjk.pu.go.id/search-badan-usaha-detail/clRGaWZPdGRJRytiOFpma0Zrd2xDZz09</t>
        </is>
      </c>
      <c r="F94" t="n">
        <v>1</v>
      </c>
      <c r="G94" t="inlineStr">
        <is>
          <t>BG002</t>
        </is>
      </c>
      <c r="H94" t="inlineStr">
        <is>
          <t>9 April 2007</t>
        </is>
      </c>
      <c r="I94" s="2" t="n">
        <v>46277</v>
      </c>
      <c r="J94" t="inlineStr">
        <is>
          <t>Disetujui</t>
        </is>
      </c>
      <c r="K94" t="n">
        <v>60</v>
      </c>
      <c r="L94" t="inlineStr">
        <is>
          <t>12 September 2026</t>
        </is>
      </c>
      <c r="M94" t="inlineStr">
        <is>
          <t>Konstruksi Gedung Perkantoran</t>
        </is>
      </c>
      <c r="N94" t="inlineStr">
        <is>
          <t>K</t>
        </is>
      </c>
      <c r="O94" t="inlineStr">
        <is>
          <t>20230911</t>
        </is>
      </c>
      <c r="P94" t="inlineStr">
        <is>
          <t>Jawa Timur</t>
        </is>
      </c>
      <c r="Q94" t="inlineStr"/>
    </row>
    <row r="95">
      <c r="A95" t="inlineStr">
        <is>
          <t>NUR AYU LAMENA</t>
        </is>
      </c>
      <c r="B95" t="inlineStr">
        <is>
          <t>Kab. Banggai Kepulauan</t>
        </is>
      </c>
      <c r="C95" t="inlineStr">
        <is>
          <t>082217094080</t>
        </is>
      </c>
      <c r="D95" t="inlineStr">
        <is>
          <t>cvayulamena@gmail.com</t>
        </is>
      </c>
      <c r="E95" t="inlineStr">
        <is>
          <t>https://lpjk.pu.go.id/search-badan-usaha-detail/S3p6VExOR0J6SllGQ3FUaUMreEliZz09</t>
        </is>
      </c>
      <c r="F95" t="n">
        <v>1</v>
      </c>
      <c r="G95" t="inlineStr">
        <is>
          <t>BG002</t>
        </is>
      </c>
      <c r="H95" t="inlineStr">
        <is>
          <t>6 Januari 2010</t>
        </is>
      </c>
      <c r="I95" s="2" t="n">
        <v>46277</v>
      </c>
      <c r="J95" t="inlineStr">
        <is>
          <t>Disetujui</t>
        </is>
      </c>
      <c r="K95" t="n">
        <v>60</v>
      </c>
      <c r="L95" t="inlineStr">
        <is>
          <t>12 September 2026</t>
        </is>
      </c>
      <c r="M95" t="inlineStr">
        <is>
          <t>Konstruksi Gedung Perkantoran</t>
        </is>
      </c>
      <c r="N95" t="inlineStr">
        <is>
          <t>K</t>
        </is>
      </c>
      <c r="O95" t="inlineStr">
        <is>
          <t>20230908</t>
        </is>
      </c>
      <c r="P95" t="inlineStr">
        <is>
          <t>Sulawesi Tengah</t>
        </is>
      </c>
      <c r="Q95" t="inlineStr"/>
    </row>
    <row r="96">
      <c r="A96" t="inlineStr">
        <is>
          <t>NUSA JAYA SENTOSA</t>
        </is>
      </c>
      <c r="B96" t="inlineStr">
        <is>
          <t>Kota Adm. Jakarta Utara</t>
        </is>
      </c>
      <c r="C96" t="inlineStr">
        <is>
          <t>02122667357</t>
        </is>
      </c>
      <c r="D96" t="inlineStr">
        <is>
          <t>jakarta@njsentosa.com</t>
        </is>
      </c>
      <c r="E96" t="inlineStr">
        <is>
          <t>https://lpjk.pu.go.id/search-badan-usaha-detail/Z1hhdGNiZ0gwSWRmUlRIR1A1N00zZz09</t>
        </is>
      </c>
      <c r="F96" t="n">
        <v>1</v>
      </c>
      <c r="G96" t="inlineStr">
        <is>
          <t>IN003</t>
        </is>
      </c>
      <c r="H96" t="inlineStr">
        <is>
          <t>24 Mei 2002</t>
        </is>
      </c>
      <c r="I96" s="2" t="n">
        <v>46277</v>
      </c>
      <c r="J96" t="inlineStr">
        <is>
          <t>Pencabutan</t>
        </is>
      </c>
      <c r="K96" t="n">
        <v>60</v>
      </c>
      <c r="L96" t="inlineStr">
        <is>
          <t>12 September 2026</t>
        </is>
      </c>
      <c r="M96" t="inlineStr">
        <is>
          <t>Instalasi Peralatan Infrastruktur Pertambangan dan Manufaktur</t>
        </is>
      </c>
      <c r="N96" t="inlineStr">
        <is>
          <t>Spesialis</t>
        </is>
      </c>
      <c r="O96" t="inlineStr">
        <is>
          <t>20230725</t>
        </is>
      </c>
      <c r="P96" t="inlineStr">
        <is>
          <t>DKI Jakarta</t>
        </is>
      </c>
      <c r="Q96" t="inlineStr"/>
    </row>
    <row r="97">
      <c r="A97" t="inlineStr">
        <is>
          <t>ORION</t>
        </is>
      </c>
      <c r="B97" t="inlineStr">
        <is>
          <t>Kab. Merauke</t>
        </is>
      </c>
      <c r="C97" t="inlineStr">
        <is>
          <t>082238828008</t>
        </is>
      </c>
      <c r="D97" t="inlineStr">
        <is>
          <t>cvorion06@gmail.com</t>
        </is>
      </c>
      <c r="E97" t="inlineStr">
        <is>
          <t>https://lpjk.pu.go.id/search-badan-usaha-detail/SXR3bkl5MStjelAySS9TQTNlSWhodz09</t>
        </is>
      </c>
      <c r="F97" t="n">
        <v>1</v>
      </c>
      <c r="G97" t="inlineStr">
        <is>
          <t>BG005</t>
        </is>
      </c>
      <c r="H97" t="inlineStr">
        <is>
          <t>10 Desember 1999</t>
        </is>
      </c>
      <c r="I97" s="2" t="n">
        <v>46277</v>
      </c>
      <c r="J97" t="inlineStr">
        <is>
          <t>Disetujui</t>
        </is>
      </c>
      <c r="K97" t="n">
        <v>60</v>
      </c>
      <c r="L97" t="inlineStr">
        <is>
          <t>12 September 2026</t>
        </is>
      </c>
      <c r="M97" t="inlineStr">
        <is>
          <t>Konstruksi Gedung Kesehatan</t>
        </is>
      </c>
      <c r="N97" t="inlineStr">
        <is>
          <t>K</t>
        </is>
      </c>
      <c r="O97" t="inlineStr">
        <is>
          <t>20230911</t>
        </is>
      </c>
      <c r="P97" t="inlineStr">
        <is>
          <t>Papua Selatan</t>
        </is>
      </c>
      <c r="Q97" t="inlineStr"/>
    </row>
    <row r="98">
      <c r="A98" t="inlineStr">
        <is>
          <t>PANDU SANDEWA</t>
        </is>
      </c>
      <c r="B98" t="inlineStr">
        <is>
          <t>Kab. Bengkulu Utara</t>
        </is>
      </c>
      <c r="C98" t="inlineStr">
        <is>
          <t>085273426244</t>
        </is>
      </c>
      <c r="D98" t="inlineStr">
        <is>
          <t>cv.pandu_sandewa@yahoo.com</t>
        </is>
      </c>
      <c r="E98" t="inlineStr">
        <is>
          <t>https://lpjk.pu.go.id/search-badan-usaha-detail/ZGJjdUpOMHZHVlZVSFh4N05QemZHZz09</t>
        </is>
      </c>
      <c r="F98" t="n">
        <v>1</v>
      </c>
      <c r="G98" t="inlineStr">
        <is>
          <t>BG005</t>
        </is>
      </c>
      <c r="H98" t="inlineStr">
        <is>
          <t>5 April 2017</t>
        </is>
      </c>
      <c r="I98" s="2" t="n">
        <v>46277</v>
      </c>
      <c r="J98" t="inlineStr">
        <is>
          <t>Disetujui</t>
        </is>
      </c>
      <c r="K98" t="n">
        <v>60</v>
      </c>
      <c r="L98" t="inlineStr">
        <is>
          <t>12 September 2026</t>
        </is>
      </c>
      <c r="M98" t="inlineStr">
        <is>
          <t>Konstruksi Gedung Kesehatan</t>
        </is>
      </c>
      <c r="N98" t="inlineStr">
        <is>
          <t>K</t>
        </is>
      </c>
      <c r="O98" t="inlineStr">
        <is>
          <t>20230906</t>
        </is>
      </c>
      <c r="P98" t="inlineStr">
        <is>
          <t>Bengkulu</t>
        </is>
      </c>
      <c r="Q98" t="inlineStr"/>
    </row>
    <row r="99">
      <c r="A99" t="inlineStr">
        <is>
          <t>PARSAMEAN NAULI INTI PERSADA</t>
        </is>
      </c>
      <c r="B99" t="inlineStr">
        <is>
          <t>Kota Medan</t>
        </is>
      </c>
      <c r="C99" t="inlineStr">
        <is>
          <t>085262127774</t>
        </is>
      </c>
      <c r="D99" t="inlineStr">
        <is>
          <t>parsameannauli_intipersada@yahoo.com</t>
        </is>
      </c>
      <c r="E99" t="inlineStr">
        <is>
          <t>https://lpjk.pu.go.id/search-badan-usaha-detail/Tlc1RzhBRTZFbS9xRTd5MkJhQnA4QT09</t>
        </is>
      </c>
      <c r="F99" t="n">
        <v>1</v>
      </c>
      <c r="G99" t="inlineStr">
        <is>
          <t>BG004</t>
        </is>
      </c>
      <c r="H99" t="inlineStr">
        <is>
          <t>18 Februari 2016</t>
        </is>
      </c>
      <c r="I99" s="2" t="n">
        <v>46277</v>
      </c>
      <c r="J99" t="inlineStr">
        <is>
          <t>Disetujui</t>
        </is>
      </c>
      <c r="K99" t="n">
        <v>60</v>
      </c>
      <c r="L99" t="inlineStr">
        <is>
          <t>12 September 2026</t>
        </is>
      </c>
      <c r="M99" t="inlineStr">
        <is>
          <t>Konstruksi Gedung Perbelanjaan</t>
        </is>
      </c>
      <c r="N99" t="inlineStr">
        <is>
          <t>K</t>
        </is>
      </c>
      <c r="O99" t="inlineStr">
        <is>
          <t>20230912</t>
        </is>
      </c>
      <c r="P99" t="inlineStr">
        <is>
          <t>Sumatera Utara</t>
        </is>
      </c>
      <c r="Q99" t="inlineStr"/>
    </row>
    <row r="100">
      <c r="A100" t="inlineStr">
        <is>
          <t>PERINTIS PERSADA</t>
        </is>
      </c>
      <c r="B100" t="inlineStr">
        <is>
          <t>Kota Kupang</t>
        </is>
      </c>
      <c r="C100" t="inlineStr">
        <is>
          <t>081339424823</t>
        </is>
      </c>
      <c r="D100" t="inlineStr">
        <is>
          <t>perintispersada72@gmail.com</t>
        </is>
      </c>
      <c r="E100" t="inlineStr">
        <is>
          <t>https://lpjk.pu.go.id/search-badan-usaha-detail/TS9kbDJFSWRWU2hubjk5VWJOaTFoUT09</t>
        </is>
      </c>
      <c r="F100" t="n">
        <v>1</v>
      </c>
      <c r="G100" t="inlineStr">
        <is>
          <t>BG005</t>
        </is>
      </c>
      <c r="H100" t="inlineStr">
        <is>
          <t>18 Januari 1997</t>
        </is>
      </c>
      <c r="I100" s="2" t="n">
        <v>46277</v>
      </c>
      <c r="J100" t="inlineStr">
        <is>
          <t>Pencabutan</t>
        </is>
      </c>
      <c r="K100" t="n">
        <v>60</v>
      </c>
      <c r="L100" t="inlineStr">
        <is>
          <t>12 September 2026</t>
        </is>
      </c>
      <c r="M100" t="inlineStr">
        <is>
          <t>Konstruksi Gedung Kesehatan</t>
        </is>
      </c>
      <c r="N100" t="inlineStr">
        <is>
          <t>K</t>
        </is>
      </c>
      <c r="O100" t="inlineStr">
        <is>
          <t>20230905</t>
        </is>
      </c>
      <c r="P100" t="inlineStr">
        <is>
          <t>Nusa Tenggara Timur</t>
        </is>
      </c>
      <c r="Q100" t="inlineStr"/>
    </row>
    <row r="101">
      <c r="A101" t="inlineStr">
        <is>
          <t>PERMATA</t>
        </is>
      </c>
      <c r="B101" t="inlineStr">
        <is>
          <t>Kab. Bandung Barat</t>
        </is>
      </c>
      <c r="C101" t="inlineStr">
        <is>
          <t>082121206969</t>
        </is>
      </c>
      <c r="D101" t="inlineStr">
        <is>
          <t>cvpermatakbb@gmail.com</t>
        </is>
      </c>
      <c r="E101" t="inlineStr">
        <is>
          <t>https://lpjk.pu.go.id/search-badan-usaha-detail/UHdEdzQrcHJnZmpzY2tYSmk5ZWFMUT09</t>
        </is>
      </c>
      <c r="F101" t="n">
        <v>1</v>
      </c>
      <c r="G101" t="inlineStr">
        <is>
          <t>BG006</t>
        </is>
      </c>
      <c r="H101" t="inlineStr">
        <is>
          <t>31 Januari 2011</t>
        </is>
      </c>
      <c r="I101" s="2" t="n">
        <v>46277</v>
      </c>
      <c r="J101" t="inlineStr">
        <is>
          <t>Disetujui</t>
        </is>
      </c>
      <c r="K101" t="n">
        <v>60</v>
      </c>
      <c r="L101" t="inlineStr">
        <is>
          <t>12 September 2026</t>
        </is>
      </c>
      <c r="M101" t="inlineStr">
        <is>
          <t>Konstruksi Gedung Pendidikan</t>
        </is>
      </c>
      <c r="N101" t="inlineStr">
        <is>
          <t>K</t>
        </is>
      </c>
      <c r="O101" t="inlineStr">
        <is>
          <t>20230906</t>
        </is>
      </c>
      <c r="P101" t="inlineStr">
        <is>
          <t>Jawa Barat</t>
        </is>
      </c>
      <c r="Q101" t="inlineStr"/>
    </row>
    <row r="102">
      <c r="A102" t="inlineStr">
        <is>
          <t>PILAR 94</t>
        </is>
      </c>
      <c r="B102" t="inlineStr">
        <is>
          <t>Kab. Banyumas</t>
        </is>
      </c>
      <c r="C102" t="inlineStr">
        <is>
          <t>0281639882</t>
        </is>
      </c>
      <c r="D102" t="inlineStr">
        <is>
          <t>rudipilar94@gmail.com</t>
        </is>
      </c>
      <c r="E102" t="inlineStr">
        <is>
          <t>https://lpjk.pu.go.id/search-badan-usaha-detail/ZUE0b24zUFI4dGhFRk8xcXI1TVR0UT09</t>
        </is>
      </c>
      <c r="F102" t="n">
        <v>2</v>
      </c>
      <c r="G102" t="inlineStr">
        <is>
          <t>BG005, BG006</t>
        </is>
      </c>
      <c r="H102" t="inlineStr">
        <is>
          <t>14 Desember 1993</t>
        </is>
      </c>
      <c r="I102" s="2" t="n">
        <v>46277</v>
      </c>
      <c r="J102" t="inlineStr">
        <is>
          <t>Disetujui</t>
        </is>
      </c>
      <c r="K102" t="n">
        <v>60</v>
      </c>
      <c r="L102" t="inlineStr">
        <is>
          <t>12 September 2026</t>
        </is>
      </c>
      <c r="M102" t="inlineStr">
        <is>
          <t>Konstruksi Gedung Kesehatan, Konstruksi Gedung Pendidikan</t>
        </is>
      </c>
      <c r="N102" t="inlineStr">
        <is>
          <t>K</t>
        </is>
      </c>
      <c r="O102" t="inlineStr">
        <is>
          <t>20230906, 20230911</t>
        </is>
      </c>
      <c r="P102" t="inlineStr">
        <is>
          <t>Jawa Tengah</t>
        </is>
      </c>
      <c r="Q102" t="inlineStr"/>
    </row>
    <row r="103">
      <c r="A103" t="inlineStr">
        <is>
          <t>PRIMA KARYA KONTRUKSI</t>
        </is>
      </c>
      <c r="B103" t="inlineStr">
        <is>
          <t>Kab. Solok</t>
        </is>
      </c>
      <c r="C103" t="inlineStr">
        <is>
          <t>82169616410</t>
        </is>
      </c>
      <c r="D103" t="inlineStr">
        <is>
          <t>kontruksiprimakarya5@gmail.com</t>
        </is>
      </c>
      <c r="E103" t="inlineStr">
        <is>
          <t>https://lpjk.pu.go.id/search-badan-usaha-detail/dFVzZVU1TVFTZXB4NFJKRk8wUHNKdz09</t>
        </is>
      </c>
      <c r="F103" t="n">
        <v>1</v>
      </c>
      <c r="G103" t="inlineStr">
        <is>
          <t>BS004</t>
        </is>
      </c>
      <c r="H103" t="inlineStr">
        <is>
          <t>19 Januari 2023</t>
        </is>
      </c>
      <c r="I103" s="2" t="n">
        <v>46277</v>
      </c>
      <c r="J103" t="inlineStr">
        <is>
          <t>Disetujui</t>
        </is>
      </c>
      <c r="K103" t="n">
        <v>60</v>
      </c>
      <c r="L103" t="inlineStr">
        <is>
          <t>12 September 2026</t>
        </is>
      </c>
      <c r="M103" t="inlineStr">
        <is>
          <t>Konstruksi Jaringan Irigasi dan Drainase</t>
        </is>
      </c>
      <c r="N103" t="inlineStr">
        <is>
          <t>K</t>
        </is>
      </c>
      <c r="O103" t="inlineStr">
        <is>
          <t>20230810</t>
        </is>
      </c>
      <c r="P103" t="inlineStr">
        <is>
          <t>Sumatera Barat</t>
        </is>
      </c>
      <c r="Q103" t="inlineStr"/>
    </row>
    <row r="104">
      <c r="A104" t="inlineStr">
        <is>
          <t>PRIMA KARYA UTAMA</t>
        </is>
      </c>
      <c r="B104" t="inlineStr">
        <is>
          <t>Kota Solok</t>
        </is>
      </c>
      <c r="C104" t="inlineStr">
        <is>
          <t>085263804893</t>
        </is>
      </c>
      <c r="D104" t="inlineStr">
        <is>
          <t>primautamaslk@gmail.com</t>
        </is>
      </c>
      <c r="E104" t="inlineStr">
        <is>
          <t>https://lpjk.pu.go.id/search-badan-usaha-detail/MmxvR05LNUZVdjdUalFoRmVHOVlwUT09</t>
        </is>
      </c>
      <c r="F104" t="n">
        <v>1</v>
      </c>
      <c r="G104" t="inlineStr">
        <is>
          <t>BS002</t>
        </is>
      </c>
      <c r="H104" t="inlineStr">
        <is>
          <t>10 Februari 2006</t>
        </is>
      </c>
      <c r="I104" s="2" t="n">
        <v>46277</v>
      </c>
      <c r="J104" t="inlineStr">
        <is>
          <t>Disetujui</t>
        </is>
      </c>
      <c r="K104" t="n">
        <v>60</v>
      </c>
      <c r="L104" t="inlineStr">
        <is>
          <t>12 September 2026</t>
        </is>
      </c>
      <c r="M104" t="inlineStr">
        <is>
          <t>Bangunan Sipil Jembatan, Jalan Layang, Fly Over, dan Underpass</t>
        </is>
      </c>
      <c r="N104" t="inlineStr">
        <is>
          <t>K</t>
        </is>
      </c>
      <c r="O104" t="inlineStr">
        <is>
          <t>20230903</t>
        </is>
      </c>
      <c r="P104" t="inlineStr">
        <is>
          <t>Sumatera Barat</t>
        </is>
      </c>
      <c r="Q104" t="inlineStr"/>
    </row>
    <row r="105">
      <c r="A105" t="inlineStr">
        <is>
          <t>PUTRA KRUENG JREU</t>
        </is>
      </c>
      <c r="B105" t="inlineStr">
        <is>
          <t>Kab. Aceh Besar</t>
        </is>
      </c>
      <c r="C105" t="inlineStr">
        <is>
          <t>085260460993</t>
        </is>
      </c>
      <c r="D105" t="inlineStr">
        <is>
          <t>putrakruengjreu.cv@gmail.com</t>
        </is>
      </c>
      <c r="E105" t="inlineStr">
        <is>
          <t>https://lpjk.pu.go.id/search-badan-usaha-detail/WnV6MlRvcmZqbHBYV0FkUGNFZXo4dz09</t>
        </is>
      </c>
      <c r="F105" t="n">
        <v>1</v>
      </c>
      <c r="G105" t="inlineStr">
        <is>
          <t>BS004</t>
        </is>
      </c>
      <c r="H105" t="inlineStr">
        <is>
          <t>24 Desember 2009</t>
        </is>
      </c>
      <c r="I105" s="2" t="n">
        <v>46277</v>
      </c>
      <c r="J105" t="inlineStr">
        <is>
          <t>Disetujui</t>
        </is>
      </c>
      <c r="K105" t="n">
        <v>60</v>
      </c>
      <c r="L105" t="inlineStr">
        <is>
          <t>12 September 2026</t>
        </is>
      </c>
      <c r="M105" t="inlineStr">
        <is>
          <t>Konstruksi Jaringan Irigasi dan Drainase</t>
        </is>
      </c>
      <c r="N105" t="inlineStr">
        <is>
          <t>K</t>
        </is>
      </c>
      <c r="O105" t="inlineStr">
        <is>
          <t>20230904</t>
        </is>
      </c>
      <c r="P105" t="inlineStr">
        <is>
          <t>Aceh</t>
        </is>
      </c>
      <c r="Q105" t="inlineStr"/>
    </row>
    <row r="106">
      <c r="A106" t="inlineStr">
        <is>
          <t>PUTRA SOFHIA PRATIWI</t>
        </is>
      </c>
      <c r="B106" t="inlineStr">
        <is>
          <t>Kab. Toba Samosir</t>
        </is>
      </c>
      <c r="C106" t="inlineStr">
        <is>
          <t>081265361540</t>
        </is>
      </c>
      <c r="D106" t="inlineStr">
        <is>
          <t>simangunsongandro2016@gmail.com</t>
        </is>
      </c>
      <c r="E106" t="inlineStr">
        <is>
          <t>https://lpjk.pu.go.id/search-badan-usaha-detail/cmdkRVlvNzk5S2RCZmJaMlhpVG9Pdz09</t>
        </is>
      </c>
      <c r="F106" t="n">
        <v>1</v>
      </c>
      <c r="G106" t="inlineStr">
        <is>
          <t>BG002</t>
        </is>
      </c>
      <c r="H106" t="inlineStr">
        <is>
          <t>25 Juli 2012</t>
        </is>
      </c>
      <c r="I106" s="2" t="n">
        <v>46277</v>
      </c>
      <c r="J106" t="inlineStr">
        <is>
          <t>Disetujui</t>
        </is>
      </c>
      <c r="K106" t="n">
        <v>60</v>
      </c>
      <c r="L106" t="inlineStr">
        <is>
          <t>12 September 2026</t>
        </is>
      </c>
      <c r="M106" t="inlineStr">
        <is>
          <t>Konstruksi Gedung Perkantoran</t>
        </is>
      </c>
      <c r="N106" t="inlineStr">
        <is>
          <t>K</t>
        </is>
      </c>
      <c r="O106" t="inlineStr">
        <is>
          <t>20230907</t>
        </is>
      </c>
      <c r="P106" t="inlineStr">
        <is>
          <t>Sumatera Utara</t>
        </is>
      </c>
      <c r="Q106" t="inlineStr"/>
    </row>
    <row r="107">
      <c r="A107" t="inlineStr">
        <is>
          <t>RAHMA JAYA KONTRAKTOR</t>
        </is>
      </c>
      <c r="B107" t="inlineStr">
        <is>
          <t>Kab. Seram Bagian Timur</t>
        </is>
      </c>
      <c r="C107" t="inlineStr">
        <is>
          <t>081247262011</t>
        </is>
      </c>
      <c r="D107" t="inlineStr">
        <is>
          <t>cvrahmajayakontraktor.oss@gmail.com</t>
        </is>
      </c>
      <c r="E107" t="inlineStr">
        <is>
          <t>https://lpjk.pu.go.id/search-badan-usaha-detail/TUNxVkpxclJFOEtWMUFzTTRlS0Vrdz09</t>
        </is>
      </c>
      <c r="F107" t="n">
        <v>1</v>
      </c>
      <c r="G107" t="inlineStr">
        <is>
          <t>BS010</t>
        </is>
      </c>
      <c r="H107" t="inlineStr">
        <is>
          <t>1 Juli 2022</t>
        </is>
      </c>
      <c r="I107" s="2" t="n">
        <v>46277</v>
      </c>
      <c r="J107" t="inlineStr">
        <is>
          <t>Disetujui</t>
        </is>
      </c>
      <c r="K107" t="n">
        <v>60</v>
      </c>
      <c r="L107" t="inlineStr">
        <is>
          <t>12 September 2026</t>
        </is>
      </c>
      <c r="M107" t="inlineStr">
        <is>
          <t>Konstruksi Bangunan Prasarana Sumber Daya Air</t>
        </is>
      </c>
      <c r="N107" t="inlineStr">
        <is>
          <t>K</t>
        </is>
      </c>
      <c r="O107" t="inlineStr">
        <is>
          <t>20230715</t>
        </is>
      </c>
      <c r="P107" t="inlineStr">
        <is>
          <t>Maluku</t>
        </is>
      </c>
      <c r="Q107" t="inlineStr"/>
    </row>
    <row r="108">
      <c r="A108" t="inlineStr">
        <is>
          <t>RAHMAN JAYA</t>
        </is>
      </c>
      <c r="B108" t="inlineStr">
        <is>
          <t>Kab. Minahasa Selatan</t>
        </is>
      </c>
      <c r="C108" t="inlineStr">
        <is>
          <t>08114317171</t>
        </is>
      </c>
      <c r="D108" t="inlineStr">
        <is>
          <t>cv.rahmanjaya123@gmail.com</t>
        </is>
      </c>
      <c r="E108" t="inlineStr">
        <is>
          <t>https://lpjk.pu.go.id/search-badan-usaha-detail/aXdLd1lxdnVodm02eXlHbVZSbUN6Zz09</t>
        </is>
      </c>
      <c r="F108" t="n">
        <v>2</v>
      </c>
      <c r="G108" t="inlineStr">
        <is>
          <t>IN001</t>
        </is>
      </c>
      <c r="H108" t="inlineStr">
        <is>
          <t>3 April 2020</t>
        </is>
      </c>
      <c r="I108" s="2" t="n">
        <v>46277</v>
      </c>
      <c r="J108" t="inlineStr">
        <is>
          <t>Pembekuan</t>
        </is>
      </c>
      <c r="K108" t="n">
        <v>60</v>
      </c>
      <c r="L108" t="inlineStr">
        <is>
          <t>12 September 2026</t>
        </is>
      </c>
      <c r="M108" t="inlineStr">
        <is>
          <t>Instalasi Mekanikal</t>
        </is>
      </c>
      <c r="N108" t="inlineStr">
        <is>
          <t>Spesialis</t>
        </is>
      </c>
      <c r="O108" t="inlineStr">
        <is>
          <t>20230905</t>
        </is>
      </c>
      <c r="P108" t="inlineStr">
        <is>
          <t>Sulawesi Utara</t>
        </is>
      </c>
      <c r="Q108" t="inlineStr"/>
    </row>
    <row r="109">
      <c r="A109" t="inlineStr">
        <is>
          <t>RAMA SUKSES MANDIRI</t>
        </is>
      </c>
      <c r="B109" t="inlineStr">
        <is>
          <t>Kota Semarang</t>
        </is>
      </c>
      <c r="C109" t="inlineStr">
        <is>
          <t>0248508134</t>
        </is>
      </c>
      <c r="D109" t="inlineStr">
        <is>
          <t>ptrama.sm@gmail.com</t>
        </is>
      </c>
      <c r="E109" t="inlineStr">
        <is>
          <t>https://lpjk.pu.go.id/search-badan-usaha-detail/WE81NUVDZGxacU9yQ3RGdGRBR1F3dz09</t>
        </is>
      </c>
      <c r="F109" t="n">
        <v>1</v>
      </c>
      <c r="G109" t="inlineStr">
        <is>
          <t>PL003</t>
        </is>
      </c>
      <c r="H109" t="inlineStr">
        <is>
          <t>22 Maret 2010</t>
        </is>
      </c>
      <c r="I109" s="2" t="n">
        <v>46277</v>
      </c>
      <c r="J109" t="inlineStr">
        <is>
          <t>Disetujui</t>
        </is>
      </c>
      <c r="K109" t="n">
        <v>60</v>
      </c>
      <c r="L109" t="inlineStr">
        <is>
          <t>12 September 2026</t>
        </is>
      </c>
      <c r="M109" t="inlineStr">
        <is>
          <t>Penyiapan Lahan Konstruksi</t>
        </is>
      </c>
      <c r="N109" t="inlineStr">
        <is>
          <t>Spesialis</t>
        </is>
      </c>
      <c r="O109" t="inlineStr">
        <is>
          <t>20230904</t>
        </is>
      </c>
      <c r="P109" t="inlineStr">
        <is>
          <t>Jawa Tengah</t>
        </is>
      </c>
      <c r="Q109" t="inlineStr"/>
    </row>
    <row r="110">
      <c r="A110" t="inlineStr">
        <is>
          <t>RIDWAN LESTARI</t>
        </is>
      </c>
      <c r="B110" t="inlineStr">
        <is>
          <t>Kota Palopo</t>
        </is>
      </c>
      <c r="C110" t="inlineStr">
        <is>
          <t>082189914128</t>
        </is>
      </c>
      <c r="D110" t="inlineStr">
        <is>
          <t>cv.ridwan.lestari@gmail.com</t>
        </is>
      </c>
      <c r="E110" t="inlineStr">
        <is>
          <t>https://lpjk.pu.go.id/search-badan-usaha-detail/TzJuN2hjL2lDcmR2cFhtNFBtQVNwQT09</t>
        </is>
      </c>
      <c r="F110" t="n">
        <v>1</v>
      </c>
      <c r="G110" t="inlineStr">
        <is>
          <t>BG002</t>
        </is>
      </c>
      <c r="H110" t="inlineStr">
        <is>
          <t>17 Juni 2005</t>
        </is>
      </c>
      <c r="I110" s="2" t="n">
        <v>46277</v>
      </c>
      <c r="J110" t="inlineStr">
        <is>
          <t>Disetujui</t>
        </is>
      </c>
      <c r="K110" t="n">
        <v>60</v>
      </c>
      <c r="L110" t="inlineStr">
        <is>
          <t>12 September 2026</t>
        </is>
      </c>
      <c r="M110" t="inlineStr">
        <is>
          <t>Konstruksi Gedung Perkantoran</t>
        </is>
      </c>
      <c r="N110" t="inlineStr">
        <is>
          <t>K</t>
        </is>
      </c>
      <c r="O110" t="inlineStr">
        <is>
          <t>20230911</t>
        </is>
      </c>
      <c r="P110" t="inlineStr">
        <is>
          <t>Sulawesi Selatan</t>
        </is>
      </c>
      <c r="Q110" t="inlineStr"/>
    </row>
    <row r="111">
      <c r="A111" t="inlineStr">
        <is>
          <t>SAHABAT TEKNIK ENERGI</t>
        </is>
      </c>
      <c r="B111" t="inlineStr">
        <is>
          <t>Kota Medan</t>
        </is>
      </c>
      <c r="C111" t="inlineStr">
        <is>
          <t>082110714717</t>
        </is>
      </c>
      <c r="D111" t="inlineStr">
        <is>
          <t>pt.sahabat.teknik.energi@gmail.com</t>
        </is>
      </c>
      <c r="E111" t="inlineStr">
        <is>
          <t>https://lpjk.pu.go.id/search-badan-usaha-detail/TnZTS2hudUxNMU9aRzg2U2lDdzFPZz09</t>
        </is>
      </c>
      <c r="F111" t="n">
        <v>1</v>
      </c>
      <c r="G111" t="inlineStr">
        <is>
          <t>BG003</t>
        </is>
      </c>
      <c r="H111" t="inlineStr">
        <is>
          <t>2 Juli 2022</t>
        </is>
      </c>
      <c r="I111" s="2" t="n">
        <v>46277</v>
      </c>
      <c r="J111" t="inlineStr">
        <is>
          <t>Disetujui</t>
        </is>
      </c>
      <c r="K111" t="n">
        <v>60</v>
      </c>
      <c r="L111" t="inlineStr">
        <is>
          <t>12 September 2026</t>
        </is>
      </c>
      <c r="M111" t="inlineStr">
        <is>
          <t>Konstruksi Gedung Industri</t>
        </is>
      </c>
      <c r="N111" t="inlineStr">
        <is>
          <t>K</t>
        </is>
      </c>
      <c r="O111" t="inlineStr">
        <is>
          <t>20230906</t>
        </is>
      </c>
      <c r="P111" t="inlineStr">
        <is>
          <t>Sumatera Utara</t>
        </is>
      </c>
      <c r="Q111" t="inlineStr"/>
    </row>
    <row r="112">
      <c r="A112" t="inlineStr">
        <is>
          <t>SANTIRA AGUNG</t>
        </is>
      </c>
      <c r="B112" t="inlineStr">
        <is>
          <t>Kota Medan</t>
        </is>
      </c>
      <c r="C112" t="inlineStr">
        <is>
          <t>81235753828</t>
        </is>
      </c>
      <c r="D112" t="inlineStr">
        <is>
          <t>santiraagung1@gmail.com</t>
        </is>
      </c>
      <c r="E112" t="inlineStr">
        <is>
          <t>https://lpjk.pu.go.id/search-badan-usaha-detail/eFNHNS8vRXVOTnMxclJmWmFsdEhuQT09</t>
        </is>
      </c>
      <c r="F112" t="n">
        <v>2</v>
      </c>
      <c r="G112" t="inlineStr">
        <is>
          <t>BS004, BS010</t>
        </is>
      </c>
      <c r="H112" t="inlineStr">
        <is>
          <t>28 Desember 2007</t>
        </is>
      </c>
      <c r="I112" s="2" t="n">
        <v>46277</v>
      </c>
      <c r="J112" t="inlineStr">
        <is>
          <t>Disetujui</t>
        </is>
      </c>
      <c r="K112" t="n">
        <v>60</v>
      </c>
      <c r="L112" t="inlineStr">
        <is>
          <t>12 September 2026</t>
        </is>
      </c>
      <c r="M112" t="inlineStr">
        <is>
          <t>Konstruksi Bangunan Prasarana Sumber Daya Air, Konstruksi Jaringan Irigasi dan Drainase</t>
        </is>
      </c>
      <c r="N112" t="inlineStr">
        <is>
          <t>K</t>
        </is>
      </c>
      <c r="O112" t="inlineStr">
        <is>
          <t>20230906</t>
        </is>
      </c>
      <c r="P112" t="inlineStr">
        <is>
          <t>Sumatera Utara</t>
        </is>
      </c>
      <c r="Q112" t="inlineStr"/>
    </row>
    <row r="113">
      <c r="A113" t="inlineStr">
        <is>
          <t>SATU INDONESIA KIRANA</t>
        </is>
      </c>
      <c r="B113" t="inlineStr">
        <is>
          <t>Kota Makassar</t>
        </is>
      </c>
      <c r="C113" t="inlineStr">
        <is>
          <t>0411830723</t>
        </is>
      </c>
      <c r="D113" t="inlineStr">
        <is>
          <t>pt.satuindonesiakirana@gmail.com</t>
        </is>
      </c>
      <c r="E113" t="inlineStr">
        <is>
          <t>https://lpjk.pu.go.id/search-badan-usaha-detail/aU4rc2syM2ZETGVaeFUyL1JkYzdpUT09</t>
        </is>
      </c>
      <c r="F113" t="n">
        <v>1</v>
      </c>
      <c r="G113" t="inlineStr">
        <is>
          <t>BG002</t>
        </is>
      </c>
      <c r="H113" t="inlineStr">
        <is>
          <t>5 Januari 2016</t>
        </is>
      </c>
      <c r="I113" s="2" t="n">
        <v>46277</v>
      </c>
      <c r="J113" t="inlineStr">
        <is>
          <t>Pembekuan</t>
        </is>
      </c>
      <c r="K113" t="n">
        <v>60</v>
      </c>
      <c r="L113" t="inlineStr">
        <is>
          <t>12 September 2026</t>
        </is>
      </c>
      <c r="M113" t="inlineStr">
        <is>
          <t>Konstruksi Gedung Perkantoran</t>
        </is>
      </c>
      <c r="N113" t="inlineStr">
        <is>
          <t>M</t>
        </is>
      </c>
      <c r="O113" t="inlineStr">
        <is>
          <t>20230911</t>
        </is>
      </c>
      <c r="P113" t="inlineStr">
        <is>
          <t>Sulawesi Selatan</t>
        </is>
      </c>
      <c r="Q113" t="inlineStr"/>
    </row>
    <row r="114">
      <c r="A114" t="inlineStr">
        <is>
          <t>SEKAR MULYA ABADI</t>
        </is>
      </c>
      <c r="B114" t="inlineStr">
        <is>
          <t>Kab. Muara Enim</t>
        </is>
      </c>
      <c r="C114" t="inlineStr">
        <is>
          <t>081278777434</t>
        </is>
      </c>
      <c r="D114" t="inlineStr">
        <is>
          <t>antonpinangbanjar@gmail.com</t>
        </is>
      </c>
      <c r="E114" t="inlineStr">
        <is>
          <t>https://lpjk.pu.go.id/search-badan-usaha-detail/QjhMelhhY2ZqVDd5SDBjeWttbTZFdz09</t>
        </is>
      </c>
      <c r="F114" t="n">
        <v>2</v>
      </c>
      <c r="G114" t="inlineStr">
        <is>
          <t>BS001</t>
        </is>
      </c>
      <c r="H114" t="inlineStr">
        <is>
          <t>2 Februari 2023</t>
        </is>
      </c>
      <c r="I114" s="2" t="n">
        <v>46277</v>
      </c>
      <c r="J114" t="inlineStr">
        <is>
          <t>Disetujui</t>
        </is>
      </c>
      <c r="K114" t="n">
        <v>60</v>
      </c>
      <c r="L114" t="inlineStr">
        <is>
          <t>12 September 2026</t>
        </is>
      </c>
      <c r="M114" t="inlineStr">
        <is>
          <t>Konstruksi Bangunan Sipil Jalan</t>
        </is>
      </c>
      <c r="N114" t="inlineStr">
        <is>
          <t>K</t>
        </is>
      </c>
      <c r="O114" t="inlineStr">
        <is>
          <t>20230907</t>
        </is>
      </c>
      <c r="P114" t="inlineStr">
        <is>
          <t>Sumatera Selatan</t>
        </is>
      </c>
      <c r="Q114" t="inlineStr"/>
    </row>
    <row r="115">
      <c r="A115" t="inlineStr">
        <is>
          <t>SINAR BINTANG</t>
        </is>
      </c>
      <c r="B115" t="inlineStr">
        <is>
          <t>Kab. Bandung</t>
        </is>
      </c>
      <c r="C115" t="inlineStr">
        <is>
          <t>081322964044</t>
        </is>
      </c>
      <c r="D115" t="inlineStr">
        <is>
          <t>sb681538@gmail.com</t>
        </is>
      </c>
      <c r="E115" t="inlineStr">
        <is>
          <t>https://lpjk.pu.go.id/search-badan-usaha-detail/OWk3eERUaTloOVhmNXBjVDlISjVMUT09</t>
        </is>
      </c>
      <c r="F115" t="n">
        <v>2</v>
      </c>
      <c r="G115" t="inlineStr">
        <is>
          <t>IN007, PB004</t>
        </is>
      </c>
      <c r="H115" t="inlineStr">
        <is>
          <t>8 Maret 2016</t>
        </is>
      </c>
      <c r="I115" s="2" t="n">
        <v>46277</v>
      </c>
      <c r="J115" t="inlineStr">
        <is>
          <t>Pembekuan, Pencabutan</t>
        </is>
      </c>
      <c r="K115" t="n">
        <v>60</v>
      </c>
      <c r="L115" t="inlineStr">
        <is>
          <t>12 September 2026</t>
        </is>
      </c>
      <c r="M115" t="inlineStr">
        <is>
          <t>Dekorasi Interior, Instalasi Saluran Air (Plambing)</t>
        </is>
      </c>
      <c r="N115" t="inlineStr">
        <is>
          <t>Spesialis</t>
        </is>
      </c>
      <c r="O115" t="inlineStr">
        <is>
          <t>20230909, 20230912</t>
        </is>
      </c>
      <c r="P115" t="inlineStr">
        <is>
          <t>Jawa Barat</t>
        </is>
      </c>
      <c r="Q115" t="inlineStr"/>
    </row>
    <row r="116">
      <c r="A116" t="inlineStr">
        <is>
          <t>SINAR JAYA ENERGI</t>
        </is>
      </c>
      <c r="B116" t="inlineStr">
        <is>
          <t>Kab. Lampung Timur</t>
        </is>
      </c>
      <c r="C116" t="inlineStr">
        <is>
          <t>081379527899</t>
        </is>
      </c>
      <c r="D116" t="inlineStr">
        <is>
          <t>sinarjayaenergy@gmail.com</t>
        </is>
      </c>
      <c r="E116" t="inlineStr">
        <is>
          <t>https://lpjk.pu.go.id/search-badan-usaha-detail/OWNqSzdTdlkxK3RFUldyWnJLSUk5QT09</t>
        </is>
      </c>
      <c r="F116" t="n">
        <v>1</v>
      </c>
      <c r="G116" t="inlineStr">
        <is>
          <t>BG009</t>
        </is>
      </c>
      <c r="H116" t="inlineStr">
        <is>
          <t>28 November 2013</t>
        </is>
      </c>
      <c r="I116" s="2" t="n">
        <v>46277</v>
      </c>
      <c r="J116" t="inlineStr">
        <is>
          <t>Disetujui</t>
        </is>
      </c>
      <c r="K116" t="n">
        <v>60</v>
      </c>
      <c r="L116" t="inlineStr">
        <is>
          <t>12 September 2026</t>
        </is>
      </c>
      <c r="M116" t="inlineStr">
        <is>
          <t>Konstruksi Gedung Lainnya</t>
        </is>
      </c>
      <c r="N116" t="inlineStr">
        <is>
          <t>K</t>
        </is>
      </c>
      <c r="O116" t="inlineStr">
        <is>
          <t>20230908</t>
        </is>
      </c>
      <c r="P116" t="inlineStr">
        <is>
          <t>Lampung</t>
        </is>
      </c>
      <c r="Q116" t="inlineStr"/>
    </row>
    <row r="117">
      <c r="A117" t="inlineStr">
        <is>
          <t>SINAR KEMUNING</t>
        </is>
      </c>
      <c r="B117" t="inlineStr">
        <is>
          <t>Kab. Cilacap</t>
        </is>
      </c>
      <c r="C117" t="inlineStr">
        <is>
          <t>085725780345</t>
        </is>
      </c>
      <c r="D117" t="inlineStr">
        <is>
          <t>sinarkemuningcv@gmail.com</t>
        </is>
      </c>
      <c r="E117" t="inlineStr">
        <is>
          <t>https://lpjk.pu.go.id/search-badan-usaha-detail/czUyY1A1Z0R3Si9GZlV1a2cxT0ZQZz09</t>
        </is>
      </c>
      <c r="F117" t="n">
        <v>6</v>
      </c>
      <c r="G117" t="inlineStr">
        <is>
          <t>BG002, BG004, BG005, BG006, BS002, BS004</t>
        </is>
      </c>
      <c r="H117" t="inlineStr">
        <is>
          <t>1 September 1986</t>
        </is>
      </c>
      <c r="I117" s="2" t="n">
        <v>46277</v>
      </c>
      <c r="J117" t="inlineStr">
        <is>
          <t>Disetujui</t>
        </is>
      </c>
      <c r="K117" t="n">
        <v>60</v>
      </c>
      <c r="L117" t="inlineStr">
        <is>
          <t>12 September 2026</t>
        </is>
      </c>
      <c r="M117" t="inlineStr">
        <is>
          <t>Bangunan Sipil Jembatan, Jalan Layang, Fly Over, dan Underpass, Konstruksi Gedung Kesehatan, Konstruksi Gedung Pendidikan, Konstruksi Gedung Perbelanjaan, Konstruksi Gedung Perkantoran, Konstruksi Jaringan Irigasi dan Drainase</t>
        </is>
      </c>
      <c r="N117" t="inlineStr">
        <is>
          <t>K</t>
        </is>
      </c>
      <c r="O117" t="inlineStr">
        <is>
          <t>20230815, 20230907</t>
        </is>
      </c>
      <c r="P117" t="inlineStr">
        <is>
          <t>Jawa Tengah</t>
        </is>
      </c>
      <c r="Q117" t="inlineStr"/>
    </row>
    <row r="118">
      <c r="A118" t="inlineStr">
        <is>
          <t>SINAR PUTRA SANTOSO</t>
        </is>
      </c>
      <c r="B118" t="inlineStr">
        <is>
          <t>Kab. Cirebon</t>
        </is>
      </c>
      <c r="C118" t="inlineStr">
        <is>
          <t>082227221001</t>
        </is>
      </c>
      <c r="D118" t="inlineStr">
        <is>
          <t>sinarputrasantoso@ymail.com</t>
        </is>
      </c>
      <c r="E118" t="inlineStr">
        <is>
          <t>https://lpjk.pu.go.id/search-badan-usaha-detail/dVJRU2VscTJ2Vzlpak1odmY0eTRtdz09</t>
        </is>
      </c>
      <c r="F118" t="n">
        <v>1</v>
      </c>
      <c r="G118" t="inlineStr">
        <is>
          <t>BG006</t>
        </is>
      </c>
      <c r="H118" t="inlineStr">
        <is>
          <t>27 Agustus 2003</t>
        </is>
      </c>
      <c r="I118" s="2" t="n">
        <v>46277</v>
      </c>
      <c r="J118" t="inlineStr">
        <is>
          <t>Disetujui</t>
        </is>
      </c>
      <c r="K118" t="n">
        <v>60</v>
      </c>
      <c r="L118" t="inlineStr">
        <is>
          <t>12 September 2026</t>
        </is>
      </c>
      <c r="M118" t="inlineStr">
        <is>
          <t>Konstruksi Gedung Pendidikan</t>
        </is>
      </c>
      <c r="N118" t="inlineStr">
        <is>
          <t>K</t>
        </is>
      </c>
      <c r="O118" t="inlineStr">
        <is>
          <t>20230908</t>
        </is>
      </c>
      <c r="P118" t="inlineStr">
        <is>
          <t>Jawa Barat</t>
        </is>
      </c>
      <c r="Q118" t="inlineStr"/>
    </row>
    <row r="119">
      <c r="A119" t="inlineStr">
        <is>
          <t>SRIKANDI NAWASENA PAPUA</t>
        </is>
      </c>
      <c r="B119" t="inlineStr">
        <is>
          <t>Kab. Merauke</t>
        </is>
      </c>
      <c r="C119" t="inlineStr">
        <is>
          <t>082250688488</t>
        </is>
      </c>
      <c r="D119" t="inlineStr">
        <is>
          <t>cvsrikandinawasenapapua@gmail.com</t>
        </is>
      </c>
      <c r="E119" t="inlineStr">
        <is>
          <t>https://lpjk.pu.go.id/search-badan-usaha-detail/ZEZSVGdERzdqeUJUYUMrQklEU2dGQT09</t>
        </is>
      </c>
      <c r="F119" t="n">
        <v>1</v>
      </c>
      <c r="G119" t="inlineStr">
        <is>
          <t>BS004</t>
        </is>
      </c>
      <c r="H119" t="inlineStr">
        <is>
          <t>26 Juli 2023</t>
        </is>
      </c>
      <c r="I119" s="2" t="n">
        <v>46277</v>
      </c>
      <c r="J119" t="inlineStr">
        <is>
          <t>Disetujui</t>
        </is>
      </c>
      <c r="K119" t="n">
        <v>60</v>
      </c>
      <c r="L119" t="inlineStr">
        <is>
          <t>12 September 2026</t>
        </is>
      </c>
      <c r="M119" t="inlineStr">
        <is>
          <t>Konstruksi Jaringan Irigasi dan Drainase</t>
        </is>
      </c>
      <c r="N119" t="inlineStr">
        <is>
          <t>K</t>
        </is>
      </c>
      <c r="O119" t="inlineStr">
        <is>
          <t>20230905</t>
        </is>
      </c>
      <c r="P119" t="inlineStr">
        <is>
          <t>Papua Selatan</t>
        </is>
      </c>
      <c r="Q119" t="inlineStr"/>
    </row>
    <row r="120">
      <c r="A120" t="inlineStr">
        <is>
          <t>SUMBER REJEKI STEEL</t>
        </is>
      </c>
      <c r="B120" t="inlineStr">
        <is>
          <t>Kab. Lumajang</t>
        </is>
      </c>
      <c r="C120" t="inlineStr">
        <is>
          <t>085234014118</t>
        </is>
      </c>
      <c r="D120" t="inlineStr">
        <is>
          <t>pt.srs.engineering@gmail.com</t>
        </is>
      </c>
      <c r="E120" t="inlineStr">
        <is>
          <t>https://lpjk.pu.go.id/search-badan-usaha-detail/RnA2QldNUncxZ2drWVB0K1JZMmpDdz09</t>
        </is>
      </c>
      <c r="F120" t="n">
        <v>4</v>
      </c>
      <c r="G120" t="inlineStr">
        <is>
          <t>BG003, BG009</t>
        </is>
      </c>
      <c r="H120" t="inlineStr">
        <is>
          <t>27 Agustus 2020</t>
        </is>
      </c>
      <c r="I120" s="2" t="n">
        <v>46277</v>
      </c>
      <c r="J120" t="inlineStr">
        <is>
          <t>Disetujui</t>
        </is>
      </c>
      <c r="K120" t="n">
        <v>60</v>
      </c>
      <c r="L120" t="inlineStr">
        <is>
          <t>12 September 2026</t>
        </is>
      </c>
      <c r="M120" t="inlineStr">
        <is>
          <t>Konstruksi Gedung Industri, Konstruksi Gedung Lainnya</t>
        </is>
      </c>
      <c r="N120" t="inlineStr">
        <is>
          <t>K</t>
        </is>
      </c>
      <c r="O120" t="inlineStr">
        <is>
          <t>20230906, N/A</t>
        </is>
      </c>
      <c r="P120" t="inlineStr">
        <is>
          <t>Jawa Timur</t>
        </is>
      </c>
      <c r="Q120" t="inlineStr"/>
    </row>
    <row r="121">
      <c r="A121" t="inlineStr">
        <is>
          <t>TATA GEMA PERSADA</t>
        </is>
      </c>
      <c r="B121" t="inlineStr">
        <is>
          <t>Kab. Pasuruan</t>
        </is>
      </c>
      <c r="C121" t="inlineStr">
        <is>
          <t>0</t>
        </is>
      </c>
      <c r="D121" t="inlineStr">
        <is>
          <t>tatagema220@gmail.com</t>
        </is>
      </c>
      <c r="E121" t="inlineStr">
        <is>
          <t>https://lpjk.pu.go.id/search-badan-usaha-detail/bGtUWXdSMTJoUmdMblpTRmFPTk54QT09</t>
        </is>
      </c>
      <c r="F121" t="n">
        <v>1</v>
      </c>
      <c r="G121" t="inlineStr">
        <is>
          <t>BS001</t>
        </is>
      </c>
      <c r="H121" t="inlineStr">
        <is>
          <t>14 Februari 2007</t>
        </is>
      </c>
      <c r="I121" s="2" t="n">
        <v>46277</v>
      </c>
      <c r="J121" t="inlineStr">
        <is>
          <t>Disetujui</t>
        </is>
      </c>
      <c r="K121" t="n">
        <v>60</v>
      </c>
      <c r="L121" t="inlineStr">
        <is>
          <t>12 September 2026</t>
        </is>
      </c>
      <c r="M121" t="inlineStr">
        <is>
          <t>Konstruksi Bangunan Sipil Jalan</t>
        </is>
      </c>
      <c r="N121" t="inlineStr">
        <is>
          <t>K</t>
        </is>
      </c>
      <c r="O121" t="inlineStr">
        <is>
          <t>20230909</t>
        </is>
      </c>
      <c r="P121" t="inlineStr">
        <is>
          <t>Jawa Timur</t>
        </is>
      </c>
      <c r="Q121" t="inlineStr"/>
    </row>
    <row r="122">
      <c r="A122" t="inlineStr">
        <is>
          <t>TELATENIKA JAYA</t>
        </is>
      </c>
      <c r="B122" t="inlineStr">
        <is>
          <t>Kab. Cirebon</t>
        </is>
      </c>
      <c r="C122" t="inlineStr">
        <is>
          <t>0231205504</t>
        </is>
      </c>
      <c r="D122" t="inlineStr">
        <is>
          <t>telatenika@yahoo.co.id</t>
        </is>
      </c>
      <c r="E122" t="inlineStr">
        <is>
          <t>https://lpjk.pu.go.id/search-badan-usaha-detail/T0ZKT1NIbitveS9tRkdKWnhodGhSdz09</t>
        </is>
      </c>
      <c r="F122" t="n">
        <v>1</v>
      </c>
      <c r="G122" t="inlineStr">
        <is>
          <t>BS002</t>
        </is>
      </c>
      <c r="H122" t="inlineStr">
        <is>
          <t>24 April 2008</t>
        </is>
      </c>
      <c r="I122" s="2" t="n">
        <v>46277</v>
      </c>
      <c r="J122" t="inlineStr">
        <is>
          <t>Pembekuan</t>
        </is>
      </c>
      <c r="K122" t="n">
        <v>60</v>
      </c>
      <c r="L122" t="inlineStr">
        <is>
          <t>12 September 2026</t>
        </is>
      </c>
      <c r="M122" t="inlineStr">
        <is>
          <t>Bangunan Sipil Jembatan, Jalan Layang, Fly Over, dan Underpass</t>
        </is>
      </c>
      <c r="N122" t="inlineStr">
        <is>
          <t>M</t>
        </is>
      </c>
      <c r="O122" t="inlineStr">
        <is>
          <t>20230911</t>
        </is>
      </c>
      <c r="P122" t="inlineStr">
        <is>
          <t>Jawa Barat</t>
        </is>
      </c>
      <c r="Q122" t="inlineStr"/>
    </row>
    <row r="123">
      <c r="A123" t="inlineStr">
        <is>
          <t>TERATAI INDAH CEMERLANG</t>
        </is>
      </c>
      <c r="B123" t="inlineStr">
        <is>
          <t>Kab. Kutai Timur</t>
        </is>
      </c>
      <c r="C123" t="inlineStr">
        <is>
          <t>081352579999</t>
        </is>
      </c>
      <c r="D123" t="inlineStr">
        <is>
          <t>pt.terataiindahcemerlang@gmail.com</t>
        </is>
      </c>
      <c r="E123" t="inlineStr">
        <is>
          <t>https://lpjk.pu.go.id/search-badan-usaha-detail/blVNUUVRWmFMSVhzdkh2bVZKVGd6dz09</t>
        </is>
      </c>
      <c r="F123" t="n">
        <v>2</v>
      </c>
      <c r="G123" t="inlineStr">
        <is>
          <t>BG006, BG009</t>
        </is>
      </c>
      <c r="H123" t="inlineStr">
        <is>
          <t>10 Mei 2021</t>
        </is>
      </c>
      <c r="I123" s="2" t="n">
        <v>46277</v>
      </c>
      <c r="J123" t="inlineStr">
        <is>
          <t>Disetujui</t>
        </is>
      </c>
      <c r="K123" t="n">
        <v>60</v>
      </c>
      <c r="L123" t="inlineStr">
        <is>
          <t>12 September 2026</t>
        </is>
      </c>
      <c r="M123" t="inlineStr">
        <is>
          <t>Konstruksi Gedung Lainnya, Konstruksi Gedung Pendidikan</t>
        </is>
      </c>
      <c r="N123" t="inlineStr">
        <is>
          <t>K</t>
        </is>
      </c>
      <c r="O123" t="inlineStr">
        <is>
          <t>20230912</t>
        </is>
      </c>
      <c r="P123" t="inlineStr">
        <is>
          <t>Kalimantan Timur</t>
        </is>
      </c>
      <c r="Q123" t="inlineStr"/>
    </row>
    <row r="124">
      <c r="A124" t="inlineStr">
        <is>
          <t>TIANJIN DEGONG CONSTRUCTION ENGINEERING CO., LTD</t>
        </is>
      </c>
      <c r="B124" t="inlineStr">
        <is>
          <t>Kota Adm. Jakarta Utara</t>
        </is>
      </c>
      <c r="C124" t="inlineStr">
        <is>
          <t>13932939699</t>
        </is>
      </c>
      <c r="D124" t="inlineStr">
        <is>
          <t>13932939699@139.com</t>
        </is>
      </c>
      <c r="E124" t="inlineStr">
        <is>
          <t>https://lpjk.pu.go.id/search-badan-usaha-detail/UFg4T0VSVVgvckEyQVR3YzhpTnZVUT09</t>
        </is>
      </c>
      <c r="F124" t="n">
        <v>1</v>
      </c>
      <c r="G124" t="inlineStr">
        <is>
          <t>BG003</t>
        </is>
      </c>
      <c r="H124" t="inlineStr">
        <is>
          <t>10 Juni 2021</t>
        </is>
      </c>
      <c r="I124" s="2" t="n">
        <v>46277</v>
      </c>
      <c r="J124" t="inlineStr">
        <is>
          <t>Disetujui</t>
        </is>
      </c>
      <c r="K124" t="n">
        <v>60</v>
      </c>
      <c r="L124" t="inlineStr">
        <is>
          <t>12 September 2026</t>
        </is>
      </c>
      <c r="M124" t="inlineStr">
        <is>
          <t>Konstruksi Gedung Industri</t>
        </is>
      </c>
      <c r="N124" t="inlineStr">
        <is>
          <t>B</t>
        </is>
      </c>
      <c r="O124" t="inlineStr">
        <is>
          <t>20230905</t>
        </is>
      </c>
      <c r="P124" t="inlineStr">
        <is>
          <t>DKI Jakarta</t>
        </is>
      </c>
      <c r="Q124" t="inlineStr"/>
    </row>
    <row r="125">
      <c r="A125" t="inlineStr">
        <is>
          <t>TITANIA CIPTA KONSULTAN</t>
        </is>
      </c>
      <c r="B125" t="inlineStr">
        <is>
          <t>Kota Palembang</t>
        </is>
      </c>
      <c r="C125" t="inlineStr">
        <is>
          <t>0812-7126-371</t>
        </is>
      </c>
      <c r="D125" t="inlineStr">
        <is>
          <t>titaniaciptakonsultan@gmail.com</t>
        </is>
      </c>
      <c r="E125" t="inlineStr">
        <is>
          <t>https://lpjk.pu.go.id/search-badan-usaha-detail/c05uY3cxUDFYK1pqVGsxZy9rTWxmZz09</t>
        </is>
      </c>
      <c r="F125" t="n">
        <v>1</v>
      </c>
      <c r="G125" t="inlineStr">
        <is>
          <t>RK003</t>
        </is>
      </c>
      <c r="H125" t="inlineStr">
        <is>
          <t>12 Desember 2006</t>
        </is>
      </c>
      <c r="I125" s="2" t="n">
        <v>46277</v>
      </c>
      <c r="J125" t="inlineStr">
        <is>
          <t>Disetujui</t>
        </is>
      </c>
      <c r="K125" t="n">
        <v>60</v>
      </c>
      <c r="L125" t="inlineStr">
        <is>
          <t>12 September 2026</t>
        </is>
      </c>
      <c r="M125" t="inlineStr">
        <is>
          <t>Jasa Rekayasa Pekerjaan Teknik Sipil Transportasi</t>
        </is>
      </c>
      <c r="N125" t="inlineStr">
        <is>
          <t>K</t>
        </is>
      </c>
      <c r="O125" t="inlineStr">
        <is>
          <t>20230905</t>
        </is>
      </c>
      <c r="P125" t="inlineStr">
        <is>
          <t>Sumatera Selatan</t>
        </is>
      </c>
      <c r="Q125" t="inlineStr"/>
    </row>
    <row r="126">
      <c r="A126" t="inlineStr">
        <is>
          <t>TONY ENVI REKAYASA</t>
        </is>
      </c>
      <c r="B126" t="inlineStr">
        <is>
          <t>Kota Bandung</t>
        </is>
      </c>
      <c r="C126" t="inlineStr">
        <is>
          <t>082120216888</t>
        </is>
      </c>
      <c r="D126" t="inlineStr">
        <is>
          <t>tera.envi@gmail.com</t>
        </is>
      </c>
      <c r="E126" t="inlineStr">
        <is>
          <t>https://lpjk.pu.go.id/search-badan-usaha-detail/UWVlbHdBbmhnSmxnTFNRWi9hd0Q0Zz09</t>
        </is>
      </c>
      <c r="F126" t="n">
        <v>1</v>
      </c>
      <c r="G126" t="inlineStr">
        <is>
          <t>BS001</t>
        </is>
      </c>
      <c r="H126" t="inlineStr">
        <is>
          <t>27 Juli 2023</t>
        </is>
      </c>
      <c r="I126" s="2" t="n">
        <v>46277</v>
      </c>
      <c r="J126" t="inlineStr">
        <is>
          <t>Disetujui</t>
        </is>
      </c>
      <c r="K126" t="n">
        <v>60</v>
      </c>
      <c r="L126" t="inlineStr">
        <is>
          <t>12 September 2026</t>
        </is>
      </c>
      <c r="M126" t="inlineStr">
        <is>
          <t>Konstruksi Bangunan Sipil Jalan</t>
        </is>
      </c>
      <c r="N126" t="inlineStr">
        <is>
          <t>K</t>
        </is>
      </c>
      <c r="O126" t="inlineStr">
        <is>
          <t>20230828</t>
        </is>
      </c>
      <c r="P126" t="inlineStr">
        <is>
          <t>Jawa Barat</t>
        </is>
      </c>
      <c r="Q126" t="inlineStr"/>
    </row>
    <row r="127">
      <c r="A127" t="inlineStr">
        <is>
          <t>TRI DARMA PERDANA</t>
        </is>
      </c>
      <c r="B127" t="inlineStr">
        <is>
          <t>Kota Mataram</t>
        </is>
      </c>
      <c r="C127" t="inlineStr">
        <is>
          <t>087865837999</t>
        </is>
      </c>
      <c r="D127" t="inlineStr">
        <is>
          <t>tridarmaperdana@yahoo.co.id</t>
        </is>
      </c>
      <c r="E127" t="inlineStr">
        <is>
          <t>https://lpjk.pu.go.id/search-badan-usaha-detail/UndWZHREdlQ1aVozOEtSOFNvMXgwUT09</t>
        </is>
      </c>
      <c r="F127" t="n">
        <v>2</v>
      </c>
      <c r="G127" t="inlineStr">
        <is>
          <t>BG006, BG009</t>
        </is>
      </c>
      <c r="H127" t="inlineStr">
        <is>
          <t>22 Desember 2000</t>
        </is>
      </c>
      <c r="I127" s="2" t="n">
        <v>46277</v>
      </c>
      <c r="J127" t="inlineStr">
        <is>
          <t>Disetujui</t>
        </is>
      </c>
      <c r="K127" t="n">
        <v>60</v>
      </c>
      <c r="L127" t="inlineStr">
        <is>
          <t>12 September 2026</t>
        </is>
      </c>
      <c r="M127" t="inlineStr">
        <is>
          <t>Konstruksi Gedung Lainnya, Konstruksi Gedung Pendidikan</t>
        </is>
      </c>
      <c r="N127" t="inlineStr">
        <is>
          <t>K</t>
        </is>
      </c>
      <c r="O127" t="inlineStr">
        <is>
          <t>20230904, 20230908</t>
        </is>
      </c>
      <c r="P127" t="inlineStr">
        <is>
          <t>Nusa Tenggara Barat</t>
        </is>
      </c>
      <c r="Q127" t="inlineStr"/>
    </row>
    <row r="128">
      <c r="A128" t="inlineStr">
        <is>
          <t>TRIA CIPTA GUNA</t>
        </is>
      </c>
      <c r="B128" t="inlineStr">
        <is>
          <t>Kota Surabaya</t>
        </is>
      </c>
      <c r="C128" t="inlineStr">
        <is>
          <t>081357755797</t>
        </is>
      </c>
      <c r="D128" t="inlineStr">
        <is>
          <t>3ciptaguna@gmail.com</t>
        </is>
      </c>
      <c r="E128" t="inlineStr">
        <is>
          <t>https://lpjk.pu.go.id/search-badan-usaha-detail/b2o0SEo4QUJYS0oxZEtsR0hnV2JNZz09</t>
        </is>
      </c>
      <c r="F128" t="n">
        <v>1</v>
      </c>
      <c r="G128" t="inlineStr">
        <is>
          <t>BS001</t>
        </is>
      </c>
      <c r="H128" t="inlineStr">
        <is>
          <t>19 Agustus 2022</t>
        </is>
      </c>
      <c r="I128" s="2" t="n">
        <v>46277</v>
      </c>
      <c r="J128" t="inlineStr">
        <is>
          <t>Pencabutan</t>
        </is>
      </c>
      <c r="K128" t="n">
        <v>60</v>
      </c>
      <c r="L128" t="inlineStr">
        <is>
          <t>12 September 2026</t>
        </is>
      </c>
      <c r="M128" t="inlineStr">
        <is>
          <t>Konstruksi Bangunan Sipil Jalan</t>
        </is>
      </c>
      <c r="N128" t="inlineStr">
        <is>
          <t>K</t>
        </is>
      </c>
      <c r="O128" t="inlineStr">
        <is>
          <t>20230609</t>
        </is>
      </c>
      <c r="P128" t="inlineStr">
        <is>
          <t>Jawa Timur</t>
        </is>
      </c>
      <c r="Q128" t="inlineStr"/>
    </row>
    <row r="129">
      <c r="A129" t="inlineStr">
        <is>
          <t>TUAH PERSADA PERKASA</t>
        </is>
      </c>
      <c r="B129" t="inlineStr">
        <is>
          <t>Kab. Aceh Besar</t>
        </is>
      </c>
      <c r="C129" t="inlineStr">
        <is>
          <t>085336730667</t>
        </is>
      </c>
      <c r="D129" t="inlineStr">
        <is>
          <t>tuahpersadaperkasa@gmail.com</t>
        </is>
      </c>
      <c r="E129" t="inlineStr">
        <is>
          <t>https://lpjk.pu.go.id/search-badan-usaha-detail/Wk9naEI2RDlRRTFkU2syajhjQjNwUT09</t>
        </is>
      </c>
      <c r="F129" t="n">
        <v>3</v>
      </c>
      <c r="G129" t="inlineStr">
        <is>
          <t>BG006, BG009, BS001</t>
        </is>
      </c>
      <c r="H129" t="inlineStr">
        <is>
          <t>4 Juni 2008</t>
        </is>
      </c>
      <c r="I129" s="2" t="n">
        <v>46277</v>
      </c>
      <c r="J129" t="inlineStr">
        <is>
          <t>Disetujui, Pencabutan</t>
        </is>
      </c>
      <c r="K129" t="n">
        <v>60</v>
      </c>
      <c r="L129" t="inlineStr">
        <is>
          <t>12 September 2026</t>
        </is>
      </c>
      <c r="M129" t="inlineStr">
        <is>
          <t>Konstruksi Bangunan Sipil Jalan, Konstruksi Gedung Lainnya, Konstruksi Gedung Pendidikan</t>
        </is>
      </c>
      <c r="N129" t="inlineStr">
        <is>
          <t>K</t>
        </is>
      </c>
      <c r="O129" t="inlineStr">
        <is>
          <t>20230913</t>
        </is>
      </c>
      <c r="P129" t="inlineStr">
        <is>
          <t>Aceh</t>
        </is>
      </c>
      <c r="Q129" t="inlineStr"/>
    </row>
    <row r="130">
      <c r="A130" t="inlineStr">
        <is>
          <t>TUJUH PILAR PATINRA</t>
        </is>
      </c>
      <c r="B130" t="inlineStr">
        <is>
          <t>Kota Palu</t>
        </is>
      </c>
      <c r="C130" t="inlineStr">
        <is>
          <t>085375184822</t>
        </is>
      </c>
      <c r="D130" t="inlineStr">
        <is>
          <t>cvtujuhpilarpatinra@gmail.com</t>
        </is>
      </c>
      <c r="E130" t="inlineStr">
        <is>
          <t>https://lpjk.pu.go.id/search-badan-usaha-detail/T0dBT0JBSlp5ekkxZkFzMjRVV1Nodz09</t>
        </is>
      </c>
      <c r="F130" t="n">
        <v>2</v>
      </c>
      <c r="G130" t="inlineStr">
        <is>
          <t>BS001, BS004</t>
        </is>
      </c>
      <c r="H130" t="inlineStr">
        <is>
          <t>24 Juli 2023</t>
        </is>
      </c>
      <c r="I130" s="2" t="n">
        <v>46277</v>
      </c>
      <c r="J130" t="inlineStr">
        <is>
          <t>Disetujui</t>
        </is>
      </c>
      <c r="K130" t="n">
        <v>60</v>
      </c>
      <c r="L130" t="inlineStr">
        <is>
          <t>12 September 2026</t>
        </is>
      </c>
      <c r="M130" t="inlineStr">
        <is>
          <t>Konstruksi Bangunan Sipil Jalan, Konstruksi Jaringan Irigasi dan Drainase</t>
        </is>
      </c>
      <c r="N130" t="inlineStr">
        <is>
          <t>K</t>
        </is>
      </c>
      <c r="O130" t="inlineStr">
        <is>
          <t>20230911</t>
        </is>
      </c>
      <c r="P130" t="inlineStr">
        <is>
          <t>Sulawesi Tengah</t>
        </is>
      </c>
      <c r="Q130" t="inlineStr"/>
    </row>
    <row r="131">
      <c r="A131" t="inlineStr">
        <is>
          <t>TUNAS BESTARI ADHIWANGSA</t>
        </is>
      </c>
      <c r="B131" t="inlineStr">
        <is>
          <t>Kota Surabaya</t>
        </is>
      </c>
      <c r="C131" t="inlineStr">
        <is>
          <t>081217179944</t>
        </is>
      </c>
      <c r="D131" t="inlineStr">
        <is>
          <t>pt.tunasbestariadhiwangsa@gmail.com</t>
        </is>
      </c>
      <c r="E131" t="inlineStr">
        <is>
          <t>https://lpjk.pu.go.id/search-badan-usaha-detail/T2FUa1lDYzgyVlc5cHBBZ29YWWFWUT09</t>
        </is>
      </c>
      <c r="F131" t="n">
        <v>1</v>
      </c>
      <c r="G131" t="inlineStr">
        <is>
          <t>RK005</t>
        </is>
      </c>
      <c r="H131" t="inlineStr">
        <is>
          <t>8 April 2023</t>
        </is>
      </c>
      <c r="I131" s="2" t="n">
        <v>46277</v>
      </c>
      <c r="J131" t="inlineStr">
        <is>
          <t>Disetujui</t>
        </is>
      </c>
      <c r="K131" t="n">
        <v>60</v>
      </c>
      <c r="L131" t="inlineStr">
        <is>
          <t>12 September 2026</t>
        </is>
      </c>
      <c r="M131" t="inlineStr">
        <is>
          <t>Jasa Rekayasa Lainnya</t>
        </is>
      </c>
      <c r="N131" t="inlineStr">
        <is>
          <t>K</t>
        </is>
      </c>
      <c r="O131" t="inlineStr">
        <is>
          <t>20230901</t>
        </is>
      </c>
      <c r="P131" t="inlineStr">
        <is>
          <t>Jawa Timur</t>
        </is>
      </c>
      <c r="Q131" t="inlineStr"/>
    </row>
    <row r="132">
      <c r="A132" t="inlineStr">
        <is>
          <t>USAHA PERDANA JAYA</t>
        </is>
      </c>
      <c r="B132" t="inlineStr">
        <is>
          <t>Kab. Langkat</t>
        </is>
      </c>
      <c r="C132" t="inlineStr">
        <is>
          <t>082163214918</t>
        </is>
      </c>
      <c r="D132" t="inlineStr">
        <is>
          <t>cv.usahaperdanajaya@datangyuk.site</t>
        </is>
      </c>
      <c r="E132" t="inlineStr">
        <is>
          <t>https://lpjk.pu.go.id/search-badan-usaha-detail/Q09qQUtPWGZOVTBrZ1YwVXpPV29Idz09</t>
        </is>
      </c>
      <c r="F132" t="n">
        <v>1</v>
      </c>
      <c r="G132" t="inlineStr">
        <is>
          <t>BS001</t>
        </is>
      </c>
      <c r="H132" t="inlineStr">
        <is>
          <t>25 Januari 2023</t>
        </is>
      </c>
      <c r="I132" s="2" t="n">
        <v>46277</v>
      </c>
      <c r="J132" t="inlineStr">
        <is>
          <t>Disetujui</t>
        </is>
      </c>
      <c r="K132" t="n">
        <v>60</v>
      </c>
      <c r="L132" t="inlineStr">
        <is>
          <t>12 September 2026</t>
        </is>
      </c>
      <c r="M132" t="inlineStr">
        <is>
          <t>Konstruksi Bangunan Sipil Jalan</t>
        </is>
      </c>
      <c r="N132" t="inlineStr">
        <is>
          <t>K</t>
        </is>
      </c>
      <c r="O132" t="inlineStr">
        <is>
          <t>20230908</t>
        </is>
      </c>
      <c r="P132" t="inlineStr">
        <is>
          <t>Sumatera Utara</t>
        </is>
      </c>
      <c r="Q132" t="inlineStr"/>
    </row>
    <row r="133">
      <c r="A133" t="inlineStr">
        <is>
          <t>UTAMA KARYA ALMEIRA</t>
        </is>
      </c>
      <c r="B133" t="inlineStr">
        <is>
          <t>Kota Palembang</t>
        </is>
      </c>
      <c r="C133" t="inlineStr">
        <is>
          <t>081367934123</t>
        </is>
      </c>
      <c r="D133" t="inlineStr">
        <is>
          <t>almeiraalmeira.cv@gmail.com</t>
        </is>
      </c>
      <c r="E133" t="inlineStr">
        <is>
          <t>https://lpjk.pu.go.id/search-badan-usaha-detail/aGtKZnJRNjY0U1pJMjBHWXA3QVNZQT09</t>
        </is>
      </c>
      <c r="F133" t="n">
        <v>1</v>
      </c>
      <c r="G133" t="inlineStr">
        <is>
          <t>BS005</t>
        </is>
      </c>
      <c r="H133" t="inlineStr">
        <is>
          <t>15 Desember 2022</t>
        </is>
      </c>
      <c r="I133" s="2" t="n">
        <v>46277</v>
      </c>
      <c r="J133" t="inlineStr">
        <is>
          <t>Disetujui</t>
        </is>
      </c>
      <c r="K133" t="n">
        <v>60</v>
      </c>
      <c r="L133" t="inlineStr">
        <is>
          <t>12 September 2026</t>
        </is>
      </c>
      <c r="M133" t="inlineStr">
        <is>
          <t>Konstruksi Bangunan Sipil Pengolahan Air Bersih</t>
        </is>
      </c>
      <c r="N133" t="inlineStr">
        <is>
          <t>K</t>
        </is>
      </c>
      <c r="O133" t="inlineStr">
        <is>
          <t>20230223</t>
        </is>
      </c>
      <c r="P133" t="inlineStr">
        <is>
          <t>Sumatera Selatan</t>
        </is>
      </c>
      <c r="Q133" t="inlineStr"/>
    </row>
    <row r="134">
      <c r="A134" t="inlineStr">
        <is>
          <t>WAHANA NUANSA INDONESIA</t>
        </is>
      </c>
      <c r="B134" t="inlineStr">
        <is>
          <t>Kab. Tangerang</t>
        </is>
      </c>
      <c r="C134" t="inlineStr">
        <is>
          <t>02155662873</t>
        </is>
      </c>
      <c r="D134" t="inlineStr">
        <is>
          <t>pt.wahananuansaindonesia17@gmail.com</t>
        </is>
      </c>
      <c r="E134" t="inlineStr">
        <is>
          <t>https://lpjk.pu.go.id/search-badan-usaha-detail/OS9RTlBnMUNreUx0alRRNURqOHUrZz09</t>
        </is>
      </c>
      <c r="F134" t="n">
        <v>1</v>
      </c>
      <c r="G134" t="inlineStr">
        <is>
          <t>PB003</t>
        </is>
      </c>
      <c r="H134" t="inlineStr">
        <is>
          <t>17 Maret 2017</t>
        </is>
      </c>
      <c r="I134" s="2" t="n">
        <v>46277</v>
      </c>
      <c r="J134" t="inlineStr">
        <is>
          <t>Pencabutan</t>
        </is>
      </c>
      <c r="K134" t="n">
        <v>60</v>
      </c>
      <c r="L134" t="inlineStr">
        <is>
          <t>12 September 2026</t>
        </is>
      </c>
      <c r="M134" t="inlineStr">
        <is>
          <t>Pengerjaan Lantai, Dinding, Peralatan Saniter dan Plafon</t>
        </is>
      </c>
      <c r="N134" t="inlineStr">
        <is>
          <t>Spesialis</t>
        </is>
      </c>
      <c r="O134" t="inlineStr">
        <is>
          <t>20230901</t>
        </is>
      </c>
      <c r="P134" t="inlineStr">
        <is>
          <t>Banten</t>
        </is>
      </c>
      <c r="Q134" t="inlineStr"/>
    </row>
    <row r="135">
      <c r="A135" t="inlineStr">
        <is>
          <t>WIRAHADI DJAYA</t>
        </is>
      </c>
      <c r="B135" t="inlineStr">
        <is>
          <t>Kab. Indramayu</t>
        </is>
      </c>
      <c r="C135" t="inlineStr">
        <is>
          <t>0818459271</t>
        </is>
      </c>
      <c r="D135" t="inlineStr">
        <is>
          <t>cvwirahadidjaya@gmail.com</t>
        </is>
      </c>
      <c r="E135" t="inlineStr">
        <is>
          <t>https://lpjk.pu.go.id/search-badan-usaha-detail/YXlGR0RqeVJGMFBOSFF5a29KM0dQQT09</t>
        </is>
      </c>
      <c r="F135" t="n">
        <v>2</v>
      </c>
      <c r="G135" t="inlineStr">
        <is>
          <t>BG005</t>
        </is>
      </c>
      <c r="H135" t="inlineStr">
        <is>
          <t>3 April 2013</t>
        </is>
      </c>
      <c r="I135" s="2" t="n">
        <v>46277</v>
      </c>
      <c r="J135" t="inlineStr">
        <is>
          <t>Disetujui</t>
        </is>
      </c>
      <c r="K135" t="n">
        <v>60</v>
      </c>
      <c r="L135" t="inlineStr">
        <is>
          <t>12 September 2026</t>
        </is>
      </c>
      <c r="M135" t="inlineStr">
        <is>
          <t>Konstruksi Gedung Kesehatan</t>
        </is>
      </c>
      <c r="N135" t="inlineStr">
        <is>
          <t>K</t>
        </is>
      </c>
      <c r="O135" t="inlineStr">
        <is>
          <t>20230414</t>
        </is>
      </c>
      <c r="P135" t="inlineStr">
        <is>
          <t>Jawa Barat</t>
        </is>
      </c>
      <c r="Q13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68"/>
  <sheetViews>
    <sheetView workbookViewId="0">
      <selection activeCell="A1" sqref="A1"/>
    </sheetView>
  </sheetViews>
  <sheetFormatPr baseColWidth="8" defaultRowHeight="15"/>
  <cols>
    <col width="36" customWidth="1" min="1" max="1"/>
    <col width="32" customWidth="1" min="2" max="2"/>
    <col width="16" customWidth="1" min="3" max="3"/>
    <col width="42" customWidth="1" min="4" max="4"/>
    <col width="50" customWidth="1" min="5" max="5"/>
    <col width="18" customWidth="1" min="6" max="6"/>
    <col width="49" customWidth="1" min="7" max="7"/>
    <col width="20" customWidth="1" min="8" max="8"/>
    <col width="28" customWidth="1" min="9" max="9"/>
    <col width="34"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ABADI MAKMUR ANUGERAH</t>
        </is>
      </c>
      <c r="B2" t="inlineStr">
        <is>
          <t>Kota Adm. Jakarta Timur</t>
        </is>
      </c>
      <c r="C2" t="inlineStr">
        <is>
          <t>081586222286</t>
        </is>
      </c>
      <c r="D2" t="inlineStr">
        <is>
          <t>abadimakmuranugerahh@gmail.com</t>
        </is>
      </c>
      <c r="E2" t="inlineStr">
        <is>
          <t>https://lpjk.pu.go.id/search-badan-usaha-detail/UGk4TXhINU5jQ1ZRV0N2VVZFaVFaUT09</t>
        </is>
      </c>
      <c r="F2" t="n">
        <v>4</v>
      </c>
      <c r="G2" t="inlineStr">
        <is>
          <t>PL002, PL003</t>
        </is>
      </c>
      <c r="H2" t="inlineStr">
        <is>
          <t>23 November 2017</t>
        </is>
      </c>
      <c r="I2" s="2" t="n">
        <v>46247</v>
      </c>
      <c r="J2" t="inlineStr">
        <is>
          <t>Disetujui</t>
        </is>
      </c>
      <c r="K2" t="n">
        <v>30</v>
      </c>
      <c r="L2" t="inlineStr">
        <is>
          <t>13 Agustus 2026</t>
        </is>
      </c>
      <c r="M2" t="inlineStr">
        <is>
          <t>Pengerukan, Penyiapan Lahan Konstruksi</t>
        </is>
      </c>
      <c r="N2" t="inlineStr">
        <is>
          <t>Spesialis</t>
        </is>
      </c>
      <c r="O2" t="inlineStr">
        <is>
          <t>20230811</t>
        </is>
      </c>
      <c r="P2" t="inlineStr">
        <is>
          <t>DKI Jakarta</t>
        </is>
      </c>
      <c r="Q2" s="3">
        <f>HYPERLINK("https://wa.me/6281586222286?text=*[Pengingat Masa Berlaku SBU ABADI MAKMUR ANUGERAH]*%0A%0AYth. Pimpinan ABADI MAKMUR ANUGERAH,%0AMohon izin menginformasikan status SBU Anda:%0A%0A📄 SBU: PL002, PL003%0A📅 Expired: 13 Agustus 2026 (30 Hari Lagi)%0A%0AKami tim PT. ESDEA Assistance Management siap men-support proses perpanjangan segera agar administrasi proyek tidak terhambat%0A%0AApakah boleh saya bantu siapkan estimasi biaya dan waktu pengerjaannya?.", "Hubungi")</f>
        <v/>
      </c>
    </row>
    <row r="3">
      <c r="A3" t="inlineStr">
        <is>
          <t>ANDINI</t>
        </is>
      </c>
      <c r="B3" t="inlineStr">
        <is>
          <t>Kab. Bogor</t>
        </is>
      </c>
      <c r="C3" t="inlineStr">
        <is>
          <t>02518345110</t>
        </is>
      </c>
      <c r="D3" t="inlineStr">
        <is>
          <t>cv.andini45@yahoo.com</t>
        </is>
      </c>
      <c r="E3" t="inlineStr">
        <is>
          <t>https://lpjk.pu.go.id/search-badan-usaha-detail/WURjMytFVGs4enIzcXFuWHV1UDIxQT09</t>
        </is>
      </c>
      <c r="F3" t="n">
        <v>2</v>
      </c>
      <c r="G3" t="inlineStr">
        <is>
          <t>BG006</t>
        </is>
      </c>
      <c r="H3" t="inlineStr">
        <is>
          <t>17 Februari 1993</t>
        </is>
      </c>
      <c r="I3" s="2" t="n">
        <v>46247</v>
      </c>
      <c r="J3" t="inlineStr">
        <is>
          <t>Disetujui</t>
        </is>
      </c>
      <c r="K3" t="n">
        <v>30</v>
      </c>
      <c r="L3" t="inlineStr">
        <is>
          <t>13 Agustus 2026</t>
        </is>
      </c>
      <c r="M3" t="inlineStr">
        <is>
          <t>Konstruksi Gedung Pendidikan</t>
        </is>
      </c>
      <c r="N3" t="inlineStr">
        <is>
          <t>K</t>
        </is>
      </c>
      <c r="O3" t="inlineStr">
        <is>
          <t>20230802</t>
        </is>
      </c>
      <c r="P3" t="inlineStr">
        <is>
          <t>Jawa Barat</t>
        </is>
      </c>
      <c r="Q3" s="3">
        <f>HYPERLINK("https://wa.me/622518345110?text=*[Pengingat Masa Berlaku SBU ANDINI]*%0A%0AYth. Pimpinan ANDINI,%0AMohon izin menginformasikan status SBU Anda:%0A%0A📄 SBU: BG006%0A📅 Expired: 13 Agustus 2026 (30 Hari Lagi)%0A%0AKami tim PT. ESDEA Assistance Management siap men-support proses perpanjangan segera agar administrasi proyek tidak terhambat%0A%0AApakah boleh saya bantu siapkan estimasi biaya dan waktu pengerjaannya?.", "Hubungi")</f>
        <v/>
      </c>
    </row>
    <row r="4">
      <c r="A4" t="inlineStr">
        <is>
          <t>BALADWIPA</t>
        </is>
      </c>
      <c r="B4" t="inlineStr">
        <is>
          <t>Kota Bekasi</t>
        </is>
      </c>
      <c r="C4" t="inlineStr">
        <is>
          <t>085255344056</t>
        </is>
      </c>
      <c r="D4" t="inlineStr">
        <is>
          <t>baladwipa2019@gmail.com</t>
        </is>
      </c>
      <c r="E4" t="inlineStr">
        <is>
          <t>https://lpjk.pu.go.id/search-badan-usaha-detail/dERodmNKcUVOaEtDaXVscGVtSktzZz09</t>
        </is>
      </c>
      <c r="F4" t="n">
        <v>10</v>
      </c>
      <c r="G4" t="inlineStr">
        <is>
          <t>BG002, BG003, BG004, BG006, BG009</t>
        </is>
      </c>
      <c r="H4" t="inlineStr">
        <is>
          <t>28 Januari 2019</t>
        </is>
      </c>
      <c r="I4" s="2" t="n">
        <v>46247</v>
      </c>
      <c r="J4" t="inlineStr">
        <is>
          <t>Disetujui</t>
        </is>
      </c>
      <c r="K4" t="n">
        <v>30</v>
      </c>
      <c r="L4" t="inlineStr">
        <is>
          <t>13 Agustus 2026</t>
        </is>
      </c>
      <c r="M4" t="inlineStr">
        <is>
          <t>Konstruksi Gedung Industri, Konstruksi Gedung Lainnya, Konstruksi Gedung Pendidikan, Konstruksi Gedung Perbelanjaan, Konstruksi Gedung Perkantoran</t>
        </is>
      </c>
      <c r="N4" t="inlineStr">
        <is>
          <t>K</t>
        </is>
      </c>
      <c r="O4" t="inlineStr">
        <is>
          <t>20230621</t>
        </is>
      </c>
      <c r="P4" t="inlineStr">
        <is>
          <t>Jawa Barat</t>
        </is>
      </c>
      <c r="Q4" s="3">
        <f>HYPERLINK("https://wa.me/6285255344056?text=*[Pengingat Masa Berlaku SBU BALADWIPA]*%0A%0AYth. Pimpinan BALADWIPA,%0AMohon izin menginformasikan status SBU Anda:%0A%0A📄 SBU: BG002, BG003, BG004, BG006, BG009%0A📅 Expired: 13 Agustus 2026 (30 Hari Lagi)%0A%0AKami tim PT. ESDEA Assistance Management siap men-support proses perpanjangan segera agar administrasi proyek tidak terhambat%0A%0AApakah boleh saya bantu siapkan estimasi biaya dan waktu pengerjaannya?.", "Hubungi")</f>
        <v/>
      </c>
    </row>
    <row r="5">
      <c r="A5" t="inlineStr">
        <is>
          <t>BONIAGATA SUMBER ARTHA</t>
        </is>
      </c>
      <c r="B5" t="inlineStr">
        <is>
          <t>Kota Depok</t>
        </is>
      </c>
      <c r="C5" t="inlineStr">
        <is>
          <t>08992539861</t>
        </is>
      </c>
      <c r="D5" t="inlineStr">
        <is>
          <t>cv.boniagatasumberartha@gmail.com</t>
        </is>
      </c>
      <c r="E5" t="inlineStr">
        <is>
          <t>https://lpjk.pu.go.id/search-badan-usaha-detail/Nm45cFBSdkJ1ZjNKNUN6aCtkOUxuQT09</t>
        </is>
      </c>
      <c r="F5" t="n">
        <v>2</v>
      </c>
      <c r="G5" t="inlineStr">
        <is>
          <t>BS004</t>
        </is>
      </c>
      <c r="H5" t="inlineStr">
        <is>
          <t>15 Desember 2016</t>
        </is>
      </c>
      <c r="I5" s="2" t="n">
        <v>46247</v>
      </c>
      <c r="J5" t="inlineStr">
        <is>
          <t>Disetujui</t>
        </is>
      </c>
      <c r="K5" t="n">
        <v>30</v>
      </c>
      <c r="L5" t="inlineStr">
        <is>
          <t>13 Agustus 2026</t>
        </is>
      </c>
      <c r="M5" t="inlineStr">
        <is>
          <t>Konstruksi Jaringan Irigasi dan Drainase</t>
        </is>
      </c>
      <c r="N5" t="inlineStr">
        <is>
          <t>K</t>
        </is>
      </c>
      <c r="O5" t="inlineStr">
        <is>
          <t>20230807</t>
        </is>
      </c>
      <c r="P5" t="inlineStr">
        <is>
          <t>Jawa Barat</t>
        </is>
      </c>
      <c r="Q5" s="3">
        <f>HYPERLINK("https://wa.me/628992539861?text=*[Pengingat Masa Berlaku SBU BONIAGATA SUMBER ARTHA]*%0A%0AYth. Pimpinan BONIAGATA SUMBER ARTHA,%0AMohon izin menginformasikan status SBU Anda:%0A%0A📄 SBU: BS004%0A📅 Expired: 13 Agustus 2026 (30 Hari Lagi)%0A%0AKami tim PT. ESDEA Assistance Management siap men-support proses perpanjangan segera agar administrasi proyek tidak terhambat%0A%0AApakah boleh saya bantu siapkan estimasi biaya dan waktu pengerjaannya?.", "Hubungi")</f>
        <v/>
      </c>
    </row>
    <row r="6">
      <c r="A6" t="inlineStr">
        <is>
          <t>ECOTEK JAYA PERSADA</t>
        </is>
      </c>
      <c r="B6" t="inlineStr">
        <is>
          <t>Kab. Bekasi</t>
        </is>
      </c>
      <c r="C6" t="inlineStr">
        <is>
          <t>081288771198</t>
        </is>
      </c>
      <c r="D6" t="inlineStr">
        <is>
          <t>ecotekjaya@gmail.com</t>
        </is>
      </c>
      <c r="E6" t="inlineStr">
        <is>
          <t>https://lpjk.pu.go.id/search-badan-usaha-detail/ZTFCNUxQT3V2a1YrdHFzWEx6YXhBQT09</t>
        </is>
      </c>
      <c r="F6" t="n">
        <v>1</v>
      </c>
      <c r="G6" t="inlineStr">
        <is>
          <t>BS001</t>
        </is>
      </c>
      <c r="H6" t="inlineStr">
        <is>
          <t>19 Oktober 2016</t>
        </is>
      </c>
      <c r="I6" s="2" t="n">
        <v>46247</v>
      </c>
      <c r="J6" t="inlineStr">
        <is>
          <t>Disetujui</t>
        </is>
      </c>
      <c r="K6" t="n">
        <v>30</v>
      </c>
      <c r="L6" t="inlineStr">
        <is>
          <t>13 Agustus 2026</t>
        </is>
      </c>
      <c r="M6" t="inlineStr">
        <is>
          <t>Konstruksi Bangunan Sipil Jalan</t>
        </is>
      </c>
      <c r="N6" t="inlineStr">
        <is>
          <t>K</t>
        </is>
      </c>
      <c r="O6" t="inlineStr">
        <is>
          <t>20230809</t>
        </is>
      </c>
      <c r="P6" t="inlineStr">
        <is>
          <t>Jawa Barat</t>
        </is>
      </c>
      <c r="Q6" s="3">
        <f>HYPERLINK("https://wa.me/6281288771198?text=*[Pengingat Masa Berlaku SBU ECOTEK JAYA PERSADA]*%0A%0AYth. Pimpinan ECOTEK JAYA PERSADA,%0AMohon izin menginformasikan status SBU Anda:%0A%0A📄 SBU: BS001%0A📅 Expired: 13 Agustus 2026 (30 Hari Lagi)%0A%0AKami tim PT. ESDEA Assistance Management siap men-support proses perpanjangan segera agar administrasi proyek tidak terhambat%0A%0AApakah boleh saya bantu siapkan estimasi biaya dan waktu pengerjaannya?.", "Hubungi")</f>
        <v/>
      </c>
    </row>
    <row r="7">
      <c r="A7" t="inlineStr">
        <is>
          <t>INDAH BANGUN SARANA</t>
        </is>
      </c>
      <c r="B7" t="inlineStr">
        <is>
          <t>Kab. Bogor</t>
        </is>
      </c>
      <c r="C7" t="inlineStr">
        <is>
          <t>081270701116</t>
        </is>
      </c>
      <c r="D7" t="inlineStr">
        <is>
          <t>ibscv@ymail.com</t>
        </is>
      </c>
      <c r="E7" t="inlineStr">
        <is>
          <t>https://lpjk.pu.go.id/search-badan-usaha-detail/RlBxOVhNZzZYeDdTQW9weVpaNU1Ndz09</t>
        </is>
      </c>
      <c r="F7" t="n">
        <v>1</v>
      </c>
      <c r="G7" t="inlineStr">
        <is>
          <t>BG005</t>
        </is>
      </c>
      <c r="H7" t="inlineStr">
        <is>
          <t>17 Mei 2003</t>
        </is>
      </c>
      <c r="I7" s="2" t="n">
        <v>46247</v>
      </c>
      <c r="J7" t="inlineStr">
        <is>
          <t>Disetujui</t>
        </is>
      </c>
      <c r="K7" t="n">
        <v>30</v>
      </c>
      <c r="L7" t="inlineStr">
        <is>
          <t>13 Agustus 2026</t>
        </is>
      </c>
      <c r="M7" t="inlineStr">
        <is>
          <t>Konstruksi Gedung Kesehatan</t>
        </is>
      </c>
      <c r="N7" t="inlineStr">
        <is>
          <t>K</t>
        </is>
      </c>
      <c r="O7" t="inlineStr">
        <is>
          <t>20230809</t>
        </is>
      </c>
      <c r="P7" t="inlineStr">
        <is>
          <t>Jawa Barat</t>
        </is>
      </c>
      <c r="Q7" s="3">
        <f>HYPERLINK("https://wa.me/6281270701116?text=*[Pengingat Masa Berlaku SBU INDAH BANGUN SARANA]*%0A%0AYth. Pimpinan INDAH BANGUN SARANA,%0AMohon izin menginformasikan status SBU Anda:%0A%0A📄 SBU: BG005%0A📅 Expired: 13 Agustus 2026 (30 Hari Lagi)%0A%0AKami tim PT. ESDEA Assistance Management siap men-support proses perpanjangan segera agar administrasi proyek tidak terhambat%0A%0AApakah boleh saya bantu siapkan estimasi biaya dan waktu pengerjaannya?.", "Hubungi")</f>
        <v/>
      </c>
    </row>
    <row r="8">
      <c r="A8" t="inlineStr">
        <is>
          <t>MUBARAK PERSADA</t>
        </is>
      </c>
      <c r="B8" t="inlineStr">
        <is>
          <t>Kab. Bogor</t>
        </is>
      </c>
      <c r="C8" t="inlineStr">
        <is>
          <t>081311116641</t>
        </is>
      </c>
      <c r="D8" t="inlineStr">
        <is>
          <t>cv.mubarakpersada@gmail.com</t>
        </is>
      </c>
      <c r="E8" t="inlineStr">
        <is>
          <t>https://lpjk.pu.go.id/search-badan-usaha-detail/QVAvNWlVdTlSYUdNY3hiYnBwWkovZz09</t>
        </is>
      </c>
      <c r="F8" t="n">
        <v>4</v>
      </c>
      <c r="G8" t="inlineStr">
        <is>
          <t>BG002, BG006, BG009, BS001</t>
        </is>
      </c>
      <c r="H8" t="inlineStr">
        <is>
          <t>9 Desember 2009</t>
        </is>
      </c>
      <c r="I8" s="2" t="n">
        <v>46247</v>
      </c>
      <c r="J8" t="inlineStr">
        <is>
          <t>Disetujui</t>
        </is>
      </c>
      <c r="K8" t="n">
        <v>30</v>
      </c>
      <c r="L8" t="inlineStr">
        <is>
          <t>13 Agustus 2026</t>
        </is>
      </c>
      <c r="M8" t="inlineStr">
        <is>
          <t>Konstruksi Bangunan Sipil Jalan, Konstruksi Gedung Lainnya, Konstruksi Gedung Pendidikan, Konstruksi Gedung Perkantoran</t>
        </is>
      </c>
      <c r="N8" t="inlineStr">
        <is>
          <t>K</t>
        </is>
      </c>
      <c r="O8" t="inlineStr">
        <is>
          <t>20230807, 20230808</t>
        </is>
      </c>
      <c r="P8" t="inlineStr">
        <is>
          <t>Jawa Barat</t>
        </is>
      </c>
      <c r="Q8" s="3">
        <f>HYPERLINK("https://wa.me/6281311116641?text=*[Pengingat Masa Berlaku SBU MUBARAK PERSADA]*%0A%0AYth. Pimpinan MUBARAK PERSADA,%0AMohon izin menginformasikan status SBU Anda:%0A%0A📄 SBU: BG002, BG006, BG009, BS001%0A📅 Expired: 13 Agustus 2026 (30 Hari Lagi)%0A%0AKami tim PT. ESDEA Assistance Management siap men-support proses perpanjangan segera agar administrasi proyek tidak terhambat%0A%0AApakah boleh saya bantu siapkan estimasi biaya dan waktu pengerjaannya?.", "Hubungi")</f>
        <v/>
      </c>
    </row>
    <row r="9">
      <c r="A9" t="inlineStr">
        <is>
          <t>NFI2000</t>
        </is>
      </c>
      <c r="B9" t="inlineStr">
        <is>
          <t>Kota Depok</t>
        </is>
      </c>
      <c r="C9" t="inlineStr">
        <is>
          <t>081213137400</t>
        </is>
      </c>
      <c r="D9" t="inlineStr">
        <is>
          <t>cvnfi2000tris@gmail.com</t>
        </is>
      </c>
      <c r="E9" t="inlineStr">
        <is>
          <t>https://lpjk.pu.go.id/search-badan-usaha-detail/SXdCYjVRTk16Q2xrdHliZjk1U3p6UT09</t>
        </is>
      </c>
      <c r="F9" t="n">
        <v>3</v>
      </c>
      <c r="G9" t="inlineStr">
        <is>
          <t>BG009, BS004, BS005</t>
        </is>
      </c>
      <c r="H9" t="inlineStr">
        <is>
          <t>5 Desember 2016</t>
        </is>
      </c>
      <c r="I9" s="2" t="n">
        <v>46247</v>
      </c>
      <c r="J9" t="inlineStr">
        <is>
          <t>Pencabutan</t>
        </is>
      </c>
      <c r="K9" t="n">
        <v>30</v>
      </c>
      <c r="L9" t="inlineStr">
        <is>
          <t>13 Agustus 2026</t>
        </is>
      </c>
      <c r="M9" t="inlineStr">
        <is>
          <t>Konstruksi Bangunan Sipil Pengolahan Air Bersih, Konstruksi Gedung Lainnya, Konstruksi Jaringan Irigasi dan Drainase</t>
        </is>
      </c>
      <c r="N9" t="inlineStr">
        <is>
          <t>K</t>
        </is>
      </c>
      <c r="O9" t="inlineStr">
        <is>
          <t>20230802, 20230811, 20230814</t>
        </is>
      </c>
      <c r="P9" t="inlineStr">
        <is>
          <t>Jawa Barat</t>
        </is>
      </c>
      <c r="Q9" s="3">
        <f>HYPERLINK("https://wa.me/6281213137400?text=*[Pengingat Masa Berlaku SBU NFI2000]*%0A%0AYth. Pimpinan NFI2000,%0AMohon izin menginformasikan status SBU Anda:%0A%0A📄 SBU: BG009, BS004, BS005%0A📅 Expired: 13 Agustus 2026 (30 Hari Lagi)%0A%0AKami tim PT. ESDEA Assistance Management siap men-support proses perpanjangan segera agar administrasi proyek tidak terhambat%0A%0AApakah boleh saya bantu siapkan estimasi biaya dan waktu pengerjaannya?.", "Hubungi")</f>
        <v/>
      </c>
    </row>
    <row r="10">
      <c r="A10" t="inlineStr">
        <is>
          <t>NIAGARA BARU</t>
        </is>
      </c>
      <c r="B10" t="inlineStr">
        <is>
          <t>Kota Adm. Jakarta Timur</t>
        </is>
      </c>
      <c r="C10" t="inlineStr">
        <is>
          <t>08129338051</t>
        </is>
      </c>
      <c r="D10" t="inlineStr">
        <is>
          <t>niagarabaru01@gmail.com</t>
        </is>
      </c>
      <c r="E10" t="inlineStr">
        <is>
          <t>https://lpjk.pu.go.id/search-badan-usaha-detail/bFpkQ0oxRWpEWjA3LzRQbnd6Qmlydz09</t>
        </is>
      </c>
      <c r="F10" t="n">
        <v>2</v>
      </c>
      <c r="G10" t="inlineStr">
        <is>
          <t>BG009</t>
        </is>
      </c>
      <c r="H10" t="inlineStr">
        <is>
          <t>22 Oktober 2004</t>
        </is>
      </c>
      <c r="I10" s="2" t="n">
        <v>46247</v>
      </c>
      <c r="J10" t="inlineStr">
        <is>
          <t>Disetujui</t>
        </is>
      </c>
      <c r="K10" t="n">
        <v>30</v>
      </c>
      <c r="L10" t="inlineStr">
        <is>
          <t>13 Agustus 2026</t>
        </is>
      </c>
      <c r="M10" t="inlineStr">
        <is>
          <t>Konstruksi Gedung Lainnya</t>
        </is>
      </c>
      <c r="N10" t="inlineStr">
        <is>
          <t>K</t>
        </is>
      </c>
      <c r="O10" t="inlineStr">
        <is>
          <t>20230725</t>
        </is>
      </c>
      <c r="P10" t="inlineStr">
        <is>
          <t>DKI Jakarta</t>
        </is>
      </c>
      <c r="Q10" s="3">
        <f>HYPERLINK("https://wa.me/628129338051?text=*[Pengingat Masa Berlaku SBU NIAGARA BARU]*%0A%0AYth. Pimpinan NIAGARA BARU,%0AMohon izin menginformasikan status SBU Anda:%0A%0A📄 SBU: BG009%0A📅 Expired: 13 Agustus 2026 (30 Hari Lagi)%0A%0AKami tim PT. ESDEA Assistance Management siap men-support proses perpanjangan segera agar administrasi proyek tidak terhambat%0A%0AApakah boleh saya bantu siapkan estimasi biaya dan waktu pengerjaannya?.", "Hubungi")</f>
        <v/>
      </c>
    </row>
    <row r="11">
      <c r="A11" t="inlineStr">
        <is>
          <t>PRIYANKA ADIA CITRA</t>
        </is>
      </c>
      <c r="B11" t="inlineStr">
        <is>
          <t>Kab. Bogor</t>
        </is>
      </c>
      <c r="C11" t="inlineStr">
        <is>
          <t>082111150135</t>
        </is>
      </c>
      <c r="D11" t="inlineStr">
        <is>
          <t>cvpriyankaadiacitra@gmail.com</t>
        </is>
      </c>
      <c r="E11" t="inlineStr">
        <is>
          <t>https://lpjk.pu.go.id/search-badan-usaha-detail/MDd4K0U0RWRZSHJMVzF0VjhOaVdjdz09</t>
        </is>
      </c>
      <c r="F11" t="n">
        <v>2</v>
      </c>
      <c r="G11" t="inlineStr">
        <is>
          <t>BG006, BG009</t>
        </is>
      </c>
      <c r="H11" t="inlineStr">
        <is>
          <t>26 Maret 2018</t>
        </is>
      </c>
      <c r="I11" s="2" t="n">
        <v>46247</v>
      </c>
      <c r="J11" t="inlineStr">
        <is>
          <t>Disetujui</t>
        </is>
      </c>
      <c r="K11" t="n">
        <v>30</v>
      </c>
      <c r="L11" t="inlineStr">
        <is>
          <t>13 Agustus 2026</t>
        </is>
      </c>
      <c r="M11" t="inlineStr">
        <is>
          <t>Konstruksi Gedung Lainnya, Konstruksi Gedung Pendidikan</t>
        </is>
      </c>
      <c r="N11" t="inlineStr">
        <is>
          <t>K</t>
        </is>
      </c>
      <c r="O11" t="inlineStr">
        <is>
          <t>20230808</t>
        </is>
      </c>
      <c r="P11" t="inlineStr">
        <is>
          <t>Jawa Barat</t>
        </is>
      </c>
      <c r="Q11" s="3">
        <f>HYPERLINK("https://wa.me/6282111150135?text=*[Pengingat Masa Berlaku SBU PRIYANKA ADIA CITRA]*%0A%0AYth. Pimpinan PRIYANKA ADIA CITRA,%0AMohon izin menginformasikan status SBU Anda:%0A%0A📄 SBU: BG006, BG009%0A📅 Expired: 13 Agustus 2026 (30 Hari Lagi)%0A%0AKami tim PT. ESDEA Assistance Management siap men-support proses perpanjangan segera agar administrasi proyek tidak terhambat%0A%0AApakah boleh saya bantu siapkan estimasi biaya dan waktu pengerjaannya?.", "Hubungi")</f>
        <v/>
      </c>
    </row>
    <row r="12">
      <c r="A12" t="inlineStr">
        <is>
          <t>SINAR GUNUNG SEJATI</t>
        </is>
      </c>
      <c r="B12" t="inlineStr">
        <is>
          <t>Kab. Bogor</t>
        </is>
      </c>
      <c r="C12" t="inlineStr">
        <is>
          <t>02129099618</t>
        </is>
      </c>
      <c r="D12" t="inlineStr">
        <is>
          <t>pt.sinargunungsejati@gmail.com</t>
        </is>
      </c>
      <c r="E12" t="inlineStr">
        <is>
          <t>https://lpjk.pu.go.id/search-badan-usaha-detail/NDlMWGdpNDBiOUxJS0pmSzA0Y1JjUT09</t>
        </is>
      </c>
      <c r="F12" t="n">
        <v>2</v>
      </c>
      <c r="G12" t="inlineStr">
        <is>
          <t>BG002, BG007</t>
        </is>
      </c>
      <c r="H12" t="inlineStr">
        <is>
          <t>20 Agustus 2009</t>
        </is>
      </c>
      <c r="I12" s="2" t="n">
        <v>46247</v>
      </c>
      <c r="J12" t="inlineStr">
        <is>
          <t>Disetujui</t>
        </is>
      </c>
      <c r="K12" t="n">
        <v>30</v>
      </c>
      <c r="L12" t="inlineStr">
        <is>
          <t>13 Agustus 2026</t>
        </is>
      </c>
      <c r="M12" t="inlineStr">
        <is>
          <t>Konstruksi Gedung Penginapan, Konstruksi Gedung Perkantoran</t>
        </is>
      </c>
      <c r="N12" t="inlineStr">
        <is>
          <t>M</t>
        </is>
      </c>
      <c r="O12" t="inlineStr">
        <is>
          <t>20230803</t>
        </is>
      </c>
      <c r="P12" t="inlineStr">
        <is>
          <t>Jawa Barat</t>
        </is>
      </c>
      <c r="Q12" t="inlineStr"/>
    </row>
    <row r="13">
      <c r="A13" t="inlineStr">
        <is>
          <t>SINERGI BANGUN PERKASA</t>
        </is>
      </c>
      <c r="B13" t="inlineStr">
        <is>
          <t>Kab. Bogor</t>
        </is>
      </c>
      <c r="C13" t="inlineStr">
        <is>
          <t>081297300936</t>
        </is>
      </c>
      <c r="D13" t="inlineStr">
        <is>
          <t>sinergi.site1@gmail.com</t>
        </is>
      </c>
      <c r="E13" t="inlineStr">
        <is>
          <t>https://lpjk.pu.go.id/search-badan-usaha-detail/VnoyRERldklvMDBYcDRicWFYVEhsZz09</t>
        </is>
      </c>
      <c r="F13" t="n">
        <v>1</v>
      </c>
      <c r="G13" t="inlineStr">
        <is>
          <t>BG001</t>
        </is>
      </c>
      <c r="H13" t="inlineStr">
        <is>
          <t>22 Desember 2016</t>
        </is>
      </c>
      <c r="I13" s="2" t="n">
        <v>46247</v>
      </c>
      <c r="J13" t="inlineStr">
        <is>
          <t>Disetujui</t>
        </is>
      </c>
      <c r="K13" t="n">
        <v>30</v>
      </c>
      <c r="L13" t="inlineStr">
        <is>
          <t>13 Agustus 2026</t>
        </is>
      </c>
      <c r="M13" t="inlineStr">
        <is>
          <t>Konstruksi Gedung Hunian</t>
        </is>
      </c>
      <c r="N13" t="inlineStr">
        <is>
          <t>K</t>
        </is>
      </c>
      <c r="O13" t="inlineStr">
        <is>
          <t>20230811</t>
        </is>
      </c>
      <c r="P13" t="inlineStr">
        <is>
          <t>Jawa Barat</t>
        </is>
      </c>
      <c r="Q13" s="3">
        <f>HYPERLINK("https://wa.me/6281297300936?text=*[Pengingat Masa Berlaku SBU SINERGI BANGUN PERKASA]*%0A%0AYth. Pimpinan SINERGI BANGUN PERKASA,%0AMohon izin menginformasikan status SBU Anda:%0A%0A📄 SBU: BG001%0A📅 Expired: 13 Agustus 2026 (30 Hari Lagi)%0A%0AKami tim PT. ESDEA Assistance Management siap men-support proses perpanjangan segera agar administrasi proyek tidak terhambat%0A%0AApakah boleh saya bantu siapkan estimasi biaya dan waktu pengerjaannya?.", "Hubungi")</f>
        <v/>
      </c>
    </row>
    <row r="14">
      <c r="A14" t="inlineStr">
        <is>
          <t>TILU DULUR</t>
        </is>
      </c>
      <c r="B14" t="inlineStr">
        <is>
          <t>Kab. Bogor</t>
        </is>
      </c>
      <c r="C14" t="inlineStr">
        <is>
          <t>081932102288</t>
        </is>
      </c>
      <c r="D14" t="inlineStr">
        <is>
          <t>dulur_tilu@yahoo.co.id</t>
        </is>
      </c>
      <c r="E14" t="inlineStr">
        <is>
          <t>https://lpjk.pu.go.id/search-badan-usaha-detail/Nk4xMWdGRHpMSi9IMW9GWnZSd3JXdz09</t>
        </is>
      </c>
      <c r="F14" t="n">
        <v>1</v>
      </c>
      <c r="G14" t="inlineStr">
        <is>
          <t>BS004</t>
        </is>
      </c>
      <c r="H14" t="inlineStr">
        <is>
          <t>28 Maret 2012</t>
        </is>
      </c>
      <c r="I14" s="2" t="n">
        <v>46247</v>
      </c>
      <c r="J14" t="inlineStr">
        <is>
          <t>Disetujui</t>
        </is>
      </c>
      <c r="K14" t="n">
        <v>30</v>
      </c>
      <c r="L14" t="inlineStr">
        <is>
          <t>13 Agustus 2026</t>
        </is>
      </c>
      <c r="M14" t="inlineStr">
        <is>
          <t>Konstruksi Jaringan Irigasi dan Drainase</t>
        </is>
      </c>
      <c r="N14" t="inlineStr">
        <is>
          <t>K</t>
        </is>
      </c>
      <c r="O14" t="inlineStr">
        <is>
          <t>20230808</t>
        </is>
      </c>
      <c r="P14" t="inlineStr">
        <is>
          <t>Jawa Barat</t>
        </is>
      </c>
      <c r="Q14" s="3">
        <f>HYPERLINK("https://wa.me/6281932102288?text=*[Pengingat Masa Berlaku SBU TILU DULUR]*%0A%0AYth. Pimpinan TILU DULUR,%0AMohon izin menginformasikan status SBU Anda:%0A%0A📄 SBU: BS004%0A📅 Expired: 13 Agustus 2026 (30 Hari Lagi)%0A%0AKami tim PT. ESDEA Assistance Management siap men-support proses perpanjangan segera agar administrasi proyek tidak terhambat%0A%0AApakah boleh saya bantu siapkan estimasi biaya dan waktu pengerjaannya?.", "Hubungi")</f>
        <v/>
      </c>
    </row>
    <row r="15">
      <c r="A15" t="inlineStr">
        <is>
          <t>UPAYABUMI GRAHASEJAHTERA</t>
        </is>
      </c>
      <c r="B15" t="inlineStr">
        <is>
          <t>Kota Bekasi</t>
        </is>
      </c>
      <c r="C15" t="inlineStr">
        <is>
          <t>0218464407</t>
        </is>
      </c>
      <c r="D15" t="inlineStr">
        <is>
          <t>ptubgs@gmail.com</t>
        </is>
      </c>
      <c r="E15" t="inlineStr">
        <is>
          <t>https://lpjk.pu.go.id/search-badan-usaha-detail/c0ZCSWxkc05ZMm9BbHNUUzdTbUdxZz09</t>
        </is>
      </c>
      <c r="F15" t="n">
        <v>2</v>
      </c>
      <c r="G15" t="inlineStr">
        <is>
          <t>BG001</t>
        </is>
      </c>
      <c r="H15" t="inlineStr">
        <is>
          <t>4 Juni 1992</t>
        </is>
      </c>
      <c r="I15" s="2" t="n">
        <v>46247</v>
      </c>
      <c r="J15" t="inlineStr">
        <is>
          <t>Disetujui</t>
        </is>
      </c>
      <c r="K15" t="n">
        <v>30</v>
      </c>
      <c r="L15" t="inlineStr">
        <is>
          <t>13 Agustus 2026</t>
        </is>
      </c>
      <c r="M15" t="inlineStr">
        <is>
          <t>Konstruksi Gedung Hunian</t>
        </is>
      </c>
      <c r="N15" t="inlineStr">
        <is>
          <t>K</t>
        </is>
      </c>
      <c r="O15" t="inlineStr">
        <is>
          <t>20230804</t>
        </is>
      </c>
      <c r="P15" t="inlineStr">
        <is>
          <t>Jawa Barat</t>
        </is>
      </c>
      <c r="Q15" t="inlineStr"/>
    </row>
    <row r="16">
      <c r="A16" t="inlineStr">
        <is>
          <t>WISMA KARYA JAYA</t>
        </is>
      </c>
      <c r="B16" t="inlineStr">
        <is>
          <t>Kab. Bogor</t>
        </is>
      </c>
      <c r="C16" t="inlineStr">
        <is>
          <t>082123055804</t>
        </is>
      </c>
      <c r="D16" t="inlineStr">
        <is>
          <t>pt.wismakaryajaya@gmail.com</t>
        </is>
      </c>
      <c r="E16" t="inlineStr">
        <is>
          <t>https://lpjk.pu.go.id/search-badan-usaha-detail/UERxbStXcTc5Y1NyM2xVemovZWMxdz09</t>
        </is>
      </c>
      <c r="F16" t="n">
        <v>1</v>
      </c>
      <c r="G16" t="inlineStr">
        <is>
          <t>BG006</t>
        </is>
      </c>
      <c r="H16" t="inlineStr">
        <is>
          <t>27 Januari 2023</t>
        </is>
      </c>
      <c r="I16" s="2" t="n">
        <v>46247</v>
      </c>
      <c r="J16" t="inlineStr">
        <is>
          <t>Disetujui</t>
        </is>
      </c>
      <c r="K16" t="n">
        <v>30</v>
      </c>
      <c r="L16" t="inlineStr">
        <is>
          <t>13 Agustus 2026</t>
        </is>
      </c>
      <c r="M16" t="inlineStr">
        <is>
          <t>Konstruksi Gedung Pendidikan</t>
        </is>
      </c>
      <c r="N16" t="inlineStr">
        <is>
          <t>K</t>
        </is>
      </c>
      <c r="O16" t="inlineStr">
        <is>
          <t>20230717</t>
        </is>
      </c>
      <c r="P16" t="inlineStr">
        <is>
          <t>Jawa Barat</t>
        </is>
      </c>
      <c r="Q16" s="3">
        <f>HYPERLINK("https://wa.me/6282123055804?text=*[Pengingat Masa Berlaku SBU WISMA KARYA JAYA]*%0A%0AYth. Pimpinan WISMA KARYA JAYA,%0AMohon izin menginformasikan status SBU Anda:%0A%0A📄 SBU: BG006%0A📅 Expired: 13 Agustus 2026 (30 Hari Lagi)%0A%0AKami tim PT. ESDEA Assistance Management siap men-support proses perpanjangan segera agar administrasi proyek tidak terhambat%0A%0AApakah boleh saya bantu siapkan estimasi biaya dan waktu pengerjaannya?.", "Hubungi")</f>
        <v/>
      </c>
    </row>
    <row r="17">
      <c r="A17" t="inlineStr">
        <is>
          <t>ABDIRAYA MITRA PERDANA</t>
        </is>
      </c>
      <c r="B17" t="inlineStr">
        <is>
          <t>Kota Makassar</t>
        </is>
      </c>
      <c r="C17" t="inlineStr">
        <is>
          <t>04118982857</t>
        </is>
      </c>
      <c r="D17" t="inlineStr">
        <is>
          <t>abuan_borneo@yahoo.co.id</t>
        </is>
      </c>
      <c r="E17" t="inlineStr">
        <is>
          <t>https://lpjk.pu.go.id/search-badan-usaha-detail/TmJibm1DVXFpNXkySFNhZVZCcWcwZz09</t>
        </is>
      </c>
      <c r="F17" t="n">
        <v>4</v>
      </c>
      <c r="G17" t="inlineStr">
        <is>
          <t>BG001, BG005, BG006, BG009</t>
        </is>
      </c>
      <c r="H17" t="inlineStr">
        <is>
          <t>12 Mei 1999</t>
        </is>
      </c>
      <c r="I17" s="2" t="n">
        <v>46247</v>
      </c>
      <c r="J17" t="inlineStr">
        <is>
          <t>Disetujui</t>
        </is>
      </c>
      <c r="K17" t="n">
        <v>30</v>
      </c>
      <c r="L17" t="inlineStr">
        <is>
          <t>13 Agustus 2026</t>
        </is>
      </c>
      <c r="M17" t="inlineStr">
        <is>
          <t>Konstruksi Gedung Hunian, Konstruksi Gedung Kesehatan, Konstruksi Gedung Lainnya, Konstruksi Gedung Pendidikan</t>
        </is>
      </c>
      <c r="N17" t="inlineStr">
        <is>
          <t>K</t>
        </is>
      </c>
      <c r="O17" t="inlineStr">
        <is>
          <t>20230803</t>
        </is>
      </c>
      <c r="P17" t="inlineStr">
        <is>
          <t>Sulawesi Selatan</t>
        </is>
      </c>
      <c r="Q17" t="inlineStr"/>
    </row>
    <row r="18">
      <c r="A18" t="inlineStr">
        <is>
          <t>ADHI RAJASA MANDIRI</t>
        </is>
      </c>
      <c r="B18" t="inlineStr">
        <is>
          <t>Kota Makassar</t>
        </is>
      </c>
      <c r="C18" t="inlineStr">
        <is>
          <t>085397105635</t>
        </is>
      </c>
      <c r="D18" t="inlineStr">
        <is>
          <t>adhirajasamandiri@gmail.com</t>
        </is>
      </c>
      <c r="E18" t="inlineStr">
        <is>
          <t>https://lpjk.pu.go.id/search-badan-usaha-detail/YzR1WkRwUGx3N21tTm4zVkoxOXlqUT09</t>
        </is>
      </c>
      <c r="F18" t="n">
        <v>3</v>
      </c>
      <c r="G18" t="inlineStr">
        <is>
          <t>BG001, BG002, BG009</t>
        </is>
      </c>
      <c r="H18" t="inlineStr">
        <is>
          <t>21 Juni 2021</t>
        </is>
      </c>
      <c r="I18" s="2" t="n">
        <v>46247</v>
      </c>
      <c r="J18" t="inlineStr">
        <is>
          <t>Disetujui</t>
        </is>
      </c>
      <c r="K18" t="n">
        <v>30</v>
      </c>
      <c r="L18" t="inlineStr">
        <is>
          <t>13 Agustus 2026</t>
        </is>
      </c>
      <c r="M18" t="inlineStr">
        <is>
          <t>Konstruksi Gedung Hunian, Konstruksi Gedung Lainnya, Konstruksi Gedung Perkantoran</t>
        </is>
      </c>
      <c r="N18" t="inlineStr">
        <is>
          <t>K</t>
        </is>
      </c>
      <c r="O18" t="inlineStr">
        <is>
          <t>20230805</t>
        </is>
      </c>
      <c r="P18" t="inlineStr">
        <is>
          <t>Sulawesi Selatan</t>
        </is>
      </c>
      <c r="Q18" t="inlineStr"/>
    </row>
    <row r="19">
      <c r="A19" t="inlineStr">
        <is>
          <t>ADHI WIJAYA PERKASA</t>
        </is>
      </c>
      <c r="B19" t="inlineStr">
        <is>
          <t>Kab. Kendal</t>
        </is>
      </c>
      <c r="C19" t="inlineStr">
        <is>
          <t>081326555715</t>
        </is>
      </c>
      <c r="D19" t="inlineStr">
        <is>
          <t>adiwijayaperkasa2@gmail.com</t>
        </is>
      </c>
      <c r="E19" t="inlineStr">
        <is>
          <t>https://lpjk.pu.go.id/search-badan-usaha-detail/V0c3ejVLU1habGZ2aE11bGYzbmxxQT09</t>
        </is>
      </c>
      <c r="F19" t="n">
        <v>2</v>
      </c>
      <c r="G19" t="inlineStr">
        <is>
          <t>BG009, BS004</t>
        </is>
      </c>
      <c r="H19" t="inlineStr">
        <is>
          <t>13 Juni 2023</t>
        </is>
      </c>
      <c r="I19" s="2" t="n">
        <v>46247</v>
      </c>
      <c r="J19" t="inlineStr">
        <is>
          <t>Disetujui</t>
        </is>
      </c>
      <c r="K19" t="n">
        <v>30</v>
      </c>
      <c r="L19" t="inlineStr">
        <is>
          <t>13 Agustus 2026</t>
        </is>
      </c>
      <c r="M19" t="inlineStr">
        <is>
          <t>Konstruksi Gedung Lainnya, Konstruksi Jaringan Irigasi dan Drainase</t>
        </is>
      </c>
      <c r="N19" t="inlineStr">
        <is>
          <t>K</t>
        </is>
      </c>
      <c r="O19" t="inlineStr">
        <is>
          <t>20230704</t>
        </is>
      </c>
      <c r="P19" t="inlineStr">
        <is>
          <t>Jawa Tengah</t>
        </is>
      </c>
      <c r="Q19" t="inlineStr"/>
    </row>
    <row r="20">
      <c r="A20" t="inlineStr">
        <is>
          <t>ADYATAMA KARYA KONSTRUKSI</t>
        </is>
      </c>
      <c r="B20" t="inlineStr">
        <is>
          <t>Kab. Bantul</t>
        </is>
      </c>
      <c r="C20" t="inlineStr">
        <is>
          <t>082221292302</t>
        </is>
      </c>
      <c r="D20" t="inlineStr">
        <is>
          <t>adyatama2019@gmail.com</t>
        </is>
      </c>
      <c r="E20" t="inlineStr">
        <is>
          <t>https://lpjk.pu.go.id/search-badan-usaha-detail/OVo3aWNBako3VWFoZ2h1Z0pQeXk5UT09</t>
        </is>
      </c>
      <c r="F20" t="n">
        <v>1</v>
      </c>
      <c r="G20" t="inlineStr">
        <is>
          <t>BS004</t>
        </is>
      </c>
      <c r="H20" t="inlineStr">
        <is>
          <t>19 Juni 2019</t>
        </is>
      </c>
      <c r="I20" s="2" t="n">
        <v>46247</v>
      </c>
      <c r="J20" t="inlineStr">
        <is>
          <t>Disetujui</t>
        </is>
      </c>
      <c r="K20" t="n">
        <v>30</v>
      </c>
      <c r="L20" t="inlineStr">
        <is>
          <t>13 Agustus 2026</t>
        </is>
      </c>
      <c r="M20" t="inlineStr">
        <is>
          <t>Konstruksi Jaringan Irigasi dan Drainase</t>
        </is>
      </c>
      <c r="N20" t="inlineStr">
        <is>
          <t>K</t>
        </is>
      </c>
      <c r="O20" t="inlineStr">
        <is>
          <t>20230809</t>
        </is>
      </c>
      <c r="P20" t="inlineStr">
        <is>
          <t>DI Yogyakarta</t>
        </is>
      </c>
      <c r="Q20" t="inlineStr"/>
    </row>
    <row r="21">
      <c r="A21" t="inlineStr">
        <is>
          <t>AGRO NUSANTARA</t>
        </is>
      </c>
      <c r="B21" t="inlineStr">
        <is>
          <t>Kota Medan</t>
        </is>
      </c>
      <c r="C21" t="inlineStr">
        <is>
          <t>081397529010</t>
        </is>
      </c>
      <c r="D21" t="inlineStr">
        <is>
          <t>agro_nusantara123@yahoo.com</t>
        </is>
      </c>
      <c r="E21" t="inlineStr">
        <is>
          <t>https://lpjk.pu.go.id/search-badan-usaha-detail/Ni90cFdrNFBDWTM3VU5SMHA1aHR1UT09</t>
        </is>
      </c>
      <c r="F21" t="n">
        <v>1</v>
      </c>
      <c r="G21" t="inlineStr">
        <is>
          <t>PA001</t>
        </is>
      </c>
      <c r="H21" t="inlineStr">
        <is>
          <t>13 Maret 2009</t>
        </is>
      </c>
      <c r="I21" s="2" t="n">
        <v>46247</v>
      </c>
      <c r="J21" t="inlineStr">
        <is>
          <t>Pembekuan</t>
        </is>
      </c>
      <c r="K21" t="n">
        <v>30</v>
      </c>
      <c r="L21" t="inlineStr">
        <is>
          <t>13 Agustus 2026</t>
        </is>
      </c>
      <c r="M21" t="inlineStr">
        <is>
          <t>Penyewaan Peralatan Konstruksi</t>
        </is>
      </c>
      <c r="N21" t="inlineStr">
        <is>
          <t>Spesialis</t>
        </is>
      </c>
      <c r="O21" t="inlineStr">
        <is>
          <t>20230813</t>
        </is>
      </c>
      <c r="P21" t="inlineStr">
        <is>
          <t>Sumatera Utara</t>
        </is>
      </c>
      <c r="Q21" t="inlineStr"/>
    </row>
    <row r="22">
      <c r="A22" t="inlineStr">
        <is>
          <t>ALIF MULTI PERKASA</t>
        </is>
      </c>
      <c r="B22" t="inlineStr">
        <is>
          <t>Kab. Tangerang</t>
        </is>
      </c>
      <c r="C22" t="inlineStr">
        <is>
          <t>089668866558</t>
        </is>
      </c>
      <c r="D22" t="inlineStr">
        <is>
          <t>cvalifmultiperkasa@gmail.com</t>
        </is>
      </c>
      <c r="E22" t="inlineStr">
        <is>
          <t>https://lpjk.pu.go.id/search-badan-usaha-detail/M0RmeFZjeFNHZ0VHQTduT25uakUvdz09</t>
        </is>
      </c>
      <c r="F22" t="n">
        <v>3</v>
      </c>
      <c r="G22" t="inlineStr">
        <is>
          <t>BG009, BS001, BS010</t>
        </is>
      </c>
      <c r="H22" t="inlineStr">
        <is>
          <t>8 Juni 2023</t>
        </is>
      </c>
      <c r="I22" s="2" t="n">
        <v>46247</v>
      </c>
      <c r="J22" t="inlineStr">
        <is>
          <t>Disetujui</t>
        </is>
      </c>
      <c r="K22" t="n">
        <v>30</v>
      </c>
      <c r="L22" t="inlineStr">
        <is>
          <t>13 Agustus 2026</t>
        </is>
      </c>
      <c r="M22" t="inlineStr">
        <is>
          <t>Konstruksi Bangunan Prasarana Sumber Daya Air, Konstruksi Bangunan Sipil Jalan, Konstruksi Gedung Lainnya</t>
        </is>
      </c>
      <c r="N22" t="inlineStr">
        <is>
          <t>K</t>
        </is>
      </c>
      <c r="O22" t="inlineStr">
        <is>
          <t>20230810</t>
        </is>
      </c>
      <c r="P22" t="inlineStr">
        <is>
          <t>Banten</t>
        </is>
      </c>
      <c r="Q22" t="inlineStr"/>
    </row>
    <row r="23">
      <c r="A23" t="inlineStr">
        <is>
          <t>ALMAHYRA KARYA UTAMA</t>
        </is>
      </c>
      <c r="B23" t="inlineStr">
        <is>
          <t>Kota Padang</t>
        </is>
      </c>
      <c r="C23" t="inlineStr">
        <is>
          <t>081363142972</t>
        </is>
      </c>
      <c r="D23" t="inlineStr">
        <is>
          <t>karyautamaalmahyra@gmail.com</t>
        </is>
      </c>
      <c r="E23" t="inlineStr">
        <is>
          <t>https://lpjk.pu.go.id/search-badan-usaha-detail/MjFvVTQrYUF1cEcxZ255UE5PNlBhdz09</t>
        </is>
      </c>
      <c r="F23" t="n">
        <v>2</v>
      </c>
      <c r="G23" t="inlineStr">
        <is>
          <t>BG002</t>
        </is>
      </c>
      <c r="H23" t="inlineStr">
        <is>
          <t>29 Mei 2023</t>
        </is>
      </c>
      <c r="I23" s="2" t="n">
        <v>46247</v>
      </c>
      <c r="J23" t="inlineStr">
        <is>
          <t>Disetujui</t>
        </is>
      </c>
      <c r="K23" t="n">
        <v>30</v>
      </c>
      <c r="L23" t="inlineStr">
        <is>
          <t>13 Agustus 2026</t>
        </is>
      </c>
      <c r="M23" t="inlineStr">
        <is>
          <t>Konstruksi Gedung Perkantoran</t>
        </is>
      </c>
      <c r="N23" t="inlineStr">
        <is>
          <t>K</t>
        </is>
      </c>
      <c r="O23" t="inlineStr">
        <is>
          <t>20230718</t>
        </is>
      </c>
      <c r="P23" t="inlineStr">
        <is>
          <t>Sumatera Barat</t>
        </is>
      </c>
      <c r="Q23" t="inlineStr"/>
    </row>
    <row r="24">
      <c r="A24" t="inlineStr">
        <is>
          <t>ANDI SEJAHTERA</t>
        </is>
      </c>
      <c r="B24" t="inlineStr">
        <is>
          <t>Kota Ambon</t>
        </is>
      </c>
      <c r="C24" t="inlineStr">
        <is>
          <t>082111070077</t>
        </is>
      </c>
      <c r="D24" t="inlineStr">
        <is>
          <t>andisejahtera06@yahoo.com</t>
        </is>
      </c>
      <c r="E24" t="inlineStr">
        <is>
          <t>https://lpjk.pu.go.id/search-badan-usaha-detail/bk9zeGFZc2Z5SVFFdWZnSitaWG4ydz09</t>
        </is>
      </c>
      <c r="F24" t="n">
        <v>1</v>
      </c>
      <c r="G24" t="inlineStr">
        <is>
          <t>BG003</t>
        </is>
      </c>
      <c r="H24" t="inlineStr">
        <is>
          <t>3 Juni 2015</t>
        </is>
      </c>
      <c r="I24" s="2" t="n">
        <v>46247</v>
      </c>
      <c r="J24" t="inlineStr">
        <is>
          <t>Disetujui</t>
        </is>
      </c>
      <c r="K24" t="n">
        <v>30</v>
      </c>
      <c r="L24" t="inlineStr">
        <is>
          <t>13 Agustus 2026</t>
        </is>
      </c>
      <c r="M24" t="inlineStr">
        <is>
          <t>Konstruksi Gedung Industri</t>
        </is>
      </c>
      <c r="N24" t="inlineStr">
        <is>
          <t>K</t>
        </is>
      </c>
      <c r="O24" t="inlineStr">
        <is>
          <t>20230804</t>
        </is>
      </c>
      <c r="P24" t="inlineStr">
        <is>
          <t>Maluku</t>
        </is>
      </c>
      <c r="Q24" t="inlineStr"/>
    </row>
    <row r="25">
      <c r="A25" t="inlineStr">
        <is>
          <t>ANIMAKAI</t>
        </is>
      </c>
      <c r="B25" t="inlineStr">
        <is>
          <t>Kab. Dogiyai</t>
        </is>
      </c>
      <c r="C25" t="inlineStr">
        <is>
          <t>082184408018</t>
        </is>
      </c>
      <c r="D25" t="inlineStr">
        <is>
          <t>animakai.cv2020@gmail.com</t>
        </is>
      </c>
      <c r="E25" t="inlineStr">
        <is>
          <t>https://lpjk.pu.go.id/search-badan-usaha-detail/THNGcTlTbkc5cjVEYlNYQklTTUxzZz09</t>
        </is>
      </c>
      <c r="F25" t="n">
        <v>1</v>
      </c>
      <c r="G25" t="inlineStr">
        <is>
          <t>BG006</t>
        </is>
      </c>
      <c r="H25" t="inlineStr">
        <is>
          <t>19 Oktober 2020</t>
        </is>
      </c>
      <c r="I25" s="2" t="n">
        <v>46247</v>
      </c>
      <c r="J25" t="inlineStr">
        <is>
          <t>Disetujui</t>
        </is>
      </c>
      <c r="K25" t="n">
        <v>30</v>
      </c>
      <c r="L25" t="inlineStr">
        <is>
          <t>13 Agustus 2026</t>
        </is>
      </c>
      <c r="M25" t="inlineStr">
        <is>
          <t>Konstruksi Gedung Pendidikan</t>
        </is>
      </c>
      <c r="N25" t="inlineStr">
        <is>
          <t>K</t>
        </is>
      </c>
      <c r="O25" t="inlineStr">
        <is>
          <t>20230814</t>
        </is>
      </c>
      <c r="P25" t="inlineStr">
        <is>
          <t>Papua Tengah</t>
        </is>
      </c>
      <c r="Q25" t="inlineStr"/>
    </row>
    <row r="26">
      <c r="A26" t="inlineStr">
        <is>
          <t>ANINDYA NAYYARA</t>
        </is>
      </c>
      <c r="B26" t="inlineStr">
        <is>
          <t>Kota Padang Sidempuan</t>
        </is>
      </c>
      <c r="C26" t="inlineStr">
        <is>
          <t>081376992356</t>
        </is>
      </c>
      <c r="D26" t="inlineStr">
        <is>
          <t>cvanindyanayyaraa@gmail.com</t>
        </is>
      </c>
      <c r="E26" t="inlineStr">
        <is>
          <t>https://lpjk.pu.go.id/search-badan-usaha-detail/WU14ZGdkZENLTDhRL1hoRXRaN2I0UT09</t>
        </is>
      </c>
      <c r="F26" t="n">
        <v>2</v>
      </c>
      <c r="G26" t="inlineStr">
        <is>
          <t>BS002</t>
        </is>
      </c>
      <c r="H26" t="inlineStr">
        <is>
          <t>26 Juli 2023</t>
        </is>
      </c>
      <c r="I26" s="2" t="n">
        <v>46247</v>
      </c>
      <c r="J26" t="inlineStr">
        <is>
          <t>Disetujui</t>
        </is>
      </c>
      <c r="K26" t="n">
        <v>30</v>
      </c>
      <c r="L26" t="inlineStr">
        <is>
          <t>13 Agustus 2026</t>
        </is>
      </c>
      <c r="M26" t="inlineStr">
        <is>
          <t>Bangunan Sipil Jembatan, Jalan Layang, Fly Over, dan Underpass</t>
        </is>
      </c>
      <c r="N26" t="inlineStr">
        <is>
          <t>K</t>
        </is>
      </c>
      <c r="O26" t="inlineStr">
        <is>
          <t>20230808</t>
        </is>
      </c>
      <c r="P26" t="inlineStr">
        <is>
          <t>Sumatera Utara</t>
        </is>
      </c>
      <c r="Q26" t="inlineStr"/>
    </row>
    <row r="27">
      <c r="A27" t="inlineStr">
        <is>
          <t>ANTAR TIGA</t>
        </is>
      </c>
      <c r="B27" t="inlineStr">
        <is>
          <t>Kab. Natuna</t>
        </is>
      </c>
      <c r="C27" t="inlineStr">
        <is>
          <t>081266398450</t>
        </is>
      </c>
      <c r="D27" t="inlineStr">
        <is>
          <t>cv.antartiga3@gmail.com</t>
        </is>
      </c>
      <c r="E27" t="inlineStr">
        <is>
          <t>https://lpjk.pu.go.id/search-badan-usaha-detail/YStrMC9mWVlwWXVGWWxNNEpRTmdKUT09</t>
        </is>
      </c>
      <c r="F27" t="n">
        <v>1</v>
      </c>
      <c r="G27" t="inlineStr">
        <is>
          <t>BG002</t>
        </is>
      </c>
      <c r="H27" t="inlineStr">
        <is>
          <t>18 Juni 2020</t>
        </is>
      </c>
      <c r="I27" s="2" t="n">
        <v>46247</v>
      </c>
      <c r="J27" t="inlineStr">
        <is>
          <t>Pencabutan</t>
        </is>
      </c>
      <c r="K27" t="n">
        <v>30</v>
      </c>
      <c r="L27" t="inlineStr">
        <is>
          <t>13 Agustus 2026</t>
        </is>
      </c>
      <c r="M27" t="inlineStr">
        <is>
          <t>Konstruksi Gedung Perkantoran</t>
        </is>
      </c>
      <c r="N27" t="inlineStr">
        <is>
          <t>K</t>
        </is>
      </c>
      <c r="O27" t="inlineStr">
        <is>
          <t>20230814</t>
        </is>
      </c>
      <c r="P27" t="inlineStr">
        <is>
          <t>Kepulauan Riau</t>
        </is>
      </c>
      <c r="Q27" t="inlineStr"/>
    </row>
    <row r="28">
      <c r="A28" t="inlineStr">
        <is>
          <t>ANUGERAH RANCANG KARYA</t>
        </is>
      </c>
      <c r="B28" t="inlineStr">
        <is>
          <t>Kab. Tulungagung</t>
        </is>
      </c>
      <c r="C28" t="inlineStr">
        <is>
          <t>081235626191</t>
        </is>
      </c>
      <c r="D28" t="inlineStr">
        <is>
          <t>anugerah.cv@gmail.com</t>
        </is>
      </c>
      <c r="E28" t="inlineStr">
        <is>
          <t>https://lpjk.pu.go.id/search-badan-usaha-detail/S2czTmM4VHFVUGt4YUJiZktybFhpdz09</t>
        </is>
      </c>
      <c r="F28" t="n">
        <v>1</v>
      </c>
      <c r="G28" t="inlineStr">
        <is>
          <t>RK001</t>
        </is>
      </c>
      <c r="H28" t="inlineStr">
        <is>
          <t>9 Mei 2023</t>
        </is>
      </c>
      <c r="I28" s="2" t="n">
        <v>46247</v>
      </c>
      <c r="J28" t="inlineStr">
        <is>
          <t>Pencabutan</t>
        </is>
      </c>
      <c r="K28" t="n">
        <v>30</v>
      </c>
      <c r="L28" t="inlineStr">
        <is>
          <t>13 Agustus 2026</t>
        </is>
      </c>
      <c r="M28" t="inlineStr">
        <is>
          <t>Jasa Rekayasa Konstruksi Bangunan Gedung Hunian dan Non Hunian</t>
        </is>
      </c>
      <c r="N28" t="inlineStr">
        <is>
          <t>K</t>
        </is>
      </c>
      <c r="O28" t="inlineStr">
        <is>
          <t>20230808</t>
        </is>
      </c>
      <c r="P28" t="inlineStr">
        <is>
          <t>Jawa Timur</t>
        </is>
      </c>
      <c r="Q28" t="inlineStr"/>
    </row>
    <row r="29">
      <c r="A29" t="inlineStr">
        <is>
          <t>ANUGRAH LANGGENG MUKTI</t>
        </is>
      </c>
      <c r="B29" t="inlineStr">
        <is>
          <t>Kab. Ogan Komering Ulu</t>
        </is>
      </c>
      <c r="C29" t="inlineStr">
        <is>
          <t>0735322225</t>
        </is>
      </c>
      <c r="D29" t="inlineStr">
        <is>
          <t>pt.anugrahoku@yahoo.com</t>
        </is>
      </c>
      <c r="E29" t="inlineStr">
        <is>
          <t>https://lpjk.pu.go.id/search-badan-usaha-detail/NlB4VllZazh5UFJOL1daTzljZ0dyUT09</t>
        </is>
      </c>
      <c r="F29" t="n">
        <v>2</v>
      </c>
      <c r="G29" t="inlineStr">
        <is>
          <t>BS002</t>
        </is>
      </c>
      <c r="H29" t="inlineStr">
        <is>
          <t>23 April 2007</t>
        </is>
      </c>
      <c r="I29" s="2" t="n">
        <v>46247</v>
      </c>
      <c r="J29" t="inlineStr">
        <is>
          <t>Disetujui</t>
        </is>
      </c>
      <c r="K29" t="n">
        <v>30</v>
      </c>
      <c r="L29" t="inlineStr">
        <is>
          <t>13 Agustus 2026</t>
        </is>
      </c>
      <c r="M29" t="inlineStr">
        <is>
          <t>Bangunan Sipil Jembatan, Jalan Layang, Fly Over, dan Underpass</t>
        </is>
      </c>
      <c r="N29" t="inlineStr">
        <is>
          <t>M</t>
        </is>
      </c>
      <c r="O29" t="inlineStr">
        <is>
          <t>20230802</t>
        </is>
      </c>
      <c r="P29" t="inlineStr">
        <is>
          <t>Sumatera Selatan</t>
        </is>
      </c>
      <c r="Q29" t="inlineStr"/>
    </row>
    <row r="30">
      <c r="A30" t="inlineStr">
        <is>
          <t>ARFAN RAHMAN MANDIRI</t>
        </is>
      </c>
      <c r="B30" t="inlineStr">
        <is>
          <t>Kab. Indramayu</t>
        </is>
      </c>
      <c r="C30" t="inlineStr">
        <is>
          <t>085961161366</t>
        </is>
      </c>
      <c r="D30" t="inlineStr">
        <is>
          <t>cvarfanrahmanmandiri@gmail.com</t>
        </is>
      </c>
      <c r="E30" t="inlineStr">
        <is>
          <t>https://lpjk.pu.go.id/search-badan-usaha-detail/cGoyeDIxWjdsZFRVNWIyalNyOTZvdz09</t>
        </is>
      </c>
      <c r="F30" t="n">
        <v>2</v>
      </c>
      <c r="G30" t="inlineStr">
        <is>
          <t>BS005</t>
        </is>
      </c>
      <c r="H30" t="inlineStr">
        <is>
          <t>6 Juni 2023</t>
        </is>
      </c>
      <c r="I30" s="2" t="n">
        <v>46247</v>
      </c>
      <c r="J30" t="inlineStr">
        <is>
          <t>Disetujui</t>
        </is>
      </c>
      <c r="K30" t="n">
        <v>30</v>
      </c>
      <c r="L30" t="inlineStr">
        <is>
          <t>13 Agustus 2026</t>
        </is>
      </c>
      <c r="M30" t="inlineStr">
        <is>
          <t>Konstruksi Bangunan Sipil Pengolahan Air Bersih</t>
        </is>
      </c>
      <c r="N30" t="inlineStr">
        <is>
          <t>K</t>
        </is>
      </c>
      <c r="O30" t="inlineStr">
        <is>
          <t>20230809</t>
        </is>
      </c>
      <c r="P30" t="inlineStr">
        <is>
          <t>Jawa Barat</t>
        </is>
      </c>
      <c r="Q30" t="inlineStr"/>
    </row>
    <row r="31">
      <c r="A31" t="inlineStr">
        <is>
          <t>ARSITEK ENAM INDONESIA</t>
        </is>
      </c>
      <c r="B31" t="inlineStr">
        <is>
          <t>Kab. Kepulauan Talaud</t>
        </is>
      </c>
      <c r="C31" t="inlineStr">
        <is>
          <t>081355605741</t>
        </is>
      </c>
      <c r="D31" t="inlineStr">
        <is>
          <t>arsitek6indonesia@gmail.com</t>
        </is>
      </c>
      <c r="E31" t="inlineStr">
        <is>
          <t>https://lpjk.pu.go.id/search-badan-usaha-detail/MHJDMTRjZjZrbWI5bklnQ3EzL281QT09</t>
        </is>
      </c>
      <c r="F31" t="n">
        <v>2</v>
      </c>
      <c r="G31" t="inlineStr">
        <is>
          <t>AR001, AR003</t>
        </is>
      </c>
      <c r="H31" t="inlineStr">
        <is>
          <t>7 Februari 2021</t>
        </is>
      </c>
      <c r="I31" s="2" t="n">
        <v>46247</v>
      </c>
      <c r="J31" t="inlineStr">
        <is>
          <t>Disetujui</t>
        </is>
      </c>
      <c r="K31" t="n">
        <v>30</v>
      </c>
      <c r="L31" t="inlineStr">
        <is>
          <t>13 Agustus 2026</t>
        </is>
      </c>
      <c r="M31" t="inlineStr">
        <is>
          <t>Jasa Arsitektural Bangunan Gedung Hunian dan Non Hunian, Jasa Desain Interior pada Bangunan Gedung dan Bangunan Sipil</t>
        </is>
      </c>
      <c r="N31" t="inlineStr">
        <is>
          <t>K</t>
        </is>
      </c>
      <c r="O31" t="inlineStr">
        <is>
          <t>20230703, 20230808</t>
        </is>
      </c>
      <c r="P31" t="inlineStr">
        <is>
          <t>Sulawesi Utara</t>
        </is>
      </c>
      <c r="Q31" t="inlineStr"/>
    </row>
    <row r="32">
      <c r="A32" t="inlineStr">
        <is>
          <t>ARTA BANYU ALAM</t>
        </is>
      </c>
      <c r="B32" t="inlineStr">
        <is>
          <t>Kab. Kubu Raya</t>
        </is>
      </c>
      <c r="C32" t="inlineStr">
        <is>
          <t>085222893389</t>
        </is>
      </c>
      <c r="D32" t="inlineStr">
        <is>
          <t>artabanyualam@gmail.com</t>
        </is>
      </c>
      <c r="E32" t="inlineStr">
        <is>
          <t>https://lpjk.pu.go.id/search-badan-usaha-detail/MWlGMzY5RnE5dEQ2S2ZqOEYvSVRBQT09</t>
        </is>
      </c>
      <c r="F32" t="n">
        <v>1</v>
      </c>
      <c r="G32" t="inlineStr">
        <is>
          <t>BG009</t>
        </is>
      </c>
      <c r="H32" t="inlineStr">
        <is>
          <t>18 Juli 2019</t>
        </is>
      </c>
      <c r="I32" s="2" t="n">
        <v>46247</v>
      </c>
      <c r="J32" t="inlineStr">
        <is>
          <t>Disetujui</t>
        </is>
      </c>
      <c r="K32" t="n">
        <v>30</v>
      </c>
      <c r="L32" t="inlineStr">
        <is>
          <t>13 Agustus 2026</t>
        </is>
      </c>
      <c r="M32" t="inlineStr">
        <is>
          <t>Konstruksi Gedung Lainnya</t>
        </is>
      </c>
      <c r="N32" t="inlineStr">
        <is>
          <t>K</t>
        </is>
      </c>
      <c r="O32" t="inlineStr">
        <is>
          <t>20230808</t>
        </is>
      </c>
      <c r="P32" t="inlineStr">
        <is>
          <t>Kalimantan Barat</t>
        </is>
      </c>
      <c r="Q32" t="inlineStr"/>
    </row>
    <row r="33">
      <c r="A33" t="inlineStr">
        <is>
          <t>ARTHA JAYA</t>
        </is>
      </c>
      <c r="B33" t="inlineStr">
        <is>
          <t>Kab. Bandung</t>
        </is>
      </c>
      <c r="C33" t="inlineStr">
        <is>
          <t>0811249938</t>
        </is>
      </c>
      <c r="D33" t="inlineStr">
        <is>
          <t>ajaya29@yahoo.com</t>
        </is>
      </c>
      <c r="E33" t="inlineStr">
        <is>
          <t>https://lpjk.pu.go.id/search-badan-usaha-detail/MTV1V2hSbXBrZHZRaGN3ZFhMUTFPdz09</t>
        </is>
      </c>
      <c r="F33" t="n">
        <v>3</v>
      </c>
      <c r="G33" t="inlineStr">
        <is>
          <t>BG005, BG006, BS001</t>
        </is>
      </c>
      <c r="H33" t="inlineStr">
        <is>
          <t>1 Februari 2012</t>
        </is>
      </c>
      <c r="I33" s="2" t="n">
        <v>46247</v>
      </c>
      <c r="J33" t="inlineStr">
        <is>
          <t>Disetujui</t>
        </is>
      </c>
      <c r="K33" t="n">
        <v>30</v>
      </c>
      <c r="L33" t="inlineStr">
        <is>
          <t>13 Agustus 2026</t>
        </is>
      </c>
      <c r="M33" t="inlineStr">
        <is>
          <t>Konstruksi Bangunan Sipil Jalan, Konstruksi Gedung Kesehatan, Konstruksi Gedung Pendidikan</t>
        </is>
      </c>
      <c r="N33" t="inlineStr">
        <is>
          <t>K</t>
        </is>
      </c>
      <c r="O33" t="inlineStr">
        <is>
          <t>20230811, 20230812</t>
        </is>
      </c>
      <c r="P33" t="inlineStr">
        <is>
          <t>Jawa Barat</t>
        </is>
      </c>
      <c r="Q33" t="inlineStr"/>
    </row>
    <row r="34">
      <c r="A34" t="inlineStr">
        <is>
          <t>ARTHA RIATAMA JAYA</t>
        </is>
      </c>
      <c r="B34" t="inlineStr">
        <is>
          <t>Kota Samarinda</t>
        </is>
      </c>
      <c r="C34" t="inlineStr">
        <is>
          <t>081253021000</t>
        </is>
      </c>
      <c r="D34" t="inlineStr">
        <is>
          <t>arthariatamajaya@gmail.com</t>
        </is>
      </c>
      <c r="E34" t="inlineStr">
        <is>
          <t>https://lpjk.pu.go.id/search-badan-usaha-detail/SnNYUm8xK09VTDdEV1NYWG5LYzhDQT09</t>
        </is>
      </c>
      <c r="F34" t="n">
        <v>2</v>
      </c>
      <c r="G34" t="inlineStr">
        <is>
          <t>BG006, BG008</t>
        </is>
      </c>
      <c r="H34" t="inlineStr">
        <is>
          <t>30 Januari 2008</t>
        </is>
      </c>
      <c r="I34" s="2" t="n">
        <v>46247</v>
      </c>
      <c r="J34" t="inlineStr">
        <is>
          <t>Disetujui</t>
        </is>
      </c>
      <c r="K34" t="n">
        <v>30</v>
      </c>
      <c r="L34" t="inlineStr">
        <is>
          <t>13 Agustus 2026</t>
        </is>
      </c>
      <c r="M34" t="inlineStr">
        <is>
          <t>Konstruksi Gedung Pendidikan, Konstruksi Gedung Tempat Hiburan dan Olahraga</t>
        </is>
      </c>
      <c r="N34" t="inlineStr">
        <is>
          <t>K</t>
        </is>
      </c>
      <c r="O34" t="inlineStr">
        <is>
          <t>20230806</t>
        </is>
      </c>
      <c r="P34" t="inlineStr">
        <is>
          <t>Kalimantan Timur</t>
        </is>
      </c>
      <c r="Q34" t="inlineStr"/>
    </row>
    <row r="35">
      <c r="A35" t="inlineStr">
        <is>
          <t>ASTRINA BANGKIT</t>
        </is>
      </c>
      <c r="B35" t="inlineStr">
        <is>
          <t>Kab. Muna</t>
        </is>
      </c>
      <c r="C35" t="inlineStr">
        <is>
          <t>085397363335</t>
        </is>
      </c>
      <c r="D35" t="inlineStr">
        <is>
          <t>astrinabangkit2020@gmail.com</t>
        </is>
      </c>
      <c r="E35" t="inlineStr">
        <is>
          <t>https://lpjk.pu.go.id/search-badan-usaha-detail/Y0lDTWY4WjVYU0pURTF1d0xiUUlhZz09</t>
        </is>
      </c>
      <c r="F35" t="n">
        <v>2</v>
      </c>
      <c r="G35" t="inlineStr">
        <is>
          <t>BS001</t>
        </is>
      </c>
      <c r="H35" t="inlineStr">
        <is>
          <t>17 September 2003</t>
        </is>
      </c>
      <c r="I35" s="2" t="n">
        <v>46247</v>
      </c>
      <c r="J35" t="inlineStr">
        <is>
          <t>Disetujui</t>
        </is>
      </c>
      <c r="K35" t="n">
        <v>30</v>
      </c>
      <c r="L35" t="inlineStr">
        <is>
          <t>13 Agustus 2026</t>
        </is>
      </c>
      <c r="M35" t="inlineStr">
        <is>
          <t>Konstruksi Bangunan Sipil Jalan</t>
        </is>
      </c>
      <c r="N35" t="inlineStr">
        <is>
          <t>K</t>
        </is>
      </c>
      <c r="O35" t="inlineStr">
        <is>
          <t>20230814</t>
        </is>
      </c>
      <c r="P35" t="inlineStr">
        <is>
          <t>Sulawesi Tenggara</t>
        </is>
      </c>
      <c r="Q35" t="inlineStr"/>
    </row>
    <row r="36">
      <c r="A36" t="inlineStr">
        <is>
          <t>ATHA PERKASA</t>
        </is>
      </c>
      <c r="B36" t="inlineStr">
        <is>
          <t>Kota Semarang</t>
        </is>
      </c>
      <c r="C36" t="inlineStr">
        <is>
          <t>088238527984</t>
        </is>
      </c>
      <c r="D36" t="inlineStr">
        <is>
          <t>atha_perkasa@yahoo.com</t>
        </is>
      </c>
      <c r="E36" t="inlineStr">
        <is>
          <t>https://lpjk.pu.go.id/search-badan-usaha-detail/Sks5WkNNaDh6c3lrTDVhSVhqT2J3QT09</t>
        </is>
      </c>
      <c r="F36" t="n">
        <v>4</v>
      </c>
      <c r="G36" t="inlineStr">
        <is>
          <t>BG002, BG006, BG008, BG009</t>
        </is>
      </c>
      <c r="H36" t="inlineStr">
        <is>
          <t>23 Agustus 2010</t>
        </is>
      </c>
      <c r="I36" s="2" t="n">
        <v>46247</v>
      </c>
      <c r="J36" t="inlineStr">
        <is>
          <t>Disetujui</t>
        </is>
      </c>
      <c r="K36" t="n">
        <v>30</v>
      </c>
      <c r="L36" t="inlineStr">
        <is>
          <t>13 Agustus 2026</t>
        </is>
      </c>
      <c r="M36" t="inlineStr">
        <is>
          <t>Konstruksi Gedung Lainnya, Konstruksi Gedung Pendidikan, Konstruksi Gedung Perkantoran, Konstruksi Gedung Tempat Hiburan dan Olahraga</t>
        </is>
      </c>
      <c r="N36" t="inlineStr">
        <is>
          <t>K</t>
        </is>
      </c>
      <c r="O36" t="inlineStr">
        <is>
          <t>20230804</t>
        </is>
      </c>
      <c r="P36" t="inlineStr">
        <is>
          <t>Jawa Tengah</t>
        </is>
      </c>
      <c r="Q36" t="inlineStr"/>
    </row>
    <row r="37">
      <c r="A37" t="inlineStr">
        <is>
          <t>BALADEWA CIPTA KREASI</t>
        </is>
      </c>
      <c r="B37" t="inlineStr">
        <is>
          <t>Kota Adm. Jakarta Selatan</t>
        </is>
      </c>
      <c r="C37" t="inlineStr">
        <is>
          <t>081320460848</t>
        </is>
      </c>
      <c r="D37" t="inlineStr">
        <is>
          <t>baladewaciptakreasi@gmail.com</t>
        </is>
      </c>
      <c r="E37" t="inlineStr">
        <is>
          <t>https://lpjk.pu.go.id/search-badan-usaha-detail/dlFHVzhMNmFuQ2ZUK2VSdk9OL2grZz09</t>
        </is>
      </c>
      <c r="F37" t="n">
        <v>4</v>
      </c>
      <c r="G37" t="inlineStr">
        <is>
          <t>AR003, RK001</t>
        </is>
      </c>
      <c r="H37" t="inlineStr">
        <is>
          <t>15 November 2022</t>
        </is>
      </c>
      <c r="I37" s="2" t="n">
        <v>46247</v>
      </c>
      <c r="J37" t="inlineStr">
        <is>
          <t>Disetujui</t>
        </is>
      </c>
      <c r="K37" t="n">
        <v>30</v>
      </c>
      <c r="L37" t="inlineStr">
        <is>
          <t>13 Agustus 2026</t>
        </is>
      </c>
      <c r="M37" t="inlineStr">
        <is>
          <t>Jasa Desain Interior pada Bangunan Gedung dan Bangunan Sipil, Jasa Rekayasa Konstruksi Bangunan Gedung Hunian dan Non Hunian</t>
        </is>
      </c>
      <c r="N37" t="inlineStr">
        <is>
          <t>K</t>
        </is>
      </c>
      <c r="O37" t="inlineStr">
        <is>
          <t>20230803</t>
        </is>
      </c>
      <c r="P37" t="inlineStr">
        <is>
          <t>DKI Jakarta</t>
        </is>
      </c>
      <c r="Q37" t="inlineStr"/>
    </row>
    <row r="38">
      <c r="A38" t="inlineStr">
        <is>
          <t>BANGUN INDAH PERKASA</t>
        </is>
      </c>
      <c r="B38" t="inlineStr">
        <is>
          <t>Kota Semarang</t>
        </is>
      </c>
      <c r="C38" t="inlineStr">
        <is>
          <t>0243517751</t>
        </is>
      </c>
      <c r="D38" t="inlineStr">
        <is>
          <t>cv.bangunindahperkasa010@gmail.com</t>
        </is>
      </c>
      <c r="E38" t="inlineStr">
        <is>
          <t>https://lpjk.pu.go.id/search-badan-usaha-detail/bjZwQkk2SlNXMXlIU0xCY240ZHFMZz09</t>
        </is>
      </c>
      <c r="F38" t="n">
        <v>1</v>
      </c>
      <c r="G38" t="inlineStr">
        <is>
          <t>BS001</t>
        </is>
      </c>
      <c r="H38" t="inlineStr">
        <is>
          <t>17 November 2007</t>
        </is>
      </c>
      <c r="I38" s="2" t="n">
        <v>46247</v>
      </c>
      <c r="J38" t="inlineStr">
        <is>
          <t>Pencabutan</t>
        </is>
      </c>
      <c r="K38" t="n">
        <v>30</v>
      </c>
      <c r="L38" t="inlineStr">
        <is>
          <t>13 Agustus 2026</t>
        </is>
      </c>
      <c r="M38" t="inlineStr">
        <is>
          <t>Konstruksi Bangunan Sipil Jalan</t>
        </is>
      </c>
      <c r="N38" t="inlineStr">
        <is>
          <t>K</t>
        </is>
      </c>
      <c r="O38" t="inlineStr">
        <is>
          <t>20230811</t>
        </is>
      </c>
      <c r="P38" t="inlineStr">
        <is>
          <t>Jawa Tengah</t>
        </is>
      </c>
      <c r="Q38" t="inlineStr"/>
    </row>
    <row r="39">
      <c r="A39" t="inlineStr">
        <is>
          <t>BANGUN KARYA SAKTI</t>
        </is>
      </c>
      <c r="B39" t="inlineStr">
        <is>
          <t>Kota Bandar Lampung</t>
        </is>
      </c>
      <c r="C39" t="inlineStr">
        <is>
          <t>081379310008</t>
        </is>
      </c>
      <c r="D39" t="inlineStr">
        <is>
          <t>bangunkaryasakti@gmail.com</t>
        </is>
      </c>
      <c r="E39" t="inlineStr">
        <is>
          <t>https://lpjk.pu.go.id/search-badan-usaha-detail/cE8ySU1wWU1sbjZhUzRPc3pOU1lNZz09</t>
        </is>
      </c>
      <c r="F39" t="n">
        <v>1</v>
      </c>
      <c r="G39" t="inlineStr">
        <is>
          <t>BG006</t>
        </is>
      </c>
      <c r="H39" t="inlineStr">
        <is>
          <t>7 April 2016</t>
        </is>
      </c>
      <c r="I39" s="2" t="n">
        <v>46247</v>
      </c>
      <c r="J39" t="inlineStr">
        <is>
          <t>Pencabutan</t>
        </is>
      </c>
      <c r="K39" t="n">
        <v>30</v>
      </c>
      <c r="L39" t="inlineStr">
        <is>
          <t>13 Agustus 2026</t>
        </is>
      </c>
      <c r="M39" t="inlineStr">
        <is>
          <t>Konstruksi Gedung Pendidikan</t>
        </is>
      </c>
      <c r="N39" t="inlineStr">
        <is>
          <t>K</t>
        </is>
      </c>
      <c r="O39" t="inlineStr">
        <is>
          <t>20230808</t>
        </is>
      </c>
      <c r="P39" t="inlineStr">
        <is>
          <t>Lampung</t>
        </is>
      </c>
      <c r="Q39" t="inlineStr"/>
    </row>
    <row r="40">
      <c r="A40" t="inlineStr">
        <is>
          <t>BANUA KARYA TEKNIK</t>
        </is>
      </c>
      <c r="B40" t="inlineStr">
        <is>
          <t>Kota Banjarmasin</t>
        </is>
      </c>
      <c r="C40" t="inlineStr">
        <is>
          <t>085246794545</t>
        </is>
      </c>
      <c r="D40" t="inlineStr">
        <is>
          <t>cvbkt@yahoo.com</t>
        </is>
      </c>
      <c r="E40" t="inlineStr">
        <is>
          <t>https://lpjk.pu.go.id/search-badan-usaha-detail/TFY4LzNYWkRLMEwzdWVSSkZLUWRwUT09</t>
        </is>
      </c>
      <c r="F40" t="n">
        <v>2</v>
      </c>
      <c r="G40" t="inlineStr">
        <is>
          <t>BG006, BG009</t>
        </is>
      </c>
      <c r="H40" t="inlineStr">
        <is>
          <t>5 Januari 2017</t>
        </is>
      </c>
      <c r="I40" s="2" t="n">
        <v>46247</v>
      </c>
      <c r="J40" t="inlineStr">
        <is>
          <t>Disetujui</t>
        </is>
      </c>
      <c r="K40" t="n">
        <v>30</v>
      </c>
      <c r="L40" t="inlineStr">
        <is>
          <t>13 Agustus 2026</t>
        </is>
      </c>
      <c r="M40" t="inlineStr">
        <is>
          <t>Konstruksi Gedung Lainnya, Konstruksi Gedung Pendidikan</t>
        </is>
      </c>
      <c r="N40" t="inlineStr">
        <is>
          <t>K</t>
        </is>
      </c>
      <c r="O40" t="inlineStr">
        <is>
          <t>20230809</t>
        </is>
      </c>
      <c r="P40" t="inlineStr">
        <is>
          <t>Kalimantan Selatan</t>
        </is>
      </c>
      <c r="Q40" t="inlineStr"/>
    </row>
    <row r="41">
      <c r="A41" t="inlineStr">
        <is>
          <t>BARITO RAJAWALI PERMAI</t>
        </is>
      </c>
      <c r="B41" t="inlineStr">
        <is>
          <t>Kota Pangkal Pinang</t>
        </is>
      </c>
      <c r="C41" t="inlineStr">
        <is>
          <t>081381367650</t>
        </is>
      </c>
      <c r="D41" t="inlineStr">
        <is>
          <t>barito.rajawali@yahoo.co.id</t>
        </is>
      </c>
      <c r="E41" t="inlineStr">
        <is>
          <t>https://lpjk.pu.go.id/search-badan-usaha-detail/UCsxNGZPazN4bk5kK1NJaXZTUmx5dz09</t>
        </is>
      </c>
      <c r="F41" t="n">
        <v>1</v>
      </c>
      <c r="G41" t="inlineStr">
        <is>
          <t>BS001</t>
        </is>
      </c>
      <c r="H41" t="inlineStr">
        <is>
          <t>4 Oktober 2004</t>
        </is>
      </c>
      <c r="I41" s="2" t="n">
        <v>46247</v>
      </c>
      <c r="J41" t="inlineStr">
        <is>
          <t>Pencabutan</t>
        </is>
      </c>
      <c r="K41" t="n">
        <v>30</v>
      </c>
      <c r="L41" t="inlineStr">
        <is>
          <t>13 Agustus 2026</t>
        </is>
      </c>
      <c r="M41" t="inlineStr">
        <is>
          <t>Konstruksi Bangunan Sipil Jalan</t>
        </is>
      </c>
      <c r="N41" t="inlineStr">
        <is>
          <t>M</t>
        </is>
      </c>
      <c r="O41" t="inlineStr">
        <is>
          <t>20230814</t>
        </is>
      </c>
      <c r="P41" t="inlineStr">
        <is>
          <t>Kepulauan Bangka Belitung</t>
        </is>
      </c>
      <c r="Q41" t="inlineStr"/>
    </row>
    <row r="42">
      <c r="A42" t="inlineStr">
        <is>
          <t>BENTENG UTAMA PUTRA</t>
        </is>
      </c>
      <c r="B42" t="inlineStr">
        <is>
          <t>Kab. Bombana</t>
        </is>
      </c>
      <c r="C42" t="inlineStr">
        <is>
          <t>0853 9863 3300</t>
        </is>
      </c>
      <c r="D42" t="inlineStr">
        <is>
          <t>cvbentengutamaputra@gmail.com</t>
        </is>
      </c>
      <c r="E42" t="inlineStr">
        <is>
          <t>https://lpjk.pu.go.id/search-badan-usaha-detail/SFpLUVRjSDJHbE5uY3ptdUtvdVNCUT09</t>
        </is>
      </c>
      <c r="F42" t="n">
        <v>1</v>
      </c>
      <c r="G42" t="inlineStr">
        <is>
          <t>BS004</t>
        </is>
      </c>
      <c r="H42" t="inlineStr">
        <is>
          <t>1 Juli 2020</t>
        </is>
      </c>
      <c r="I42" s="2" t="n">
        <v>46247</v>
      </c>
      <c r="J42" t="inlineStr">
        <is>
          <t>Disetujui</t>
        </is>
      </c>
      <c r="K42" t="n">
        <v>30</v>
      </c>
      <c r="L42" t="inlineStr">
        <is>
          <t>13 Agustus 2026</t>
        </is>
      </c>
      <c r="M42" t="inlineStr">
        <is>
          <t>Konstruksi Jaringan Irigasi dan Drainase</t>
        </is>
      </c>
      <c r="N42" t="inlineStr">
        <is>
          <t>K</t>
        </is>
      </c>
      <c r="O42" t="inlineStr">
        <is>
          <t>20230810</t>
        </is>
      </c>
      <c r="P42" t="inlineStr">
        <is>
          <t>Sulawesi Tenggara</t>
        </is>
      </c>
      <c r="Q42" t="inlineStr"/>
    </row>
    <row r="43">
      <c r="A43" t="inlineStr">
        <is>
          <t>BERKAH</t>
        </is>
      </c>
      <c r="B43" t="inlineStr">
        <is>
          <t>Kota Bima</t>
        </is>
      </c>
      <c r="C43" t="inlineStr">
        <is>
          <t>081239538242</t>
        </is>
      </c>
      <c r="D43" t="inlineStr">
        <is>
          <t>cvberkah25@gmail.com</t>
        </is>
      </c>
      <c r="E43" t="inlineStr">
        <is>
          <t>https://lpjk.pu.go.id/search-badan-usaha-detail/R3BwT1oxaUp5Z3dNdXF4bGVUY0ttZz09</t>
        </is>
      </c>
      <c r="F43" t="n">
        <v>2</v>
      </c>
      <c r="G43" t="inlineStr">
        <is>
          <t>BG009</t>
        </is>
      </c>
      <c r="H43" t="inlineStr">
        <is>
          <t>18 November 1992</t>
        </is>
      </c>
      <c r="I43" s="2" t="n">
        <v>46247</v>
      </c>
      <c r="J43" t="inlineStr">
        <is>
          <t>Disetujui</t>
        </is>
      </c>
      <c r="K43" t="n">
        <v>30</v>
      </c>
      <c r="L43" t="inlineStr">
        <is>
          <t>13 Agustus 2026</t>
        </is>
      </c>
      <c r="M43" t="inlineStr">
        <is>
          <t>Konstruksi Gedung Lainnya</t>
        </is>
      </c>
      <c r="N43" t="inlineStr">
        <is>
          <t>K</t>
        </is>
      </c>
      <c r="O43" t="inlineStr">
        <is>
          <t>20230812</t>
        </is>
      </c>
      <c r="P43" t="inlineStr">
        <is>
          <t>Nusa Tenggara Barat</t>
        </is>
      </c>
      <c r="Q43" t="inlineStr"/>
    </row>
    <row r="44">
      <c r="A44" t="inlineStr">
        <is>
          <t>BERKAH PENOMPHA</t>
        </is>
      </c>
      <c r="B44" t="inlineStr">
        <is>
          <t>Kab. Sekadau</t>
        </is>
      </c>
      <c r="C44" t="inlineStr">
        <is>
          <t>0821 4805 7069</t>
        </is>
      </c>
      <c r="D44" t="inlineStr">
        <is>
          <t>berkahpenompha.cv@outlook.com</t>
        </is>
      </c>
      <c r="E44" t="inlineStr">
        <is>
          <t>https://lpjk.pu.go.id/search-badan-usaha-detail/L3NQZXBDQUFaYmZIcUtKMElDZFJmZz09</t>
        </is>
      </c>
      <c r="F44" t="n">
        <v>2</v>
      </c>
      <c r="G44" t="inlineStr">
        <is>
          <t>BS001</t>
        </is>
      </c>
      <c r="H44" t="inlineStr">
        <is>
          <t>5 Januari 2008</t>
        </is>
      </c>
      <c r="I44" s="2" t="n">
        <v>46247</v>
      </c>
      <c r="J44" t="inlineStr">
        <is>
          <t>Disetujui</t>
        </is>
      </c>
      <c r="K44" t="n">
        <v>30</v>
      </c>
      <c r="L44" t="inlineStr">
        <is>
          <t>13 Agustus 2026</t>
        </is>
      </c>
      <c r="M44" t="inlineStr">
        <is>
          <t>Konstruksi Bangunan Sipil Jalan</t>
        </is>
      </c>
      <c r="N44" t="inlineStr">
        <is>
          <t>K</t>
        </is>
      </c>
      <c r="O44" t="inlineStr">
        <is>
          <t>20230804</t>
        </is>
      </c>
      <c r="P44" t="inlineStr">
        <is>
          <t>Kalimantan Barat</t>
        </is>
      </c>
      <c r="Q44" t="inlineStr"/>
    </row>
    <row r="45">
      <c r="A45" t="inlineStr">
        <is>
          <t>BINA JAYA BORNEO</t>
        </is>
      </c>
      <c r="B45" t="inlineStr">
        <is>
          <t>Kab. Kutai Timur</t>
        </is>
      </c>
      <c r="C45" t="inlineStr">
        <is>
          <t>085821425861</t>
        </is>
      </c>
      <c r="D45" t="inlineStr">
        <is>
          <t>cv.binajayaborneo146@yahoo.co.id</t>
        </is>
      </c>
      <c r="E45" t="inlineStr">
        <is>
          <t>https://lpjk.pu.go.id/search-badan-usaha-detail/MFMvblpQSjZhZkMyVmZTZUFZOHZHZz09</t>
        </is>
      </c>
      <c r="F45" t="n">
        <v>1</v>
      </c>
      <c r="G45" t="inlineStr">
        <is>
          <t>BG002</t>
        </is>
      </c>
      <c r="H45" t="inlineStr">
        <is>
          <t>29 Januari 2014</t>
        </is>
      </c>
      <c r="I45" s="2" t="n">
        <v>46247</v>
      </c>
      <c r="J45" t="inlineStr">
        <is>
          <t>Pencabutan</t>
        </is>
      </c>
      <c r="K45" t="n">
        <v>30</v>
      </c>
      <c r="L45" t="inlineStr">
        <is>
          <t>13 Agustus 2026</t>
        </is>
      </c>
      <c r="M45" t="inlineStr">
        <is>
          <t>Konstruksi Gedung Perkantoran</t>
        </is>
      </c>
      <c r="N45" t="inlineStr">
        <is>
          <t>K</t>
        </is>
      </c>
      <c r="O45" t="inlineStr">
        <is>
          <t>20230809</t>
        </is>
      </c>
      <c r="P45" t="inlineStr">
        <is>
          <t>Kalimantan Timur</t>
        </is>
      </c>
      <c r="Q45" t="inlineStr"/>
    </row>
    <row r="46">
      <c r="A46" t="inlineStr">
        <is>
          <t>BINA KONSTRUKSI SEJAHTERA</t>
        </is>
      </c>
      <c r="B46" t="inlineStr">
        <is>
          <t>Kota Kendari</t>
        </is>
      </c>
      <c r="C46" t="inlineStr">
        <is>
          <t>085243222972</t>
        </is>
      </c>
      <c r="D46" t="inlineStr">
        <is>
          <t>bkonstruksisejahtera@gmail.com</t>
        </is>
      </c>
      <c r="E46" t="inlineStr">
        <is>
          <t>https://lpjk.pu.go.id/search-badan-usaha-detail/dk9Ld3JhVjV2QWwyUi80TEswMTFydz09</t>
        </is>
      </c>
      <c r="F46" t="n">
        <v>1</v>
      </c>
      <c r="G46" t="inlineStr">
        <is>
          <t>BS001</t>
        </is>
      </c>
      <c r="H46" t="inlineStr">
        <is>
          <t>23 April 2019</t>
        </is>
      </c>
      <c r="I46" s="2" t="n">
        <v>46247</v>
      </c>
      <c r="J46" t="inlineStr">
        <is>
          <t>Disetujui</t>
        </is>
      </c>
      <c r="K46" t="n">
        <v>30</v>
      </c>
      <c r="L46" t="inlineStr">
        <is>
          <t>13 Agustus 2026</t>
        </is>
      </c>
      <c r="M46" t="inlineStr">
        <is>
          <t>Konstruksi Bangunan Sipil Jalan</t>
        </is>
      </c>
      <c r="N46" t="inlineStr">
        <is>
          <t>K</t>
        </is>
      </c>
      <c r="O46" t="inlineStr">
        <is>
          <t>20230810</t>
        </is>
      </c>
      <c r="P46" t="inlineStr">
        <is>
          <t>Sulawesi Tenggara</t>
        </is>
      </c>
      <c r="Q46" t="inlineStr"/>
    </row>
    <row r="47">
      <c r="A47" t="inlineStr">
        <is>
          <t>BINTANG JAYA MANDIRI</t>
        </is>
      </c>
      <c r="B47" t="inlineStr">
        <is>
          <t>Kota Tangerang Selatan</t>
        </is>
      </c>
      <c r="C47" t="inlineStr">
        <is>
          <t>081298099633</t>
        </is>
      </c>
      <c r="D47" t="inlineStr">
        <is>
          <t>bintangjayamandiri18@gmail.com</t>
        </is>
      </c>
      <c r="E47" t="inlineStr">
        <is>
          <t>https://lpjk.pu.go.id/search-badan-usaha-detail/cEt6OVhZcXFIbVlia2k5TGNteWtqUT09</t>
        </is>
      </c>
      <c r="F47" t="n">
        <v>6</v>
      </c>
      <c r="G47" t="inlineStr">
        <is>
          <t>BG005, BG006, BG009</t>
        </is>
      </c>
      <c r="H47" t="inlineStr">
        <is>
          <t>11 Januari 2018</t>
        </is>
      </c>
      <c r="I47" s="2" t="n">
        <v>46247</v>
      </c>
      <c r="J47" t="inlineStr">
        <is>
          <t>Disetujui</t>
        </is>
      </c>
      <c r="K47" t="n">
        <v>30</v>
      </c>
      <c r="L47" t="inlineStr">
        <is>
          <t>13 Agustus 2026</t>
        </is>
      </c>
      <c r="M47" t="inlineStr">
        <is>
          <t>Konstruksi Gedung Kesehatan, Konstruksi Gedung Lainnya, Konstruksi Gedung Pendidikan</t>
        </is>
      </c>
      <c r="N47" t="inlineStr">
        <is>
          <t>K</t>
        </is>
      </c>
      <c r="O47" t="inlineStr">
        <is>
          <t>20230810, 20230811</t>
        </is>
      </c>
      <c r="P47" t="inlineStr">
        <is>
          <t>Banten</t>
        </is>
      </c>
      <c r="Q47" t="inlineStr"/>
    </row>
    <row r="48">
      <c r="A48" t="inlineStr">
        <is>
          <t>BOEMI ANUGRAH</t>
        </is>
      </c>
      <c r="B48" t="inlineStr">
        <is>
          <t>Kab. Hulu Sungai Utara</t>
        </is>
      </c>
      <c r="C48" t="inlineStr">
        <is>
          <t>085346986608</t>
        </is>
      </c>
      <c r="D48" t="inlineStr">
        <is>
          <t>cvboemianugrah@gmail.com</t>
        </is>
      </c>
      <c r="E48" t="inlineStr">
        <is>
          <t>https://lpjk.pu.go.id/search-badan-usaha-detail/K2tXVG1ad3pOTWlnWmRKMUFncmhQQT09</t>
        </is>
      </c>
      <c r="F48" t="n">
        <v>1</v>
      </c>
      <c r="G48" t="inlineStr">
        <is>
          <t>BG005</t>
        </is>
      </c>
      <c r="H48" t="inlineStr">
        <is>
          <t>19 Juni 2019</t>
        </is>
      </c>
      <c r="I48" s="2" t="n">
        <v>46247</v>
      </c>
      <c r="J48" t="inlineStr">
        <is>
          <t>Pencabutan</t>
        </is>
      </c>
      <c r="K48" t="n">
        <v>30</v>
      </c>
      <c r="L48" t="inlineStr">
        <is>
          <t>13 Agustus 2026</t>
        </is>
      </c>
      <c r="M48" t="inlineStr">
        <is>
          <t>Konstruksi Gedung Kesehatan</t>
        </is>
      </c>
      <c r="N48" t="inlineStr">
        <is>
          <t>K</t>
        </is>
      </c>
      <c r="O48" t="inlineStr">
        <is>
          <t>20230808</t>
        </is>
      </c>
      <c r="P48" t="inlineStr">
        <is>
          <t>Kalimantan Selatan</t>
        </is>
      </c>
      <c r="Q48" t="inlineStr"/>
    </row>
    <row r="49">
      <c r="A49" t="inlineStr">
        <is>
          <t>BORNEO RAYA KONSULTAN</t>
        </is>
      </c>
      <c r="B49" t="inlineStr">
        <is>
          <t>Kab. Kotabaru</t>
        </is>
      </c>
      <c r="C49" t="inlineStr">
        <is>
          <t>082351525552</t>
        </is>
      </c>
      <c r="D49" t="inlineStr">
        <is>
          <t>cv.borneorayakonsultan@gmail.com</t>
        </is>
      </c>
      <c r="E49" t="inlineStr">
        <is>
          <t>https://lpjk.pu.go.id/search-badan-usaha-detail/cittNFRRVVlMYTBZNFF0YmE0TndiUT09</t>
        </is>
      </c>
      <c r="F49" t="n">
        <v>3</v>
      </c>
      <c r="G49" t="inlineStr">
        <is>
          <t>RK001, RK002, RK003</t>
        </is>
      </c>
      <c r="H49" t="inlineStr">
        <is>
          <t>15 Januari 2008</t>
        </is>
      </c>
      <c r="I49" s="2" t="n">
        <v>46247</v>
      </c>
      <c r="J49" t="inlineStr">
        <is>
          <t>Disetujui</t>
        </is>
      </c>
      <c r="K49" t="n">
        <v>30</v>
      </c>
      <c r="L49" t="inlineStr">
        <is>
          <t>13 Agustus 2026</t>
        </is>
      </c>
      <c r="M49" t="inlineStr">
        <is>
          <t>Jasa Rekayasa Konstruksi Bangunan Gedung Hunian dan Non Hunian, Jasa Rekayasa Pekerjaan Teknik Sipil Sumber Daya Air, Jasa Rekayasa Pekerjaan Teknik Sipil Transportasi</t>
        </is>
      </c>
      <c r="N49" t="inlineStr">
        <is>
          <t>K</t>
        </is>
      </c>
      <c r="O49" t="inlineStr">
        <is>
          <t>20230729, 20230731, 20230803</t>
        </is>
      </c>
      <c r="P49" t="inlineStr">
        <is>
          <t>Kalimantan Selatan</t>
        </is>
      </c>
      <c r="Q49" t="inlineStr"/>
    </row>
    <row r="50">
      <c r="A50" t="inlineStr">
        <is>
          <t>BUANA RAYA PROPERTY</t>
        </is>
      </c>
      <c r="B50" t="inlineStr">
        <is>
          <t>Kab. Karangasem</t>
        </is>
      </c>
      <c r="C50" t="inlineStr">
        <is>
          <t>085237999340</t>
        </is>
      </c>
      <c r="D50" t="inlineStr">
        <is>
          <t>buanarayaproperty@gmail.com</t>
        </is>
      </c>
      <c r="E50" t="inlineStr">
        <is>
          <t>https://lpjk.pu.go.id/search-badan-usaha-detail/Y2d6ckdJL1duampUeWVBWm5TRjVGdz09</t>
        </is>
      </c>
      <c r="F50" t="n">
        <v>4</v>
      </c>
      <c r="G50" t="inlineStr">
        <is>
          <t>BG001, BG005, BG006, BG009</t>
        </is>
      </c>
      <c r="H50" t="inlineStr">
        <is>
          <t>30 Juni 2000</t>
        </is>
      </c>
      <c r="I50" s="2" t="n">
        <v>46247</v>
      </c>
      <c r="J50" t="inlineStr">
        <is>
          <t>Disetujui</t>
        </is>
      </c>
      <c r="K50" t="n">
        <v>30</v>
      </c>
      <c r="L50" t="inlineStr">
        <is>
          <t>13 Agustus 2026</t>
        </is>
      </c>
      <c r="M50" t="inlineStr">
        <is>
          <t>Konstruksi Gedung Hunian, Konstruksi Gedung Kesehatan, Konstruksi Gedung Lainnya, Konstruksi Gedung Pendidikan</t>
        </is>
      </c>
      <c r="N50" t="inlineStr">
        <is>
          <t>K</t>
        </is>
      </c>
      <c r="O50" t="inlineStr">
        <is>
          <t>20230731</t>
        </is>
      </c>
      <c r="P50" t="inlineStr">
        <is>
          <t>Bali</t>
        </is>
      </c>
      <c r="Q50" t="inlineStr"/>
    </row>
    <row r="51">
      <c r="A51" t="inlineStr">
        <is>
          <t>BUDI JAYA PERSADA</t>
        </is>
      </c>
      <c r="B51" t="inlineStr">
        <is>
          <t>Kab. Jembrana</t>
        </is>
      </c>
      <c r="C51" t="inlineStr">
        <is>
          <t>085238239446</t>
        </is>
      </c>
      <c r="D51" t="inlineStr">
        <is>
          <t>ptbudijayapersada2021@gmail.com</t>
        </is>
      </c>
      <c r="E51" t="inlineStr">
        <is>
          <t>https://lpjk.pu.go.id/search-badan-usaha-detail/dUFrdVRTT283bmpENDdmQlh0OERGQT09</t>
        </is>
      </c>
      <c r="F51" t="n">
        <v>1</v>
      </c>
      <c r="G51" t="inlineStr">
        <is>
          <t>BG004</t>
        </is>
      </c>
      <c r="H51" t="inlineStr">
        <is>
          <t>27 Januari 1986</t>
        </is>
      </c>
      <c r="I51" s="2" t="n">
        <v>46247</v>
      </c>
      <c r="J51" t="inlineStr">
        <is>
          <t>Disetujui</t>
        </is>
      </c>
      <c r="K51" t="n">
        <v>30</v>
      </c>
      <c r="L51" t="inlineStr">
        <is>
          <t>13 Agustus 2026</t>
        </is>
      </c>
      <c r="M51" t="inlineStr">
        <is>
          <t>Konstruksi Gedung Perbelanjaan</t>
        </is>
      </c>
      <c r="N51" t="inlineStr">
        <is>
          <t>K</t>
        </is>
      </c>
      <c r="O51" t="inlineStr">
        <is>
          <t>20230804</t>
        </is>
      </c>
      <c r="P51" t="inlineStr">
        <is>
          <t>Bali</t>
        </is>
      </c>
      <c r="Q51" t="inlineStr"/>
    </row>
    <row r="52">
      <c r="A52" t="inlineStr">
        <is>
          <t>BUMI KREASI KONSTRUKSI</t>
        </is>
      </c>
      <c r="B52" t="inlineStr">
        <is>
          <t>Kota Kendari</t>
        </is>
      </c>
      <c r="C52" t="inlineStr">
        <is>
          <t>085341079825</t>
        </is>
      </c>
      <c r="D52" t="inlineStr">
        <is>
          <t>bumikreasikonstruksi@gmail.com</t>
        </is>
      </c>
      <c r="E52" t="inlineStr">
        <is>
          <t>https://lpjk.pu.go.id/search-badan-usaha-detail/c242OHZKUUdNSHNvNXpOOFJkZVR3Zz09</t>
        </is>
      </c>
      <c r="F52" t="n">
        <v>2</v>
      </c>
      <c r="G52" t="inlineStr">
        <is>
          <t>BG005, BG009</t>
        </is>
      </c>
      <c r="H52" t="inlineStr">
        <is>
          <t>1 Maret 2023</t>
        </is>
      </c>
      <c r="I52" s="2" t="n">
        <v>46247</v>
      </c>
      <c r="J52" t="inlineStr">
        <is>
          <t>Disetujui</t>
        </is>
      </c>
      <c r="K52" t="n">
        <v>30</v>
      </c>
      <c r="L52" t="inlineStr">
        <is>
          <t>13 Agustus 2026</t>
        </is>
      </c>
      <c r="M52" t="inlineStr">
        <is>
          <t>Konstruksi Gedung Kesehatan, Konstruksi Gedung Lainnya</t>
        </is>
      </c>
      <c r="N52" t="inlineStr">
        <is>
          <t>K</t>
        </is>
      </c>
      <c r="O52" t="inlineStr">
        <is>
          <t>20230813</t>
        </is>
      </c>
      <c r="P52" t="inlineStr">
        <is>
          <t>Sulawesi Tenggara</t>
        </is>
      </c>
      <c r="Q52" t="inlineStr"/>
    </row>
    <row r="53">
      <c r="A53" t="inlineStr">
        <is>
          <t>BUMI SAMPIRAN</t>
        </is>
      </c>
      <c r="B53" t="inlineStr">
        <is>
          <t>Kab. Serang</t>
        </is>
      </c>
      <c r="C53" t="inlineStr">
        <is>
          <t>087771258117</t>
        </is>
      </c>
      <c r="D53" t="inlineStr">
        <is>
          <t>bumisampiran_Pt1@yahoo.com</t>
        </is>
      </c>
      <c r="E53" t="inlineStr">
        <is>
          <t>https://lpjk.pu.go.id/search-badan-usaha-detail/VXpmQy8wa24ram5XOGc2bEd2U3lqUT09</t>
        </is>
      </c>
      <c r="F53" t="n">
        <v>2</v>
      </c>
      <c r="G53" t="inlineStr">
        <is>
          <t>BG004, BG009</t>
        </is>
      </c>
      <c r="H53" t="inlineStr">
        <is>
          <t>28 April 2009</t>
        </is>
      </c>
      <c r="I53" s="2" t="n">
        <v>46247</v>
      </c>
      <c r="J53" t="inlineStr">
        <is>
          <t>Disetujui</t>
        </is>
      </c>
      <c r="K53" t="n">
        <v>30</v>
      </c>
      <c r="L53" t="inlineStr">
        <is>
          <t>13 Agustus 2026</t>
        </is>
      </c>
      <c r="M53" t="inlineStr">
        <is>
          <t>Konstruksi Gedung Lainnya, Konstruksi Gedung Perbelanjaan</t>
        </is>
      </c>
      <c r="N53" t="inlineStr">
        <is>
          <t>K</t>
        </is>
      </c>
      <c r="O53" t="inlineStr">
        <is>
          <t>20221103, 20230809</t>
        </is>
      </c>
      <c r="P53" t="inlineStr">
        <is>
          <t>Banten</t>
        </is>
      </c>
      <c r="Q53" t="inlineStr"/>
    </row>
    <row r="54">
      <c r="A54" t="inlineStr">
        <is>
          <t>CAESAR SAPTA PRATAMA</t>
        </is>
      </c>
      <c r="B54" t="inlineStr">
        <is>
          <t>Kota Makassar</t>
        </is>
      </c>
      <c r="C54" t="inlineStr">
        <is>
          <t>082343377573</t>
        </is>
      </c>
      <c r="D54" t="inlineStr">
        <is>
          <t>Csp.pratama@gmail.com</t>
        </is>
      </c>
      <c r="E54" t="inlineStr">
        <is>
          <t>https://lpjk.pu.go.id/search-badan-usaha-detail/d0tOR2tzdHhYOS9nUG0wMmhzaWNjUT09</t>
        </is>
      </c>
      <c r="F54" t="n">
        <v>2</v>
      </c>
      <c r="G54" t="inlineStr">
        <is>
          <t>BG005, BS001</t>
        </is>
      </c>
      <c r="H54" t="inlineStr">
        <is>
          <t>18 Oktober 2019</t>
        </is>
      </c>
      <c r="I54" s="2" t="n">
        <v>46247</v>
      </c>
      <c r="J54" t="inlineStr">
        <is>
          <t>Disetujui</t>
        </is>
      </c>
      <c r="K54" t="n">
        <v>30</v>
      </c>
      <c r="L54" t="inlineStr">
        <is>
          <t>13 Agustus 2026</t>
        </is>
      </c>
      <c r="M54" t="inlineStr">
        <is>
          <t>Konstruksi Bangunan Sipil Jalan, Konstruksi Gedung Kesehatan</t>
        </is>
      </c>
      <c r="N54" t="inlineStr">
        <is>
          <t>K</t>
        </is>
      </c>
      <c r="O54" t="inlineStr">
        <is>
          <t>20230812, 20230814</t>
        </is>
      </c>
      <c r="P54" t="inlineStr">
        <is>
          <t>Sulawesi Selatan</t>
        </is>
      </c>
      <c r="Q54" t="inlineStr"/>
    </row>
    <row r="55">
      <c r="A55" t="inlineStr">
        <is>
          <t>CAKRAWALA MION INDAH</t>
        </is>
      </c>
      <c r="B55" t="inlineStr">
        <is>
          <t>Kab. Merauke</t>
        </is>
      </c>
      <c r="C55" t="inlineStr">
        <is>
          <t>N/A</t>
        </is>
      </c>
      <c r="D55" t="inlineStr">
        <is>
          <t>N/A</t>
        </is>
      </c>
      <c r="E55" t="inlineStr">
        <is>
          <t>https://lpjk.pu.go.id/search-badan-usaha-detail/aFl5RWUyd0tjS1pSNkp6MEcwN0hEUT09</t>
        </is>
      </c>
      <c r="F55" t="n">
        <v>1</v>
      </c>
      <c r="G55" t="inlineStr">
        <is>
          <t>BS004</t>
        </is>
      </c>
      <c r="H55" t="inlineStr"/>
      <c r="I55" s="2" t="n">
        <v>46247</v>
      </c>
      <c r="J55" t="inlineStr">
        <is>
          <t>Disetujui</t>
        </is>
      </c>
      <c r="K55" t="n">
        <v>30</v>
      </c>
      <c r="L55" t="inlineStr">
        <is>
          <t>13 Agustus 2026</t>
        </is>
      </c>
      <c r="M55" t="inlineStr">
        <is>
          <t>Konstruksi Jaringan Irigasi dan Drainase</t>
        </is>
      </c>
      <c r="N55" t="inlineStr">
        <is>
          <t>K</t>
        </is>
      </c>
      <c r="O55" t="inlineStr">
        <is>
          <t>20230730</t>
        </is>
      </c>
      <c r="P55" t="inlineStr">
        <is>
          <t>Papua Selatan</t>
        </is>
      </c>
      <c r="Q55" t="inlineStr"/>
    </row>
    <row r="56">
      <c r="A56" t="inlineStr">
        <is>
          <t>CAKRAWALA NUSANTARA KONSTRUKSI</t>
        </is>
      </c>
      <c r="B56" t="inlineStr">
        <is>
          <t>Kota Bandar Lampung</t>
        </is>
      </c>
      <c r="C56" t="inlineStr">
        <is>
          <t>085267371434</t>
        </is>
      </c>
      <c r="D56" t="inlineStr">
        <is>
          <t>ptcakrawalanusantarakonstruksi@gmail.com</t>
        </is>
      </c>
      <c r="E56" t="inlineStr">
        <is>
          <t>https://lpjk.pu.go.id/search-badan-usaha-detail/VTY5OUcySzRHb0FPdTB3Nk9nZGVCQT09</t>
        </is>
      </c>
      <c r="F56" t="n">
        <v>2</v>
      </c>
      <c r="G56" t="inlineStr">
        <is>
          <t>BS001</t>
        </is>
      </c>
      <c r="H56" t="inlineStr">
        <is>
          <t>17 April 2024</t>
        </is>
      </c>
      <c r="I56" s="2" t="n">
        <v>46247</v>
      </c>
      <c r="J56" t="inlineStr">
        <is>
          <t>Disetujui</t>
        </is>
      </c>
      <c r="K56" t="n">
        <v>30</v>
      </c>
      <c r="L56" t="inlineStr">
        <is>
          <t>13 Agustus 2026</t>
        </is>
      </c>
      <c r="M56" t="inlineStr">
        <is>
          <t>Konstruksi Bangunan Sipil Jalan</t>
        </is>
      </c>
      <c r="N56" t="inlineStr">
        <is>
          <t>K</t>
        </is>
      </c>
      <c r="O56" t="inlineStr">
        <is>
          <t>20230809</t>
        </is>
      </c>
      <c r="P56" t="inlineStr">
        <is>
          <t>Lampung</t>
        </is>
      </c>
      <c r="Q56" t="inlineStr"/>
    </row>
    <row r="57">
      <c r="A57" t="inlineStr">
        <is>
          <t>CITRA KARYA AGUNG</t>
        </is>
      </c>
      <c r="B57" t="inlineStr">
        <is>
          <t>Kota Banda Aceh</t>
        </is>
      </c>
      <c r="C57" t="inlineStr">
        <is>
          <t>081377182682</t>
        </is>
      </c>
      <c r="D57" t="inlineStr">
        <is>
          <t>citrakaryaagung@gmail.com</t>
        </is>
      </c>
      <c r="E57" t="inlineStr">
        <is>
          <t>https://lpjk.pu.go.id/search-badan-usaha-detail/NzFNMlo1cjFreXRhUCtUNkZSV2J3dz09</t>
        </is>
      </c>
      <c r="F57" t="n">
        <v>1</v>
      </c>
      <c r="G57" t="inlineStr">
        <is>
          <t>BS016</t>
        </is>
      </c>
      <c r="H57" t="inlineStr">
        <is>
          <t>21 Januari 2016</t>
        </is>
      </c>
      <c r="I57" s="2" t="n">
        <v>46247</v>
      </c>
      <c r="J57" t="inlineStr">
        <is>
          <t>Pencabutan</t>
        </is>
      </c>
      <c r="K57" t="n">
        <v>30</v>
      </c>
      <c r="L57" t="inlineStr">
        <is>
          <t>13 Agustus 2026</t>
        </is>
      </c>
      <c r="M57" t="inlineStr">
        <is>
          <t>Konstruksi Bangunan Sipil Fasilitas Olah Raga</t>
        </is>
      </c>
      <c r="N57" t="inlineStr">
        <is>
          <t>M</t>
        </is>
      </c>
      <c r="O57" t="inlineStr">
        <is>
          <t>20230807</t>
        </is>
      </c>
      <c r="P57" t="inlineStr">
        <is>
          <t>Aceh</t>
        </is>
      </c>
      <c r="Q57" t="inlineStr"/>
    </row>
    <row r="58">
      <c r="A58" t="inlineStr">
        <is>
          <t>CITRA SUBUR</t>
        </is>
      </c>
      <c r="B58" t="inlineStr">
        <is>
          <t>Kab. Padang Pariaman</t>
        </is>
      </c>
      <c r="C58" t="inlineStr">
        <is>
          <t>08126733425</t>
        </is>
      </c>
      <c r="D58" t="inlineStr">
        <is>
          <t>suburcitra@gmail.com</t>
        </is>
      </c>
      <c r="E58" t="inlineStr">
        <is>
          <t>https://lpjk.pu.go.id/search-badan-usaha-detail/TnhFZTMzMTlKZU4wWUZxM1R6YkJTUT09</t>
        </is>
      </c>
      <c r="F58" t="n">
        <v>1</v>
      </c>
      <c r="G58" t="inlineStr">
        <is>
          <t>BG005</t>
        </is>
      </c>
      <c r="H58" t="inlineStr">
        <is>
          <t>5 Februari 1981</t>
        </is>
      </c>
      <c r="I58" s="2" t="n">
        <v>46247</v>
      </c>
      <c r="J58" t="inlineStr">
        <is>
          <t>Pencabutan</t>
        </is>
      </c>
      <c r="K58" t="n">
        <v>30</v>
      </c>
      <c r="L58" t="inlineStr">
        <is>
          <t>13 Agustus 2026</t>
        </is>
      </c>
      <c r="M58" t="inlineStr">
        <is>
          <t>Konstruksi Gedung Kesehatan</t>
        </is>
      </c>
      <c r="N58" t="inlineStr">
        <is>
          <t>K</t>
        </is>
      </c>
      <c r="O58" t="inlineStr">
        <is>
          <t>20230809</t>
        </is>
      </c>
      <c r="P58" t="inlineStr">
        <is>
          <t>Sumatera Barat</t>
        </is>
      </c>
      <c r="Q58" t="inlineStr"/>
    </row>
    <row r="59">
      <c r="A59" t="inlineStr">
        <is>
          <t>CV. LUKIA PERSADA UTAMA</t>
        </is>
      </c>
      <c r="B59" t="inlineStr">
        <is>
          <t>Kab. Lebak</t>
        </is>
      </c>
      <c r="C59" t="inlineStr">
        <is>
          <t>087888130809</t>
        </is>
      </c>
      <c r="D59" t="inlineStr">
        <is>
          <t>cv.lukiapersada@yahoo.com</t>
        </is>
      </c>
      <c r="E59" t="inlineStr">
        <is>
          <t>https://lpjk.pu.go.id/search-badan-usaha-detail/VU9aVDJxeEhOUy9jNXBpcCtZL3JVZz09</t>
        </is>
      </c>
      <c r="F59" t="n">
        <v>2</v>
      </c>
      <c r="G59" t="inlineStr">
        <is>
          <t>BG006, BS001</t>
        </is>
      </c>
      <c r="H59" t="inlineStr">
        <is>
          <t>30 Desember 2019</t>
        </is>
      </c>
      <c r="I59" s="2" t="n">
        <v>46247</v>
      </c>
      <c r="J59" t="inlineStr">
        <is>
          <t>Disetujui</t>
        </is>
      </c>
      <c r="K59" t="n">
        <v>30</v>
      </c>
      <c r="L59" t="inlineStr">
        <is>
          <t>13 Agustus 2026</t>
        </is>
      </c>
      <c r="M59" t="inlineStr">
        <is>
          <t>Konstruksi Bangunan Sipil Jalan, Konstruksi Gedung Pendidikan</t>
        </is>
      </c>
      <c r="N59" t="inlineStr">
        <is>
          <t>K</t>
        </is>
      </c>
      <c r="O59" t="inlineStr">
        <is>
          <t>20230809</t>
        </is>
      </c>
      <c r="P59" t="inlineStr">
        <is>
          <t>Banten</t>
        </is>
      </c>
      <c r="Q59" t="inlineStr"/>
    </row>
    <row r="60">
      <c r="A60" t="inlineStr">
        <is>
          <t>CV. PAPUA SEJAHTERA BERSAMA</t>
        </is>
      </c>
      <c r="B60" t="inlineStr">
        <is>
          <t>Kota Sorong</t>
        </is>
      </c>
      <c r="C60" t="inlineStr">
        <is>
          <t>09513173262</t>
        </is>
      </c>
      <c r="D60" t="inlineStr">
        <is>
          <t>cv.papuasejahterabersama@gmail.com</t>
        </is>
      </c>
      <c r="E60" t="inlineStr">
        <is>
          <t>https://lpjk.pu.go.id/search-badan-usaha-detail/R08vUkFSNjIvUmZ6T3RIY1FOdGcyQT09</t>
        </is>
      </c>
      <c r="F60" t="n">
        <v>2</v>
      </c>
      <c r="G60" t="inlineStr">
        <is>
          <t>BG002, BG003</t>
        </is>
      </c>
      <c r="H60" t="inlineStr">
        <is>
          <t>6 Agustus 2020</t>
        </is>
      </c>
      <c r="I60" s="2" t="n">
        <v>46247</v>
      </c>
      <c r="J60" t="inlineStr">
        <is>
          <t>Disetujui, Pencabutan</t>
        </is>
      </c>
      <c r="K60" t="n">
        <v>30</v>
      </c>
      <c r="L60" t="inlineStr">
        <is>
          <t>13 Agustus 2026</t>
        </is>
      </c>
      <c r="M60" t="inlineStr">
        <is>
          <t>Konstruksi Gedung Industri, Konstruksi Gedung Perkantoran</t>
        </is>
      </c>
      <c r="N60" t="inlineStr">
        <is>
          <t>K</t>
        </is>
      </c>
      <c r="O60" t="inlineStr">
        <is>
          <t>20230814</t>
        </is>
      </c>
      <c r="P60" t="inlineStr">
        <is>
          <t>Papua Barat Daya</t>
        </is>
      </c>
      <c r="Q60" t="inlineStr"/>
    </row>
    <row r="61">
      <c r="A61" t="inlineStr">
        <is>
          <t>DAMAR BUANA</t>
        </is>
      </c>
      <c r="B61" t="inlineStr">
        <is>
          <t>Kab. Pangandaran</t>
        </is>
      </c>
      <c r="C61" t="inlineStr">
        <is>
          <t>082119192096</t>
        </is>
      </c>
      <c r="D61" t="inlineStr">
        <is>
          <t>cv.damarbuana40@gmail.com</t>
        </is>
      </c>
      <c r="E61" t="inlineStr">
        <is>
          <t>https://lpjk.pu.go.id/search-badan-usaha-detail/dkgzUW82OVM5Q1JFVDVDWkYyRm5nUT09</t>
        </is>
      </c>
      <c r="F61" t="n">
        <v>2</v>
      </c>
      <c r="G61" t="inlineStr">
        <is>
          <t>BS001</t>
        </is>
      </c>
      <c r="H61" t="inlineStr">
        <is>
          <t>10 Juli 1995</t>
        </is>
      </c>
      <c r="I61" s="2" t="n">
        <v>46247</v>
      </c>
      <c r="J61" t="inlineStr">
        <is>
          <t>Pencabutan</t>
        </is>
      </c>
      <c r="K61" t="n">
        <v>30</v>
      </c>
      <c r="L61" t="inlineStr">
        <is>
          <t>13 Agustus 2026</t>
        </is>
      </c>
      <c r="M61" t="inlineStr">
        <is>
          <t>Konstruksi Bangunan Sipil Jalan</t>
        </is>
      </c>
      <c r="N61" t="inlineStr">
        <is>
          <t>K</t>
        </is>
      </c>
      <c r="O61" t="inlineStr">
        <is>
          <t>20230814</t>
        </is>
      </c>
      <c r="P61" t="inlineStr">
        <is>
          <t>Jawa Barat</t>
        </is>
      </c>
      <c r="Q61" t="inlineStr"/>
    </row>
    <row r="62">
      <c r="A62" t="inlineStr">
        <is>
          <t>DANGIANG MEKAR RAHAYU</t>
        </is>
      </c>
      <c r="B62" t="inlineStr">
        <is>
          <t>Kab. Sumedang</t>
        </is>
      </c>
      <c r="C62" t="inlineStr">
        <is>
          <t>082295810655</t>
        </is>
      </c>
      <c r="D62" t="inlineStr">
        <is>
          <t>dangiangmekarrahayu@gmail.com</t>
        </is>
      </c>
      <c r="E62" t="inlineStr">
        <is>
          <t>https://lpjk.pu.go.id/search-badan-usaha-detail/VHlyTnlmWTh6NE9xcERmWm5paS9tUT09</t>
        </is>
      </c>
      <c r="F62" t="n">
        <v>1</v>
      </c>
      <c r="G62" t="inlineStr">
        <is>
          <t>BG009</t>
        </is>
      </c>
      <c r="H62" t="inlineStr">
        <is>
          <t>25 Mei 2022</t>
        </is>
      </c>
      <c r="I62" s="2" t="n">
        <v>46247</v>
      </c>
      <c r="J62" t="inlineStr">
        <is>
          <t>Disetujui</t>
        </is>
      </c>
      <c r="K62" t="n">
        <v>30</v>
      </c>
      <c r="L62" t="inlineStr">
        <is>
          <t>13 Agustus 2026</t>
        </is>
      </c>
      <c r="M62" t="inlineStr">
        <is>
          <t>Konstruksi Gedung Lainnya</t>
        </is>
      </c>
      <c r="N62" t="inlineStr">
        <is>
          <t>K</t>
        </is>
      </c>
      <c r="O62" t="inlineStr">
        <is>
          <t>20230814</t>
        </is>
      </c>
      <c r="P62" t="inlineStr">
        <is>
          <t>Jawa Barat</t>
        </is>
      </c>
      <c r="Q62" t="inlineStr"/>
    </row>
    <row r="63">
      <c r="A63" t="inlineStr">
        <is>
          <t>DARREN PERDANA</t>
        </is>
      </c>
      <c r="B63" t="inlineStr">
        <is>
          <t>Kota Tanjung Balai</t>
        </is>
      </c>
      <c r="C63" t="inlineStr">
        <is>
          <t>-</t>
        </is>
      </c>
      <c r="D63" t="inlineStr">
        <is>
          <t>pp6535166@gmail.com</t>
        </is>
      </c>
      <c r="E63" t="inlineStr">
        <is>
          <t>https://lpjk.pu.go.id/search-badan-usaha-detail/N0xQaS95REpJZFJlS3UzTFJNV2huQT09</t>
        </is>
      </c>
      <c r="F63" t="n">
        <v>1</v>
      </c>
      <c r="G63" t="inlineStr">
        <is>
          <t>BG001</t>
        </is>
      </c>
      <c r="H63" t="inlineStr">
        <is>
          <t>23 Juli 2015</t>
        </is>
      </c>
      <c r="I63" s="2" t="n">
        <v>46247</v>
      </c>
      <c r="J63" t="inlineStr">
        <is>
          <t>Pencabutan</t>
        </is>
      </c>
      <c r="K63" t="n">
        <v>30</v>
      </c>
      <c r="L63" t="inlineStr">
        <is>
          <t>13 Agustus 2026</t>
        </is>
      </c>
      <c r="M63" t="inlineStr">
        <is>
          <t>Konstruksi Gedung Hunian</t>
        </is>
      </c>
      <c r="N63" t="inlineStr">
        <is>
          <t>K</t>
        </is>
      </c>
      <c r="O63" t="inlineStr">
        <is>
          <t>20230525</t>
        </is>
      </c>
      <c r="P63" t="inlineStr">
        <is>
          <t>Sumatera Utara</t>
        </is>
      </c>
      <c r="Q63" t="inlineStr"/>
    </row>
    <row r="64">
      <c r="A64" t="inlineStr">
        <is>
          <t>DIMAS PERKASA</t>
        </is>
      </c>
      <c r="B64" t="inlineStr">
        <is>
          <t>Kab. Brebes</t>
        </is>
      </c>
      <c r="C64" t="inlineStr">
        <is>
          <t>081548176025</t>
        </is>
      </c>
      <c r="D64" t="inlineStr">
        <is>
          <t>tanto012@yahoo.com</t>
        </is>
      </c>
      <c r="E64" t="inlineStr">
        <is>
          <t>https://lpjk.pu.go.id/search-badan-usaha-detail/R3Ayb3ppbFVsWVhFTDJZUUFydDg4Zz09</t>
        </is>
      </c>
      <c r="F64" t="n">
        <v>1</v>
      </c>
      <c r="G64" t="inlineStr">
        <is>
          <t>BG002</t>
        </is>
      </c>
      <c r="H64" t="inlineStr">
        <is>
          <t>31 Desember 1998</t>
        </is>
      </c>
      <c r="I64" s="2" t="n">
        <v>46247</v>
      </c>
      <c r="J64" t="inlineStr">
        <is>
          <t>Disetujui</t>
        </is>
      </c>
      <c r="K64" t="n">
        <v>30</v>
      </c>
      <c r="L64" t="inlineStr">
        <is>
          <t>13 Agustus 2026</t>
        </is>
      </c>
      <c r="M64" t="inlineStr">
        <is>
          <t>Konstruksi Gedung Perkantoran</t>
        </is>
      </c>
      <c r="N64" t="inlineStr">
        <is>
          <t>K</t>
        </is>
      </c>
      <c r="O64" t="inlineStr">
        <is>
          <t>20230727</t>
        </is>
      </c>
      <c r="P64" t="inlineStr">
        <is>
          <t>Jawa Tengah</t>
        </is>
      </c>
      <c r="Q64" t="inlineStr"/>
    </row>
    <row r="65">
      <c r="A65" t="inlineStr">
        <is>
          <t>DINI PRATAMA</t>
        </is>
      </c>
      <c r="B65" t="inlineStr">
        <is>
          <t>Kab. Cirebon</t>
        </is>
      </c>
      <c r="C65" t="inlineStr">
        <is>
          <t>085213527065</t>
        </is>
      </c>
      <c r="D65" t="inlineStr">
        <is>
          <t>cv.dinipratama@gmail.com</t>
        </is>
      </c>
      <c r="E65" t="inlineStr">
        <is>
          <t>https://lpjk.pu.go.id/search-badan-usaha-detail/OExGWU15b2Z1V01CU0ZKaEFMcFN1QT09</t>
        </is>
      </c>
      <c r="F65" t="n">
        <v>1</v>
      </c>
      <c r="G65" t="inlineStr">
        <is>
          <t>BG009</t>
        </is>
      </c>
      <c r="H65" t="inlineStr">
        <is>
          <t>19 Juli 2006</t>
        </is>
      </c>
      <c r="I65" s="2" t="n">
        <v>46247</v>
      </c>
      <c r="J65" t="inlineStr">
        <is>
          <t>Disetujui</t>
        </is>
      </c>
      <c r="K65" t="n">
        <v>30</v>
      </c>
      <c r="L65" t="inlineStr">
        <is>
          <t>13 Agustus 2026</t>
        </is>
      </c>
      <c r="M65" t="inlineStr">
        <is>
          <t>Konstruksi Gedung Lainnya</t>
        </is>
      </c>
      <c r="N65" t="inlineStr">
        <is>
          <t>K</t>
        </is>
      </c>
      <c r="O65" t="inlineStr">
        <is>
          <t>20230729</t>
        </is>
      </c>
      <c r="P65" t="inlineStr">
        <is>
          <t>Jawa Barat</t>
        </is>
      </c>
      <c r="Q65" t="inlineStr"/>
    </row>
    <row r="66">
      <c r="A66" t="inlineStr">
        <is>
          <t>DIRGANTARA UTAMA KARYA</t>
        </is>
      </c>
      <c r="B66" t="inlineStr">
        <is>
          <t>Kab. Aceh Tengah</t>
        </is>
      </c>
      <c r="C66" t="inlineStr">
        <is>
          <t>081260460969</t>
        </is>
      </c>
      <c r="D66" t="inlineStr">
        <is>
          <t>dirgantarakonstruksi90@gmail.com</t>
        </is>
      </c>
      <c r="E66" t="inlineStr">
        <is>
          <t>https://lpjk.pu.go.id/search-badan-usaha-detail/QTFsWFFscWoxSHhIL3ZNbmpPeHZtZz09</t>
        </is>
      </c>
      <c r="F66" t="n">
        <v>2</v>
      </c>
      <c r="G66" t="inlineStr">
        <is>
          <t>BS001</t>
        </is>
      </c>
      <c r="H66" t="inlineStr">
        <is>
          <t>26 Maret 2019</t>
        </is>
      </c>
      <c r="I66" s="2" t="n">
        <v>46247</v>
      </c>
      <c r="J66" t="inlineStr">
        <is>
          <t>Disetujui</t>
        </is>
      </c>
      <c r="K66" t="n">
        <v>30</v>
      </c>
      <c r="L66" t="inlineStr">
        <is>
          <t>13 Agustus 2026</t>
        </is>
      </c>
      <c r="M66" t="inlineStr">
        <is>
          <t>Konstruksi Bangunan Sipil Jalan</t>
        </is>
      </c>
      <c r="N66" t="inlineStr">
        <is>
          <t>K</t>
        </is>
      </c>
      <c r="O66" t="inlineStr">
        <is>
          <t>20230807</t>
        </is>
      </c>
      <c r="P66" t="inlineStr">
        <is>
          <t>Aceh</t>
        </is>
      </c>
      <c r="Q66" t="inlineStr"/>
    </row>
    <row r="67">
      <c r="A67" t="inlineStr">
        <is>
          <t>DUA PUTRI</t>
        </is>
      </c>
      <c r="B67" t="inlineStr">
        <is>
          <t>Kab. Banyumas</t>
        </is>
      </c>
      <c r="C67" t="inlineStr">
        <is>
          <t>085227639999</t>
        </is>
      </c>
      <c r="D67" t="inlineStr">
        <is>
          <t>cvduaputri97@gmail.com</t>
        </is>
      </c>
      <c r="E67" t="inlineStr">
        <is>
          <t>https://lpjk.pu.go.id/search-badan-usaha-detail/OW42YUFlQjlBT1ZVRXpKdW11Sk1Cdz09</t>
        </is>
      </c>
      <c r="F67" t="n">
        <v>1</v>
      </c>
      <c r="G67" t="inlineStr">
        <is>
          <t>BS001</t>
        </is>
      </c>
      <c r="H67" t="inlineStr">
        <is>
          <t>11 Februari 2019</t>
        </is>
      </c>
      <c r="I67" s="2" t="n">
        <v>46247</v>
      </c>
      <c r="J67" t="inlineStr">
        <is>
          <t>Disetujui</t>
        </is>
      </c>
      <c r="K67" t="n">
        <v>30</v>
      </c>
      <c r="L67" t="inlineStr">
        <is>
          <t>13 Agustus 2026</t>
        </is>
      </c>
      <c r="M67" t="inlineStr">
        <is>
          <t>Konstruksi Bangunan Sipil Jalan</t>
        </is>
      </c>
      <c r="N67" t="inlineStr">
        <is>
          <t>K</t>
        </is>
      </c>
      <c r="O67" t="inlineStr">
        <is>
          <t>20230811</t>
        </is>
      </c>
      <c r="P67" t="inlineStr">
        <is>
          <t>Jawa Tengah</t>
        </is>
      </c>
      <c r="Q67" t="inlineStr"/>
    </row>
    <row r="68">
      <c r="A68" t="inlineStr">
        <is>
          <t>DUTA ARCHICON</t>
        </is>
      </c>
      <c r="B68" t="inlineStr">
        <is>
          <t>Kota Adm. Jakarta Selatan</t>
        </is>
      </c>
      <c r="C68" t="inlineStr">
        <is>
          <t>081212548929</t>
        </is>
      </c>
      <c r="D68" t="inlineStr">
        <is>
          <t>skklsbubaru@gmail.com</t>
        </is>
      </c>
      <c r="E68" t="inlineStr">
        <is>
          <t>https://lpjk.pu.go.id/search-badan-usaha-detail/TVFySTlFMURjSExnVlRvK0pUSjV1Zz09</t>
        </is>
      </c>
      <c r="F68" t="n">
        <v>4</v>
      </c>
      <c r="G68" t="inlineStr">
        <is>
          <t>BG002, BG009, BS002, BS004</t>
        </is>
      </c>
      <c r="H68" t="inlineStr">
        <is>
          <t>18 Januari 2010</t>
        </is>
      </c>
      <c r="I68" s="2" t="n">
        <v>46247</v>
      </c>
      <c r="J68" t="inlineStr">
        <is>
          <t>Disetujui, Pembekuan, Pencabutan</t>
        </is>
      </c>
      <c r="K68" t="n">
        <v>30</v>
      </c>
      <c r="L68" t="inlineStr">
        <is>
          <t>13 Agustus 2026</t>
        </is>
      </c>
      <c r="M68" t="inlineStr">
        <is>
          <t>Bangunan Sipil Jembatan, Jalan Layang, Fly Over, dan Underpass, Konstruksi Gedung Lainnya, Konstruksi Gedung Perkantoran, Konstruksi Jaringan Irigasi dan Drainase</t>
        </is>
      </c>
      <c r="N68" t="inlineStr">
        <is>
          <t>K</t>
        </is>
      </c>
      <c r="O68" t="inlineStr">
        <is>
          <t>20230806</t>
        </is>
      </c>
      <c r="P68" t="inlineStr">
        <is>
          <t>DKI Jakarta</t>
        </is>
      </c>
      <c r="Q68" t="inlineStr"/>
    </row>
    <row r="69">
      <c r="A69" t="inlineStr">
        <is>
          <t>DUTA GRAHA SEJAHTERA</t>
        </is>
      </c>
      <c r="B69" t="inlineStr">
        <is>
          <t>Kota Bandar Lampung</t>
        </is>
      </c>
      <c r="C69" t="inlineStr">
        <is>
          <t>081369039982</t>
        </is>
      </c>
      <c r="D69" t="inlineStr">
        <is>
          <t>dugras.pt@gmail.com</t>
        </is>
      </c>
      <c r="E69" t="inlineStr">
        <is>
          <t>https://lpjk.pu.go.id/search-badan-usaha-detail/b2JyYXFXWjJ0SGJBbzNSeXdocVU5QT09</t>
        </is>
      </c>
      <c r="F69" t="n">
        <v>1</v>
      </c>
      <c r="G69" t="inlineStr">
        <is>
          <t>BG006</t>
        </is>
      </c>
      <c r="H69" t="inlineStr">
        <is>
          <t>25 September 2019</t>
        </is>
      </c>
      <c r="I69" s="2" t="n">
        <v>46247</v>
      </c>
      <c r="J69" t="inlineStr">
        <is>
          <t>Disetujui</t>
        </is>
      </c>
      <c r="K69" t="n">
        <v>30</v>
      </c>
      <c r="L69" t="inlineStr">
        <is>
          <t>13 Agustus 2026</t>
        </is>
      </c>
      <c r="M69" t="inlineStr">
        <is>
          <t>Konstruksi Gedung Pendidikan</t>
        </is>
      </c>
      <c r="N69" t="inlineStr">
        <is>
          <t>K</t>
        </is>
      </c>
      <c r="O69" t="inlineStr">
        <is>
          <t>20230810</t>
        </is>
      </c>
      <c r="P69" t="inlineStr">
        <is>
          <t>Lampung</t>
        </is>
      </c>
      <c r="Q69" t="inlineStr"/>
    </row>
    <row r="70">
      <c r="A70" t="inlineStr">
        <is>
          <t>DUTA INSTRUMENT ALFA SAKTI</t>
        </is>
      </c>
      <c r="B70" t="inlineStr">
        <is>
          <t>Kota Adm. Jakarta Pusat</t>
        </is>
      </c>
      <c r="C70" t="inlineStr">
        <is>
          <t>0213522070</t>
        </is>
      </c>
      <c r="D70" t="inlineStr">
        <is>
          <t>sandutin@duta.instrument.co.id</t>
        </is>
      </c>
      <c r="E70" t="inlineStr">
        <is>
          <t>https://lpjk.pu.go.id/search-badan-usaha-detail/UloxT01lR244T1dnYzNzTGJSZ0ZTQT09</t>
        </is>
      </c>
      <c r="F70" t="n">
        <v>1</v>
      </c>
      <c r="G70" t="inlineStr">
        <is>
          <t>IN004</t>
        </is>
      </c>
      <c r="H70" t="inlineStr">
        <is>
          <t>19 Februari 1982</t>
        </is>
      </c>
      <c r="I70" s="2" t="n">
        <v>46247</v>
      </c>
      <c r="J70" t="inlineStr">
        <is>
          <t>Pembekuan</t>
        </is>
      </c>
      <c r="K70" t="n">
        <v>30</v>
      </c>
      <c r="L70" t="inlineStr">
        <is>
          <t>13 Agustus 2026</t>
        </is>
      </c>
      <c r="M70" t="inlineStr">
        <is>
          <t>Instalasi Minyak dan Gas</t>
        </is>
      </c>
      <c r="N70" t="inlineStr">
        <is>
          <t>Spesialis</t>
        </is>
      </c>
      <c r="O70" t="inlineStr">
        <is>
          <t>20230808</t>
        </is>
      </c>
      <c r="P70" t="inlineStr">
        <is>
          <t>DKI Jakarta</t>
        </is>
      </c>
      <c r="Q70" t="inlineStr"/>
    </row>
    <row r="71">
      <c r="A71" t="inlineStr">
        <is>
          <t>ELANG PANTAI KONTRUKSI</t>
        </is>
      </c>
      <c r="B71" t="inlineStr">
        <is>
          <t>Kota Langsa</t>
        </is>
      </c>
      <c r="C71" t="inlineStr">
        <is>
          <t>081375782915</t>
        </is>
      </c>
      <c r="D71" t="inlineStr">
        <is>
          <t>elangpantaikonstruksi@gmail.com</t>
        </is>
      </c>
      <c r="E71" t="inlineStr">
        <is>
          <t>https://lpjk.pu.go.id/search-badan-usaha-detail/dVc0NWxoV2dTdkp1Rm5YdllScllrQT09</t>
        </is>
      </c>
      <c r="F71" t="n">
        <v>2</v>
      </c>
      <c r="G71" t="inlineStr">
        <is>
          <t>BG001</t>
        </is>
      </c>
      <c r="H71" t="inlineStr">
        <is>
          <t>24 Oktober 2001</t>
        </is>
      </c>
      <c r="I71" s="2" t="n">
        <v>46247</v>
      </c>
      <c r="J71" t="inlineStr">
        <is>
          <t>Disetujui</t>
        </is>
      </c>
      <c r="K71" t="n">
        <v>30</v>
      </c>
      <c r="L71" t="inlineStr">
        <is>
          <t>13 Agustus 2026</t>
        </is>
      </c>
      <c r="M71" t="inlineStr">
        <is>
          <t>Konstruksi Gedung Hunian</t>
        </is>
      </c>
      <c r="N71" t="inlineStr">
        <is>
          <t>K</t>
        </is>
      </c>
      <c r="O71" t="inlineStr">
        <is>
          <t>20230810</t>
        </is>
      </c>
      <c r="P71" t="inlineStr">
        <is>
          <t>Aceh</t>
        </is>
      </c>
      <c r="Q71" t="inlineStr"/>
    </row>
    <row r="72">
      <c r="A72" t="inlineStr">
        <is>
          <t>ELVANA</t>
        </is>
      </c>
      <c r="B72" t="inlineStr">
        <is>
          <t>Kota Cirebon</t>
        </is>
      </c>
      <c r="C72" t="inlineStr">
        <is>
          <t>08156461122</t>
        </is>
      </c>
      <c r="D72" t="inlineStr">
        <is>
          <t>elvana_cv08@yahoo.com</t>
        </is>
      </c>
      <c r="E72" t="inlineStr">
        <is>
          <t>https://lpjk.pu.go.id/search-badan-usaha-detail/UWFVVTlldjFrS1FDWDVra3dOSS9udz09</t>
        </is>
      </c>
      <c r="F72" t="n">
        <v>1</v>
      </c>
      <c r="G72" t="inlineStr">
        <is>
          <t>BG004</t>
        </is>
      </c>
      <c r="H72" t="inlineStr">
        <is>
          <t>6 Agustus 2008</t>
        </is>
      </c>
      <c r="I72" s="2" t="n">
        <v>46247</v>
      </c>
      <c r="J72" t="inlineStr">
        <is>
          <t>Disetujui</t>
        </is>
      </c>
      <c r="K72" t="n">
        <v>30</v>
      </c>
      <c r="L72" t="inlineStr">
        <is>
          <t>13 Agustus 2026</t>
        </is>
      </c>
      <c r="M72" t="inlineStr">
        <is>
          <t>Konstruksi Gedung Perbelanjaan</t>
        </is>
      </c>
      <c r="N72" t="inlineStr">
        <is>
          <t>K</t>
        </is>
      </c>
      <c r="O72" t="inlineStr">
        <is>
          <t>20230814</t>
        </is>
      </c>
      <c r="P72" t="inlineStr">
        <is>
          <t>Jawa Barat</t>
        </is>
      </c>
      <c r="Q72" t="inlineStr"/>
    </row>
    <row r="73">
      <c r="A73" t="inlineStr">
        <is>
          <t>FAJAR PERKASA</t>
        </is>
      </c>
      <c r="B73" t="inlineStr">
        <is>
          <t>Kab. Karawang</t>
        </is>
      </c>
      <c r="C73" t="inlineStr">
        <is>
          <t>085940664179</t>
        </is>
      </c>
      <c r="D73" t="inlineStr">
        <is>
          <t>fajarperkasa90.eng@gmail.com</t>
        </is>
      </c>
      <c r="E73" t="inlineStr">
        <is>
          <t>https://lpjk.pu.go.id/search-badan-usaha-detail/OTJyd0daOHZnQVhHZVk0UGRXNndMZz09</t>
        </is>
      </c>
      <c r="F73" t="n">
        <v>1</v>
      </c>
      <c r="G73" t="inlineStr">
        <is>
          <t>IN004</t>
        </is>
      </c>
      <c r="H73" t="inlineStr">
        <is>
          <t>12 Juli 2023</t>
        </is>
      </c>
      <c r="I73" s="2" t="n">
        <v>46247</v>
      </c>
      <c r="J73" t="inlineStr">
        <is>
          <t>Disetujui</t>
        </is>
      </c>
      <c r="K73" t="n">
        <v>30</v>
      </c>
      <c r="L73" t="inlineStr">
        <is>
          <t>13 Agustus 2026</t>
        </is>
      </c>
      <c r="M73" t="inlineStr">
        <is>
          <t>Instalasi Minyak dan Gas</t>
        </is>
      </c>
      <c r="N73" t="inlineStr">
        <is>
          <t>Spesialis</t>
        </is>
      </c>
      <c r="O73" t="inlineStr">
        <is>
          <t>20230810</t>
        </is>
      </c>
      <c r="P73" t="inlineStr">
        <is>
          <t>Jawa Barat</t>
        </is>
      </c>
      <c r="Q73" t="inlineStr"/>
    </row>
    <row r="74">
      <c r="A74" t="inlineStr">
        <is>
          <t>FAJAR RAYA</t>
        </is>
      </c>
      <c r="B74" t="inlineStr">
        <is>
          <t>Kota Pariaman</t>
        </is>
      </c>
      <c r="C74" t="inlineStr">
        <is>
          <t>081276688040</t>
        </is>
      </c>
      <c r="D74" t="inlineStr">
        <is>
          <t>cv.fajarraya@yahoo.com</t>
        </is>
      </c>
      <c r="E74" t="inlineStr">
        <is>
          <t>https://lpjk.pu.go.id/search-badan-usaha-detail/WWxkeVZhblgxQXFqcy9aTStKeXJVdz09</t>
        </is>
      </c>
      <c r="F74" t="n">
        <v>2</v>
      </c>
      <c r="G74" t="inlineStr">
        <is>
          <t>BS001, BS004</t>
        </is>
      </c>
      <c r="H74" t="inlineStr">
        <is>
          <t>28 Maret 1992</t>
        </is>
      </c>
      <c r="I74" s="2" t="n">
        <v>46247</v>
      </c>
      <c r="J74" t="inlineStr">
        <is>
          <t>Pencabutan</t>
        </is>
      </c>
      <c r="K74" t="n">
        <v>30</v>
      </c>
      <c r="L74" t="inlineStr">
        <is>
          <t>13 Agustus 2026</t>
        </is>
      </c>
      <c r="M74" t="inlineStr">
        <is>
          <t>Konstruksi Bangunan Sipil Jalan, Konstruksi Jaringan Irigasi dan Drainase</t>
        </is>
      </c>
      <c r="N74" t="inlineStr">
        <is>
          <t>K</t>
        </is>
      </c>
      <c r="O74" t="inlineStr">
        <is>
          <t>20230810, 20230812</t>
        </is>
      </c>
      <c r="P74" t="inlineStr">
        <is>
          <t>Sumatera Barat</t>
        </is>
      </c>
      <c r="Q74" t="inlineStr"/>
    </row>
    <row r="75">
      <c r="A75" t="inlineStr">
        <is>
          <t>FASCA</t>
        </is>
      </c>
      <c r="B75" t="inlineStr">
        <is>
          <t>Kab. Sukabumi</t>
        </is>
      </c>
      <c r="C75" t="inlineStr">
        <is>
          <t>0266225217</t>
        </is>
      </c>
      <c r="D75" t="inlineStr">
        <is>
          <t>farid58fasca@gmail.com</t>
        </is>
      </c>
      <c r="E75" t="inlineStr">
        <is>
          <t>https://lpjk.pu.go.id/search-badan-usaha-detail/VGlIZXI5aUtOQUxqSGNaYlJyeVkzUT09</t>
        </is>
      </c>
      <c r="F75" t="n">
        <v>1</v>
      </c>
      <c r="G75" t="inlineStr">
        <is>
          <t>BS004</t>
        </is>
      </c>
      <c r="H75" t="inlineStr">
        <is>
          <t>10 April 2019</t>
        </is>
      </c>
      <c r="I75" s="2" t="n">
        <v>46247</v>
      </c>
      <c r="J75" t="inlineStr">
        <is>
          <t>Disetujui</t>
        </is>
      </c>
      <c r="K75" t="n">
        <v>30</v>
      </c>
      <c r="L75" t="inlineStr">
        <is>
          <t>13 Agustus 2026</t>
        </is>
      </c>
      <c r="M75" t="inlineStr">
        <is>
          <t>Konstruksi Jaringan Irigasi dan Drainase</t>
        </is>
      </c>
      <c r="N75" t="inlineStr">
        <is>
          <t>K</t>
        </is>
      </c>
      <c r="O75" t="inlineStr">
        <is>
          <t>20230808</t>
        </is>
      </c>
      <c r="P75" t="inlineStr">
        <is>
          <t>Jawa Barat</t>
        </is>
      </c>
      <c r="Q75" t="inlineStr"/>
    </row>
    <row r="76">
      <c r="A76" t="inlineStr">
        <is>
          <t>GERBANG AIR</t>
        </is>
      </c>
      <c r="B76" t="inlineStr">
        <is>
          <t>Kota Pekanbaru</t>
        </is>
      </c>
      <c r="C76" t="inlineStr">
        <is>
          <t>082170632137</t>
        </is>
      </c>
      <c r="D76" t="inlineStr">
        <is>
          <t>gerbangair@gmail.com</t>
        </is>
      </c>
      <c r="E76" t="inlineStr">
        <is>
          <t>https://lpjk.pu.go.id/search-badan-usaha-detail/YjFIeXVQQmx1YURRclR2bHRiN3FUZz09</t>
        </is>
      </c>
      <c r="F76" t="n">
        <v>2</v>
      </c>
      <c r="G76" t="inlineStr">
        <is>
          <t>BG002, BG005</t>
        </is>
      </c>
      <c r="H76" t="inlineStr">
        <is>
          <t>12 Mei 2022</t>
        </is>
      </c>
      <c r="I76" s="2" t="n">
        <v>46247</v>
      </c>
      <c r="J76" t="inlineStr">
        <is>
          <t>Pencabutan</t>
        </is>
      </c>
      <c r="K76" t="n">
        <v>30</v>
      </c>
      <c r="L76" t="inlineStr">
        <is>
          <t>13 Agustus 2026</t>
        </is>
      </c>
      <c r="M76" t="inlineStr">
        <is>
          <t>Konstruksi Gedung Kesehatan, Konstruksi Gedung Perkantoran</t>
        </is>
      </c>
      <c r="N76" t="inlineStr">
        <is>
          <t>K</t>
        </is>
      </c>
      <c r="O76" t="inlineStr">
        <is>
          <t>20230808</t>
        </is>
      </c>
      <c r="P76" t="inlineStr">
        <is>
          <t>Riau</t>
        </is>
      </c>
      <c r="Q76" t="inlineStr"/>
    </row>
    <row r="77">
      <c r="A77" t="inlineStr">
        <is>
          <t>GIANT MALIKA CITRA</t>
        </is>
      </c>
      <c r="B77" t="inlineStr">
        <is>
          <t>Kab. Sumenep</t>
        </is>
      </c>
      <c r="C77" t="inlineStr">
        <is>
          <t>085931321515</t>
        </is>
      </c>
      <c r="D77" t="inlineStr">
        <is>
          <t>giantmalikacitra2@yahoo.co.id</t>
        </is>
      </c>
      <c r="E77" t="inlineStr">
        <is>
          <t>https://lpjk.pu.go.id/search-badan-usaha-detail/eUVySkVVekxYWTc0ckRvQTRWNmI1UT09</t>
        </is>
      </c>
      <c r="F77" t="n">
        <v>1</v>
      </c>
      <c r="G77" t="inlineStr">
        <is>
          <t>BG004</t>
        </is>
      </c>
      <c r="H77" t="inlineStr">
        <is>
          <t>2 Desember 2005</t>
        </is>
      </c>
      <c r="I77" s="2" t="n">
        <v>46247</v>
      </c>
      <c r="J77" t="inlineStr">
        <is>
          <t>Disetujui</t>
        </is>
      </c>
      <c r="K77" t="n">
        <v>30</v>
      </c>
      <c r="L77" t="inlineStr">
        <is>
          <t>13 Agustus 2026</t>
        </is>
      </c>
      <c r="M77" t="inlineStr">
        <is>
          <t>Konstruksi Gedung Perbelanjaan</t>
        </is>
      </c>
      <c r="N77" t="inlineStr">
        <is>
          <t>K</t>
        </is>
      </c>
      <c r="O77" t="inlineStr">
        <is>
          <t>20230804</t>
        </is>
      </c>
      <c r="P77" t="inlineStr">
        <is>
          <t>Jawa Timur</t>
        </is>
      </c>
      <c r="Q77" t="inlineStr"/>
    </row>
    <row r="78">
      <c r="A78" t="inlineStr">
        <is>
          <t>GIRA MANDIRI KONSTRUKSI</t>
        </is>
      </c>
      <c r="B78" t="inlineStr">
        <is>
          <t>Kota Pematangsiantar</t>
        </is>
      </c>
      <c r="C78" t="inlineStr">
        <is>
          <t>082388287754</t>
        </is>
      </c>
      <c r="D78" t="inlineStr">
        <is>
          <t>giramandirikonstruksi@gmail.com</t>
        </is>
      </c>
      <c r="E78" t="inlineStr">
        <is>
          <t>https://lpjk.pu.go.id/search-badan-usaha-detail/bVhxSTF6L1NxZ2lVbzY2N0lHa0N5dz09</t>
        </is>
      </c>
      <c r="F78" t="n">
        <v>1</v>
      </c>
      <c r="G78" t="inlineStr">
        <is>
          <t>BG006</t>
        </is>
      </c>
      <c r="H78" t="inlineStr">
        <is>
          <t>6 April 2023</t>
        </is>
      </c>
      <c r="I78" s="2" t="n">
        <v>46247</v>
      </c>
      <c r="J78" t="inlineStr">
        <is>
          <t>Disetujui</t>
        </is>
      </c>
      <c r="K78" t="n">
        <v>30</v>
      </c>
      <c r="L78" t="inlineStr">
        <is>
          <t>13 Agustus 2026</t>
        </is>
      </c>
      <c r="M78" t="inlineStr">
        <is>
          <t>Konstruksi Gedung Pendidikan</t>
        </is>
      </c>
      <c r="N78" t="inlineStr">
        <is>
          <t>K</t>
        </is>
      </c>
      <c r="O78" t="inlineStr">
        <is>
          <t>20230809</t>
        </is>
      </c>
      <c r="P78" t="inlineStr">
        <is>
          <t>Sumatera Utara</t>
        </is>
      </c>
      <c r="Q78" t="inlineStr"/>
    </row>
    <row r="79">
      <c r="A79" t="inlineStr">
        <is>
          <t>GUNUNG KARANG TANGGUH</t>
        </is>
      </c>
      <c r="B79" t="inlineStr">
        <is>
          <t>Kab. Tangerang</t>
        </is>
      </c>
      <c r="C79" t="inlineStr">
        <is>
          <t>0895394261900</t>
        </is>
      </c>
      <c r="D79" t="inlineStr">
        <is>
          <t>cvgunungkt@gmail.com</t>
        </is>
      </c>
      <c r="E79" t="inlineStr">
        <is>
          <t>https://lpjk.pu.go.id/search-badan-usaha-detail/UjFtcEl0Mmc3cHlVd3NVd2szWjRwQT09</t>
        </is>
      </c>
      <c r="F79" t="n">
        <v>3</v>
      </c>
      <c r="G79" t="inlineStr">
        <is>
          <t>BG009, BS001, BS010</t>
        </is>
      </c>
      <c r="H79" t="inlineStr">
        <is>
          <t>25 Agustus 2022</t>
        </is>
      </c>
      <c r="I79" s="2" t="n">
        <v>46247</v>
      </c>
      <c r="J79" t="inlineStr">
        <is>
          <t>Disetujui</t>
        </is>
      </c>
      <c r="K79" t="n">
        <v>30</v>
      </c>
      <c r="L79" t="inlineStr">
        <is>
          <t>13 Agustus 2026</t>
        </is>
      </c>
      <c r="M79" t="inlineStr">
        <is>
          <t>Konstruksi Bangunan Prasarana Sumber Daya Air, Konstruksi Bangunan Sipil Jalan, Konstruksi Gedung Lainnya</t>
        </is>
      </c>
      <c r="N79" t="inlineStr">
        <is>
          <t>K</t>
        </is>
      </c>
      <c r="O79" t="inlineStr">
        <is>
          <t>20220927, 20230809, 20230810</t>
        </is>
      </c>
      <c r="P79" t="inlineStr">
        <is>
          <t>Banten</t>
        </is>
      </c>
      <c r="Q79" t="inlineStr"/>
    </row>
    <row r="80">
      <c r="A80" t="inlineStr">
        <is>
          <t>GUNUNG KOBREY</t>
        </is>
      </c>
      <c r="B80" t="inlineStr">
        <is>
          <t>Kab. Pegunungan Arfak</t>
        </is>
      </c>
      <c r="C80" t="inlineStr">
        <is>
          <t>085333327694</t>
        </is>
      </c>
      <c r="D80" t="inlineStr">
        <is>
          <t>cv.gunungkobrey2022@gmail.com</t>
        </is>
      </c>
      <c r="E80" t="inlineStr">
        <is>
          <t>https://lpjk.pu.go.id/search-badan-usaha-detail/Yml3NWNHQ3Izd1NUczgySHhuZ0FQUT09</t>
        </is>
      </c>
      <c r="F80" t="n">
        <v>1</v>
      </c>
      <c r="G80" t="inlineStr">
        <is>
          <t>BG005</t>
        </is>
      </c>
      <c r="H80" t="inlineStr">
        <is>
          <t>23 Januari 2017</t>
        </is>
      </c>
      <c r="I80" s="2" t="n">
        <v>46247</v>
      </c>
      <c r="J80" t="inlineStr">
        <is>
          <t>Pencabutan</t>
        </is>
      </c>
      <c r="K80" t="n">
        <v>30</v>
      </c>
      <c r="L80" t="inlineStr">
        <is>
          <t>13 Agustus 2026</t>
        </is>
      </c>
      <c r="M80" t="inlineStr">
        <is>
          <t>Konstruksi Gedung Kesehatan</t>
        </is>
      </c>
      <c r="N80" t="inlineStr">
        <is>
          <t>K</t>
        </is>
      </c>
      <c r="O80" t="inlineStr">
        <is>
          <t>20230811</t>
        </is>
      </c>
      <c r="P80" t="inlineStr">
        <is>
          <t>Papua Barat</t>
        </is>
      </c>
      <c r="Q80" t="inlineStr"/>
    </row>
    <row r="81">
      <c r="A81" t="inlineStr">
        <is>
          <t>HANURAGA DESIGN CONSTRUCTION</t>
        </is>
      </c>
      <c r="B81" t="inlineStr">
        <is>
          <t>Kota Adm. Jakarta Selatan</t>
        </is>
      </c>
      <c r="C81" t="inlineStr">
        <is>
          <t>0217662060</t>
        </is>
      </c>
      <c r="D81" t="inlineStr">
        <is>
          <t>ha.decopt@gmail.com</t>
        </is>
      </c>
      <c r="E81" t="inlineStr">
        <is>
          <t>https://lpjk.pu.go.id/search-badan-usaha-detail/cHVjOGpKdiswaGFRVm5aMm82VEg3dz09</t>
        </is>
      </c>
      <c r="F81" t="n">
        <v>1</v>
      </c>
      <c r="G81" t="inlineStr">
        <is>
          <t>BG005</t>
        </is>
      </c>
      <c r="H81" t="inlineStr">
        <is>
          <t>25 Agustus 2006</t>
        </is>
      </c>
      <c r="I81" s="2" t="n">
        <v>46247</v>
      </c>
      <c r="J81" t="inlineStr">
        <is>
          <t>Disetujui</t>
        </is>
      </c>
      <c r="K81" t="n">
        <v>30</v>
      </c>
      <c r="L81" t="inlineStr">
        <is>
          <t>13 Agustus 2026</t>
        </is>
      </c>
      <c r="M81" t="inlineStr">
        <is>
          <t>Konstruksi Gedung Kesehatan</t>
        </is>
      </c>
      <c r="N81" t="inlineStr">
        <is>
          <t>K</t>
        </is>
      </c>
      <c r="O81" t="inlineStr">
        <is>
          <t>20230728</t>
        </is>
      </c>
      <c r="P81" t="inlineStr">
        <is>
          <t>DKI Jakarta</t>
        </is>
      </c>
      <c r="Q81" t="inlineStr"/>
    </row>
    <row r="82">
      <c r="A82" t="inlineStr">
        <is>
          <t>HARMONY INTERNATIONAL TECHNOLOGY</t>
        </is>
      </c>
      <c r="B82" t="inlineStr">
        <is>
          <t>Kota Semarang</t>
        </is>
      </c>
      <c r="C82" t="inlineStr">
        <is>
          <t>02476630600</t>
        </is>
      </c>
      <c r="D82" t="inlineStr">
        <is>
          <t>pt.hit.99@gmail.com</t>
        </is>
      </c>
      <c r="E82" t="inlineStr">
        <is>
          <t>https://lpjk.pu.go.id/search-badan-usaha-detail/aHJ1VkROc295MCtwdi9PY0VQRjZwZz09</t>
        </is>
      </c>
      <c r="F82" t="n">
        <v>3</v>
      </c>
      <c r="G82" t="inlineStr">
        <is>
          <t>BG002, BG003, BG005</t>
        </is>
      </c>
      <c r="H82" t="inlineStr">
        <is>
          <t>1 Oktober 1992</t>
        </is>
      </c>
      <c r="I82" s="2" t="n">
        <v>46247</v>
      </c>
      <c r="J82" t="inlineStr">
        <is>
          <t>Disetujui</t>
        </is>
      </c>
      <c r="K82" t="n">
        <v>30</v>
      </c>
      <c r="L82" t="inlineStr">
        <is>
          <t>13 Agustus 2026</t>
        </is>
      </c>
      <c r="M82" t="inlineStr">
        <is>
          <t>Konstruksi Gedung Industri, Konstruksi Gedung Kesehatan, Konstruksi Gedung Perkantoran</t>
        </is>
      </c>
      <c r="N82" t="inlineStr">
        <is>
          <t>K</t>
        </is>
      </c>
      <c r="O82" t="inlineStr">
        <is>
          <t>20230810, 20230811</t>
        </is>
      </c>
      <c r="P82" t="inlineStr">
        <is>
          <t>Jawa Tengah</t>
        </is>
      </c>
      <c r="Q82" t="inlineStr"/>
    </row>
    <row r="83">
      <c r="A83" t="inlineStr">
        <is>
          <t>HEKSA</t>
        </is>
      </c>
      <c r="B83" t="inlineStr">
        <is>
          <t>Kab. Majalengka</t>
        </is>
      </c>
      <c r="C83" t="inlineStr">
        <is>
          <t>081222021123</t>
        </is>
      </c>
      <c r="D83" t="inlineStr">
        <is>
          <t>heksacv@gmail.com</t>
        </is>
      </c>
      <c r="E83" t="inlineStr">
        <is>
          <t>https://lpjk.pu.go.id/search-badan-usaha-detail/SXB1LzV5S1YrMXN4TTM2WFY4anpzUT09</t>
        </is>
      </c>
      <c r="F83" t="n">
        <v>1</v>
      </c>
      <c r="G83" t="inlineStr">
        <is>
          <t>BS001</t>
        </is>
      </c>
      <c r="H83" t="inlineStr">
        <is>
          <t>9 Agustus 2023</t>
        </is>
      </c>
      <c r="I83" s="2" t="n">
        <v>46247</v>
      </c>
      <c r="J83" t="inlineStr">
        <is>
          <t>Disetujui</t>
        </is>
      </c>
      <c r="K83" t="n">
        <v>30</v>
      </c>
      <c r="L83" t="inlineStr">
        <is>
          <t>13 Agustus 2026</t>
        </is>
      </c>
      <c r="M83" t="inlineStr">
        <is>
          <t>Konstruksi Bangunan Sipil Jalan</t>
        </is>
      </c>
      <c r="N83" t="inlineStr">
        <is>
          <t>K</t>
        </is>
      </c>
      <c r="O83" t="inlineStr">
        <is>
          <t>20230808</t>
        </is>
      </c>
      <c r="P83" t="inlineStr">
        <is>
          <t>Jawa Barat</t>
        </is>
      </c>
      <c r="Q83" t="inlineStr"/>
    </row>
    <row r="84">
      <c r="A84" t="inlineStr">
        <is>
          <t>HIKMAH ESHAN</t>
        </is>
      </c>
      <c r="B84" t="inlineStr">
        <is>
          <t>Kab. Subang</t>
        </is>
      </c>
      <c r="C84" t="inlineStr">
        <is>
          <t>081310102135</t>
        </is>
      </c>
      <c r="D84" t="inlineStr">
        <is>
          <t>hikmaheshan.cv@gmail.com</t>
        </is>
      </c>
      <c r="E84" t="inlineStr">
        <is>
          <t>https://lpjk.pu.go.id/search-badan-usaha-detail/NlpZR3FYRzQzTzVzUnRxS3JtU0dYQT09</t>
        </is>
      </c>
      <c r="F84" t="n">
        <v>1</v>
      </c>
      <c r="G84" t="inlineStr">
        <is>
          <t>BS001</t>
        </is>
      </c>
      <c r="H84" t="inlineStr">
        <is>
          <t>15 Oktober 2019</t>
        </is>
      </c>
      <c r="I84" s="2" t="n">
        <v>46247</v>
      </c>
      <c r="J84" t="inlineStr">
        <is>
          <t>Disetujui</t>
        </is>
      </c>
      <c r="K84" t="n">
        <v>30</v>
      </c>
      <c r="L84" t="inlineStr">
        <is>
          <t>13 Agustus 2026</t>
        </is>
      </c>
      <c r="M84" t="inlineStr">
        <is>
          <t>Konstruksi Bangunan Sipil Jalan</t>
        </is>
      </c>
      <c r="N84" t="inlineStr">
        <is>
          <t>K</t>
        </is>
      </c>
      <c r="O84" t="inlineStr">
        <is>
          <t>20230811</t>
        </is>
      </c>
      <c r="P84" t="inlineStr">
        <is>
          <t>Jawa Barat</t>
        </is>
      </c>
      <c r="Q84" t="inlineStr"/>
    </row>
    <row r="85">
      <c r="A85" t="inlineStr">
        <is>
          <t>IBNU MANUNTUNG CONSULTANT</t>
        </is>
      </c>
      <c r="B85" t="inlineStr">
        <is>
          <t>Kota Banjarbaru</t>
        </is>
      </c>
      <c r="C85" t="inlineStr">
        <is>
          <t>082256046845</t>
        </is>
      </c>
      <c r="D85" t="inlineStr">
        <is>
          <t>ibnumanuntung.id@gmail.com</t>
        </is>
      </c>
      <c r="E85" t="inlineStr">
        <is>
          <t>https://lpjk.pu.go.id/search-badan-usaha-detail/M09jQzBpaUx6N0RJcmlJRFJBaFE4UT09</t>
        </is>
      </c>
      <c r="F85" t="n">
        <v>2</v>
      </c>
      <c r="G85" t="inlineStr">
        <is>
          <t>RK001, RK002</t>
        </is>
      </c>
      <c r="H85" t="inlineStr">
        <is>
          <t>18 Desember 2019</t>
        </is>
      </c>
      <c r="I85" s="2" t="n">
        <v>46247</v>
      </c>
      <c r="J85" t="inlineStr">
        <is>
          <t>Disetujui</t>
        </is>
      </c>
      <c r="K85" t="n">
        <v>30</v>
      </c>
      <c r="L85" t="inlineStr">
        <is>
          <t>13 Agustus 2026</t>
        </is>
      </c>
      <c r="M85" t="inlineStr">
        <is>
          <t>Jasa Rekayasa Konstruksi Bangunan Gedung Hunian dan Non Hunian, Jasa Rekayasa Pekerjaan Teknik Sipil Sumber Daya Air</t>
        </is>
      </c>
      <c r="N85" t="inlineStr">
        <is>
          <t>K</t>
        </is>
      </c>
      <c r="O85" t="inlineStr">
        <is>
          <t>20230807</t>
        </is>
      </c>
      <c r="P85" t="inlineStr">
        <is>
          <t>Kalimantan Selatan</t>
        </is>
      </c>
      <c r="Q85" t="inlineStr"/>
    </row>
    <row r="86">
      <c r="A86" t="inlineStr">
        <is>
          <t>ISTIQOMAH</t>
        </is>
      </c>
      <c r="B86" t="inlineStr">
        <is>
          <t>Kab. Deli Serdang</t>
        </is>
      </c>
      <c r="C86" t="inlineStr">
        <is>
          <t>085345498800</t>
        </is>
      </c>
      <c r="D86" t="inlineStr">
        <is>
          <t>cvistiqomah0202@gmail.com</t>
        </is>
      </c>
      <c r="E86" t="inlineStr">
        <is>
          <t>https://lpjk.pu.go.id/search-badan-usaha-detail/WTdISnBFVUZMWDUyOHJnMlpzRjUydz09</t>
        </is>
      </c>
      <c r="F86" t="n">
        <v>2</v>
      </c>
      <c r="G86" t="inlineStr">
        <is>
          <t>BS004</t>
        </is>
      </c>
      <c r="H86" t="inlineStr">
        <is>
          <t>14 Februari 2017</t>
        </is>
      </c>
      <c r="I86" s="2" t="n">
        <v>46247</v>
      </c>
      <c r="J86" t="inlineStr">
        <is>
          <t>Pencabutan</t>
        </is>
      </c>
      <c r="K86" t="n">
        <v>30</v>
      </c>
      <c r="L86" t="inlineStr">
        <is>
          <t>13 Agustus 2026</t>
        </is>
      </c>
      <c r="M86" t="inlineStr">
        <is>
          <t>Konstruksi Jaringan Irigasi dan Drainase</t>
        </is>
      </c>
      <c r="N86" t="inlineStr">
        <is>
          <t>K</t>
        </is>
      </c>
      <c r="O86" t="inlineStr">
        <is>
          <t>20230725</t>
        </is>
      </c>
      <c r="P86" t="inlineStr">
        <is>
          <t>Sumatera Utara</t>
        </is>
      </c>
      <c r="Q86" t="inlineStr"/>
    </row>
    <row r="87">
      <c r="A87" t="inlineStr">
        <is>
          <t>JAYA UTAMA</t>
        </is>
      </c>
      <c r="B87" t="inlineStr">
        <is>
          <t>-</t>
        </is>
      </c>
      <c r="C87" t="inlineStr">
        <is>
          <t>085278212000</t>
        </is>
      </c>
      <c r="D87" t="inlineStr">
        <is>
          <t>jayautama045@gmail.com</t>
        </is>
      </c>
      <c r="E87" t="inlineStr">
        <is>
          <t>https://lpjk.pu.go.id/search-badan-usaha-detail/MFJkTFVxTHAzRFNEUEtQWHpxYlowQT09</t>
        </is>
      </c>
      <c r="F87" t="n">
        <v>1</v>
      </c>
      <c r="G87" t="inlineStr">
        <is>
          <t>BS001</t>
        </is>
      </c>
      <c r="H87" t="inlineStr">
        <is>
          <t>15 Februari 2008</t>
        </is>
      </c>
      <c r="I87" s="2" t="n">
        <v>46247</v>
      </c>
      <c r="J87" t="inlineStr">
        <is>
          <t>Pencabutan</t>
        </is>
      </c>
      <c r="K87" t="n">
        <v>30</v>
      </c>
      <c r="L87" t="inlineStr">
        <is>
          <t>13 Agustus 2026</t>
        </is>
      </c>
      <c r="M87" t="inlineStr">
        <is>
          <t>Konstruksi Bangunan Sipil Jalan</t>
        </is>
      </c>
      <c r="N87" t="inlineStr">
        <is>
          <t>K</t>
        </is>
      </c>
      <c r="O87" t="inlineStr">
        <is>
          <t>20230814</t>
        </is>
      </c>
      <c r="P87" t="inlineStr">
        <is>
          <t>Riau</t>
        </is>
      </c>
      <c r="Q87" t="inlineStr"/>
    </row>
    <row r="88">
      <c r="A88" t="inlineStr">
        <is>
          <t>KAHAYAN CIPTA BERSAMA</t>
        </is>
      </c>
      <c r="B88" t="inlineStr">
        <is>
          <t>Kota Palangkaraya</t>
        </is>
      </c>
      <c r="C88" t="inlineStr">
        <is>
          <t>082156616849</t>
        </is>
      </c>
      <c r="D88" t="inlineStr">
        <is>
          <t>Kcbersama@yahoo.co.id</t>
        </is>
      </c>
      <c r="E88" t="inlineStr">
        <is>
          <t>https://lpjk.pu.go.id/search-badan-usaha-detail/ckcydW0vQ0RwSUJsTkRWWWVod0xmdz09</t>
        </is>
      </c>
      <c r="F88" t="n">
        <v>1</v>
      </c>
      <c r="G88" t="inlineStr">
        <is>
          <t>RK002</t>
        </is>
      </c>
      <c r="H88" t="inlineStr">
        <is>
          <t>28 Februari 2006</t>
        </is>
      </c>
      <c r="I88" s="2" t="n">
        <v>46247</v>
      </c>
      <c r="J88" t="inlineStr">
        <is>
          <t>Disetujui</t>
        </is>
      </c>
      <c r="K88" t="n">
        <v>30</v>
      </c>
      <c r="L88" t="inlineStr">
        <is>
          <t>13 Agustus 2026</t>
        </is>
      </c>
      <c r="M88" t="inlineStr">
        <is>
          <t>Jasa Rekayasa Pekerjaan Teknik Sipil Sumber Daya Air</t>
        </is>
      </c>
      <c r="N88" t="inlineStr">
        <is>
          <t>K</t>
        </is>
      </c>
      <c r="O88" t="inlineStr">
        <is>
          <t>20230728</t>
        </is>
      </c>
      <c r="P88" t="inlineStr">
        <is>
          <t>Kalimantan Tengah</t>
        </is>
      </c>
      <c r="Q88" t="inlineStr"/>
    </row>
    <row r="89">
      <c r="A89" t="inlineStr">
        <is>
          <t>KALAPA TILU MAKMUR</t>
        </is>
      </c>
      <c r="B89" t="inlineStr">
        <is>
          <t>Kab. Bandung</t>
        </is>
      </c>
      <c r="C89" t="inlineStr">
        <is>
          <t>082219070717</t>
        </is>
      </c>
      <c r="D89" t="inlineStr">
        <is>
          <t>cv.kalapatilumandiri@gmail.com</t>
        </is>
      </c>
      <c r="E89" t="inlineStr">
        <is>
          <t>https://lpjk.pu.go.id/search-badan-usaha-detail/Z3JDNEpldklISVltNlNXZlNyQVhxdz09</t>
        </is>
      </c>
      <c r="F89" t="n">
        <v>6</v>
      </c>
      <c r="G89" t="inlineStr">
        <is>
          <t>BG002, BG005, BG006</t>
        </is>
      </c>
      <c r="H89" t="inlineStr">
        <is>
          <t>25 Juli 2023</t>
        </is>
      </c>
      <c r="I89" s="2" t="n">
        <v>46247</v>
      </c>
      <c r="J89" t="inlineStr">
        <is>
          <t>Disetujui</t>
        </is>
      </c>
      <c r="K89" t="n">
        <v>30</v>
      </c>
      <c r="L89" t="inlineStr">
        <is>
          <t>13 Agustus 2026</t>
        </is>
      </c>
      <c r="M89" t="inlineStr">
        <is>
          <t>Konstruksi Gedung Kesehatan, Konstruksi Gedung Pendidikan, Konstruksi Gedung Perkantoran</t>
        </is>
      </c>
      <c r="N89" t="inlineStr">
        <is>
          <t>K</t>
        </is>
      </c>
      <c r="O89" t="inlineStr">
        <is>
          <t>20230814</t>
        </is>
      </c>
      <c r="P89" t="inlineStr">
        <is>
          <t>Jawa Barat</t>
        </is>
      </c>
      <c r="Q89" t="inlineStr"/>
    </row>
    <row r="90">
      <c r="A90" t="inlineStr">
        <is>
          <t>KARONA</t>
        </is>
      </c>
      <c r="B90" t="inlineStr">
        <is>
          <t>Kab. Dairi</t>
        </is>
      </c>
      <c r="C90" t="inlineStr">
        <is>
          <t>081362351519</t>
        </is>
      </c>
      <c r="D90" t="inlineStr">
        <is>
          <t>cvkaronadairi@gmail.com</t>
        </is>
      </c>
      <c r="E90" t="inlineStr">
        <is>
          <t>https://lpjk.pu.go.id/search-badan-usaha-detail/YTJWazdjeHFmQzRNRnc5b2hZYXlEUT09</t>
        </is>
      </c>
      <c r="F90" t="n">
        <v>1</v>
      </c>
      <c r="G90" t="inlineStr">
        <is>
          <t>BG009</t>
        </is>
      </c>
      <c r="H90" t="inlineStr">
        <is>
          <t>23 Juli 2019</t>
        </is>
      </c>
      <c r="I90" s="2" t="n">
        <v>46247</v>
      </c>
      <c r="J90" t="inlineStr">
        <is>
          <t>Disetujui</t>
        </is>
      </c>
      <c r="K90" t="n">
        <v>30</v>
      </c>
      <c r="L90" t="inlineStr">
        <is>
          <t>13 Agustus 2026</t>
        </is>
      </c>
      <c r="M90" t="inlineStr">
        <is>
          <t>Konstruksi Gedung Lainnya</t>
        </is>
      </c>
      <c r="N90" t="inlineStr">
        <is>
          <t>K</t>
        </is>
      </c>
      <c r="O90" t="inlineStr">
        <is>
          <t>20230804</t>
        </is>
      </c>
      <c r="P90" t="inlineStr">
        <is>
          <t>Sumatera Utara</t>
        </is>
      </c>
      <c r="Q90" t="inlineStr"/>
    </row>
    <row r="91">
      <c r="A91" t="inlineStr">
        <is>
          <t>KARSA GEMILANG</t>
        </is>
      </c>
      <c r="B91" t="inlineStr">
        <is>
          <t>Kab. Banyuwangi</t>
        </is>
      </c>
      <c r="C91" t="inlineStr">
        <is>
          <t>-</t>
        </is>
      </c>
      <c r="D91" t="inlineStr">
        <is>
          <t>karsagemilangcv@yahoo.co.id</t>
        </is>
      </c>
      <c r="E91" t="inlineStr">
        <is>
          <t>https://lpjk.pu.go.id/search-badan-usaha-detail/MERhWUtCbk03SlRZZVhGTVdvMFg0QT09</t>
        </is>
      </c>
      <c r="F91" t="n">
        <v>1</v>
      </c>
      <c r="G91" t="inlineStr">
        <is>
          <t>BG006</t>
        </is>
      </c>
      <c r="H91" t="inlineStr">
        <is>
          <t>4 Oktober 2003</t>
        </is>
      </c>
      <c r="I91" s="2" t="n">
        <v>46247</v>
      </c>
      <c r="J91" t="inlineStr">
        <is>
          <t>Disetujui</t>
        </is>
      </c>
      <c r="K91" t="n">
        <v>30</v>
      </c>
      <c r="L91" t="inlineStr">
        <is>
          <t>13 Agustus 2026</t>
        </is>
      </c>
      <c r="M91" t="inlineStr">
        <is>
          <t>Konstruksi Gedung Pendidikan</t>
        </is>
      </c>
      <c r="N91" t="inlineStr">
        <is>
          <t>K</t>
        </is>
      </c>
      <c r="O91" t="inlineStr">
        <is>
          <t>20230811</t>
        </is>
      </c>
      <c r="P91" t="inlineStr">
        <is>
          <t>Jawa Timur</t>
        </is>
      </c>
      <c r="Q91" t="inlineStr"/>
    </row>
    <row r="92">
      <c r="A92" t="inlineStr">
        <is>
          <t>KARTIKA BUMI RAHAYU</t>
        </is>
      </c>
      <c r="B92" t="inlineStr">
        <is>
          <t>Kab. Lamongan</t>
        </is>
      </c>
      <c r="C92" t="inlineStr">
        <is>
          <t>085850966511</t>
        </is>
      </c>
      <c r="D92" t="inlineStr">
        <is>
          <t>kartikabumirahayu@gmail.com</t>
        </is>
      </c>
      <c r="E92" t="inlineStr">
        <is>
          <t>https://lpjk.pu.go.id/search-badan-usaha-detail/Z0pPWFZja2RTaVZGUmtDY2tIRjhvZz09</t>
        </is>
      </c>
      <c r="F92" t="n">
        <v>1</v>
      </c>
      <c r="G92" t="inlineStr">
        <is>
          <t>BS001</t>
        </is>
      </c>
      <c r="H92" t="inlineStr">
        <is>
          <t>11 Januari 2023</t>
        </is>
      </c>
      <c r="I92" s="2" t="n">
        <v>46247</v>
      </c>
      <c r="J92" t="inlineStr">
        <is>
          <t>Disetujui</t>
        </is>
      </c>
      <c r="K92" t="n">
        <v>30</v>
      </c>
      <c r="L92" t="inlineStr">
        <is>
          <t>13 Agustus 2026</t>
        </is>
      </c>
      <c r="M92" t="inlineStr">
        <is>
          <t>Konstruksi Bangunan Sipil Jalan</t>
        </is>
      </c>
      <c r="N92" t="inlineStr">
        <is>
          <t>K</t>
        </is>
      </c>
      <c r="O92" t="inlineStr">
        <is>
          <t>20230810</t>
        </is>
      </c>
      <c r="P92" t="inlineStr">
        <is>
          <t>Jawa Timur</t>
        </is>
      </c>
      <c r="Q92" t="inlineStr"/>
    </row>
    <row r="93">
      <c r="A93" t="inlineStr">
        <is>
          <t>KARYA ALFA PAPUA</t>
        </is>
      </c>
      <c r="B93" t="inlineStr">
        <is>
          <t>Kota Jayapura</t>
        </is>
      </c>
      <c r="C93" t="inlineStr">
        <is>
          <t>081248930462</t>
        </is>
      </c>
      <c r="D93" t="inlineStr">
        <is>
          <t>karya.alfa.papua@gmail.com</t>
        </is>
      </c>
      <c r="E93" t="inlineStr">
        <is>
          <t>https://lpjk.pu.go.id/search-badan-usaha-detail/TS9DWkhSQjhiQXF5WHRyVUZBT21KUT09</t>
        </is>
      </c>
      <c r="F93" t="n">
        <v>1</v>
      </c>
      <c r="G93" t="inlineStr">
        <is>
          <t>BS001</t>
        </is>
      </c>
      <c r="H93" t="inlineStr">
        <is>
          <t>19 Desember 2012</t>
        </is>
      </c>
      <c r="I93" s="2" t="n">
        <v>46247</v>
      </c>
      <c r="J93" t="inlineStr">
        <is>
          <t>Disetujui</t>
        </is>
      </c>
      <c r="K93" t="n">
        <v>30</v>
      </c>
      <c r="L93" t="inlineStr">
        <is>
          <t>13 Agustus 2026</t>
        </is>
      </c>
      <c r="M93" t="inlineStr">
        <is>
          <t>Konstruksi Bangunan Sipil Jalan</t>
        </is>
      </c>
      <c r="N93" t="inlineStr">
        <is>
          <t>K</t>
        </is>
      </c>
      <c r="O93" t="inlineStr">
        <is>
          <t>20230721</t>
        </is>
      </c>
      <c r="P93" t="inlineStr">
        <is>
          <t>Papua</t>
        </is>
      </c>
      <c r="Q93" t="inlineStr"/>
    </row>
    <row r="94">
      <c r="A94" t="inlineStr">
        <is>
          <t>KARYA ANUGRAH SEJATI</t>
        </is>
      </c>
      <c r="B94" t="inlineStr">
        <is>
          <t>Kota Adm. Jakarta Selatan</t>
        </is>
      </c>
      <c r="C94" t="inlineStr">
        <is>
          <t>0217822694</t>
        </is>
      </c>
      <c r="D94" t="inlineStr">
        <is>
          <t>karyaanugrahsejati2019@gmail.com</t>
        </is>
      </c>
      <c r="E94" t="inlineStr">
        <is>
          <t>https://lpjk.pu.go.id/search-badan-usaha-detail/Q1lyMUdIQk1KQ25SR0x3Zy9mNGhRQT09</t>
        </is>
      </c>
      <c r="F94" t="n">
        <v>1</v>
      </c>
      <c r="G94" t="inlineStr">
        <is>
          <t>BS002</t>
        </is>
      </c>
      <c r="H94" t="inlineStr">
        <is>
          <t>7 Juli 2005</t>
        </is>
      </c>
      <c r="I94" s="2" t="n">
        <v>46247</v>
      </c>
      <c r="J94" t="inlineStr">
        <is>
          <t>Disetujui</t>
        </is>
      </c>
      <c r="K94" t="n">
        <v>30</v>
      </c>
      <c r="L94" t="inlineStr">
        <is>
          <t>13 Agustus 2026</t>
        </is>
      </c>
      <c r="M94" t="inlineStr">
        <is>
          <t>Bangunan Sipil Jembatan, Jalan Layang, Fly Over, dan Underpass</t>
        </is>
      </c>
      <c r="N94" t="inlineStr">
        <is>
          <t>K</t>
        </is>
      </c>
      <c r="O94" t="inlineStr">
        <is>
          <t>20230801</t>
        </is>
      </c>
      <c r="P94" t="inlineStr">
        <is>
          <t>DKI Jakarta</t>
        </is>
      </c>
      <c r="Q94" t="inlineStr"/>
    </row>
    <row r="95">
      <c r="A95" t="inlineStr">
        <is>
          <t>KARYA BANGUNTAMA SEJAHTERA</t>
        </is>
      </c>
      <c r="B95" t="inlineStr">
        <is>
          <t>Kota Tangerang</t>
        </is>
      </c>
      <c r="C95" t="inlineStr">
        <is>
          <t>02159588286</t>
        </is>
      </c>
      <c r="D95" t="inlineStr">
        <is>
          <t>adm.karyabanguntamasejahtera@gmail.com</t>
        </is>
      </c>
      <c r="E95" t="inlineStr">
        <is>
          <t>https://lpjk.pu.go.id/search-badan-usaha-detail/cU5zSVpYSGlnT3NNRXU2M0tma2s1Zz09</t>
        </is>
      </c>
      <c r="F95" t="n">
        <v>2</v>
      </c>
      <c r="G95" t="inlineStr">
        <is>
          <t>BG006, BG009</t>
        </is>
      </c>
      <c r="H95" t="inlineStr">
        <is>
          <t>22 Maret 2023</t>
        </is>
      </c>
      <c r="I95" s="2" t="n">
        <v>46247</v>
      </c>
      <c r="J95" t="inlineStr">
        <is>
          <t>Pencabutan</t>
        </is>
      </c>
      <c r="K95" t="n">
        <v>30</v>
      </c>
      <c r="L95" t="inlineStr">
        <is>
          <t>13 Agustus 2026</t>
        </is>
      </c>
      <c r="M95" t="inlineStr">
        <is>
          <t>Konstruksi Gedung Lainnya, Konstruksi Gedung Pendidikan</t>
        </is>
      </c>
      <c r="N95" t="inlineStr">
        <is>
          <t>K</t>
        </is>
      </c>
      <c r="O95" t="inlineStr">
        <is>
          <t>20230809</t>
        </is>
      </c>
      <c r="P95" t="inlineStr">
        <is>
          <t>Banten</t>
        </is>
      </c>
      <c r="Q95" t="inlineStr"/>
    </row>
    <row r="96">
      <c r="A96" t="inlineStr">
        <is>
          <t>KARYA KITA</t>
        </is>
      </c>
      <c r="B96" t="inlineStr">
        <is>
          <t>Kota Banda Aceh</t>
        </is>
      </c>
      <c r="C96" t="inlineStr">
        <is>
          <t>082288216008</t>
        </is>
      </c>
      <c r="D96" t="inlineStr">
        <is>
          <t>karyakitasbu@gmail.com</t>
        </is>
      </c>
      <c r="E96" t="inlineStr">
        <is>
          <t>https://lpjk.pu.go.id/search-badan-usaha-detail/aG0wMjEvZjR2Q3p6NWozUjVtRjV0Zz09</t>
        </is>
      </c>
      <c r="F96" t="n">
        <v>1</v>
      </c>
      <c r="G96" t="inlineStr">
        <is>
          <t>BS010</t>
        </is>
      </c>
      <c r="H96" t="inlineStr">
        <is>
          <t>1 Maret 2022</t>
        </is>
      </c>
      <c r="I96" s="2" t="n">
        <v>46247</v>
      </c>
      <c r="J96" t="inlineStr">
        <is>
          <t>Disetujui</t>
        </is>
      </c>
      <c r="K96" t="n">
        <v>30</v>
      </c>
      <c r="L96" t="inlineStr">
        <is>
          <t>13 Agustus 2026</t>
        </is>
      </c>
      <c r="M96" t="inlineStr">
        <is>
          <t>Konstruksi Bangunan Prasarana Sumber Daya Air</t>
        </is>
      </c>
      <c r="N96" t="inlineStr">
        <is>
          <t>K</t>
        </is>
      </c>
      <c r="O96" t="inlineStr">
        <is>
          <t>20230810</t>
        </is>
      </c>
      <c r="P96" t="inlineStr">
        <is>
          <t>Aceh</t>
        </is>
      </c>
      <c r="Q96" t="inlineStr"/>
    </row>
    <row r="97">
      <c r="A97" t="inlineStr">
        <is>
          <t>KARYA MANDIRI</t>
        </is>
      </c>
      <c r="B97" t="inlineStr">
        <is>
          <t>Kab. Magetan</t>
        </is>
      </c>
      <c r="C97" t="inlineStr">
        <is>
          <t>082211222175</t>
        </is>
      </c>
      <c r="D97" t="inlineStr">
        <is>
          <t>mandirikarya155@gmail.com</t>
        </is>
      </c>
      <c r="E97" t="inlineStr">
        <is>
          <t>https://lpjk.pu.go.id/search-badan-usaha-detail/THZxYTIzS29ya3pyZHViSWhqam1Fdz09</t>
        </is>
      </c>
      <c r="F97" t="n">
        <v>1</v>
      </c>
      <c r="G97" t="inlineStr">
        <is>
          <t>BG009</t>
        </is>
      </c>
      <c r="H97" t="inlineStr">
        <is>
          <t>11 April 2008</t>
        </is>
      </c>
      <c r="I97" s="2" t="n">
        <v>46247</v>
      </c>
      <c r="J97" t="inlineStr">
        <is>
          <t>Disetujui</t>
        </is>
      </c>
      <c r="K97" t="n">
        <v>30</v>
      </c>
      <c r="L97" t="inlineStr">
        <is>
          <t>13 Agustus 2026</t>
        </is>
      </c>
      <c r="M97" t="inlineStr">
        <is>
          <t>Konstruksi Gedung Lainnya</t>
        </is>
      </c>
      <c r="N97" t="inlineStr">
        <is>
          <t>K</t>
        </is>
      </c>
      <c r="O97" t="inlineStr">
        <is>
          <t>20230810</t>
        </is>
      </c>
      <c r="P97" t="inlineStr">
        <is>
          <t>Jawa Timur</t>
        </is>
      </c>
      <c r="Q97" t="inlineStr"/>
    </row>
    <row r="98">
      <c r="A98" t="inlineStr">
        <is>
          <t>KARYASA CONSULINDO</t>
        </is>
      </c>
      <c r="B98" t="inlineStr">
        <is>
          <t>Kota Banjarmasin</t>
        </is>
      </c>
      <c r="C98" t="inlineStr">
        <is>
          <t>085388662928</t>
        </is>
      </c>
      <c r="D98" t="inlineStr">
        <is>
          <t>kccempakabjm@yahoo.com</t>
        </is>
      </c>
      <c r="E98" t="inlineStr">
        <is>
          <t>https://lpjk.pu.go.id/search-badan-usaha-detail/VUZjd2h6ZkhndGh5Y0JFU28rVEV6UT09</t>
        </is>
      </c>
      <c r="F98" t="n">
        <v>4</v>
      </c>
      <c r="G98" t="inlineStr">
        <is>
          <t>AR001, RK001, RK002, RK003</t>
        </is>
      </c>
      <c r="H98" t="inlineStr">
        <is>
          <t>13 Januari 1999</t>
        </is>
      </c>
      <c r="I98" s="2" t="n">
        <v>46247</v>
      </c>
      <c r="J98" t="inlineStr">
        <is>
          <t>Permohonan Perpanjangan</t>
        </is>
      </c>
      <c r="K98" t="n">
        <v>30</v>
      </c>
      <c r="L98" t="inlineStr">
        <is>
          <t>13 Agustus 2026</t>
        </is>
      </c>
      <c r="M98" t="inlineStr">
        <is>
          <t>Jasa Arsitektural Bangunan Gedung Hunian dan Non Hunian, Jasa Rekayasa Konstruksi Bangunan Gedung Hunian dan Non Hunian, Jasa Rekayasa Pekerjaan Teknik Sipil Sumber Daya Air, Jasa Rekayasa Pekerjaan Teknik Sipil Transportasi</t>
        </is>
      </c>
      <c r="N98" t="inlineStr">
        <is>
          <t>K</t>
        </is>
      </c>
      <c r="O98" t="inlineStr">
        <is>
          <t>20230802</t>
        </is>
      </c>
      <c r="P98" t="inlineStr">
        <is>
          <t>Kalimantan Selatan</t>
        </is>
      </c>
      <c r="Q98" t="inlineStr"/>
    </row>
    <row r="99">
      <c r="A99" t="inlineStr">
        <is>
          <t>KASTARA PUTRA PERKASA</t>
        </is>
      </c>
      <c r="B99" t="inlineStr">
        <is>
          <t>Kota Kendari</t>
        </is>
      </c>
      <c r="C99" t="inlineStr">
        <is>
          <t>085340593377</t>
        </is>
      </c>
      <c r="D99" t="inlineStr">
        <is>
          <t>kastaraputraperkasa@gmail.com</t>
        </is>
      </c>
      <c r="E99" t="inlineStr">
        <is>
          <t>https://lpjk.pu.go.id/search-badan-usaha-detail/L2JqYjFqeVNXY2tHMUw3TThTRXBidz09</t>
        </is>
      </c>
      <c r="F99" t="n">
        <v>1</v>
      </c>
      <c r="G99" t="inlineStr">
        <is>
          <t>BG001</t>
        </is>
      </c>
      <c r="H99" t="inlineStr">
        <is>
          <t>30 Juni 2023</t>
        </is>
      </c>
      <c r="I99" s="2" t="n">
        <v>46247</v>
      </c>
      <c r="J99" t="inlineStr">
        <is>
          <t>Pencabutan</t>
        </is>
      </c>
      <c r="K99" t="n">
        <v>30</v>
      </c>
      <c r="L99" t="inlineStr">
        <is>
          <t>13 Agustus 2026</t>
        </is>
      </c>
      <c r="M99" t="inlineStr">
        <is>
          <t>Konstruksi Gedung Hunian</t>
        </is>
      </c>
      <c r="N99" t="inlineStr">
        <is>
          <t>K</t>
        </is>
      </c>
      <c r="O99" t="inlineStr">
        <is>
          <t>20230811</t>
        </is>
      </c>
      <c r="P99" t="inlineStr">
        <is>
          <t>Sulawesi Tenggara</t>
        </is>
      </c>
      <c r="Q99" t="inlineStr"/>
    </row>
    <row r="100">
      <c r="A100" t="inlineStr">
        <is>
          <t>KAWAN LAMA NUSANTARA</t>
        </is>
      </c>
      <c r="B100" t="inlineStr">
        <is>
          <t>Kab. Karawang</t>
        </is>
      </c>
      <c r="C100" t="inlineStr">
        <is>
          <t>081995299736</t>
        </is>
      </c>
      <c r="D100" t="inlineStr">
        <is>
          <t>cvkawanlamanusantara@gmail.com</t>
        </is>
      </c>
      <c r="E100" t="inlineStr">
        <is>
          <t>https://lpjk.pu.go.id/search-badan-usaha-detail/TTNvazFha1Z3eWg4QjlGb1hJUkdQQT09</t>
        </is>
      </c>
      <c r="F100" t="n">
        <v>2</v>
      </c>
      <c r="G100" t="inlineStr">
        <is>
          <t>BS001</t>
        </is>
      </c>
      <c r="H100" t="inlineStr">
        <is>
          <t>28 Juli 2023</t>
        </is>
      </c>
      <c r="I100" s="2" t="n">
        <v>46247</v>
      </c>
      <c r="J100" t="inlineStr">
        <is>
          <t>Disetujui</t>
        </is>
      </c>
      <c r="K100" t="n">
        <v>30</v>
      </c>
      <c r="L100" t="inlineStr">
        <is>
          <t>13 Agustus 2026</t>
        </is>
      </c>
      <c r="M100" t="inlineStr">
        <is>
          <t>Konstruksi Bangunan Sipil Jalan</t>
        </is>
      </c>
      <c r="N100" t="inlineStr">
        <is>
          <t>K</t>
        </is>
      </c>
      <c r="O100" t="inlineStr">
        <is>
          <t>20230805</t>
        </is>
      </c>
      <c r="P100" t="inlineStr">
        <is>
          <t>Jawa Barat</t>
        </is>
      </c>
      <c r="Q100" t="inlineStr"/>
    </row>
    <row r="101">
      <c r="A101" t="inlineStr">
        <is>
          <t>KELUARGA JAYA MANDIRI</t>
        </is>
      </c>
      <c r="B101" t="inlineStr">
        <is>
          <t>Kab. Aceh Tamiang</t>
        </is>
      </c>
      <c r="C101" t="inlineStr">
        <is>
          <t>082129991874</t>
        </is>
      </c>
      <c r="D101" t="inlineStr">
        <is>
          <t>keluarga.jayamandiri2022@gmail.com</t>
        </is>
      </c>
      <c r="E101" t="inlineStr">
        <is>
          <t>https://lpjk.pu.go.id/search-badan-usaha-detail/bW9sZThVR1dvU3Vaak44OGN0VGpMUT09</t>
        </is>
      </c>
      <c r="F101" t="n">
        <v>2</v>
      </c>
      <c r="G101" t="inlineStr">
        <is>
          <t>BS001, BS004</t>
        </is>
      </c>
      <c r="H101" t="inlineStr">
        <is>
          <t>13 Mei 2022</t>
        </is>
      </c>
      <c r="I101" s="2" t="n">
        <v>46247</v>
      </c>
      <c r="J101" t="inlineStr">
        <is>
          <t>Disetujui</t>
        </is>
      </c>
      <c r="K101" t="n">
        <v>30</v>
      </c>
      <c r="L101" t="inlineStr">
        <is>
          <t>13 Agustus 2026</t>
        </is>
      </c>
      <c r="M101" t="inlineStr">
        <is>
          <t>Konstruksi Bangunan Sipil Jalan, Konstruksi Jaringan Irigasi dan Drainase</t>
        </is>
      </c>
      <c r="N101" t="inlineStr">
        <is>
          <t>K</t>
        </is>
      </c>
      <c r="O101" t="inlineStr">
        <is>
          <t>20230814</t>
        </is>
      </c>
      <c r="P101" t="inlineStr">
        <is>
          <t>Aceh</t>
        </is>
      </c>
      <c r="Q101" t="inlineStr"/>
    </row>
    <row r="102">
      <c r="A102" t="inlineStr">
        <is>
          <t>KURNIA JAYA</t>
        </is>
      </c>
      <c r="B102" t="inlineStr">
        <is>
          <t>Kab. Bojonegoro</t>
        </is>
      </c>
      <c r="C102" t="inlineStr">
        <is>
          <t>082220777272</t>
        </is>
      </c>
      <c r="D102" t="inlineStr">
        <is>
          <t>kurniajayacv1@gmail.com</t>
        </is>
      </c>
      <c r="E102" t="inlineStr">
        <is>
          <t>https://lpjk.pu.go.id/search-badan-usaha-detail/UVB5QnB2ZW1CZ0FjVFVqVUxoc3BiUT09</t>
        </is>
      </c>
      <c r="F102" t="n">
        <v>1</v>
      </c>
      <c r="G102" t="inlineStr">
        <is>
          <t>BS001</t>
        </is>
      </c>
      <c r="H102" t="inlineStr">
        <is>
          <t>7 Juni 2013</t>
        </is>
      </c>
      <c r="I102" s="2" t="n">
        <v>46247</v>
      </c>
      <c r="J102" t="inlineStr">
        <is>
          <t>Disetujui</t>
        </is>
      </c>
      <c r="K102" t="n">
        <v>30</v>
      </c>
      <c r="L102" t="inlineStr">
        <is>
          <t>13 Agustus 2026</t>
        </is>
      </c>
      <c r="M102" t="inlineStr">
        <is>
          <t>Konstruksi Bangunan Sipil Jalan</t>
        </is>
      </c>
      <c r="N102" t="inlineStr">
        <is>
          <t>K</t>
        </is>
      </c>
      <c r="O102" t="inlineStr">
        <is>
          <t>20230801</t>
        </is>
      </c>
      <c r="P102" t="inlineStr">
        <is>
          <t>Jawa Timur</t>
        </is>
      </c>
      <c r="Q102" t="inlineStr"/>
    </row>
    <row r="103">
      <c r="A103" t="inlineStr">
        <is>
          <t>KUTAI PRIBUMI BANGSA</t>
        </is>
      </c>
      <c r="B103" t="inlineStr">
        <is>
          <t>Kota Samarinda</t>
        </is>
      </c>
      <c r="C103" t="inlineStr">
        <is>
          <t>081344401114</t>
        </is>
      </c>
      <c r="D103" t="inlineStr">
        <is>
          <t>kutaipribumibangsa@gmail.com</t>
        </is>
      </c>
      <c r="E103" t="inlineStr">
        <is>
          <t>https://lpjk.pu.go.id/search-badan-usaha-detail/b2N6aW1CS2huQlF3ZDM2bnE3LzZKdz09</t>
        </is>
      </c>
      <c r="F103" t="n">
        <v>8</v>
      </c>
      <c r="G103" t="inlineStr">
        <is>
          <t>BG005, BG006, BS001, BS004</t>
        </is>
      </c>
      <c r="H103" t="inlineStr">
        <is>
          <t>24 Oktober 2019</t>
        </is>
      </c>
      <c r="I103" s="2" t="n">
        <v>46247</v>
      </c>
      <c r="J103" t="inlineStr">
        <is>
          <t>Disetujui</t>
        </is>
      </c>
      <c r="K103" t="n">
        <v>30</v>
      </c>
      <c r="L103" t="inlineStr">
        <is>
          <t>13 Agustus 2026</t>
        </is>
      </c>
      <c r="M103" t="inlineStr">
        <is>
          <t>Konstruksi Bangunan Sipil Jalan, Konstruksi Gedung Kesehatan, Konstruksi Gedung Pendidikan, Konstruksi Jaringan Irigasi dan Drainase</t>
        </is>
      </c>
      <c r="N103" t="inlineStr">
        <is>
          <t>K</t>
        </is>
      </c>
      <c r="O103" t="inlineStr">
        <is>
          <t>20230809</t>
        </is>
      </c>
      <c r="P103" t="inlineStr">
        <is>
          <t>Kalimantan Timur</t>
        </is>
      </c>
      <c r="Q103" t="inlineStr"/>
    </row>
    <row r="104">
      <c r="A104" t="inlineStr">
        <is>
          <t>LENTERA KAINAWA</t>
        </is>
      </c>
      <c r="B104" t="inlineStr">
        <is>
          <t>Kota Bau Bau</t>
        </is>
      </c>
      <c r="C104" t="inlineStr">
        <is>
          <t>082297570295</t>
        </is>
      </c>
      <c r="D104" t="inlineStr">
        <is>
          <t>sitiseni646@gmail.com</t>
        </is>
      </c>
      <c r="E104" t="inlineStr">
        <is>
          <t>https://lpjk.pu.go.id/search-badan-usaha-detail/TTRLd0xMNXhyR213Zi9kNUR5Mkttdz09</t>
        </is>
      </c>
      <c r="F104" t="n">
        <v>1</v>
      </c>
      <c r="G104" t="inlineStr">
        <is>
          <t>BS001</t>
        </is>
      </c>
      <c r="H104" t="inlineStr">
        <is>
          <t>27 September 2021</t>
        </is>
      </c>
      <c r="I104" s="2" t="n">
        <v>46247</v>
      </c>
      <c r="J104" t="inlineStr">
        <is>
          <t>Disetujui</t>
        </is>
      </c>
      <c r="K104" t="n">
        <v>30</v>
      </c>
      <c r="L104" t="inlineStr">
        <is>
          <t>13 Agustus 2026</t>
        </is>
      </c>
      <c r="M104" t="inlineStr">
        <is>
          <t>Konstruksi Bangunan Sipil Jalan</t>
        </is>
      </c>
      <c r="N104" t="inlineStr">
        <is>
          <t>K</t>
        </is>
      </c>
      <c r="O104" t="inlineStr">
        <is>
          <t>20230806</t>
        </is>
      </c>
      <c r="P104" t="inlineStr">
        <is>
          <t>Sulawesi Tenggara</t>
        </is>
      </c>
      <c r="Q104" t="inlineStr"/>
    </row>
    <row r="105">
      <c r="A105" t="inlineStr">
        <is>
          <t>MAHAREZKI JAYA KARYA</t>
        </is>
      </c>
      <c r="B105" t="inlineStr">
        <is>
          <t>Kab. Mamuju Tengah</t>
        </is>
      </c>
      <c r="C105" t="inlineStr">
        <is>
          <t>082393110121</t>
        </is>
      </c>
      <c r="D105" t="inlineStr">
        <is>
          <t>cvmaharezkijayakarya@gmail.com</t>
        </is>
      </c>
      <c r="E105" t="inlineStr">
        <is>
          <t>https://lpjk.pu.go.id/search-badan-usaha-detail/ZjF3QVhFckxoVVNoL3pqdEpmKzBHUT09</t>
        </is>
      </c>
      <c r="F105" t="n">
        <v>2</v>
      </c>
      <c r="G105" t="inlineStr">
        <is>
          <t>BG009</t>
        </is>
      </c>
      <c r="H105" t="inlineStr">
        <is>
          <t>31 Mei 2021</t>
        </is>
      </c>
      <c r="I105" s="2" t="n">
        <v>46247</v>
      </c>
      <c r="J105" t="inlineStr">
        <is>
          <t>Pencabutan</t>
        </is>
      </c>
      <c r="K105" t="n">
        <v>30</v>
      </c>
      <c r="L105" t="inlineStr">
        <is>
          <t>13 Agustus 2026</t>
        </is>
      </c>
      <c r="M105" t="inlineStr">
        <is>
          <t>Konstruksi Gedung Lainnya</t>
        </is>
      </c>
      <c r="N105" t="inlineStr">
        <is>
          <t>K</t>
        </is>
      </c>
      <c r="O105" t="inlineStr">
        <is>
          <t>20230805</t>
        </is>
      </c>
      <c r="P105" t="inlineStr">
        <is>
          <t>Sulawesi Barat</t>
        </is>
      </c>
      <c r="Q105" t="inlineStr"/>
    </row>
    <row r="106">
      <c r="A106" t="inlineStr">
        <is>
          <t>MAHESA CIPTA CREATIVE</t>
        </is>
      </c>
      <c r="B106" t="inlineStr">
        <is>
          <t>Kota Malang</t>
        </is>
      </c>
      <c r="C106" t="inlineStr">
        <is>
          <t>082257096102</t>
        </is>
      </c>
      <c r="D106" t="inlineStr">
        <is>
          <t>cvmccmlg@gmail.com</t>
        </is>
      </c>
      <c r="E106" t="inlineStr">
        <is>
          <t>https://lpjk.pu.go.id/search-badan-usaha-detail/ZUVzRUMwc1ZWWnBHMUUrWW5ROHZudz09</t>
        </is>
      </c>
      <c r="F106" t="n">
        <v>1</v>
      </c>
      <c r="G106" t="inlineStr">
        <is>
          <t>BG009</t>
        </is>
      </c>
      <c r="H106" t="inlineStr">
        <is>
          <t>7 Juni 2023</t>
        </is>
      </c>
      <c r="I106" s="2" t="n">
        <v>46247</v>
      </c>
      <c r="J106" t="inlineStr">
        <is>
          <t>Disetujui</t>
        </is>
      </c>
      <c r="K106" t="n">
        <v>30</v>
      </c>
      <c r="L106" t="inlineStr">
        <is>
          <t>13 Agustus 2026</t>
        </is>
      </c>
      <c r="M106" t="inlineStr">
        <is>
          <t>Konstruksi Gedung Lainnya</t>
        </is>
      </c>
      <c r="N106" t="inlineStr">
        <is>
          <t>K</t>
        </is>
      </c>
      <c r="O106" t="inlineStr">
        <is>
          <t>20230713</t>
        </is>
      </c>
      <c r="P106" t="inlineStr">
        <is>
          <t>Jawa Timur</t>
        </is>
      </c>
      <c r="Q106" t="inlineStr"/>
    </row>
    <row r="107">
      <c r="A107" t="inlineStr">
        <is>
          <t>MAJU JAYA</t>
        </is>
      </c>
      <c r="B107" t="inlineStr">
        <is>
          <t>Kab. Wonosobo</t>
        </is>
      </c>
      <c r="C107" t="inlineStr">
        <is>
          <t>082227111219</t>
        </is>
      </c>
      <c r="D107" t="inlineStr">
        <is>
          <t>majujayacv7@gmail.com</t>
        </is>
      </c>
      <c r="E107" t="inlineStr">
        <is>
          <t>https://lpjk.pu.go.id/search-badan-usaha-detail/N0x1OWRYTFpZSDdSczhXdkNMdk54UT09</t>
        </is>
      </c>
      <c r="F107" t="n">
        <v>2</v>
      </c>
      <c r="G107" t="inlineStr">
        <is>
          <t>BS002, BS004</t>
        </is>
      </c>
      <c r="H107" t="inlineStr">
        <is>
          <t>15 Januari 2016</t>
        </is>
      </c>
      <c r="I107" s="2" t="n">
        <v>46247</v>
      </c>
      <c r="J107" t="inlineStr">
        <is>
          <t>Disetujui</t>
        </is>
      </c>
      <c r="K107" t="n">
        <v>30</v>
      </c>
      <c r="L107" t="inlineStr">
        <is>
          <t>13 Agustus 2026</t>
        </is>
      </c>
      <c r="M107" t="inlineStr">
        <is>
          <t>Bangunan Sipil Jembatan, Jalan Layang, Fly Over, dan Underpass, Konstruksi Jaringan Irigasi dan Drainase</t>
        </is>
      </c>
      <c r="N107" t="inlineStr">
        <is>
          <t>K</t>
        </is>
      </c>
      <c r="O107" t="inlineStr">
        <is>
          <t>20230808, 20230812</t>
        </is>
      </c>
      <c r="P107" t="inlineStr">
        <is>
          <t>Jawa Tengah</t>
        </is>
      </c>
      <c r="Q107" t="inlineStr"/>
    </row>
    <row r="108">
      <c r="A108" t="inlineStr">
        <is>
          <t>MATA AIR</t>
        </is>
      </c>
      <c r="B108" t="inlineStr">
        <is>
          <t>Kab. Kuantan Singingi</t>
        </is>
      </c>
      <c r="C108" t="inlineStr">
        <is>
          <t>082268560411</t>
        </is>
      </c>
      <c r="D108" t="inlineStr">
        <is>
          <t>cv.mataair23@gmail.com</t>
        </is>
      </c>
      <c r="E108" t="inlineStr">
        <is>
          <t>https://lpjk.pu.go.id/search-badan-usaha-detail/MVFXTk9IQm5TYlpRUFFtTEMvZllhQT09</t>
        </is>
      </c>
      <c r="F108" t="n">
        <v>4</v>
      </c>
      <c r="G108" t="inlineStr">
        <is>
          <t>BG002, BG004, BG005, BG006</t>
        </is>
      </c>
      <c r="H108" t="inlineStr">
        <is>
          <t>19 Desember 2003</t>
        </is>
      </c>
      <c r="I108" s="2" t="n">
        <v>46247</v>
      </c>
      <c r="J108" t="inlineStr">
        <is>
          <t>Disetujui</t>
        </is>
      </c>
      <c r="K108" t="n">
        <v>30</v>
      </c>
      <c r="L108" t="inlineStr">
        <is>
          <t>13 Agustus 2026</t>
        </is>
      </c>
      <c r="M108" t="inlineStr">
        <is>
          <t>Konstruksi Gedung Kesehatan, Konstruksi Gedung Pendidikan, Konstruksi Gedung Perbelanjaan, Konstruksi Gedung Perkantoran</t>
        </is>
      </c>
      <c r="N108" t="inlineStr">
        <is>
          <t>K</t>
        </is>
      </c>
      <c r="O108" t="inlineStr">
        <is>
          <t>20230804, 20230809</t>
        </is>
      </c>
      <c r="P108" t="inlineStr">
        <is>
          <t>Riau</t>
        </is>
      </c>
      <c r="Q108" t="inlineStr"/>
    </row>
    <row r="109">
      <c r="A109" t="inlineStr">
        <is>
          <t>MATAHARI TERBIT</t>
        </is>
      </c>
      <c r="B109" t="inlineStr">
        <is>
          <t>Kab. Bandung</t>
        </is>
      </c>
      <c r="C109" t="inlineStr">
        <is>
          <t>081321884988</t>
        </is>
      </c>
      <c r="D109" t="inlineStr">
        <is>
          <t>matahariterbit2009@gmail.com</t>
        </is>
      </c>
      <c r="E109" t="inlineStr">
        <is>
          <t>https://lpjk.pu.go.id/search-badan-usaha-detail/d3pQRzVJelgvbTc0ZVZQKzBYZUhVQT09</t>
        </is>
      </c>
      <c r="F109" t="n">
        <v>2</v>
      </c>
      <c r="G109" t="inlineStr">
        <is>
          <t>BG009</t>
        </is>
      </c>
      <c r="H109" t="inlineStr">
        <is>
          <t>5 Desember 2008</t>
        </is>
      </c>
      <c r="I109" s="2" t="n">
        <v>46247</v>
      </c>
      <c r="J109" t="inlineStr">
        <is>
          <t>Pencabutan</t>
        </is>
      </c>
      <c r="K109" t="n">
        <v>30</v>
      </c>
      <c r="L109" t="inlineStr">
        <is>
          <t>13 Agustus 2026</t>
        </is>
      </c>
      <c r="M109" t="inlineStr">
        <is>
          <t>Konstruksi Gedung Lainnya</t>
        </is>
      </c>
      <c r="N109" t="inlineStr">
        <is>
          <t>K</t>
        </is>
      </c>
      <c r="O109" t="inlineStr">
        <is>
          <t>20230808</t>
        </is>
      </c>
      <c r="P109" t="inlineStr">
        <is>
          <t>Jawa Barat</t>
        </is>
      </c>
      <c r="Q109" t="inlineStr"/>
    </row>
    <row r="110">
      <c r="A110" t="inlineStr">
        <is>
          <t>MATARAM PUTRA SAKTI</t>
        </is>
      </c>
      <c r="B110" t="inlineStr">
        <is>
          <t>Kota Blitar</t>
        </is>
      </c>
      <c r="C110" t="inlineStr">
        <is>
          <t>08818460429</t>
        </is>
      </c>
      <c r="D110" t="inlineStr">
        <is>
          <t>mataramputrasakti@gmail.com</t>
        </is>
      </c>
      <c r="E110" t="inlineStr">
        <is>
          <t>https://lpjk.pu.go.id/search-badan-usaha-detail/SHZXY3N3aDU0ZlBkU1VNWmhOT1E3QT09</t>
        </is>
      </c>
      <c r="F110" t="n">
        <v>2</v>
      </c>
      <c r="G110" t="inlineStr">
        <is>
          <t>BG009</t>
        </is>
      </c>
      <c r="H110" t="inlineStr">
        <is>
          <t>25 Agustus 2008</t>
        </is>
      </c>
      <c r="I110" s="2" t="n">
        <v>46247</v>
      </c>
      <c r="J110" t="inlineStr">
        <is>
          <t>Disetujui</t>
        </is>
      </c>
      <c r="K110" t="n">
        <v>30</v>
      </c>
      <c r="L110" t="inlineStr">
        <is>
          <t>13 Agustus 2026</t>
        </is>
      </c>
      <c r="M110" t="inlineStr">
        <is>
          <t>Konstruksi Gedung Lainnya</t>
        </is>
      </c>
      <c r="N110" t="inlineStr">
        <is>
          <t>K</t>
        </is>
      </c>
      <c r="O110" t="inlineStr">
        <is>
          <t>20230807</t>
        </is>
      </c>
      <c r="P110" t="inlineStr">
        <is>
          <t>Jawa Timur</t>
        </is>
      </c>
      <c r="Q110" t="inlineStr"/>
    </row>
    <row r="111">
      <c r="A111" t="inlineStr">
        <is>
          <t>MEDIA AMALIA PERDANA</t>
        </is>
      </c>
      <c r="B111" t="inlineStr">
        <is>
          <t>Kab. Bolaang Mongondow Selatan</t>
        </is>
      </c>
      <c r="C111" t="inlineStr">
        <is>
          <t>082195591551</t>
        </is>
      </c>
      <c r="D111" t="inlineStr">
        <is>
          <t>pontohjoe5@gmail.com</t>
        </is>
      </c>
      <c r="E111" t="inlineStr">
        <is>
          <t>https://lpjk.pu.go.id/search-badan-usaha-detail/TU5zZXNwbmZ3RmY1N04xYTk5WHhnZz09</t>
        </is>
      </c>
      <c r="F111" t="n">
        <v>1</v>
      </c>
      <c r="G111" t="inlineStr">
        <is>
          <t>BG006</t>
        </is>
      </c>
      <c r="H111" t="inlineStr">
        <is>
          <t>23 April 2009</t>
        </is>
      </c>
      <c r="I111" s="2" t="n">
        <v>46247</v>
      </c>
      <c r="J111" t="inlineStr">
        <is>
          <t>Disetujui</t>
        </is>
      </c>
      <c r="K111" t="n">
        <v>30</v>
      </c>
      <c r="L111" t="inlineStr">
        <is>
          <t>13 Agustus 2026</t>
        </is>
      </c>
      <c r="M111" t="inlineStr">
        <is>
          <t>Konstruksi Gedung Pendidikan</t>
        </is>
      </c>
      <c r="N111" t="inlineStr">
        <is>
          <t>K</t>
        </is>
      </c>
      <c r="O111" t="inlineStr">
        <is>
          <t>20230813</t>
        </is>
      </c>
      <c r="P111" t="inlineStr">
        <is>
          <t>Sulawesi Utara</t>
        </is>
      </c>
      <c r="Q111" t="inlineStr"/>
    </row>
    <row r="112">
      <c r="A112" t="inlineStr">
        <is>
          <t>MEGA SARO UTAMA</t>
        </is>
      </c>
      <c r="B112" t="inlineStr">
        <is>
          <t>Kota Makassar</t>
        </is>
      </c>
      <c r="C112" t="inlineStr">
        <is>
          <t>081242080335</t>
        </is>
      </c>
      <c r="D112" t="inlineStr">
        <is>
          <t>CV.megasaro.utama@gmail.com</t>
        </is>
      </c>
      <c r="E112" t="inlineStr">
        <is>
          <t>https://lpjk.pu.go.id/search-badan-usaha-detail/TmFDZG05aDNLZlJQSnZGYlFrWHVZUT09</t>
        </is>
      </c>
      <c r="F112" t="n">
        <v>4</v>
      </c>
      <c r="G112" t="inlineStr">
        <is>
          <t>BG002, BG005, BG006, BG009</t>
        </is>
      </c>
      <c r="H112" t="inlineStr">
        <is>
          <t>8 Februari 2019</t>
        </is>
      </c>
      <c r="I112" s="2" t="n">
        <v>46247</v>
      </c>
      <c r="J112" t="inlineStr">
        <is>
          <t>Disetujui</t>
        </is>
      </c>
      <c r="K112" t="n">
        <v>30</v>
      </c>
      <c r="L112" t="inlineStr">
        <is>
          <t>13 Agustus 2026</t>
        </is>
      </c>
      <c r="M112" t="inlineStr">
        <is>
          <t>Konstruksi Gedung Kesehatan, Konstruksi Gedung Lainnya, Konstruksi Gedung Pendidikan, Konstruksi Gedung Perkantoran</t>
        </is>
      </c>
      <c r="N112" t="inlineStr">
        <is>
          <t>K</t>
        </is>
      </c>
      <c r="O112" t="inlineStr">
        <is>
          <t>20230806, 20230809, 20230813</t>
        </is>
      </c>
      <c r="P112" t="inlineStr">
        <is>
          <t>Sulawesi Selatan</t>
        </is>
      </c>
      <c r="Q112" t="inlineStr"/>
    </row>
    <row r="113">
      <c r="A113" t="inlineStr">
        <is>
          <t>MINANG BARU</t>
        </is>
      </c>
      <c r="B113" t="inlineStr">
        <is>
          <t>Kab. Tebo</t>
        </is>
      </c>
      <c r="C113" t="inlineStr">
        <is>
          <t>085369683030</t>
        </is>
      </c>
      <c r="D113" t="inlineStr">
        <is>
          <t>minangbaru247@gmail.com</t>
        </is>
      </c>
      <c r="E113" t="inlineStr">
        <is>
          <t>https://lpjk.pu.go.id/search-badan-usaha-detail/VG5OdEZZRmphNHB3cFZ6R0hUZGV1QT09</t>
        </is>
      </c>
      <c r="F113" t="n">
        <v>4</v>
      </c>
      <c r="G113" t="inlineStr">
        <is>
          <t>BG002, BG005, BG006, BG009</t>
        </is>
      </c>
      <c r="H113" t="inlineStr">
        <is>
          <t>12 Agustus 2023</t>
        </is>
      </c>
      <c r="I113" s="2" t="n">
        <v>46247</v>
      </c>
      <c r="J113" t="inlineStr">
        <is>
          <t>Disetujui</t>
        </is>
      </c>
      <c r="K113" t="n">
        <v>30</v>
      </c>
      <c r="L113" t="inlineStr">
        <is>
          <t>13 Agustus 2026</t>
        </is>
      </c>
      <c r="M113" t="inlineStr">
        <is>
          <t>Konstruksi Gedung Kesehatan, Konstruksi Gedung Lainnya, Konstruksi Gedung Pendidikan, Konstruksi Gedung Perkantoran</t>
        </is>
      </c>
      <c r="N113" t="inlineStr">
        <is>
          <t>K</t>
        </is>
      </c>
      <c r="O113" t="inlineStr">
        <is>
          <t>20230814</t>
        </is>
      </c>
      <c r="P113" t="inlineStr">
        <is>
          <t>Jambi</t>
        </is>
      </c>
      <c r="Q113" t="inlineStr"/>
    </row>
    <row r="114">
      <c r="A114" t="inlineStr">
        <is>
          <t>MITRA BANGUN PERSADA</t>
        </is>
      </c>
      <c r="B114" t="inlineStr">
        <is>
          <t>Kota Pontianak</t>
        </is>
      </c>
      <c r="C114" t="inlineStr">
        <is>
          <t>081352415245</t>
        </is>
      </c>
      <c r="D114" t="inlineStr">
        <is>
          <t>mitrabangunpersada18@yahoo.com</t>
        </is>
      </c>
      <c r="E114" t="inlineStr">
        <is>
          <t>https://lpjk.pu.go.id/search-badan-usaha-detail/VjhXdDQ0NVhJb3cvQ2cwcHQwSjZtdz09</t>
        </is>
      </c>
      <c r="F114" t="n">
        <v>1</v>
      </c>
      <c r="G114" t="inlineStr">
        <is>
          <t>RK002</t>
        </is>
      </c>
      <c r="H114" t="inlineStr">
        <is>
          <t>19 Desember 2007</t>
        </is>
      </c>
      <c r="I114" s="2" t="n">
        <v>46247</v>
      </c>
      <c r="J114" t="inlineStr">
        <is>
          <t>Disetujui</t>
        </is>
      </c>
      <c r="K114" t="n">
        <v>30</v>
      </c>
      <c r="L114" t="inlineStr">
        <is>
          <t>13 Agustus 2026</t>
        </is>
      </c>
      <c r="M114" t="inlineStr">
        <is>
          <t>Jasa Rekayasa Pekerjaan Teknik Sipil Sumber Daya Air</t>
        </is>
      </c>
      <c r="N114" t="inlineStr">
        <is>
          <t>K</t>
        </is>
      </c>
      <c r="O114" t="inlineStr">
        <is>
          <t>20230728</t>
        </is>
      </c>
      <c r="P114" t="inlineStr">
        <is>
          <t>Kalimantan Barat</t>
        </is>
      </c>
      <c r="Q114" t="inlineStr"/>
    </row>
    <row r="115">
      <c r="A115" t="inlineStr">
        <is>
          <t>MITRA CEKATAN SOLUSINDO</t>
        </is>
      </c>
      <c r="B115" t="inlineStr">
        <is>
          <t>Kota Salatiga</t>
        </is>
      </c>
      <c r="C115" t="inlineStr">
        <is>
          <t>082322226084</t>
        </is>
      </c>
      <c r="D115" t="inlineStr">
        <is>
          <t>mitracekatansolusindo@gmail.com</t>
        </is>
      </c>
      <c r="E115" t="inlineStr">
        <is>
          <t>https://lpjk.pu.go.id/search-badan-usaha-detail/VUFYcnNvZlVmU0UydkZOVXlOWU9wQT09</t>
        </is>
      </c>
      <c r="F115" t="n">
        <v>1</v>
      </c>
      <c r="G115" t="inlineStr">
        <is>
          <t>BS004</t>
        </is>
      </c>
      <c r="H115" t="inlineStr">
        <is>
          <t>18 Juli 2023</t>
        </is>
      </c>
      <c r="I115" s="2" t="n">
        <v>46247</v>
      </c>
      <c r="J115" t="inlineStr">
        <is>
          <t>Disetujui</t>
        </is>
      </c>
      <c r="K115" t="n">
        <v>30</v>
      </c>
      <c r="L115" t="inlineStr">
        <is>
          <t>13 Agustus 2026</t>
        </is>
      </c>
      <c r="M115" t="inlineStr">
        <is>
          <t>Konstruksi Jaringan Irigasi dan Drainase</t>
        </is>
      </c>
      <c r="N115" t="inlineStr">
        <is>
          <t>K</t>
        </is>
      </c>
      <c r="O115" t="inlineStr">
        <is>
          <t>20230814</t>
        </is>
      </c>
      <c r="P115" t="inlineStr">
        <is>
          <t>Jawa Tengah</t>
        </is>
      </c>
      <c r="Q115" t="inlineStr"/>
    </row>
    <row r="116">
      <c r="A116" t="inlineStr">
        <is>
          <t>MITRA NIAGA</t>
        </is>
      </c>
      <c r="B116" t="inlineStr">
        <is>
          <t>Kab. Banyumas</t>
        </is>
      </c>
      <c r="C116" t="inlineStr">
        <is>
          <t>0281640738</t>
        </is>
      </c>
      <c r="D116" t="inlineStr">
        <is>
          <t>hudoyo_mitra@yahoo.com</t>
        </is>
      </c>
      <c r="E116" t="inlineStr">
        <is>
          <t>https://lpjk.pu.go.id/search-badan-usaha-detail/dHhZOWhldFNBN3JnN09LWG1uamRydz09</t>
        </is>
      </c>
      <c r="F116" t="n">
        <v>2</v>
      </c>
      <c r="G116" t="inlineStr">
        <is>
          <t>BS002, BS006</t>
        </is>
      </c>
      <c r="H116" t="inlineStr">
        <is>
          <t>31 Agustus 2001</t>
        </is>
      </c>
      <c r="I116" s="2" t="n">
        <v>46247</v>
      </c>
      <c r="J116" t="inlineStr">
        <is>
          <t>Pencabutan</t>
        </is>
      </c>
      <c r="K116" t="n">
        <v>30</v>
      </c>
      <c r="L116" t="inlineStr">
        <is>
          <t>13 Agustus 2026</t>
        </is>
      </c>
      <c r="M116" t="inlineStr">
        <is>
          <t>Bangunan Sipil Jembatan, Jalan Layang, Fly Over, dan Underpass, Konstruksi Bangunan Sipil Prasarana dan Sarana Sistem Pengolahan Limbah Padat, Cair, dan Gas</t>
        </is>
      </c>
      <c r="N116" t="inlineStr">
        <is>
          <t>K</t>
        </is>
      </c>
      <c r="O116" t="inlineStr">
        <is>
          <t>20230811</t>
        </is>
      </c>
      <c r="P116" t="inlineStr">
        <is>
          <t>Jawa Tengah</t>
        </is>
      </c>
      <c r="Q116" t="inlineStr"/>
    </row>
    <row r="117">
      <c r="A117" t="inlineStr">
        <is>
          <t>MITRA SELARAS</t>
        </is>
      </c>
      <c r="B117" t="inlineStr">
        <is>
          <t>Kota Kendari</t>
        </is>
      </c>
      <c r="C117" t="inlineStr">
        <is>
          <t>081245900751</t>
        </is>
      </c>
      <c r="D117" t="inlineStr">
        <is>
          <t>fransduppa2019@gmail.com</t>
        </is>
      </c>
      <c r="E117" t="inlineStr">
        <is>
          <t>https://lpjk.pu.go.id/search-badan-usaha-detail/c3VVTlpUdVhQelVQK1dnZ1QzSUE5QT09</t>
        </is>
      </c>
      <c r="F117" t="n">
        <v>2</v>
      </c>
      <c r="G117" t="inlineStr">
        <is>
          <t>BG005, BG009</t>
        </is>
      </c>
      <c r="H117" t="inlineStr">
        <is>
          <t>26 Januari 2011</t>
        </is>
      </c>
      <c r="I117" s="2" t="n">
        <v>46247</v>
      </c>
      <c r="J117" t="inlineStr">
        <is>
          <t>Disetujui</t>
        </is>
      </c>
      <c r="K117" t="n">
        <v>30</v>
      </c>
      <c r="L117" t="inlineStr">
        <is>
          <t>13 Agustus 2026</t>
        </is>
      </c>
      <c r="M117" t="inlineStr">
        <is>
          <t>Konstruksi Gedung Kesehatan, Konstruksi Gedung Lainnya</t>
        </is>
      </c>
      <c r="N117" t="inlineStr">
        <is>
          <t>K</t>
        </is>
      </c>
      <c r="O117" t="inlineStr">
        <is>
          <t>20230809</t>
        </is>
      </c>
      <c r="P117" t="inlineStr">
        <is>
          <t>Sulawesi Tenggara</t>
        </is>
      </c>
      <c r="Q117" t="inlineStr"/>
    </row>
    <row r="118">
      <c r="A118" t="inlineStr">
        <is>
          <t>MORADO SUKSES ABADI</t>
        </is>
      </c>
      <c r="B118" t="inlineStr">
        <is>
          <t>Kota Balikpapan</t>
        </is>
      </c>
      <c r="C118" t="inlineStr">
        <is>
          <t>085210227722</t>
        </is>
      </c>
      <c r="D118" t="inlineStr">
        <is>
          <t>moradosuksesabadi11@gmail.com</t>
        </is>
      </c>
      <c r="E118" t="inlineStr">
        <is>
          <t>https://lpjk.pu.go.id/search-badan-usaha-detail/cHNacW9TaGlzMVpyaVIvUkZ4Q3QvQT09</t>
        </is>
      </c>
      <c r="F118" t="n">
        <v>1</v>
      </c>
      <c r="G118" t="inlineStr">
        <is>
          <t>BG009</t>
        </is>
      </c>
      <c r="H118" t="inlineStr">
        <is>
          <t>10 Juli 2023</t>
        </is>
      </c>
      <c r="I118" s="2" t="n">
        <v>46247</v>
      </c>
      <c r="J118" t="inlineStr">
        <is>
          <t>Disetujui</t>
        </is>
      </c>
      <c r="K118" t="n">
        <v>30</v>
      </c>
      <c r="L118" t="inlineStr">
        <is>
          <t>13 Agustus 2026</t>
        </is>
      </c>
      <c r="M118" t="inlineStr">
        <is>
          <t>Konstruksi Gedung Lainnya</t>
        </is>
      </c>
      <c r="N118" t="inlineStr">
        <is>
          <t>K</t>
        </is>
      </c>
      <c r="O118" t="inlineStr">
        <is>
          <t>20230814</t>
        </is>
      </c>
      <c r="P118" t="inlineStr">
        <is>
          <t>Kalimantan Timur</t>
        </is>
      </c>
      <c r="Q118" t="inlineStr"/>
    </row>
    <row r="119">
      <c r="A119" t="inlineStr">
        <is>
          <t>MORISON BATAM PERKASA</t>
        </is>
      </c>
      <c r="B119" t="inlineStr">
        <is>
          <t>Kota Batam</t>
        </is>
      </c>
      <c r="C119" t="inlineStr">
        <is>
          <t>081364755433</t>
        </is>
      </c>
      <c r="D119" t="inlineStr">
        <is>
          <t>mitraserasijaya@yahoo.com</t>
        </is>
      </c>
      <c r="E119" t="inlineStr">
        <is>
          <t>https://lpjk.pu.go.id/search-badan-usaha-detail/M2NPYVZXSUJXeit5VnZhcG1BQ1lXUT09</t>
        </is>
      </c>
      <c r="F119" t="n">
        <v>1</v>
      </c>
      <c r="G119" t="inlineStr">
        <is>
          <t>BG006</t>
        </is>
      </c>
      <c r="H119" t="inlineStr">
        <is>
          <t>6 Februari 2015</t>
        </is>
      </c>
      <c r="I119" s="2" t="n">
        <v>46247</v>
      </c>
      <c r="J119" t="inlineStr">
        <is>
          <t>Disetujui</t>
        </is>
      </c>
      <c r="K119" t="n">
        <v>30</v>
      </c>
      <c r="L119" t="inlineStr">
        <is>
          <t>13 Agustus 2026</t>
        </is>
      </c>
      <c r="M119" t="inlineStr">
        <is>
          <t>Konstruksi Gedung Pendidikan</t>
        </is>
      </c>
      <c r="N119" t="inlineStr">
        <is>
          <t>K</t>
        </is>
      </c>
      <c r="O119" t="inlineStr">
        <is>
          <t>20230808</t>
        </is>
      </c>
      <c r="P119" t="inlineStr">
        <is>
          <t>Kepulauan Riau</t>
        </is>
      </c>
      <c r="Q119" t="inlineStr"/>
    </row>
    <row r="120">
      <c r="A120" t="inlineStr">
        <is>
          <t>MUARA REZEKI</t>
        </is>
      </c>
      <c r="B120" t="inlineStr">
        <is>
          <t>Kota Pekanbaru</t>
        </is>
      </c>
      <c r="C120" t="inlineStr">
        <is>
          <t>082284266962</t>
        </is>
      </c>
      <c r="D120" t="inlineStr">
        <is>
          <t>cv.muararezeki@gmail.com</t>
        </is>
      </c>
      <c r="E120" t="inlineStr">
        <is>
          <t>https://lpjk.pu.go.id/search-badan-usaha-detail/ZkhGcEVYZTZCM2dHWkRjcGI0TVhLZz09</t>
        </is>
      </c>
      <c r="F120" t="n">
        <v>1</v>
      </c>
      <c r="G120" t="inlineStr">
        <is>
          <t>BG006</t>
        </is>
      </c>
      <c r="H120" t="inlineStr">
        <is>
          <t>28 Desember 2022</t>
        </is>
      </c>
      <c r="I120" s="2" t="n">
        <v>46247</v>
      </c>
      <c r="J120" t="inlineStr">
        <is>
          <t>Disetujui</t>
        </is>
      </c>
      <c r="K120" t="n">
        <v>30</v>
      </c>
      <c r="L120" t="inlineStr">
        <is>
          <t>13 Agustus 2026</t>
        </is>
      </c>
      <c r="M120" t="inlineStr">
        <is>
          <t>Konstruksi Gedung Pendidikan</t>
        </is>
      </c>
      <c r="N120" t="inlineStr">
        <is>
          <t>K</t>
        </is>
      </c>
      <c r="O120" t="inlineStr">
        <is>
          <t>20230804</t>
        </is>
      </c>
      <c r="P120" t="inlineStr">
        <is>
          <t>Riau</t>
        </is>
      </c>
      <c r="Q120" t="inlineStr"/>
    </row>
    <row r="121">
      <c r="A121" t="inlineStr">
        <is>
          <t>MULTI DIMENSI ADHI KARYA</t>
        </is>
      </c>
      <c r="B121" t="inlineStr">
        <is>
          <t>Kab. Majalengka</t>
        </is>
      </c>
      <c r="C121" t="inlineStr">
        <is>
          <t>0233510146</t>
        </is>
      </c>
      <c r="D121" t="inlineStr">
        <is>
          <t>multidimensi.adhikarya@yahoo.com</t>
        </is>
      </c>
      <c r="E121" t="inlineStr">
        <is>
          <t>https://lpjk.pu.go.id/search-badan-usaha-detail/cWRqVDNZLzAwNXNHUFRaVWNqQnFJdz09</t>
        </is>
      </c>
      <c r="F121" t="n">
        <v>1</v>
      </c>
      <c r="G121" t="inlineStr">
        <is>
          <t>BS005</t>
        </is>
      </c>
      <c r="H121" t="inlineStr">
        <is>
          <t>14 Februari 2009</t>
        </is>
      </c>
      <c r="I121" s="2" t="n">
        <v>46247</v>
      </c>
      <c r="J121" t="inlineStr">
        <is>
          <t>Disetujui</t>
        </is>
      </c>
      <c r="K121" t="n">
        <v>30</v>
      </c>
      <c r="L121" t="inlineStr">
        <is>
          <t>13 Agustus 2026</t>
        </is>
      </c>
      <c r="M121" t="inlineStr">
        <is>
          <t>Konstruksi Bangunan Sipil Pengolahan Air Bersih</t>
        </is>
      </c>
      <c r="N121" t="inlineStr">
        <is>
          <t>K</t>
        </is>
      </c>
      <c r="O121" t="inlineStr">
        <is>
          <t>20230810</t>
        </is>
      </c>
      <c r="P121" t="inlineStr">
        <is>
          <t>Jawa Barat</t>
        </is>
      </c>
      <c r="Q121" t="inlineStr"/>
    </row>
    <row r="122">
      <c r="A122" t="inlineStr">
        <is>
          <t>MULYA BERSAMA</t>
        </is>
      </c>
      <c r="B122" t="inlineStr">
        <is>
          <t>Kab. Magetan</t>
        </is>
      </c>
      <c r="C122" t="inlineStr">
        <is>
          <t>082231232180</t>
        </is>
      </c>
      <c r="D122" t="inlineStr">
        <is>
          <t>mulyabersama.cv@gmail.com</t>
        </is>
      </c>
      <c r="E122" t="inlineStr">
        <is>
          <t>https://lpjk.pu.go.id/search-badan-usaha-detail/RmpKLzYxUVkyekhkQTFaUmFnOXVUZz09</t>
        </is>
      </c>
      <c r="F122" t="n">
        <v>4</v>
      </c>
      <c r="G122" t="inlineStr">
        <is>
          <t>BG005, BG006, BS004, BS005</t>
        </is>
      </c>
      <c r="H122" t="inlineStr">
        <is>
          <t>18 Januari 2011</t>
        </is>
      </c>
      <c r="I122" s="2" t="n">
        <v>46247</v>
      </c>
      <c r="J122" t="inlineStr">
        <is>
          <t>Disetujui</t>
        </is>
      </c>
      <c r="K122" t="n">
        <v>30</v>
      </c>
      <c r="L122" t="inlineStr">
        <is>
          <t>13 Agustus 2026</t>
        </is>
      </c>
      <c r="M122" t="inlineStr">
        <is>
          <t>Konstruksi Bangunan Sipil Pengolahan Air Bersih, Konstruksi Gedung Kesehatan, Konstruksi Gedung Pendidikan, Konstruksi Jaringan Irigasi dan Drainase</t>
        </is>
      </c>
      <c r="N122" t="inlineStr">
        <is>
          <t>K</t>
        </is>
      </c>
      <c r="O122" t="inlineStr">
        <is>
          <t>20230810</t>
        </is>
      </c>
      <c r="P122" t="inlineStr">
        <is>
          <t>Jawa Timur</t>
        </is>
      </c>
      <c r="Q122" t="inlineStr"/>
    </row>
    <row r="123">
      <c r="A123" t="inlineStr">
        <is>
          <t>MUTIARA BEURATA</t>
        </is>
      </c>
      <c r="B123" t="inlineStr">
        <is>
          <t>Kota Banda Aceh</t>
        </is>
      </c>
      <c r="C123" t="inlineStr">
        <is>
          <t>081262832074</t>
        </is>
      </c>
      <c r="D123" t="inlineStr">
        <is>
          <t>mutiarabeurata2023@gmail.com</t>
        </is>
      </c>
      <c r="E123" t="inlineStr">
        <is>
          <t>https://lpjk.pu.go.id/search-badan-usaha-detail/Y29wU1RnYkgyOFU2VGhiUnZOdkNWQT09</t>
        </is>
      </c>
      <c r="F123" t="n">
        <v>10</v>
      </c>
      <c r="G123" t="inlineStr">
        <is>
          <t>BG002, BG003, BG005, BG006, BG009</t>
        </is>
      </c>
      <c r="H123" t="inlineStr">
        <is>
          <t>4 Januari 2023</t>
        </is>
      </c>
      <c r="I123" s="2" t="n">
        <v>46247</v>
      </c>
      <c r="J123" t="inlineStr">
        <is>
          <t>Pencabutan</t>
        </is>
      </c>
      <c r="K123" t="n">
        <v>30</v>
      </c>
      <c r="L123" t="inlineStr">
        <is>
          <t>13 Agustus 2026</t>
        </is>
      </c>
      <c r="M123" t="inlineStr">
        <is>
          <t>Konstruksi Gedung Industri, Konstruksi Gedung Kesehatan, Konstruksi Gedung Lainnya, Konstruksi Gedung Pendidikan, Konstruksi Gedung Perkantoran</t>
        </is>
      </c>
      <c r="N123" t="inlineStr">
        <is>
          <t>K</t>
        </is>
      </c>
      <c r="O123" t="inlineStr">
        <is>
          <t>20230813</t>
        </is>
      </c>
      <c r="P123" t="inlineStr">
        <is>
          <t>Aceh</t>
        </is>
      </c>
      <c r="Q123" t="inlineStr"/>
    </row>
    <row r="124">
      <c r="A124" t="inlineStr">
        <is>
          <t>NABILA</t>
        </is>
      </c>
      <c r="B124" t="inlineStr">
        <is>
          <t>Kota Surabaya</t>
        </is>
      </c>
      <c r="C124" t="inlineStr">
        <is>
          <t>081333337059</t>
        </is>
      </c>
      <c r="D124" t="inlineStr">
        <is>
          <t>h_adisaputro@yahoo.co.id</t>
        </is>
      </c>
      <c r="E124" t="inlineStr">
        <is>
          <t>https://lpjk.pu.go.id/search-badan-usaha-detail/OEJPYmRFUXVvRjlIbGVSbE5wZVc2QT09</t>
        </is>
      </c>
      <c r="F124" t="n">
        <v>4</v>
      </c>
      <c r="G124" t="inlineStr">
        <is>
          <t>BG009, BS004</t>
        </is>
      </c>
      <c r="H124" t="inlineStr">
        <is>
          <t>20 Februari 2013</t>
        </is>
      </c>
      <c r="I124" s="2" t="n">
        <v>46247</v>
      </c>
      <c r="J124" t="inlineStr">
        <is>
          <t>Disetujui</t>
        </is>
      </c>
      <c r="K124" t="n">
        <v>30</v>
      </c>
      <c r="L124" t="inlineStr">
        <is>
          <t>13 Agustus 2026</t>
        </is>
      </c>
      <c r="M124" t="inlineStr">
        <is>
          <t>Konstruksi Gedung Lainnya, Konstruksi Jaringan Irigasi dan Drainase</t>
        </is>
      </c>
      <c r="N124" t="inlineStr">
        <is>
          <t>K</t>
        </is>
      </c>
      <c r="O124" t="inlineStr">
        <is>
          <t>20230814</t>
        </is>
      </c>
      <c r="P124" t="inlineStr">
        <is>
          <t>Jawa Timur</t>
        </is>
      </c>
      <c r="Q124" t="inlineStr"/>
    </row>
    <row r="125">
      <c r="A125" t="inlineStr">
        <is>
          <t>NANDA MEUTIA</t>
        </is>
      </c>
      <c r="B125" t="inlineStr">
        <is>
          <t>Kota Banda Aceh</t>
        </is>
      </c>
      <c r="C125" t="inlineStr">
        <is>
          <t>081377289101</t>
        </is>
      </c>
      <c r="D125" t="inlineStr">
        <is>
          <t>salfanmeulaboh@gmail.com</t>
        </is>
      </c>
      <c r="E125" t="inlineStr">
        <is>
          <t>https://lpjk.pu.go.id/search-badan-usaha-detail/RitFSG1vbUwyZjZFcEpUTWppeTRPZz09</t>
        </is>
      </c>
      <c r="F125" t="n">
        <v>1</v>
      </c>
      <c r="G125" t="inlineStr">
        <is>
          <t>BG006</t>
        </is>
      </c>
      <c r="H125" t="inlineStr">
        <is>
          <t>6 Februari 2012</t>
        </is>
      </c>
      <c r="I125" s="2" t="n">
        <v>46247</v>
      </c>
      <c r="J125" t="inlineStr">
        <is>
          <t>Disetujui</t>
        </is>
      </c>
      <c r="K125" t="n">
        <v>30</v>
      </c>
      <c r="L125" t="inlineStr">
        <is>
          <t>13 Agustus 2026</t>
        </is>
      </c>
      <c r="M125" t="inlineStr">
        <is>
          <t>Konstruksi Gedung Pendidikan</t>
        </is>
      </c>
      <c r="N125" t="inlineStr">
        <is>
          <t>K</t>
        </is>
      </c>
      <c r="O125" t="inlineStr">
        <is>
          <t>20230804</t>
        </is>
      </c>
      <c r="P125" t="inlineStr">
        <is>
          <t>Aceh</t>
        </is>
      </c>
      <c r="Q125" t="inlineStr"/>
    </row>
    <row r="126">
      <c r="A126" t="inlineStr">
        <is>
          <t>NURUL MAIMUNAH</t>
        </is>
      </c>
      <c r="B126" t="inlineStr">
        <is>
          <t>Kab. Wajo</t>
        </is>
      </c>
      <c r="C126" t="inlineStr">
        <is>
          <t>08114167555</t>
        </is>
      </c>
      <c r="D126" t="inlineStr">
        <is>
          <t>nurul.maimunah99@gmail.com</t>
        </is>
      </c>
      <c r="E126" t="inlineStr">
        <is>
          <t>https://lpjk.pu.go.id/search-badan-usaha-detail/b2MyaWRoMVE2ejZZS3EycjN5VTJZdz09</t>
        </is>
      </c>
      <c r="F126" t="n">
        <v>1</v>
      </c>
      <c r="G126" t="inlineStr">
        <is>
          <t>BG002</t>
        </is>
      </c>
      <c r="H126" t="inlineStr">
        <is>
          <t>25 Februari 2016</t>
        </is>
      </c>
      <c r="I126" s="2" t="n">
        <v>46247</v>
      </c>
      <c r="J126" t="inlineStr">
        <is>
          <t>Disetujui</t>
        </is>
      </c>
      <c r="K126" t="n">
        <v>30</v>
      </c>
      <c r="L126" t="inlineStr">
        <is>
          <t>13 Agustus 2026</t>
        </is>
      </c>
      <c r="M126" t="inlineStr">
        <is>
          <t>Konstruksi Gedung Perkantoran</t>
        </is>
      </c>
      <c r="N126" t="inlineStr">
        <is>
          <t>K</t>
        </is>
      </c>
      <c r="O126" t="inlineStr">
        <is>
          <t>20230810</t>
        </is>
      </c>
      <c r="P126" t="inlineStr">
        <is>
          <t>Sulawesi Selatan</t>
        </is>
      </c>
      <c r="Q126" t="inlineStr"/>
    </row>
    <row r="127">
      <c r="A127" t="inlineStr">
        <is>
          <t>PADATINDO</t>
        </is>
      </c>
      <c r="B127" t="inlineStr">
        <is>
          <t>Kab. Muna</t>
        </is>
      </c>
      <c r="C127" t="inlineStr">
        <is>
          <t>081341633259</t>
        </is>
      </c>
      <c r="D127" t="inlineStr">
        <is>
          <t>yopimarampa03@gmail.com</t>
        </is>
      </c>
      <c r="E127" t="inlineStr">
        <is>
          <t>https://lpjk.pu.go.id/search-badan-usaha-detail/NXRTMVl3cSs1enA4S1NGRnd6NDhWUT09</t>
        </is>
      </c>
      <c r="F127" t="n">
        <v>3</v>
      </c>
      <c r="G127" t="inlineStr">
        <is>
          <t>BG002, BG005, BG006</t>
        </is>
      </c>
      <c r="H127" t="inlineStr">
        <is>
          <t>18 September 2000</t>
        </is>
      </c>
      <c r="I127" s="2" t="n">
        <v>46247</v>
      </c>
      <c r="J127" t="inlineStr">
        <is>
          <t>Disetujui</t>
        </is>
      </c>
      <c r="K127" t="n">
        <v>30</v>
      </c>
      <c r="L127" t="inlineStr">
        <is>
          <t>13 Agustus 2026</t>
        </is>
      </c>
      <c r="M127" t="inlineStr">
        <is>
          <t>Konstruksi Gedung Kesehatan, Konstruksi Gedung Pendidikan, Konstruksi Gedung Perkantoran</t>
        </is>
      </c>
      <c r="N127" t="inlineStr">
        <is>
          <t>K</t>
        </is>
      </c>
      <c r="O127" t="inlineStr">
        <is>
          <t>20230806, 20230808</t>
        </is>
      </c>
      <c r="P127" t="inlineStr">
        <is>
          <t>Sulawesi Tenggara</t>
        </is>
      </c>
      <c r="Q127" t="inlineStr"/>
    </row>
    <row r="128">
      <c r="A128" t="inlineStr">
        <is>
          <t>PERKASA ADIGUNA SEMBADA</t>
        </is>
      </c>
      <c r="B128" t="inlineStr">
        <is>
          <t>Kota Adm. Jakarta Utara</t>
        </is>
      </c>
      <c r="C128" t="inlineStr">
        <is>
          <t>0214509247</t>
        </is>
      </c>
      <c r="D128" t="inlineStr">
        <is>
          <t>ptperkasa@perkasa-adiguna.co.id</t>
        </is>
      </c>
      <c r="E128" t="inlineStr">
        <is>
          <t>https://lpjk.pu.go.id/search-badan-usaha-detail/dEVwZHJzSTZTVGR2YnpnbjlkWmovUT09</t>
        </is>
      </c>
      <c r="F128" t="n">
        <v>2</v>
      </c>
      <c r="G128" t="inlineStr">
        <is>
          <t>BS001, BS002</t>
        </is>
      </c>
      <c r="H128" t="inlineStr">
        <is>
          <t>28 Februari 1997</t>
        </is>
      </c>
      <c r="I128" s="2" t="n">
        <v>46247</v>
      </c>
      <c r="J128" t="inlineStr">
        <is>
          <t>Disetujui</t>
        </is>
      </c>
      <c r="K128" t="n">
        <v>30</v>
      </c>
      <c r="L128" t="inlineStr">
        <is>
          <t>13 Agustus 2026</t>
        </is>
      </c>
      <c r="M128" t="inlineStr">
        <is>
          <t>Bangunan Sipil Jembatan, Jalan Layang, Fly Over, dan Underpass, Konstruksi Bangunan Sipil Jalan</t>
        </is>
      </c>
      <c r="N128" t="inlineStr">
        <is>
          <t>B</t>
        </is>
      </c>
      <c r="O128" t="inlineStr">
        <is>
          <t>20230714, 20230720</t>
        </is>
      </c>
      <c r="P128" t="inlineStr">
        <is>
          <t>DKI Jakarta</t>
        </is>
      </c>
      <c r="Q128" t="inlineStr"/>
    </row>
    <row r="129">
      <c r="A129" t="inlineStr">
        <is>
          <t>PERWIRA KREASINDO</t>
        </is>
      </c>
      <c r="B129" t="inlineStr">
        <is>
          <t>Kab. Cirebon</t>
        </is>
      </c>
      <c r="C129" t="inlineStr">
        <is>
          <t>081394218651</t>
        </is>
      </c>
      <c r="D129" t="inlineStr">
        <is>
          <t>perwirakreasindo@gmail.com</t>
        </is>
      </c>
      <c r="E129" t="inlineStr">
        <is>
          <t>https://lpjk.pu.go.id/search-badan-usaha-detail/N0U5dlplSEI3bFQ5TmJSTWFYUTh0QT09</t>
        </is>
      </c>
      <c r="F129" t="n">
        <v>1</v>
      </c>
      <c r="G129" t="inlineStr">
        <is>
          <t>RK005</t>
        </is>
      </c>
      <c r="H129" t="inlineStr">
        <is>
          <t>9 Juni 2023</t>
        </is>
      </c>
      <c r="I129" s="2" t="n">
        <v>46247</v>
      </c>
      <c r="J129" t="inlineStr">
        <is>
          <t>Pencabutan</t>
        </is>
      </c>
      <c r="K129" t="n">
        <v>30</v>
      </c>
      <c r="L129" t="inlineStr">
        <is>
          <t>13 Agustus 2026</t>
        </is>
      </c>
      <c r="M129" t="inlineStr">
        <is>
          <t>Jasa Rekayasa Lainnya</t>
        </is>
      </c>
      <c r="N129" t="inlineStr">
        <is>
          <t>K</t>
        </is>
      </c>
      <c r="O129" t="inlineStr">
        <is>
          <t>20230803</t>
        </is>
      </c>
      <c r="P129" t="inlineStr">
        <is>
          <t>Jawa Barat</t>
        </is>
      </c>
      <c r="Q129" t="inlineStr"/>
    </row>
    <row r="130">
      <c r="A130" t="inlineStr">
        <is>
          <t>POWER PERDANA NUSANTARA</t>
        </is>
      </c>
      <c r="B130" t="inlineStr">
        <is>
          <t>Kota Adm. Jakarta Selatan</t>
        </is>
      </c>
      <c r="C130" t="inlineStr">
        <is>
          <t>02151576242</t>
        </is>
      </c>
      <c r="D130" t="inlineStr">
        <is>
          <t>pperdana@powerperdana.com</t>
        </is>
      </c>
      <c r="E130" t="inlineStr">
        <is>
          <t>https://lpjk.pu.go.id/search-badan-usaha-detail/QXJjUSswOW9IU1dBL0N5Mnd1amZOQT09</t>
        </is>
      </c>
      <c r="F130" t="n">
        <v>1</v>
      </c>
      <c r="G130" t="inlineStr">
        <is>
          <t>IN004</t>
        </is>
      </c>
      <c r="H130" t="inlineStr">
        <is>
          <t>10 Februari 2023</t>
        </is>
      </c>
      <c r="I130" s="2" t="n">
        <v>46247</v>
      </c>
      <c r="J130" t="inlineStr">
        <is>
          <t>Disetujui</t>
        </is>
      </c>
      <c r="K130" t="n">
        <v>30</v>
      </c>
      <c r="L130" t="inlineStr">
        <is>
          <t>13 Agustus 2026</t>
        </is>
      </c>
      <c r="M130" t="inlineStr">
        <is>
          <t>Instalasi Minyak dan Gas</t>
        </is>
      </c>
      <c r="N130" t="inlineStr">
        <is>
          <t>Spesialis</t>
        </is>
      </c>
      <c r="O130" t="inlineStr">
        <is>
          <t>20230724</t>
        </is>
      </c>
      <c r="P130" t="inlineStr">
        <is>
          <t>DKI Jakarta</t>
        </is>
      </c>
      <c r="Q130" t="inlineStr"/>
    </row>
    <row r="131">
      <c r="A131" t="inlineStr">
        <is>
          <t>PRABU JAYA RIKSA</t>
        </is>
      </c>
      <c r="B131" t="inlineStr">
        <is>
          <t>Kab. Bandung</t>
        </is>
      </c>
      <c r="C131" t="inlineStr">
        <is>
          <t>082229991990</t>
        </is>
      </c>
      <c r="D131" t="inlineStr">
        <is>
          <t>prabujayariksa@gmail.com</t>
        </is>
      </c>
      <c r="E131" t="inlineStr">
        <is>
          <t>https://lpjk.pu.go.id/search-badan-usaha-detail/blBOTWx6QkpqSmltOFdBcFV4TmxnUT09</t>
        </is>
      </c>
      <c r="F131" t="n">
        <v>1</v>
      </c>
      <c r="G131" t="inlineStr">
        <is>
          <t>BS002</t>
        </is>
      </c>
      <c r="H131" t="inlineStr">
        <is>
          <t>18 Januari 2018</t>
        </is>
      </c>
      <c r="I131" s="2" t="n">
        <v>46247</v>
      </c>
      <c r="J131" t="inlineStr">
        <is>
          <t>Disetujui</t>
        </is>
      </c>
      <c r="K131" t="n">
        <v>30</v>
      </c>
      <c r="L131" t="inlineStr">
        <is>
          <t>13 Agustus 2026</t>
        </is>
      </c>
      <c r="M131" t="inlineStr">
        <is>
          <t>Bangunan Sipil Jembatan, Jalan Layang, Fly Over, dan Underpass</t>
        </is>
      </c>
      <c r="N131" t="inlineStr">
        <is>
          <t>K</t>
        </is>
      </c>
      <c r="O131" t="inlineStr">
        <is>
          <t>20230807</t>
        </is>
      </c>
      <c r="P131" t="inlineStr">
        <is>
          <t>Jawa Barat</t>
        </is>
      </c>
      <c r="Q131" t="inlineStr"/>
    </row>
    <row r="132">
      <c r="A132" t="inlineStr">
        <is>
          <t>PRIMA ACEH ENGINEERING CONSULTANT</t>
        </is>
      </c>
      <c r="B132" t="inlineStr">
        <is>
          <t>Kota Banda Aceh</t>
        </is>
      </c>
      <c r="C132" t="inlineStr">
        <is>
          <t>08126904815</t>
        </is>
      </c>
      <c r="D132" t="inlineStr">
        <is>
          <t>primaacehengineeringconsultant@gmail.com</t>
        </is>
      </c>
      <c r="E132" t="inlineStr">
        <is>
          <t>https://lpjk.pu.go.id/search-badan-usaha-detail/bVJQeGJhc3Y4Wm5qTE43OFdyV1A3Zz09</t>
        </is>
      </c>
      <c r="F132" t="n">
        <v>4</v>
      </c>
      <c r="G132" t="inlineStr">
        <is>
          <t>RK001, RK002, RK003, RK005</t>
        </is>
      </c>
      <c r="H132" t="inlineStr">
        <is>
          <t>1 Agustus 2001</t>
        </is>
      </c>
      <c r="I132" s="2" t="n">
        <v>46247</v>
      </c>
      <c r="J132" t="inlineStr">
        <is>
          <t>Disetujui</t>
        </is>
      </c>
      <c r="K132" t="n">
        <v>30</v>
      </c>
      <c r="L132" t="inlineStr">
        <is>
          <t>13 Agustus 2026</t>
        </is>
      </c>
      <c r="M132" t="inlineStr">
        <is>
          <t>Jasa Rekayasa Konstruksi Bangunan Gedung Hunian dan Non Hunian, Jasa Rekayasa Lainnya, Jasa Rekayasa Pekerjaan Teknik Sipil Sumber Daya Air, Jasa Rekayasa Pekerjaan Teknik Sipil Transportasi</t>
        </is>
      </c>
      <c r="N132" t="inlineStr">
        <is>
          <t>K</t>
        </is>
      </c>
      <c r="O132" t="inlineStr">
        <is>
          <t>20230804</t>
        </is>
      </c>
      <c r="P132" t="inlineStr">
        <is>
          <t>Aceh</t>
        </is>
      </c>
      <c r="Q132" t="inlineStr"/>
    </row>
    <row r="133">
      <c r="A133" t="inlineStr">
        <is>
          <t>PRIMA NUSA BERDAYA</t>
        </is>
      </c>
      <c r="B133" t="inlineStr">
        <is>
          <t>Kab. Tuban</t>
        </is>
      </c>
      <c r="C133" t="inlineStr">
        <is>
          <t>08125900720</t>
        </is>
      </c>
      <c r="D133" t="inlineStr">
        <is>
          <t>primanusaberdaya@gmail.com</t>
        </is>
      </c>
      <c r="E133" t="inlineStr">
        <is>
          <t>https://lpjk.pu.go.id/search-badan-usaha-detail/L1pNek04ZHBFaEV5NU1VMzBBa3J1Zz09</t>
        </is>
      </c>
      <c r="F133" t="n">
        <v>3</v>
      </c>
      <c r="G133" t="inlineStr">
        <is>
          <t>BG001, BG003, BG009</t>
        </is>
      </c>
      <c r="H133" t="inlineStr">
        <is>
          <t>6 April 2023</t>
        </is>
      </c>
      <c r="I133" s="2" t="n">
        <v>46247</v>
      </c>
      <c r="J133" t="inlineStr">
        <is>
          <t>Disetujui</t>
        </is>
      </c>
      <c r="K133" t="n">
        <v>30</v>
      </c>
      <c r="L133" t="inlineStr">
        <is>
          <t>13 Agustus 2026</t>
        </is>
      </c>
      <c r="M133" t="inlineStr">
        <is>
          <t>Konstruksi Gedung Hunian, Konstruksi Gedung Industri, Konstruksi Gedung Lainnya</t>
        </is>
      </c>
      <c r="N133" t="inlineStr">
        <is>
          <t>K</t>
        </is>
      </c>
      <c r="O133" t="inlineStr">
        <is>
          <t>20230809</t>
        </is>
      </c>
      <c r="P133" t="inlineStr">
        <is>
          <t>Jawa Timur</t>
        </is>
      </c>
      <c r="Q133" t="inlineStr"/>
    </row>
    <row r="134">
      <c r="A134" t="inlineStr">
        <is>
          <t>PUTRA BALI GUNA</t>
        </is>
      </c>
      <c r="B134" t="inlineStr">
        <is>
          <t>Kota Denpasar</t>
        </is>
      </c>
      <c r="C134" t="inlineStr">
        <is>
          <t>085337430079</t>
        </is>
      </c>
      <c r="D134" t="inlineStr">
        <is>
          <t>pbaliguna@gmail.com</t>
        </is>
      </c>
      <c r="E134" t="inlineStr">
        <is>
          <t>https://lpjk.pu.go.id/search-badan-usaha-detail/OHgyb0VWckl4aXF3emZVUzRiRUcwdz09</t>
        </is>
      </c>
      <c r="F134" t="n">
        <v>2</v>
      </c>
      <c r="G134" t="inlineStr">
        <is>
          <t>AR001, RK001</t>
        </is>
      </c>
      <c r="H134" t="inlineStr">
        <is>
          <t>6 Juni 2023</t>
        </is>
      </c>
      <c r="I134" s="2" t="n">
        <v>46247</v>
      </c>
      <c r="J134" t="inlineStr">
        <is>
          <t>Disetujui</t>
        </is>
      </c>
      <c r="K134" t="n">
        <v>30</v>
      </c>
      <c r="L134" t="inlineStr">
        <is>
          <t>13 Agustus 2026</t>
        </is>
      </c>
      <c r="M134" t="inlineStr">
        <is>
          <t>Jasa Arsitektural Bangunan Gedung Hunian dan Non Hunian, Jasa Rekayasa Konstruksi Bangunan Gedung Hunian dan Non Hunian</t>
        </is>
      </c>
      <c r="N134" t="inlineStr">
        <is>
          <t>K</t>
        </is>
      </c>
      <c r="O134" t="inlineStr">
        <is>
          <t>20230724</t>
        </is>
      </c>
      <c r="P134" t="inlineStr">
        <is>
          <t>Bali</t>
        </is>
      </c>
      <c r="Q134" t="inlineStr"/>
    </row>
    <row r="135">
      <c r="A135" t="inlineStr">
        <is>
          <t>PUTRA CIRNOHU STAR</t>
        </is>
      </c>
      <c r="B135" t="inlineStr">
        <is>
          <t>Kab. Manokwari</t>
        </is>
      </c>
      <c r="C135" t="inlineStr">
        <is>
          <t>082190396740</t>
        </is>
      </c>
      <c r="D135" t="inlineStr">
        <is>
          <t>putracirnohustar@gmail.com</t>
        </is>
      </c>
      <c r="E135" t="inlineStr">
        <is>
          <t>https://lpjk.pu.go.id/search-badan-usaha-detail/Y3F5L1h6TCtrZlFwOWNGU0RjVk5Hdz09</t>
        </is>
      </c>
      <c r="F135" t="n">
        <v>1</v>
      </c>
      <c r="G135" t="inlineStr">
        <is>
          <t>BG005</t>
        </is>
      </c>
      <c r="H135" t="inlineStr">
        <is>
          <t>15 November 2019</t>
        </is>
      </c>
      <c r="I135" s="2" t="n">
        <v>46247</v>
      </c>
      <c r="J135" t="inlineStr">
        <is>
          <t>Pencabutan</t>
        </is>
      </c>
      <c r="K135" t="n">
        <v>30</v>
      </c>
      <c r="L135" t="inlineStr">
        <is>
          <t>13 Agustus 2026</t>
        </is>
      </c>
      <c r="M135" t="inlineStr">
        <is>
          <t>Konstruksi Gedung Kesehatan</t>
        </is>
      </c>
      <c r="N135" t="inlineStr">
        <is>
          <t>K</t>
        </is>
      </c>
      <c r="O135" t="inlineStr">
        <is>
          <t>20230809</t>
        </is>
      </c>
      <c r="P135" t="inlineStr">
        <is>
          <t>Papua Barat</t>
        </is>
      </c>
      <c r="Q135" t="inlineStr"/>
    </row>
    <row r="136">
      <c r="A136" t="inlineStr">
        <is>
          <t>PUTRA PETAPAHAN BERSAUDARA</t>
        </is>
      </c>
      <c r="B136" t="inlineStr">
        <is>
          <t>Kab. Kampar</t>
        </is>
      </c>
      <c r="C136" t="inlineStr">
        <is>
          <t>081276719234</t>
        </is>
      </c>
      <c r="D136" t="inlineStr">
        <is>
          <t>putrapetapahanbersaudara@gmail.com</t>
        </is>
      </c>
      <c r="E136" t="inlineStr">
        <is>
          <t>https://lpjk.pu.go.id/search-badan-usaha-detail/Z3JQRGhEMHM5SGVUNmRzTzE0WjJndz09</t>
        </is>
      </c>
      <c r="F136" t="n">
        <v>1</v>
      </c>
      <c r="G136" t="inlineStr">
        <is>
          <t>PL003</t>
        </is>
      </c>
      <c r="H136" t="inlineStr">
        <is>
          <t>30 Juni 2021</t>
        </is>
      </c>
      <c r="I136" s="2" t="n">
        <v>46247</v>
      </c>
      <c r="J136" t="inlineStr">
        <is>
          <t>Pembekuan</t>
        </is>
      </c>
      <c r="K136" t="n">
        <v>30</v>
      </c>
      <c r="L136" t="inlineStr">
        <is>
          <t>13 Agustus 2026</t>
        </is>
      </c>
      <c r="M136" t="inlineStr">
        <is>
          <t>Penyiapan Lahan Konstruksi</t>
        </is>
      </c>
      <c r="N136" t="inlineStr">
        <is>
          <t>Spesialis</t>
        </is>
      </c>
      <c r="O136" t="inlineStr">
        <is>
          <t>20230811</t>
        </is>
      </c>
      <c r="P136" t="inlineStr">
        <is>
          <t>Riau</t>
        </is>
      </c>
      <c r="Q136" t="inlineStr"/>
    </row>
    <row r="137">
      <c r="A137" t="inlineStr">
        <is>
          <t>PUTRA TUNGGAL</t>
        </is>
      </c>
      <c r="B137" t="inlineStr">
        <is>
          <t>Kab. Pasangkayu</t>
        </is>
      </c>
      <c r="C137" t="inlineStr">
        <is>
          <t>081243889733</t>
        </is>
      </c>
      <c r="D137" t="inlineStr">
        <is>
          <t>basirhasanuddin7@gmail.com</t>
        </is>
      </c>
      <c r="E137" t="inlineStr">
        <is>
          <t>https://lpjk.pu.go.id/search-badan-usaha-detail/TS9ycGE0bG9pT3lTdUFLOVR0dHBSUT09</t>
        </is>
      </c>
      <c r="F137" t="n">
        <v>2</v>
      </c>
      <c r="G137" t="inlineStr">
        <is>
          <t>BG009, BS004</t>
        </is>
      </c>
      <c r="H137" t="inlineStr">
        <is>
          <t>28 April 2006</t>
        </is>
      </c>
      <c r="I137" s="2" t="n">
        <v>46247</v>
      </c>
      <c r="J137" t="inlineStr">
        <is>
          <t>Disetujui</t>
        </is>
      </c>
      <c r="K137" t="n">
        <v>30</v>
      </c>
      <c r="L137" t="inlineStr">
        <is>
          <t>13 Agustus 2026</t>
        </is>
      </c>
      <c r="M137" t="inlineStr">
        <is>
          <t>Konstruksi Gedung Lainnya, Konstruksi Jaringan Irigasi dan Drainase</t>
        </is>
      </c>
      <c r="N137" t="inlineStr">
        <is>
          <t>K</t>
        </is>
      </c>
      <c r="O137" t="inlineStr">
        <is>
          <t>20230811</t>
        </is>
      </c>
      <c r="P137" t="inlineStr">
        <is>
          <t>Sulawesi Barat</t>
        </is>
      </c>
      <c r="Q137" t="inlineStr"/>
    </row>
    <row r="138">
      <c r="A138" t="inlineStr">
        <is>
          <t>RAHMAN RAYA</t>
        </is>
      </c>
      <c r="B138" t="inlineStr">
        <is>
          <t>Kab. Lombok Timur</t>
        </is>
      </c>
      <c r="C138" t="inlineStr">
        <is>
          <t>081239390098</t>
        </is>
      </c>
      <c r="D138" t="inlineStr">
        <is>
          <t>cvrahmanraya@gmail.com</t>
        </is>
      </c>
      <c r="E138" t="inlineStr">
        <is>
          <t>https://lpjk.pu.go.id/search-badan-usaha-detail/cUJCRFlVcUtZSm4yNkxkbkxaYThPZz09</t>
        </is>
      </c>
      <c r="F138" t="n">
        <v>2</v>
      </c>
      <c r="G138" t="inlineStr">
        <is>
          <t>BG006</t>
        </is>
      </c>
      <c r="H138" t="inlineStr">
        <is>
          <t>28 Juli 2023</t>
        </is>
      </c>
      <c r="I138" s="2" t="n">
        <v>46247</v>
      </c>
      <c r="J138" t="inlineStr">
        <is>
          <t>Pencabutan</t>
        </is>
      </c>
      <c r="K138" t="n">
        <v>30</v>
      </c>
      <c r="L138" t="inlineStr">
        <is>
          <t>13 Agustus 2026</t>
        </is>
      </c>
      <c r="M138" t="inlineStr">
        <is>
          <t>Konstruksi Gedung Pendidikan</t>
        </is>
      </c>
      <c r="N138" t="inlineStr">
        <is>
          <t>K</t>
        </is>
      </c>
      <c r="O138" t="inlineStr">
        <is>
          <t>20230811</t>
        </is>
      </c>
      <c r="P138" t="inlineStr">
        <is>
          <t>Nusa Tenggara Barat</t>
        </is>
      </c>
      <c r="Q138" t="inlineStr"/>
    </row>
    <row r="139">
      <c r="A139" t="inlineStr">
        <is>
          <t>RAKYAT JELATA PINGGIRAN PRODUCTION</t>
        </is>
      </c>
      <c r="B139" t="inlineStr">
        <is>
          <t>Kab. Cirebon</t>
        </is>
      </c>
      <c r="C139" t="inlineStr">
        <is>
          <t>089509009600</t>
        </is>
      </c>
      <c r="D139" t="inlineStr">
        <is>
          <t>rlpproduction21@gmail.com</t>
        </is>
      </c>
      <c r="E139" t="inlineStr">
        <is>
          <t>https://lpjk.pu.go.id/search-badan-usaha-detail/dzlnSnF5RTlSc0lOUmREVWdnYjBuZz09</t>
        </is>
      </c>
      <c r="F139" t="n">
        <v>1</v>
      </c>
      <c r="G139" t="inlineStr">
        <is>
          <t>BS001</t>
        </is>
      </c>
      <c r="H139" t="inlineStr">
        <is>
          <t>9 Januari 2023</t>
        </is>
      </c>
      <c r="I139" s="2" t="n">
        <v>46247</v>
      </c>
      <c r="J139" t="inlineStr">
        <is>
          <t>Disetujui</t>
        </is>
      </c>
      <c r="K139" t="n">
        <v>30</v>
      </c>
      <c r="L139" t="inlineStr">
        <is>
          <t>13 Agustus 2026</t>
        </is>
      </c>
      <c r="M139" t="inlineStr">
        <is>
          <t>Konstruksi Bangunan Sipil Jalan</t>
        </is>
      </c>
      <c r="N139" t="inlineStr">
        <is>
          <t>K</t>
        </is>
      </c>
      <c r="O139" t="inlineStr">
        <is>
          <t>20230808</t>
        </is>
      </c>
      <c r="P139" t="inlineStr">
        <is>
          <t>Jawa Barat</t>
        </is>
      </c>
      <c r="Q139" t="inlineStr"/>
    </row>
    <row r="140">
      <c r="A140" t="inlineStr">
        <is>
          <t>REVA KAYLA PUTRI</t>
        </is>
      </c>
      <c r="B140" t="inlineStr">
        <is>
          <t>Kota Pontianak</t>
        </is>
      </c>
      <c r="C140" t="inlineStr">
        <is>
          <t>081258933339</t>
        </is>
      </c>
      <c r="D140" t="inlineStr">
        <is>
          <t>revakaylaputri01@Gmail.com</t>
        </is>
      </c>
      <c r="E140" t="inlineStr">
        <is>
          <t>https://lpjk.pu.go.id/search-badan-usaha-detail/djROZ0dGMGY0Tjk0S1JpVU9RRmxydz09</t>
        </is>
      </c>
      <c r="F140" t="n">
        <v>2</v>
      </c>
      <c r="G140" t="inlineStr">
        <is>
          <t>BG006, BS011</t>
        </is>
      </c>
      <c r="H140" t="inlineStr">
        <is>
          <t>1 Juli 2009</t>
        </is>
      </c>
      <c r="I140" s="2" t="n">
        <v>46247</v>
      </c>
      <c r="J140" t="inlineStr">
        <is>
          <t>Disetujui</t>
        </is>
      </c>
      <c r="K140" t="n">
        <v>30</v>
      </c>
      <c r="L140" t="inlineStr">
        <is>
          <t>13 Agustus 2026</t>
        </is>
      </c>
      <c r="M140" t="inlineStr">
        <is>
          <t>Konstruksi Bangunan Pelabuhan Bukan Perikanan, Konstruksi Gedung Pendidikan</t>
        </is>
      </c>
      <c r="N140" t="inlineStr">
        <is>
          <t>K</t>
        </is>
      </c>
      <c r="O140" t="inlineStr">
        <is>
          <t>20230811, 20230814</t>
        </is>
      </c>
      <c r="P140" t="inlineStr">
        <is>
          <t>Kalimantan Barat</t>
        </is>
      </c>
      <c r="Q140" t="inlineStr"/>
    </row>
    <row r="141">
      <c r="A141" t="inlineStr">
        <is>
          <t>RINDANG UTAMA</t>
        </is>
      </c>
      <c r="B141" t="inlineStr">
        <is>
          <t>Kota Bandung</t>
        </is>
      </c>
      <c r="C141" t="inlineStr">
        <is>
          <t>081910201751</t>
        </is>
      </c>
      <c r="D141" t="inlineStr">
        <is>
          <t>rindangutama@yahoo.com</t>
        </is>
      </c>
      <c r="E141" t="inlineStr">
        <is>
          <t>https://lpjk.pu.go.id/search-badan-usaha-detail/SlRmTDhISWNWTVptd2ltWGh3WWdXUT09</t>
        </is>
      </c>
      <c r="F141" t="n">
        <v>1</v>
      </c>
      <c r="G141" t="inlineStr">
        <is>
          <t>BG006</t>
        </is>
      </c>
      <c r="H141" t="inlineStr">
        <is>
          <t>19 Oktober 1990</t>
        </is>
      </c>
      <c r="I141" s="2" t="n">
        <v>46247</v>
      </c>
      <c r="J141" t="inlineStr">
        <is>
          <t>Disetujui</t>
        </is>
      </c>
      <c r="K141" t="n">
        <v>30</v>
      </c>
      <c r="L141" t="inlineStr">
        <is>
          <t>13 Agustus 2026</t>
        </is>
      </c>
      <c r="M141" t="inlineStr">
        <is>
          <t>Konstruksi Gedung Pendidikan</t>
        </is>
      </c>
      <c r="N141" t="inlineStr">
        <is>
          <t>K</t>
        </is>
      </c>
      <c r="O141" t="inlineStr">
        <is>
          <t>20230808</t>
        </is>
      </c>
      <c r="P141" t="inlineStr">
        <is>
          <t>Jawa Barat</t>
        </is>
      </c>
      <c r="Q141" t="inlineStr"/>
    </row>
    <row r="142">
      <c r="A142" t="inlineStr">
        <is>
          <t>RISWANA SATU DARAH</t>
        </is>
      </c>
      <c r="B142" t="inlineStr">
        <is>
          <t>Kab. Bandung</t>
        </is>
      </c>
      <c r="C142" t="inlineStr">
        <is>
          <t>081222841451</t>
        </is>
      </c>
      <c r="D142" t="inlineStr">
        <is>
          <t>riswana.satu.darah@gmail.com</t>
        </is>
      </c>
      <c r="E142" t="inlineStr">
        <is>
          <t>https://lpjk.pu.go.id/search-badan-usaha-detail/Z0Z2U3lZdzBPS3RjL041a2tINStNQT09</t>
        </is>
      </c>
      <c r="F142" t="n">
        <v>2</v>
      </c>
      <c r="G142" t="inlineStr">
        <is>
          <t>BG004</t>
        </is>
      </c>
      <c r="H142" t="inlineStr">
        <is>
          <t>1 Agustus 2022</t>
        </is>
      </c>
      <c r="I142" s="2" t="n">
        <v>46247</v>
      </c>
      <c r="J142" t="inlineStr">
        <is>
          <t>Disetujui</t>
        </is>
      </c>
      <c r="K142" t="n">
        <v>30</v>
      </c>
      <c r="L142" t="inlineStr">
        <is>
          <t>13 Agustus 2026</t>
        </is>
      </c>
      <c r="M142" t="inlineStr">
        <is>
          <t>Konstruksi Gedung Perbelanjaan</t>
        </is>
      </c>
      <c r="N142" t="inlineStr">
        <is>
          <t>K</t>
        </is>
      </c>
      <c r="O142" t="inlineStr">
        <is>
          <t>20230811</t>
        </is>
      </c>
      <c r="P142" t="inlineStr">
        <is>
          <t>Jawa Barat</t>
        </is>
      </c>
      <c r="Q142" t="inlineStr"/>
    </row>
    <row r="143">
      <c r="A143" t="inlineStr">
        <is>
          <t>RIYADH</t>
        </is>
      </c>
      <c r="B143" t="inlineStr">
        <is>
          <t>Kab. Hulu Sungai Tengah</t>
        </is>
      </c>
      <c r="C143" t="inlineStr">
        <is>
          <t>081254344567</t>
        </is>
      </c>
      <c r="D143" t="inlineStr">
        <is>
          <t>m.riyad04042012@gmail.com</t>
        </is>
      </c>
      <c r="E143" t="inlineStr">
        <is>
          <t>https://lpjk.pu.go.id/search-badan-usaha-detail/cytsWE83ekdzQmpJVTBMbElMekQ3dz09</t>
        </is>
      </c>
      <c r="F143" t="n">
        <v>3</v>
      </c>
      <c r="G143" t="inlineStr">
        <is>
          <t>BG002, BG005, BG006</t>
        </is>
      </c>
      <c r="H143" t="inlineStr">
        <is>
          <t>14 Maret 2016</t>
        </is>
      </c>
      <c r="I143" s="2" t="n">
        <v>46247</v>
      </c>
      <c r="J143" t="inlineStr">
        <is>
          <t>Disetujui</t>
        </is>
      </c>
      <c r="K143" t="n">
        <v>30</v>
      </c>
      <c r="L143" t="inlineStr">
        <is>
          <t>13 Agustus 2026</t>
        </is>
      </c>
      <c r="M143" t="inlineStr">
        <is>
          <t>Konstruksi Gedung Kesehatan, Konstruksi Gedung Pendidikan, Konstruksi Gedung Perkantoran</t>
        </is>
      </c>
      <c r="N143" t="inlineStr">
        <is>
          <t>K</t>
        </is>
      </c>
      <c r="O143" t="inlineStr">
        <is>
          <t>20230809, 20230810</t>
        </is>
      </c>
      <c r="P143" t="inlineStr">
        <is>
          <t>Kalimantan Selatan</t>
        </is>
      </c>
      <c r="Q143" t="inlineStr"/>
    </row>
    <row r="144">
      <c r="A144" t="inlineStr">
        <is>
          <t>SABATARA</t>
        </is>
      </c>
      <c r="B144" t="inlineStr">
        <is>
          <t>Kab. Kaimana</t>
        </is>
      </c>
      <c r="C144" t="inlineStr">
        <is>
          <t>082328984377</t>
        </is>
      </c>
      <c r="D144" t="inlineStr">
        <is>
          <t>cvsabatara3@gmail.com</t>
        </is>
      </c>
      <c r="E144" t="inlineStr">
        <is>
          <t>https://lpjk.pu.go.id/search-badan-usaha-detail/Q0s3KzMyOGZmQUd6djdPOXc1dVYvQT09</t>
        </is>
      </c>
      <c r="F144" t="n">
        <v>2</v>
      </c>
      <c r="G144" t="inlineStr">
        <is>
          <t>BG009</t>
        </is>
      </c>
      <c r="H144" t="inlineStr">
        <is>
          <t>20 April 2021</t>
        </is>
      </c>
      <c r="I144" s="2" t="n">
        <v>46247</v>
      </c>
      <c r="J144" t="inlineStr">
        <is>
          <t>Pencabutan</t>
        </is>
      </c>
      <c r="K144" t="n">
        <v>30</v>
      </c>
      <c r="L144" t="inlineStr">
        <is>
          <t>13 Agustus 2026</t>
        </is>
      </c>
      <c r="M144" t="inlineStr">
        <is>
          <t>Konstruksi Gedung Lainnya</t>
        </is>
      </c>
      <c r="N144" t="inlineStr">
        <is>
          <t>K</t>
        </is>
      </c>
      <c r="O144" t="inlineStr">
        <is>
          <t>20230814</t>
        </is>
      </c>
      <c r="P144" t="inlineStr">
        <is>
          <t>Papua Barat</t>
        </is>
      </c>
      <c r="Q144" t="inlineStr"/>
    </row>
    <row r="145">
      <c r="A145" t="inlineStr">
        <is>
          <t>SABRINA ALMAHYRA</t>
        </is>
      </c>
      <c r="B145" t="inlineStr">
        <is>
          <t>Kab. Bengkalis</t>
        </is>
      </c>
      <c r="C145" t="inlineStr">
        <is>
          <t>082150708060</t>
        </is>
      </c>
      <c r="D145" t="inlineStr">
        <is>
          <t>s.almahyra23@yahoo.com</t>
        </is>
      </c>
      <c r="E145" t="inlineStr">
        <is>
          <t>https://lpjk.pu.go.id/search-badan-usaha-detail/QjlTNkxKMGR5MTdDdkhCUDhlbEt0UT09</t>
        </is>
      </c>
      <c r="F145" t="n">
        <v>1</v>
      </c>
      <c r="G145" t="inlineStr">
        <is>
          <t>BS001</t>
        </is>
      </c>
      <c r="H145" t="inlineStr">
        <is>
          <t>12 Januari 2023</t>
        </is>
      </c>
      <c r="I145" s="2" t="n">
        <v>46247</v>
      </c>
      <c r="J145" t="inlineStr">
        <is>
          <t>Disetujui</t>
        </is>
      </c>
      <c r="K145" t="n">
        <v>30</v>
      </c>
      <c r="L145" t="inlineStr">
        <is>
          <t>13 Agustus 2026</t>
        </is>
      </c>
      <c r="M145" t="inlineStr">
        <is>
          <t>Konstruksi Bangunan Sipil Jalan</t>
        </is>
      </c>
      <c r="N145" t="inlineStr">
        <is>
          <t>K</t>
        </is>
      </c>
      <c r="O145" t="inlineStr">
        <is>
          <t>20230814</t>
        </is>
      </c>
      <c r="P145" t="inlineStr">
        <is>
          <t>Riau</t>
        </is>
      </c>
      <c r="Q145" t="inlineStr"/>
    </row>
    <row r="146">
      <c r="A146" t="inlineStr">
        <is>
          <t>SAMI MUJI ENGINEERING</t>
        </is>
      </c>
      <c r="B146" t="inlineStr">
        <is>
          <t>Kab. Probolinggo</t>
        </is>
      </c>
      <c r="C146" t="inlineStr">
        <is>
          <t>081332713394</t>
        </is>
      </c>
      <c r="D146" t="inlineStr">
        <is>
          <t>ptsamimuji2023@gmail.com</t>
        </is>
      </c>
      <c r="E146" t="inlineStr">
        <is>
          <t>https://lpjk.pu.go.id/search-badan-usaha-detail/WmI0WEhQcitWZ1hlaUg4TUxjcU9jQT09</t>
        </is>
      </c>
      <c r="F146" t="n">
        <v>1</v>
      </c>
      <c r="G146" t="inlineStr">
        <is>
          <t>BS001</t>
        </is>
      </c>
      <c r="H146" t="inlineStr">
        <is>
          <t>12 Maret 2021</t>
        </is>
      </c>
      <c r="I146" s="2" t="n">
        <v>46247</v>
      </c>
      <c r="J146" t="inlineStr">
        <is>
          <t>Pencabutan</t>
        </is>
      </c>
      <c r="K146" t="n">
        <v>30</v>
      </c>
      <c r="L146" t="inlineStr">
        <is>
          <t>13 Agustus 2026</t>
        </is>
      </c>
      <c r="M146" t="inlineStr">
        <is>
          <t>Konstruksi Bangunan Sipil Jalan</t>
        </is>
      </c>
      <c r="N146" t="inlineStr">
        <is>
          <t>K</t>
        </is>
      </c>
      <c r="O146" t="inlineStr">
        <is>
          <t>20230812</t>
        </is>
      </c>
      <c r="P146" t="inlineStr">
        <is>
          <t>Jawa Timur</t>
        </is>
      </c>
      <c r="Q146" t="inlineStr"/>
    </row>
    <row r="147">
      <c r="A147" t="inlineStr">
        <is>
          <t>SANGSAKA TALABANGI</t>
        </is>
      </c>
      <c r="B147" t="inlineStr">
        <is>
          <t>Kab. Kutai Timur</t>
        </is>
      </c>
      <c r="C147" t="inlineStr">
        <is>
          <t>082155507443</t>
        </is>
      </c>
      <c r="D147" t="inlineStr">
        <is>
          <t>sangsakatalabangi.cv@gmail.com</t>
        </is>
      </c>
      <c r="E147" t="inlineStr">
        <is>
          <t>https://lpjk.pu.go.id/search-badan-usaha-detail/NVVvekFXUytHbjhxaFZZeTc0YXZIUT09</t>
        </is>
      </c>
      <c r="F147" t="n">
        <v>4</v>
      </c>
      <c r="G147" t="inlineStr">
        <is>
          <t>BG006, BG009</t>
        </is>
      </c>
      <c r="H147" t="inlineStr">
        <is>
          <t>13 Januari 2009</t>
        </is>
      </c>
      <c r="I147" s="2" t="n">
        <v>46247</v>
      </c>
      <c r="J147" t="inlineStr">
        <is>
          <t>Disetujui</t>
        </is>
      </c>
      <c r="K147" t="n">
        <v>30</v>
      </c>
      <c r="L147" t="inlineStr">
        <is>
          <t>13 Agustus 2026</t>
        </is>
      </c>
      <c r="M147" t="inlineStr">
        <is>
          <t>Konstruksi Gedung Lainnya, Konstruksi Gedung Pendidikan</t>
        </is>
      </c>
      <c r="N147" t="inlineStr">
        <is>
          <t>K</t>
        </is>
      </c>
      <c r="O147" t="inlineStr">
        <is>
          <t>20230809</t>
        </is>
      </c>
      <c r="P147" t="inlineStr">
        <is>
          <t>Kalimantan Timur</t>
        </is>
      </c>
      <c r="Q147" t="inlineStr"/>
    </row>
    <row r="148">
      <c r="A148" t="inlineStr">
        <is>
          <t>SARI MADU LESTARI</t>
        </is>
      </c>
      <c r="B148" t="inlineStr">
        <is>
          <t>Kab. Pangandaran</t>
        </is>
      </c>
      <c r="C148" t="inlineStr">
        <is>
          <t>081222131999</t>
        </is>
      </c>
      <c r="D148" t="inlineStr">
        <is>
          <t>sarimadulestari@gmail.com</t>
        </is>
      </c>
      <c r="E148" t="inlineStr">
        <is>
          <t>https://lpjk.pu.go.id/search-badan-usaha-detail/cmdBZEphQlJGYVBDYWUyMGRHdXFmQT09</t>
        </is>
      </c>
      <c r="F148" t="n">
        <v>6</v>
      </c>
      <c r="G148" t="inlineStr">
        <is>
          <t>BG002, BG004, BG008, BG009, BS001, BS002</t>
        </is>
      </c>
      <c r="H148" t="inlineStr">
        <is>
          <t>22 Juni 2012</t>
        </is>
      </c>
      <c r="I148" s="2" t="n">
        <v>46247</v>
      </c>
      <c r="J148" t="inlineStr">
        <is>
          <t>Pencabutan</t>
        </is>
      </c>
      <c r="K148" t="n">
        <v>30</v>
      </c>
      <c r="L148" t="inlineStr">
        <is>
          <t>13 Agustus 2026</t>
        </is>
      </c>
      <c r="M148" t="inlineStr">
        <is>
          <t>Bangunan Sipil Jembatan, Jalan Layang, Fly Over, dan Underpass, Konstruksi Bangunan Sipil Jalan, Konstruksi Gedung Lainnya, Konstruksi Gedung Perbelanjaan, Konstruksi Gedung Perkantoran, Konstruksi Gedung Tempat Hiburan dan Olahraga</t>
        </is>
      </c>
      <c r="N148" t="inlineStr">
        <is>
          <t>K</t>
        </is>
      </c>
      <c r="O148" t="inlineStr">
        <is>
          <t>20230809, 20230811, 20230814</t>
        </is>
      </c>
      <c r="P148" t="inlineStr">
        <is>
          <t>Jawa Barat</t>
        </is>
      </c>
      <c r="Q148" t="inlineStr"/>
    </row>
    <row r="149">
      <c r="A149" t="inlineStr">
        <is>
          <t>SEJAHTERA ABADI</t>
        </is>
      </c>
      <c r="B149" t="inlineStr">
        <is>
          <t>Kota Banjarmasin</t>
        </is>
      </c>
      <c r="C149" t="inlineStr">
        <is>
          <t>085246764406</t>
        </is>
      </c>
      <c r="D149" t="inlineStr">
        <is>
          <t>sejahteraabadi85@gmail.com</t>
        </is>
      </c>
      <c r="E149" t="inlineStr">
        <is>
          <t>https://lpjk.pu.go.id/search-badan-usaha-detail/bjJOa24vTG5lQUdGVjk1eDBWOFBGdz09</t>
        </is>
      </c>
      <c r="F149" t="n">
        <v>2</v>
      </c>
      <c r="G149" t="inlineStr">
        <is>
          <t>BG006, BG009</t>
        </is>
      </c>
      <c r="H149" t="inlineStr">
        <is>
          <t>10 November 2016</t>
        </is>
      </c>
      <c r="I149" s="2" t="n">
        <v>46247</v>
      </c>
      <c r="J149" t="inlineStr">
        <is>
          <t>Disetujui</t>
        </is>
      </c>
      <c r="K149" t="n">
        <v>30</v>
      </c>
      <c r="L149" t="inlineStr">
        <is>
          <t>13 Agustus 2026</t>
        </is>
      </c>
      <c r="M149" t="inlineStr">
        <is>
          <t>Konstruksi Gedung Lainnya, Konstruksi Gedung Pendidikan</t>
        </is>
      </c>
      <c r="N149" t="inlineStr">
        <is>
          <t>K</t>
        </is>
      </c>
      <c r="O149" t="inlineStr">
        <is>
          <t>20230808</t>
        </is>
      </c>
      <c r="P149" t="inlineStr">
        <is>
          <t>Kalimantan Selatan</t>
        </is>
      </c>
      <c r="Q149" t="inlineStr"/>
    </row>
    <row r="150">
      <c r="A150" t="inlineStr">
        <is>
          <t>SEMBILAN KREASI INDONESIA</t>
        </is>
      </c>
      <c r="B150" t="inlineStr">
        <is>
          <t>Kota Adm. Jakarta Selatan</t>
        </is>
      </c>
      <c r="C150" t="inlineStr">
        <is>
          <t>02139506873</t>
        </is>
      </c>
      <c r="D150" t="inlineStr">
        <is>
          <t>finance@sembilankreasi.com</t>
        </is>
      </c>
      <c r="E150" t="inlineStr">
        <is>
          <t>https://lpjk.pu.go.id/search-badan-usaha-detail/OG1sY2JqVjdLaWlFaTluTHgrQXl5QT09</t>
        </is>
      </c>
      <c r="F150" t="n">
        <v>6</v>
      </c>
      <c r="G150" t="inlineStr">
        <is>
          <t>BG001, BG002, BG003, BG004, BG006, BG009</t>
        </is>
      </c>
      <c r="H150" t="inlineStr">
        <is>
          <t>2 Juni 2022</t>
        </is>
      </c>
      <c r="I150" s="2" t="n">
        <v>46247</v>
      </c>
      <c r="J150" t="inlineStr">
        <is>
          <t>Disetujui</t>
        </is>
      </c>
      <c r="K150" t="n">
        <v>30</v>
      </c>
      <c r="L150" t="inlineStr">
        <is>
          <t>13 Agustus 2026</t>
        </is>
      </c>
      <c r="M150" t="inlineStr">
        <is>
          <t>Konstruksi Gedung Hunian, Konstruksi Gedung Industri, Konstruksi Gedung Lainnya, Konstruksi Gedung Pendidikan, Konstruksi Gedung Perbelanjaan, Konstruksi Gedung Perkantoran</t>
        </is>
      </c>
      <c r="N150" t="inlineStr">
        <is>
          <t>K</t>
        </is>
      </c>
      <c r="O150" t="inlineStr">
        <is>
          <t>20230811, 20230814</t>
        </is>
      </c>
      <c r="P150" t="inlineStr">
        <is>
          <t>DKI Jakarta</t>
        </is>
      </c>
      <c r="Q150" t="inlineStr"/>
    </row>
    <row r="151">
      <c r="A151" t="inlineStr">
        <is>
          <t>SHEINA SUKSES SEJAHTERA</t>
        </is>
      </c>
      <c r="B151" t="inlineStr">
        <is>
          <t>Kab. Serang</t>
        </is>
      </c>
      <c r="C151" t="inlineStr">
        <is>
          <t>087774464926</t>
        </is>
      </c>
      <c r="D151" t="inlineStr">
        <is>
          <t>sheinasejahtera@gmail.com</t>
        </is>
      </c>
      <c r="E151" t="inlineStr">
        <is>
          <t>https://lpjk.pu.go.id/search-badan-usaha-detail/ZHN3TDQ5QkhoNkJPTjdoQTRzNDJJZz09</t>
        </is>
      </c>
      <c r="F151" t="n">
        <v>1</v>
      </c>
      <c r="G151" t="inlineStr">
        <is>
          <t>BS001</t>
        </is>
      </c>
      <c r="H151" t="inlineStr">
        <is>
          <t>1 Maret 2023</t>
        </is>
      </c>
      <c r="I151" s="2" t="n">
        <v>46247</v>
      </c>
      <c r="J151" t="inlineStr">
        <is>
          <t>Disetujui</t>
        </is>
      </c>
      <c r="K151" t="n">
        <v>30</v>
      </c>
      <c r="L151" t="inlineStr">
        <is>
          <t>13 Agustus 2026</t>
        </is>
      </c>
      <c r="M151" t="inlineStr">
        <is>
          <t>Konstruksi Bangunan Sipil Jalan</t>
        </is>
      </c>
      <c r="N151" t="inlineStr">
        <is>
          <t>K</t>
        </is>
      </c>
      <c r="O151" t="inlineStr">
        <is>
          <t>20230814</t>
        </is>
      </c>
      <c r="P151" t="inlineStr">
        <is>
          <t>Banten</t>
        </is>
      </c>
      <c r="Q151" t="inlineStr"/>
    </row>
    <row r="152">
      <c r="A152" t="inlineStr">
        <is>
          <t>SIGMA MITRA SEJATI</t>
        </is>
      </c>
      <c r="B152" t="inlineStr">
        <is>
          <t>Kota Cilegon</t>
        </is>
      </c>
      <c r="C152" t="inlineStr">
        <is>
          <t>0254383653</t>
        </is>
      </c>
      <c r="D152" t="inlineStr">
        <is>
          <t>sigmamitrasejati@yahoo.com</t>
        </is>
      </c>
      <c r="E152" t="inlineStr">
        <is>
          <t>https://lpjk.pu.go.id/search-badan-usaha-detail/U0s2Tk14M1JjZ3hyOFZLTWNaajZNZz09</t>
        </is>
      </c>
      <c r="F152" t="n">
        <v>1</v>
      </c>
      <c r="G152" t="inlineStr">
        <is>
          <t>IN006</t>
        </is>
      </c>
      <c r="H152" t="inlineStr">
        <is>
          <t>28 Agustus 1996</t>
        </is>
      </c>
      <c r="I152" s="2" t="n">
        <v>46247</v>
      </c>
      <c r="J152" t="inlineStr">
        <is>
          <t>Disetujui</t>
        </is>
      </c>
      <c r="K152" t="n">
        <v>30</v>
      </c>
      <c r="L152" t="inlineStr">
        <is>
          <t>13 Agustus 2026</t>
        </is>
      </c>
      <c r="M152" t="inlineStr">
        <is>
          <t>Instalasi Elektronika</t>
        </is>
      </c>
      <c r="N152" t="inlineStr">
        <is>
          <t>Spesialis</t>
        </is>
      </c>
      <c r="O152" t="inlineStr">
        <is>
          <t>20230810</t>
        </is>
      </c>
      <c r="P152" t="inlineStr">
        <is>
          <t>Banten</t>
        </is>
      </c>
      <c r="Q152" t="inlineStr"/>
    </row>
    <row r="153">
      <c r="A153" t="inlineStr">
        <is>
          <t>SINARBIRU ALAM TIMUR</t>
        </is>
      </c>
      <c r="B153" t="inlineStr">
        <is>
          <t>Kota Adm. Jakarta Selatan</t>
        </is>
      </c>
      <c r="C153" t="inlineStr">
        <is>
          <t>02121279075</t>
        </is>
      </c>
      <c r="D153" t="inlineStr">
        <is>
          <t>sinabirualamtimur05@gmail.com</t>
        </is>
      </c>
      <c r="E153" t="inlineStr">
        <is>
          <t>https://lpjk.pu.go.id/search-badan-usaha-detail/cEVGRTF4MExmSmE3aUowSHk1K1hXUT09</t>
        </is>
      </c>
      <c r="F153" t="n">
        <v>1</v>
      </c>
      <c r="G153" t="inlineStr">
        <is>
          <t>RK003</t>
        </is>
      </c>
      <c r="H153" t="inlineStr">
        <is>
          <t>6 Mei 2019</t>
        </is>
      </c>
      <c r="I153" s="2" t="n">
        <v>46247</v>
      </c>
      <c r="J153" t="inlineStr">
        <is>
          <t>Pencabutan</t>
        </is>
      </c>
      <c r="K153" t="n">
        <v>30</v>
      </c>
      <c r="L153" t="inlineStr">
        <is>
          <t>13 Agustus 2026</t>
        </is>
      </c>
      <c r="M153" t="inlineStr">
        <is>
          <t>Jasa Rekayasa Pekerjaan Teknik Sipil Transportasi</t>
        </is>
      </c>
      <c r="N153" t="inlineStr">
        <is>
          <t>K</t>
        </is>
      </c>
      <c r="O153" t="inlineStr">
        <is>
          <t>20230731</t>
        </is>
      </c>
      <c r="P153" t="inlineStr">
        <is>
          <t>DKI Jakarta</t>
        </is>
      </c>
      <c r="Q153" t="inlineStr"/>
    </row>
    <row r="154">
      <c r="A154" t="inlineStr">
        <is>
          <t>SINERGI JAGAT KONSTRUKSI</t>
        </is>
      </c>
      <c r="B154" t="inlineStr">
        <is>
          <t>Kota Adm. Jakarta Pusat</t>
        </is>
      </c>
      <c r="C154" t="inlineStr">
        <is>
          <t>08118955000</t>
        </is>
      </c>
      <c r="D154" t="inlineStr">
        <is>
          <t>sinergijagatkonstruksi@gmail.com</t>
        </is>
      </c>
      <c r="E154" t="inlineStr">
        <is>
          <t>https://lpjk.pu.go.id/search-badan-usaha-detail/YS8rdVZtdDhQcnMyTVJCdHdWVTQ3Zz09</t>
        </is>
      </c>
      <c r="F154" t="n">
        <v>1</v>
      </c>
      <c r="G154" t="inlineStr">
        <is>
          <t>BG006</t>
        </is>
      </c>
      <c r="H154" t="inlineStr">
        <is>
          <t>12 November 2022</t>
        </is>
      </c>
      <c r="I154" s="2" t="n">
        <v>46247</v>
      </c>
      <c r="J154" t="inlineStr">
        <is>
          <t>Disetujui</t>
        </is>
      </c>
      <c r="K154" t="n">
        <v>30</v>
      </c>
      <c r="L154" t="inlineStr">
        <is>
          <t>13 Agustus 2026</t>
        </is>
      </c>
      <c r="M154" t="inlineStr">
        <is>
          <t>Konstruksi Gedung Pendidikan</t>
        </is>
      </c>
      <c r="N154" t="inlineStr">
        <is>
          <t>K</t>
        </is>
      </c>
      <c r="O154" t="inlineStr">
        <is>
          <t>20230814</t>
        </is>
      </c>
      <c r="P154" t="inlineStr">
        <is>
          <t>DKI Jakarta</t>
        </is>
      </c>
      <c r="Q154" t="inlineStr"/>
    </row>
    <row r="155">
      <c r="A155" t="inlineStr">
        <is>
          <t>SINERGI PROPERTI PRATAMA</t>
        </is>
      </c>
      <c r="B155" t="inlineStr">
        <is>
          <t>Kota Adm. Jakarta Selatan</t>
        </is>
      </c>
      <c r="C155" t="inlineStr">
        <is>
          <t>02173910767</t>
        </is>
      </c>
      <c r="D155" t="inlineStr">
        <is>
          <t>sinergi.pp@gmail.com</t>
        </is>
      </c>
      <c r="E155" t="inlineStr">
        <is>
          <t>https://lpjk.pu.go.id/search-badan-usaha-detail/RzhsU085MEdINlFRY3BMMk5Iemc3QT09</t>
        </is>
      </c>
      <c r="F155" t="n">
        <v>1</v>
      </c>
      <c r="G155" t="inlineStr">
        <is>
          <t>BG002</t>
        </is>
      </c>
      <c r="H155" t="inlineStr">
        <is>
          <t>25 Maret 2015</t>
        </is>
      </c>
      <c r="I155" s="2" t="n">
        <v>46247</v>
      </c>
      <c r="J155" t="inlineStr">
        <is>
          <t>Pencabutan</t>
        </is>
      </c>
      <c r="K155" t="n">
        <v>30</v>
      </c>
      <c r="L155" t="inlineStr">
        <is>
          <t>13 Agustus 2026</t>
        </is>
      </c>
      <c r="M155" t="inlineStr">
        <is>
          <t>Konstruksi Gedung Perkantoran</t>
        </is>
      </c>
      <c r="N155" t="inlineStr">
        <is>
          <t>B</t>
        </is>
      </c>
      <c r="O155" t="inlineStr">
        <is>
          <t>20230809</t>
        </is>
      </c>
      <c r="P155" t="inlineStr">
        <is>
          <t>DKI Jakarta</t>
        </is>
      </c>
      <c r="Q155" t="inlineStr"/>
    </row>
    <row r="156">
      <c r="A156" t="inlineStr">
        <is>
          <t>SULBU ALMA KAHURIPAN KAMULYAN</t>
        </is>
      </c>
      <c r="B156" t="inlineStr">
        <is>
          <t>Kab. Bandung</t>
        </is>
      </c>
      <c r="C156" t="inlineStr">
        <is>
          <t>08111343780</t>
        </is>
      </c>
      <c r="D156" t="inlineStr">
        <is>
          <t>pt.sakk.bdg@gmail.com</t>
        </is>
      </c>
      <c r="E156" t="inlineStr">
        <is>
          <t>https://lpjk.pu.go.id/search-badan-usaha-detail/TitMSkx6T2w1OVhFRU9lYlNvcWx1Zz09</t>
        </is>
      </c>
      <c r="F156" t="n">
        <v>1</v>
      </c>
      <c r="G156" t="inlineStr">
        <is>
          <t>BG009</t>
        </is>
      </c>
      <c r="H156" t="inlineStr">
        <is>
          <t>2 Juni 2020</t>
        </is>
      </c>
      <c r="I156" s="2" t="n">
        <v>46247</v>
      </c>
      <c r="J156" t="inlineStr">
        <is>
          <t>Disetujui</t>
        </is>
      </c>
      <c r="K156" t="n">
        <v>30</v>
      </c>
      <c r="L156" t="inlineStr">
        <is>
          <t>13 Agustus 2026</t>
        </is>
      </c>
      <c r="M156" t="inlineStr">
        <is>
          <t>Konstruksi Gedung Lainnya</t>
        </is>
      </c>
      <c r="N156" t="inlineStr">
        <is>
          <t>K</t>
        </is>
      </c>
      <c r="O156" t="inlineStr">
        <is>
          <t>20230804</t>
        </is>
      </c>
      <c r="P156" t="inlineStr">
        <is>
          <t>Jawa Barat</t>
        </is>
      </c>
      <c r="Q156" t="inlineStr"/>
    </row>
    <row r="157">
      <c r="A157" t="inlineStr">
        <is>
          <t>SULTAN KUTA AWE</t>
        </is>
      </c>
      <c r="B157" t="inlineStr">
        <is>
          <t>Kota Langsa</t>
        </is>
      </c>
      <c r="C157" t="inlineStr">
        <is>
          <t>082276551357</t>
        </is>
      </c>
      <c r="D157" t="inlineStr">
        <is>
          <t>cv.sultankutaawe@gmail.com</t>
        </is>
      </c>
      <c r="E157" t="inlineStr">
        <is>
          <t>https://lpjk.pu.go.id/search-badan-usaha-detail/aWtZQ1BObWpGUmtla2pVblpRNE82dz09</t>
        </is>
      </c>
      <c r="F157" t="n">
        <v>6</v>
      </c>
      <c r="G157" t="inlineStr">
        <is>
          <t>BG001, BG003, BG006, BG009, BS001, BS002</t>
        </is>
      </c>
      <c r="H157" t="inlineStr">
        <is>
          <t>5 April 2017</t>
        </is>
      </c>
      <c r="I157" s="2" t="n">
        <v>46247</v>
      </c>
      <c r="J157" t="inlineStr">
        <is>
          <t>Disetujui</t>
        </is>
      </c>
      <c r="K157" t="n">
        <v>30</v>
      </c>
      <c r="L157" t="inlineStr">
        <is>
          <t>13 Agustus 2026</t>
        </is>
      </c>
      <c r="M157" t="inlineStr">
        <is>
          <t>Bangunan Sipil Jembatan, Jalan Layang, Fly Over, dan Underpass, Konstruksi Bangunan Sipil Jalan, Konstruksi Gedung Hunian, Konstruksi Gedung Industri, Konstruksi Gedung Lainnya, Konstruksi Gedung Pendidikan</t>
        </is>
      </c>
      <c r="N157" t="inlineStr">
        <is>
          <t>K</t>
        </is>
      </c>
      <c r="O157" t="inlineStr">
        <is>
          <t>20230812, 20230813, 20230814</t>
        </is>
      </c>
      <c r="P157" t="inlineStr">
        <is>
          <t>Aceh</t>
        </is>
      </c>
      <c r="Q157" t="inlineStr"/>
    </row>
    <row r="158">
      <c r="A158" t="inlineStr">
        <is>
          <t>SUMBER KARYA UTAMA SANGATTA</t>
        </is>
      </c>
      <c r="B158" t="inlineStr">
        <is>
          <t>Kab. Kutai Timur</t>
        </is>
      </c>
      <c r="C158" t="inlineStr">
        <is>
          <t>054922217</t>
        </is>
      </c>
      <c r="D158" t="inlineStr">
        <is>
          <t>poppy_sku.suryatama@yahoo.com</t>
        </is>
      </c>
      <c r="E158" t="inlineStr">
        <is>
          <t>https://lpjk.pu.go.id/search-badan-usaha-detail/TjNPbVE3dG81OS9xQlErS2lZRHM4UT09</t>
        </is>
      </c>
      <c r="F158" t="n">
        <v>7</v>
      </c>
      <c r="G158" t="inlineStr">
        <is>
          <t>BG001, BG002, BG003, BG006, BG009, BS001, BS004</t>
        </is>
      </c>
      <c r="H158" t="inlineStr">
        <is>
          <t>23 Maret 2005</t>
        </is>
      </c>
      <c r="I158" s="2" t="n">
        <v>46247</v>
      </c>
      <c r="J158" t="inlineStr">
        <is>
          <t>Disetujui</t>
        </is>
      </c>
      <c r="K158" t="n">
        <v>30</v>
      </c>
      <c r="L158" t="inlineStr">
        <is>
          <t>13 Agustus 2026</t>
        </is>
      </c>
      <c r="M158" t="inlineStr">
        <is>
          <t>Konstruksi Bangunan Sipil Jalan, Konstruksi Gedung Hunian, Konstruksi Gedung Industri, Konstruksi Gedung Lainnya, Konstruksi Gedung Pendidikan, Konstruksi Gedung Perkantoran, Konstruksi Jaringan Irigasi dan Drainase</t>
        </is>
      </c>
      <c r="N158" t="inlineStr">
        <is>
          <t>K</t>
        </is>
      </c>
      <c r="O158" t="inlineStr">
        <is>
          <t>20230809, 20230810</t>
        </is>
      </c>
      <c r="P158" t="inlineStr">
        <is>
          <t>Kalimantan Timur</t>
        </is>
      </c>
      <c r="Q158" t="inlineStr"/>
    </row>
    <row r="159">
      <c r="A159" t="inlineStr">
        <is>
          <t>SURYA PRADANA</t>
        </is>
      </c>
      <c r="B159" t="inlineStr">
        <is>
          <t>Kota Blitar</t>
        </is>
      </c>
      <c r="C159" t="inlineStr">
        <is>
          <t>0342801949</t>
        </is>
      </c>
      <c r="D159" t="inlineStr">
        <is>
          <t>suryapradana_cv@yahoo.com</t>
        </is>
      </c>
      <c r="E159" t="inlineStr">
        <is>
          <t>https://lpjk.pu.go.id/search-badan-usaha-detail/NFZkWVVsV00xUnVxczcrZFFXRFFBZz09</t>
        </is>
      </c>
      <c r="F159" t="n">
        <v>1</v>
      </c>
      <c r="G159" t="inlineStr">
        <is>
          <t>BS001</t>
        </is>
      </c>
      <c r="H159" t="inlineStr">
        <is>
          <t>9 Oktober 1991</t>
        </is>
      </c>
      <c r="I159" s="2" t="n">
        <v>46247</v>
      </c>
      <c r="J159" t="inlineStr">
        <is>
          <t>Pencabutan</t>
        </is>
      </c>
      <c r="K159" t="n">
        <v>30</v>
      </c>
      <c r="L159" t="inlineStr">
        <is>
          <t>13 Agustus 2026</t>
        </is>
      </c>
      <c r="M159" t="inlineStr">
        <is>
          <t>Konstruksi Bangunan Sipil Jalan</t>
        </is>
      </c>
      <c r="N159" t="inlineStr">
        <is>
          <t>K</t>
        </is>
      </c>
      <c r="O159" t="inlineStr">
        <is>
          <t>20230630</t>
        </is>
      </c>
      <c r="P159" t="inlineStr">
        <is>
          <t>Jawa Timur</t>
        </is>
      </c>
      <c r="Q159" t="inlineStr"/>
    </row>
    <row r="160">
      <c r="A160" t="inlineStr">
        <is>
          <t>TANAH BUMBU MEMBANGUN</t>
        </is>
      </c>
      <c r="B160" t="inlineStr">
        <is>
          <t>Kab. Tanah Bumbu</t>
        </is>
      </c>
      <c r="C160" t="inlineStr">
        <is>
          <t>085389958436</t>
        </is>
      </c>
      <c r="D160" t="inlineStr">
        <is>
          <t>cvtanahbumbumembangun@gmail.com</t>
        </is>
      </c>
      <c r="E160" t="inlineStr">
        <is>
          <t>https://lpjk.pu.go.id/search-badan-usaha-detail/YXZDcjNBTEdWNWk0OGQ2UUxERTBTQT09</t>
        </is>
      </c>
      <c r="F160" t="n">
        <v>3</v>
      </c>
      <c r="G160" t="inlineStr">
        <is>
          <t>BG001, BG004, BG007</t>
        </is>
      </c>
      <c r="H160" t="inlineStr">
        <is>
          <t>19 Januari 2015</t>
        </is>
      </c>
      <c r="I160" s="2" t="n">
        <v>46247</v>
      </c>
      <c r="J160" t="inlineStr">
        <is>
          <t>Disetujui</t>
        </is>
      </c>
      <c r="K160" t="n">
        <v>30</v>
      </c>
      <c r="L160" t="inlineStr">
        <is>
          <t>13 Agustus 2026</t>
        </is>
      </c>
      <c r="M160" t="inlineStr">
        <is>
          <t>Konstruksi Gedung Hunian, Konstruksi Gedung Penginapan, Konstruksi Gedung Perbelanjaan</t>
        </is>
      </c>
      <c r="N160" t="inlineStr">
        <is>
          <t>K</t>
        </is>
      </c>
      <c r="O160" t="inlineStr">
        <is>
          <t>20230805</t>
        </is>
      </c>
      <c r="P160" t="inlineStr">
        <is>
          <t>Kalimantan Selatan</t>
        </is>
      </c>
      <c r="Q160" t="inlineStr"/>
    </row>
    <row r="161">
      <c r="A161" t="inlineStr">
        <is>
          <t>TANGGUH JAYA KREASINDO</t>
        </is>
      </c>
      <c r="B161" t="inlineStr">
        <is>
          <t>Kota Kendari</t>
        </is>
      </c>
      <c r="C161" t="inlineStr">
        <is>
          <t>082249308971</t>
        </is>
      </c>
      <c r="D161" t="inlineStr">
        <is>
          <t>Tangguhjayakreasindo@gmail.com</t>
        </is>
      </c>
      <c r="E161" t="inlineStr">
        <is>
          <t>https://lpjk.pu.go.id/search-badan-usaha-detail/STYrQ2JMSGVudG9HWVBHVnNCeGFRdz09</t>
        </is>
      </c>
      <c r="F161" t="n">
        <v>1</v>
      </c>
      <c r="G161" t="inlineStr">
        <is>
          <t>BS002</t>
        </is>
      </c>
      <c r="H161" t="inlineStr">
        <is>
          <t>15 Agustus 2022</t>
        </is>
      </c>
      <c r="I161" s="2" t="n">
        <v>46247</v>
      </c>
      <c r="J161" t="inlineStr">
        <is>
          <t>Disetujui</t>
        </is>
      </c>
      <c r="K161" t="n">
        <v>30</v>
      </c>
      <c r="L161" t="inlineStr">
        <is>
          <t>13 Agustus 2026</t>
        </is>
      </c>
      <c r="M161" t="inlineStr">
        <is>
          <t>Bangunan Sipil Jembatan, Jalan Layang, Fly Over, dan Underpass</t>
        </is>
      </c>
      <c r="N161" t="inlineStr">
        <is>
          <t>K</t>
        </is>
      </c>
      <c r="O161" t="inlineStr">
        <is>
          <t>20230810</t>
        </is>
      </c>
      <c r="P161" t="inlineStr">
        <is>
          <t>Sulawesi Tenggara</t>
        </is>
      </c>
      <c r="Q161" t="inlineStr"/>
    </row>
    <row r="162">
      <c r="A162" t="inlineStr">
        <is>
          <t>THANISSA CONTRACTORS</t>
        </is>
      </c>
      <c r="B162" t="inlineStr">
        <is>
          <t>Kab. Jember</t>
        </is>
      </c>
      <c r="C162" t="inlineStr">
        <is>
          <t>081333030933</t>
        </is>
      </c>
      <c r="D162" t="inlineStr">
        <is>
          <t>thanissacontractors@gmail.com</t>
        </is>
      </c>
      <c r="E162" t="inlineStr">
        <is>
          <t>https://lpjk.pu.go.id/search-badan-usaha-detail/aVBSYTJ0RHVMOWx6K1JxSFZlbEptUT09</t>
        </is>
      </c>
      <c r="F162" t="n">
        <v>1</v>
      </c>
      <c r="G162" t="inlineStr">
        <is>
          <t>BG002</t>
        </is>
      </c>
      <c r="H162" t="inlineStr">
        <is>
          <t>9 Oktober 2019</t>
        </is>
      </c>
      <c r="I162" s="2" t="n">
        <v>46247</v>
      </c>
      <c r="J162" t="inlineStr">
        <is>
          <t>Pencabutan</t>
        </is>
      </c>
      <c r="K162" t="n">
        <v>30</v>
      </c>
      <c r="L162" t="inlineStr">
        <is>
          <t>13 Agustus 2026</t>
        </is>
      </c>
      <c r="M162" t="inlineStr">
        <is>
          <t>Konstruksi Gedung Perkantoran</t>
        </is>
      </c>
      <c r="N162" t="inlineStr">
        <is>
          <t>K</t>
        </is>
      </c>
      <c r="O162" t="inlineStr">
        <is>
          <t>20230808</t>
        </is>
      </c>
      <c r="P162" t="inlineStr">
        <is>
          <t>Jawa Timur</t>
        </is>
      </c>
      <c r="Q162" t="inlineStr"/>
    </row>
    <row r="163">
      <c r="A163" t="inlineStr">
        <is>
          <t>TRANSIS COM</t>
        </is>
      </c>
      <c r="B163" t="inlineStr">
        <is>
          <t>Kab. Cirebon</t>
        </is>
      </c>
      <c r="C163" t="inlineStr">
        <is>
          <t>081395713111</t>
        </is>
      </c>
      <c r="D163" t="inlineStr">
        <is>
          <t>cv.transiscom@yahoo.com</t>
        </is>
      </c>
      <c r="E163" t="inlineStr">
        <is>
          <t>https://lpjk.pu.go.id/search-badan-usaha-detail/TFV2Yk5RMDRxWi9QVkl6MThySDhndz09</t>
        </is>
      </c>
      <c r="F163" t="n">
        <v>6</v>
      </c>
      <c r="G163" t="inlineStr">
        <is>
          <t>BS001, BS004</t>
        </is>
      </c>
      <c r="H163" t="inlineStr">
        <is>
          <t>24 Juli 2007</t>
        </is>
      </c>
      <c r="I163" s="2" t="n">
        <v>46247</v>
      </c>
      <c r="J163" t="inlineStr">
        <is>
          <t>Disetujui</t>
        </is>
      </c>
      <c r="K163" t="n">
        <v>30</v>
      </c>
      <c r="L163" t="inlineStr">
        <is>
          <t>13 Agustus 2026</t>
        </is>
      </c>
      <c r="M163" t="inlineStr">
        <is>
          <t>Konstruksi Bangunan Sipil Jalan, Konstruksi Jaringan Irigasi dan Drainase</t>
        </is>
      </c>
      <c r="N163" t="inlineStr">
        <is>
          <t>K</t>
        </is>
      </c>
      <c r="O163" t="inlineStr">
        <is>
          <t>20230803, 20230810</t>
        </is>
      </c>
      <c r="P163" t="inlineStr">
        <is>
          <t>Jawa Barat</t>
        </is>
      </c>
      <c r="Q163" t="inlineStr"/>
    </row>
    <row r="164">
      <c r="A164" t="inlineStr">
        <is>
          <t>TRI JAYA</t>
        </is>
      </c>
      <c r="B164" t="inlineStr">
        <is>
          <t>Kab. Lampung Utara</t>
        </is>
      </c>
      <c r="C164" t="inlineStr">
        <is>
          <t>081271026168</t>
        </is>
      </c>
      <c r="D164" t="inlineStr">
        <is>
          <t>trijaya22@yahoo.com</t>
        </is>
      </c>
      <c r="E164" t="inlineStr">
        <is>
          <t>https://lpjk.pu.go.id/search-badan-usaha-detail/WDl5OVg4MElZQitRUFFBZjhmNC83dz09</t>
        </is>
      </c>
      <c r="F164" t="n">
        <v>1</v>
      </c>
      <c r="G164" t="inlineStr">
        <is>
          <t>BS001</t>
        </is>
      </c>
      <c r="H164" t="inlineStr">
        <is>
          <t>21 Desember 2011</t>
        </is>
      </c>
      <c r="I164" s="2" t="n">
        <v>46247</v>
      </c>
      <c r="J164" t="inlineStr">
        <is>
          <t>Disetujui</t>
        </is>
      </c>
      <c r="K164" t="n">
        <v>30</v>
      </c>
      <c r="L164" t="inlineStr">
        <is>
          <t>13 Agustus 2026</t>
        </is>
      </c>
      <c r="M164" t="inlineStr">
        <is>
          <t>Konstruksi Bangunan Sipil Jalan</t>
        </is>
      </c>
      <c r="N164" t="inlineStr">
        <is>
          <t>K</t>
        </is>
      </c>
      <c r="O164" t="inlineStr">
        <is>
          <t>20230727</t>
        </is>
      </c>
      <c r="P164" t="inlineStr">
        <is>
          <t>Lampung</t>
        </is>
      </c>
      <c r="Q164" t="inlineStr"/>
    </row>
    <row r="165">
      <c r="A165" t="inlineStr">
        <is>
          <t>UTAMA SRI REZEKI</t>
        </is>
      </c>
      <c r="B165" t="inlineStr">
        <is>
          <t>Kab. Balangan</t>
        </is>
      </c>
      <c r="C165" t="inlineStr">
        <is>
          <t>082152127436</t>
        </is>
      </c>
      <c r="D165" t="inlineStr">
        <is>
          <t>utamasrirezeki@gmail.com</t>
        </is>
      </c>
      <c r="E165" t="inlineStr">
        <is>
          <t>https://lpjk.pu.go.id/search-badan-usaha-detail/TmFzU2lGM2RnRFJ1SjgrTklSWWdDZz09</t>
        </is>
      </c>
      <c r="F165" t="n">
        <v>3</v>
      </c>
      <c r="G165" t="inlineStr">
        <is>
          <t>BG009, BS001, BS010</t>
        </is>
      </c>
      <c r="H165" t="inlineStr">
        <is>
          <t>16 Februari 2023</t>
        </is>
      </c>
      <c r="I165" s="2" t="n">
        <v>46247</v>
      </c>
      <c r="J165" t="inlineStr">
        <is>
          <t>Disetujui</t>
        </is>
      </c>
      <c r="K165" t="n">
        <v>30</v>
      </c>
      <c r="L165" t="inlineStr">
        <is>
          <t>13 Agustus 2026</t>
        </is>
      </c>
      <c r="M165" t="inlineStr">
        <is>
          <t>Konstruksi Bangunan Prasarana Sumber Daya Air, Konstruksi Bangunan Sipil Jalan, Konstruksi Gedung Lainnya</t>
        </is>
      </c>
      <c r="N165" t="inlineStr">
        <is>
          <t>K</t>
        </is>
      </c>
      <c r="O165" t="inlineStr">
        <is>
          <t>20230611</t>
        </is>
      </c>
      <c r="P165" t="inlineStr">
        <is>
          <t>Kalimantan Selatan</t>
        </is>
      </c>
      <c r="Q165" t="inlineStr"/>
    </row>
    <row r="166">
      <c r="A166" t="inlineStr">
        <is>
          <t>WILIS ANUGERAH MAKMUR</t>
        </is>
      </c>
      <c r="B166" t="inlineStr">
        <is>
          <t>Kab. Sidoarjo</t>
        </is>
      </c>
      <c r="C166" t="inlineStr">
        <is>
          <t>081330156565</t>
        </is>
      </c>
      <c r="D166" t="inlineStr">
        <is>
          <t>hhw.wam@gmail.com</t>
        </is>
      </c>
      <c r="E166" t="inlineStr">
        <is>
          <t>https://lpjk.pu.go.id/search-badan-usaha-detail/K2JMK3pCQUFxY0FYendMbVkwQVNMZz09</t>
        </is>
      </c>
      <c r="F166" t="n">
        <v>4</v>
      </c>
      <c r="G166" t="inlineStr">
        <is>
          <t>BG002, BG003, BG005, BG006</t>
        </is>
      </c>
      <c r="H166" t="inlineStr">
        <is>
          <t>2 Agustus 2018</t>
        </is>
      </c>
      <c r="I166" s="2" t="n">
        <v>46247</v>
      </c>
      <c r="J166" t="inlineStr">
        <is>
          <t>Disetujui</t>
        </is>
      </c>
      <c r="K166" t="n">
        <v>30</v>
      </c>
      <c r="L166" t="inlineStr">
        <is>
          <t>13 Agustus 2026</t>
        </is>
      </c>
      <c r="M166" t="inlineStr">
        <is>
          <t>Konstruksi Gedung Industri, Konstruksi Gedung Kesehatan, Konstruksi Gedung Pendidikan, Konstruksi Gedung Perkantoran</t>
        </is>
      </c>
      <c r="N166" t="inlineStr">
        <is>
          <t>K</t>
        </is>
      </c>
      <c r="O166" t="inlineStr">
        <is>
          <t>20230608, 20230620</t>
        </is>
      </c>
      <c r="P166" t="inlineStr">
        <is>
          <t>Jawa Timur</t>
        </is>
      </c>
      <c r="Q166" t="inlineStr"/>
    </row>
    <row r="167">
      <c r="A167" t="inlineStr">
        <is>
          <t>WISANGGENI PUTRA MANDIRI</t>
        </is>
      </c>
      <c r="B167" t="inlineStr">
        <is>
          <t>Kab. Madiun</t>
        </is>
      </c>
      <c r="C167" t="inlineStr">
        <is>
          <t>082232526677</t>
        </is>
      </c>
      <c r="D167" t="inlineStr">
        <is>
          <t>wisanggeniputramandiri@gmail.com</t>
        </is>
      </c>
      <c r="E167" t="inlineStr">
        <is>
          <t>https://lpjk.pu.go.id/search-badan-usaha-detail/d3NlaU4xaHRQU3NLTUJQc3Q1Yi9IUT09</t>
        </is>
      </c>
      <c r="F167" t="n">
        <v>3</v>
      </c>
      <c r="G167" t="inlineStr">
        <is>
          <t>BG001, BG005, BG006</t>
        </is>
      </c>
      <c r="H167" t="inlineStr">
        <is>
          <t>4 Agustus 2022</t>
        </is>
      </c>
      <c r="I167" s="2" t="n">
        <v>46247</v>
      </c>
      <c r="J167" t="inlineStr">
        <is>
          <t>Disetujui</t>
        </is>
      </c>
      <c r="K167" t="n">
        <v>30</v>
      </c>
      <c r="L167" t="inlineStr">
        <is>
          <t>13 Agustus 2026</t>
        </is>
      </c>
      <c r="M167" t="inlineStr">
        <is>
          <t>Konstruksi Gedung Hunian, Konstruksi Gedung Kesehatan, Konstruksi Gedung Pendidikan</t>
        </is>
      </c>
      <c r="N167" t="inlineStr">
        <is>
          <t>K</t>
        </is>
      </c>
      <c r="O167" t="inlineStr">
        <is>
          <t>20230809</t>
        </is>
      </c>
      <c r="P167" t="inlineStr">
        <is>
          <t>Jawa Timur</t>
        </is>
      </c>
      <c r="Q167" t="inlineStr"/>
    </row>
    <row r="168">
      <c r="A168" t="inlineStr">
        <is>
          <t>ZAHIRA CIPTA KONSULTAN</t>
        </is>
      </c>
      <c r="B168" t="inlineStr">
        <is>
          <t>Kota Serang</t>
        </is>
      </c>
      <c r="C168" t="inlineStr">
        <is>
          <t>087772214527</t>
        </is>
      </c>
      <c r="D168" t="inlineStr">
        <is>
          <t>zahiraciptakonsultan@gmail.com</t>
        </is>
      </c>
      <c r="E168" t="inlineStr">
        <is>
          <t>https://lpjk.pu.go.id/search-badan-usaha-detail/eHBKMG1tL0Z5NDltM3ROWTRmNFV4dz09</t>
        </is>
      </c>
      <c r="F168" t="n">
        <v>2</v>
      </c>
      <c r="G168" t="inlineStr">
        <is>
          <t>RK001, RK003</t>
        </is>
      </c>
      <c r="H168" t="inlineStr">
        <is>
          <t>27 Februari 2023</t>
        </is>
      </c>
      <c r="I168" s="2" t="n">
        <v>46247</v>
      </c>
      <c r="J168" t="inlineStr">
        <is>
          <t>Disetujui</t>
        </is>
      </c>
      <c r="K168" t="n">
        <v>30</v>
      </c>
      <c r="L168" t="inlineStr">
        <is>
          <t>13 Agustus 2026</t>
        </is>
      </c>
      <c r="M168" t="inlineStr">
        <is>
          <t>Jasa Rekayasa Konstruksi Bangunan Gedung Hunian dan Non Hunian, Jasa Rekayasa Pekerjaan Teknik Sipil Transportasi</t>
        </is>
      </c>
      <c r="N168" t="inlineStr">
        <is>
          <t>K</t>
        </is>
      </c>
      <c r="O168" t="inlineStr">
        <is>
          <t>20230802</t>
        </is>
      </c>
      <c r="P168" t="inlineStr">
        <is>
          <t>Banten</t>
        </is>
      </c>
      <c r="Q1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2026-07-14T01:47:55Z</dcterms:created>
  <dcterms:modified xsi:type="dcterms:W3CDTF">2026-07-14T01:47:56Z</dcterms:modified>
</cp:coreProperties>
</file>