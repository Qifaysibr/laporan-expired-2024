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3"/>
  <sheetViews>
    <sheetView workbookViewId="0">
      <selection activeCell="A1" sqref="A1"/>
    </sheetView>
  </sheetViews>
  <sheetFormatPr baseColWidth="8" defaultRowHeight="15"/>
  <cols>
    <col width="49" customWidth="1" min="1" max="1"/>
    <col width="27" customWidth="1" min="2" max="2"/>
    <col width="16" customWidth="1" min="3" max="3"/>
    <col width="39"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9"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AGRA PARAMA SARANA</t>
        </is>
      </c>
      <c r="B2" t="inlineStr">
        <is>
          <t>Kota Bekasi</t>
        </is>
      </c>
      <c r="C2" t="inlineStr">
        <is>
          <t>08161858498</t>
        </is>
      </c>
      <c r="D2" t="inlineStr">
        <is>
          <t>agraparamasarana@gmail.com</t>
        </is>
      </c>
      <c r="E2" t="inlineStr">
        <is>
          <t>https://lpjk.pu.go.id/search-badan-usaha-detail/alhmRE5RSHhlWHBKUDVYOVkxQjJIZz09</t>
        </is>
      </c>
      <c r="F2" t="n">
        <v>1</v>
      </c>
      <c r="G2" t="inlineStr">
        <is>
          <t>BG009</t>
        </is>
      </c>
      <c r="H2" t="inlineStr">
        <is>
          <t>25 Februari 2019</t>
        </is>
      </c>
      <c r="I2" s="2" t="n">
        <v>46286</v>
      </c>
      <c r="J2" t="inlineStr">
        <is>
          <t>Disetujui</t>
        </is>
      </c>
      <c r="K2" t="n">
        <v>90</v>
      </c>
      <c r="L2" t="inlineStr">
        <is>
          <t>21 September 2026</t>
        </is>
      </c>
      <c r="M2" t="inlineStr">
        <is>
          <t>Konstruksi Gedung Lainnya</t>
        </is>
      </c>
      <c r="N2" t="inlineStr">
        <is>
          <t>K</t>
        </is>
      </c>
      <c r="O2" t="inlineStr">
        <is>
          <t>20230912</t>
        </is>
      </c>
      <c r="P2" t="inlineStr">
        <is>
          <t>Jawa Barat</t>
        </is>
      </c>
      <c r="Q2" s="3">
        <f>HYPERLINK("https://wa.me/628161858498?text=Selamat siang Bapak/Ibu pimpinan AGRA PARAMA SARANA,%0A%0ASemoga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ALDO VICTORY</t>
        </is>
      </c>
      <c r="B3" t="inlineStr">
        <is>
          <t>Kota Depok</t>
        </is>
      </c>
      <c r="C3" t="inlineStr">
        <is>
          <t>02177801604</t>
        </is>
      </c>
      <c r="D3" t="inlineStr">
        <is>
          <t>aldovictory7@gmail.com</t>
        </is>
      </c>
      <c r="E3" t="inlineStr">
        <is>
          <t>https://lpjk.pu.go.id/search-badan-usaha-detail/RzR3SWFkeDQ0UlJPQUVvTkxuTDN0dz09</t>
        </is>
      </c>
      <c r="F3" t="n">
        <v>1</v>
      </c>
      <c r="G3" t="inlineStr">
        <is>
          <t>BS004</t>
        </is>
      </c>
      <c r="H3" t="inlineStr">
        <is>
          <t>5 Januari 2017</t>
        </is>
      </c>
      <c r="I3" s="2" t="n">
        <v>46286</v>
      </c>
      <c r="J3" t="inlineStr">
        <is>
          <t>Disetujui</t>
        </is>
      </c>
      <c r="K3" t="n">
        <v>90</v>
      </c>
      <c r="L3" t="inlineStr">
        <is>
          <t>21 September 2026</t>
        </is>
      </c>
      <c r="M3" t="inlineStr">
        <is>
          <t>Konstruksi Jaringan Irigasi dan Drainase</t>
        </is>
      </c>
      <c r="N3" t="inlineStr">
        <is>
          <t>K</t>
        </is>
      </c>
      <c r="O3" t="inlineStr">
        <is>
          <t>20230921</t>
        </is>
      </c>
      <c r="P3" t="inlineStr">
        <is>
          <t>Jawa Barat</t>
        </is>
      </c>
      <c r="Q3" t="inlineStr"/>
    </row>
    <row r="4">
      <c r="A4" t="inlineStr">
        <is>
          <t>BINTANG KOMUNIKASI UTAMA</t>
        </is>
      </c>
      <c r="B4" t="inlineStr">
        <is>
          <t>Kota Adm. Jakarta Timur</t>
        </is>
      </c>
      <c r="C4" t="inlineStr">
        <is>
          <t>02180878128</t>
        </is>
      </c>
      <c r="D4" t="inlineStr">
        <is>
          <t>bku@bintangku.com</t>
        </is>
      </c>
      <c r="E4" t="inlineStr">
        <is>
          <t>https://lpjk.pu.go.id/search-badan-usaha-detail/eVpTMnFzQjMwUDdUSUprMk1teVI1Zz09</t>
        </is>
      </c>
      <c r="F4" t="n">
        <v>2</v>
      </c>
      <c r="G4" t="inlineStr">
        <is>
          <t>BS009</t>
        </is>
      </c>
      <c r="H4" t="inlineStr">
        <is>
          <t>10 Desember 2001</t>
        </is>
      </c>
      <c r="I4" s="2" t="n">
        <v>46286</v>
      </c>
      <c r="J4" t="inlineStr">
        <is>
          <t>Disetujui</t>
        </is>
      </c>
      <c r="K4" t="n">
        <v>90</v>
      </c>
      <c r="L4" t="inlineStr">
        <is>
          <t>21 September 2026</t>
        </is>
      </c>
      <c r="M4" t="inlineStr">
        <is>
          <t>Konstruksi Sentral Telekomunikasi</t>
        </is>
      </c>
      <c r="N4" t="inlineStr">
        <is>
          <t>K</t>
        </is>
      </c>
      <c r="O4" t="inlineStr">
        <is>
          <t>20230703</t>
        </is>
      </c>
      <c r="P4" t="inlineStr">
        <is>
          <t>DKI Jakarta</t>
        </is>
      </c>
      <c r="Q4" t="inlineStr"/>
    </row>
    <row r="5">
      <c r="A5" t="inlineStr">
        <is>
          <t>CIPTA RAHARJA MANDIRI</t>
        </is>
      </c>
      <c r="B5" t="inlineStr">
        <is>
          <t>Kab. Bogor</t>
        </is>
      </c>
      <c r="C5" t="inlineStr">
        <is>
          <t>081310208007</t>
        </is>
      </c>
      <c r="D5" t="inlineStr">
        <is>
          <t>ciptaraharjamandiri@gmail.com</t>
        </is>
      </c>
      <c r="E5" t="inlineStr">
        <is>
          <t>https://lpjk.pu.go.id/search-badan-usaha-detail/bGxhVHM3cktxbnYyd09SOXhFWVdNZz09</t>
        </is>
      </c>
      <c r="F5" t="n">
        <v>4</v>
      </c>
      <c r="G5" t="inlineStr">
        <is>
          <t>BG006, BG009</t>
        </is>
      </c>
      <c r="H5" t="inlineStr">
        <is>
          <t>14 Juni 2014</t>
        </is>
      </c>
      <c r="I5" s="2" t="n">
        <v>46286</v>
      </c>
      <c r="J5" t="inlineStr">
        <is>
          <t>Disetujui</t>
        </is>
      </c>
      <c r="K5" t="n">
        <v>90</v>
      </c>
      <c r="L5" t="inlineStr">
        <is>
          <t>21 September 2026</t>
        </is>
      </c>
      <c r="M5" t="inlineStr">
        <is>
          <t>Konstruksi Gedung Lainnya, Konstruksi Gedung Pendidikan</t>
        </is>
      </c>
      <c r="N5" t="inlineStr">
        <is>
          <t>K</t>
        </is>
      </c>
      <c r="O5" t="inlineStr">
        <is>
          <t>20230913</t>
        </is>
      </c>
      <c r="P5" t="inlineStr">
        <is>
          <t>Jawa Barat</t>
        </is>
      </c>
      <c r="Q5" s="3">
        <f>HYPERLINK("https://wa.me/6281310208007?text=Selamat siang Bapak/Ibu pimpinan CIPTA RAHARJA MANDIRI,%0A%0ASemoga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CITA TRIPUTRA</t>
        </is>
      </c>
      <c r="B6" t="inlineStr">
        <is>
          <t>Kota Depok</t>
        </is>
      </c>
      <c r="C6" t="inlineStr">
        <is>
          <t>08121829981</t>
        </is>
      </c>
      <c r="D6" t="inlineStr">
        <is>
          <t>citatriputra2021@gmail.com</t>
        </is>
      </c>
      <c r="E6" t="inlineStr">
        <is>
          <t>https://lpjk.pu.go.id/search-badan-usaha-detail/Yk5PRjZTQ1NHZ20wdVo0NE5DeG1PUT09</t>
        </is>
      </c>
      <c r="F6" t="n">
        <v>2</v>
      </c>
      <c r="G6" t="inlineStr">
        <is>
          <t>BS001, BS004</t>
        </is>
      </c>
      <c r="H6" t="inlineStr">
        <is>
          <t>14 April 1997</t>
        </is>
      </c>
      <c r="I6" s="2" t="n">
        <v>46286</v>
      </c>
      <c r="J6" t="inlineStr">
        <is>
          <t>Disetujui</t>
        </is>
      </c>
      <c r="K6" t="n">
        <v>90</v>
      </c>
      <c r="L6" t="inlineStr">
        <is>
          <t>21 September 2026</t>
        </is>
      </c>
      <c r="M6" t="inlineStr">
        <is>
          <t>Konstruksi Bangunan Sipil Jalan, Konstruksi Jaringan Irigasi dan Drainase</t>
        </is>
      </c>
      <c r="N6" t="inlineStr">
        <is>
          <t>K</t>
        </is>
      </c>
      <c r="O6" t="inlineStr">
        <is>
          <t>20230918</t>
        </is>
      </c>
      <c r="P6" t="inlineStr">
        <is>
          <t>Jawa Barat</t>
        </is>
      </c>
      <c r="Q6" s="3">
        <f>HYPERLINK("https://wa.me/628121829981?text=Selamat siang Bapak/Ibu pimpinan CITA TRIPUTRA,%0A%0ASemoga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CITRA NUSA PADJADJARAN</t>
        </is>
      </c>
      <c r="B7" t="inlineStr">
        <is>
          <t>Kota Bekasi</t>
        </is>
      </c>
      <c r="C7" t="inlineStr">
        <is>
          <t>02122875474</t>
        </is>
      </c>
      <c r="D7" t="inlineStr">
        <is>
          <t>pt.citranusapadjajaran@gmail.com</t>
        </is>
      </c>
      <c r="E7" t="inlineStr">
        <is>
          <t>https://lpjk.pu.go.id/search-badan-usaha-detail/SGlsMmI3MkM1VGdzNXpNNzZDQVVndz09</t>
        </is>
      </c>
      <c r="F7" t="n">
        <v>3</v>
      </c>
      <c r="G7" t="inlineStr">
        <is>
          <t>BG005, BG006, BG009</t>
        </is>
      </c>
      <c r="H7" t="inlineStr">
        <is>
          <t>2 Maret 2017</t>
        </is>
      </c>
      <c r="I7" s="2" t="n">
        <v>46286</v>
      </c>
      <c r="J7" t="inlineStr">
        <is>
          <t>Disetujui</t>
        </is>
      </c>
      <c r="K7" t="n">
        <v>90</v>
      </c>
      <c r="L7" t="inlineStr">
        <is>
          <t>21 September 2026</t>
        </is>
      </c>
      <c r="M7" t="inlineStr">
        <is>
          <t>Konstruksi Gedung Kesehatan, Konstruksi Gedung Lainnya, Konstruksi Gedung Pendidikan</t>
        </is>
      </c>
      <c r="N7" t="inlineStr">
        <is>
          <t>M</t>
        </is>
      </c>
      <c r="O7" t="inlineStr">
        <is>
          <t>20230921</t>
        </is>
      </c>
      <c r="P7" t="inlineStr">
        <is>
          <t>Jawa Barat</t>
        </is>
      </c>
      <c r="Q7" t="inlineStr"/>
    </row>
    <row r="8">
      <c r="A8" t="inlineStr">
        <is>
          <t>DINAMIKA PRATAMA</t>
        </is>
      </c>
      <c r="B8" t="inlineStr">
        <is>
          <t>Kota Adm. Jakarta Timur</t>
        </is>
      </c>
      <c r="C8" t="inlineStr">
        <is>
          <t>085159503788</t>
        </is>
      </c>
      <c r="D8" t="inlineStr">
        <is>
          <t>cvdinamikapratama@gmail.com</t>
        </is>
      </c>
      <c r="E8" t="inlineStr">
        <is>
          <t>https://lpjk.pu.go.id/search-badan-usaha-detail/akFrTkpydGZUQ3c1ZCs5di91ZUs2dz09</t>
        </is>
      </c>
      <c r="F8" t="n">
        <v>3</v>
      </c>
      <c r="G8" t="inlineStr">
        <is>
          <t>BG008</t>
        </is>
      </c>
      <c r="H8" t="inlineStr">
        <is>
          <t>13 Februari 2018</t>
        </is>
      </c>
      <c r="I8" s="2" t="n">
        <v>46286</v>
      </c>
      <c r="J8" t="inlineStr">
        <is>
          <t>Disetujui</t>
        </is>
      </c>
      <c r="K8" t="n">
        <v>90</v>
      </c>
      <c r="L8" t="inlineStr">
        <is>
          <t>21 September 2026</t>
        </is>
      </c>
      <c r="M8" t="inlineStr">
        <is>
          <t>Konstruksi Gedung Tempat Hiburan dan Olahraga</t>
        </is>
      </c>
      <c r="N8" t="inlineStr">
        <is>
          <t>K</t>
        </is>
      </c>
      <c r="O8" t="inlineStr">
        <is>
          <t>20230921</t>
        </is>
      </c>
      <c r="P8" t="inlineStr">
        <is>
          <t>DKI Jakarta</t>
        </is>
      </c>
      <c r="Q8" s="3">
        <f>HYPERLINK("https://wa.me/6285159503788?text=Selamat siang Bapak/Ibu pimpinan DINAMIKA PRATAMA,%0A%0ASemoga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FIRMAULI FARIDA</t>
        </is>
      </c>
      <c r="B9" t="inlineStr">
        <is>
          <t>Kota Depok</t>
        </is>
      </c>
      <c r="C9" t="inlineStr">
        <is>
          <t>0217717438</t>
        </is>
      </c>
      <c r="D9" t="inlineStr">
        <is>
          <t>sinagahlsn@gmail.com</t>
        </is>
      </c>
      <c r="E9" t="inlineStr">
        <is>
          <t>https://lpjk.pu.go.id/search-badan-usaha-detail/d1NjZ3ZaKzVPMzRUNk9PTEN2eDMrUT09</t>
        </is>
      </c>
      <c r="F9" t="n">
        <v>5</v>
      </c>
      <c r="G9" t="inlineStr">
        <is>
          <t>BG005, BG006, BG009, BS001, BS004</t>
        </is>
      </c>
      <c r="H9" t="inlineStr">
        <is>
          <t>2 Februari 2009</t>
        </is>
      </c>
      <c r="I9" s="2" t="n">
        <v>46286</v>
      </c>
      <c r="J9" t="inlineStr">
        <is>
          <t>Disetujui</t>
        </is>
      </c>
      <c r="K9" t="n">
        <v>90</v>
      </c>
      <c r="L9" t="inlineStr">
        <is>
          <t>21 September 2026</t>
        </is>
      </c>
      <c r="M9" t="inlineStr">
        <is>
          <t>Konstruksi Bangunan Sipil Jalan, Konstruksi Gedung Kesehatan, Konstruksi Gedung Lainnya, Konstruksi Gedung Pendidikan, Konstruksi Jaringan Irigasi dan Drainase</t>
        </is>
      </c>
      <c r="N9" t="inlineStr">
        <is>
          <t>K</t>
        </is>
      </c>
      <c r="O9" t="inlineStr">
        <is>
          <t>20230920, 20230921</t>
        </is>
      </c>
      <c r="P9" t="inlineStr">
        <is>
          <t>Jawa Barat</t>
        </is>
      </c>
      <c r="Q9" t="inlineStr"/>
    </row>
    <row r="10">
      <c r="A10" t="inlineStr">
        <is>
          <t>KARTIKA ANUGERAH UTAMA</t>
        </is>
      </c>
      <c r="B10" t="inlineStr">
        <is>
          <t>Kota Depok</t>
        </is>
      </c>
      <c r="C10" t="inlineStr">
        <is>
          <t>02187755951</t>
        </is>
      </c>
      <c r="D10" t="inlineStr">
        <is>
          <t>kartikaanugerahutama@yahoo.com</t>
        </is>
      </c>
      <c r="E10" t="inlineStr">
        <is>
          <t>https://lpjk.pu.go.id/search-badan-usaha-detail/WCtmS3ZVcXQ2STN0eTBGTW9QZzNiZz09</t>
        </is>
      </c>
      <c r="F10" t="n">
        <v>1</v>
      </c>
      <c r="G10" t="inlineStr">
        <is>
          <t>BG002</t>
        </is>
      </c>
      <c r="H10" t="inlineStr">
        <is>
          <t>23 Februari 2011</t>
        </is>
      </c>
      <c r="I10" s="2" t="n">
        <v>46286</v>
      </c>
      <c r="J10" t="inlineStr">
        <is>
          <t>Disetujui</t>
        </is>
      </c>
      <c r="K10" t="n">
        <v>90</v>
      </c>
      <c r="L10" t="inlineStr">
        <is>
          <t>21 September 2026</t>
        </is>
      </c>
      <c r="M10" t="inlineStr">
        <is>
          <t>Konstruksi Gedung Perkantoran</t>
        </is>
      </c>
      <c r="N10" t="inlineStr">
        <is>
          <t>K</t>
        </is>
      </c>
      <c r="O10" t="inlineStr">
        <is>
          <t>20230919</t>
        </is>
      </c>
      <c r="P10" t="inlineStr">
        <is>
          <t>Jawa Barat</t>
        </is>
      </c>
      <c r="Q10" t="inlineStr"/>
    </row>
    <row r="11">
      <c r="A11" t="inlineStr">
        <is>
          <t>KONSTRUKSI RAYA SEJATI</t>
        </is>
      </c>
      <c r="B11" t="inlineStr">
        <is>
          <t>Kota Depok</t>
        </is>
      </c>
      <c r="C11" t="inlineStr">
        <is>
          <t>081331317279</t>
        </is>
      </c>
      <c r="D11" t="inlineStr">
        <is>
          <t>konstruksirayasejati@gmail.com</t>
        </is>
      </c>
      <c r="E11" t="inlineStr">
        <is>
          <t>https://lpjk.pu.go.id/search-badan-usaha-detail/anYzZ0V4NmtrL0NPZlh0S3VqdFAxUT09</t>
        </is>
      </c>
      <c r="F11" t="n">
        <v>1</v>
      </c>
      <c r="G11" t="inlineStr">
        <is>
          <t>BG003</t>
        </is>
      </c>
      <c r="H11" t="inlineStr">
        <is>
          <t>10 Agustus 2022</t>
        </is>
      </c>
      <c r="I11" s="2" t="n">
        <v>46286</v>
      </c>
      <c r="J11" t="inlineStr">
        <is>
          <t>Disetujui</t>
        </is>
      </c>
      <c r="K11" t="n">
        <v>90</v>
      </c>
      <c r="L11" t="inlineStr">
        <is>
          <t>21 September 2026</t>
        </is>
      </c>
      <c r="M11" t="inlineStr">
        <is>
          <t>Konstruksi Gedung Industri</t>
        </is>
      </c>
      <c r="N11" t="inlineStr">
        <is>
          <t>K</t>
        </is>
      </c>
      <c r="O11" t="inlineStr">
        <is>
          <t>20230613</t>
        </is>
      </c>
      <c r="P11" t="inlineStr">
        <is>
          <t>Jawa Barat</t>
        </is>
      </c>
      <c r="Q11" s="3">
        <f>HYPERLINK("https://wa.me/6281331317279?text=Selamat siang Bapak/Ibu pimpinan KONSTRUKSI RAYA SEJATI,%0A%0ASemoga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2">
      <c r="A12" t="inlineStr">
        <is>
          <t>MADANI AKSARA NUSA</t>
        </is>
      </c>
      <c r="B12" t="inlineStr">
        <is>
          <t>Kota Bekasi</t>
        </is>
      </c>
      <c r="C12" t="inlineStr">
        <is>
          <t>08558078910</t>
        </is>
      </c>
      <c r="D12" t="inlineStr">
        <is>
          <t>madaniaksaranusa@gmail.com</t>
        </is>
      </c>
      <c r="E12" t="inlineStr">
        <is>
          <t>https://lpjk.pu.go.id/search-badan-usaha-detail/bjA4NHRVYml6aEpqbjFVM3k2NGN1Zz09</t>
        </is>
      </c>
      <c r="F12" t="n">
        <v>3</v>
      </c>
      <c r="G12" t="inlineStr">
        <is>
          <t>BG009</t>
        </is>
      </c>
      <c r="H12" t="inlineStr">
        <is>
          <t>7 Juli 2023</t>
        </is>
      </c>
      <c r="I12" s="2" t="n">
        <v>46286</v>
      </c>
      <c r="J12" t="inlineStr">
        <is>
          <t>Disetujui</t>
        </is>
      </c>
      <c r="K12" t="n">
        <v>90</v>
      </c>
      <c r="L12" t="inlineStr">
        <is>
          <t>21 September 2026</t>
        </is>
      </c>
      <c r="M12" t="inlineStr">
        <is>
          <t>Konstruksi Gedung Lainnya</t>
        </is>
      </c>
      <c r="N12" t="inlineStr">
        <is>
          <t>K</t>
        </is>
      </c>
      <c r="O12" t="inlineStr">
        <is>
          <t>20230914</t>
        </is>
      </c>
      <c r="P12" t="inlineStr">
        <is>
          <t>Jawa Barat</t>
        </is>
      </c>
      <c r="Q12" s="3">
        <f>HYPERLINK("https://wa.me/628558078910?text=Selamat siang Bapak/Ibu pimpinan MADANI AKSARA NUSA,%0A%0ASemoga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3">
      <c r="A13" t="inlineStr">
        <is>
          <t>PERUSAHAAN PERSEROAN (PERSERO) PT. WIJAYA KARYA</t>
        </is>
      </c>
      <c r="B13" t="inlineStr">
        <is>
          <t>Kota Adm. Jakarta Timur</t>
        </is>
      </c>
      <c r="C13" t="inlineStr">
        <is>
          <t>81909549222</t>
        </is>
      </c>
      <c r="D13" t="inlineStr">
        <is>
          <t>epc@wika.co.id</t>
        </is>
      </c>
      <c r="E13" t="inlineStr">
        <is>
          <t>https://lpjk.pu.go.id/search-badan-usaha-detail/bzdZcTV0SlVvYThqaTlPV09YSXVDUT09</t>
        </is>
      </c>
      <c r="F13" t="n">
        <v>1</v>
      </c>
      <c r="G13" t="inlineStr">
        <is>
          <t>GT003</t>
        </is>
      </c>
      <c r="H13" t="inlineStr">
        <is>
          <t>20 Desember 1972</t>
        </is>
      </c>
      <c r="I13" s="2" t="n">
        <v>46286</v>
      </c>
      <c r="J13" t="inlineStr">
        <is>
          <t>Disetujui</t>
        </is>
      </c>
      <c r="K13" t="n">
        <v>90</v>
      </c>
      <c r="L13" t="inlineStr">
        <is>
          <t>21 September 2026</t>
        </is>
      </c>
      <c r="M13" t="inlineStr">
        <is>
          <t>Konstruksi Gedung Industri</t>
        </is>
      </c>
      <c r="N13" t="inlineStr">
        <is>
          <t>B</t>
        </is>
      </c>
      <c r="O13" t="inlineStr">
        <is>
          <t>20230911</t>
        </is>
      </c>
      <c r="P13" t="inlineStr">
        <is>
          <t>DKI Jakarta</t>
        </is>
      </c>
      <c r="Q13" s="3">
        <f>HYPERLINK("https://wa.me/6281909549222?text=Selamat siang Bapak/Ibu pimpinan PERUSAHAAN PERSEROAN (PERSERO) PT. WIJAYA KARYA,%0A%0ASemoga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4">
      <c r="A14" t="inlineStr">
        <is>
          <t>SIPA ADITAMA</t>
        </is>
      </c>
      <c r="B14" t="inlineStr">
        <is>
          <t>Kota Bekasi</t>
        </is>
      </c>
      <c r="C14" t="inlineStr">
        <is>
          <t>02185504648</t>
        </is>
      </c>
      <c r="D14" t="inlineStr">
        <is>
          <t>cs@sipaaditama.co.id</t>
        </is>
      </c>
      <c r="E14" t="inlineStr">
        <is>
          <t>https://lpjk.pu.go.id/search-badan-usaha-detail/L0dpUEU4RjBQR3FrNlRlRVRzMjRmdz09</t>
        </is>
      </c>
      <c r="F14" t="n">
        <v>2</v>
      </c>
      <c r="G14" t="inlineStr">
        <is>
          <t>RK001, RK003</t>
        </is>
      </c>
      <c r="H14" t="inlineStr">
        <is>
          <t>28 Oktober 2008</t>
        </is>
      </c>
      <c r="I14" s="2" t="n">
        <v>46286</v>
      </c>
      <c r="J14" t="inlineStr">
        <is>
          <t>Disetujui</t>
        </is>
      </c>
      <c r="K14" t="n">
        <v>90</v>
      </c>
      <c r="L14" t="inlineStr">
        <is>
          <t>21 September 2026</t>
        </is>
      </c>
      <c r="M14" t="inlineStr">
        <is>
          <t>Jasa Rekayasa Konstruksi Bangunan Gedung Hunian dan Non Hunian, Jasa Rekayasa Pekerjaan Teknik Sipil Transportasi</t>
        </is>
      </c>
      <c r="N14" t="inlineStr">
        <is>
          <t>K</t>
        </is>
      </c>
      <c r="O14" t="inlineStr">
        <is>
          <t>20230829</t>
        </is>
      </c>
      <c r="P14" t="inlineStr">
        <is>
          <t>Jawa Barat</t>
        </is>
      </c>
      <c r="Q14" t="inlineStr"/>
    </row>
    <row r="15">
      <c r="A15" t="inlineStr">
        <is>
          <t>UTAMA KONSTRUKSI BAJA</t>
        </is>
      </c>
      <c r="B15" t="inlineStr">
        <is>
          <t>Kota Bekasi</t>
        </is>
      </c>
      <c r="C15" t="inlineStr">
        <is>
          <t>081318008473</t>
        </is>
      </c>
      <c r="D15" t="inlineStr">
        <is>
          <t>utamakonstruksi.baja@yahoo.com</t>
        </is>
      </c>
      <c r="E15" t="inlineStr">
        <is>
          <t>https://lpjk.pu.go.id/search-badan-usaha-detail/TS9IMG1JK0NOMTZGTno2QzYwemtpdz09</t>
        </is>
      </c>
      <c r="F15" t="n">
        <v>1</v>
      </c>
      <c r="G15" t="inlineStr">
        <is>
          <t>BS017</t>
        </is>
      </c>
      <c r="H15" t="inlineStr">
        <is>
          <t>3 Oktober 2022</t>
        </is>
      </c>
      <c r="I15" s="2" t="n">
        <v>46286</v>
      </c>
      <c r="J15" t="inlineStr">
        <is>
          <t>Pencabutan</t>
        </is>
      </c>
      <c r="K15" t="n">
        <v>90</v>
      </c>
      <c r="L15" t="inlineStr">
        <is>
          <t>21 September 2026</t>
        </is>
      </c>
      <c r="M15" t="inlineStr">
        <is>
          <t>Konstruksi Bangunan Sipil Lainnya Ytdl</t>
        </is>
      </c>
      <c r="N15" t="inlineStr">
        <is>
          <t>K</t>
        </is>
      </c>
      <c r="O15" t="inlineStr">
        <is>
          <t>20230919</t>
        </is>
      </c>
      <c r="P15" t="inlineStr">
        <is>
          <t>Jawa Barat</t>
        </is>
      </c>
      <c r="Q15" s="3">
        <f>HYPERLINK("https://wa.me/6281318008473?text=Selamat siang Bapak/Ibu pimpinan UTAMA KONSTRUKSI BAJA,%0A%0ASemoga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6">
      <c r="A16" t="inlineStr">
        <is>
          <t>ABDI KARYA</t>
        </is>
      </c>
      <c r="B16" t="inlineStr">
        <is>
          <t>Kab. Dairi</t>
        </is>
      </c>
      <c r="C16" t="inlineStr">
        <is>
          <t>082274867628</t>
        </is>
      </c>
      <c r="D16" t="inlineStr">
        <is>
          <t>abdi.sihombing@yahoo.com</t>
        </is>
      </c>
      <c r="E16" t="inlineStr">
        <is>
          <t>https://lpjk.pu.go.id/search-badan-usaha-detail/TzBxaldPcWFHazcrZzQyNlN1eHdrUT09</t>
        </is>
      </c>
      <c r="F16" t="n">
        <v>1</v>
      </c>
      <c r="G16" t="inlineStr">
        <is>
          <t>BG005</t>
        </is>
      </c>
      <c r="H16" t="inlineStr">
        <is>
          <t>17 Januari 2020</t>
        </is>
      </c>
      <c r="I16" s="2" t="n">
        <v>46286</v>
      </c>
      <c r="J16" t="inlineStr">
        <is>
          <t>Disetujui</t>
        </is>
      </c>
      <c r="K16" t="n">
        <v>90</v>
      </c>
      <c r="L16" t="inlineStr">
        <is>
          <t>21 September 2026</t>
        </is>
      </c>
      <c r="M16" t="inlineStr">
        <is>
          <t>Konstruksi Gedung Kesehatan</t>
        </is>
      </c>
      <c r="N16" t="inlineStr">
        <is>
          <t>K</t>
        </is>
      </c>
      <c r="O16" t="inlineStr">
        <is>
          <t>20230919</t>
        </is>
      </c>
      <c r="P16" t="inlineStr">
        <is>
          <t>Sumatera Utara</t>
        </is>
      </c>
      <c r="Q16" t="inlineStr"/>
    </row>
    <row r="17">
      <c r="A17" t="inlineStr">
        <is>
          <t>ABI DARMA SEJAHTRA</t>
        </is>
      </c>
      <c r="B17" t="inlineStr">
        <is>
          <t>Kab. Karawang</t>
        </is>
      </c>
      <c r="C17" t="inlineStr">
        <is>
          <t>081282146125</t>
        </is>
      </c>
      <c r="D17" t="inlineStr">
        <is>
          <t>abidarmasejahtera@gmail.com</t>
        </is>
      </c>
      <c r="E17" t="inlineStr">
        <is>
          <t>https://lpjk.pu.go.id/search-badan-usaha-detail/ZGdFY1ZiZ0ZUL3VSNDhRTXNDalFKdz09</t>
        </is>
      </c>
      <c r="F17" t="n">
        <v>2</v>
      </c>
      <c r="G17" t="inlineStr">
        <is>
          <t>BG003, BG009</t>
        </is>
      </c>
      <c r="H17" t="inlineStr">
        <is>
          <t>13 September 2023</t>
        </is>
      </c>
      <c r="I17" s="2" t="n">
        <v>46286</v>
      </c>
      <c r="J17" t="inlineStr">
        <is>
          <t>Disetujui</t>
        </is>
      </c>
      <c r="K17" t="n">
        <v>90</v>
      </c>
      <c r="L17" t="inlineStr">
        <is>
          <t>21 September 2026</t>
        </is>
      </c>
      <c r="M17" t="inlineStr">
        <is>
          <t>Konstruksi Gedung Industri, Konstruksi Gedung Lainnya</t>
        </is>
      </c>
      <c r="N17" t="inlineStr">
        <is>
          <t>K</t>
        </is>
      </c>
      <c r="O17" t="inlineStr">
        <is>
          <t>20230922</t>
        </is>
      </c>
      <c r="P17" t="inlineStr">
        <is>
          <t>Jawa Barat</t>
        </is>
      </c>
      <c r="Q17" t="inlineStr"/>
    </row>
    <row r="18">
      <c r="A18" t="inlineStr">
        <is>
          <t>ABYUDAYA</t>
        </is>
      </c>
      <c r="B18" t="inlineStr">
        <is>
          <t>Kab. Sidoarjo</t>
        </is>
      </c>
      <c r="C18" t="inlineStr">
        <is>
          <t>08113317174</t>
        </is>
      </c>
      <c r="D18" t="inlineStr">
        <is>
          <t>cvabyudaya88@gmail.com</t>
        </is>
      </c>
      <c r="E18" t="inlineStr">
        <is>
          <t>https://lpjk.pu.go.id/search-badan-usaha-detail/cXRaTUZGcUMxNTZoSnZpNWhidm4wdz09</t>
        </is>
      </c>
      <c r="F18" t="n">
        <v>1</v>
      </c>
      <c r="G18" t="inlineStr">
        <is>
          <t>BG002</t>
        </is>
      </c>
      <c r="H18" t="inlineStr">
        <is>
          <t>10 Februari 2015</t>
        </is>
      </c>
      <c r="I18" s="2" t="n">
        <v>46286</v>
      </c>
      <c r="J18" t="inlineStr">
        <is>
          <t>Disetujui</t>
        </is>
      </c>
      <c r="K18" t="n">
        <v>90</v>
      </c>
      <c r="L18" t="inlineStr">
        <is>
          <t>21 September 2026</t>
        </is>
      </c>
      <c r="M18" t="inlineStr">
        <is>
          <t>Konstruksi Gedung Perkantoran</t>
        </is>
      </c>
      <c r="N18" t="inlineStr">
        <is>
          <t>K</t>
        </is>
      </c>
      <c r="O18" t="inlineStr">
        <is>
          <t>20220802</t>
        </is>
      </c>
      <c r="P18" t="inlineStr">
        <is>
          <t>Jawa Timur</t>
        </is>
      </c>
      <c r="Q18" t="inlineStr"/>
    </row>
    <row r="19">
      <c r="A19" t="inlineStr">
        <is>
          <t>ADYA TATA MANDIRI ITNIC</t>
        </is>
      </c>
      <c r="B19" t="inlineStr">
        <is>
          <t>Kab. Sidoarjo</t>
        </is>
      </c>
      <c r="C19" t="inlineStr">
        <is>
          <t>03199031774</t>
        </is>
      </c>
      <c r="D19" t="inlineStr">
        <is>
          <t>marketing@adyatatamandiri.com</t>
        </is>
      </c>
      <c r="E19" t="inlineStr">
        <is>
          <t>https://lpjk.pu.go.id/search-badan-usaha-detail/S0ZHK0dhRmFDblBJUGt1cDA2cGhhUT09</t>
        </is>
      </c>
      <c r="F19" t="n">
        <v>1</v>
      </c>
      <c r="G19" t="inlineStr">
        <is>
          <t>BG003</t>
        </is>
      </c>
      <c r="H19" t="inlineStr">
        <is>
          <t>5 Agustus 2019</t>
        </is>
      </c>
      <c r="I19" s="2" t="n">
        <v>46286</v>
      </c>
      <c r="J19" t="inlineStr">
        <is>
          <t>Disetujui</t>
        </is>
      </c>
      <c r="K19" t="n">
        <v>90</v>
      </c>
      <c r="L19" t="inlineStr">
        <is>
          <t>21 September 2026</t>
        </is>
      </c>
      <c r="M19" t="inlineStr">
        <is>
          <t>Konstruksi Gedung Industri</t>
        </is>
      </c>
      <c r="N19" t="inlineStr">
        <is>
          <t>K</t>
        </is>
      </c>
      <c r="O19" t="inlineStr">
        <is>
          <t>20230921</t>
        </is>
      </c>
      <c r="P19" t="inlineStr">
        <is>
          <t>Jawa Timur</t>
        </is>
      </c>
      <c r="Q19" t="inlineStr"/>
    </row>
    <row r="20">
      <c r="A20" t="inlineStr">
        <is>
          <t>AGRASINAR PURIPRATAMA</t>
        </is>
      </c>
      <c r="B20" t="inlineStr">
        <is>
          <t>Kota Semarang</t>
        </is>
      </c>
      <c r="C20" t="inlineStr">
        <is>
          <t>0247475383</t>
        </is>
      </c>
      <c r="D20" t="inlineStr">
        <is>
          <t>agrasinar@yahoo.co.id</t>
        </is>
      </c>
      <c r="E20" t="inlineStr">
        <is>
          <t>https://lpjk.pu.go.id/search-badan-usaha-detail/YTcxanpRRnFXeXVYV0Y5TVBTRi9VZz09</t>
        </is>
      </c>
      <c r="F20" t="n">
        <v>2</v>
      </c>
      <c r="G20" t="inlineStr">
        <is>
          <t>RK001, RK003</t>
        </is>
      </c>
      <c r="H20" t="inlineStr">
        <is>
          <t>15 Januari 1993</t>
        </is>
      </c>
      <c r="I20" s="2" t="n">
        <v>46286</v>
      </c>
      <c r="J20" t="inlineStr">
        <is>
          <t>Disetujui</t>
        </is>
      </c>
      <c r="K20" t="n">
        <v>90</v>
      </c>
      <c r="L20" t="inlineStr">
        <is>
          <t>21 September 2026</t>
        </is>
      </c>
      <c r="M20" t="inlineStr">
        <is>
          <t>Jasa Rekayasa Konstruksi Bangunan Gedung Hunian dan Non Hunian, Jasa Rekayasa Pekerjaan Teknik Sipil Transportasi</t>
        </is>
      </c>
      <c r="N20" t="inlineStr">
        <is>
          <t>K</t>
        </is>
      </c>
      <c r="O20" t="inlineStr">
        <is>
          <t>20230919</t>
        </is>
      </c>
      <c r="P20" t="inlineStr">
        <is>
          <t>Jawa Tengah</t>
        </is>
      </c>
      <c r="Q20" t="inlineStr"/>
    </row>
    <row r="21">
      <c r="A21" t="inlineStr">
        <is>
          <t>ALIF UTAMA KONTRAKTOR</t>
        </is>
      </c>
      <c r="B21" t="inlineStr">
        <is>
          <t>Kab. Solok</t>
        </is>
      </c>
      <c r="C21" t="inlineStr">
        <is>
          <t>081363477500</t>
        </is>
      </c>
      <c r="D21" t="inlineStr">
        <is>
          <t>cvaliefutama@gmail.com</t>
        </is>
      </c>
      <c r="E21" t="inlineStr">
        <is>
          <t>https://lpjk.pu.go.id/search-badan-usaha-detail/b0NjcmRnQVNzMG5SQ3BRa1FoK3d6QT09</t>
        </is>
      </c>
      <c r="F21" t="n">
        <v>1</v>
      </c>
      <c r="G21" t="inlineStr">
        <is>
          <t>BG006</t>
        </is>
      </c>
      <c r="H21" t="inlineStr">
        <is>
          <t>31 Desember 2021</t>
        </is>
      </c>
      <c r="I21" s="2" t="n">
        <v>46286</v>
      </c>
      <c r="J21" t="inlineStr">
        <is>
          <t>Disetujui</t>
        </is>
      </c>
      <c r="K21" t="n">
        <v>90</v>
      </c>
      <c r="L21" t="inlineStr">
        <is>
          <t>21 September 2026</t>
        </is>
      </c>
      <c r="M21" t="inlineStr">
        <is>
          <t>Konstruksi Gedung Pendidikan</t>
        </is>
      </c>
      <c r="N21" t="inlineStr">
        <is>
          <t>K</t>
        </is>
      </c>
      <c r="O21" t="inlineStr">
        <is>
          <t>20230921</t>
        </is>
      </c>
      <c r="P21" t="inlineStr">
        <is>
          <t>Sumatera Barat</t>
        </is>
      </c>
      <c r="Q21" t="inlineStr"/>
    </row>
    <row r="22">
      <c r="A22" t="inlineStr">
        <is>
          <t>ANDRE LINE HUTAMA</t>
        </is>
      </c>
      <c r="B22" t="inlineStr">
        <is>
          <t>Kab. Tabalong</t>
        </is>
      </c>
      <c r="C22" t="inlineStr">
        <is>
          <t>081346849095</t>
        </is>
      </c>
      <c r="D22" t="inlineStr">
        <is>
          <t>andrelinehutama@gmail.com</t>
        </is>
      </c>
      <c r="E22" t="inlineStr">
        <is>
          <t>https://lpjk.pu.go.id/search-badan-usaha-detail/K0g0ckloUHorcTVTcS9Kb0hiNDBZZz09</t>
        </is>
      </c>
      <c r="F22" t="n">
        <v>1</v>
      </c>
      <c r="G22" t="inlineStr">
        <is>
          <t>RK003</t>
        </is>
      </c>
      <c r="H22" t="inlineStr">
        <is>
          <t>28 September 2020</t>
        </is>
      </c>
      <c r="I22" s="2" t="n">
        <v>46286</v>
      </c>
      <c r="J22" t="inlineStr">
        <is>
          <t>Disetujui</t>
        </is>
      </c>
      <c r="K22" t="n">
        <v>90</v>
      </c>
      <c r="L22" t="inlineStr">
        <is>
          <t>21 September 2026</t>
        </is>
      </c>
      <c r="M22" t="inlineStr">
        <is>
          <t>Jasa Rekayasa Pekerjaan Teknik Sipil Transportasi</t>
        </is>
      </c>
      <c r="N22" t="inlineStr">
        <is>
          <t>K</t>
        </is>
      </c>
      <c r="O22" t="inlineStr">
        <is>
          <t>20230914</t>
        </is>
      </c>
      <c r="P22" t="inlineStr">
        <is>
          <t>Kalimantan Selatan</t>
        </is>
      </c>
      <c r="Q22" t="inlineStr"/>
    </row>
    <row r="23">
      <c r="A23" t="inlineStr">
        <is>
          <t>ANGGA ANGGI</t>
        </is>
      </c>
      <c r="B23" t="inlineStr">
        <is>
          <t>Kota Singkawang</t>
        </is>
      </c>
      <c r="C23" t="inlineStr">
        <is>
          <t>082111141511</t>
        </is>
      </c>
      <c r="D23" t="inlineStr">
        <is>
          <t>cvangganggiskw@gmail.com</t>
        </is>
      </c>
      <c r="E23" t="inlineStr">
        <is>
          <t>https://lpjk.pu.go.id/search-badan-usaha-detail/U1RTWlVyZk5tQlBrTVpGN3IzLzJQdz09</t>
        </is>
      </c>
      <c r="F23" t="n">
        <v>1</v>
      </c>
      <c r="G23" t="inlineStr">
        <is>
          <t>BS004</t>
        </is>
      </c>
      <c r="H23" t="inlineStr">
        <is>
          <t>7 Juli 2023</t>
        </is>
      </c>
      <c r="I23" s="2" t="n">
        <v>46286</v>
      </c>
      <c r="J23" t="inlineStr">
        <is>
          <t>Disetujui</t>
        </is>
      </c>
      <c r="K23" t="n">
        <v>90</v>
      </c>
      <c r="L23" t="inlineStr">
        <is>
          <t>21 September 2026</t>
        </is>
      </c>
      <c r="M23" t="inlineStr">
        <is>
          <t>Konstruksi Jaringan Irigasi dan Drainase</t>
        </is>
      </c>
      <c r="N23" t="inlineStr">
        <is>
          <t>K</t>
        </is>
      </c>
      <c r="O23" t="inlineStr">
        <is>
          <t>20230921</t>
        </is>
      </c>
      <c r="P23" t="inlineStr">
        <is>
          <t>Kalimantan Barat</t>
        </is>
      </c>
      <c r="Q23" t="inlineStr"/>
    </row>
    <row r="24">
      <c r="A24" t="inlineStr">
        <is>
          <t>ANUGERAH HATATAH INDAH</t>
        </is>
      </c>
      <c r="B24" t="inlineStr">
        <is>
          <t>Kota Surabaya</t>
        </is>
      </c>
      <c r="C24" t="inlineStr">
        <is>
          <t>0318477323</t>
        </is>
      </c>
      <c r="D24" t="inlineStr">
        <is>
          <t>hatatahindah@gmail.com</t>
        </is>
      </c>
      <c r="E24" t="inlineStr">
        <is>
          <t>https://lpjk.pu.go.id/search-badan-usaha-detail/S05GbHowYVJOaU5waktlcHJaelpLUT09</t>
        </is>
      </c>
      <c r="F24" t="n">
        <v>1</v>
      </c>
      <c r="G24" t="inlineStr">
        <is>
          <t>BG001</t>
        </is>
      </c>
      <c r="H24" t="inlineStr">
        <is>
          <t>9 Desember 2014</t>
        </is>
      </c>
      <c r="I24" s="2" t="n">
        <v>46286</v>
      </c>
      <c r="J24" t="inlineStr">
        <is>
          <t>Pencabutan</t>
        </is>
      </c>
      <c r="K24" t="n">
        <v>90</v>
      </c>
      <c r="L24" t="inlineStr">
        <is>
          <t>21 September 2026</t>
        </is>
      </c>
      <c r="M24" t="inlineStr">
        <is>
          <t>Konstruksi Gedung Hunian</t>
        </is>
      </c>
      <c r="N24" t="inlineStr">
        <is>
          <t>K</t>
        </is>
      </c>
      <c r="O24" t="inlineStr">
        <is>
          <t>20230914</t>
        </is>
      </c>
      <c r="P24" t="inlineStr">
        <is>
          <t>Jawa Timur</t>
        </is>
      </c>
      <c r="Q24" t="inlineStr"/>
    </row>
    <row r="25">
      <c r="A25" t="inlineStr">
        <is>
          <t>ANUGERAH KEMILAU ABADI</t>
        </is>
      </c>
      <c r="B25" t="inlineStr">
        <is>
          <t>Kota Tangerang</t>
        </is>
      </c>
      <c r="C25" t="inlineStr">
        <is>
          <t>02155722499</t>
        </is>
      </c>
      <c r="D25" t="inlineStr">
        <is>
          <t>info.anugerahkemilauabadi@gmail.com</t>
        </is>
      </c>
      <c r="E25" t="inlineStr">
        <is>
          <t>https://lpjk.pu.go.id/search-badan-usaha-detail/SGNkaTFZeS9uSUJzUkhHdGh2SmhEUT09</t>
        </is>
      </c>
      <c r="F25" t="n">
        <v>1</v>
      </c>
      <c r="G25" t="inlineStr">
        <is>
          <t>BG009</t>
        </is>
      </c>
      <c r="H25" t="inlineStr">
        <is>
          <t>19 September 2019</t>
        </is>
      </c>
      <c r="I25" s="2" t="n">
        <v>46286</v>
      </c>
      <c r="J25" t="inlineStr">
        <is>
          <t>Disetujui</t>
        </is>
      </c>
      <c r="K25" t="n">
        <v>90</v>
      </c>
      <c r="L25" t="inlineStr">
        <is>
          <t>21 September 2026</t>
        </is>
      </c>
      <c r="M25" t="inlineStr">
        <is>
          <t>Konstruksi Gedung Lainnya</t>
        </is>
      </c>
      <c r="N25" t="inlineStr">
        <is>
          <t>K</t>
        </is>
      </c>
      <c r="O25" t="inlineStr">
        <is>
          <t>20230921</t>
        </is>
      </c>
      <c r="P25" t="inlineStr">
        <is>
          <t>Banten</t>
        </is>
      </c>
      <c r="Q25" t="inlineStr"/>
    </row>
    <row r="26">
      <c r="A26" t="inlineStr">
        <is>
          <t>ANUGRAH HASIL KARYA</t>
        </is>
      </c>
      <c r="B26" t="inlineStr">
        <is>
          <t>Kota Denpasar</t>
        </is>
      </c>
      <c r="C26" t="inlineStr">
        <is>
          <t>085953866892</t>
        </is>
      </c>
      <c r="D26" t="inlineStr">
        <is>
          <t>ptanugrahhasilkarya@gmail.com</t>
        </is>
      </c>
      <c r="E26" t="inlineStr">
        <is>
          <t>https://lpjk.pu.go.id/search-badan-usaha-detail/WUhma0FYSWVxRHVuOTBMMFVNbTBKUT09</t>
        </is>
      </c>
      <c r="F26" t="n">
        <v>6</v>
      </c>
      <c r="G26" t="inlineStr">
        <is>
          <t>BG001, BG002, BG007</t>
        </is>
      </c>
      <c r="H26" t="inlineStr">
        <is>
          <t>31 Agustus 2023</t>
        </is>
      </c>
      <c r="I26" s="2" t="n">
        <v>46286</v>
      </c>
      <c r="J26" t="inlineStr">
        <is>
          <t>Pencabutan</t>
        </is>
      </c>
      <c r="K26" t="n">
        <v>90</v>
      </c>
      <c r="L26" t="inlineStr">
        <is>
          <t>21 September 2026</t>
        </is>
      </c>
      <c r="M26" t="inlineStr">
        <is>
          <t>Konstruksi Gedung Hunian, Konstruksi Gedung Penginapan, Konstruksi Gedung Perkantoran</t>
        </is>
      </c>
      <c r="N26" t="inlineStr">
        <is>
          <t>K</t>
        </is>
      </c>
      <c r="O26" t="inlineStr">
        <is>
          <t>20230920, 20230921</t>
        </is>
      </c>
      <c r="P26" t="inlineStr">
        <is>
          <t>Bali</t>
        </is>
      </c>
      <c r="Q26" t="inlineStr"/>
    </row>
    <row r="27">
      <c r="A27" t="inlineStr">
        <is>
          <t>ANUGRAH MAHA KARYA PERSADA</t>
        </is>
      </c>
      <c r="B27" t="inlineStr">
        <is>
          <t>Kab. Tuban</t>
        </is>
      </c>
      <c r="C27" t="inlineStr">
        <is>
          <t>082143196801</t>
        </is>
      </c>
      <c r="D27" t="inlineStr">
        <is>
          <t>pt.amkpersada@gmail.com</t>
        </is>
      </c>
      <c r="E27" t="inlineStr">
        <is>
          <t>https://lpjk.pu.go.id/search-badan-usaha-detail/WWtvUElndjdnNGNDbXdOUiswalhhZz09</t>
        </is>
      </c>
      <c r="F27" t="n">
        <v>2</v>
      </c>
      <c r="G27" t="inlineStr">
        <is>
          <t>BS004</t>
        </is>
      </c>
      <c r="H27" t="inlineStr">
        <is>
          <t>11 Maret 2020</t>
        </is>
      </c>
      <c r="I27" s="2" t="n">
        <v>46286</v>
      </c>
      <c r="J27" t="inlineStr">
        <is>
          <t>Disetujui</t>
        </is>
      </c>
      <c r="K27" t="n">
        <v>90</v>
      </c>
      <c r="L27" t="inlineStr">
        <is>
          <t>21 September 2026</t>
        </is>
      </c>
      <c r="M27" t="inlineStr">
        <is>
          <t>Konstruksi Jaringan Irigasi dan Drainase</t>
        </is>
      </c>
      <c r="N27" t="inlineStr">
        <is>
          <t>K</t>
        </is>
      </c>
      <c r="O27" t="inlineStr">
        <is>
          <t>20230914</t>
        </is>
      </c>
      <c r="P27" t="inlineStr">
        <is>
          <t>Jawa Timur</t>
        </is>
      </c>
      <c r="Q27" t="inlineStr"/>
    </row>
    <row r="28">
      <c r="A28" t="inlineStr">
        <is>
          <t>AQILA KONSTRUKSI</t>
        </is>
      </c>
      <c r="B28" t="inlineStr">
        <is>
          <t>Kab. Pasaman</t>
        </is>
      </c>
      <c r="C28" t="inlineStr">
        <is>
          <t>081266158893</t>
        </is>
      </c>
      <c r="D28" t="inlineStr">
        <is>
          <t>a.kontruksi78@gmail.com</t>
        </is>
      </c>
      <c r="E28" t="inlineStr">
        <is>
          <t>https://lpjk.pu.go.id/search-badan-usaha-detail/ZEdRVHloZXorQVczdnRQOVR0OTMrQT09</t>
        </is>
      </c>
      <c r="F28" t="n">
        <v>1</v>
      </c>
      <c r="G28" t="inlineStr">
        <is>
          <t>BS001</t>
        </is>
      </c>
      <c r="H28" t="inlineStr">
        <is>
          <t>26 April 2016</t>
        </is>
      </c>
      <c r="I28" s="2" t="n">
        <v>46286</v>
      </c>
      <c r="J28" t="inlineStr">
        <is>
          <t>Disetujui</t>
        </is>
      </c>
      <c r="K28" t="n">
        <v>90</v>
      </c>
      <c r="L28" t="inlineStr">
        <is>
          <t>21 September 2026</t>
        </is>
      </c>
      <c r="M28" t="inlineStr">
        <is>
          <t>Konstruksi Bangunan Sipil Jalan</t>
        </is>
      </c>
      <c r="N28" t="inlineStr">
        <is>
          <t>K</t>
        </is>
      </c>
      <c r="O28" t="inlineStr">
        <is>
          <t>20230920</t>
        </is>
      </c>
      <c r="P28" t="inlineStr">
        <is>
          <t>Sumatera Barat</t>
        </is>
      </c>
      <c r="Q28" t="inlineStr"/>
    </row>
    <row r="29">
      <c r="A29" t="inlineStr">
        <is>
          <t>AQSA</t>
        </is>
      </c>
      <c r="B29" t="inlineStr">
        <is>
          <t>Kab. Kubu Raya</t>
        </is>
      </c>
      <c r="C29" t="inlineStr">
        <is>
          <t>081522709908</t>
        </is>
      </c>
      <c r="D29" t="inlineStr">
        <is>
          <t>aqsacv01@gmail.com</t>
        </is>
      </c>
      <c r="E29" t="inlineStr">
        <is>
          <t>https://lpjk.pu.go.id/search-badan-usaha-detail/QjUxSlE4MTd2aHo3eG9YQmtEZXg3dz09</t>
        </is>
      </c>
      <c r="F29" t="n">
        <v>1</v>
      </c>
      <c r="G29" t="inlineStr">
        <is>
          <t>BG006</t>
        </is>
      </c>
      <c r="H29" t="inlineStr">
        <is>
          <t>19 Januari 2019</t>
        </is>
      </c>
      <c r="I29" s="2" t="n">
        <v>46286</v>
      </c>
      <c r="J29" t="inlineStr">
        <is>
          <t>Pencabutan</t>
        </is>
      </c>
      <c r="K29" t="n">
        <v>90</v>
      </c>
      <c r="L29" t="inlineStr">
        <is>
          <t>21 September 2026</t>
        </is>
      </c>
      <c r="M29" t="inlineStr">
        <is>
          <t>Konstruksi Gedung Pendidikan</t>
        </is>
      </c>
      <c r="N29" t="inlineStr">
        <is>
          <t>K</t>
        </is>
      </c>
      <c r="O29" t="inlineStr">
        <is>
          <t>20230921</t>
        </is>
      </c>
      <c r="P29" t="inlineStr">
        <is>
          <t>Kalimantan Barat</t>
        </is>
      </c>
      <c r="Q29" t="inlineStr"/>
    </row>
    <row r="30">
      <c r="A30" t="inlineStr">
        <is>
          <t>ARAFAH ALAM SEJAHTERA</t>
        </is>
      </c>
      <c r="B30" t="inlineStr">
        <is>
          <t>Kota Padang</t>
        </is>
      </c>
      <c r="C30" t="inlineStr">
        <is>
          <t>085265477717</t>
        </is>
      </c>
      <c r="D30" t="inlineStr">
        <is>
          <t>tarinaldihidrat@yahoo.co.id</t>
        </is>
      </c>
      <c r="E30" t="inlineStr">
        <is>
          <t>https://lpjk.pu.go.id/search-badan-usaha-detail/L3FMUjZ1MGRUcDBEV2VoTlplZzEydz09</t>
        </is>
      </c>
      <c r="F30" t="n">
        <v>2</v>
      </c>
      <c r="G30" t="inlineStr">
        <is>
          <t>BS010</t>
        </is>
      </c>
      <c r="H30" t="inlineStr">
        <is>
          <t>16 April 2003</t>
        </is>
      </c>
      <c r="I30" s="2" t="n">
        <v>46286</v>
      </c>
      <c r="J30" t="inlineStr">
        <is>
          <t>Disetujui</t>
        </is>
      </c>
      <c r="K30" t="n">
        <v>90</v>
      </c>
      <c r="L30" t="inlineStr">
        <is>
          <t>21 September 2026</t>
        </is>
      </c>
      <c r="M30" t="inlineStr">
        <is>
          <t>Konstruksi Bangunan Prasarana Sumber Daya Air</t>
        </is>
      </c>
      <c r="N30" t="inlineStr">
        <is>
          <t>B</t>
        </is>
      </c>
      <c r="O30" t="inlineStr">
        <is>
          <t>20230827</t>
        </is>
      </c>
      <c r="P30" t="inlineStr">
        <is>
          <t>Sumatera Barat</t>
        </is>
      </c>
      <c r="Q30" t="inlineStr"/>
    </row>
    <row r="31">
      <c r="A31" t="inlineStr">
        <is>
          <t>ARDI TEKINDO PERKASA</t>
        </is>
      </c>
      <c r="B31" t="inlineStr">
        <is>
          <t>Kota Surabaya</t>
        </is>
      </c>
      <c r="C31" t="inlineStr">
        <is>
          <t>0318283020</t>
        </is>
      </c>
      <c r="D31" t="inlineStr">
        <is>
          <t>ptarditekindoperkasa@yahoo.com</t>
        </is>
      </c>
      <c r="E31" t="inlineStr">
        <is>
          <t>https://lpjk.pu.go.id/search-badan-usaha-detail/QzFuTWptaWJPZDlaZWpzZnQyd3o4dz09</t>
        </is>
      </c>
      <c r="F31" t="n">
        <v>1</v>
      </c>
      <c r="G31" t="inlineStr">
        <is>
          <t>BS010</t>
        </is>
      </c>
      <c r="H31" t="inlineStr">
        <is>
          <t>28 Mei 1997</t>
        </is>
      </c>
      <c r="I31" s="2" t="n">
        <v>46286</v>
      </c>
      <c r="J31" t="inlineStr">
        <is>
          <t>Disetujui</t>
        </is>
      </c>
      <c r="K31" t="n">
        <v>90</v>
      </c>
      <c r="L31" t="inlineStr">
        <is>
          <t>21 September 2026</t>
        </is>
      </c>
      <c r="M31" t="inlineStr">
        <is>
          <t>Konstruksi Bangunan Prasarana Sumber Daya Air</t>
        </is>
      </c>
      <c r="N31" t="inlineStr">
        <is>
          <t>B</t>
        </is>
      </c>
      <c r="O31" t="inlineStr">
        <is>
          <t>20230915</t>
        </is>
      </c>
      <c r="P31" t="inlineStr">
        <is>
          <t>Jawa Timur</t>
        </is>
      </c>
      <c r="Q31" t="inlineStr"/>
    </row>
    <row r="32">
      <c r="A32" t="inlineStr">
        <is>
          <t>ARIA JAYA RAYA</t>
        </is>
      </c>
      <c r="B32" t="inlineStr">
        <is>
          <t>Kab. Lombok Barat</t>
        </is>
      </c>
      <c r="C32" t="inlineStr">
        <is>
          <t>085237354982</t>
        </is>
      </c>
      <c r="D32" t="inlineStr">
        <is>
          <t>ajr.ariajayaraya@gmail.com</t>
        </is>
      </c>
      <c r="E32" t="inlineStr">
        <is>
          <t>https://lpjk.pu.go.id/search-badan-usaha-detail/eHl3VGJ3OW1qcVhCVFpCcjVRUExVUT09</t>
        </is>
      </c>
      <c r="F32" t="n">
        <v>1</v>
      </c>
      <c r="G32" t="inlineStr">
        <is>
          <t>BG002</t>
        </is>
      </c>
      <c r="H32" t="inlineStr">
        <is>
          <t>23 Maret 1983</t>
        </is>
      </c>
      <c r="I32" s="2" t="n">
        <v>46286</v>
      </c>
      <c r="J32" t="inlineStr">
        <is>
          <t>Disetujui</t>
        </is>
      </c>
      <c r="K32" t="n">
        <v>90</v>
      </c>
      <c r="L32" t="inlineStr">
        <is>
          <t>21 September 2026</t>
        </is>
      </c>
      <c r="M32" t="inlineStr">
        <is>
          <t>Konstruksi Gedung Perkantoran</t>
        </is>
      </c>
      <c r="N32" t="inlineStr">
        <is>
          <t>M</t>
        </is>
      </c>
      <c r="O32" t="inlineStr">
        <is>
          <t>20230906</t>
        </is>
      </c>
      <c r="P32" t="inlineStr">
        <is>
          <t>Nusa Tenggara Barat</t>
        </is>
      </c>
      <c r="Q32" t="inlineStr"/>
    </row>
    <row r="33">
      <c r="A33" t="inlineStr">
        <is>
          <t>ARIMULTI ENGINEERING</t>
        </is>
      </c>
      <c r="B33" t="inlineStr">
        <is>
          <t>Kota Bandung</t>
        </is>
      </c>
      <c r="C33" t="inlineStr">
        <is>
          <t>0227332135</t>
        </is>
      </c>
      <c r="D33" t="inlineStr">
        <is>
          <t>arimultiengineering@gmail.com</t>
        </is>
      </c>
      <c r="E33" t="inlineStr">
        <is>
          <t>https://lpjk.pu.go.id/search-badan-usaha-detail/Yitwbk9qdUU4YjNUY09rN1Y1VFJSQT09</t>
        </is>
      </c>
      <c r="F33" t="n">
        <v>1</v>
      </c>
      <c r="G33" t="inlineStr">
        <is>
          <t>BG009</t>
        </is>
      </c>
      <c r="H33" t="inlineStr">
        <is>
          <t>15 Juli 1987</t>
        </is>
      </c>
      <c r="I33" s="2" t="n">
        <v>46286</v>
      </c>
      <c r="J33" t="inlineStr">
        <is>
          <t>Disetujui</t>
        </is>
      </c>
      <c r="K33" t="n">
        <v>90</v>
      </c>
      <c r="L33" t="inlineStr">
        <is>
          <t>21 September 2026</t>
        </is>
      </c>
      <c r="M33" t="inlineStr">
        <is>
          <t>Konstruksi Gedung Lainnya</t>
        </is>
      </c>
      <c r="N33" t="inlineStr">
        <is>
          <t>K</t>
        </is>
      </c>
      <c r="O33" t="inlineStr">
        <is>
          <t>20230920</t>
        </is>
      </c>
      <c r="P33" t="inlineStr">
        <is>
          <t>Jawa Barat</t>
        </is>
      </c>
      <c r="Q33" t="inlineStr"/>
    </row>
    <row r="34">
      <c r="A34" t="inlineStr">
        <is>
          <t>ARJUNA JAYA KONSULTAN</t>
        </is>
      </c>
      <c r="B34" t="inlineStr">
        <is>
          <t>Kota Surabaya</t>
        </is>
      </c>
      <c r="C34" t="inlineStr">
        <is>
          <t>0318299389</t>
        </is>
      </c>
      <c r="D34" t="inlineStr">
        <is>
          <t>arjunajayakons@gmail.com</t>
        </is>
      </c>
      <c r="E34" t="inlineStr">
        <is>
          <t>https://lpjk.pu.go.id/search-badan-usaha-detail/aUwwZ0tVRkVHampZYzF4U29nL2JKZz09</t>
        </is>
      </c>
      <c r="F34" t="n">
        <v>3</v>
      </c>
      <c r="G34" t="inlineStr">
        <is>
          <t>RK001, RK002, RK003</t>
        </is>
      </c>
      <c r="H34" t="inlineStr">
        <is>
          <t>22 Juni 2012</t>
        </is>
      </c>
      <c r="I34" s="2" t="n">
        <v>46286</v>
      </c>
      <c r="J34" t="inlineStr">
        <is>
          <t>Disetujui</t>
        </is>
      </c>
      <c r="K34" t="n">
        <v>90</v>
      </c>
      <c r="L34" t="inlineStr">
        <is>
          <t>21 September 2026</t>
        </is>
      </c>
      <c r="M34" t="inlineStr">
        <is>
          <t>Jasa Rekayasa Konstruksi Bangunan Gedung Hunian dan Non Hunian, Jasa Rekayasa Pekerjaan Teknik Sipil Sumber Daya Air, Jasa Rekayasa Pekerjaan Teknik Sipil Transportasi</t>
        </is>
      </c>
      <c r="N34" t="inlineStr">
        <is>
          <t>K</t>
        </is>
      </c>
      <c r="O34" t="inlineStr">
        <is>
          <t>20230904</t>
        </is>
      </c>
      <c r="P34" t="inlineStr">
        <is>
          <t>Jawa Timur</t>
        </is>
      </c>
      <c r="Q34" t="inlineStr"/>
    </row>
    <row r="35">
      <c r="A35" t="inlineStr">
        <is>
          <t>ARMADA YUDHA PERKASA</t>
        </is>
      </c>
      <c r="B35" t="inlineStr">
        <is>
          <t>Kab. Jembrana</t>
        </is>
      </c>
      <c r="C35" t="inlineStr">
        <is>
          <t>081337678896</t>
        </is>
      </c>
      <c r="D35" t="inlineStr">
        <is>
          <t>cv.armadayudhaperkasa@ymail.com</t>
        </is>
      </c>
      <c r="E35" t="inlineStr">
        <is>
          <t>https://lpjk.pu.go.id/search-badan-usaha-detail/MWxlendVZ0hIem9wOW4wazNQNUZ6dz09</t>
        </is>
      </c>
      <c r="F35" t="n">
        <v>3</v>
      </c>
      <c r="G35" t="inlineStr">
        <is>
          <t>BG002, BG006, BG009</t>
        </is>
      </c>
      <c r="H35" t="inlineStr">
        <is>
          <t>18 Februari 2010</t>
        </is>
      </c>
      <c r="I35" s="2" t="n">
        <v>46286</v>
      </c>
      <c r="J35" t="inlineStr">
        <is>
          <t>Disetujui</t>
        </is>
      </c>
      <c r="K35" t="n">
        <v>90</v>
      </c>
      <c r="L35" t="inlineStr">
        <is>
          <t>21 September 2026</t>
        </is>
      </c>
      <c r="M35" t="inlineStr">
        <is>
          <t>Konstruksi Gedung Lainnya, Konstruksi Gedung Pendidikan, Konstruksi Gedung Perkantoran</t>
        </is>
      </c>
      <c r="N35" t="inlineStr">
        <is>
          <t>K</t>
        </is>
      </c>
      <c r="O35" t="inlineStr">
        <is>
          <t>20230913, 20230915</t>
        </is>
      </c>
      <c r="P35" t="inlineStr">
        <is>
          <t>Bali</t>
        </is>
      </c>
      <c r="Q35" t="inlineStr"/>
    </row>
    <row r="36">
      <c r="A36" t="inlineStr">
        <is>
          <t>ARSHAKA CIPTA ADHIDAYA</t>
        </is>
      </c>
      <c r="B36" t="inlineStr">
        <is>
          <t>Kab. Subang</t>
        </is>
      </c>
      <c r="C36" t="inlineStr">
        <is>
          <t>081224652201</t>
        </is>
      </c>
      <c r="D36" t="inlineStr">
        <is>
          <t>arshakacipta.adhidaya@gmail.com</t>
        </is>
      </c>
      <c r="E36" t="inlineStr">
        <is>
          <t>https://lpjk.pu.go.id/search-badan-usaha-detail/QjNnQWhQbzJMQVdKMlVReVl1bHdOZz09</t>
        </is>
      </c>
      <c r="F36" t="n">
        <v>2</v>
      </c>
      <c r="G36" t="inlineStr">
        <is>
          <t>BG003</t>
        </is>
      </c>
      <c r="H36" t="inlineStr">
        <is>
          <t>13 Februari 2023</t>
        </is>
      </c>
      <c r="I36" s="2" t="n">
        <v>46286</v>
      </c>
      <c r="J36" t="inlineStr">
        <is>
          <t>Disetujui</t>
        </is>
      </c>
      <c r="K36" t="n">
        <v>90</v>
      </c>
      <c r="L36" t="inlineStr">
        <is>
          <t>21 September 2026</t>
        </is>
      </c>
      <c r="M36" t="inlineStr">
        <is>
          <t>Konstruksi Gedung Industri</t>
        </is>
      </c>
      <c r="N36" t="inlineStr">
        <is>
          <t>K</t>
        </is>
      </c>
      <c r="O36" t="inlineStr">
        <is>
          <t>20230921</t>
        </is>
      </c>
      <c r="P36" t="inlineStr">
        <is>
          <t>Jawa Barat</t>
        </is>
      </c>
      <c r="Q36" t="inlineStr"/>
    </row>
    <row r="37">
      <c r="A37" t="inlineStr">
        <is>
          <t>ARTHA KARYA</t>
        </is>
      </c>
      <c r="B37" t="inlineStr">
        <is>
          <t>Kab. Pasaman Barat</t>
        </is>
      </c>
      <c r="C37" t="inlineStr">
        <is>
          <t>081268130209</t>
        </is>
      </c>
      <c r="D37" t="inlineStr">
        <is>
          <t>arthakarya.yusuf@gmail.com</t>
        </is>
      </c>
      <c r="E37" t="inlineStr">
        <is>
          <t>https://lpjk.pu.go.id/search-badan-usaha-detail/dUV2WjVUZm1RT29tZ3NzNHNUeHVvdz09</t>
        </is>
      </c>
      <c r="F37" t="n">
        <v>1</v>
      </c>
      <c r="G37" t="inlineStr">
        <is>
          <t>BG001</t>
        </is>
      </c>
      <c r="H37" t="inlineStr">
        <is>
          <t>20 Februari 2007</t>
        </is>
      </c>
      <c r="I37" s="2" t="n">
        <v>46286</v>
      </c>
      <c r="J37" t="inlineStr">
        <is>
          <t>Disetujui</t>
        </is>
      </c>
      <c r="K37" t="n">
        <v>90</v>
      </c>
      <c r="L37" t="inlineStr">
        <is>
          <t>21 September 2026</t>
        </is>
      </c>
      <c r="M37" t="inlineStr">
        <is>
          <t>Konstruksi Gedung Hunian</t>
        </is>
      </c>
      <c r="N37" t="inlineStr">
        <is>
          <t>K</t>
        </is>
      </c>
      <c r="O37" t="inlineStr">
        <is>
          <t>20230920</t>
        </is>
      </c>
      <c r="P37" t="inlineStr">
        <is>
          <t>Sumatera Barat</t>
        </is>
      </c>
      <c r="Q37" t="inlineStr"/>
    </row>
    <row r="38">
      <c r="A38" t="inlineStr">
        <is>
          <t>ASRI PRATAMA</t>
        </is>
      </c>
      <c r="B38" t="inlineStr">
        <is>
          <t>Kab. Nabire</t>
        </is>
      </c>
      <c r="C38" t="inlineStr">
        <is>
          <t>082243888222</t>
        </is>
      </c>
      <c r="D38" t="inlineStr">
        <is>
          <t>cv.asripratama.nabire@gmail.com</t>
        </is>
      </c>
      <c r="E38" t="inlineStr">
        <is>
          <t>https://lpjk.pu.go.id/search-badan-usaha-detail/aXVVaXkrcXIxLzVnU2hROXNFWGFsUT09</t>
        </is>
      </c>
      <c r="F38" t="n">
        <v>2</v>
      </c>
      <c r="G38" t="inlineStr">
        <is>
          <t>BG005, BG006</t>
        </is>
      </c>
      <c r="H38" t="inlineStr">
        <is>
          <t>3 Agustus 1999</t>
        </is>
      </c>
      <c r="I38" s="2" t="n">
        <v>46286</v>
      </c>
      <c r="J38" t="inlineStr">
        <is>
          <t>Disetujui</t>
        </is>
      </c>
      <c r="K38" t="n">
        <v>90</v>
      </c>
      <c r="L38" t="inlineStr">
        <is>
          <t>21 September 2026</t>
        </is>
      </c>
      <c r="M38" t="inlineStr">
        <is>
          <t>Konstruksi Gedung Kesehatan, Konstruksi Gedung Pendidikan</t>
        </is>
      </c>
      <c r="N38" t="inlineStr">
        <is>
          <t>K</t>
        </is>
      </c>
      <c r="O38" t="inlineStr">
        <is>
          <t>20230912</t>
        </is>
      </c>
      <c r="P38" t="inlineStr">
        <is>
          <t>Papua</t>
        </is>
      </c>
      <c r="Q38" t="inlineStr"/>
    </row>
    <row r="39">
      <c r="A39" t="inlineStr">
        <is>
          <t>BADIA KARYA</t>
        </is>
      </c>
      <c r="B39" t="inlineStr">
        <is>
          <t>Kab. Pangandaran</t>
        </is>
      </c>
      <c r="C39" t="inlineStr">
        <is>
          <t>085280391199</t>
        </is>
      </c>
      <c r="D39" t="inlineStr">
        <is>
          <t>cv.badiakarya91@gmail.com</t>
        </is>
      </c>
      <c r="E39" t="inlineStr">
        <is>
          <t>https://lpjk.pu.go.id/search-badan-usaha-detail/c1Jwc25tY2dzempEREthUjFOMzIrdz09</t>
        </is>
      </c>
      <c r="F39" t="n">
        <v>1</v>
      </c>
      <c r="G39" t="inlineStr">
        <is>
          <t>BG001</t>
        </is>
      </c>
      <c r="H39" t="inlineStr">
        <is>
          <t>10 Februari 2012</t>
        </is>
      </c>
      <c r="I39" s="2" t="n">
        <v>46286</v>
      </c>
      <c r="J39" t="inlineStr">
        <is>
          <t>Disetujui</t>
        </is>
      </c>
      <c r="K39" t="n">
        <v>90</v>
      </c>
      <c r="L39" t="inlineStr">
        <is>
          <t>21 September 2026</t>
        </is>
      </c>
      <c r="M39" t="inlineStr">
        <is>
          <t>Konstruksi Gedung Hunian</t>
        </is>
      </c>
      <c r="N39" t="inlineStr">
        <is>
          <t>K</t>
        </is>
      </c>
      <c r="O39" t="inlineStr">
        <is>
          <t>20230912</t>
        </is>
      </c>
      <c r="P39" t="inlineStr">
        <is>
          <t>Jawa Barat</t>
        </is>
      </c>
      <c r="Q39" t="inlineStr"/>
    </row>
    <row r="40">
      <c r="A40" t="inlineStr">
        <is>
          <t>BAGINDA ABABIEL</t>
        </is>
      </c>
      <c r="B40" t="inlineStr">
        <is>
          <t>Kab. Tuban</t>
        </is>
      </c>
      <c r="C40" t="inlineStr">
        <is>
          <t>0821790004444</t>
        </is>
      </c>
      <c r="D40" t="inlineStr">
        <is>
          <t>a.baginda@yahoo.com</t>
        </is>
      </c>
      <c r="E40" t="inlineStr">
        <is>
          <t>https://lpjk.pu.go.id/search-badan-usaha-detail/VENxc01qN0dmY01WOUVmNG10Vkp3UT09</t>
        </is>
      </c>
      <c r="F40" t="n">
        <v>1</v>
      </c>
      <c r="G40" t="inlineStr">
        <is>
          <t>BS001</t>
        </is>
      </c>
      <c r="H40" t="inlineStr">
        <is>
          <t>11 Desember 2017</t>
        </is>
      </c>
      <c r="I40" s="2" t="n">
        <v>46286</v>
      </c>
      <c r="J40" t="inlineStr">
        <is>
          <t>Disetujui</t>
        </is>
      </c>
      <c r="K40" t="n">
        <v>90</v>
      </c>
      <c r="L40" t="inlineStr">
        <is>
          <t>21 September 2026</t>
        </is>
      </c>
      <c r="M40" t="inlineStr">
        <is>
          <t>Konstruksi Bangunan Sipil Jalan</t>
        </is>
      </c>
      <c r="N40" t="inlineStr">
        <is>
          <t>K</t>
        </is>
      </c>
      <c r="O40" t="inlineStr">
        <is>
          <t>20230917</t>
        </is>
      </c>
      <c r="P40" t="inlineStr">
        <is>
          <t>Jawa Timur</t>
        </is>
      </c>
      <c r="Q40" t="inlineStr"/>
    </row>
    <row r="41">
      <c r="A41" t="inlineStr">
        <is>
          <t>BANGUN PRATAMA MANDIRI</t>
        </is>
      </c>
      <c r="B41" t="inlineStr">
        <is>
          <t>Kab. Banyuwangi</t>
        </is>
      </c>
      <c r="C41" t="inlineStr">
        <is>
          <t>085257543815</t>
        </is>
      </c>
      <c r="D41" t="inlineStr">
        <is>
          <t>cv_bangunpratamamandiri@ymail.com</t>
        </is>
      </c>
      <c r="E41" t="inlineStr">
        <is>
          <t>https://lpjk.pu.go.id/search-badan-usaha-detail/VFJmVGtDeWl1aTE1M0h0Sk1mVGg5UT09</t>
        </is>
      </c>
      <c r="F41" t="n">
        <v>1</v>
      </c>
      <c r="G41" t="inlineStr">
        <is>
          <t>BG002</t>
        </is>
      </c>
      <c r="H41" t="inlineStr">
        <is>
          <t>22 November 2007</t>
        </is>
      </c>
      <c r="I41" s="2" t="n">
        <v>46286</v>
      </c>
      <c r="J41" t="inlineStr">
        <is>
          <t>Disetujui</t>
        </is>
      </c>
      <c r="K41" t="n">
        <v>90</v>
      </c>
      <c r="L41" t="inlineStr">
        <is>
          <t>21 September 2026</t>
        </is>
      </c>
      <c r="M41" t="inlineStr">
        <is>
          <t>Konstruksi Gedung Perkantoran</t>
        </is>
      </c>
      <c r="N41" t="inlineStr">
        <is>
          <t>K</t>
        </is>
      </c>
      <c r="O41" t="inlineStr">
        <is>
          <t>20230919</t>
        </is>
      </c>
      <c r="P41" t="inlineStr">
        <is>
          <t>Jawa Timur</t>
        </is>
      </c>
      <c r="Q41" t="inlineStr"/>
    </row>
    <row r="42">
      <c r="A42" t="inlineStr">
        <is>
          <t>BATU ALAS PERMATA</t>
        </is>
      </c>
      <c r="B42" t="inlineStr">
        <is>
          <t>Kota Adm. Jakarta Barat</t>
        </is>
      </c>
      <c r="C42" t="inlineStr">
        <is>
          <t>02122528514</t>
        </is>
      </c>
      <c r="D42" t="inlineStr">
        <is>
          <t>batualaspermatapt@yahoo.com</t>
        </is>
      </c>
      <c r="E42" t="inlineStr">
        <is>
          <t>https://lpjk.pu.go.id/search-badan-usaha-detail/cGhROGc5V2JXbytVZS9mZ0cwekN6dz09</t>
        </is>
      </c>
      <c r="F42" t="n">
        <v>3</v>
      </c>
      <c r="G42" t="inlineStr">
        <is>
          <t>BG003, BG006, BG009</t>
        </is>
      </c>
      <c r="H42" t="inlineStr">
        <is>
          <t>15 April 1998</t>
        </is>
      </c>
      <c r="I42" s="2" t="n">
        <v>46286</v>
      </c>
      <c r="J42" t="inlineStr">
        <is>
          <t>Disetujui</t>
        </is>
      </c>
      <c r="K42" t="n">
        <v>90</v>
      </c>
      <c r="L42" t="inlineStr">
        <is>
          <t>21 September 2026</t>
        </is>
      </c>
      <c r="M42" t="inlineStr">
        <is>
          <t>Konstruksi Gedung Industri, Konstruksi Gedung Lainnya, Konstruksi Gedung Pendidikan</t>
        </is>
      </c>
      <c r="N42" t="inlineStr">
        <is>
          <t>K</t>
        </is>
      </c>
      <c r="O42" t="inlineStr">
        <is>
          <t>20230919</t>
        </is>
      </c>
      <c r="P42" t="inlineStr">
        <is>
          <t>DKI Jakarta</t>
        </is>
      </c>
      <c r="Q42" t="inlineStr"/>
    </row>
    <row r="43">
      <c r="A43" t="inlineStr">
        <is>
          <t>BAYU PRATAMA PUTRA</t>
        </is>
      </c>
      <c r="B43" t="inlineStr">
        <is>
          <t>Kota Palembang</t>
        </is>
      </c>
      <c r="C43" t="inlineStr">
        <is>
          <t>0</t>
        </is>
      </c>
      <c r="D43" t="inlineStr">
        <is>
          <t>cvbayuputrapratama@gmail.com</t>
        </is>
      </c>
      <c r="E43" t="inlineStr">
        <is>
          <t>https://lpjk.pu.go.id/search-badan-usaha-detail/RVBDZ3NwcjZXZXhjd0YzZGFaNmhuQT09</t>
        </is>
      </c>
      <c r="F43" t="n">
        <v>4</v>
      </c>
      <c r="G43" t="inlineStr">
        <is>
          <t>BG006, BG008, BG009, BS004</t>
        </is>
      </c>
      <c r="H43" t="inlineStr">
        <is>
          <t>8 September 1995</t>
        </is>
      </c>
      <c r="I43" s="2" t="n">
        <v>46286</v>
      </c>
      <c r="J43" t="inlineStr">
        <is>
          <t>Disetujui</t>
        </is>
      </c>
      <c r="K43" t="n">
        <v>90</v>
      </c>
      <c r="L43" t="inlineStr">
        <is>
          <t>21 September 2026</t>
        </is>
      </c>
      <c r="M43" t="inlineStr">
        <is>
          <t>Konstruksi Gedung Lainnya, Konstruksi Gedung Pendidikan, Konstruksi Gedung Tempat Hiburan dan Olahraga, Konstruksi Jaringan Irigasi dan Drainase</t>
        </is>
      </c>
      <c r="N43" t="inlineStr">
        <is>
          <t>K</t>
        </is>
      </c>
      <c r="O43" t="inlineStr">
        <is>
          <t>20230920</t>
        </is>
      </c>
      <c r="P43" t="inlineStr">
        <is>
          <t>Sumatera Selatan</t>
        </is>
      </c>
      <c r="Q43" t="inlineStr"/>
    </row>
    <row r="44">
      <c r="A44" t="inlineStr">
        <is>
          <t>BERDIKARI PONDASI PERKASA</t>
        </is>
      </c>
      <c r="B44" t="inlineStr">
        <is>
          <t>Kab. Berau</t>
        </is>
      </c>
      <c r="C44" t="inlineStr">
        <is>
          <t>085246534551</t>
        </is>
      </c>
      <c r="D44" t="inlineStr">
        <is>
          <t>bpp.perkasa@gmail.com</t>
        </is>
      </c>
      <c r="E44" t="inlineStr">
        <is>
          <t>https://lpjk.pu.go.id/search-badan-usaha-detail/V3U2dk4wQk4rTnZHR3BNbkVDR1JiZz09</t>
        </is>
      </c>
      <c r="F44" t="n">
        <v>1</v>
      </c>
      <c r="G44" t="inlineStr">
        <is>
          <t>BS010</t>
        </is>
      </c>
      <c r="H44" t="inlineStr">
        <is>
          <t>2 Februari 2016</t>
        </is>
      </c>
      <c r="I44" s="2" t="n">
        <v>46286</v>
      </c>
      <c r="J44" t="inlineStr">
        <is>
          <t>Disetujui</t>
        </is>
      </c>
      <c r="K44" t="n">
        <v>90</v>
      </c>
      <c r="L44" t="inlineStr">
        <is>
          <t>21 September 2026</t>
        </is>
      </c>
      <c r="M44" t="inlineStr">
        <is>
          <t>Konstruksi Bangunan Prasarana Sumber Daya Air</t>
        </is>
      </c>
      <c r="N44" t="inlineStr">
        <is>
          <t>K</t>
        </is>
      </c>
      <c r="O44" t="inlineStr">
        <is>
          <t>20230919</t>
        </is>
      </c>
      <c r="P44" t="inlineStr">
        <is>
          <t>Kalimantan Timur</t>
        </is>
      </c>
      <c r="Q44" t="inlineStr"/>
    </row>
    <row r="45">
      <c r="A45" t="inlineStr">
        <is>
          <t>BIAS SARANA REZEKI</t>
        </is>
      </c>
      <c r="B45" t="inlineStr">
        <is>
          <t>Kota Medan</t>
        </is>
      </c>
      <c r="C45" t="inlineStr">
        <is>
          <t>081262528855</t>
        </is>
      </c>
      <c r="D45" t="inlineStr">
        <is>
          <t>pt.bias_saranarezeki@hotmail.com</t>
        </is>
      </c>
      <c r="E45" t="inlineStr">
        <is>
          <t>https://lpjk.pu.go.id/search-badan-usaha-detail/dGNWVG8vTml5K0QxU05WM0kwem5KUT09</t>
        </is>
      </c>
      <c r="F45" t="n">
        <v>2</v>
      </c>
      <c r="G45" t="inlineStr">
        <is>
          <t>BG009, BS003</t>
        </is>
      </c>
      <c r="H45" t="inlineStr">
        <is>
          <t>2 Februari 2018</t>
        </is>
      </c>
      <c r="I45" s="2" t="n">
        <v>46286</v>
      </c>
      <c r="J45" t="inlineStr">
        <is>
          <t>Disetujui</t>
        </is>
      </c>
      <c r="K45" t="n">
        <v>90</v>
      </c>
      <c r="L45" t="inlineStr">
        <is>
          <t>21 September 2026</t>
        </is>
      </c>
      <c r="M45" t="inlineStr">
        <is>
          <t>Konstruksi Gedung Lainnya, Konstruksi Jalan Rel</t>
        </is>
      </c>
      <c r="N45" t="inlineStr">
        <is>
          <t>K</t>
        </is>
      </c>
      <c r="O45" t="inlineStr">
        <is>
          <t>20230920</t>
        </is>
      </c>
      <c r="P45" t="inlineStr">
        <is>
          <t>Sumatera Utara</t>
        </is>
      </c>
      <c r="Q45" t="inlineStr"/>
    </row>
    <row r="46">
      <c r="A46" t="inlineStr">
        <is>
          <t>BINA MITRA UTAMA</t>
        </is>
      </c>
      <c r="B46" t="inlineStr">
        <is>
          <t>Kab. Sintang</t>
        </is>
      </c>
      <c r="C46" t="inlineStr">
        <is>
          <t>085822446364</t>
        </is>
      </c>
      <c r="D46" t="inlineStr">
        <is>
          <t>binamitra85@gmail.com</t>
        </is>
      </c>
      <c r="E46" t="inlineStr">
        <is>
          <t>https://lpjk.pu.go.id/search-badan-usaha-detail/VEJvZ25OdkxsTWxSRUxyS1lzRk5TZz09</t>
        </is>
      </c>
      <c r="F46" t="n">
        <v>1</v>
      </c>
      <c r="G46" t="inlineStr">
        <is>
          <t>BS001</t>
        </is>
      </c>
      <c r="H46" t="inlineStr">
        <is>
          <t>15 Juli 1983</t>
        </is>
      </c>
      <c r="I46" s="2" t="n">
        <v>46286</v>
      </c>
      <c r="J46" t="inlineStr">
        <is>
          <t>Disetujui</t>
        </is>
      </c>
      <c r="K46" t="n">
        <v>90</v>
      </c>
      <c r="L46" t="inlineStr">
        <is>
          <t>21 September 2026</t>
        </is>
      </c>
      <c r="M46" t="inlineStr">
        <is>
          <t>Konstruksi Bangunan Sipil Jalan</t>
        </is>
      </c>
      <c r="N46" t="inlineStr">
        <is>
          <t>K</t>
        </is>
      </c>
      <c r="O46" t="inlineStr">
        <is>
          <t>20230821</t>
        </is>
      </c>
      <c r="P46" t="inlineStr">
        <is>
          <t>Kalimantan Barat</t>
        </is>
      </c>
      <c r="Q46" t="inlineStr"/>
    </row>
    <row r="47">
      <c r="A47" t="inlineStr">
        <is>
          <t>BINA PERKASA UTAMA</t>
        </is>
      </c>
      <c r="B47" t="inlineStr">
        <is>
          <t>Kota Medan</t>
        </is>
      </c>
      <c r="C47" t="inlineStr">
        <is>
          <t>082213906749</t>
        </is>
      </c>
      <c r="D47" t="inlineStr">
        <is>
          <t>binaperkasautama01@gmail.com</t>
        </is>
      </c>
      <c r="E47" t="inlineStr">
        <is>
          <t>https://lpjk.pu.go.id/search-badan-usaha-detail/ZUpqNGl4S3JXc0ZpcUNTYUNQSkhydz09</t>
        </is>
      </c>
      <c r="F47" t="n">
        <v>1</v>
      </c>
      <c r="G47" t="inlineStr">
        <is>
          <t>PL003</t>
        </is>
      </c>
      <c r="H47" t="inlineStr">
        <is>
          <t>11 September 2023</t>
        </is>
      </c>
      <c r="I47" s="2" t="n">
        <v>46286</v>
      </c>
      <c r="J47" t="inlineStr">
        <is>
          <t>Pembekuan</t>
        </is>
      </c>
      <c r="K47" t="n">
        <v>90</v>
      </c>
      <c r="L47" t="inlineStr">
        <is>
          <t>21 September 2026</t>
        </is>
      </c>
      <c r="M47" t="inlineStr">
        <is>
          <t>Penyiapan Lahan Konstruksi</t>
        </is>
      </c>
      <c r="N47" t="inlineStr">
        <is>
          <t>Spesialis</t>
        </is>
      </c>
      <c r="O47" t="inlineStr">
        <is>
          <t>20230921</t>
        </is>
      </c>
      <c r="P47" t="inlineStr">
        <is>
          <t>Sumatera Utara</t>
        </is>
      </c>
      <c r="Q47" t="inlineStr"/>
    </row>
    <row r="48">
      <c r="A48" t="inlineStr">
        <is>
          <t>BINTANG TIMUR</t>
        </is>
      </c>
      <c r="B48" t="inlineStr">
        <is>
          <t>Kab. Trenggalek</t>
        </is>
      </c>
      <c r="C48" t="inlineStr">
        <is>
          <t>081252251922</t>
        </is>
      </c>
      <c r="D48" t="inlineStr">
        <is>
          <t>bintangtimur.trenggalek@gmail.com</t>
        </is>
      </c>
      <c r="E48" t="inlineStr">
        <is>
          <t>https://lpjk.pu.go.id/search-badan-usaha-detail/ZjJDaktZTm1UcmxGYlhoT1AyVkdidz09</t>
        </is>
      </c>
      <c r="F48" t="n">
        <v>12</v>
      </c>
      <c r="G48" t="inlineStr">
        <is>
          <t>BG002, BG005, BG006, BS001, BS002, BS004</t>
        </is>
      </c>
      <c r="H48" t="inlineStr">
        <is>
          <t>22 Februari 2016</t>
        </is>
      </c>
      <c r="I48" s="2" t="n">
        <v>46286</v>
      </c>
      <c r="J48" t="inlineStr">
        <is>
          <t>Disetujui</t>
        </is>
      </c>
      <c r="K48" t="n">
        <v>90</v>
      </c>
      <c r="L48" t="inlineStr">
        <is>
          <t>21 September 2026</t>
        </is>
      </c>
      <c r="M48" t="inlineStr">
        <is>
          <t>Bangunan Sipil Jembatan, Jalan Layang, Fly Over, dan Underpass, Konstruksi Bangunan Sipil Jalan, Konstruksi Gedung Kesehatan, Konstruksi Gedung Pendidikan, Konstruksi Gedung Perkantoran, Konstruksi Jaringan Irigasi dan Drainase</t>
        </is>
      </c>
      <c r="N48" t="inlineStr">
        <is>
          <t>K</t>
        </is>
      </c>
      <c r="O48" t="inlineStr">
        <is>
          <t>20230912, 20230921</t>
        </is>
      </c>
      <c r="P48" t="inlineStr">
        <is>
          <t>Jawa Timur</t>
        </is>
      </c>
      <c r="Q48" t="inlineStr"/>
    </row>
    <row r="49">
      <c r="A49" t="inlineStr">
        <is>
          <t>BINTANG TIMUR</t>
        </is>
      </c>
      <c r="B49" t="inlineStr">
        <is>
          <t>Kota Makassar</t>
        </is>
      </c>
      <c r="C49" t="inlineStr">
        <is>
          <t>081241111011</t>
        </is>
      </c>
      <c r="D49" t="inlineStr">
        <is>
          <t>bintangtimur734@gmail.com</t>
        </is>
      </c>
      <c r="E49" t="inlineStr">
        <is>
          <t>https://lpjk.pu.go.id/search-badan-usaha-detail/YXU0WWc1Y0pmVS8zR3l3dWJObGFadz09</t>
        </is>
      </c>
      <c r="F49" t="n">
        <v>4</v>
      </c>
      <c r="G49" t="inlineStr">
        <is>
          <t>BG005, BG009</t>
        </is>
      </c>
      <c r="H49" t="inlineStr">
        <is>
          <t>18 Februari 2007</t>
        </is>
      </c>
      <c r="I49" s="2" t="n">
        <v>46286</v>
      </c>
      <c r="J49" t="inlineStr">
        <is>
          <t>Disetujui</t>
        </is>
      </c>
      <c r="K49" t="n">
        <v>90</v>
      </c>
      <c r="L49" t="inlineStr">
        <is>
          <t>21 September 2026</t>
        </is>
      </c>
      <c r="M49" t="inlineStr">
        <is>
          <t>Konstruksi Gedung Kesehatan, Konstruksi Gedung Lainnya</t>
        </is>
      </c>
      <c r="N49" t="inlineStr">
        <is>
          <t>K</t>
        </is>
      </c>
      <c r="O49" t="inlineStr">
        <is>
          <t>20230815</t>
        </is>
      </c>
      <c r="P49" t="inlineStr">
        <is>
          <t>Sulawesi Selatan</t>
        </is>
      </c>
      <c r="Q49" t="inlineStr"/>
    </row>
    <row r="50">
      <c r="A50" t="inlineStr">
        <is>
          <t>BORNEO BANGUN SEJAHTERA</t>
        </is>
      </c>
      <c r="B50" t="inlineStr">
        <is>
          <t>Kab. Kubu Raya</t>
        </is>
      </c>
      <c r="C50" t="inlineStr">
        <is>
          <t>082255902965</t>
        </is>
      </c>
      <c r="D50" t="inlineStr">
        <is>
          <t>cvborneobanguns@gmail.com</t>
        </is>
      </c>
      <c r="E50" t="inlineStr">
        <is>
          <t>https://lpjk.pu.go.id/search-badan-usaha-detail/ZHo1UHBZQVZWYVJlaDRBY0JQaytQUT09</t>
        </is>
      </c>
      <c r="F50" t="n">
        <v>1</v>
      </c>
      <c r="G50" t="inlineStr">
        <is>
          <t>BG009</t>
        </is>
      </c>
      <c r="H50" t="inlineStr">
        <is>
          <t>27 Juni 2023</t>
        </is>
      </c>
      <c r="I50" s="2" t="n">
        <v>46286</v>
      </c>
      <c r="J50" t="inlineStr">
        <is>
          <t>Disetujui</t>
        </is>
      </c>
      <c r="K50" t="n">
        <v>90</v>
      </c>
      <c r="L50" t="inlineStr">
        <is>
          <t>21 September 2026</t>
        </is>
      </c>
      <c r="M50" t="inlineStr">
        <is>
          <t>Konstruksi Gedung Lainnya</t>
        </is>
      </c>
      <c r="N50" t="inlineStr">
        <is>
          <t>K</t>
        </is>
      </c>
      <c r="O50" t="inlineStr">
        <is>
          <t>20230921</t>
        </is>
      </c>
      <c r="P50" t="inlineStr">
        <is>
          <t>Kalimantan Barat</t>
        </is>
      </c>
      <c r="Q50" t="inlineStr"/>
    </row>
    <row r="51">
      <c r="A51" t="inlineStr">
        <is>
          <t>BUMI PASUNDAN</t>
        </is>
      </c>
      <c r="B51" t="inlineStr">
        <is>
          <t>Kota Sukabumi</t>
        </is>
      </c>
      <c r="C51" t="inlineStr">
        <is>
          <t>085214039550</t>
        </is>
      </c>
      <c r="D51" t="inlineStr">
        <is>
          <t>cvbumipasundan@gmail.com</t>
        </is>
      </c>
      <c r="E51" t="inlineStr">
        <is>
          <t>https://lpjk.pu.go.id/search-badan-usaha-detail/dzZzMXZ0bDR0cWhTdlRLOGJXa295QT09</t>
        </is>
      </c>
      <c r="F51" t="n">
        <v>1</v>
      </c>
      <c r="G51" t="inlineStr">
        <is>
          <t>BG009</t>
        </is>
      </c>
      <c r="H51" t="inlineStr">
        <is>
          <t>27 April 2009</t>
        </is>
      </c>
      <c r="I51" s="2" t="n">
        <v>46286</v>
      </c>
      <c r="J51" t="inlineStr">
        <is>
          <t>Disetujui</t>
        </is>
      </c>
      <c r="K51" t="n">
        <v>90</v>
      </c>
      <c r="L51" t="inlineStr">
        <is>
          <t>21 September 2026</t>
        </is>
      </c>
      <c r="M51" t="inlineStr">
        <is>
          <t>Konstruksi Gedung Lainnya</t>
        </is>
      </c>
      <c r="N51" t="inlineStr">
        <is>
          <t>K</t>
        </is>
      </c>
      <c r="O51" t="inlineStr">
        <is>
          <t>20230903</t>
        </is>
      </c>
      <c r="P51" t="inlineStr">
        <is>
          <t>Jawa Barat</t>
        </is>
      </c>
      <c r="Q51" t="inlineStr"/>
    </row>
    <row r="52">
      <c r="A52" t="inlineStr">
        <is>
          <t>CAHAYA SENGKANG</t>
        </is>
      </c>
      <c r="B52" t="inlineStr">
        <is>
          <t>Kota Samarinda</t>
        </is>
      </c>
      <c r="C52" t="inlineStr">
        <is>
          <t>081347630308</t>
        </is>
      </c>
      <c r="D52" t="inlineStr">
        <is>
          <t>gulmandm@gmail.com</t>
        </is>
      </c>
      <c r="E52" t="inlineStr">
        <is>
          <t>https://lpjk.pu.go.id/search-badan-usaha-detail/YUZTNWVucitRcm8vcmdOYTdpQWkyQT09</t>
        </is>
      </c>
      <c r="F52" t="n">
        <v>3</v>
      </c>
      <c r="G52" t="inlineStr">
        <is>
          <t>BG001, BG002, BG009</t>
        </is>
      </c>
      <c r="H52" t="inlineStr">
        <is>
          <t>13 Februari 2006</t>
        </is>
      </c>
      <c r="I52" s="2" t="n">
        <v>46286</v>
      </c>
      <c r="J52" t="inlineStr">
        <is>
          <t>Disetujui</t>
        </is>
      </c>
      <c r="K52" t="n">
        <v>90</v>
      </c>
      <c r="L52" t="inlineStr">
        <is>
          <t>21 September 2026</t>
        </is>
      </c>
      <c r="M52" t="inlineStr">
        <is>
          <t>Konstruksi Gedung Hunian, Konstruksi Gedung Lainnya, Konstruksi Gedung Perkantoran</t>
        </is>
      </c>
      <c r="N52" t="inlineStr">
        <is>
          <t>K</t>
        </is>
      </c>
      <c r="O52" t="inlineStr">
        <is>
          <t>20230919</t>
        </is>
      </c>
      <c r="P52" t="inlineStr">
        <is>
          <t>Kalimantan Timur</t>
        </is>
      </c>
      <c r="Q52" t="inlineStr"/>
    </row>
    <row r="53">
      <c r="A53" t="inlineStr">
        <is>
          <t>CAKRAWALA ENERGI NUSANTARA</t>
        </is>
      </c>
      <c r="B53" t="inlineStr">
        <is>
          <t>Kota Adm. Jakarta Selatan</t>
        </is>
      </c>
      <c r="C53" t="inlineStr">
        <is>
          <t>02129406371</t>
        </is>
      </c>
      <c r="D53" t="inlineStr">
        <is>
          <t>INFO@CENTRA.CO.ID</t>
        </is>
      </c>
      <c r="E53" t="inlineStr">
        <is>
          <t>https://lpjk.pu.go.id/search-badan-usaha-detail/bTNTMDA5ajNHTUF1ZlBMcVBhcytnQT09</t>
        </is>
      </c>
      <c r="F53" t="n">
        <v>1</v>
      </c>
      <c r="G53" t="inlineStr">
        <is>
          <t>BS009</t>
        </is>
      </c>
      <c r="H53" t="inlineStr">
        <is>
          <t>11 Maret 2011</t>
        </is>
      </c>
      <c r="I53" s="2" t="n">
        <v>46286</v>
      </c>
      <c r="J53" t="inlineStr">
        <is>
          <t>Disetujui</t>
        </is>
      </c>
      <c r="K53" t="n">
        <v>90</v>
      </c>
      <c r="L53" t="inlineStr">
        <is>
          <t>21 September 2026</t>
        </is>
      </c>
      <c r="M53" t="inlineStr">
        <is>
          <t>Konstruksi Sentral Telekomunikasi</t>
        </is>
      </c>
      <c r="N53" t="inlineStr">
        <is>
          <t>K</t>
        </is>
      </c>
      <c r="O53" t="inlineStr">
        <is>
          <t>20230814</t>
        </is>
      </c>
      <c r="P53" t="inlineStr">
        <is>
          <t>DKI Jakarta</t>
        </is>
      </c>
      <c r="Q53" t="inlineStr"/>
    </row>
    <row r="54">
      <c r="A54" t="inlineStr">
        <is>
          <t>CIPTA ABADI INDO</t>
        </is>
      </c>
      <c r="B54" t="inlineStr">
        <is>
          <t>Kota Pekanbaru</t>
        </is>
      </c>
      <c r="C54" t="inlineStr">
        <is>
          <t>082287341553</t>
        </is>
      </c>
      <c r="D54" t="inlineStr">
        <is>
          <t>ciptaabadiindo@gmail.com</t>
        </is>
      </c>
      <c r="E54" t="inlineStr">
        <is>
          <t>https://lpjk.pu.go.id/search-badan-usaha-detail/cHVyMHozSmN3Mmt5QzlCYVgxR1Jidz09</t>
        </is>
      </c>
      <c r="F54" t="n">
        <v>1</v>
      </c>
      <c r="G54" t="inlineStr">
        <is>
          <t>BG003</t>
        </is>
      </c>
      <c r="H54" t="inlineStr">
        <is>
          <t>13 Februari 2023</t>
        </is>
      </c>
      <c r="I54" s="2" t="n">
        <v>46286</v>
      </c>
      <c r="J54" t="inlineStr">
        <is>
          <t>Disetujui</t>
        </is>
      </c>
      <c r="K54" t="n">
        <v>90</v>
      </c>
      <c r="L54" t="inlineStr">
        <is>
          <t>21 September 2026</t>
        </is>
      </c>
      <c r="M54" t="inlineStr">
        <is>
          <t>Konstruksi Gedung Industri</t>
        </is>
      </c>
      <c r="N54" t="inlineStr">
        <is>
          <t>K</t>
        </is>
      </c>
      <c r="O54" t="inlineStr">
        <is>
          <t>20230919</t>
        </is>
      </c>
      <c r="P54" t="inlineStr">
        <is>
          <t>Riau</t>
        </is>
      </c>
      <c r="Q54" t="inlineStr"/>
    </row>
    <row r="55">
      <c r="A55" t="inlineStr">
        <is>
          <t>CIPTA ANUGERAH</t>
        </is>
      </c>
      <c r="B55" t="inlineStr">
        <is>
          <t>Kota Palembang</t>
        </is>
      </c>
      <c r="C55" t="inlineStr">
        <is>
          <t>081367655720</t>
        </is>
      </c>
      <c r="D55" t="inlineStr">
        <is>
          <t>yulianto.ciptaanugerah@yahoo.com</t>
        </is>
      </c>
      <c r="E55" t="inlineStr">
        <is>
          <t>https://lpjk.pu.go.id/search-badan-usaha-detail/Qzhhb2NYaWY5dEJzNmRqM1hqeFlXdz09</t>
        </is>
      </c>
      <c r="F55" t="n">
        <v>1</v>
      </c>
      <c r="G55" t="inlineStr">
        <is>
          <t>BS004</t>
        </is>
      </c>
      <c r="H55" t="inlineStr">
        <is>
          <t>22 Juni 2012</t>
        </is>
      </c>
      <c r="I55" s="2" t="n">
        <v>46286</v>
      </c>
      <c r="J55" t="inlineStr">
        <is>
          <t>Disetujui</t>
        </is>
      </c>
      <c r="K55" t="n">
        <v>90</v>
      </c>
      <c r="L55" t="inlineStr">
        <is>
          <t>21 September 2026</t>
        </is>
      </c>
      <c r="M55" t="inlineStr">
        <is>
          <t>Konstruksi Jaringan Irigasi dan Drainase</t>
        </is>
      </c>
      <c r="N55" t="inlineStr">
        <is>
          <t>K</t>
        </is>
      </c>
      <c r="O55" t="inlineStr">
        <is>
          <t>20230919</t>
        </is>
      </c>
      <c r="P55" t="inlineStr">
        <is>
          <t>Sumatera Selatan</t>
        </is>
      </c>
      <c r="Q55" t="inlineStr"/>
    </row>
    <row r="56">
      <c r="A56" t="inlineStr">
        <is>
          <t>CITRATAMA ARSITEK</t>
        </is>
      </c>
      <c r="B56" t="inlineStr">
        <is>
          <t>Kota Pekanbaru</t>
        </is>
      </c>
      <c r="C56" t="inlineStr">
        <is>
          <t>08117575528</t>
        </is>
      </c>
      <c r="D56" t="inlineStr">
        <is>
          <t>citratamarsitek.cv@yahoo.com</t>
        </is>
      </c>
      <c r="E56" t="inlineStr">
        <is>
          <t>https://lpjk.pu.go.id/search-badan-usaha-detail/QW5BalBjUnhXY2NBaGJLYVdjZmttdz09</t>
        </is>
      </c>
      <c r="F56" t="n">
        <v>1</v>
      </c>
      <c r="G56" t="inlineStr">
        <is>
          <t>RK001</t>
        </is>
      </c>
      <c r="H56" t="inlineStr">
        <is>
          <t>3 Juli 2000</t>
        </is>
      </c>
      <c r="I56" s="2" t="n">
        <v>46286</v>
      </c>
      <c r="J56" t="inlineStr">
        <is>
          <t>Disetujui</t>
        </is>
      </c>
      <c r="K56" t="n">
        <v>90</v>
      </c>
      <c r="L56" t="inlineStr">
        <is>
          <t>21 September 2026</t>
        </is>
      </c>
      <c r="M56" t="inlineStr">
        <is>
          <t>Jasa Rekayasa Konstruksi Bangunan Gedung Hunian dan Non Hunian</t>
        </is>
      </c>
      <c r="N56" t="inlineStr">
        <is>
          <t>K</t>
        </is>
      </c>
      <c r="O56" t="inlineStr">
        <is>
          <t>20230905</t>
        </is>
      </c>
      <c r="P56" t="inlineStr">
        <is>
          <t>Riau</t>
        </is>
      </c>
      <c r="Q56" t="inlineStr"/>
    </row>
    <row r="57">
      <c r="A57" t="inlineStr">
        <is>
          <t>CV. PAPUA SEJAHTERA BERSAMA</t>
        </is>
      </c>
      <c r="B57" t="inlineStr">
        <is>
          <t>Kota Sorong</t>
        </is>
      </c>
      <c r="C57" t="inlineStr">
        <is>
          <t>09513173262</t>
        </is>
      </c>
      <c r="D57" t="inlineStr">
        <is>
          <t>cv.papuasejahterabersama@gmail.com</t>
        </is>
      </c>
      <c r="E57" t="inlineStr">
        <is>
          <t>https://lpjk.pu.go.id/search-badan-usaha-detail/R08vUkFSNjIvUmZ6T3RIY1FOdGcyQT09</t>
        </is>
      </c>
      <c r="F57" t="n">
        <v>1</v>
      </c>
      <c r="G57" t="inlineStr">
        <is>
          <t>BS001</t>
        </is>
      </c>
      <c r="H57" t="inlineStr">
        <is>
          <t>6 Agustus 2020</t>
        </is>
      </c>
      <c r="I57" s="2" t="n">
        <v>46286</v>
      </c>
      <c r="J57" t="inlineStr">
        <is>
          <t>Pencabutan</t>
        </is>
      </c>
      <c r="K57" t="n">
        <v>90</v>
      </c>
      <c r="L57" t="inlineStr">
        <is>
          <t>21 September 2026</t>
        </is>
      </c>
      <c r="M57" t="inlineStr">
        <is>
          <t>Konstruksi Bangunan Sipil Jalan</t>
        </is>
      </c>
      <c r="N57" t="inlineStr">
        <is>
          <t>K</t>
        </is>
      </c>
      <c r="O57" t="inlineStr">
        <is>
          <t>20230922</t>
        </is>
      </c>
      <c r="P57" t="inlineStr">
        <is>
          <t>Papua Barat Daya</t>
        </is>
      </c>
      <c r="Q57" t="inlineStr"/>
    </row>
    <row r="58">
      <c r="A58" t="inlineStr">
        <is>
          <t>DANAU BUNGARA JAYA</t>
        </is>
      </c>
      <c r="B58" t="inlineStr">
        <is>
          <t>Kab. Aceh Singkil</t>
        </is>
      </c>
      <c r="C58" t="inlineStr">
        <is>
          <t>082277844407</t>
        </is>
      </c>
      <c r="D58" t="inlineStr">
        <is>
          <t>danaubungarajaya@gmail.com</t>
        </is>
      </c>
      <c r="E58" t="inlineStr">
        <is>
          <t>https://lpjk.pu.go.id/search-badan-usaha-detail/bElNdWRDSUxXeWt5UTFtQzVnMjJDZz09</t>
        </is>
      </c>
      <c r="F58" t="n">
        <v>1</v>
      </c>
      <c r="G58" t="inlineStr">
        <is>
          <t>BS001</t>
        </is>
      </c>
      <c r="H58" t="inlineStr">
        <is>
          <t>30 November 2021</t>
        </is>
      </c>
      <c r="I58" s="2" t="n">
        <v>46286</v>
      </c>
      <c r="J58" t="inlineStr">
        <is>
          <t>Disetujui</t>
        </is>
      </c>
      <c r="K58" t="n">
        <v>90</v>
      </c>
      <c r="L58" t="inlineStr">
        <is>
          <t>21 September 2026</t>
        </is>
      </c>
      <c r="M58" t="inlineStr">
        <is>
          <t>Konstruksi Bangunan Sipil Jalan</t>
        </is>
      </c>
      <c r="N58" t="inlineStr">
        <is>
          <t>K</t>
        </is>
      </c>
      <c r="O58" t="inlineStr">
        <is>
          <t>20230921</t>
        </is>
      </c>
      <c r="P58" t="inlineStr">
        <is>
          <t>Aceh</t>
        </is>
      </c>
      <c r="Q58" t="inlineStr"/>
    </row>
    <row r="59">
      <c r="A59" t="inlineStr">
        <is>
          <t>DEVANKA PUTRA</t>
        </is>
      </c>
      <c r="B59" t="inlineStr">
        <is>
          <t>Kab. Tuban</t>
        </is>
      </c>
      <c r="C59" t="inlineStr">
        <is>
          <t>082332993738</t>
        </is>
      </c>
      <c r="D59" t="inlineStr">
        <is>
          <t>cvdevankaputra@gmail.com</t>
        </is>
      </c>
      <c r="E59" t="inlineStr">
        <is>
          <t>https://lpjk.pu.go.id/search-badan-usaha-detail/SFM5RlNkTjdubEJMTFZheU1yaG9VZz09</t>
        </is>
      </c>
      <c r="F59" t="n">
        <v>2</v>
      </c>
      <c r="G59" t="inlineStr">
        <is>
          <t>BG006, BS001</t>
        </is>
      </c>
      <c r="H59" t="inlineStr">
        <is>
          <t>3 Maret 2023</t>
        </is>
      </c>
      <c r="I59" s="2" t="n">
        <v>46286</v>
      </c>
      <c r="J59" t="inlineStr">
        <is>
          <t>Disetujui</t>
        </is>
      </c>
      <c r="K59" t="n">
        <v>90</v>
      </c>
      <c r="L59" t="inlineStr">
        <is>
          <t>21 September 2026</t>
        </is>
      </c>
      <c r="M59" t="inlineStr">
        <is>
          <t>Konstruksi Bangunan Sipil Jalan, Konstruksi Gedung Pendidikan</t>
        </is>
      </c>
      <c r="N59" t="inlineStr">
        <is>
          <t>K</t>
        </is>
      </c>
      <c r="O59" t="inlineStr">
        <is>
          <t>20230921</t>
        </is>
      </c>
      <c r="P59" t="inlineStr">
        <is>
          <t>Jawa Timur</t>
        </is>
      </c>
      <c r="Q59" t="inlineStr"/>
    </row>
    <row r="60">
      <c r="A60" t="inlineStr">
        <is>
          <t>DUTA KONSTRUKSI KHATULISTIWA</t>
        </is>
      </c>
      <c r="B60" t="inlineStr">
        <is>
          <t>Kab. Kubu Raya</t>
        </is>
      </c>
      <c r="C60" t="inlineStr">
        <is>
          <t>089510569889</t>
        </is>
      </c>
      <c r="D60" t="inlineStr">
        <is>
          <t>dutakonstruksikhatulistiwa@gmail.com</t>
        </is>
      </c>
      <c r="E60" t="inlineStr">
        <is>
          <t>https://lpjk.pu.go.id/search-badan-usaha-detail/NVE0cTExcU03TUt4bVZjTFBTeUhiUT09</t>
        </is>
      </c>
      <c r="F60" t="n">
        <v>1</v>
      </c>
      <c r="G60" t="inlineStr">
        <is>
          <t>BG006</t>
        </is>
      </c>
      <c r="H60" t="inlineStr">
        <is>
          <t>22 Desember 2021</t>
        </is>
      </c>
      <c r="I60" s="2" t="n">
        <v>46286</v>
      </c>
      <c r="J60" t="inlineStr">
        <is>
          <t>Disetujui</t>
        </is>
      </c>
      <c r="K60" t="n">
        <v>90</v>
      </c>
      <c r="L60" t="inlineStr">
        <is>
          <t>21 September 2026</t>
        </is>
      </c>
      <c r="M60" t="inlineStr">
        <is>
          <t>Konstruksi Gedung Pendidikan</t>
        </is>
      </c>
      <c r="N60" t="inlineStr">
        <is>
          <t>K</t>
        </is>
      </c>
      <c r="O60" t="inlineStr">
        <is>
          <t>20230224</t>
        </is>
      </c>
      <c r="P60" t="inlineStr">
        <is>
          <t>Kalimantan Barat</t>
        </is>
      </c>
      <c r="Q60" t="inlineStr"/>
    </row>
    <row r="61">
      <c r="A61" t="inlineStr">
        <is>
          <t>DUTA SEJAHTERA ABADI LAMARAN</t>
        </is>
      </c>
      <c r="B61" t="inlineStr">
        <is>
          <t>Kab. Subang</t>
        </is>
      </c>
      <c r="C61" t="inlineStr">
        <is>
          <t>081382008650</t>
        </is>
      </c>
      <c r="D61" t="inlineStr">
        <is>
          <t>cvdutasejahteraabadilamaran@gmail.com</t>
        </is>
      </c>
      <c r="E61" t="inlineStr">
        <is>
          <t>https://lpjk.pu.go.id/search-badan-usaha-detail/S3o4akNJV3Q3VFhUZHV4OFBCMndPUT09</t>
        </is>
      </c>
      <c r="F61" t="n">
        <v>1</v>
      </c>
      <c r="G61" t="inlineStr">
        <is>
          <t>BS001</t>
        </is>
      </c>
      <c r="H61" t="inlineStr">
        <is>
          <t>5 Juni 2023</t>
        </is>
      </c>
      <c r="I61" s="2" t="n">
        <v>46286</v>
      </c>
      <c r="J61" t="inlineStr">
        <is>
          <t>Pencabutan</t>
        </is>
      </c>
      <c r="K61" t="n">
        <v>90</v>
      </c>
      <c r="L61" t="inlineStr">
        <is>
          <t>21 September 2026</t>
        </is>
      </c>
      <c r="M61" t="inlineStr">
        <is>
          <t>Konstruksi Bangunan Sipil Jalan</t>
        </is>
      </c>
      <c r="N61" t="inlineStr">
        <is>
          <t>K</t>
        </is>
      </c>
      <c r="O61" t="inlineStr">
        <is>
          <t>20230919</t>
        </is>
      </c>
      <c r="P61" t="inlineStr">
        <is>
          <t>Jawa Barat</t>
        </is>
      </c>
      <c r="Q61" t="inlineStr"/>
    </row>
    <row r="62">
      <c r="A62" t="inlineStr">
        <is>
          <t>EMPAT BERSAUDARA</t>
        </is>
      </c>
      <c r="B62" t="inlineStr">
        <is>
          <t>Kota Padang Sidempuan</t>
        </is>
      </c>
      <c r="C62" t="inlineStr">
        <is>
          <t>08126430646</t>
        </is>
      </c>
      <c r="D62" t="inlineStr">
        <is>
          <t>cvempatbersaudarapsp01@gmail.com</t>
        </is>
      </c>
      <c r="E62" t="inlineStr">
        <is>
          <t>https://lpjk.pu.go.id/search-badan-usaha-detail/akMxemdRS2VWbGN4aTdGQ2NndWk1UT09</t>
        </is>
      </c>
      <c r="F62" t="n">
        <v>2</v>
      </c>
      <c r="G62" t="inlineStr">
        <is>
          <t>BG006, BS004</t>
        </is>
      </c>
      <c r="H62" t="inlineStr">
        <is>
          <t>5 Januari 2015</t>
        </is>
      </c>
      <c r="I62" s="2" t="n">
        <v>46286</v>
      </c>
      <c r="J62" t="inlineStr">
        <is>
          <t>Disetujui</t>
        </is>
      </c>
      <c r="K62" t="n">
        <v>90</v>
      </c>
      <c r="L62" t="inlineStr">
        <is>
          <t>21 September 2026</t>
        </is>
      </c>
      <c r="M62" t="inlineStr">
        <is>
          <t>Konstruksi Gedung Pendidikan, Konstruksi Jaringan Irigasi dan Drainase</t>
        </is>
      </c>
      <c r="N62" t="inlineStr">
        <is>
          <t>K</t>
        </is>
      </c>
      <c r="O62" t="inlineStr">
        <is>
          <t>20230921, 20230922</t>
        </is>
      </c>
      <c r="P62" t="inlineStr">
        <is>
          <t>Sumatera Utara</t>
        </is>
      </c>
      <c r="Q62" t="inlineStr"/>
    </row>
    <row r="63">
      <c r="A63" t="inlineStr">
        <is>
          <t>ERWIN PRIMA YANDRENAS</t>
        </is>
      </c>
      <c r="B63" t="inlineStr">
        <is>
          <t>Kota Samarinda</t>
        </is>
      </c>
      <c r="C63" t="inlineStr">
        <is>
          <t>082343621991</t>
        </is>
      </c>
      <c r="D63" t="inlineStr">
        <is>
          <t>cv.erwinprimayandrenas@gmail.com</t>
        </is>
      </c>
      <c r="E63" t="inlineStr">
        <is>
          <t>https://lpjk.pu.go.id/search-badan-usaha-detail/QWZZcFZ3UU1pQ3NMVmxHTWpXK3g4dz09</t>
        </is>
      </c>
      <c r="F63" t="n">
        <v>1</v>
      </c>
      <c r="G63" t="inlineStr">
        <is>
          <t>BS001</t>
        </is>
      </c>
      <c r="H63" t="inlineStr">
        <is>
          <t>14 November 2019</t>
        </is>
      </c>
      <c r="I63" s="2" t="n">
        <v>46286</v>
      </c>
      <c r="J63" t="inlineStr">
        <is>
          <t>Disetujui</t>
        </is>
      </c>
      <c r="K63" t="n">
        <v>90</v>
      </c>
      <c r="L63" t="inlineStr">
        <is>
          <t>21 September 2026</t>
        </is>
      </c>
      <c r="M63" t="inlineStr">
        <is>
          <t>Konstruksi Bangunan Sipil Jalan</t>
        </is>
      </c>
      <c r="N63" t="inlineStr">
        <is>
          <t>K</t>
        </is>
      </c>
      <c r="O63" t="inlineStr">
        <is>
          <t>20230919</t>
        </is>
      </c>
      <c r="P63" t="inlineStr">
        <is>
          <t>Kalimantan Timur</t>
        </is>
      </c>
      <c r="Q63" t="inlineStr"/>
    </row>
    <row r="64">
      <c r="A64" t="inlineStr">
        <is>
          <t>FAMILY ROSYID</t>
        </is>
      </c>
      <c r="B64" t="inlineStr">
        <is>
          <t>Kab. Banyuwangi</t>
        </is>
      </c>
      <c r="C64" t="inlineStr">
        <is>
          <t>082236049205</t>
        </is>
      </c>
      <c r="D64" t="inlineStr">
        <is>
          <t>familyrosyid69@gmail.com</t>
        </is>
      </c>
      <c r="E64" t="inlineStr">
        <is>
          <t>https://lpjk.pu.go.id/search-badan-usaha-detail/TU8vV3VtY3VsQTd4WkdwaGx5cEdXUT09</t>
        </is>
      </c>
      <c r="F64" t="n">
        <v>4</v>
      </c>
      <c r="G64" t="inlineStr">
        <is>
          <t>BG005, BG006, BG009, BS002</t>
        </is>
      </c>
      <c r="H64" t="inlineStr">
        <is>
          <t>25 Februari 2022</t>
        </is>
      </c>
      <c r="I64" s="2" t="n">
        <v>46286</v>
      </c>
      <c r="J64" t="inlineStr">
        <is>
          <t>Disetujui</t>
        </is>
      </c>
      <c r="K64" t="n">
        <v>90</v>
      </c>
      <c r="L64" t="inlineStr">
        <is>
          <t>21 September 2026</t>
        </is>
      </c>
      <c r="M64" t="inlineStr">
        <is>
          <t>Bangunan Sipil Jembatan, Jalan Layang, Fly Over, dan Underpass, Konstruksi Gedung Kesehatan, Konstruksi Gedung Lainnya, Konstruksi Gedung Pendidikan</t>
        </is>
      </c>
      <c r="N64" t="inlineStr">
        <is>
          <t>K</t>
        </is>
      </c>
      <c r="O64" t="inlineStr">
        <is>
          <t>20230919</t>
        </is>
      </c>
      <c r="P64" t="inlineStr">
        <is>
          <t>Jawa Timur</t>
        </is>
      </c>
      <c r="Q64" t="inlineStr"/>
    </row>
    <row r="65">
      <c r="A65" t="inlineStr">
        <is>
          <t>FITRAH</t>
        </is>
      </c>
      <c r="B65" t="inlineStr">
        <is>
          <t>Kab. Luwu Utara</t>
        </is>
      </c>
      <c r="C65" t="inlineStr">
        <is>
          <t>081355814834</t>
        </is>
      </c>
      <c r="D65" t="inlineStr">
        <is>
          <t>fitrahcv@gmail.com</t>
        </is>
      </c>
      <c r="E65" t="inlineStr">
        <is>
          <t>https://lpjk.pu.go.id/search-badan-usaha-detail/YVhwV010Q3lNVE9OY05NTmp4MFhIUT09</t>
        </is>
      </c>
      <c r="F65" t="n">
        <v>1</v>
      </c>
      <c r="G65" t="inlineStr">
        <is>
          <t>BS001</t>
        </is>
      </c>
      <c r="H65" t="inlineStr">
        <is>
          <t>2 Maret 2010</t>
        </is>
      </c>
      <c r="I65" s="2" t="n">
        <v>46286</v>
      </c>
      <c r="J65" t="inlineStr">
        <is>
          <t>Pencabutan</t>
        </is>
      </c>
      <c r="K65" t="n">
        <v>90</v>
      </c>
      <c r="L65" t="inlineStr">
        <is>
          <t>21 September 2026</t>
        </is>
      </c>
      <c r="M65" t="inlineStr">
        <is>
          <t>Konstruksi Bangunan Sipil Jalan</t>
        </is>
      </c>
      <c r="N65" t="inlineStr">
        <is>
          <t>K</t>
        </is>
      </c>
      <c r="O65" t="inlineStr">
        <is>
          <t>20230920</t>
        </is>
      </c>
      <c r="P65" t="inlineStr">
        <is>
          <t>Sulawesi Selatan</t>
        </is>
      </c>
      <c r="Q65" t="inlineStr"/>
    </row>
    <row r="66">
      <c r="A66" t="inlineStr">
        <is>
          <t>GAGAS ALAM SELARAS</t>
        </is>
      </c>
      <c r="B66" t="inlineStr">
        <is>
          <t>Kota Medan</t>
        </is>
      </c>
      <c r="C66" t="inlineStr">
        <is>
          <t>081360777801</t>
        </is>
      </c>
      <c r="D66" t="inlineStr">
        <is>
          <t>pt.gagas_alam_selaras@yahoo.com</t>
        </is>
      </c>
      <c r="E66" t="inlineStr">
        <is>
          <t>https://lpjk.pu.go.id/search-badan-usaha-detail/cndnWlg0bk0zUWV5S29Jd2pKdVROQ3FTWG9ic3kwKzk0a3czZnVWb1RFMD0</t>
        </is>
      </c>
      <c r="F66" t="n">
        <v>1</v>
      </c>
      <c r="G66" t="inlineStr">
        <is>
          <t>RK001</t>
        </is>
      </c>
      <c r="H66" t="inlineStr">
        <is>
          <t>25 Februari 2022</t>
        </is>
      </c>
      <c r="I66" s="2" t="n">
        <v>46286</v>
      </c>
      <c r="J66" t="inlineStr">
        <is>
          <t>Disetujui</t>
        </is>
      </c>
      <c r="K66" t="n">
        <v>90</v>
      </c>
      <c r="L66" t="inlineStr">
        <is>
          <t>21 September 2026</t>
        </is>
      </c>
      <c r="M66" t="inlineStr">
        <is>
          <t>Jasa Rekayasa Konstruksi Bangunan Gedung Hunian dan Non Hunian</t>
        </is>
      </c>
      <c r="N66" t="inlineStr">
        <is>
          <t>K</t>
        </is>
      </c>
      <c r="O66" t="inlineStr">
        <is>
          <t>20230905</t>
        </is>
      </c>
      <c r="P66" t="inlineStr">
        <is>
          <t>Sumatera Utara</t>
        </is>
      </c>
      <c r="Q66" t="inlineStr"/>
    </row>
    <row r="67">
      <c r="A67" t="inlineStr">
        <is>
          <t>GARUDA MAKMUR</t>
        </is>
      </c>
      <c r="B67" t="inlineStr">
        <is>
          <t>Kota Pangkal Pinang</t>
        </is>
      </c>
      <c r="C67" t="inlineStr">
        <is>
          <t>082280888806</t>
        </is>
      </c>
      <c r="D67" t="inlineStr">
        <is>
          <t>cvgarudamakmurpangkalpinang@gmail.com</t>
        </is>
      </c>
      <c r="E67" t="inlineStr">
        <is>
          <t>https://lpjk.pu.go.id/search-badan-usaha-detail/WWlWMThsNlRuSHZIMmttVjA1QlhGQT09</t>
        </is>
      </c>
      <c r="F67" t="n">
        <v>1</v>
      </c>
      <c r="G67" t="inlineStr">
        <is>
          <t>BG009</t>
        </is>
      </c>
      <c r="H67" t="inlineStr">
        <is>
          <t>19 September 2023</t>
        </is>
      </c>
      <c r="I67" s="2" t="n">
        <v>46286</v>
      </c>
      <c r="J67" t="inlineStr">
        <is>
          <t>Disetujui</t>
        </is>
      </c>
      <c r="K67" t="n">
        <v>90</v>
      </c>
      <c r="L67" t="inlineStr">
        <is>
          <t>21 September 2026</t>
        </is>
      </c>
      <c r="M67" t="inlineStr">
        <is>
          <t>Konstruksi Gedung Lainnya</t>
        </is>
      </c>
      <c r="N67" t="inlineStr">
        <is>
          <t>K</t>
        </is>
      </c>
      <c r="O67" t="inlineStr">
        <is>
          <t>20230922</t>
        </is>
      </c>
      <c r="P67" t="inlineStr">
        <is>
          <t>Kepulauan Bangka Belitung</t>
        </is>
      </c>
      <c r="Q67" t="inlineStr"/>
    </row>
    <row r="68">
      <c r="A68" t="inlineStr">
        <is>
          <t>GRAHA CIPTA BOJONEGORO</t>
        </is>
      </c>
      <c r="B68" t="inlineStr">
        <is>
          <t>Kab. Bojonegoro</t>
        </is>
      </c>
      <c r="C68" t="inlineStr">
        <is>
          <t>081232929990</t>
        </is>
      </c>
      <c r="D68" t="inlineStr">
        <is>
          <t>Grahaciptaku@gmail.com</t>
        </is>
      </c>
      <c r="E68" t="inlineStr">
        <is>
          <t>https://lpjk.pu.go.id/search-badan-usaha-detail/OUhXemVTS24yZDRQaGVwaGc2dHBWQT09</t>
        </is>
      </c>
      <c r="F68" t="n">
        <v>1</v>
      </c>
      <c r="G68" t="inlineStr">
        <is>
          <t>BS004</t>
        </is>
      </c>
      <c r="H68" t="inlineStr">
        <is>
          <t>28 Maret 2008</t>
        </is>
      </c>
      <c r="I68" s="2" t="n">
        <v>46286</v>
      </c>
      <c r="J68" t="inlineStr">
        <is>
          <t>Disetujui</t>
        </is>
      </c>
      <c r="K68" t="n">
        <v>90</v>
      </c>
      <c r="L68" t="inlineStr">
        <is>
          <t>21 September 2026</t>
        </is>
      </c>
      <c r="M68" t="inlineStr">
        <is>
          <t>Konstruksi Jaringan Irigasi dan Drainase</t>
        </is>
      </c>
      <c r="N68" t="inlineStr">
        <is>
          <t>K</t>
        </is>
      </c>
      <c r="O68" t="inlineStr">
        <is>
          <t>20230921</t>
        </is>
      </c>
      <c r="P68" t="inlineStr">
        <is>
          <t>Jawa Timur</t>
        </is>
      </c>
      <c r="Q68" t="inlineStr"/>
    </row>
    <row r="69">
      <c r="A69" t="inlineStr">
        <is>
          <t>GRAHA CIPTA GEMILANG</t>
        </is>
      </c>
      <c r="B69" t="inlineStr">
        <is>
          <t>Kab. Agam</t>
        </is>
      </c>
      <c r="C69" t="inlineStr">
        <is>
          <t>085273463629</t>
        </is>
      </c>
      <c r="D69" t="inlineStr">
        <is>
          <t>grahacipta97@gmail.com</t>
        </is>
      </c>
      <c r="E69" t="inlineStr">
        <is>
          <t>https://lpjk.pu.go.id/search-badan-usaha-detail/TXp5VE9hWWJYRnJWODdwUGhkcDhOZz09</t>
        </is>
      </c>
      <c r="F69" t="n">
        <v>2</v>
      </c>
      <c r="G69" t="inlineStr">
        <is>
          <t>RK002, RK003</t>
        </is>
      </c>
      <c r="H69" t="inlineStr">
        <is>
          <t>8 April 2022</t>
        </is>
      </c>
      <c r="I69" s="2" t="n">
        <v>46286</v>
      </c>
      <c r="J69" t="inlineStr">
        <is>
          <t>Disetujui</t>
        </is>
      </c>
      <c r="K69" t="n">
        <v>90</v>
      </c>
      <c r="L69" t="inlineStr">
        <is>
          <t>21 September 2026</t>
        </is>
      </c>
      <c r="M69" t="inlineStr">
        <is>
          <t>Jasa Rekayasa Pekerjaan Teknik Sipil Sumber Daya Air, Jasa Rekayasa Pekerjaan Teknik Sipil Transportasi</t>
        </is>
      </c>
      <c r="N69" t="inlineStr">
        <is>
          <t>K</t>
        </is>
      </c>
      <c r="O69" t="inlineStr">
        <is>
          <t>20230804</t>
        </is>
      </c>
      <c r="P69" t="inlineStr">
        <is>
          <t>Sumatera Barat</t>
        </is>
      </c>
      <c r="Q69" t="inlineStr"/>
    </row>
    <row r="70">
      <c r="A70" t="inlineStr">
        <is>
          <t>HADIGUNA PERKASA</t>
        </is>
      </c>
      <c r="B70" t="inlineStr">
        <is>
          <t>Kab. Tapanuli Selatan</t>
        </is>
      </c>
      <c r="C70" t="inlineStr">
        <is>
          <t>082364128882</t>
        </is>
      </c>
      <c r="D70" t="inlineStr">
        <is>
          <t>info@hadiguna.com</t>
        </is>
      </c>
      <c r="E70" t="inlineStr">
        <is>
          <t>https://lpjk.pu.go.id/search-badan-usaha-detail/cFhIUndqM1dDME9VbUVmMEJQR1Z1dz09</t>
        </is>
      </c>
      <c r="F70" t="n">
        <v>1</v>
      </c>
      <c r="G70" t="inlineStr">
        <is>
          <t>BG003</t>
        </is>
      </c>
      <c r="H70" t="inlineStr">
        <is>
          <t>11 Desember 2009</t>
        </is>
      </c>
      <c r="I70" s="2" t="n">
        <v>46286</v>
      </c>
      <c r="J70" t="inlineStr">
        <is>
          <t>Pencabutan</t>
        </is>
      </c>
      <c r="K70" t="n">
        <v>90</v>
      </c>
      <c r="L70" t="inlineStr">
        <is>
          <t>21 September 2026</t>
        </is>
      </c>
      <c r="M70" t="inlineStr">
        <is>
          <t>Konstruksi Gedung Industri</t>
        </is>
      </c>
      <c r="N70" t="inlineStr">
        <is>
          <t>K</t>
        </is>
      </c>
      <c r="O70" t="inlineStr">
        <is>
          <t>20230914</t>
        </is>
      </c>
      <c r="P70" t="inlineStr">
        <is>
          <t>Sumatera Utara</t>
        </is>
      </c>
      <c r="Q70" t="inlineStr"/>
    </row>
    <row r="71">
      <c r="A71" t="inlineStr">
        <is>
          <t>HAFIZH FARRAS</t>
        </is>
      </c>
      <c r="B71" t="inlineStr">
        <is>
          <t>Kota Padang</t>
        </is>
      </c>
      <c r="C71" t="inlineStr">
        <is>
          <t>082130311813</t>
        </is>
      </c>
      <c r="D71" t="inlineStr">
        <is>
          <t>cvhafizh.farras@gmail.com</t>
        </is>
      </c>
      <c r="E71" t="inlineStr">
        <is>
          <t>https://lpjk.pu.go.id/search-badan-usaha-detail/MENyYW53dWxkWGx5b2VLbnFFTmNZQT09</t>
        </is>
      </c>
      <c r="F71" t="n">
        <v>1</v>
      </c>
      <c r="G71" t="inlineStr">
        <is>
          <t>BS004</t>
        </is>
      </c>
      <c r="H71" t="inlineStr">
        <is>
          <t>4 Juni 1996</t>
        </is>
      </c>
      <c r="I71" s="2" t="n">
        <v>46286</v>
      </c>
      <c r="J71" t="inlineStr">
        <is>
          <t>Disetujui</t>
        </is>
      </c>
      <c r="K71" t="n">
        <v>90</v>
      </c>
      <c r="L71" t="inlineStr">
        <is>
          <t>21 September 2026</t>
        </is>
      </c>
      <c r="M71" t="inlineStr">
        <is>
          <t>Konstruksi Jaringan Irigasi dan Drainase</t>
        </is>
      </c>
      <c r="N71" t="inlineStr">
        <is>
          <t>K</t>
        </is>
      </c>
      <c r="O71" t="inlineStr">
        <is>
          <t>20230921</t>
        </is>
      </c>
      <c r="P71" t="inlineStr">
        <is>
          <t>Sumatera Barat</t>
        </is>
      </c>
      <c r="Q71" t="inlineStr"/>
    </row>
    <row r="72">
      <c r="A72" t="inlineStr">
        <is>
          <t>HANDAL JAYA</t>
        </is>
      </c>
      <c r="B72" t="inlineStr">
        <is>
          <t>Kab. Subang</t>
        </is>
      </c>
      <c r="C72" t="inlineStr">
        <is>
          <t>081320588999</t>
        </is>
      </c>
      <c r="D72" t="inlineStr">
        <is>
          <t>handal.jaya@yahoo.com</t>
        </is>
      </c>
      <c r="E72" t="inlineStr">
        <is>
          <t>https://lpjk.pu.go.id/search-badan-usaha-detail/Q0VNVkFZMWNoK1RZOXdnamFqVEh6QT09</t>
        </is>
      </c>
      <c r="F72" t="n">
        <v>2</v>
      </c>
      <c r="G72" t="inlineStr">
        <is>
          <t>BS004</t>
        </is>
      </c>
      <c r="H72" t="inlineStr">
        <is>
          <t>4 Juli 2008</t>
        </is>
      </c>
      <c r="I72" s="2" t="n">
        <v>46286</v>
      </c>
      <c r="J72" t="inlineStr">
        <is>
          <t>Disetujui</t>
        </is>
      </c>
      <c r="K72" t="n">
        <v>90</v>
      </c>
      <c r="L72" t="inlineStr">
        <is>
          <t>21 September 2026</t>
        </is>
      </c>
      <c r="M72" t="inlineStr">
        <is>
          <t>Konstruksi Jaringan Irigasi dan Drainase</t>
        </is>
      </c>
      <c r="N72" t="inlineStr">
        <is>
          <t>K</t>
        </is>
      </c>
      <c r="O72" t="inlineStr">
        <is>
          <t>20230913</t>
        </is>
      </c>
      <c r="P72" t="inlineStr">
        <is>
          <t>Jawa Barat</t>
        </is>
      </c>
      <c r="Q72" t="inlineStr"/>
    </row>
    <row r="73">
      <c r="A73" t="inlineStr">
        <is>
          <t>HARAPAN JAYA TUBAN</t>
        </is>
      </c>
      <c r="B73" t="inlineStr">
        <is>
          <t>Kab. Tuban</t>
        </is>
      </c>
      <c r="C73" t="inlineStr">
        <is>
          <t>082142908025</t>
        </is>
      </c>
      <c r="D73" t="inlineStr">
        <is>
          <t>harapanjayatuban@gmail.com</t>
        </is>
      </c>
      <c r="E73" t="inlineStr">
        <is>
          <t>https://lpjk.pu.go.id/search-badan-usaha-detail/dkNnbTBVbkV2TVoySkk0aE5MdHV0QT09</t>
        </is>
      </c>
      <c r="F73" t="n">
        <v>2</v>
      </c>
      <c r="G73" t="inlineStr">
        <is>
          <t>BG002, BG009</t>
        </is>
      </c>
      <c r="H73" t="inlineStr">
        <is>
          <t>22 Juni 2012</t>
        </is>
      </c>
      <c r="I73" s="2" t="n">
        <v>46286</v>
      </c>
      <c r="J73" t="inlineStr">
        <is>
          <t>Disetujui</t>
        </is>
      </c>
      <c r="K73" t="n">
        <v>90</v>
      </c>
      <c r="L73" t="inlineStr">
        <is>
          <t>21 September 2026</t>
        </is>
      </c>
      <c r="M73" t="inlineStr">
        <is>
          <t>Konstruksi Gedung Lainnya, Konstruksi Gedung Perkantoran</t>
        </is>
      </c>
      <c r="N73" t="inlineStr">
        <is>
          <t>K</t>
        </is>
      </c>
      <c r="O73" t="inlineStr">
        <is>
          <t>20230921, 20230922</t>
        </is>
      </c>
      <c r="P73" t="inlineStr">
        <is>
          <t>Jawa Timur</t>
        </is>
      </c>
      <c r="Q73" t="inlineStr"/>
    </row>
    <row r="74">
      <c r="A74" t="inlineStr">
        <is>
          <t>HARSA WIJAYA</t>
        </is>
      </c>
      <c r="B74" t="inlineStr">
        <is>
          <t>Kab. Lumajang</t>
        </is>
      </c>
      <c r="C74" t="inlineStr">
        <is>
          <t>082132640659</t>
        </is>
      </c>
      <c r="D74" t="inlineStr">
        <is>
          <t>harsa43@yahoo.com</t>
        </is>
      </c>
      <c r="E74" t="inlineStr">
        <is>
          <t>https://lpjk.pu.go.id/search-badan-usaha-detail/RytKd0FSMzcrODdOZE9VZW5ibXo2UT09</t>
        </is>
      </c>
      <c r="F74" t="n">
        <v>3</v>
      </c>
      <c r="G74" t="inlineStr">
        <is>
          <t>BG002, BG005</t>
        </is>
      </c>
      <c r="H74" t="inlineStr">
        <is>
          <t>28 November 1984</t>
        </is>
      </c>
      <c r="I74" s="2" t="n">
        <v>46286</v>
      </c>
      <c r="J74" t="inlineStr">
        <is>
          <t>Disetujui</t>
        </is>
      </c>
      <c r="K74" t="n">
        <v>90</v>
      </c>
      <c r="L74" t="inlineStr">
        <is>
          <t>21 September 2026</t>
        </is>
      </c>
      <c r="M74" t="inlineStr">
        <is>
          <t>Konstruksi Gedung Kesehatan, Konstruksi Gedung Perkantoran</t>
        </is>
      </c>
      <c r="N74" t="inlineStr">
        <is>
          <t>K</t>
        </is>
      </c>
      <c r="O74" t="inlineStr">
        <is>
          <t>20230913</t>
        </is>
      </c>
      <c r="P74" t="inlineStr">
        <is>
          <t>Jawa Timur</t>
        </is>
      </c>
      <c r="Q74" t="inlineStr"/>
    </row>
    <row r="75">
      <c r="A75" t="inlineStr">
        <is>
          <t>HAURA RAYA</t>
        </is>
      </c>
      <c r="B75" t="inlineStr">
        <is>
          <t>Kota Pontianak</t>
        </is>
      </c>
      <c r="C75" t="inlineStr">
        <is>
          <t>085650864402</t>
        </is>
      </c>
      <c r="D75" t="inlineStr">
        <is>
          <t>haura_raya@yahoo.com</t>
        </is>
      </c>
      <c r="E75" t="inlineStr">
        <is>
          <t>https://lpjk.pu.go.id/search-badan-usaha-detail/ME5TcjMxSGVFUFd2aGgwQU1oKzBVZz09</t>
        </is>
      </c>
      <c r="F75" t="n">
        <v>2</v>
      </c>
      <c r="G75" t="inlineStr">
        <is>
          <t>PB004</t>
        </is>
      </c>
      <c r="H75" t="inlineStr">
        <is>
          <t>7 Februari 2007</t>
        </is>
      </c>
      <c r="I75" s="2" t="n">
        <v>46286</v>
      </c>
      <c r="J75" t="inlineStr">
        <is>
          <t>Pembekuan</t>
        </is>
      </c>
      <c r="K75" t="n">
        <v>90</v>
      </c>
      <c r="L75" t="inlineStr">
        <is>
          <t>21 September 2026</t>
        </is>
      </c>
      <c r="M75" t="inlineStr">
        <is>
          <t>Dekorasi Interior</t>
        </is>
      </c>
      <c r="N75" t="inlineStr">
        <is>
          <t>Spesialis</t>
        </is>
      </c>
      <c r="O75" t="inlineStr">
        <is>
          <t>20230918</t>
        </is>
      </c>
      <c r="P75" t="inlineStr">
        <is>
          <t>Kalimantan Barat</t>
        </is>
      </c>
      <c r="Q75" t="inlineStr"/>
    </row>
    <row r="76">
      <c r="A76" t="inlineStr">
        <is>
          <t>HUTAMA CIPTA KREASTIKA</t>
        </is>
      </c>
      <c r="B76" t="inlineStr">
        <is>
          <t>Kota Yogyakarta</t>
        </is>
      </c>
      <c r="C76" t="inlineStr">
        <is>
          <t>085399950599</t>
        </is>
      </c>
      <c r="D76" t="inlineStr">
        <is>
          <t>hutamaciptakreastika@yahoo.com</t>
        </is>
      </c>
      <c r="E76" t="inlineStr">
        <is>
          <t>https://lpjk.pu.go.id/search-badan-usaha-detail/Tk8zZ3d0N0JBQXM0cHIzaWFxWDFCZz09</t>
        </is>
      </c>
      <c r="F76" t="n">
        <v>2</v>
      </c>
      <c r="G76" t="inlineStr">
        <is>
          <t>BG009</t>
        </is>
      </c>
      <c r="H76" t="inlineStr">
        <is>
          <t>22 Juni 2012</t>
        </is>
      </c>
      <c r="I76" s="2" t="n">
        <v>46286</v>
      </c>
      <c r="J76" t="inlineStr">
        <is>
          <t>Disetujui</t>
        </is>
      </c>
      <c r="K76" t="n">
        <v>90</v>
      </c>
      <c r="L76" t="inlineStr">
        <is>
          <t>21 September 2026</t>
        </is>
      </c>
      <c r="M76" t="inlineStr">
        <is>
          <t>Konstruksi Gedung Lainnya</t>
        </is>
      </c>
      <c r="N76" t="inlineStr">
        <is>
          <t>K</t>
        </is>
      </c>
      <c r="O76" t="inlineStr">
        <is>
          <t>20230921</t>
        </is>
      </c>
      <c r="P76" t="inlineStr">
        <is>
          <t>DI Yogyakarta</t>
        </is>
      </c>
      <c r="Q76" t="inlineStr"/>
    </row>
    <row r="77">
      <c r="A77" t="inlineStr">
        <is>
          <t>IBRAHIMA JAYA</t>
        </is>
      </c>
      <c r="B77" t="inlineStr">
        <is>
          <t>Kab. Sragen</t>
        </is>
      </c>
      <c r="C77" t="inlineStr">
        <is>
          <t>082329551622</t>
        </is>
      </c>
      <c r="D77" t="inlineStr">
        <is>
          <t>ibrahimajaya@gmail.com</t>
        </is>
      </c>
      <c r="E77" t="inlineStr">
        <is>
          <t>https://lpjk.pu.go.id/search-badan-usaha-detail/OFFRcUQ0NW8wNk5jaXBOa1VkWVBaQT09</t>
        </is>
      </c>
      <c r="F77" t="n">
        <v>1</v>
      </c>
      <c r="G77" t="inlineStr">
        <is>
          <t>BG005</t>
        </is>
      </c>
      <c r="H77" t="inlineStr">
        <is>
          <t>27 Juni 2016</t>
        </is>
      </c>
      <c r="I77" s="2" t="n">
        <v>46286</v>
      </c>
      <c r="J77" t="inlineStr">
        <is>
          <t>Disetujui</t>
        </is>
      </c>
      <c r="K77" t="n">
        <v>90</v>
      </c>
      <c r="L77" t="inlineStr">
        <is>
          <t>21 September 2026</t>
        </is>
      </c>
      <c r="M77" t="inlineStr">
        <is>
          <t>Konstruksi Gedung Kesehatan</t>
        </is>
      </c>
      <c r="N77" t="inlineStr">
        <is>
          <t>K</t>
        </is>
      </c>
      <c r="O77" t="inlineStr">
        <is>
          <t>20230921</t>
        </is>
      </c>
      <c r="P77" t="inlineStr">
        <is>
          <t>Jawa Tengah</t>
        </is>
      </c>
      <c r="Q77" t="inlineStr"/>
    </row>
    <row r="78">
      <c r="A78" t="inlineStr">
        <is>
          <t>IBRAHIMY RAYA SEJAHTERA</t>
        </is>
      </c>
      <c r="B78" t="inlineStr">
        <is>
          <t>Kota Pontianak</t>
        </is>
      </c>
      <c r="C78" t="inlineStr">
        <is>
          <t>0895701710481</t>
        </is>
      </c>
      <c r="D78" t="inlineStr">
        <is>
          <t>ibrahimyrayasejahtera@gmail.com</t>
        </is>
      </c>
      <c r="E78" t="inlineStr">
        <is>
          <t>https://lpjk.pu.go.id/search-badan-usaha-detail/VlZqUmtvZnRKdkpaRm9uMTVqNk91UT09</t>
        </is>
      </c>
      <c r="F78" t="n">
        <v>1</v>
      </c>
      <c r="G78" t="inlineStr">
        <is>
          <t>BS004</t>
        </is>
      </c>
      <c r="H78" t="inlineStr">
        <is>
          <t>31 Januari 2020</t>
        </is>
      </c>
      <c r="I78" s="2" t="n">
        <v>46286</v>
      </c>
      <c r="J78" t="inlineStr">
        <is>
          <t>Disetujui</t>
        </is>
      </c>
      <c r="K78" t="n">
        <v>90</v>
      </c>
      <c r="L78" t="inlineStr">
        <is>
          <t>21 September 2026</t>
        </is>
      </c>
      <c r="M78" t="inlineStr">
        <is>
          <t>Konstruksi Jaringan Irigasi dan Drainase</t>
        </is>
      </c>
      <c r="N78" t="inlineStr">
        <is>
          <t>K</t>
        </is>
      </c>
      <c r="O78" t="inlineStr">
        <is>
          <t>20230918</t>
        </is>
      </c>
      <c r="P78" t="inlineStr">
        <is>
          <t>Kalimantan Barat</t>
        </is>
      </c>
      <c r="Q78" t="inlineStr"/>
    </row>
    <row r="79">
      <c r="A79" t="inlineStr">
        <is>
          <t>IDE KREASI KONSULTAN</t>
        </is>
      </c>
      <c r="B79" t="inlineStr">
        <is>
          <t>Kota Jambi</t>
        </is>
      </c>
      <c r="C79" t="inlineStr">
        <is>
          <t>082259855739</t>
        </is>
      </c>
      <c r="D79" t="inlineStr">
        <is>
          <t>cv.idekreasikonsultan@gmail.com</t>
        </is>
      </c>
      <c r="E79" t="inlineStr">
        <is>
          <t>https://lpjk.pu.go.id/search-badan-usaha-detail/Uk84SmlzaSt6dnRkRytKRGFkWXBkZz09</t>
        </is>
      </c>
      <c r="F79" t="n">
        <v>1</v>
      </c>
      <c r="G79" t="inlineStr">
        <is>
          <t>RK001</t>
        </is>
      </c>
      <c r="H79" t="inlineStr">
        <is>
          <t>14 Desember 2022</t>
        </is>
      </c>
      <c r="I79" s="2" t="n">
        <v>46286</v>
      </c>
      <c r="J79" t="inlineStr">
        <is>
          <t>Disetujui</t>
        </is>
      </c>
      <c r="K79" t="n">
        <v>90</v>
      </c>
      <c r="L79" t="inlineStr">
        <is>
          <t>21 September 2026</t>
        </is>
      </c>
      <c r="M79" t="inlineStr">
        <is>
          <t>Jasa Rekayasa Konstruksi Bangunan Gedung Hunian dan Non Hunian</t>
        </is>
      </c>
      <c r="N79" t="inlineStr">
        <is>
          <t>K</t>
        </is>
      </c>
      <c r="O79" t="inlineStr">
        <is>
          <t>20230912</t>
        </is>
      </c>
      <c r="P79" t="inlineStr">
        <is>
          <t>Jambi</t>
        </is>
      </c>
      <c r="Q79" t="inlineStr"/>
    </row>
    <row r="80">
      <c r="A80" t="inlineStr">
        <is>
          <t>INDAH SARI</t>
        </is>
      </c>
      <c r="B80" t="inlineStr">
        <is>
          <t>Kab. Kuningan</t>
        </is>
      </c>
      <c r="C80" t="inlineStr">
        <is>
          <t>081222292214</t>
        </is>
      </c>
      <c r="D80" t="inlineStr">
        <is>
          <t>indahsari.kng@gmail.com</t>
        </is>
      </c>
      <c r="E80" t="inlineStr">
        <is>
          <t>https://lpjk.pu.go.id/search-badan-usaha-detail/STdRL1VPY2pPdmdwSVhXNWw3ZjY4QT09</t>
        </is>
      </c>
      <c r="F80" t="n">
        <v>1</v>
      </c>
      <c r="G80" t="inlineStr">
        <is>
          <t>BS001</t>
        </is>
      </c>
      <c r="H80" t="inlineStr">
        <is>
          <t>24 Agustus 1987</t>
        </is>
      </c>
      <c r="I80" s="2" t="n">
        <v>46286</v>
      </c>
      <c r="J80" t="inlineStr">
        <is>
          <t>Disetujui</t>
        </is>
      </c>
      <c r="K80" t="n">
        <v>90</v>
      </c>
      <c r="L80" t="inlineStr">
        <is>
          <t>21 September 2026</t>
        </is>
      </c>
      <c r="M80" t="inlineStr">
        <is>
          <t>Konstruksi Bangunan Sipil Jalan</t>
        </is>
      </c>
      <c r="N80" t="inlineStr">
        <is>
          <t>K</t>
        </is>
      </c>
      <c r="O80" t="inlineStr">
        <is>
          <t>20230915</t>
        </is>
      </c>
      <c r="P80" t="inlineStr">
        <is>
          <t>Jawa Barat</t>
        </is>
      </c>
      <c r="Q80" t="inlineStr"/>
    </row>
    <row r="81">
      <c r="A81" t="inlineStr">
        <is>
          <t>INDRA</t>
        </is>
      </c>
      <c r="B81" t="inlineStr">
        <is>
          <t>Kab. Kediri</t>
        </is>
      </c>
      <c r="C81" t="inlineStr">
        <is>
          <t>081217340680</t>
        </is>
      </c>
      <c r="D81" t="inlineStr">
        <is>
          <t>cvindra94@ymail.com</t>
        </is>
      </c>
      <c r="E81" t="inlineStr">
        <is>
          <t>https://lpjk.pu.go.id/search-badan-usaha-detail/NkdlZ200MGl1WUI4K2g0UDNLUHp4UT09</t>
        </is>
      </c>
      <c r="F81" t="n">
        <v>3</v>
      </c>
      <c r="G81" t="inlineStr">
        <is>
          <t>BG006, BS001, BS004</t>
        </is>
      </c>
      <c r="H81" t="inlineStr">
        <is>
          <t>15 Mei 1993</t>
        </is>
      </c>
      <c r="I81" s="2" t="n">
        <v>46286</v>
      </c>
      <c r="J81" t="inlineStr">
        <is>
          <t>Disetujui</t>
        </is>
      </c>
      <c r="K81" t="n">
        <v>90</v>
      </c>
      <c r="L81" t="inlineStr">
        <is>
          <t>21 September 2026</t>
        </is>
      </c>
      <c r="M81" t="inlineStr">
        <is>
          <t>Konstruksi Bangunan Sipil Jalan, Konstruksi Gedung Pendidikan, Konstruksi Jaringan Irigasi dan Drainase</t>
        </is>
      </c>
      <c r="N81" t="inlineStr">
        <is>
          <t>K</t>
        </is>
      </c>
      <c r="O81" t="inlineStr">
        <is>
          <t>20230915</t>
        </is>
      </c>
      <c r="P81" t="inlineStr">
        <is>
          <t>Jawa Timur</t>
        </is>
      </c>
      <c r="Q81" t="inlineStr"/>
    </row>
    <row r="82">
      <c r="A82" t="inlineStr">
        <is>
          <t>INDRI PUTRI BADA</t>
        </is>
      </c>
      <c r="B82" t="inlineStr">
        <is>
          <t>Kab. Dompu</t>
        </is>
      </c>
      <c r="C82" t="inlineStr">
        <is>
          <t>085338707199</t>
        </is>
      </c>
      <c r="D82" t="inlineStr">
        <is>
          <t>cvindriputribada1965@gmail.com</t>
        </is>
      </c>
      <c r="E82" t="inlineStr">
        <is>
          <t>https://lpjk.pu.go.id/search-badan-usaha-detail/UVNibmZFS1ZJWGNPWkppUzRaR0Rudz09</t>
        </is>
      </c>
      <c r="F82" t="n">
        <v>2</v>
      </c>
      <c r="G82" t="inlineStr">
        <is>
          <t>BS001, BS004</t>
        </is>
      </c>
      <c r="H82" t="inlineStr">
        <is>
          <t>19 Maret 2012</t>
        </is>
      </c>
      <c r="I82" s="2" t="n">
        <v>46286</v>
      </c>
      <c r="J82" t="inlineStr">
        <is>
          <t>Disetujui</t>
        </is>
      </c>
      <c r="K82" t="n">
        <v>90</v>
      </c>
      <c r="L82" t="inlineStr">
        <is>
          <t>21 September 2026</t>
        </is>
      </c>
      <c r="M82" t="inlineStr">
        <is>
          <t>Konstruksi Bangunan Sipil Jalan, Konstruksi Jaringan Irigasi dan Drainase</t>
        </is>
      </c>
      <c r="N82" t="inlineStr">
        <is>
          <t>K</t>
        </is>
      </c>
      <c r="O82" t="inlineStr">
        <is>
          <t>20230616, 20230914</t>
        </is>
      </c>
      <c r="P82" t="inlineStr">
        <is>
          <t>Nusa Tenggara Barat</t>
        </is>
      </c>
      <c r="Q82" t="inlineStr"/>
    </row>
    <row r="83">
      <c r="A83" t="inlineStr">
        <is>
          <t>INTAN BARU</t>
        </is>
      </c>
      <c r="B83" t="inlineStr">
        <is>
          <t>Kota Kupang</t>
        </is>
      </c>
      <c r="C83" t="inlineStr">
        <is>
          <t>081339136972</t>
        </is>
      </c>
      <c r="D83" t="inlineStr">
        <is>
          <t>intanbr99@gmail.com</t>
        </is>
      </c>
      <c r="E83" t="inlineStr">
        <is>
          <t>https://lpjk.pu.go.id/search-badan-usaha-detail/SFJSamt6dVZ1eTlJT3pVS2dNMTNXZz09</t>
        </is>
      </c>
      <c r="F83" t="n">
        <v>1</v>
      </c>
      <c r="G83" t="inlineStr">
        <is>
          <t>BG005</t>
        </is>
      </c>
      <c r="H83" t="inlineStr">
        <is>
          <t>21 Agustus 2023</t>
        </is>
      </c>
      <c r="I83" s="2" t="n">
        <v>46286</v>
      </c>
      <c r="J83" t="inlineStr">
        <is>
          <t>Pencabutan</t>
        </is>
      </c>
      <c r="K83" t="n">
        <v>90</v>
      </c>
      <c r="L83" t="inlineStr">
        <is>
          <t>21 September 2026</t>
        </is>
      </c>
      <c r="M83" t="inlineStr">
        <is>
          <t>Konstruksi Gedung Kesehatan</t>
        </is>
      </c>
      <c r="N83" t="inlineStr">
        <is>
          <t>K</t>
        </is>
      </c>
      <c r="O83" t="inlineStr">
        <is>
          <t>20230921</t>
        </is>
      </c>
      <c r="P83" t="inlineStr">
        <is>
          <t>Nusa Tenggara Timur</t>
        </is>
      </c>
      <c r="Q83" t="inlineStr"/>
    </row>
    <row r="84">
      <c r="A84" t="inlineStr">
        <is>
          <t>INTAN PRIMA MANDIRI</t>
        </is>
      </c>
      <c r="B84" t="inlineStr">
        <is>
          <t>Kab. Agam</t>
        </is>
      </c>
      <c r="C84" t="inlineStr">
        <is>
          <t>081311321637</t>
        </is>
      </c>
      <c r="D84" t="inlineStr">
        <is>
          <t>yusrial909@gmail.com</t>
        </is>
      </c>
      <c r="E84" t="inlineStr">
        <is>
          <t>https://lpjk.pu.go.id/search-badan-usaha-detail/THcyZGlOd3hXUGxjVzNKWWlXSHpGZz09</t>
        </is>
      </c>
      <c r="F84" t="n">
        <v>3</v>
      </c>
      <c r="G84" t="inlineStr">
        <is>
          <t>BG001, BG006, BG009</t>
        </is>
      </c>
      <c r="H84" t="inlineStr">
        <is>
          <t>20 Februari 2007</t>
        </is>
      </c>
      <c r="I84" s="2" t="n">
        <v>46286</v>
      </c>
      <c r="J84" t="inlineStr">
        <is>
          <t>Disetujui</t>
        </is>
      </c>
      <c r="K84" t="n">
        <v>90</v>
      </c>
      <c r="L84" t="inlineStr">
        <is>
          <t>21 September 2026</t>
        </is>
      </c>
      <c r="M84" t="inlineStr">
        <is>
          <t>Konstruksi Gedung Hunian, Konstruksi Gedung Lainnya, Konstruksi Gedung Pendidikan</t>
        </is>
      </c>
      <c r="N84" t="inlineStr">
        <is>
          <t>K</t>
        </is>
      </c>
      <c r="O84" t="inlineStr">
        <is>
          <t>20230831</t>
        </is>
      </c>
      <c r="P84" t="inlineStr">
        <is>
          <t>Sumatera Barat</t>
        </is>
      </c>
      <c r="Q84" t="inlineStr"/>
    </row>
    <row r="85">
      <c r="A85" t="inlineStr">
        <is>
          <t>INTI PERKASA BORNEO</t>
        </is>
      </c>
      <c r="B85" t="inlineStr">
        <is>
          <t>Kab. Kutai Kartanegara</t>
        </is>
      </c>
      <c r="C85" t="inlineStr">
        <is>
          <t>085222288882</t>
        </is>
      </c>
      <c r="D85" t="inlineStr">
        <is>
          <t>intiperkasaborneo2023@gmail.com</t>
        </is>
      </c>
      <c r="E85" t="inlineStr">
        <is>
          <t>https://lpjk.pu.go.id/search-badan-usaha-detail/VUpNZGY5cm9qN3pSRWhyOVN5YWU5QT09</t>
        </is>
      </c>
      <c r="F85" t="n">
        <v>1</v>
      </c>
      <c r="G85" t="inlineStr">
        <is>
          <t>BG005</t>
        </is>
      </c>
      <c r="H85" t="inlineStr">
        <is>
          <t>13 Februari 2023</t>
        </is>
      </c>
      <c r="I85" s="2" t="n">
        <v>46286</v>
      </c>
      <c r="J85" t="inlineStr">
        <is>
          <t>Disetujui</t>
        </is>
      </c>
      <c r="K85" t="n">
        <v>90</v>
      </c>
      <c r="L85" t="inlineStr">
        <is>
          <t>21 September 2026</t>
        </is>
      </c>
      <c r="M85" t="inlineStr">
        <is>
          <t>Konstruksi Gedung Kesehatan</t>
        </is>
      </c>
      <c r="N85" t="inlineStr">
        <is>
          <t>K</t>
        </is>
      </c>
      <c r="O85" t="inlineStr">
        <is>
          <t>20230919</t>
        </is>
      </c>
      <c r="P85" t="inlineStr">
        <is>
          <t>Kalimantan Timur</t>
        </is>
      </c>
      <c r="Q85" t="inlineStr"/>
    </row>
    <row r="86">
      <c r="A86" t="inlineStr">
        <is>
          <t>JASA KAWAN PERKASA</t>
        </is>
      </c>
      <c r="B86" t="inlineStr">
        <is>
          <t>Kab. Rokan Hulu</t>
        </is>
      </c>
      <c r="C86" t="inlineStr">
        <is>
          <t>085363692073</t>
        </is>
      </c>
      <c r="D86" t="inlineStr">
        <is>
          <t>info1.ptjkp@gmail.com</t>
        </is>
      </c>
      <c r="E86" t="inlineStr">
        <is>
          <t>https://lpjk.pu.go.id/search-badan-usaha-detail/ZEJDRzF2RkZ2U0c3dEk2SExBUnNXUT09</t>
        </is>
      </c>
      <c r="F86" t="n">
        <v>1</v>
      </c>
      <c r="G86" t="inlineStr">
        <is>
          <t>PL003</t>
        </is>
      </c>
      <c r="H86" t="inlineStr">
        <is>
          <t>13 Agustus 2022</t>
        </is>
      </c>
      <c r="I86" s="2" t="n">
        <v>46286</v>
      </c>
      <c r="J86" t="inlineStr">
        <is>
          <t>Disetujui</t>
        </is>
      </c>
      <c r="K86" t="n">
        <v>90</v>
      </c>
      <c r="L86" t="inlineStr">
        <is>
          <t>21 September 2026</t>
        </is>
      </c>
      <c r="M86" t="inlineStr">
        <is>
          <t>Penyiapan Lahan Konstruksi</t>
        </is>
      </c>
      <c r="N86" t="inlineStr">
        <is>
          <t>Spesialis</t>
        </is>
      </c>
      <c r="O86" t="inlineStr">
        <is>
          <t>20230605</t>
        </is>
      </c>
      <c r="P86" t="inlineStr">
        <is>
          <t>Riau</t>
        </is>
      </c>
      <c r="Q86" t="inlineStr"/>
    </row>
    <row r="87">
      <c r="A87" t="inlineStr">
        <is>
          <t>JATI ILALANG</t>
        </is>
      </c>
      <c r="B87" t="inlineStr">
        <is>
          <t>Kab. Indramayu</t>
        </is>
      </c>
      <c r="C87" t="inlineStr">
        <is>
          <t>0896-5799-1124</t>
        </is>
      </c>
      <c r="D87" t="inlineStr">
        <is>
          <t>cv.jatiilalang@gmail.com</t>
        </is>
      </c>
      <c r="E87" t="inlineStr">
        <is>
          <t>https://lpjk.pu.go.id/search-badan-usaha-detail/RlRzdStUQS9MUktSREwvcFlMTXdHUT09</t>
        </is>
      </c>
      <c r="F87" t="n">
        <v>1</v>
      </c>
      <c r="G87" t="inlineStr">
        <is>
          <t>BG006</t>
        </is>
      </c>
      <c r="H87" t="inlineStr">
        <is>
          <t>28 Februari 2012</t>
        </is>
      </c>
      <c r="I87" s="2" t="n">
        <v>46286</v>
      </c>
      <c r="J87" t="inlineStr">
        <is>
          <t>Disetujui</t>
        </is>
      </c>
      <c r="K87" t="n">
        <v>90</v>
      </c>
      <c r="L87" t="inlineStr">
        <is>
          <t>21 September 2026</t>
        </is>
      </c>
      <c r="M87" t="inlineStr">
        <is>
          <t>Konstruksi Gedung Pendidikan</t>
        </is>
      </c>
      <c r="N87" t="inlineStr">
        <is>
          <t>K</t>
        </is>
      </c>
      <c r="O87" t="inlineStr">
        <is>
          <t>20230914</t>
        </is>
      </c>
      <c r="P87" t="inlineStr">
        <is>
          <t>Jawa Barat</t>
        </is>
      </c>
      <c r="Q87" t="inlineStr"/>
    </row>
    <row r="88">
      <c r="A88" t="inlineStr">
        <is>
          <t>JAYA FORTIUSINDO</t>
        </is>
      </c>
      <c r="B88" t="inlineStr">
        <is>
          <t>Kota Adm. Jakarta Barat</t>
        </is>
      </c>
      <c r="C88" t="inlineStr">
        <is>
          <t>0215868314</t>
        </is>
      </c>
      <c r="D88" t="inlineStr">
        <is>
          <t>jayafortusindo@gmail.com</t>
        </is>
      </c>
      <c r="E88" t="inlineStr">
        <is>
          <t>https://lpjk.pu.go.id/search-badan-usaha-detail/NUFMMFErMXhpdTQ3cUd1RVFxYmFXZz09</t>
        </is>
      </c>
      <c r="F88" t="n">
        <v>1</v>
      </c>
      <c r="G88" t="inlineStr">
        <is>
          <t>BG009</t>
        </is>
      </c>
      <c r="H88" t="inlineStr">
        <is>
          <t>24 Oktober 2012</t>
        </is>
      </c>
      <c r="I88" s="2" t="n">
        <v>46286</v>
      </c>
      <c r="J88" t="inlineStr">
        <is>
          <t>Disetujui</t>
        </is>
      </c>
      <c r="K88" t="n">
        <v>90</v>
      </c>
      <c r="L88" t="inlineStr">
        <is>
          <t>21 September 2026</t>
        </is>
      </c>
      <c r="M88" t="inlineStr">
        <is>
          <t>Konstruksi Gedung Lainnya</t>
        </is>
      </c>
      <c r="N88" t="inlineStr">
        <is>
          <t>K</t>
        </is>
      </c>
      <c r="O88" t="inlineStr">
        <is>
          <t>20230921</t>
        </is>
      </c>
      <c r="P88" t="inlineStr">
        <is>
          <t>DKI Jakarta</t>
        </is>
      </c>
      <c r="Q88" t="inlineStr"/>
    </row>
    <row r="89">
      <c r="A89" t="inlineStr">
        <is>
          <t>KARISMATIK UTAMA</t>
        </is>
      </c>
      <c r="B89" t="inlineStr">
        <is>
          <t>Kab. Lombok Timur</t>
        </is>
      </c>
      <c r="C89" t="inlineStr">
        <is>
          <t>087753357827</t>
        </is>
      </c>
      <c r="D89" t="inlineStr">
        <is>
          <t>cv.karismatikutama@gmail.com</t>
        </is>
      </c>
      <c r="E89" t="inlineStr">
        <is>
          <t>https://lpjk.pu.go.id/search-badan-usaha-detail/NDhuVVppUzRvQXdTY0dxSEEzZHJoQT09</t>
        </is>
      </c>
      <c r="F89" t="n">
        <v>1</v>
      </c>
      <c r="G89" t="inlineStr">
        <is>
          <t>BS001</t>
        </is>
      </c>
      <c r="H89" t="inlineStr">
        <is>
          <t>27 Februari 2023</t>
        </is>
      </c>
      <c r="I89" s="2" t="n">
        <v>46286</v>
      </c>
      <c r="J89" t="inlineStr">
        <is>
          <t>Disetujui</t>
        </is>
      </c>
      <c r="K89" t="n">
        <v>90</v>
      </c>
      <c r="L89" t="inlineStr">
        <is>
          <t>21 September 2026</t>
        </is>
      </c>
      <c r="M89" t="inlineStr">
        <is>
          <t>Konstruksi Bangunan Sipil Jalan</t>
        </is>
      </c>
      <c r="N89" t="inlineStr">
        <is>
          <t>K</t>
        </is>
      </c>
      <c r="O89" t="inlineStr">
        <is>
          <t>20230921</t>
        </is>
      </c>
      <c r="P89" t="inlineStr">
        <is>
          <t>Nusa Tenggara Barat</t>
        </is>
      </c>
      <c r="Q89" t="inlineStr"/>
    </row>
    <row r="90">
      <c r="A90" t="inlineStr">
        <is>
          <t>KARYA ESHA UTAMA</t>
        </is>
      </c>
      <c r="B90" t="inlineStr">
        <is>
          <t>Kab. Trenggalek</t>
        </is>
      </c>
      <c r="C90" t="inlineStr">
        <is>
          <t>085156036395</t>
        </is>
      </c>
      <c r="D90" t="inlineStr">
        <is>
          <t>cv.karyaeshautama@gmail.com</t>
        </is>
      </c>
      <c r="E90" t="inlineStr">
        <is>
          <t>https://lpjk.pu.go.id/search-badan-usaha-detail/UjV3TTFSNzJqakdQcC9vNjRYY0p3Zz09</t>
        </is>
      </c>
      <c r="F90" t="n">
        <v>1</v>
      </c>
      <c r="G90" t="inlineStr">
        <is>
          <t>BG006</t>
        </is>
      </c>
      <c r="H90" t="inlineStr">
        <is>
          <t>13 Juli 1994</t>
        </is>
      </c>
      <c r="I90" s="2" t="n">
        <v>46286</v>
      </c>
      <c r="J90" t="inlineStr">
        <is>
          <t>Disetujui</t>
        </is>
      </c>
      <c r="K90" t="n">
        <v>90</v>
      </c>
      <c r="L90" t="inlineStr">
        <is>
          <t>21 September 2026</t>
        </is>
      </c>
      <c r="M90" t="inlineStr">
        <is>
          <t>Konstruksi Gedung Pendidikan</t>
        </is>
      </c>
      <c r="N90" t="inlineStr">
        <is>
          <t>K</t>
        </is>
      </c>
      <c r="O90" t="inlineStr">
        <is>
          <t>20230917</t>
        </is>
      </c>
      <c r="P90" t="inlineStr">
        <is>
          <t>Jawa Timur</t>
        </is>
      </c>
      <c r="Q90" t="inlineStr"/>
    </row>
    <row r="91">
      <c r="A91" t="inlineStr">
        <is>
          <t>KARYA GUNA PRATAMA</t>
        </is>
      </c>
      <c r="B91" t="inlineStr">
        <is>
          <t>Kab. Padang Pariaman</t>
        </is>
      </c>
      <c r="C91" t="inlineStr">
        <is>
          <t>-</t>
        </is>
      </c>
      <c r="D91" t="inlineStr">
        <is>
          <t>cvkaryagunapratama@gmail.com</t>
        </is>
      </c>
      <c r="E91" t="inlineStr">
        <is>
          <t>https://lpjk.pu.go.id/search-badan-usaha-detail/cTNhUzdwMENqRXJRS1NHd1V0WGJKQT09</t>
        </is>
      </c>
      <c r="F91" t="n">
        <v>1</v>
      </c>
      <c r="G91" t="inlineStr">
        <is>
          <t>BS004</t>
        </is>
      </c>
      <c r="H91" t="inlineStr">
        <is>
          <t>1 September 2014</t>
        </is>
      </c>
      <c r="I91" s="2" t="n">
        <v>46286</v>
      </c>
      <c r="J91" t="inlineStr">
        <is>
          <t>Pencabutan</t>
        </is>
      </c>
      <c r="K91" t="n">
        <v>90</v>
      </c>
      <c r="L91" t="inlineStr">
        <is>
          <t>21 September 2026</t>
        </is>
      </c>
      <c r="M91" t="inlineStr">
        <is>
          <t>Konstruksi Jaringan Irigasi dan Drainase</t>
        </is>
      </c>
      <c r="N91" t="inlineStr">
        <is>
          <t>K</t>
        </is>
      </c>
      <c r="O91" t="inlineStr">
        <is>
          <t>20230921</t>
        </is>
      </c>
      <c r="P91" t="inlineStr">
        <is>
          <t>Sumatera Barat</t>
        </is>
      </c>
      <c r="Q91" t="inlineStr"/>
    </row>
    <row r="92">
      <c r="A92" t="inlineStr">
        <is>
          <t>KARYA SEJAHTERA</t>
        </is>
      </c>
      <c r="B92" t="inlineStr">
        <is>
          <t>Kab. Jember</t>
        </is>
      </c>
      <c r="C92" t="inlineStr">
        <is>
          <t>081231809130</t>
        </is>
      </c>
      <c r="D92" t="inlineStr">
        <is>
          <t>karya_sejahterajbr@yahoo.co.id</t>
        </is>
      </c>
      <c r="E92" t="inlineStr">
        <is>
          <t>https://lpjk.pu.go.id/search-badan-usaha-detail/U2t0S2pJaFlBaVBQRnk3N0s3MGtndz09</t>
        </is>
      </c>
      <c r="F92" t="n">
        <v>2</v>
      </c>
      <c r="G92" t="inlineStr">
        <is>
          <t>BG005, BG006</t>
        </is>
      </c>
      <c r="H92" t="inlineStr">
        <is>
          <t>4 Mei 1999</t>
        </is>
      </c>
      <c r="I92" s="2" t="n">
        <v>46286</v>
      </c>
      <c r="J92" t="inlineStr">
        <is>
          <t>Disetujui</t>
        </is>
      </c>
      <c r="K92" t="n">
        <v>90</v>
      </c>
      <c r="L92" t="inlineStr">
        <is>
          <t>21 September 2026</t>
        </is>
      </c>
      <c r="M92" t="inlineStr">
        <is>
          <t>Konstruksi Gedung Kesehatan, Konstruksi Gedung Pendidikan</t>
        </is>
      </c>
      <c r="N92" t="inlineStr">
        <is>
          <t>K</t>
        </is>
      </c>
      <c r="O92" t="inlineStr">
        <is>
          <t>20230919</t>
        </is>
      </c>
      <c r="P92" t="inlineStr">
        <is>
          <t>Jawa Timur</t>
        </is>
      </c>
      <c r="Q92" t="inlineStr"/>
    </row>
    <row r="93">
      <c r="A93" t="inlineStr">
        <is>
          <t>KHAYRA PERMATA</t>
        </is>
      </c>
      <c r="B93" t="inlineStr">
        <is>
          <t>Kota Medan</t>
        </is>
      </c>
      <c r="C93" t="inlineStr">
        <is>
          <t>081265319342</t>
        </is>
      </c>
      <c r="D93" t="inlineStr">
        <is>
          <t>khayrapermatacv@gmail.com</t>
        </is>
      </c>
      <c r="E93" t="inlineStr">
        <is>
          <t>https://lpjk.pu.go.id/search-badan-usaha-detail/dXF3VkUvR0Frc05wcnV1VHZoakpVZz09</t>
        </is>
      </c>
      <c r="F93" t="n">
        <v>4</v>
      </c>
      <c r="G93" t="inlineStr">
        <is>
          <t>BG005, BG009, BS001, BS004</t>
        </is>
      </c>
      <c r="H93" t="inlineStr">
        <is>
          <t>27 April 2020</t>
        </is>
      </c>
      <c r="I93" s="2" t="n">
        <v>46286</v>
      </c>
      <c r="J93" t="inlineStr">
        <is>
          <t>Disetujui</t>
        </is>
      </c>
      <c r="K93" t="n">
        <v>90</v>
      </c>
      <c r="L93" t="inlineStr">
        <is>
          <t>21 September 2026</t>
        </is>
      </c>
      <c r="M93" t="inlineStr">
        <is>
          <t>Konstruksi Bangunan Sipil Jalan, Konstruksi Gedung Kesehatan, Konstruksi Gedung Lainnya, Konstruksi Jaringan Irigasi dan Drainase</t>
        </is>
      </c>
      <c r="N93" t="inlineStr">
        <is>
          <t>K</t>
        </is>
      </c>
      <c r="O93" t="inlineStr">
        <is>
          <t>20230912, 20230915</t>
        </is>
      </c>
      <c r="P93" t="inlineStr">
        <is>
          <t>Sumatera Utara</t>
        </is>
      </c>
      <c r="Q93" t="inlineStr"/>
    </row>
    <row r="94">
      <c r="A94" t="inlineStr">
        <is>
          <t>LAMIN DESAIN ARSITEKTUR</t>
        </is>
      </c>
      <c r="B94" t="inlineStr">
        <is>
          <t>Kota Bontang</t>
        </is>
      </c>
      <c r="C94" t="inlineStr">
        <is>
          <t>05483560760</t>
        </is>
      </c>
      <c r="D94" t="inlineStr">
        <is>
          <t>lamindesain@gmail.com</t>
        </is>
      </c>
      <c r="E94" t="inlineStr">
        <is>
          <t>https://lpjk.pu.go.id/search-badan-usaha-detail/azh5dlZaZGlHOHpMWWlkK1oyNTJPZz09</t>
        </is>
      </c>
      <c r="F94" t="n">
        <v>2</v>
      </c>
      <c r="G94" t="inlineStr">
        <is>
          <t>AR001, AR002</t>
        </is>
      </c>
      <c r="H94" t="inlineStr">
        <is>
          <t>6 April 2022</t>
        </is>
      </c>
      <c r="I94" s="2" t="n">
        <v>46286</v>
      </c>
      <c r="J94" t="inlineStr">
        <is>
          <t>Disetujui</t>
        </is>
      </c>
      <c r="K94" t="n">
        <v>90</v>
      </c>
      <c r="L94" t="inlineStr">
        <is>
          <t>21 September 2026</t>
        </is>
      </c>
      <c r="M94" t="inlineStr">
        <is>
          <t>Jasa Arsitektural Bangunan Gedung Hunian dan Non Hunian, Jasa Arsitektural Lainnya</t>
        </is>
      </c>
      <c r="N94" t="inlineStr">
        <is>
          <t>K</t>
        </is>
      </c>
      <c r="O94" t="inlineStr">
        <is>
          <t>20230908</t>
        </is>
      </c>
      <c r="P94" t="inlineStr">
        <is>
          <t>Kalimantan Timur</t>
        </is>
      </c>
      <c r="Q94" t="inlineStr"/>
    </row>
    <row r="95">
      <c r="A95" t="inlineStr">
        <is>
          <t>LANGGENG JAYA</t>
        </is>
      </c>
      <c r="B95" t="inlineStr">
        <is>
          <t>Kota Magelang</t>
        </is>
      </c>
      <c r="C95" t="inlineStr">
        <is>
          <t>N/A</t>
        </is>
      </c>
      <c r="D95" t="inlineStr">
        <is>
          <t>N/A</t>
        </is>
      </c>
      <c r="E95" t="inlineStr">
        <is>
          <t>https://lpjk.pu.go.id/search-badan-usaha-detail/eWtIODgvYmltOHpodUQyalN4SGhpZz09</t>
        </is>
      </c>
      <c r="F95" t="n">
        <v>1</v>
      </c>
      <c r="G95" t="inlineStr">
        <is>
          <t>BS001</t>
        </is>
      </c>
      <c r="H95" t="inlineStr"/>
      <c r="I95" s="2" t="n">
        <v>46286</v>
      </c>
      <c r="J95" t="inlineStr">
        <is>
          <t>Disetujui</t>
        </is>
      </c>
      <c r="K95" t="n">
        <v>90</v>
      </c>
      <c r="L95" t="inlineStr">
        <is>
          <t>21 September 2026</t>
        </is>
      </c>
      <c r="M95" t="inlineStr">
        <is>
          <t>Konstruksi Bangunan Sipil Jalan</t>
        </is>
      </c>
      <c r="N95" t="inlineStr">
        <is>
          <t>K</t>
        </is>
      </c>
      <c r="O95" t="inlineStr">
        <is>
          <t>20230921</t>
        </is>
      </c>
      <c r="P95" t="inlineStr">
        <is>
          <t>Jawa Tengah</t>
        </is>
      </c>
      <c r="Q95" t="inlineStr"/>
    </row>
    <row r="96">
      <c r="A96" t="inlineStr">
        <is>
          <t>LESTARI INOVASI MAKMUR</t>
        </is>
      </c>
      <c r="B96" t="inlineStr">
        <is>
          <t>Kota Tebing Tinggi</t>
        </is>
      </c>
      <c r="C96" t="inlineStr">
        <is>
          <t>082370007574</t>
        </is>
      </c>
      <c r="D96" t="inlineStr">
        <is>
          <t>lestarimakmurcv6@gmail.com</t>
        </is>
      </c>
      <c r="E96" t="inlineStr">
        <is>
          <t>https://lpjk.pu.go.id/search-badan-usaha-detail/UW5Dd0JVY2NLQWd3QlV4dlJPS0YzZz09</t>
        </is>
      </c>
      <c r="F96" t="n">
        <v>1</v>
      </c>
      <c r="G96" t="inlineStr">
        <is>
          <t>BS004</t>
        </is>
      </c>
      <c r="H96" t="inlineStr">
        <is>
          <t>12 Agustus 2023</t>
        </is>
      </c>
      <c r="I96" s="2" t="n">
        <v>46286</v>
      </c>
      <c r="J96" t="inlineStr">
        <is>
          <t>Disetujui</t>
        </is>
      </c>
      <c r="K96" t="n">
        <v>90</v>
      </c>
      <c r="L96" t="inlineStr">
        <is>
          <t>21 September 2026</t>
        </is>
      </c>
      <c r="M96" t="inlineStr">
        <is>
          <t>Konstruksi Jaringan Irigasi dan Drainase</t>
        </is>
      </c>
      <c r="N96" t="inlineStr">
        <is>
          <t>K</t>
        </is>
      </c>
      <c r="O96" t="inlineStr">
        <is>
          <t>20230919</t>
        </is>
      </c>
      <c r="P96" t="inlineStr">
        <is>
          <t>Sumatera Utara</t>
        </is>
      </c>
      <c r="Q96" t="inlineStr"/>
    </row>
    <row r="97">
      <c r="A97" t="inlineStr">
        <is>
          <t>LIMA AMAL SEJAHTERA</t>
        </is>
      </c>
      <c r="B97" t="inlineStr">
        <is>
          <t>Kota Ternate</t>
        </is>
      </c>
      <c r="C97" t="inlineStr">
        <is>
          <t>082300174411</t>
        </is>
      </c>
      <c r="D97" t="inlineStr">
        <is>
          <t>cv.5amalsejahtera@gmail.com</t>
        </is>
      </c>
      <c r="E97" t="inlineStr">
        <is>
          <t>https://lpjk.pu.go.id/search-badan-usaha-detail/Z25NVytQZWlzN3B0Qk53NGt5OTFyUT09</t>
        </is>
      </c>
      <c r="F97" t="n">
        <v>1</v>
      </c>
      <c r="G97" t="inlineStr">
        <is>
          <t>BS010</t>
        </is>
      </c>
      <c r="H97" t="inlineStr">
        <is>
          <t>21 Juni 2023</t>
        </is>
      </c>
      <c r="I97" s="2" t="n">
        <v>46286</v>
      </c>
      <c r="J97" t="inlineStr">
        <is>
          <t>Disetujui</t>
        </is>
      </c>
      <c r="K97" t="n">
        <v>90</v>
      </c>
      <c r="L97" t="inlineStr">
        <is>
          <t>21 September 2026</t>
        </is>
      </c>
      <c r="M97" t="inlineStr">
        <is>
          <t>Konstruksi Bangunan Prasarana Sumber Daya Air</t>
        </is>
      </c>
      <c r="N97" t="inlineStr">
        <is>
          <t>K</t>
        </is>
      </c>
      <c r="O97" t="inlineStr">
        <is>
          <t>20230921</t>
        </is>
      </c>
      <c r="P97" t="inlineStr">
        <is>
          <t>Maluku Utara</t>
        </is>
      </c>
      <c r="Q97" t="inlineStr"/>
    </row>
    <row r="98">
      <c r="A98" t="inlineStr">
        <is>
          <t>LINGGASARI</t>
        </is>
      </c>
      <c r="B98" t="inlineStr">
        <is>
          <t>Kota Bandung</t>
        </is>
      </c>
      <c r="C98" t="inlineStr">
        <is>
          <t>0223 7127 28__</t>
        </is>
      </c>
      <c r="D98" t="inlineStr">
        <is>
          <t>540qi.33@yahoo.co.id</t>
        </is>
      </c>
      <c r="E98" t="inlineStr">
        <is>
          <t>https://lpjk.pu.go.id/search-badan-usaha-detail/amhrYkNmQnp3Uzd6Um4xMDRETmxYdz09</t>
        </is>
      </c>
      <c r="F98" t="n">
        <v>2</v>
      </c>
      <c r="G98" t="inlineStr">
        <is>
          <t>BG005</t>
        </is>
      </c>
      <c r="H98" t="inlineStr">
        <is>
          <t>11 Mei 1982</t>
        </is>
      </c>
      <c r="I98" s="2" t="n">
        <v>46286</v>
      </c>
      <c r="J98" t="inlineStr">
        <is>
          <t>Disetujui</t>
        </is>
      </c>
      <c r="K98" t="n">
        <v>90</v>
      </c>
      <c r="L98" t="inlineStr">
        <is>
          <t>21 September 2026</t>
        </is>
      </c>
      <c r="M98" t="inlineStr">
        <is>
          <t>Konstruksi Gedung Kesehatan</t>
        </is>
      </c>
      <c r="N98" t="inlineStr">
        <is>
          <t>K</t>
        </is>
      </c>
      <c r="O98" t="inlineStr">
        <is>
          <t>20230915</t>
        </is>
      </c>
      <c r="P98" t="inlineStr">
        <is>
          <t>Jawa Barat</t>
        </is>
      </c>
      <c r="Q98" t="inlineStr"/>
    </row>
    <row r="99">
      <c r="A99" t="inlineStr">
        <is>
          <t>LUTFAN</t>
        </is>
      </c>
      <c r="B99" t="inlineStr">
        <is>
          <t>Kab. Garut</t>
        </is>
      </c>
      <c r="C99" t="inlineStr">
        <is>
          <t>085324892665</t>
        </is>
      </c>
      <c r="D99" t="inlineStr">
        <is>
          <t>cvlutfan@gmail.com</t>
        </is>
      </c>
      <c r="E99" t="inlineStr">
        <is>
          <t>https://lpjk.pu.go.id/search-badan-usaha-detail/REMwYVd6Y24xOFpwOVNnc04ybVpKQT09</t>
        </is>
      </c>
      <c r="F99" t="n">
        <v>3</v>
      </c>
      <c r="G99" t="inlineStr">
        <is>
          <t>BG001, BG005, BG009</t>
        </is>
      </c>
      <c r="H99" t="inlineStr">
        <is>
          <t>27 Februari 2014</t>
        </is>
      </c>
      <c r="I99" s="2" t="n">
        <v>46286</v>
      </c>
      <c r="J99" t="inlineStr">
        <is>
          <t>Disetujui</t>
        </is>
      </c>
      <c r="K99" t="n">
        <v>90</v>
      </c>
      <c r="L99" t="inlineStr">
        <is>
          <t>21 September 2026</t>
        </is>
      </c>
      <c r="M99" t="inlineStr">
        <is>
          <t>Konstruksi Gedung Hunian, Konstruksi Gedung Kesehatan, Konstruksi Gedung Lainnya</t>
        </is>
      </c>
      <c r="N99" t="inlineStr">
        <is>
          <t>K</t>
        </is>
      </c>
      <c r="O99" t="inlineStr">
        <is>
          <t>20230916, 20230918</t>
        </is>
      </c>
      <c r="P99" t="inlineStr">
        <is>
          <t>Jawa Barat</t>
        </is>
      </c>
      <c r="Q99" t="inlineStr"/>
    </row>
    <row r="100">
      <c r="A100" t="inlineStr">
        <is>
          <t>MAHAKA CONSULTANT INDONESIA</t>
        </is>
      </c>
      <c r="B100" t="inlineStr">
        <is>
          <t>Kab. Lombok Tengah</t>
        </is>
      </c>
      <c r="C100" t="inlineStr">
        <is>
          <t>081917122857</t>
        </is>
      </c>
      <c r="D100" t="inlineStr">
        <is>
          <t>mci.lombok@gmail.com</t>
        </is>
      </c>
      <c r="E100" t="inlineStr">
        <is>
          <t>https://lpjk.pu.go.id/search-badan-usaha-detail/d2JQaVdGZm9kcVZRUkdyZHFDOVBidz09</t>
        </is>
      </c>
      <c r="F100" t="n">
        <v>2</v>
      </c>
      <c r="G100" t="inlineStr">
        <is>
          <t>RK003</t>
        </is>
      </c>
      <c r="H100" t="inlineStr">
        <is>
          <t>5 Desember 2019</t>
        </is>
      </c>
      <c r="I100" s="2" t="n">
        <v>46286</v>
      </c>
      <c r="J100" t="inlineStr">
        <is>
          <t>Disetujui</t>
        </is>
      </c>
      <c r="K100" t="n">
        <v>90</v>
      </c>
      <c r="L100" t="inlineStr">
        <is>
          <t>21 September 2026</t>
        </is>
      </c>
      <c r="M100" t="inlineStr">
        <is>
          <t>Jasa Rekayasa Pekerjaan Teknik Sipil Transportasi</t>
        </is>
      </c>
      <c r="N100" t="inlineStr">
        <is>
          <t>K</t>
        </is>
      </c>
      <c r="O100" t="inlineStr">
        <is>
          <t>20230414</t>
        </is>
      </c>
      <c r="P100" t="inlineStr">
        <is>
          <t>Nusa Tenggara Barat</t>
        </is>
      </c>
      <c r="Q100" t="inlineStr"/>
    </row>
    <row r="101">
      <c r="A101" t="inlineStr">
        <is>
          <t>MAHAKARYA</t>
        </is>
      </c>
      <c r="B101" t="inlineStr">
        <is>
          <t>Kab. Blitar</t>
        </is>
      </c>
      <c r="C101" t="inlineStr">
        <is>
          <t>08123359554</t>
        </is>
      </c>
      <c r="D101" t="inlineStr">
        <is>
          <t>didikbudifariadi@yahoo.co.id</t>
        </is>
      </c>
      <c r="E101" t="inlineStr">
        <is>
          <t>https://lpjk.pu.go.id/search-badan-usaha-detail/M3lTZlVPem5wci9uWWU1bUhLVFJIdz09</t>
        </is>
      </c>
      <c r="F101" t="n">
        <v>3</v>
      </c>
      <c r="G101" t="inlineStr">
        <is>
          <t>BS005</t>
        </is>
      </c>
      <c r="H101" t="inlineStr">
        <is>
          <t>9 September 1999</t>
        </is>
      </c>
      <c r="I101" s="2" t="n">
        <v>46286</v>
      </c>
      <c r="J101" t="inlineStr">
        <is>
          <t>Disetujui</t>
        </is>
      </c>
      <c r="K101" t="n">
        <v>90</v>
      </c>
      <c r="L101" t="inlineStr">
        <is>
          <t>21 September 2026</t>
        </is>
      </c>
      <c r="M101" t="inlineStr">
        <is>
          <t>Konstruksi Bangunan Sipil Pengolahan Air Bersih</t>
        </is>
      </c>
      <c r="N101" t="inlineStr">
        <is>
          <t>K</t>
        </is>
      </c>
      <c r="O101" t="inlineStr">
        <is>
          <t>20230916</t>
        </is>
      </c>
      <c r="P101" t="inlineStr">
        <is>
          <t>Jawa Timur</t>
        </is>
      </c>
      <c r="Q101" t="inlineStr"/>
    </row>
    <row r="102">
      <c r="A102" t="inlineStr">
        <is>
          <t>MAHAWU AGUNG</t>
        </is>
      </c>
      <c r="B102" t="inlineStr">
        <is>
          <t>Kota Denpasar</t>
        </is>
      </c>
      <c r="C102" t="inlineStr">
        <is>
          <t>082144575477</t>
        </is>
      </c>
      <c r="D102" t="inlineStr">
        <is>
          <t>mahawuagung@gmail.com</t>
        </is>
      </c>
      <c r="E102" t="inlineStr">
        <is>
          <t>https://lpjk.pu.go.id/search-badan-usaha-detail/eE5sZTBPMnJPUWlsdlMzWC95MTJsUT09</t>
        </is>
      </c>
      <c r="F102" t="n">
        <v>5</v>
      </c>
      <c r="G102" t="inlineStr">
        <is>
          <t>BG001, BG002, BG005, BG006, BG009</t>
        </is>
      </c>
      <c r="H102" t="inlineStr">
        <is>
          <t>23 Februari 1999</t>
        </is>
      </c>
      <c r="I102" s="2" t="n">
        <v>46286</v>
      </c>
      <c r="J102" t="inlineStr">
        <is>
          <t>Disetujui</t>
        </is>
      </c>
      <c r="K102" t="n">
        <v>90</v>
      </c>
      <c r="L102" t="inlineStr">
        <is>
          <t>21 September 2026</t>
        </is>
      </c>
      <c r="M102" t="inlineStr">
        <is>
          <t>Konstruksi Gedung Hunian, Konstruksi Gedung Kesehatan, Konstruksi Gedung Lainnya, Konstruksi Gedung Pendidikan, Konstruksi Gedung Perkantoran</t>
        </is>
      </c>
      <c r="N102" t="inlineStr">
        <is>
          <t>K</t>
        </is>
      </c>
      <c r="O102" t="inlineStr">
        <is>
          <t>20230921</t>
        </is>
      </c>
      <c r="P102" t="inlineStr">
        <is>
          <t>Bali</t>
        </is>
      </c>
      <c r="Q102" t="inlineStr"/>
    </row>
    <row r="103">
      <c r="A103" t="inlineStr">
        <is>
          <t>MAHKOTA TUNGGAL</t>
        </is>
      </c>
      <c r="B103" t="inlineStr">
        <is>
          <t>Kab. Ogan Komering Ulu</t>
        </is>
      </c>
      <c r="C103" t="inlineStr">
        <is>
          <t>0</t>
        </is>
      </c>
      <c r="D103" t="inlineStr">
        <is>
          <t>mahkotatunggal04@gmail.com</t>
        </is>
      </c>
      <c r="E103" t="inlineStr">
        <is>
          <t>https://lpjk.pu.go.id/search-badan-usaha-detail/WEFPbXRPVkg1RWhsZkxSY3lub0VJQT09</t>
        </is>
      </c>
      <c r="F103" t="n">
        <v>1</v>
      </c>
      <c r="G103" t="inlineStr">
        <is>
          <t>RK002</t>
        </is>
      </c>
      <c r="H103" t="inlineStr">
        <is>
          <t>18 Januari 2023</t>
        </is>
      </c>
      <c r="I103" s="2" t="n">
        <v>46286</v>
      </c>
      <c r="J103" t="inlineStr">
        <is>
          <t>Disetujui</t>
        </is>
      </c>
      <c r="K103" t="n">
        <v>90</v>
      </c>
      <c r="L103" t="inlineStr">
        <is>
          <t>21 September 2026</t>
        </is>
      </c>
      <c r="M103" t="inlineStr">
        <is>
          <t>Jasa Rekayasa Pekerjaan Teknik Sipil Sumber Daya Air</t>
        </is>
      </c>
      <c r="N103" t="inlineStr">
        <is>
          <t>K</t>
        </is>
      </c>
      <c r="O103" t="inlineStr">
        <is>
          <t>20230905</t>
        </is>
      </c>
      <c r="P103" t="inlineStr">
        <is>
          <t>Sumatera Selatan</t>
        </is>
      </c>
      <c r="Q103" t="inlineStr"/>
    </row>
    <row r="104">
      <c r="A104" t="inlineStr">
        <is>
          <t>MAJU</t>
        </is>
      </c>
      <c r="B104" t="inlineStr">
        <is>
          <t>Kab. Bondowoso</t>
        </is>
      </c>
      <c r="C104" t="inlineStr">
        <is>
          <t>081358943477</t>
        </is>
      </c>
      <c r="D104" t="inlineStr">
        <is>
          <t>audition_yoss23@yahoo.com</t>
        </is>
      </c>
      <c r="E104" t="inlineStr">
        <is>
          <t>https://lpjk.pu.go.id/search-badan-usaha-detail/cnJBcXRTQ01zSXluQVZJa2ZYZkduZz09</t>
        </is>
      </c>
      <c r="F104" t="n">
        <v>1</v>
      </c>
      <c r="G104" t="inlineStr">
        <is>
          <t>BG004</t>
        </is>
      </c>
      <c r="H104" t="inlineStr">
        <is>
          <t>10 Februari 1983</t>
        </is>
      </c>
      <c r="I104" s="2" t="n">
        <v>46286</v>
      </c>
      <c r="J104" t="inlineStr">
        <is>
          <t>Disetujui</t>
        </is>
      </c>
      <c r="K104" t="n">
        <v>90</v>
      </c>
      <c r="L104" t="inlineStr">
        <is>
          <t>21 September 2026</t>
        </is>
      </c>
      <c r="M104" t="inlineStr">
        <is>
          <t>Konstruksi Gedung Perbelanjaan</t>
        </is>
      </c>
      <c r="N104" t="inlineStr">
        <is>
          <t>K</t>
        </is>
      </c>
      <c r="O104" t="inlineStr">
        <is>
          <t>20230919</t>
        </is>
      </c>
      <c r="P104" t="inlineStr">
        <is>
          <t>Jawa Timur</t>
        </is>
      </c>
      <c r="Q104" t="inlineStr"/>
    </row>
    <row r="105">
      <c r="A105" t="inlineStr">
        <is>
          <t>MANCALALAY</t>
        </is>
      </c>
      <c r="B105" t="inlineStr">
        <is>
          <t>Kab. Halmahera Timur</t>
        </is>
      </c>
      <c r="C105" t="inlineStr">
        <is>
          <t>081242219513</t>
        </is>
      </c>
      <c r="D105" t="inlineStr">
        <is>
          <t>cvmancalalay@gmail.com</t>
        </is>
      </c>
      <c r="E105" t="inlineStr">
        <is>
          <t>https://lpjk.pu.go.id/search-badan-usaha-detail/ZnREOFJoTUNSYXRTNFVmL004b3ZMUT09</t>
        </is>
      </c>
      <c r="F105" t="n">
        <v>1</v>
      </c>
      <c r="G105" t="inlineStr">
        <is>
          <t>BS001</t>
        </is>
      </c>
      <c r="H105" t="inlineStr">
        <is>
          <t>7 September 2023</t>
        </is>
      </c>
      <c r="I105" s="2" t="n">
        <v>46286</v>
      </c>
      <c r="J105" t="inlineStr">
        <is>
          <t>Disetujui</t>
        </is>
      </c>
      <c r="K105" t="n">
        <v>90</v>
      </c>
      <c r="L105" t="inlineStr">
        <is>
          <t>21 September 2026</t>
        </is>
      </c>
      <c r="M105" t="inlineStr">
        <is>
          <t>Konstruksi Bangunan Sipil Jalan</t>
        </is>
      </c>
      <c r="N105" t="inlineStr">
        <is>
          <t>K</t>
        </is>
      </c>
      <c r="O105" t="inlineStr">
        <is>
          <t>20230921</t>
        </is>
      </c>
      <c r="P105" t="inlineStr">
        <is>
          <t>Maluku Utara</t>
        </is>
      </c>
      <c r="Q105" t="inlineStr"/>
    </row>
    <row r="106">
      <c r="A106" t="inlineStr">
        <is>
          <t>MANGGALA GITA KARYA</t>
        </is>
      </c>
      <c r="B106" t="inlineStr">
        <is>
          <t>Kota Adm. Jakarta Utara</t>
        </is>
      </c>
      <c r="C106" t="inlineStr">
        <is>
          <t>02145865675</t>
        </is>
      </c>
      <c r="D106" t="inlineStr">
        <is>
          <t>manggalagkarya@gmail.com</t>
        </is>
      </c>
      <c r="E106" t="inlineStr">
        <is>
          <t>https://lpjk.pu.go.id/search-badan-usaha-detail/Z3o3M1M5cEJ3clhQK29RZHM5c25rQT09</t>
        </is>
      </c>
      <c r="F106" t="n">
        <v>1</v>
      </c>
      <c r="G106" t="inlineStr">
        <is>
          <t>KK002</t>
        </is>
      </c>
      <c r="H106" t="inlineStr">
        <is>
          <t>19 Februari 1986</t>
        </is>
      </c>
      <c r="I106" s="2" t="n">
        <v>46286</v>
      </c>
      <c r="J106" t="inlineStr">
        <is>
          <t>Pencabutan</t>
        </is>
      </c>
      <c r="K106" t="n">
        <v>90</v>
      </c>
      <c r="L106" t="inlineStr">
        <is>
          <t>21 September 2026</t>
        </is>
      </c>
      <c r="M106" t="inlineStr">
        <is>
          <t>Konstruksi Reservoir Pembangkit Listrik Tenaga Air</t>
        </is>
      </c>
      <c r="N106" t="inlineStr">
        <is>
          <t>Spesialis</t>
        </is>
      </c>
      <c r="O106" t="inlineStr">
        <is>
          <t>20230914</t>
        </is>
      </c>
      <c r="P106" t="inlineStr">
        <is>
          <t>DKI Jakarta</t>
        </is>
      </c>
      <c r="Q106" t="inlineStr"/>
    </row>
    <row r="107">
      <c r="A107" t="inlineStr">
        <is>
          <t>MATAHARI</t>
        </is>
      </c>
      <c r="B107" t="inlineStr">
        <is>
          <t>Kab. Trenggalek</t>
        </is>
      </c>
      <c r="C107" t="inlineStr">
        <is>
          <t>082257017949</t>
        </is>
      </c>
      <c r="D107" t="inlineStr">
        <is>
          <t>cvmatahari15@gmail.com</t>
        </is>
      </c>
      <c r="E107" t="inlineStr">
        <is>
          <t>https://lpjk.pu.go.id/search-badan-usaha-detail/R2VCcFNMTmhuMWlpNUFNaDdnajVnUT09</t>
        </is>
      </c>
      <c r="F107" t="n">
        <v>4</v>
      </c>
      <c r="G107" t="inlineStr">
        <is>
          <t>RK002, RK003</t>
        </is>
      </c>
      <c r="H107" t="inlineStr">
        <is>
          <t>20 Februari 2008</t>
        </is>
      </c>
      <c r="I107" s="2" t="n">
        <v>46286</v>
      </c>
      <c r="J107" t="inlineStr">
        <is>
          <t>Disetujui</t>
        </is>
      </c>
      <c r="K107" t="n">
        <v>90</v>
      </c>
      <c r="L107" t="inlineStr">
        <is>
          <t>21 September 2026</t>
        </is>
      </c>
      <c r="M107" t="inlineStr">
        <is>
          <t>Jasa Rekayasa Pekerjaan Teknik Sipil Sumber Daya Air, Jasa Rekayasa Pekerjaan Teknik Sipil Transportasi</t>
        </is>
      </c>
      <c r="N107" t="inlineStr">
        <is>
          <t>K</t>
        </is>
      </c>
      <c r="O107" t="inlineStr">
        <is>
          <t>20230904</t>
        </is>
      </c>
      <c r="P107" t="inlineStr">
        <is>
          <t>Jawa Timur</t>
        </is>
      </c>
      <c r="Q107" t="inlineStr"/>
    </row>
    <row r="108">
      <c r="A108" t="inlineStr">
        <is>
          <t>MEGA PARAMITHA</t>
        </is>
      </c>
      <c r="B108" t="inlineStr">
        <is>
          <t>Kab. Sanggau</t>
        </is>
      </c>
      <c r="C108" t="inlineStr">
        <is>
          <t>081258914889</t>
        </is>
      </c>
      <c r="D108" t="inlineStr">
        <is>
          <t>cvmegaparamitha@gmail.com</t>
        </is>
      </c>
      <c r="E108" t="inlineStr">
        <is>
          <t>https://lpjk.pu.go.id/search-badan-usaha-detail/SFZvZWl1TFBRemZHQXYvV1BzNW94Zz09</t>
        </is>
      </c>
      <c r="F108" t="n">
        <v>1</v>
      </c>
      <c r="G108" t="inlineStr">
        <is>
          <t>BG001</t>
        </is>
      </c>
      <c r="H108" t="inlineStr">
        <is>
          <t>17 Juli 2023</t>
        </is>
      </c>
      <c r="I108" s="2" t="n">
        <v>46286</v>
      </c>
      <c r="J108" t="inlineStr">
        <is>
          <t>Pencabutan</t>
        </is>
      </c>
      <c r="K108" t="n">
        <v>90</v>
      </c>
      <c r="L108" t="inlineStr">
        <is>
          <t>21 September 2026</t>
        </is>
      </c>
      <c r="M108" t="inlineStr">
        <is>
          <t>Konstruksi Gedung Hunian</t>
        </is>
      </c>
      <c r="N108" t="inlineStr">
        <is>
          <t>K</t>
        </is>
      </c>
      <c r="O108" t="inlineStr">
        <is>
          <t>20230920</t>
        </is>
      </c>
      <c r="P108" t="inlineStr">
        <is>
          <t>Kalimantan Barat</t>
        </is>
      </c>
      <c r="Q108" t="inlineStr"/>
    </row>
    <row r="109">
      <c r="A109" t="inlineStr">
        <is>
          <t>MENTARI JAYA</t>
        </is>
      </c>
      <c r="B109" t="inlineStr">
        <is>
          <t>Kota Singkawang</t>
        </is>
      </c>
      <c r="C109" t="inlineStr">
        <is>
          <t>085245356551</t>
        </is>
      </c>
      <c r="D109" t="inlineStr">
        <is>
          <t>hendryjoe11@gmail.com</t>
        </is>
      </c>
      <c r="E109" t="inlineStr">
        <is>
          <t>https://lpjk.pu.go.id/search-badan-usaha-detail/TDI4Y0ZNS3BxSjluaGhpUmxRRWVlQT09</t>
        </is>
      </c>
      <c r="F109" t="n">
        <v>1</v>
      </c>
      <c r="G109" t="inlineStr">
        <is>
          <t>BS001</t>
        </is>
      </c>
      <c r="H109" t="inlineStr">
        <is>
          <t>24 Maret 2006</t>
        </is>
      </c>
      <c r="I109" s="2" t="n">
        <v>46286</v>
      </c>
      <c r="J109" t="inlineStr">
        <is>
          <t>Disetujui</t>
        </is>
      </c>
      <c r="K109" t="n">
        <v>90</v>
      </c>
      <c r="L109" t="inlineStr">
        <is>
          <t>21 September 2026</t>
        </is>
      </c>
      <c r="M109" t="inlineStr">
        <is>
          <t>Konstruksi Bangunan Sipil Jalan</t>
        </is>
      </c>
      <c r="N109" t="inlineStr">
        <is>
          <t>K</t>
        </is>
      </c>
      <c r="O109" t="inlineStr">
        <is>
          <t>20230922</t>
        </is>
      </c>
      <c r="P109" t="inlineStr">
        <is>
          <t>Kalimantan Barat</t>
        </is>
      </c>
      <c r="Q109" t="inlineStr"/>
    </row>
    <row r="110">
      <c r="A110" t="inlineStr">
        <is>
          <t>MERAH PUTIH</t>
        </is>
      </c>
      <c r="B110" t="inlineStr">
        <is>
          <t>Kota Semarang</t>
        </is>
      </c>
      <c r="C110" t="inlineStr">
        <is>
          <t>02470465569</t>
        </is>
      </c>
      <c r="D110" t="inlineStr">
        <is>
          <t>riskykiki21221@yahoo.com</t>
        </is>
      </c>
      <c r="E110" t="inlineStr">
        <is>
          <t>https://lpjk.pu.go.id/search-badan-usaha-detail/U0hXdjNkdzNSYVFWVThjeitxVndLUT09</t>
        </is>
      </c>
      <c r="F110" t="n">
        <v>2</v>
      </c>
      <c r="G110" t="inlineStr">
        <is>
          <t>BS001, BS004</t>
        </is>
      </c>
      <c r="H110" t="inlineStr">
        <is>
          <t>12 Januari 2010</t>
        </is>
      </c>
      <c r="I110" s="2" t="n">
        <v>46286</v>
      </c>
      <c r="J110" t="inlineStr">
        <is>
          <t>Disetujui</t>
        </is>
      </c>
      <c r="K110" t="n">
        <v>90</v>
      </c>
      <c r="L110" t="inlineStr">
        <is>
          <t>21 September 2026</t>
        </is>
      </c>
      <c r="M110" t="inlineStr">
        <is>
          <t>Konstruksi Bangunan Sipil Jalan, Konstruksi Jaringan Irigasi dan Drainase</t>
        </is>
      </c>
      <c r="N110" t="inlineStr">
        <is>
          <t>K</t>
        </is>
      </c>
      <c r="O110" t="inlineStr">
        <is>
          <t>20230912, 20230913</t>
        </is>
      </c>
      <c r="P110" t="inlineStr">
        <is>
          <t>Jawa Tengah</t>
        </is>
      </c>
      <c r="Q110" t="inlineStr"/>
    </row>
    <row r="111">
      <c r="A111" t="inlineStr">
        <is>
          <t>MIAN GEMILANG</t>
        </is>
      </c>
      <c r="B111" t="inlineStr">
        <is>
          <t>Kota Pematangsiantar</t>
        </is>
      </c>
      <c r="C111" t="inlineStr">
        <is>
          <t>-</t>
        </is>
      </c>
      <c r="D111" t="inlineStr">
        <is>
          <t>gemilangc201@yahoo.com</t>
        </is>
      </c>
      <c r="E111" t="inlineStr">
        <is>
          <t>https://lpjk.pu.go.id/search-badan-usaha-detail/T3c0ek9nZTI4a1QwSnFHVVAzSWt0UT09</t>
        </is>
      </c>
      <c r="F111" t="n">
        <v>1</v>
      </c>
      <c r="G111" t="inlineStr">
        <is>
          <t>BG005</t>
        </is>
      </c>
      <c r="H111" t="inlineStr">
        <is>
          <t>28 Maret 2001</t>
        </is>
      </c>
      <c r="I111" s="2" t="n">
        <v>46286</v>
      </c>
      <c r="J111" t="inlineStr">
        <is>
          <t>Disetujui</t>
        </is>
      </c>
      <c r="K111" t="n">
        <v>90</v>
      </c>
      <c r="L111" t="inlineStr">
        <is>
          <t>21 September 2026</t>
        </is>
      </c>
      <c r="M111" t="inlineStr">
        <is>
          <t>Konstruksi Gedung Kesehatan</t>
        </is>
      </c>
      <c r="N111" t="inlineStr">
        <is>
          <t>K</t>
        </is>
      </c>
      <c r="O111" t="inlineStr">
        <is>
          <t>20230919</t>
        </is>
      </c>
      <c r="P111" t="inlineStr">
        <is>
          <t>Sumatera Utara</t>
        </is>
      </c>
      <c r="Q111" t="inlineStr"/>
    </row>
    <row r="112">
      <c r="A112" t="inlineStr">
        <is>
          <t>MITRA INSAN PERSADA</t>
        </is>
      </c>
      <c r="B112" t="inlineStr">
        <is>
          <t>Kab. Sidoarjo</t>
        </is>
      </c>
      <c r="C112" t="inlineStr">
        <is>
          <t>03199840772</t>
        </is>
      </c>
      <c r="D112" t="inlineStr">
        <is>
          <t>mitra.insanpersada@yahoo.com</t>
        </is>
      </c>
      <c r="E112" t="inlineStr">
        <is>
          <t>https://lpjk.pu.go.id/search-badan-usaha-detail/RjdoZlV4RFNpZzJLdy8yY1pYNTg4dz09</t>
        </is>
      </c>
      <c r="F112" t="n">
        <v>1</v>
      </c>
      <c r="G112" t="inlineStr">
        <is>
          <t>BG002</t>
        </is>
      </c>
      <c r="H112" t="inlineStr">
        <is>
          <t>18 September 2012</t>
        </is>
      </c>
      <c r="I112" s="2" t="n">
        <v>46286</v>
      </c>
      <c r="J112" t="inlineStr">
        <is>
          <t>Disetujui</t>
        </is>
      </c>
      <c r="K112" t="n">
        <v>90</v>
      </c>
      <c r="L112" t="inlineStr">
        <is>
          <t>21 September 2026</t>
        </is>
      </c>
      <c r="M112" t="inlineStr">
        <is>
          <t>Konstruksi Gedung Perkantoran</t>
        </is>
      </c>
      <c r="N112" t="inlineStr">
        <is>
          <t>K</t>
        </is>
      </c>
      <c r="O112" t="inlineStr">
        <is>
          <t>20230912</t>
        </is>
      </c>
      <c r="P112" t="inlineStr">
        <is>
          <t>Jawa Timur</t>
        </is>
      </c>
      <c r="Q112" t="inlineStr"/>
    </row>
    <row r="113">
      <c r="A113" t="inlineStr">
        <is>
          <t>MITRA JAYA LUTHFINDO</t>
        </is>
      </c>
      <c r="B113" t="inlineStr">
        <is>
          <t>Kota Mataram</t>
        </is>
      </c>
      <c r="C113" t="inlineStr">
        <is>
          <t>081917490627</t>
        </is>
      </c>
      <c r="D113" t="inlineStr">
        <is>
          <t>mitrajayaluthfindo@gmail.com</t>
        </is>
      </c>
      <c r="E113" t="inlineStr">
        <is>
          <t>https://lpjk.pu.go.id/search-badan-usaha-detail/elZnVFArbTdocEM1QlB0NnhGNW1xZz09</t>
        </is>
      </c>
      <c r="F113" t="n">
        <v>1</v>
      </c>
      <c r="G113" t="inlineStr">
        <is>
          <t>BG009</t>
        </is>
      </c>
      <c r="H113" t="inlineStr">
        <is>
          <t>19 Desember 2008</t>
        </is>
      </c>
      <c r="I113" s="2" t="n">
        <v>46286</v>
      </c>
      <c r="J113" t="inlineStr">
        <is>
          <t>Disetujui</t>
        </is>
      </c>
      <c r="K113" t="n">
        <v>90</v>
      </c>
      <c r="L113" t="inlineStr">
        <is>
          <t>21 September 2026</t>
        </is>
      </c>
      <c r="M113" t="inlineStr">
        <is>
          <t>Konstruksi Gedung Lainnya</t>
        </is>
      </c>
      <c r="N113" t="inlineStr">
        <is>
          <t>K</t>
        </is>
      </c>
      <c r="O113" t="inlineStr">
        <is>
          <t>20230919</t>
        </is>
      </c>
      <c r="P113" t="inlineStr">
        <is>
          <t>Nusa Tenggara Barat</t>
        </is>
      </c>
      <c r="Q113" t="inlineStr"/>
    </row>
    <row r="114">
      <c r="A114" t="inlineStr">
        <is>
          <t>MITRA KARYA PEMBANGUNAN</t>
        </is>
      </c>
      <c r="B114" t="inlineStr">
        <is>
          <t>Kota Tarakan</t>
        </is>
      </c>
      <c r="C114" t="inlineStr">
        <is>
          <t>081220449729</t>
        </is>
      </c>
      <c r="D114" t="inlineStr">
        <is>
          <t>cv_karyapembangunan@yahoo.com</t>
        </is>
      </c>
      <c r="E114" t="inlineStr">
        <is>
          <t>https://lpjk.pu.go.id/search-badan-usaha-detail/ZDBlMWg0VGt3b1NYVFlhWWc2ejBJdz09</t>
        </is>
      </c>
      <c r="F114" t="n">
        <v>1</v>
      </c>
      <c r="G114" t="inlineStr">
        <is>
          <t>BG001</t>
        </is>
      </c>
      <c r="H114" t="inlineStr">
        <is>
          <t>31 Januari 2020</t>
        </is>
      </c>
      <c r="I114" s="2" t="n">
        <v>46286</v>
      </c>
      <c r="J114" t="inlineStr">
        <is>
          <t>Disetujui</t>
        </is>
      </c>
      <c r="K114" t="n">
        <v>90</v>
      </c>
      <c r="L114" t="inlineStr">
        <is>
          <t>21 September 2026</t>
        </is>
      </c>
      <c r="M114" t="inlineStr">
        <is>
          <t>Konstruksi Gedung Hunian</t>
        </is>
      </c>
      <c r="N114" t="inlineStr">
        <is>
          <t>K</t>
        </is>
      </c>
      <c r="O114" t="inlineStr">
        <is>
          <t>20230919</t>
        </is>
      </c>
      <c r="P114" t="inlineStr">
        <is>
          <t>Kalimantan Utara</t>
        </is>
      </c>
      <c r="Q114" t="inlineStr"/>
    </row>
    <row r="115">
      <c r="A115" t="inlineStr">
        <is>
          <t>MITRA LESTARI</t>
        </is>
      </c>
      <c r="B115" t="inlineStr">
        <is>
          <t>Kab. Sampang</t>
        </is>
      </c>
      <c r="C115" t="inlineStr">
        <is>
          <t>081913555526</t>
        </is>
      </c>
      <c r="D115" t="inlineStr">
        <is>
          <t>mitralestari690@gmail.com</t>
        </is>
      </c>
      <c r="E115" t="inlineStr">
        <is>
          <t>https://lpjk.pu.go.id/search-badan-usaha-detail/cVg4b0o0RVhBK3RNMjNIcVdPalZFQT09</t>
        </is>
      </c>
      <c r="F115" t="n">
        <v>1</v>
      </c>
      <c r="G115" t="inlineStr">
        <is>
          <t>BG006</t>
        </is>
      </c>
      <c r="H115" t="inlineStr">
        <is>
          <t>1 Januari 2018</t>
        </is>
      </c>
      <c r="I115" s="2" t="n">
        <v>46286</v>
      </c>
      <c r="J115" t="inlineStr">
        <is>
          <t>Disetujui</t>
        </is>
      </c>
      <c r="K115" t="n">
        <v>90</v>
      </c>
      <c r="L115" t="inlineStr">
        <is>
          <t>21 September 2026</t>
        </is>
      </c>
      <c r="M115" t="inlineStr">
        <is>
          <t>Konstruksi Gedung Pendidikan</t>
        </is>
      </c>
      <c r="N115" t="inlineStr">
        <is>
          <t>K</t>
        </is>
      </c>
      <c r="O115" t="inlineStr">
        <is>
          <t>20230922</t>
        </is>
      </c>
      <c r="P115" t="inlineStr">
        <is>
          <t>Jawa Timur</t>
        </is>
      </c>
      <c r="Q115" t="inlineStr"/>
    </row>
    <row r="116">
      <c r="A116" t="inlineStr">
        <is>
          <t>MITRA MUDA PERKASA</t>
        </is>
      </c>
      <c r="B116" t="inlineStr">
        <is>
          <t>Kab. Lampung Utara</t>
        </is>
      </c>
      <c r="C116" t="inlineStr">
        <is>
          <t>081367679988</t>
        </is>
      </c>
      <c r="D116" t="inlineStr">
        <is>
          <t>cvmitramudaperkasa89@gmail.com</t>
        </is>
      </c>
      <c r="E116" t="inlineStr">
        <is>
          <t>https://lpjk.pu.go.id/search-badan-usaha-detail/bGlrL2JPMnpkSWgzVmhLU0xRTlFHZz09</t>
        </is>
      </c>
      <c r="F116" t="n">
        <v>1</v>
      </c>
      <c r="G116" t="inlineStr">
        <is>
          <t>BS001</t>
        </is>
      </c>
      <c r="H116" t="inlineStr">
        <is>
          <t>26 Oktober 2001</t>
        </is>
      </c>
      <c r="I116" s="2" t="n">
        <v>46286</v>
      </c>
      <c r="J116" t="inlineStr">
        <is>
          <t>Disetujui</t>
        </is>
      </c>
      <c r="K116" t="n">
        <v>90</v>
      </c>
      <c r="L116" t="inlineStr">
        <is>
          <t>21 September 2026</t>
        </is>
      </c>
      <c r="M116" t="inlineStr">
        <is>
          <t>Konstruksi Bangunan Sipil Jalan</t>
        </is>
      </c>
      <c r="N116" t="inlineStr">
        <is>
          <t>K</t>
        </is>
      </c>
      <c r="O116" t="inlineStr">
        <is>
          <t>20230920</t>
        </is>
      </c>
      <c r="P116" t="inlineStr">
        <is>
          <t>Lampung</t>
        </is>
      </c>
      <c r="Q116" t="inlineStr"/>
    </row>
    <row r="117">
      <c r="A117" t="inlineStr">
        <is>
          <t>MITRATAMA NUSANTARA</t>
        </is>
      </c>
      <c r="B117" t="inlineStr">
        <is>
          <t>Kota Makassar</t>
        </is>
      </c>
      <c r="C117" t="inlineStr">
        <is>
          <t>081354900342</t>
        </is>
      </c>
      <c r="D117" t="inlineStr">
        <is>
          <t>mitratama_nusantara@yahoo.co.id</t>
        </is>
      </c>
      <c r="E117" t="inlineStr">
        <is>
          <t>https://lpjk.pu.go.id/search-badan-usaha-detail/L2drMHZidmFrdUNHRXVMeGppdjFTdz09</t>
        </is>
      </c>
      <c r="F117" t="n">
        <v>2</v>
      </c>
      <c r="G117" t="inlineStr">
        <is>
          <t>BS002, BS004</t>
        </is>
      </c>
      <c r="H117" t="inlineStr">
        <is>
          <t>10 Februari 2016</t>
        </is>
      </c>
      <c r="I117" s="2" t="n">
        <v>46286</v>
      </c>
      <c r="J117" t="inlineStr">
        <is>
          <t>Pencabutan</t>
        </is>
      </c>
      <c r="K117" t="n">
        <v>90</v>
      </c>
      <c r="L117" t="inlineStr">
        <is>
          <t>21 September 2026</t>
        </is>
      </c>
      <c r="M117" t="inlineStr">
        <is>
          <t>Bangunan Sipil Jembatan, Jalan Layang, Fly Over, dan Underpass, Konstruksi Jaringan Irigasi dan Drainase</t>
        </is>
      </c>
      <c r="N117" t="inlineStr">
        <is>
          <t>K</t>
        </is>
      </c>
      <c r="O117" t="inlineStr">
        <is>
          <t>20230914</t>
        </is>
      </c>
      <c r="P117" t="inlineStr">
        <is>
          <t>Sulawesi Selatan</t>
        </is>
      </c>
      <c r="Q117" t="inlineStr"/>
    </row>
    <row r="118">
      <c r="A118" t="inlineStr">
        <is>
          <t>MULTI CIPTA ANUGRAH</t>
        </is>
      </c>
      <c r="B118" t="inlineStr">
        <is>
          <t>Kota Malang</t>
        </is>
      </c>
      <c r="C118" t="inlineStr">
        <is>
          <t>0341717305</t>
        </is>
      </c>
      <c r="D118" t="inlineStr">
        <is>
          <t>denimulyono@rocketmail.com</t>
        </is>
      </c>
      <c r="E118" t="inlineStr">
        <is>
          <t>https://lpjk.pu.go.id/search-badan-usaha-detail/L3hTa2FTS05OS2IwSktkSlhOVSt3QT09</t>
        </is>
      </c>
      <c r="F118" t="n">
        <v>1</v>
      </c>
      <c r="G118" t="inlineStr">
        <is>
          <t>KP002</t>
        </is>
      </c>
      <c r="H118" t="inlineStr">
        <is>
          <t>4 September 2000</t>
        </is>
      </c>
      <c r="I118" s="2" t="n">
        <v>46286</v>
      </c>
      <c r="J118" t="inlineStr">
        <is>
          <t>Disetujui</t>
        </is>
      </c>
      <c r="K118" t="n">
        <v>90</v>
      </c>
      <c r="L118" t="inlineStr">
        <is>
          <t>21 September 2026</t>
        </is>
      </c>
      <c r="M118" t="inlineStr">
        <is>
          <t>Pekerjaan Konstruksi Prapabrikasi Bangunan Sipil</t>
        </is>
      </c>
      <c r="N118" t="inlineStr">
        <is>
          <t>Spesialis</t>
        </is>
      </c>
      <c r="O118" t="inlineStr">
        <is>
          <t>20230913</t>
        </is>
      </c>
      <c r="P118" t="inlineStr">
        <is>
          <t>Jawa Timur</t>
        </is>
      </c>
      <c r="Q118" t="inlineStr"/>
    </row>
    <row r="119">
      <c r="A119" t="inlineStr">
        <is>
          <t>MULTI GUNA ABADI</t>
        </is>
      </c>
      <c r="B119" t="inlineStr">
        <is>
          <t>Kota Surabaya</t>
        </is>
      </c>
      <c r="C119" t="inlineStr">
        <is>
          <t>085331282706</t>
        </is>
      </c>
      <c r="D119" t="inlineStr">
        <is>
          <t>cvmga.sby@gmail.com</t>
        </is>
      </c>
      <c r="E119" t="inlineStr">
        <is>
          <t>https://lpjk.pu.go.id/search-badan-usaha-detail/M01OTWlwS2pwV3NhTFY1N3NNNW1adz09</t>
        </is>
      </c>
      <c r="F119" t="n">
        <v>1</v>
      </c>
      <c r="G119" t="inlineStr">
        <is>
          <t>BS002</t>
        </is>
      </c>
      <c r="H119" t="inlineStr">
        <is>
          <t>26 November 2015</t>
        </is>
      </c>
      <c r="I119" s="2" t="n">
        <v>46286</v>
      </c>
      <c r="J119" t="inlineStr">
        <is>
          <t>Disetujui</t>
        </is>
      </c>
      <c r="K119" t="n">
        <v>90</v>
      </c>
      <c r="L119" t="inlineStr">
        <is>
          <t>21 September 2026</t>
        </is>
      </c>
      <c r="M119" t="inlineStr">
        <is>
          <t>Bangunan Sipil Jembatan, Jalan Layang, Fly Over, dan Underpass</t>
        </is>
      </c>
      <c r="N119" t="inlineStr">
        <is>
          <t>K</t>
        </is>
      </c>
      <c r="O119" t="inlineStr">
        <is>
          <t>20230921</t>
        </is>
      </c>
      <c r="P119" t="inlineStr">
        <is>
          <t>Jawa Timur</t>
        </is>
      </c>
      <c r="Q119" t="inlineStr"/>
    </row>
    <row r="120">
      <c r="A120" t="inlineStr">
        <is>
          <t>MULTITEK GLOBAL KONSTRUKSI</t>
        </is>
      </c>
      <c r="B120" t="inlineStr">
        <is>
          <t>Kota Medan</t>
        </is>
      </c>
      <c r="C120" t="inlineStr">
        <is>
          <t>085206488762</t>
        </is>
      </c>
      <c r="D120" t="inlineStr">
        <is>
          <t>pt.multitekglobalkonstruksi@yahoo.com</t>
        </is>
      </c>
      <c r="E120" t="inlineStr">
        <is>
          <t>https://lpjk.pu.go.id/search-badan-usaha-detail/emNoQ3BpQ00rN3BxVnRmdUNzVXBvQT09</t>
        </is>
      </c>
      <c r="F120" t="n">
        <v>1</v>
      </c>
      <c r="G120" t="inlineStr">
        <is>
          <t>BS005</t>
        </is>
      </c>
      <c r="H120" t="inlineStr">
        <is>
          <t>16 Oktober 2018</t>
        </is>
      </c>
      <c r="I120" s="2" t="n">
        <v>46286</v>
      </c>
      <c r="J120" t="inlineStr">
        <is>
          <t>Pencabutan</t>
        </is>
      </c>
      <c r="K120" t="n">
        <v>90</v>
      </c>
      <c r="L120" t="inlineStr">
        <is>
          <t>21 September 2026</t>
        </is>
      </c>
      <c r="M120" t="inlineStr">
        <is>
          <t>Konstruksi Bangunan Sipil Pengolahan Air Bersih</t>
        </is>
      </c>
      <c r="N120" t="inlineStr">
        <is>
          <t>K</t>
        </is>
      </c>
      <c r="O120" t="inlineStr">
        <is>
          <t>20230921</t>
        </is>
      </c>
      <c r="P120" t="inlineStr">
        <is>
          <t>Sumatera Utara</t>
        </is>
      </c>
      <c r="Q120" t="inlineStr"/>
    </row>
    <row r="121">
      <c r="A121" t="inlineStr">
        <is>
          <t>MUTIARA</t>
        </is>
      </c>
      <c r="B121" t="inlineStr">
        <is>
          <t>Kab. Karawang</t>
        </is>
      </c>
      <c r="C121" t="inlineStr">
        <is>
          <t>087884376327</t>
        </is>
      </c>
      <c r="D121" t="inlineStr">
        <is>
          <t>cv.mutiara78@yahoo.com</t>
        </is>
      </c>
      <c r="E121" t="inlineStr">
        <is>
          <t>https://lpjk.pu.go.id/search-badan-usaha-detail/Z2lCQllvRE9TSVVRVDkwU0w3N1hwUT09</t>
        </is>
      </c>
      <c r="F121" t="n">
        <v>2</v>
      </c>
      <c r="G121" t="inlineStr">
        <is>
          <t>BG009</t>
        </is>
      </c>
      <c r="H121" t="inlineStr">
        <is>
          <t>26 Juli 2002</t>
        </is>
      </c>
      <c r="I121" s="2" t="n">
        <v>46286</v>
      </c>
      <c r="J121" t="inlineStr">
        <is>
          <t>Disetujui</t>
        </is>
      </c>
      <c r="K121" t="n">
        <v>90</v>
      </c>
      <c r="L121" t="inlineStr">
        <is>
          <t>21 September 2026</t>
        </is>
      </c>
      <c r="M121" t="inlineStr">
        <is>
          <t>Konstruksi Gedung Lainnya</t>
        </is>
      </c>
      <c r="N121" t="inlineStr">
        <is>
          <t>K</t>
        </is>
      </c>
      <c r="O121" t="inlineStr">
        <is>
          <t>20230829</t>
        </is>
      </c>
      <c r="P121" t="inlineStr">
        <is>
          <t>Jawa Barat</t>
        </is>
      </c>
      <c r="Q121" t="inlineStr"/>
    </row>
    <row r="122">
      <c r="A122" t="inlineStr">
        <is>
          <t>MUTIARA SELATAN</t>
        </is>
      </c>
      <c r="B122" t="inlineStr">
        <is>
          <t>Kab. Trenggalek</t>
        </is>
      </c>
      <c r="C122" t="inlineStr">
        <is>
          <t>085236038738</t>
        </is>
      </c>
      <c r="D122" t="inlineStr">
        <is>
          <t>rofikmasruri2@gmail.com</t>
        </is>
      </c>
      <c r="E122" t="inlineStr">
        <is>
          <t>https://lpjk.pu.go.id/search-badan-usaha-detail/QkpIMTU5c2p2ZXpPTE41ZWkwUWNrQT09</t>
        </is>
      </c>
      <c r="F122" t="n">
        <v>4</v>
      </c>
      <c r="G122" t="inlineStr">
        <is>
          <t>BG002, BG004</t>
        </is>
      </c>
      <c r="H122" t="inlineStr">
        <is>
          <t>18 Februari 2017</t>
        </is>
      </c>
      <c r="I122" s="2" t="n">
        <v>46286</v>
      </c>
      <c r="J122" t="inlineStr">
        <is>
          <t>Disetujui</t>
        </is>
      </c>
      <c r="K122" t="n">
        <v>90</v>
      </c>
      <c r="L122" t="inlineStr">
        <is>
          <t>21 September 2026</t>
        </is>
      </c>
      <c r="M122" t="inlineStr">
        <is>
          <t>Konstruksi Gedung Perbelanjaan, Konstruksi Gedung Perkantoran</t>
        </is>
      </c>
      <c r="N122" t="inlineStr">
        <is>
          <t>K</t>
        </is>
      </c>
      <c r="O122" t="inlineStr">
        <is>
          <t>20230919</t>
        </is>
      </c>
      <c r="P122" t="inlineStr">
        <is>
          <t>Jawa Timur</t>
        </is>
      </c>
      <c r="Q122" t="inlineStr"/>
    </row>
    <row r="123">
      <c r="A123" t="inlineStr">
        <is>
          <t>NIAGA USAHA MANDIRI</t>
        </is>
      </c>
      <c r="B123" t="inlineStr">
        <is>
          <t>Kab. Kepulauan Sangihe</t>
        </is>
      </c>
      <c r="C123" t="inlineStr">
        <is>
          <t>085240951124</t>
        </is>
      </c>
      <c r="D123" t="inlineStr">
        <is>
          <t>cv.niagausahamandiri17@gmail.com</t>
        </is>
      </c>
      <c r="E123" t="inlineStr">
        <is>
          <t>https://lpjk.pu.go.id/search-badan-usaha-detail/dVZUeHB2L0JEMmw1NHpmOWsxUVlrdz09</t>
        </is>
      </c>
      <c r="F123" t="n">
        <v>1</v>
      </c>
      <c r="G123" t="inlineStr">
        <is>
          <t>BG006</t>
        </is>
      </c>
      <c r="H123" t="inlineStr">
        <is>
          <t>21 Januari 1991</t>
        </is>
      </c>
      <c r="I123" s="2" t="n">
        <v>46286</v>
      </c>
      <c r="J123" t="inlineStr">
        <is>
          <t>Disetujui</t>
        </is>
      </c>
      <c r="K123" t="n">
        <v>90</v>
      </c>
      <c r="L123" t="inlineStr">
        <is>
          <t>21 September 2026</t>
        </is>
      </c>
      <c r="M123" t="inlineStr">
        <is>
          <t>Konstruksi Gedung Pendidikan</t>
        </is>
      </c>
      <c r="N123" t="inlineStr">
        <is>
          <t>K</t>
        </is>
      </c>
      <c r="O123" t="inlineStr">
        <is>
          <t>20230915</t>
        </is>
      </c>
      <c r="P123" t="inlineStr">
        <is>
          <t>Sulawesi Utara</t>
        </is>
      </c>
      <c r="Q123" t="inlineStr"/>
    </row>
    <row r="124">
      <c r="A124" t="inlineStr">
        <is>
          <t>PAL INDONESIA</t>
        </is>
      </c>
      <c r="B124" t="inlineStr">
        <is>
          <t>Kota Surabaya</t>
        </is>
      </c>
      <c r="C124" t="inlineStr">
        <is>
          <t>0313292275</t>
        </is>
      </c>
      <c r="D124" t="inlineStr">
        <is>
          <t>headoffice@pal.co.id</t>
        </is>
      </c>
      <c r="E124" t="inlineStr">
        <is>
          <t>https://lpjk.pu.go.id/search-badan-usaha-detail/cTVpU1pKVGZ2OEZBcUlhUkVFSy9LUT09</t>
        </is>
      </c>
      <c r="F124" t="n">
        <v>1</v>
      </c>
      <c r="G124" t="inlineStr">
        <is>
          <t>ST006</t>
        </is>
      </c>
      <c r="H124" t="inlineStr">
        <is>
          <t>15 April 1980</t>
        </is>
      </c>
      <c r="I124" s="2" t="n">
        <v>46286</v>
      </c>
      <c r="J124" t="inlineStr">
        <is>
          <t>Disetujui</t>
        </is>
      </c>
      <c r="K124" t="n">
        <v>90</v>
      </c>
      <c r="L124" t="inlineStr">
        <is>
          <t>21 September 2026</t>
        </is>
      </c>
      <c r="M124" t="inlineStr">
        <is>
          <t>Konstruksi Bangunan Sipil Minyak dan Gas Bumi</t>
        </is>
      </c>
      <c r="N124" t="inlineStr">
        <is>
          <t>B</t>
        </is>
      </c>
      <c r="O124" t="inlineStr">
        <is>
          <t>20230707</t>
        </is>
      </c>
      <c r="P124" t="inlineStr">
        <is>
          <t>Jawa Timur</t>
        </is>
      </c>
      <c r="Q124" t="inlineStr"/>
    </row>
    <row r="125">
      <c r="A125" t="inlineStr">
        <is>
          <t>PANCA IDEA KONSULTAN</t>
        </is>
      </c>
      <c r="B125" t="inlineStr">
        <is>
          <t>Kota Surakarta</t>
        </is>
      </c>
      <c r="C125" t="inlineStr">
        <is>
          <t>081228225650</t>
        </is>
      </c>
      <c r="D125" t="inlineStr">
        <is>
          <t>pancaidea@gmail.com</t>
        </is>
      </c>
      <c r="E125" t="inlineStr">
        <is>
          <t>https://lpjk.pu.go.id/search-badan-usaha-detail/OGJWNUlYUVRERGx5enVacHFVUDMrUT09</t>
        </is>
      </c>
      <c r="F125" t="n">
        <v>1</v>
      </c>
      <c r="G125" t="inlineStr">
        <is>
          <t>RK003</t>
        </is>
      </c>
      <c r="H125" t="inlineStr">
        <is>
          <t>16 September 2021</t>
        </is>
      </c>
      <c r="I125" s="2" t="n">
        <v>46286</v>
      </c>
      <c r="J125" t="inlineStr">
        <is>
          <t>Pencabutan</t>
        </is>
      </c>
      <c r="K125" t="n">
        <v>90</v>
      </c>
      <c r="L125" t="inlineStr">
        <is>
          <t>21 September 2026</t>
        </is>
      </c>
      <c r="M125" t="inlineStr">
        <is>
          <t>Jasa Rekayasa Pekerjaan Teknik Sipil Transportasi</t>
        </is>
      </c>
      <c r="N125" t="inlineStr">
        <is>
          <t>K</t>
        </is>
      </c>
      <c r="O125" t="inlineStr">
        <is>
          <t>20230912</t>
        </is>
      </c>
      <c r="P125" t="inlineStr">
        <is>
          <t>Jawa Tengah</t>
        </is>
      </c>
      <c r="Q125" t="inlineStr"/>
    </row>
    <row r="126">
      <c r="A126" t="inlineStr">
        <is>
          <t>PARSAMEAN UTAMA</t>
        </is>
      </c>
      <c r="B126" t="inlineStr">
        <is>
          <t>Kota Medan</t>
        </is>
      </c>
      <c r="C126" t="inlineStr">
        <is>
          <t>082276421290</t>
        </is>
      </c>
      <c r="D126" t="inlineStr">
        <is>
          <t>parsameanutamaeducation@gmail.com</t>
        </is>
      </c>
      <c r="E126" t="inlineStr">
        <is>
          <t>https://lpjk.pu.go.id/search-badan-usaha-detail/cFRrZVlGS2lzQVViUnErNnFsOFRyZz09</t>
        </is>
      </c>
      <c r="F126" t="n">
        <v>1</v>
      </c>
      <c r="G126" t="inlineStr">
        <is>
          <t>BG005</t>
        </is>
      </c>
      <c r="H126" t="inlineStr">
        <is>
          <t>28 Januari 2010</t>
        </is>
      </c>
      <c r="I126" s="2" t="n">
        <v>46286</v>
      </c>
      <c r="J126" t="inlineStr">
        <is>
          <t>Disetujui</t>
        </is>
      </c>
      <c r="K126" t="n">
        <v>90</v>
      </c>
      <c r="L126" t="inlineStr">
        <is>
          <t>21 September 2026</t>
        </is>
      </c>
      <c r="M126" t="inlineStr">
        <is>
          <t>Konstruksi Gedung Kesehatan</t>
        </is>
      </c>
      <c r="N126" t="inlineStr">
        <is>
          <t>K</t>
        </is>
      </c>
      <c r="O126" t="inlineStr">
        <is>
          <t>20230920</t>
        </is>
      </c>
      <c r="P126" t="inlineStr">
        <is>
          <t>Sumatera Utara</t>
        </is>
      </c>
      <c r="Q126" t="inlineStr"/>
    </row>
    <row r="127">
      <c r="A127" t="inlineStr">
        <is>
          <t>PENTANA MAS GELOBAL</t>
        </is>
      </c>
      <c r="B127" t="inlineStr">
        <is>
          <t>Kab. Serang</t>
        </is>
      </c>
      <c r="C127" t="inlineStr">
        <is>
          <t>0254602211</t>
        </is>
      </c>
      <c r="D127" t="inlineStr">
        <is>
          <t>pentanamas@gmail.com</t>
        </is>
      </c>
      <c r="E127" t="inlineStr">
        <is>
          <t>https://lpjk.pu.go.id/search-badan-usaha-detail/bmpvL1lnT0QzYlYxcTdEK1FsZXdzUT09</t>
        </is>
      </c>
      <c r="F127" t="n">
        <v>1</v>
      </c>
      <c r="G127" t="inlineStr">
        <is>
          <t>BG009</t>
        </is>
      </c>
      <c r="H127" t="inlineStr">
        <is>
          <t>22 Agustus 2016</t>
        </is>
      </c>
      <c r="I127" s="2" t="n">
        <v>46286</v>
      </c>
      <c r="J127" t="inlineStr">
        <is>
          <t>Disetujui</t>
        </is>
      </c>
      <c r="K127" t="n">
        <v>90</v>
      </c>
      <c r="L127" t="inlineStr">
        <is>
          <t>21 September 2026</t>
        </is>
      </c>
      <c r="M127" t="inlineStr">
        <is>
          <t>Konstruksi Gedung Lainnya</t>
        </is>
      </c>
      <c r="N127" t="inlineStr">
        <is>
          <t>K</t>
        </is>
      </c>
      <c r="O127" t="inlineStr">
        <is>
          <t>20230921</t>
        </is>
      </c>
      <c r="P127" t="inlineStr">
        <is>
          <t>Banten</t>
        </is>
      </c>
      <c r="Q127" t="inlineStr"/>
    </row>
    <row r="128">
      <c r="A128" t="inlineStr">
        <is>
          <t>PERINTIS PERSADA</t>
        </is>
      </c>
      <c r="B128" t="inlineStr">
        <is>
          <t>Kota Kupang</t>
        </is>
      </c>
      <c r="C128" t="inlineStr">
        <is>
          <t>081339424823</t>
        </is>
      </c>
      <c r="D128" t="inlineStr">
        <is>
          <t>perintispersada72@gmail.com</t>
        </is>
      </c>
      <c r="E128" t="inlineStr">
        <is>
          <t>https://lpjk.pu.go.id/search-badan-usaha-detail/TS9kbDJFSWRWU2hubjk5VWJOaTFoUT09</t>
        </is>
      </c>
      <c r="F128" t="n">
        <v>1</v>
      </c>
      <c r="G128" t="inlineStr">
        <is>
          <t>BS004</t>
        </is>
      </c>
      <c r="H128" t="inlineStr">
        <is>
          <t>18 Januari 1997</t>
        </is>
      </c>
      <c r="I128" s="2" t="n">
        <v>46286</v>
      </c>
      <c r="J128" t="inlineStr">
        <is>
          <t>Pencabutan</t>
        </is>
      </c>
      <c r="K128" t="n">
        <v>90</v>
      </c>
      <c r="L128" t="inlineStr">
        <is>
          <t>21 September 2026</t>
        </is>
      </c>
      <c r="M128" t="inlineStr">
        <is>
          <t>Konstruksi Jaringan Irigasi dan Drainase</t>
        </is>
      </c>
      <c r="N128" t="inlineStr">
        <is>
          <t>K</t>
        </is>
      </c>
      <c r="O128" t="inlineStr">
        <is>
          <t>20230905</t>
        </is>
      </c>
      <c r="P128" t="inlineStr">
        <is>
          <t>Nusa Tenggara Timur</t>
        </is>
      </c>
      <c r="Q128" t="inlineStr"/>
    </row>
    <row r="129">
      <c r="A129" t="inlineStr">
        <is>
          <t>PETROFLEXX PRIMA DAYA</t>
        </is>
      </c>
      <c r="B129" t="inlineStr">
        <is>
          <t>Kota Adm. Jakarta Selatan</t>
        </is>
      </c>
      <c r="C129" t="inlineStr">
        <is>
          <t>02127518000</t>
        </is>
      </c>
      <c r="D129" t="inlineStr">
        <is>
          <t>bagus.setyo@petroflexx.com</t>
        </is>
      </c>
      <c r="E129" t="inlineStr">
        <is>
          <t>https://lpjk.pu.go.id/search-badan-usaha-detail/L1hRcStscnB0M2tPekQxWWVhZXg1Zz09</t>
        </is>
      </c>
      <c r="F129" t="n">
        <v>1</v>
      </c>
      <c r="G129" t="inlineStr">
        <is>
          <t>BS013</t>
        </is>
      </c>
      <c r="H129" t="inlineStr">
        <is>
          <t>28 Maret 2001</t>
        </is>
      </c>
      <c r="I129" s="2" t="n">
        <v>46286</v>
      </c>
      <c r="J129" t="inlineStr">
        <is>
          <t>Disetujui</t>
        </is>
      </c>
      <c r="K129" t="n">
        <v>90</v>
      </c>
      <c r="L129" t="inlineStr">
        <is>
          <t>21 September 2026</t>
        </is>
      </c>
      <c r="M129" t="inlineStr">
        <is>
          <t>Konstruksi Bangunan Sipil Minyak dan Gas Bumi</t>
        </is>
      </c>
      <c r="N129" t="inlineStr">
        <is>
          <t>B</t>
        </is>
      </c>
      <c r="O129" t="inlineStr">
        <is>
          <t>20230814</t>
        </is>
      </c>
      <c r="P129" t="inlineStr">
        <is>
          <t>DKI Jakarta</t>
        </is>
      </c>
      <c r="Q129" t="inlineStr"/>
    </row>
    <row r="130">
      <c r="A130" t="inlineStr">
        <is>
          <t>PIRANTI GEMILANG</t>
        </is>
      </c>
      <c r="B130" t="inlineStr">
        <is>
          <t>Kota Palu</t>
        </is>
      </c>
      <c r="C130" t="inlineStr">
        <is>
          <t>085100720203</t>
        </is>
      </c>
      <c r="D130" t="inlineStr">
        <is>
          <t>pirantigemilang@yahoo.com</t>
        </is>
      </c>
      <c r="E130" t="inlineStr">
        <is>
          <t>https://lpjk.pu.go.id/search-badan-usaha-detail/blh6Tk1LZEo5cTcraVA1L3BHeU0zZz09</t>
        </is>
      </c>
      <c r="F130" t="n">
        <v>1</v>
      </c>
      <c r="G130" t="inlineStr">
        <is>
          <t>BS001</t>
        </is>
      </c>
      <c r="H130" t="inlineStr">
        <is>
          <t>22 Juni 2012</t>
        </is>
      </c>
      <c r="I130" s="2" t="n">
        <v>46286</v>
      </c>
      <c r="J130" t="inlineStr">
        <is>
          <t>Disetujui</t>
        </is>
      </c>
      <c r="K130" t="n">
        <v>90</v>
      </c>
      <c r="L130" t="inlineStr">
        <is>
          <t>21 September 2026</t>
        </is>
      </c>
      <c r="M130" t="inlineStr">
        <is>
          <t>Konstruksi Bangunan Sipil Jalan</t>
        </is>
      </c>
      <c r="N130" t="inlineStr">
        <is>
          <t>K</t>
        </is>
      </c>
      <c r="O130" t="inlineStr">
        <is>
          <t>20230921</t>
        </is>
      </c>
      <c r="P130" t="inlineStr">
        <is>
          <t>Sulawesi Tengah</t>
        </is>
      </c>
      <c r="Q130" t="inlineStr"/>
    </row>
    <row r="131">
      <c r="A131" t="inlineStr">
        <is>
          <t>PLATINUM JAYA NUSANTARA</t>
        </is>
      </c>
      <c r="B131" t="inlineStr">
        <is>
          <t>Kab. Kampar</t>
        </is>
      </c>
      <c r="C131" t="inlineStr">
        <is>
          <t>082285781883</t>
        </is>
      </c>
      <c r="D131" t="inlineStr">
        <is>
          <t>wagimancilacap70@gmail.com</t>
        </is>
      </c>
      <c r="E131" t="inlineStr">
        <is>
          <t>https://lpjk.pu.go.id/search-badan-usaha-detail/SC8yaE9IVGVSUVlRQkFHRkNaQ0g2UT09</t>
        </is>
      </c>
      <c r="F131" t="n">
        <v>3</v>
      </c>
      <c r="G131" t="inlineStr">
        <is>
          <t>BS001, BS002, BS004</t>
        </is>
      </c>
      <c r="H131" t="inlineStr">
        <is>
          <t>24 November 2021</t>
        </is>
      </c>
      <c r="I131" s="2" t="n">
        <v>46286</v>
      </c>
      <c r="J131" t="inlineStr">
        <is>
          <t>Disetujui</t>
        </is>
      </c>
      <c r="K131" t="n">
        <v>90</v>
      </c>
      <c r="L131" t="inlineStr">
        <is>
          <t>21 September 2026</t>
        </is>
      </c>
      <c r="M131" t="inlineStr">
        <is>
          <t>Bangunan Sipil Jembatan, Jalan Layang, Fly Over, dan Underpass, Konstruksi Bangunan Sipil Jalan, Konstruksi Jaringan Irigasi dan Drainase</t>
        </is>
      </c>
      <c r="N131" t="inlineStr">
        <is>
          <t>K</t>
        </is>
      </c>
      <c r="O131" t="inlineStr">
        <is>
          <t>20230119, 20230620, 20230921</t>
        </is>
      </c>
      <c r="P131" t="inlineStr">
        <is>
          <t>Riau</t>
        </is>
      </c>
      <c r="Q131" t="inlineStr"/>
    </row>
    <row r="132">
      <c r="A132" t="inlineStr">
        <is>
          <t>PRAJANATA</t>
        </is>
      </c>
      <c r="B132" t="inlineStr">
        <is>
          <t>Kab. Tabanan</t>
        </is>
      </c>
      <c r="C132" t="inlineStr">
        <is>
          <t>081246590420</t>
        </is>
      </c>
      <c r="D132" t="inlineStr">
        <is>
          <t>prajanatacv@yahoo.co.id</t>
        </is>
      </c>
      <c r="E132" t="inlineStr">
        <is>
          <t>https://lpjk.pu.go.id/search-badan-usaha-detail/QkRrb1o2VFhtUmpCbXdzcHBRU1drdz09</t>
        </is>
      </c>
      <c r="F132" t="n">
        <v>1</v>
      </c>
      <c r="G132" t="inlineStr">
        <is>
          <t>BS001</t>
        </is>
      </c>
      <c r="H132" t="inlineStr">
        <is>
          <t>15 Januari 2001</t>
        </is>
      </c>
      <c r="I132" s="2" t="n">
        <v>46286</v>
      </c>
      <c r="J132" t="inlineStr">
        <is>
          <t>Disetujui</t>
        </is>
      </c>
      <c r="K132" t="n">
        <v>90</v>
      </c>
      <c r="L132" t="inlineStr">
        <is>
          <t>21 September 2026</t>
        </is>
      </c>
      <c r="M132" t="inlineStr">
        <is>
          <t>Konstruksi Bangunan Sipil Jalan</t>
        </is>
      </c>
      <c r="N132" t="inlineStr">
        <is>
          <t>K</t>
        </is>
      </c>
      <c r="O132" t="inlineStr">
        <is>
          <t>20230912</t>
        </is>
      </c>
      <c r="P132" t="inlineStr">
        <is>
          <t>Bali</t>
        </is>
      </c>
      <c r="Q132" t="inlineStr"/>
    </row>
    <row r="133">
      <c r="A133" t="inlineStr">
        <is>
          <t>PRIMA MAULANA</t>
        </is>
      </c>
      <c r="B133" t="inlineStr">
        <is>
          <t>Kota Pariaman</t>
        </is>
      </c>
      <c r="C133" t="inlineStr">
        <is>
          <t>081267158353</t>
        </is>
      </c>
      <c r="D133" t="inlineStr">
        <is>
          <t>maulanacvprima7@gmail.com</t>
        </is>
      </c>
      <c r="E133" t="inlineStr">
        <is>
          <t>https://lpjk.pu.go.id/search-badan-usaha-detail/bnhzK2FOSDZ1ZHhYZFlYTmZ6QUpqZz09</t>
        </is>
      </c>
      <c r="F133" t="n">
        <v>4</v>
      </c>
      <c r="G133" t="inlineStr">
        <is>
          <t>BG004, BG006, BG009, BS004</t>
        </is>
      </c>
      <c r="H133" t="inlineStr">
        <is>
          <t>5 Januari 2005</t>
        </is>
      </c>
      <c r="I133" s="2" t="n">
        <v>46286</v>
      </c>
      <c r="J133" t="inlineStr">
        <is>
          <t>Disetujui</t>
        </is>
      </c>
      <c r="K133" t="n">
        <v>90</v>
      </c>
      <c r="L133" t="inlineStr">
        <is>
          <t>21 September 2026</t>
        </is>
      </c>
      <c r="M133" t="inlineStr">
        <is>
          <t>Konstruksi Gedung Lainnya, Konstruksi Gedung Pendidikan, Konstruksi Gedung Perbelanjaan, Konstruksi Jaringan Irigasi dan Drainase</t>
        </is>
      </c>
      <c r="N133" t="inlineStr">
        <is>
          <t>K</t>
        </is>
      </c>
      <c r="O133" t="inlineStr">
        <is>
          <t>20230914</t>
        </is>
      </c>
      <c r="P133" t="inlineStr">
        <is>
          <t>Sumatera Barat</t>
        </is>
      </c>
      <c r="Q133" t="inlineStr"/>
    </row>
    <row r="134">
      <c r="A134" t="inlineStr">
        <is>
          <t>PRISMA ESTETIKA KONSULTAN</t>
        </is>
      </c>
      <c r="B134" t="inlineStr">
        <is>
          <t>Kota Pontianak</t>
        </is>
      </c>
      <c r="C134" t="inlineStr">
        <is>
          <t>085348169318</t>
        </is>
      </c>
      <c r="D134" t="inlineStr">
        <is>
          <t>prismaestetika@gmail.com</t>
        </is>
      </c>
      <c r="E134" t="inlineStr">
        <is>
          <t>https://lpjk.pu.go.id/search-badan-usaha-detail/U2dxenZ0M1IxTVBtc1QwaXBDZXNEUT09</t>
        </is>
      </c>
      <c r="F134" t="n">
        <v>1</v>
      </c>
      <c r="G134" t="inlineStr">
        <is>
          <t>RK001</t>
        </is>
      </c>
      <c r="H134" t="inlineStr">
        <is>
          <t>28 September 2007</t>
        </is>
      </c>
      <c r="I134" s="2" t="n">
        <v>46286</v>
      </c>
      <c r="J134" t="inlineStr">
        <is>
          <t>Disetujui</t>
        </is>
      </c>
      <c r="K134" t="n">
        <v>90</v>
      </c>
      <c r="L134" t="inlineStr">
        <is>
          <t>21 September 2026</t>
        </is>
      </c>
      <c r="M134" t="inlineStr">
        <is>
          <t>Jasa Rekayasa Konstruksi Bangunan Gedung Hunian dan Non Hunian</t>
        </is>
      </c>
      <c r="N134" t="inlineStr">
        <is>
          <t>K</t>
        </is>
      </c>
      <c r="O134" t="inlineStr">
        <is>
          <t>20230912</t>
        </is>
      </c>
      <c r="P134" t="inlineStr">
        <is>
          <t>Kalimantan Barat</t>
        </is>
      </c>
      <c r="Q134" t="inlineStr"/>
    </row>
    <row r="135">
      <c r="A135" t="inlineStr">
        <is>
          <t>PUSPITA MANDIRI GROUP</t>
        </is>
      </c>
      <c r="B135" t="inlineStr">
        <is>
          <t>Kab. Boalemo</t>
        </is>
      </c>
      <c r="C135" t="inlineStr">
        <is>
          <t>085255555025</t>
        </is>
      </c>
      <c r="D135" t="inlineStr">
        <is>
          <t>puspitamandirigroup@gmail.com</t>
        </is>
      </c>
      <c r="E135" t="inlineStr">
        <is>
          <t>https://lpjk.pu.go.id/search-badan-usaha-detail/UnV6K1FXQzY3NVpkY1Q5T2ZycnZQQT09</t>
        </is>
      </c>
      <c r="F135" t="n">
        <v>1</v>
      </c>
      <c r="G135" t="inlineStr">
        <is>
          <t>BG006</t>
        </is>
      </c>
      <c r="H135" t="inlineStr">
        <is>
          <t>8 November 2022</t>
        </is>
      </c>
      <c r="I135" s="2" t="n">
        <v>46286</v>
      </c>
      <c r="J135" t="inlineStr">
        <is>
          <t>Disetujui</t>
        </is>
      </c>
      <c r="K135" t="n">
        <v>90</v>
      </c>
      <c r="L135" t="inlineStr">
        <is>
          <t>21 September 2026</t>
        </is>
      </c>
      <c r="M135" t="inlineStr">
        <is>
          <t>Konstruksi Gedung Pendidikan</t>
        </is>
      </c>
      <c r="N135" t="inlineStr">
        <is>
          <t>K</t>
        </is>
      </c>
      <c r="O135" t="inlineStr">
        <is>
          <t>20230921</t>
        </is>
      </c>
      <c r="P135" t="inlineStr">
        <is>
          <t>Gorontalo</t>
        </is>
      </c>
      <c r="Q135" t="inlineStr"/>
    </row>
    <row r="136">
      <c r="A136" t="inlineStr">
        <is>
          <t>PUTRA BANGSA</t>
        </is>
      </c>
      <c r="B136" t="inlineStr">
        <is>
          <t>Kab. Bangka Barat</t>
        </is>
      </c>
      <c r="C136" t="inlineStr">
        <is>
          <t>08117815110</t>
        </is>
      </c>
      <c r="D136" t="inlineStr">
        <is>
          <t>cvputrabangsapangkalpinang8@gmail.com</t>
        </is>
      </c>
      <c r="E136" t="inlineStr">
        <is>
          <t>https://lpjk.pu.go.id/search-badan-usaha-detail/Nllrai9Rb3FnQ3lZajhOcTBuYW1iUT09</t>
        </is>
      </c>
      <c r="F136" t="n">
        <v>1</v>
      </c>
      <c r="G136" t="inlineStr">
        <is>
          <t>BG009</t>
        </is>
      </c>
      <c r="H136" t="inlineStr">
        <is>
          <t>11 April 1983</t>
        </is>
      </c>
      <c r="I136" s="2" t="n">
        <v>46286</v>
      </c>
      <c r="J136" t="inlineStr">
        <is>
          <t>Disetujui</t>
        </is>
      </c>
      <c r="K136" t="n">
        <v>90</v>
      </c>
      <c r="L136" t="inlineStr">
        <is>
          <t>21 September 2026</t>
        </is>
      </c>
      <c r="M136" t="inlineStr">
        <is>
          <t>Konstruksi Gedung Lainnya</t>
        </is>
      </c>
      <c r="N136" t="inlineStr">
        <is>
          <t>K</t>
        </is>
      </c>
      <c r="O136" t="inlineStr">
        <is>
          <t>20230919</t>
        </is>
      </c>
      <c r="P136" t="inlineStr">
        <is>
          <t>Kepulauan Bangka Belitung</t>
        </is>
      </c>
      <c r="Q136" t="inlineStr"/>
    </row>
    <row r="137">
      <c r="A137" t="inlineStr">
        <is>
          <t>PUTRA BUNGSU MANDIRI</t>
        </is>
      </c>
      <c r="B137" t="inlineStr">
        <is>
          <t>Kab. Takalar</t>
        </is>
      </c>
      <c r="C137" t="inlineStr">
        <is>
          <t>085656006055</t>
        </is>
      </c>
      <c r="D137" t="inlineStr">
        <is>
          <t>putrabungsumandiri@yahoo.com</t>
        </is>
      </c>
      <c r="E137" t="inlineStr">
        <is>
          <t>https://lpjk.pu.go.id/search-badan-usaha-detail/azZuNUtFSXJjNTFsNUFZUDdvbWZmZz09</t>
        </is>
      </c>
      <c r="F137" t="n">
        <v>1</v>
      </c>
      <c r="G137" t="inlineStr">
        <is>
          <t>BG002</t>
        </is>
      </c>
      <c r="H137" t="inlineStr">
        <is>
          <t>15 April 2017</t>
        </is>
      </c>
      <c r="I137" s="2" t="n">
        <v>46286</v>
      </c>
      <c r="J137" t="inlineStr">
        <is>
          <t>Disetujui</t>
        </is>
      </c>
      <c r="K137" t="n">
        <v>90</v>
      </c>
      <c r="L137" t="inlineStr">
        <is>
          <t>21 September 2026</t>
        </is>
      </c>
      <c r="M137" t="inlineStr">
        <is>
          <t>Konstruksi Gedung Perkantoran</t>
        </is>
      </c>
      <c r="N137" t="inlineStr">
        <is>
          <t>K</t>
        </is>
      </c>
      <c r="O137" t="inlineStr">
        <is>
          <t>20230914</t>
        </is>
      </c>
      <c r="P137" t="inlineStr">
        <is>
          <t>Sulawesi Selatan</t>
        </is>
      </c>
      <c r="Q137" t="inlineStr"/>
    </row>
    <row r="138">
      <c r="A138" t="inlineStr">
        <is>
          <t>PUTRA BUNGSU MERDEKA</t>
        </is>
      </c>
      <c r="B138" t="inlineStr">
        <is>
          <t>Kab. Subang</t>
        </is>
      </c>
      <c r="C138" t="inlineStr">
        <is>
          <t>081220752009</t>
        </is>
      </c>
      <c r="D138" t="inlineStr">
        <is>
          <t>putrabungsumerdeka@gmail.com</t>
        </is>
      </c>
      <c r="E138" t="inlineStr">
        <is>
          <t>https://lpjk.pu.go.id/search-badan-usaha-detail/VkdpcXEzcENpRFNKYmJweHNNdWJtZz09</t>
        </is>
      </c>
      <c r="F138" t="n">
        <v>1</v>
      </c>
      <c r="G138" t="inlineStr">
        <is>
          <t>BG002</t>
        </is>
      </c>
      <c r="H138" t="inlineStr">
        <is>
          <t>24 Mei 2023</t>
        </is>
      </c>
      <c r="I138" s="2" t="n">
        <v>46286</v>
      </c>
      <c r="J138" t="inlineStr">
        <is>
          <t>Disetujui</t>
        </is>
      </c>
      <c r="K138" t="n">
        <v>90</v>
      </c>
      <c r="L138" t="inlineStr">
        <is>
          <t>21 September 2026</t>
        </is>
      </c>
      <c r="M138" t="inlineStr">
        <is>
          <t>Konstruksi Gedung Perkantoran</t>
        </is>
      </c>
      <c r="N138" t="inlineStr">
        <is>
          <t>K</t>
        </is>
      </c>
      <c r="O138" t="inlineStr">
        <is>
          <t>20230920</t>
        </is>
      </c>
      <c r="P138" t="inlineStr">
        <is>
          <t>Jawa Barat</t>
        </is>
      </c>
      <c r="Q138" t="inlineStr"/>
    </row>
    <row r="139">
      <c r="A139" t="inlineStr">
        <is>
          <t>PUTRA KEMBAR</t>
        </is>
      </c>
      <c r="B139" t="inlineStr">
        <is>
          <t>Kab. Solok Selatan</t>
        </is>
      </c>
      <c r="C139" t="inlineStr">
        <is>
          <t>081266688481</t>
        </is>
      </c>
      <c r="D139" t="inlineStr">
        <is>
          <t>putrakembaronen@yahoo.com</t>
        </is>
      </c>
      <c r="E139" t="inlineStr">
        <is>
          <t>https://lpjk.pu.go.id/search-badan-usaha-detail/c2w5cmp0MWszeFh1UEdyek4vOWVCUT09</t>
        </is>
      </c>
      <c r="F139" t="n">
        <v>2</v>
      </c>
      <c r="G139" t="inlineStr">
        <is>
          <t>BG009, BS001</t>
        </is>
      </c>
      <c r="H139" t="inlineStr">
        <is>
          <t>27 November 2006</t>
        </is>
      </c>
      <c r="I139" s="2" t="n">
        <v>46286</v>
      </c>
      <c r="J139" t="inlineStr">
        <is>
          <t>Pencabutan</t>
        </is>
      </c>
      <c r="K139" t="n">
        <v>90</v>
      </c>
      <c r="L139" t="inlineStr">
        <is>
          <t>21 September 2026</t>
        </is>
      </c>
      <c r="M139" t="inlineStr">
        <is>
          <t>Konstruksi Bangunan Sipil Jalan, Konstruksi Gedung Lainnya</t>
        </is>
      </c>
      <c r="N139" t="inlineStr">
        <is>
          <t>K</t>
        </is>
      </c>
      <c r="O139" t="inlineStr">
        <is>
          <t>20230921</t>
        </is>
      </c>
      <c r="P139" t="inlineStr">
        <is>
          <t>Sumatera Barat</t>
        </is>
      </c>
      <c r="Q139" t="inlineStr"/>
    </row>
    <row r="140">
      <c r="A140" t="inlineStr">
        <is>
          <t>PUTRA MADUMA</t>
        </is>
      </c>
      <c r="B140" t="inlineStr">
        <is>
          <t>Kota Pontianak</t>
        </is>
      </c>
      <c r="C140" t="inlineStr">
        <is>
          <t>081253699208</t>
        </is>
      </c>
      <c r="D140" t="inlineStr">
        <is>
          <t>putramaduma@gmail.com</t>
        </is>
      </c>
      <c r="E140" t="inlineStr">
        <is>
          <t>https://lpjk.pu.go.id/search-badan-usaha-detail/Nzk3OFQ0TmhEVFR2ZEQydC85M2RIQT09</t>
        </is>
      </c>
      <c r="F140" t="n">
        <v>1</v>
      </c>
      <c r="G140" t="inlineStr">
        <is>
          <t>IN004</t>
        </is>
      </c>
      <c r="H140" t="inlineStr">
        <is>
          <t>16 April 2005</t>
        </is>
      </c>
      <c r="I140" s="2" t="n">
        <v>46286</v>
      </c>
      <c r="J140" t="inlineStr">
        <is>
          <t>Disetujui</t>
        </is>
      </c>
      <c r="K140" t="n">
        <v>90</v>
      </c>
      <c r="L140" t="inlineStr">
        <is>
          <t>21 September 2026</t>
        </is>
      </c>
      <c r="M140" t="inlineStr">
        <is>
          <t>Instalasi Minyak dan Gas</t>
        </is>
      </c>
      <c r="N140" t="inlineStr">
        <is>
          <t>Spesialis</t>
        </is>
      </c>
      <c r="O140" t="inlineStr">
        <is>
          <t>20230919</t>
        </is>
      </c>
      <c r="P140" t="inlineStr">
        <is>
          <t>Kalimantan Barat</t>
        </is>
      </c>
      <c r="Q140" t="inlineStr"/>
    </row>
    <row r="141">
      <c r="A141" t="inlineStr">
        <is>
          <t>PUTRA MANDIRI</t>
        </is>
      </c>
      <c r="B141" t="inlineStr">
        <is>
          <t>Kab. Tangerang</t>
        </is>
      </c>
      <c r="C141" t="inlineStr">
        <is>
          <t>081510313279</t>
        </is>
      </c>
      <c r="D141" t="inlineStr">
        <is>
          <t>putramandiri2014.cv@gmail.com</t>
        </is>
      </c>
      <c r="E141" t="inlineStr">
        <is>
          <t>https://lpjk.pu.go.id/search-badan-usaha-detail/VDRZTDdxWWtDaXNHbFY0SjVTUHI3UT09</t>
        </is>
      </c>
      <c r="F141" t="n">
        <v>1</v>
      </c>
      <c r="G141" t="inlineStr">
        <is>
          <t>BS001</t>
        </is>
      </c>
      <c r="H141" t="inlineStr">
        <is>
          <t>20 Mei 2014</t>
        </is>
      </c>
      <c r="I141" s="2" t="n">
        <v>46286</v>
      </c>
      <c r="J141" t="inlineStr">
        <is>
          <t>Disetujui</t>
        </is>
      </c>
      <c r="K141" t="n">
        <v>90</v>
      </c>
      <c r="L141" t="inlineStr">
        <is>
          <t>21 September 2026</t>
        </is>
      </c>
      <c r="M141" t="inlineStr">
        <is>
          <t>Konstruksi Bangunan Sipil Jalan</t>
        </is>
      </c>
      <c r="N141" t="inlineStr">
        <is>
          <t>K</t>
        </is>
      </c>
      <c r="O141" t="inlineStr">
        <is>
          <t>20230922</t>
        </is>
      </c>
      <c r="P141" t="inlineStr">
        <is>
          <t>Banten</t>
        </is>
      </c>
      <c r="Q141" t="inlineStr"/>
    </row>
    <row r="142">
      <c r="A142" t="inlineStr">
        <is>
          <t>PUTRA SANGGUL MAS</t>
        </is>
      </c>
      <c r="B142" t="inlineStr">
        <is>
          <t>Kota Adm. Jakarta Barat</t>
        </is>
      </c>
      <c r="C142" t="inlineStr">
        <is>
          <t>0215800815</t>
        </is>
      </c>
      <c r="D142" t="inlineStr">
        <is>
          <t>putrasanggulmas@yahoo.co.id</t>
        </is>
      </c>
      <c r="E142" t="inlineStr">
        <is>
          <t>https://lpjk.pu.go.id/search-badan-usaha-detail/MXhVRHlFWEV2WU1YZm1saWxCSXJPdz09</t>
        </is>
      </c>
      <c r="F142" t="n">
        <v>2</v>
      </c>
      <c r="G142" t="inlineStr">
        <is>
          <t>BS001, BS004</t>
        </is>
      </c>
      <c r="H142" t="inlineStr">
        <is>
          <t>26 Oktober 1985</t>
        </is>
      </c>
      <c r="I142" s="2" t="n">
        <v>46286</v>
      </c>
      <c r="J142" t="inlineStr">
        <is>
          <t>Disetujui, Pencabutan</t>
        </is>
      </c>
      <c r="K142" t="n">
        <v>90</v>
      </c>
      <c r="L142" t="inlineStr">
        <is>
          <t>21 September 2026</t>
        </is>
      </c>
      <c r="M142" t="inlineStr">
        <is>
          <t>Konstruksi Bangunan Sipil Jalan, Konstruksi Jaringan Irigasi dan Drainase</t>
        </is>
      </c>
      <c r="N142" t="inlineStr">
        <is>
          <t>K</t>
        </is>
      </c>
      <c r="O142" t="inlineStr">
        <is>
          <t>20230922</t>
        </is>
      </c>
      <c r="P142" t="inlineStr">
        <is>
          <t>DKI Jakarta</t>
        </is>
      </c>
      <c r="Q142" t="inlineStr"/>
    </row>
    <row r="143">
      <c r="A143" t="inlineStr">
        <is>
          <t>QUARTABINA KARSAPAMITRAN</t>
        </is>
      </c>
      <c r="B143" t="inlineStr">
        <is>
          <t>Kota Tangerang Selatan</t>
        </is>
      </c>
      <c r="C143" t="inlineStr">
        <is>
          <t>085289919394</t>
        </is>
      </c>
      <c r="D143" t="inlineStr">
        <is>
          <t>samaquarta2023@gmail.com</t>
        </is>
      </c>
      <c r="E143" t="inlineStr">
        <is>
          <t>https://lpjk.pu.go.id/search-badan-usaha-detail/M2prak91SXliUlF6VThiU3h1K3oxUT09</t>
        </is>
      </c>
      <c r="F143" t="n">
        <v>1</v>
      </c>
      <c r="G143" t="inlineStr">
        <is>
          <t>RK002</t>
        </is>
      </c>
      <c r="H143" t="inlineStr">
        <is>
          <t>4 April 1995</t>
        </is>
      </c>
      <c r="I143" s="2" t="n">
        <v>46286</v>
      </c>
      <c r="J143" t="inlineStr">
        <is>
          <t>Disetujui</t>
        </is>
      </c>
      <c r="K143" t="n">
        <v>90</v>
      </c>
      <c r="L143" t="inlineStr">
        <is>
          <t>21 September 2026</t>
        </is>
      </c>
      <c r="M143" t="inlineStr">
        <is>
          <t>Jasa Rekayasa Pekerjaan Teknik Sipil Sumber Daya Air</t>
        </is>
      </c>
      <c r="N143" t="inlineStr">
        <is>
          <t>K</t>
        </is>
      </c>
      <c r="O143" t="inlineStr">
        <is>
          <t>20230910</t>
        </is>
      </c>
      <c r="P143" t="inlineStr">
        <is>
          <t>Banten</t>
        </is>
      </c>
      <c r="Q143" t="inlineStr"/>
    </row>
    <row r="144">
      <c r="A144" t="inlineStr">
        <is>
          <t>QUEEN</t>
        </is>
      </c>
      <c r="B144" t="inlineStr">
        <is>
          <t>Kab. Banyumas</t>
        </is>
      </c>
      <c r="C144" t="inlineStr">
        <is>
          <t>0281640062</t>
        </is>
      </c>
      <c r="D144" t="inlineStr">
        <is>
          <t>queen15.cv@gmail.com</t>
        </is>
      </c>
      <c r="E144" t="inlineStr">
        <is>
          <t>https://lpjk.pu.go.id/search-badan-usaha-detail/QTlVYlI1WHg4SVFOV3FXSWZUS2NvZz09</t>
        </is>
      </c>
      <c r="F144" t="n">
        <v>2</v>
      </c>
      <c r="G144" t="inlineStr">
        <is>
          <t>BG005, BG006</t>
        </is>
      </c>
      <c r="H144" t="inlineStr">
        <is>
          <t>22 Juni 2012</t>
        </is>
      </c>
      <c r="I144" s="2" t="n">
        <v>46286</v>
      </c>
      <c r="J144" t="inlineStr">
        <is>
          <t>Disetujui</t>
        </is>
      </c>
      <c r="K144" t="n">
        <v>90</v>
      </c>
      <c r="L144" t="inlineStr">
        <is>
          <t>21 September 2026</t>
        </is>
      </c>
      <c r="M144" t="inlineStr">
        <is>
          <t>Konstruksi Gedung Kesehatan, Konstruksi Gedung Pendidikan</t>
        </is>
      </c>
      <c r="N144" t="inlineStr">
        <is>
          <t>K</t>
        </is>
      </c>
      <c r="O144" t="inlineStr">
        <is>
          <t>20230919</t>
        </is>
      </c>
      <c r="P144" t="inlineStr">
        <is>
          <t>Jawa Tengah</t>
        </is>
      </c>
      <c r="Q144" t="inlineStr"/>
    </row>
    <row r="145">
      <c r="A145" t="inlineStr">
        <is>
          <t>RAFAEL GLOBAL</t>
        </is>
      </c>
      <c r="B145" t="inlineStr">
        <is>
          <t>Kota Bitung</t>
        </is>
      </c>
      <c r="C145" t="inlineStr">
        <is>
          <t>081340181980</t>
        </is>
      </c>
      <c r="D145" t="inlineStr">
        <is>
          <t>rafaelglobal@yahoo.com</t>
        </is>
      </c>
      <c r="E145" t="inlineStr">
        <is>
          <t>https://lpjk.pu.go.id/search-badan-usaha-detail/dm50cXNwZjh1dE1nVzR1WFIySlVIdz09</t>
        </is>
      </c>
      <c r="F145" t="n">
        <v>2</v>
      </c>
      <c r="G145" t="inlineStr">
        <is>
          <t>BG002</t>
        </is>
      </c>
      <c r="H145" t="inlineStr">
        <is>
          <t>9 Maret 2023</t>
        </is>
      </c>
      <c r="I145" s="2" t="n">
        <v>46286</v>
      </c>
      <c r="J145" t="inlineStr">
        <is>
          <t>Disetujui</t>
        </is>
      </c>
      <c r="K145" t="n">
        <v>90</v>
      </c>
      <c r="L145" t="inlineStr">
        <is>
          <t>21 September 2026</t>
        </is>
      </c>
      <c r="M145" t="inlineStr">
        <is>
          <t>Konstruksi Gedung Perkantoran</t>
        </is>
      </c>
      <c r="N145" t="inlineStr">
        <is>
          <t>K</t>
        </is>
      </c>
      <c r="O145" t="inlineStr">
        <is>
          <t>20230708</t>
        </is>
      </c>
      <c r="P145" t="inlineStr">
        <is>
          <t>Sulawesi Utara</t>
        </is>
      </c>
      <c r="Q145" t="inlineStr"/>
    </row>
    <row r="146">
      <c r="A146" t="inlineStr">
        <is>
          <t>RAJAWALI SAKTI</t>
        </is>
      </c>
      <c r="B146" t="inlineStr">
        <is>
          <t>Kab. Mamuju</t>
        </is>
      </c>
      <c r="C146" t="inlineStr">
        <is>
          <t>081343833380</t>
        </is>
      </c>
      <c r="D146" t="inlineStr">
        <is>
          <t>rajawali_sakti49@yahoo.com</t>
        </is>
      </c>
      <c r="E146" t="inlineStr">
        <is>
          <t>https://lpjk.pu.go.id/search-badan-usaha-detail/bGg2OXZCdy8zT1U4RWxIVnNLUDh2Zz09</t>
        </is>
      </c>
      <c r="F146" t="n">
        <v>2</v>
      </c>
      <c r="G146" t="inlineStr">
        <is>
          <t>BG006</t>
        </is>
      </c>
      <c r="H146" t="inlineStr">
        <is>
          <t>29 Desember 2004</t>
        </is>
      </c>
      <c r="I146" s="2" t="n">
        <v>46286</v>
      </c>
      <c r="J146" t="inlineStr">
        <is>
          <t>Disetujui</t>
        </is>
      </c>
      <c r="K146" t="n">
        <v>90</v>
      </c>
      <c r="L146" t="inlineStr">
        <is>
          <t>21 September 2026</t>
        </is>
      </c>
      <c r="M146" t="inlineStr">
        <is>
          <t>Konstruksi Gedung Pendidikan</t>
        </is>
      </c>
      <c r="N146" t="inlineStr">
        <is>
          <t>K</t>
        </is>
      </c>
      <c r="O146" t="inlineStr">
        <is>
          <t>20230920</t>
        </is>
      </c>
      <c r="P146" t="inlineStr">
        <is>
          <t>Sulawesi Barat</t>
        </is>
      </c>
      <c r="Q146" t="inlineStr"/>
    </row>
    <row r="147">
      <c r="A147" t="inlineStr">
        <is>
          <t>RANDY PUTRA PRATAMA</t>
        </is>
      </c>
      <c r="B147" t="inlineStr">
        <is>
          <t>Kab. Garut</t>
        </is>
      </c>
      <c r="C147" t="inlineStr">
        <is>
          <t>081323284567</t>
        </is>
      </c>
      <c r="D147" t="inlineStr">
        <is>
          <t>cvrandyputrapratama5@gmail.com</t>
        </is>
      </c>
      <c r="E147" t="inlineStr">
        <is>
          <t>https://lpjk.pu.go.id/search-badan-usaha-detail/bWxNUVZKb1lNYmtDNStEamg5RHhVUT09</t>
        </is>
      </c>
      <c r="F147" t="n">
        <v>1</v>
      </c>
      <c r="G147" t="inlineStr">
        <is>
          <t>BG006</t>
        </is>
      </c>
      <c r="H147" t="inlineStr">
        <is>
          <t>11 April 2013</t>
        </is>
      </c>
      <c r="I147" s="2" t="n">
        <v>46286</v>
      </c>
      <c r="J147" t="inlineStr">
        <is>
          <t>Pencabutan</t>
        </is>
      </c>
      <c r="K147" t="n">
        <v>90</v>
      </c>
      <c r="L147" t="inlineStr">
        <is>
          <t>21 September 2026</t>
        </is>
      </c>
      <c r="M147" t="inlineStr">
        <is>
          <t>Konstruksi Gedung Pendidikan</t>
        </is>
      </c>
      <c r="N147" t="inlineStr">
        <is>
          <t>K</t>
        </is>
      </c>
      <c r="O147" t="inlineStr">
        <is>
          <t>20230918</t>
        </is>
      </c>
      <c r="P147" t="inlineStr">
        <is>
          <t>Jawa Barat</t>
        </is>
      </c>
      <c r="Q147" t="inlineStr"/>
    </row>
    <row r="148">
      <c r="A148" t="inlineStr">
        <is>
          <t>RAYHAN</t>
        </is>
      </c>
      <c r="B148" t="inlineStr">
        <is>
          <t>Kota Padang Sidempuan</t>
        </is>
      </c>
      <c r="C148" t="inlineStr">
        <is>
          <t>081376381245</t>
        </is>
      </c>
      <c r="D148" t="inlineStr">
        <is>
          <t>khaidir_batubara@yahoo.com</t>
        </is>
      </c>
      <c r="E148" t="inlineStr">
        <is>
          <t>https://lpjk.pu.go.id/search-badan-usaha-detail/NmFEWTVsUk95blo1Qml0bUg5bTNmZz09</t>
        </is>
      </c>
      <c r="F148" t="n">
        <v>2</v>
      </c>
      <c r="G148" t="inlineStr">
        <is>
          <t>BG006, BS001</t>
        </is>
      </c>
      <c r="H148" t="inlineStr">
        <is>
          <t>15 November 2014</t>
        </is>
      </c>
      <c r="I148" s="2" t="n">
        <v>46286</v>
      </c>
      <c r="J148" t="inlineStr">
        <is>
          <t>Disetujui</t>
        </is>
      </c>
      <c r="K148" t="n">
        <v>90</v>
      </c>
      <c r="L148" t="inlineStr">
        <is>
          <t>21 September 2026</t>
        </is>
      </c>
      <c r="M148" t="inlineStr">
        <is>
          <t>Konstruksi Bangunan Sipil Jalan, Konstruksi Gedung Pendidikan</t>
        </is>
      </c>
      <c r="N148" t="inlineStr">
        <is>
          <t>K</t>
        </is>
      </c>
      <c r="O148" t="inlineStr">
        <is>
          <t>20230921, 20230922</t>
        </is>
      </c>
      <c r="P148" t="inlineStr">
        <is>
          <t>Sumatera Utara</t>
        </is>
      </c>
      <c r="Q148" t="inlineStr"/>
    </row>
    <row r="149">
      <c r="A149" t="inlineStr">
        <is>
          <t>REKA CIPTA UTAMA</t>
        </is>
      </c>
      <c r="B149" t="inlineStr">
        <is>
          <t>Kota Pekanbaru</t>
        </is>
      </c>
      <c r="C149" t="inlineStr">
        <is>
          <t>082387854543</t>
        </is>
      </c>
      <c r="D149" t="inlineStr">
        <is>
          <t>cv.rekaciptautamapku@gmail.com</t>
        </is>
      </c>
      <c r="E149" t="inlineStr">
        <is>
          <t>https://lpjk.pu.go.id/search-badan-usaha-detail/b1RlZTdvNC9VZ1dFTzZXSjUzeUdRUT09</t>
        </is>
      </c>
      <c r="F149" t="n">
        <v>3</v>
      </c>
      <c r="G149" t="inlineStr">
        <is>
          <t>RK002, RK003, RK005</t>
        </is>
      </c>
      <c r="H149" t="inlineStr">
        <is>
          <t>18 Maret 2005</t>
        </is>
      </c>
      <c r="I149" s="2" t="n">
        <v>46286</v>
      </c>
      <c r="J149" t="inlineStr">
        <is>
          <t>Disetujui</t>
        </is>
      </c>
      <c r="K149" t="n">
        <v>90</v>
      </c>
      <c r="L149" t="inlineStr">
        <is>
          <t>21 September 2026</t>
        </is>
      </c>
      <c r="M149" t="inlineStr">
        <is>
          <t>Jasa Rekayasa Lainnya, Jasa Rekayasa Pekerjaan Teknik Sipil Sumber Daya Air, Jasa Rekayasa Pekerjaan Teknik Sipil Transportasi</t>
        </is>
      </c>
      <c r="N149" t="inlineStr">
        <is>
          <t>K</t>
        </is>
      </c>
      <c r="O149" t="inlineStr">
        <is>
          <t>20230912</t>
        </is>
      </c>
      <c r="P149" t="inlineStr">
        <is>
          <t>Riau</t>
        </is>
      </c>
      <c r="Q149" t="inlineStr"/>
    </row>
    <row r="150">
      <c r="A150" t="inlineStr">
        <is>
          <t>RIA JAYA UTAMA</t>
        </is>
      </c>
      <c r="B150" t="inlineStr">
        <is>
          <t>Kota Bontang</t>
        </is>
      </c>
      <c r="C150" t="inlineStr">
        <is>
          <t>081345785758</t>
        </is>
      </c>
      <c r="D150" t="inlineStr">
        <is>
          <t>riajayasamuel@gmail.com</t>
        </is>
      </c>
      <c r="E150" t="inlineStr">
        <is>
          <t>https://lpjk.pu.go.id/search-badan-usaha-detail/Q0hpeTA2Q0ZHdElmeUdJUEt1MUdWQT09</t>
        </is>
      </c>
      <c r="F150" t="n">
        <v>3</v>
      </c>
      <c r="G150" t="inlineStr">
        <is>
          <t>BS001, BS002, BS004</t>
        </is>
      </c>
      <c r="H150" t="inlineStr">
        <is>
          <t>11 April 2007</t>
        </is>
      </c>
      <c r="I150" s="2" t="n">
        <v>46286</v>
      </c>
      <c r="J150" t="inlineStr">
        <is>
          <t>Disetujui</t>
        </is>
      </c>
      <c r="K150" t="n">
        <v>90</v>
      </c>
      <c r="L150" t="inlineStr">
        <is>
          <t>21 September 2026</t>
        </is>
      </c>
      <c r="M150" t="inlineStr">
        <is>
          <t>Bangunan Sipil Jembatan, Jalan Layang, Fly Over, dan Underpass, Konstruksi Bangunan Sipil Jalan, Konstruksi Jaringan Irigasi dan Drainase</t>
        </is>
      </c>
      <c r="N150" t="inlineStr">
        <is>
          <t>K</t>
        </is>
      </c>
      <c r="O150" t="inlineStr">
        <is>
          <t>20230921</t>
        </is>
      </c>
      <c r="P150" t="inlineStr">
        <is>
          <t>Kalimantan Timur</t>
        </is>
      </c>
      <c r="Q150" t="inlineStr"/>
    </row>
    <row r="151">
      <c r="A151" t="inlineStr">
        <is>
          <t>RIDHO BERKAH SARANA</t>
        </is>
      </c>
      <c r="B151" t="inlineStr">
        <is>
          <t>Kab. Cirebon</t>
        </is>
      </c>
      <c r="C151" t="inlineStr">
        <is>
          <t>082127942111</t>
        </is>
      </c>
      <c r="D151" t="inlineStr">
        <is>
          <t>ridhoberkahsarana@gmail.com</t>
        </is>
      </c>
      <c r="E151" t="inlineStr">
        <is>
          <t>https://lpjk.pu.go.id/search-badan-usaha-detail/R2FFbFArTnVCeUsrQll4QUR3NEsrdz09</t>
        </is>
      </c>
      <c r="F151" t="n">
        <v>1</v>
      </c>
      <c r="G151" t="inlineStr">
        <is>
          <t>BS001</t>
        </is>
      </c>
      <c r="H151" t="inlineStr">
        <is>
          <t>10 April 2023</t>
        </is>
      </c>
      <c r="I151" s="2" t="n">
        <v>46286</v>
      </c>
      <c r="J151" t="inlineStr">
        <is>
          <t>Disetujui</t>
        </is>
      </c>
      <c r="K151" t="n">
        <v>90</v>
      </c>
      <c r="L151" t="inlineStr">
        <is>
          <t>21 September 2026</t>
        </is>
      </c>
      <c r="M151" t="inlineStr">
        <is>
          <t>Konstruksi Bangunan Sipil Jalan</t>
        </is>
      </c>
      <c r="N151" t="inlineStr">
        <is>
          <t>K</t>
        </is>
      </c>
      <c r="O151" t="inlineStr">
        <is>
          <t>20230907</t>
        </is>
      </c>
      <c r="P151" t="inlineStr">
        <is>
          <t>Jawa Barat</t>
        </is>
      </c>
      <c r="Q151" t="inlineStr"/>
    </row>
    <row r="152">
      <c r="A152" t="inlineStr">
        <is>
          <t>RIMA GLOBALINDO PERKASA</t>
        </is>
      </c>
      <c r="B152" t="inlineStr">
        <is>
          <t>Kota Medan</t>
        </is>
      </c>
      <c r="C152" t="inlineStr">
        <is>
          <t>06142731862</t>
        </is>
      </c>
      <c r="D152" t="inlineStr">
        <is>
          <t>rimaglobalindoperkasa@gmail.com</t>
        </is>
      </c>
      <c r="E152" t="inlineStr">
        <is>
          <t>https://lpjk.pu.go.id/search-badan-usaha-detail/VW0zWjJiMlBqQzljWU0xcFpWUktvdz09</t>
        </is>
      </c>
      <c r="F152" t="n">
        <v>4</v>
      </c>
      <c r="G152" t="inlineStr">
        <is>
          <t>BG002, BG005, BG006, BG009</t>
        </is>
      </c>
      <c r="H152" t="inlineStr">
        <is>
          <t>18 Mei 2020</t>
        </is>
      </c>
      <c r="I152" s="2" t="n">
        <v>46286</v>
      </c>
      <c r="J152" t="inlineStr">
        <is>
          <t>Disetujui</t>
        </is>
      </c>
      <c r="K152" t="n">
        <v>90</v>
      </c>
      <c r="L152" t="inlineStr">
        <is>
          <t>21 September 2026</t>
        </is>
      </c>
      <c r="M152" t="inlineStr">
        <is>
          <t>Konstruksi Gedung Kesehatan, Konstruksi Gedung Lainnya, Konstruksi Gedung Pendidikan, Konstruksi Gedung Perkantoran</t>
        </is>
      </c>
      <c r="N152" t="inlineStr">
        <is>
          <t>K</t>
        </is>
      </c>
      <c r="O152" t="inlineStr">
        <is>
          <t>20230915, 20230918</t>
        </is>
      </c>
      <c r="P152" t="inlineStr">
        <is>
          <t>Sumatera Utara</t>
        </is>
      </c>
      <c r="Q152" t="inlineStr"/>
    </row>
    <row r="153">
      <c r="A153" t="inlineStr">
        <is>
          <t>RIZKY MANDIRI</t>
        </is>
      </c>
      <c r="B153" t="inlineStr">
        <is>
          <t>Kota Pangkal Pinang</t>
        </is>
      </c>
      <c r="C153" t="inlineStr">
        <is>
          <t>085268085189</t>
        </is>
      </c>
      <c r="D153" t="inlineStr">
        <is>
          <t>rizkymndiri@gmail.com</t>
        </is>
      </c>
      <c r="E153" t="inlineStr">
        <is>
          <t>https://lpjk.pu.go.id/search-badan-usaha-detail/RzUxak8yTTgvTjVJU3BKR2JvcnhxUT09</t>
        </is>
      </c>
      <c r="F153" t="n">
        <v>1</v>
      </c>
      <c r="G153" t="inlineStr">
        <is>
          <t>BS004</t>
        </is>
      </c>
      <c r="H153" t="inlineStr">
        <is>
          <t>7 Juni 2003</t>
        </is>
      </c>
      <c r="I153" s="2" t="n">
        <v>46286</v>
      </c>
      <c r="J153" t="inlineStr">
        <is>
          <t>Disetujui</t>
        </is>
      </c>
      <c r="K153" t="n">
        <v>90</v>
      </c>
      <c r="L153" t="inlineStr">
        <is>
          <t>21 September 2026</t>
        </is>
      </c>
      <c r="M153" t="inlineStr">
        <is>
          <t>Konstruksi Jaringan Irigasi dan Drainase</t>
        </is>
      </c>
      <c r="N153" t="inlineStr">
        <is>
          <t>K</t>
        </is>
      </c>
      <c r="O153" t="inlineStr">
        <is>
          <t>20230914</t>
        </is>
      </c>
      <c r="P153" t="inlineStr">
        <is>
          <t>Kepulauan Bangka Belitung</t>
        </is>
      </c>
      <c r="Q153" t="inlineStr"/>
    </row>
    <row r="154">
      <c r="A154" t="inlineStr">
        <is>
          <t>RUMAKITA KREASI MANDIRI</t>
        </is>
      </c>
      <c r="B154" t="inlineStr">
        <is>
          <t>Kota Adm. Jakarta Selatan</t>
        </is>
      </c>
      <c r="C154" t="inlineStr">
        <is>
          <t>02122835390</t>
        </is>
      </c>
      <c r="D154" t="inlineStr">
        <is>
          <t>info.rumakita@gmail.com</t>
        </is>
      </c>
      <c r="E154" t="inlineStr">
        <is>
          <t>https://lpjk.pu.go.id/search-badan-usaha-detail/MElMcnhCQ0piWmJkVUpXRU0wWnBUdz09</t>
        </is>
      </c>
      <c r="F154" t="n">
        <v>3</v>
      </c>
      <c r="G154" t="inlineStr">
        <is>
          <t>BG001, BG002, IN008</t>
        </is>
      </c>
      <c r="H154" t="inlineStr">
        <is>
          <t>13 September 2019</t>
        </is>
      </c>
      <c r="I154" s="2" t="n">
        <v>46286</v>
      </c>
      <c r="J154" t="inlineStr">
        <is>
          <t>Disetujui, Pencabutan</t>
        </is>
      </c>
      <c r="K154" t="n">
        <v>90</v>
      </c>
      <c r="L154" t="inlineStr">
        <is>
          <t>21 September 2026</t>
        </is>
      </c>
      <c r="M154" t="inlineStr">
        <is>
          <t>Instalasi Pendingin Dan Ventilasi Udara, Konstruksi Gedung Hunian, Konstruksi Gedung Perkantoran</t>
        </is>
      </c>
      <c r="N154" t="inlineStr">
        <is>
          <t>K, Spesialis</t>
        </is>
      </c>
      <c r="O154" t="inlineStr">
        <is>
          <t>20230906, 20230914</t>
        </is>
      </c>
      <c r="P154" t="inlineStr">
        <is>
          <t>DKI Jakarta</t>
        </is>
      </c>
      <c r="Q154" t="inlineStr"/>
    </row>
    <row r="155">
      <c r="A155" t="inlineStr">
        <is>
          <t>SABANA</t>
        </is>
      </c>
      <c r="B155" t="inlineStr">
        <is>
          <t>Kota Pekalongan</t>
        </is>
      </c>
      <c r="C155" t="inlineStr">
        <is>
          <t>085711910988</t>
        </is>
      </c>
      <c r="D155" t="inlineStr">
        <is>
          <t>sabanacv@gmail.com</t>
        </is>
      </c>
      <c r="E155" t="inlineStr">
        <is>
          <t>https://lpjk.pu.go.id/search-badan-usaha-detail/OGpSZ3J1WSs4THNWb0kwL2hkbTluUT09</t>
        </is>
      </c>
      <c r="F155" t="n">
        <v>2</v>
      </c>
      <c r="G155" t="inlineStr">
        <is>
          <t>BS004</t>
        </is>
      </c>
      <c r="H155" t="inlineStr">
        <is>
          <t>4 April 2016</t>
        </is>
      </c>
      <c r="I155" s="2" t="n">
        <v>46286</v>
      </c>
      <c r="J155" t="inlineStr">
        <is>
          <t>Disetujui</t>
        </is>
      </c>
      <c r="K155" t="n">
        <v>90</v>
      </c>
      <c r="L155" t="inlineStr">
        <is>
          <t>21 September 2026</t>
        </is>
      </c>
      <c r="M155" t="inlineStr">
        <is>
          <t>Konstruksi Jaringan Irigasi dan Drainase</t>
        </is>
      </c>
      <c r="N155" t="inlineStr">
        <is>
          <t>K</t>
        </is>
      </c>
      <c r="O155" t="inlineStr">
        <is>
          <t>20230913</t>
        </is>
      </c>
      <c r="P155" t="inlineStr">
        <is>
          <t>Jawa Tengah</t>
        </is>
      </c>
      <c r="Q155" t="inlineStr"/>
    </row>
    <row r="156">
      <c r="A156" t="inlineStr">
        <is>
          <t>SAHAT MIDUK ARTHA</t>
        </is>
      </c>
      <c r="B156" t="inlineStr">
        <is>
          <t>Kab. Deli Serdang</t>
        </is>
      </c>
      <c r="C156" t="inlineStr">
        <is>
          <t>081360222154</t>
        </is>
      </c>
      <c r="D156" t="inlineStr">
        <is>
          <t>miduksahat4@gmal.com</t>
        </is>
      </c>
      <c r="E156" t="inlineStr">
        <is>
          <t>https://lpjk.pu.go.id/search-badan-usaha-detail/djE4aktvRFRpUUpXc0pHSUlhL1VCUT09</t>
        </is>
      </c>
      <c r="F156" t="n">
        <v>4</v>
      </c>
      <c r="G156" t="inlineStr">
        <is>
          <t>BG001, BG005, BG009, BS005</t>
        </is>
      </c>
      <c r="H156" t="inlineStr">
        <is>
          <t>1 September 2023</t>
        </is>
      </c>
      <c r="I156" s="2" t="n">
        <v>46286</v>
      </c>
      <c r="J156" t="inlineStr">
        <is>
          <t>Disetujui</t>
        </is>
      </c>
      <c r="K156" t="n">
        <v>90</v>
      </c>
      <c r="L156" t="inlineStr">
        <is>
          <t>21 September 2026</t>
        </is>
      </c>
      <c r="M156" t="inlineStr">
        <is>
          <t>Konstruksi Bangunan Sipil Pengolahan Air Bersih, Konstruksi Gedung Hunian, Konstruksi Gedung Kesehatan, Konstruksi Gedung Lainnya</t>
        </is>
      </c>
      <c r="N156" t="inlineStr">
        <is>
          <t>K</t>
        </is>
      </c>
      <c r="O156" t="inlineStr">
        <is>
          <t>20230919, 20230922</t>
        </is>
      </c>
      <c r="P156" t="inlineStr">
        <is>
          <t>Sumatera Utara</t>
        </is>
      </c>
      <c r="Q156" t="inlineStr"/>
    </row>
    <row r="157">
      <c r="A157" t="inlineStr">
        <is>
          <t>SAMI MUJI ENGINEERING</t>
        </is>
      </c>
      <c r="B157" t="inlineStr">
        <is>
          <t>Kab. Probolinggo</t>
        </is>
      </c>
      <c r="C157" t="inlineStr">
        <is>
          <t>081332713394</t>
        </is>
      </c>
      <c r="D157" t="inlineStr">
        <is>
          <t>ptsamimuji2023@gmail.com</t>
        </is>
      </c>
      <c r="E157" t="inlineStr">
        <is>
          <t>https://lpjk.pu.go.id/search-badan-usaha-detail/WmI0WEhQcitWZ1hlaUg4TUxjcU9jQT09</t>
        </is>
      </c>
      <c r="F157" t="n">
        <v>1</v>
      </c>
      <c r="G157" t="inlineStr">
        <is>
          <t>BG009</t>
        </is>
      </c>
      <c r="H157" t="inlineStr">
        <is>
          <t>12 Maret 2021</t>
        </is>
      </c>
      <c r="I157" s="2" t="n">
        <v>46286</v>
      </c>
      <c r="J157" t="inlineStr">
        <is>
          <t>Disetujui</t>
        </is>
      </c>
      <c r="K157" t="n">
        <v>90</v>
      </c>
      <c r="L157" t="inlineStr">
        <is>
          <t>21 September 2026</t>
        </is>
      </c>
      <c r="M157" t="inlineStr">
        <is>
          <t>Konstruksi Gedung Lainnya</t>
        </is>
      </c>
      <c r="N157" t="inlineStr">
        <is>
          <t>K</t>
        </is>
      </c>
      <c r="O157" t="inlineStr">
        <is>
          <t>20230920</t>
        </is>
      </c>
      <c r="P157" t="inlineStr">
        <is>
          <t>Jawa Timur</t>
        </is>
      </c>
      <c r="Q157" t="inlineStr"/>
    </row>
    <row r="158">
      <c r="A158" t="inlineStr">
        <is>
          <t>SAMUDERA CENTRAL LOGAM</t>
        </is>
      </c>
      <c r="B158" t="inlineStr">
        <is>
          <t>Kota Medan</t>
        </is>
      </c>
      <c r="C158" t="inlineStr">
        <is>
          <t>08126562131</t>
        </is>
      </c>
      <c r="D158" t="inlineStr">
        <is>
          <t>cv.samuderacentrallogam@yahoo.com</t>
        </is>
      </c>
      <c r="E158" t="inlineStr">
        <is>
          <t>https://lpjk.pu.go.id/search-badan-usaha-detail/TTBwUjdnUW9JU0ZjVllQKzRpWGYrdz09</t>
        </is>
      </c>
      <c r="F158" t="n">
        <v>1</v>
      </c>
      <c r="G158" t="inlineStr">
        <is>
          <t>BS005</t>
        </is>
      </c>
      <c r="H158" t="inlineStr">
        <is>
          <t>3 Oktober 2016</t>
        </is>
      </c>
      <c r="I158" s="2" t="n">
        <v>46286</v>
      </c>
      <c r="J158" t="inlineStr">
        <is>
          <t>Disetujui</t>
        </is>
      </c>
      <c r="K158" t="n">
        <v>90</v>
      </c>
      <c r="L158" t="inlineStr">
        <is>
          <t>21 September 2026</t>
        </is>
      </c>
      <c r="M158" t="inlineStr">
        <is>
          <t>Konstruksi Bangunan Sipil Pengolahan Air Bersih</t>
        </is>
      </c>
      <c r="N158" t="inlineStr">
        <is>
          <t>K</t>
        </is>
      </c>
      <c r="O158" t="inlineStr">
        <is>
          <t>20230920</t>
        </is>
      </c>
      <c r="P158" t="inlineStr">
        <is>
          <t>Sumatera Utara</t>
        </is>
      </c>
      <c r="Q158" t="inlineStr"/>
    </row>
    <row r="159">
      <c r="A159" t="inlineStr">
        <is>
          <t>SANSKARA SANJAYA ANANTA</t>
        </is>
      </c>
      <c r="B159" t="inlineStr">
        <is>
          <t>Kota Adm. Jakarta Selatan</t>
        </is>
      </c>
      <c r="C159" t="inlineStr">
        <is>
          <t>081296292738</t>
        </is>
      </c>
      <c r="D159" t="inlineStr">
        <is>
          <t>sanskarageneralcontractor@gmail.com</t>
        </is>
      </c>
      <c r="E159" t="inlineStr">
        <is>
          <t>https://lpjk.pu.go.id/search-badan-usaha-detail/Um5HSklVV2E4blV2aFloK2JtSmNldz09</t>
        </is>
      </c>
      <c r="F159" t="n">
        <v>1</v>
      </c>
      <c r="G159" t="inlineStr">
        <is>
          <t>BG009</t>
        </is>
      </c>
      <c r="H159" t="inlineStr">
        <is>
          <t>1 September 2022</t>
        </is>
      </c>
      <c r="I159" s="2" t="n">
        <v>46286</v>
      </c>
      <c r="J159" t="inlineStr">
        <is>
          <t>Disetujui</t>
        </is>
      </c>
      <c r="K159" t="n">
        <v>90</v>
      </c>
      <c r="L159" t="inlineStr">
        <is>
          <t>21 September 2026</t>
        </is>
      </c>
      <c r="M159" t="inlineStr">
        <is>
          <t>Konstruksi Gedung Lainnya</t>
        </is>
      </c>
      <c r="N159" t="inlineStr">
        <is>
          <t>K</t>
        </is>
      </c>
      <c r="O159" t="inlineStr">
        <is>
          <t>20230908</t>
        </is>
      </c>
      <c r="P159" t="inlineStr">
        <is>
          <t>DKI Jakarta</t>
        </is>
      </c>
      <c r="Q159" t="inlineStr"/>
    </row>
    <row r="160">
      <c r="A160" t="inlineStr">
        <is>
          <t>SAVAQIRA LIMA EMPAT</t>
        </is>
      </c>
      <c r="B160" t="inlineStr">
        <is>
          <t>Kab. Lampung Tengah</t>
        </is>
      </c>
      <c r="C160" t="inlineStr">
        <is>
          <t>082179843351</t>
        </is>
      </c>
      <c r="D160" t="inlineStr">
        <is>
          <t>cvsavaqiral54@gmail.com</t>
        </is>
      </c>
      <c r="E160" t="inlineStr">
        <is>
          <t>https://lpjk.pu.go.id/search-badan-usaha-detail/T0JNWnJvMlM2UTc0RHdYaitZSUhRdz09</t>
        </is>
      </c>
      <c r="F160" t="n">
        <v>2</v>
      </c>
      <c r="G160" t="inlineStr">
        <is>
          <t>BG002, BG008</t>
        </is>
      </c>
      <c r="H160" t="inlineStr">
        <is>
          <t>24 September 2021</t>
        </is>
      </c>
      <c r="I160" s="2" t="n">
        <v>46286</v>
      </c>
      <c r="J160" t="inlineStr">
        <is>
          <t>Disetujui</t>
        </is>
      </c>
      <c r="K160" t="n">
        <v>90</v>
      </c>
      <c r="L160" t="inlineStr">
        <is>
          <t>21 September 2026</t>
        </is>
      </c>
      <c r="M160" t="inlineStr">
        <is>
          <t>Konstruksi Gedung Perkantoran, Konstruksi Gedung Tempat Hiburan dan Olahraga</t>
        </is>
      </c>
      <c r="N160" t="inlineStr">
        <is>
          <t>K</t>
        </is>
      </c>
      <c r="O160" t="inlineStr">
        <is>
          <t>20230916</t>
        </is>
      </c>
      <c r="P160" t="inlineStr">
        <is>
          <t>Lampung</t>
        </is>
      </c>
      <c r="Q160" t="inlineStr"/>
    </row>
    <row r="161">
      <c r="A161" t="inlineStr">
        <is>
          <t>SEROJA PRATAMA JAYA</t>
        </is>
      </c>
      <c r="B161" t="inlineStr">
        <is>
          <t>Kab. Bojonegoro</t>
        </is>
      </c>
      <c r="C161" t="inlineStr">
        <is>
          <t>082114345484</t>
        </is>
      </c>
      <c r="D161" t="inlineStr">
        <is>
          <t>cvserojapratamajaya@gmail.com</t>
        </is>
      </c>
      <c r="E161" t="inlineStr">
        <is>
          <t>https://lpjk.pu.go.id/search-badan-usaha-detail/ZWFET1FTOG1lWEtQa2diRytMZU9mUT09</t>
        </is>
      </c>
      <c r="F161" t="n">
        <v>1</v>
      </c>
      <c r="G161" t="inlineStr">
        <is>
          <t>BG004</t>
        </is>
      </c>
      <c r="H161" t="inlineStr">
        <is>
          <t>17 Februari 2022</t>
        </is>
      </c>
      <c r="I161" s="2" t="n">
        <v>46286</v>
      </c>
      <c r="J161" t="inlineStr">
        <is>
          <t>Disetujui</t>
        </is>
      </c>
      <c r="K161" t="n">
        <v>90</v>
      </c>
      <c r="L161" t="inlineStr">
        <is>
          <t>21 September 2026</t>
        </is>
      </c>
      <c r="M161" t="inlineStr">
        <is>
          <t>Konstruksi Gedung Perbelanjaan</t>
        </is>
      </c>
      <c r="N161" t="inlineStr">
        <is>
          <t>K</t>
        </is>
      </c>
      <c r="O161" t="inlineStr">
        <is>
          <t>20230921</t>
        </is>
      </c>
      <c r="P161" t="inlineStr">
        <is>
          <t>Jawa Timur</t>
        </is>
      </c>
      <c r="Q161" t="inlineStr"/>
    </row>
    <row r="162">
      <c r="A162" t="inlineStr">
        <is>
          <t>SIERA KALTIM KONSULINDO</t>
        </is>
      </c>
      <c r="B162" t="inlineStr">
        <is>
          <t>Kota Samarinda</t>
        </is>
      </c>
      <c r="C162" t="inlineStr">
        <is>
          <t>081250842264</t>
        </is>
      </c>
      <c r="D162" t="inlineStr">
        <is>
          <t>pt.sierakaltimkonsulindo@gmail.com</t>
        </is>
      </c>
      <c r="E162" t="inlineStr">
        <is>
          <t>https://lpjk.pu.go.id/search-badan-usaha-detail/MkZXMk0yUDNwdzZjSDVxaUdmNTBQdz09</t>
        </is>
      </c>
      <c r="F162" t="n">
        <v>1</v>
      </c>
      <c r="G162" t="inlineStr">
        <is>
          <t>RK003</t>
        </is>
      </c>
      <c r="H162" t="inlineStr">
        <is>
          <t>27 Januari 2007</t>
        </is>
      </c>
      <c r="I162" s="2" t="n">
        <v>46286</v>
      </c>
      <c r="J162" t="inlineStr">
        <is>
          <t>Disetujui</t>
        </is>
      </c>
      <c r="K162" t="n">
        <v>90</v>
      </c>
      <c r="L162" t="inlineStr">
        <is>
          <t>21 September 2026</t>
        </is>
      </c>
      <c r="M162" t="inlineStr">
        <is>
          <t>Jasa Rekayasa Pekerjaan Teknik Sipil Transportasi</t>
        </is>
      </c>
      <c r="N162" t="inlineStr">
        <is>
          <t>K</t>
        </is>
      </c>
      <c r="O162" t="inlineStr">
        <is>
          <t>20230918</t>
        </is>
      </c>
      <c r="P162" t="inlineStr">
        <is>
          <t>Kalimantan Timur</t>
        </is>
      </c>
      <c r="Q162" t="inlineStr"/>
    </row>
    <row r="163">
      <c r="A163" t="inlineStr">
        <is>
          <t>SIMPATIK KARYA MANDIRI</t>
        </is>
      </c>
      <c r="B163" t="inlineStr">
        <is>
          <t>Kab. Kudus</t>
        </is>
      </c>
      <c r="C163" t="inlineStr">
        <is>
          <t>02914251689</t>
        </is>
      </c>
      <c r="D163" t="inlineStr">
        <is>
          <t>simpatikkmcv88@gmail.com</t>
        </is>
      </c>
      <c r="E163" t="inlineStr">
        <is>
          <t>https://lpjk.pu.go.id/search-badan-usaha-detail/ajMvYlR2RERQR0txU3U1M294NnA0UT09</t>
        </is>
      </c>
      <c r="F163" t="n">
        <v>3</v>
      </c>
      <c r="G163" t="inlineStr">
        <is>
          <t>BG002, BG008, BG009</t>
        </is>
      </c>
      <c r="H163" t="inlineStr">
        <is>
          <t>10 Oktober 2006</t>
        </is>
      </c>
      <c r="I163" s="2" t="n">
        <v>46286</v>
      </c>
      <c r="J163" t="inlineStr">
        <is>
          <t>Disetujui</t>
        </is>
      </c>
      <c r="K163" t="n">
        <v>90</v>
      </c>
      <c r="L163" t="inlineStr">
        <is>
          <t>21 September 2026</t>
        </is>
      </c>
      <c r="M163" t="inlineStr">
        <is>
          <t>Konstruksi Gedung Lainnya, Konstruksi Gedung Perkantoran, Konstruksi Gedung Tempat Hiburan dan Olahraga</t>
        </is>
      </c>
      <c r="N163" t="inlineStr">
        <is>
          <t>K</t>
        </is>
      </c>
      <c r="O163" t="inlineStr">
        <is>
          <t>20230922</t>
        </is>
      </c>
      <c r="P163" t="inlineStr">
        <is>
          <t>Jawa Tengah</t>
        </is>
      </c>
      <c r="Q163" t="inlineStr"/>
    </row>
    <row r="164">
      <c r="A164" t="inlineStr">
        <is>
          <t>SINAR MAS</t>
        </is>
      </c>
      <c r="B164" t="inlineStr">
        <is>
          <t>Kab. Kepulauan Selayar</t>
        </is>
      </c>
      <c r="C164" t="inlineStr">
        <is>
          <t>081242887717</t>
        </is>
      </c>
      <c r="D164" t="inlineStr">
        <is>
          <t>cv.sinarmas71@gmail.com</t>
        </is>
      </c>
      <c r="E164" t="inlineStr">
        <is>
          <t>https://lpjk.pu.go.id/search-badan-usaha-detail/MnlGQTdJWktMeEg2RnI1RTdhN3UyUT09</t>
        </is>
      </c>
      <c r="F164" t="n">
        <v>2</v>
      </c>
      <c r="G164" t="inlineStr">
        <is>
          <t>BS004, BS010</t>
        </is>
      </c>
      <c r="H164" t="inlineStr">
        <is>
          <t>28 Mei 1998</t>
        </is>
      </c>
      <c r="I164" s="2" t="n">
        <v>46286</v>
      </c>
      <c r="J164" t="inlineStr">
        <is>
          <t>Disetujui</t>
        </is>
      </c>
      <c r="K164" t="n">
        <v>90</v>
      </c>
      <c r="L164" t="inlineStr">
        <is>
          <t>21 September 2026</t>
        </is>
      </c>
      <c r="M164" t="inlineStr">
        <is>
          <t>Konstruksi Bangunan Prasarana Sumber Daya Air, Konstruksi Jaringan Irigasi dan Drainase</t>
        </is>
      </c>
      <c r="N164" t="inlineStr">
        <is>
          <t>K</t>
        </is>
      </c>
      <c r="O164" t="inlineStr">
        <is>
          <t>20230918</t>
        </is>
      </c>
      <c r="P164" t="inlineStr">
        <is>
          <t>Sulawesi Selatan</t>
        </is>
      </c>
      <c r="Q164" t="inlineStr"/>
    </row>
    <row r="165">
      <c r="A165" t="inlineStr">
        <is>
          <t>SINAR NARENIM</t>
        </is>
      </c>
      <c r="B165" t="inlineStr">
        <is>
          <t>Kab. Manokwari</t>
        </is>
      </c>
      <c r="C165" t="inlineStr">
        <is>
          <t>082198247781</t>
        </is>
      </c>
      <c r="D165" t="inlineStr">
        <is>
          <t>cvnarenim@gmail.com</t>
        </is>
      </c>
      <c r="E165" t="inlineStr">
        <is>
          <t>https://lpjk.pu.go.id/search-badan-usaha-detail/L05rbDNBdTdCYXpKd0MyQ1FtWVVmUT09</t>
        </is>
      </c>
      <c r="F165" t="n">
        <v>1</v>
      </c>
      <c r="G165" t="inlineStr">
        <is>
          <t>BG006</t>
        </is>
      </c>
      <c r="H165" t="inlineStr">
        <is>
          <t>8 September 2021</t>
        </is>
      </c>
      <c r="I165" s="2" t="n">
        <v>46286</v>
      </c>
      <c r="J165" t="inlineStr">
        <is>
          <t>Pencabutan</t>
        </is>
      </c>
      <c r="K165" t="n">
        <v>90</v>
      </c>
      <c r="L165" t="inlineStr">
        <is>
          <t>21 September 2026</t>
        </is>
      </c>
      <c r="M165" t="inlineStr">
        <is>
          <t>Konstruksi Gedung Pendidikan</t>
        </is>
      </c>
      <c r="N165" t="inlineStr">
        <is>
          <t>K</t>
        </is>
      </c>
      <c r="O165" t="inlineStr">
        <is>
          <t>20230922</t>
        </is>
      </c>
      <c r="P165" t="inlineStr">
        <is>
          <t>Papua Barat</t>
        </is>
      </c>
      <c r="Q165" t="inlineStr"/>
    </row>
    <row r="166">
      <c r="A166" t="inlineStr">
        <is>
          <t>SUMBER BERKAH WIJAYA</t>
        </is>
      </c>
      <c r="B166" t="inlineStr">
        <is>
          <t>Kab. Lampung Selatan</t>
        </is>
      </c>
      <c r="C166" t="inlineStr">
        <is>
          <t>082373797658</t>
        </is>
      </c>
      <c r="D166" t="inlineStr">
        <is>
          <t>Sumberberkahwijaya50@gmail.com</t>
        </is>
      </c>
      <c r="E166" t="inlineStr">
        <is>
          <t>https://lpjk.pu.go.id/search-badan-usaha-detail/cXl0ZnFiVkxDQ0ZKRkZnd3dHdUlDUT09</t>
        </is>
      </c>
      <c r="F166" t="n">
        <v>4</v>
      </c>
      <c r="G166" t="inlineStr">
        <is>
          <t>BG002, BG006</t>
        </is>
      </c>
      <c r="H166" t="inlineStr">
        <is>
          <t>1 Januari 2018</t>
        </is>
      </c>
      <c r="I166" s="2" t="n">
        <v>46286</v>
      </c>
      <c r="J166" t="inlineStr">
        <is>
          <t>Disetujui</t>
        </is>
      </c>
      <c r="K166" t="n">
        <v>90</v>
      </c>
      <c r="L166" t="inlineStr">
        <is>
          <t>21 September 2026</t>
        </is>
      </c>
      <c r="M166" t="inlineStr">
        <is>
          <t>Konstruksi Gedung Pendidikan, Konstruksi Gedung Perkantoran</t>
        </is>
      </c>
      <c r="N166" t="inlineStr">
        <is>
          <t>K</t>
        </is>
      </c>
      <c r="O166" t="inlineStr">
        <is>
          <t>20230920</t>
        </is>
      </c>
      <c r="P166" t="inlineStr">
        <is>
          <t>Lampung</t>
        </is>
      </c>
      <c r="Q166" t="inlineStr"/>
    </row>
    <row r="167">
      <c r="A167" t="inlineStr">
        <is>
          <t>SUMBER HARAPAN JAYA</t>
        </is>
      </c>
      <c r="B167" t="inlineStr">
        <is>
          <t>Kab. Berau</t>
        </is>
      </c>
      <c r="C167" t="inlineStr">
        <is>
          <t>081346481985</t>
        </is>
      </c>
      <c r="D167" t="inlineStr">
        <is>
          <t>cv.shjberau64@gmail.com</t>
        </is>
      </c>
      <c r="E167" t="inlineStr">
        <is>
          <t>https://lpjk.pu.go.id/search-badan-usaha-detail/OElFTk0wUnE1Y0xtTDdTRXJrN1R0QT09</t>
        </is>
      </c>
      <c r="F167" t="n">
        <v>3</v>
      </c>
      <c r="G167" t="inlineStr">
        <is>
          <t>BG009, BS004, BS010</t>
        </is>
      </c>
      <c r="H167" t="inlineStr">
        <is>
          <t>1 November 1985</t>
        </is>
      </c>
      <c r="I167" s="2" t="n">
        <v>46286</v>
      </c>
      <c r="J167" t="inlineStr">
        <is>
          <t>Disetujui</t>
        </is>
      </c>
      <c r="K167" t="n">
        <v>90</v>
      </c>
      <c r="L167" t="inlineStr">
        <is>
          <t>21 September 2026</t>
        </is>
      </c>
      <c r="M167" t="inlineStr">
        <is>
          <t>Konstruksi Bangunan Prasarana Sumber Daya Air, Konstruksi Gedung Lainnya, Konstruksi Jaringan Irigasi dan Drainase</t>
        </is>
      </c>
      <c r="N167" t="inlineStr">
        <is>
          <t>K</t>
        </is>
      </c>
      <c r="O167" t="inlineStr">
        <is>
          <t>20230918, 20230919</t>
        </is>
      </c>
      <c r="P167" t="inlineStr">
        <is>
          <t>Kalimantan Timur</t>
        </is>
      </c>
      <c r="Q167" t="inlineStr"/>
    </row>
    <row r="168">
      <c r="A168" t="inlineStr">
        <is>
          <t>TATA BANGUN PRESISI</t>
        </is>
      </c>
      <c r="B168" t="inlineStr">
        <is>
          <t>Kab. Gowa</t>
        </is>
      </c>
      <c r="C168" t="inlineStr">
        <is>
          <t>081298879988</t>
        </is>
      </c>
      <c r="D168" t="inlineStr">
        <is>
          <t>tatabangunpresisi@gmail.com</t>
        </is>
      </c>
      <c r="E168" t="inlineStr">
        <is>
          <t>https://lpjk.pu.go.id/search-badan-usaha-detail/SWpGY21EUVh5cTNGQ3czSEw5akxKZz09</t>
        </is>
      </c>
      <c r="F168" t="n">
        <v>2</v>
      </c>
      <c r="G168" t="inlineStr">
        <is>
          <t>BG002</t>
        </is>
      </c>
      <c r="H168" t="inlineStr">
        <is>
          <t>6 Juli 2023</t>
        </is>
      </c>
      <c r="I168" s="2" t="n">
        <v>46286</v>
      </c>
      <c r="J168" t="inlineStr">
        <is>
          <t>Disetujui</t>
        </is>
      </c>
      <c r="K168" t="n">
        <v>90</v>
      </c>
      <c r="L168" t="inlineStr">
        <is>
          <t>21 September 2026</t>
        </is>
      </c>
      <c r="M168" t="inlineStr">
        <is>
          <t>Konstruksi Gedung Perkantoran</t>
        </is>
      </c>
      <c r="N168" t="inlineStr">
        <is>
          <t>K</t>
        </is>
      </c>
      <c r="O168" t="inlineStr">
        <is>
          <t>20230919</t>
        </is>
      </c>
      <c r="P168" t="inlineStr">
        <is>
          <t>Sulawesi Selatan</t>
        </is>
      </c>
      <c r="Q168" t="inlineStr"/>
    </row>
    <row r="169">
      <c r="A169" t="inlineStr">
        <is>
          <t>TIGA MANUNGGAL</t>
        </is>
      </c>
      <c r="B169" t="inlineStr">
        <is>
          <t>Kab. Kulon Progo</t>
        </is>
      </c>
      <c r="C169" t="inlineStr">
        <is>
          <t>087821922228</t>
        </is>
      </c>
      <c r="D169" t="inlineStr">
        <is>
          <t>manunggaltiga@gmail.com</t>
        </is>
      </c>
      <c r="E169" t="inlineStr">
        <is>
          <t>https://lpjk.pu.go.id/search-badan-usaha-detail/aXBlSXBQVzlOdTJIMndqc1ZoeWtOUT09</t>
        </is>
      </c>
      <c r="F169" t="n">
        <v>1</v>
      </c>
      <c r="G169" t="inlineStr">
        <is>
          <t>BS001</t>
        </is>
      </c>
      <c r="H169" t="inlineStr">
        <is>
          <t>30 Desember 2013</t>
        </is>
      </c>
      <c r="I169" s="2" t="n">
        <v>46286</v>
      </c>
      <c r="J169" t="inlineStr">
        <is>
          <t>Disetujui</t>
        </is>
      </c>
      <c r="K169" t="n">
        <v>90</v>
      </c>
      <c r="L169" t="inlineStr">
        <is>
          <t>21 September 2026</t>
        </is>
      </c>
      <c r="M169" t="inlineStr">
        <is>
          <t>Konstruksi Bangunan Sipil Jalan</t>
        </is>
      </c>
      <c r="N169" t="inlineStr">
        <is>
          <t>K</t>
        </is>
      </c>
      <c r="O169" t="inlineStr">
        <is>
          <t>20230920</t>
        </is>
      </c>
      <c r="P169" t="inlineStr">
        <is>
          <t>DI Yogyakarta</t>
        </is>
      </c>
      <c r="Q169" t="inlineStr"/>
    </row>
    <row r="170">
      <c r="A170" t="inlineStr">
        <is>
          <t>TIGA MUDA</t>
        </is>
      </c>
      <c r="B170" t="inlineStr">
        <is>
          <t>Kab. Kepulauan Selayar</t>
        </is>
      </c>
      <c r="C170" t="inlineStr">
        <is>
          <t>0811421130</t>
        </is>
      </c>
      <c r="D170" t="inlineStr">
        <is>
          <t>tigamudacv@gmail.com</t>
        </is>
      </c>
      <c r="E170" t="inlineStr">
        <is>
          <t>https://lpjk.pu.go.id/search-badan-usaha-detail/UUltblZHbW00aHRaWWZ0U1FnV3RzUT09</t>
        </is>
      </c>
      <c r="F170" t="n">
        <v>2</v>
      </c>
      <c r="G170" t="inlineStr">
        <is>
          <t>BS001, BS004</t>
        </is>
      </c>
      <c r="H170" t="inlineStr">
        <is>
          <t>16 Januari 2013</t>
        </is>
      </c>
      <c r="I170" s="2" t="n">
        <v>46286</v>
      </c>
      <c r="J170" t="inlineStr">
        <is>
          <t>Disetujui</t>
        </is>
      </c>
      <c r="K170" t="n">
        <v>90</v>
      </c>
      <c r="L170" t="inlineStr">
        <is>
          <t>21 September 2026</t>
        </is>
      </c>
      <c r="M170" t="inlineStr">
        <is>
          <t>Konstruksi Bangunan Sipil Jalan, Konstruksi Jaringan Irigasi dan Drainase</t>
        </is>
      </c>
      <c r="N170" t="inlineStr">
        <is>
          <t>K</t>
        </is>
      </c>
      <c r="O170" t="inlineStr">
        <is>
          <t>20230921</t>
        </is>
      </c>
      <c r="P170" t="inlineStr">
        <is>
          <t>Sulawesi Selatan</t>
        </is>
      </c>
      <c r="Q170" t="inlineStr"/>
    </row>
    <row r="171">
      <c r="A171" t="inlineStr">
        <is>
          <t>TIGA PUTRA MOPA</t>
        </is>
      </c>
      <c r="B171" t="inlineStr">
        <is>
          <t>Kab. Konawe Utara</t>
        </is>
      </c>
      <c r="C171" t="inlineStr">
        <is>
          <t>085255504011</t>
        </is>
      </c>
      <c r="D171" t="inlineStr">
        <is>
          <t>cv.tigaputramorpa@gmail.com</t>
        </is>
      </c>
      <c r="E171" t="inlineStr">
        <is>
          <t>https://lpjk.pu.go.id/search-badan-usaha-detail/R09TVU8vNExrMXpvS0h5YWlRZGZFdz09</t>
        </is>
      </c>
      <c r="F171" t="n">
        <v>1</v>
      </c>
      <c r="G171" t="inlineStr">
        <is>
          <t>BG001</t>
        </is>
      </c>
      <c r="H171" t="inlineStr">
        <is>
          <t>31 Maret 2023</t>
        </is>
      </c>
      <c r="I171" s="2" t="n">
        <v>46286</v>
      </c>
      <c r="J171" t="inlineStr">
        <is>
          <t>Disetujui</t>
        </is>
      </c>
      <c r="K171" t="n">
        <v>90</v>
      </c>
      <c r="L171" t="inlineStr">
        <is>
          <t>21 September 2026</t>
        </is>
      </c>
      <c r="M171" t="inlineStr">
        <is>
          <t>Konstruksi Gedung Hunian</t>
        </is>
      </c>
      <c r="N171" t="inlineStr">
        <is>
          <t>K</t>
        </is>
      </c>
      <c r="O171" t="inlineStr">
        <is>
          <t>20230918</t>
        </is>
      </c>
      <c r="P171" t="inlineStr">
        <is>
          <t>Sulawesi Tenggara</t>
        </is>
      </c>
      <c r="Q171" t="inlineStr"/>
    </row>
    <row r="172">
      <c r="A172" t="inlineStr">
        <is>
          <t>TIRTALAYA PUSAKA KARYA</t>
        </is>
      </c>
      <c r="B172" t="inlineStr">
        <is>
          <t>Kota Serang</t>
        </is>
      </c>
      <c r="C172" t="inlineStr">
        <is>
          <t>081316904883</t>
        </is>
      </c>
      <c r="D172" t="inlineStr">
        <is>
          <t>tirtalayapttirtalaya@gmail.com</t>
        </is>
      </c>
      <c r="E172" t="inlineStr">
        <is>
          <t>https://lpjk.pu.go.id/search-badan-usaha-detail/bm50Y0tidExnQTR0WTgrL3FXc2RQZz09</t>
        </is>
      </c>
      <c r="F172" t="n">
        <v>1</v>
      </c>
      <c r="G172" t="inlineStr">
        <is>
          <t>BS001</t>
        </is>
      </c>
      <c r="H172" t="inlineStr">
        <is>
          <t>9 November 2020</t>
        </is>
      </c>
      <c r="I172" s="2" t="n">
        <v>46286</v>
      </c>
      <c r="J172" t="inlineStr">
        <is>
          <t>Disetujui</t>
        </is>
      </c>
      <c r="K172" t="n">
        <v>90</v>
      </c>
      <c r="L172" t="inlineStr">
        <is>
          <t>21 September 2026</t>
        </is>
      </c>
      <c r="M172" t="inlineStr">
        <is>
          <t>Konstruksi Bangunan Sipil Jalan</t>
        </is>
      </c>
      <c r="N172" t="inlineStr">
        <is>
          <t>K</t>
        </is>
      </c>
      <c r="O172" t="inlineStr">
        <is>
          <t>20230919</t>
        </is>
      </c>
      <c r="P172" t="inlineStr">
        <is>
          <t>Banten</t>
        </is>
      </c>
      <c r="Q172" t="inlineStr"/>
    </row>
    <row r="173">
      <c r="A173" t="inlineStr">
        <is>
          <t>TOTAL DAYA UTAMA</t>
        </is>
      </c>
      <c r="B173" t="inlineStr">
        <is>
          <t>Kab. Sumedang</t>
        </is>
      </c>
      <c r="C173" t="inlineStr">
        <is>
          <t>0816737145</t>
        </is>
      </c>
      <c r="D173" t="inlineStr">
        <is>
          <t>total.dayautama@gmail.com</t>
        </is>
      </c>
      <c r="E173" t="inlineStr">
        <is>
          <t>https://lpjk.pu.go.id/search-badan-usaha-detail/bWtRUmU5T1pCRG1NWDBmS2lqcTVTZ0NGMWYwOGNXN1AxSUpYclJXOFpTcz0</t>
        </is>
      </c>
      <c r="F173" t="n">
        <v>1</v>
      </c>
      <c r="G173" t="inlineStr">
        <is>
          <t>BG009</t>
        </is>
      </c>
      <c r="H173" t="inlineStr">
        <is>
          <t>25 Mei 2022</t>
        </is>
      </c>
      <c r="I173" s="2" t="n">
        <v>46286</v>
      </c>
      <c r="J173" t="inlineStr">
        <is>
          <t>Disetujui</t>
        </is>
      </c>
      <c r="K173" t="n">
        <v>90</v>
      </c>
      <c r="L173" t="inlineStr">
        <is>
          <t>21 September 2026</t>
        </is>
      </c>
      <c r="M173" t="inlineStr">
        <is>
          <t>Konstruksi Gedung Lainnya</t>
        </is>
      </c>
      <c r="N173" t="inlineStr">
        <is>
          <t>K</t>
        </is>
      </c>
      <c r="O173" t="inlineStr">
        <is>
          <t>20230920</t>
        </is>
      </c>
      <c r="P173" t="inlineStr">
        <is>
          <t>Jawa Barat</t>
        </is>
      </c>
      <c r="Q173" t="inlineStr"/>
    </row>
    <row r="174">
      <c r="A174" t="inlineStr">
        <is>
          <t>TRANS MULTITECH UTAMA</t>
        </is>
      </c>
      <c r="B174" t="inlineStr">
        <is>
          <t>Kab. Sumbawa Barat</t>
        </is>
      </c>
      <c r="C174" t="inlineStr">
        <is>
          <t>08113999629</t>
        </is>
      </c>
      <c r="D174" t="inlineStr">
        <is>
          <t>customer.service@pttmu.co.id</t>
        </is>
      </c>
      <c r="E174" t="inlineStr">
        <is>
          <t>https://lpjk.pu.go.id/search-badan-usaha-detail/S21USS9kQndzR1J2WklGTCtSRWRSQT09</t>
        </is>
      </c>
      <c r="F174" t="n">
        <v>4</v>
      </c>
      <c r="G174" t="inlineStr">
        <is>
          <t>BG003, BG009</t>
        </is>
      </c>
      <c r="H174" t="inlineStr">
        <is>
          <t>4 Januari 2019</t>
        </is>
      </c>
      <c r="I174" s="2" t="n">
        <v>46286</v>
      </c>
      <c r="J174" t="inlineStr">
        <is>
          <t>Disetujui</t>
        </is>
      </c>
      <c r="K174" t="n">
        <v>90</v>
      </c>
      <c r="L174" t="inlineStr">
        <is>
          <t>21 September 2026</t>
        </is>
      </c>
      <c r="M174" t="inlineStr">
        <is>
          <t>Konstruksi Gedung Industri, Konstruksi Gedung Lainnya</t>
        </is>
      </c>
      <c r="N174" t="inlineStr">
        <is>
          <t>K</t>
        </is>
      </c>
      <c r="O174" t="inlineStr">
        <is>
          <t>20230912, 20230913</t>
        </is>
      </c>
      <c r="P174" t="inlineStr">
        <is>
          <t>Nusa Tenggara Barat</t>
        </is>
      </c>
      <c r="Q174" t="inlineStr"/>
    </row>
    <row r="175">
      <c r="A175" t="inlineStr">
        <is>
          <t>TRI MANUNGGAL SATYA</t>
        </is>
      </c>
      <c r="B175" t="inlineStr">
        <is>
          <t>Kab. Lombok Barat</t>
        </is>
      </c>
      <c r="C175" t="inlineStr">
        <is>
          <t>081937045257</t>
        </is>
      </c>
      <c r="D175" t="inlineStr">
        <is>
          <t>trimas3@yahoo.com</t>
        </is>
      </c>
      <c r="E175" t="inlineStr">
        <is>
          <t>https://lpjk.pu.go.id/search-badan-usaha-detail/aklqV2p0dlVUQUVlSStKbm5YeGJVdz09</t>
        </is>
      </c>
      <c r="F175" t="n">
        <v>1</v>
      </c>
      <c r="G175" t="inlineStr">
        <is>
          <t>BG006</t>
        </is>
      </c>
      <c r="H175" t="inlineStr">
        <is>
          <t>3 Maret 2020</t>
        </is>
      </c>
      <c r="I175" s="2" t="n">
        <v>46286</v>
      </c>
      <c r="J175" t="inlineStr">
        <is>
          <t>Disetujui</t>
        </is>
      </c>
      <c r="K175" t="n">
        <v>90</v>
      </c>
      <c r="L175" t="inlineStr">
        <is>
          <t>21 September 2026</t>
        </is>
      </c>
      <c r="M175" t="inlineStr">
        <is>
          <t>Konstruksi Gedung Pendidikan</t>
        </is>
      </c>
      <c r="N175" t="inlineStr">
        <is>
          <t>K</t>
        </is>
      </c>
      <c r="O175" t="inlineStr">
        <is>
          <t>20230921</t>
        </is>
      </c>
      <c r="P175" t="inlineStr">
        <is>
          <t>Nusa Tenggara Barat</t>
        </is>
      </c>
      <c r="Q175" t="inlineStr"/>
    </row>
    <row r="176">
      <c r="A176" t="inlineStr">
        <is>
          <t>TUNAS SUKSES JAYA</t>
        </is>
      </c>
      <c r="B176" t="inlineStr">
        <is>
          <t>Kota Batam</t>
        </is>
      </c>
      <c r="C176" t="inlineStr">
        <is>
          <t>0778432316</t>
        </is>
      </c>
      <c r="D176" t="inlineStr">
        <is>
          <t>tsj.1975888@gmail.com</t>
        </is>
      </c>
      <c r="E176" t="inlineStr">
        <is>
          <t>https://lpjk.pu.go.id/search-badan-usaha-detail/SGdFcXI0RWYyZWtjM0hSSmdzL3didz09</t>
        </is>
      </c>
      <c r="F176" t="n">
        <v>4</v>
      </c>
      <c r="G176" t="inlineStr">
        <is>
          <t>BG001, BG009, BS001, BS004</t>
        </is>
      </c>
      <c r="H176" t="inlineStr">
        <is>
          <t>15 Januari 2001</t>
        </is>
      </c>
      <c r="I176" s="2" t="n">
        <v>46286</v>
      </c>
      <c r="J176" t="inlineStr">
        <is>
          <t>Pencabutan</t>
        </is>
      </c>
      <c r="K176" t="n">
        <v>90</v>
      </c>
      <c r="L176" t="inlineStr">
        <is>
          <t>21 September 2026</t>
        </is>
      </c>
      <c r="M176" t="inlineStr">
        <is>
          <t>Konstruksi Bangunan Sipil Jalan, Konstruksi Gedung Hunian, Konstruksi Gedung Lainnya, Konstruksi Jaringan Irigasi dan Drainase</t>
        </is>
      </c>
      <c r="N176" t="inlineStr">
        <is>
          <t>K</t>
        </is>
      </c>
      <c r="O176" t="inlineStr">
        <is>
          <t>20230921</t>
        </is>
      </c>
      <c r="P176" t="inlineStr">
        <is>
          <t>Kepulauan Riau</t>
        </is>
      </c>
      <c r="Q176" t="inlineStr"/>
    </row>
    <row r="177">
      <c r="A177" t="inlineStr">
        <is>
          <t>UNGGUL BUANA</t>
        </is>
      </c>
      <c r="B177" t="inlineStr">
        <is>
          <t>Kab. Purwakarta</t>
        </is>
      </c>
      <c r="C177" t="inlineStr">
        <is>
          <t>087879716066</t>
        </is>
      </c>
      <c r="D177" t="inlineStr">
        <is>
          <t>unggulbuana@hotmail.com</t>
        </is>
      </c>
      <c r="E177" t="inlineStr">
        <is>
          <t>https://lpjk.pu.go.id/search-badan-usaha-detail/Z0R0b1RZQmhuWnpwdTV2Qzc0OU1xZz09</t>
        </is>
      </c>
      <c r="F177" t="n">
        <v>2</v>
      </c>
      <c r="G177" t="inlineStr">
        <is>
          <t>BG006, BS004</t>
        </is>
      </c>
      <c r="H177" t="inlineStr">
        <is>
          <t>12 November 2018</t>
        </is>
      </c>
      <c r="I177" s="2" t="n">
        <v>46286</v>
      </c>
      <c r="J177" t="inlineStr">
        <is>
          <t>Disetujui</t>
        </is>
      </c>
      <c r="K177" t="n">
        <v>90</v>
      </c>
      <c r="L177" t="inlineStr">
        <is>
          <t>21 September 2026</t>
        </is>
      </c>
      <c r="M177" t="inlineStr">
        <is>
          <t>Konstruksi Gedung Pendidikan, Konstruksi Jaringan Irigasi dan Drainase</t>
        </is>
      </c>
      <c r="N177" t="inlineStr">
        <is>
          <t>K</t>
        </is>
      </c>
      <c r="O177" t="inlineStr">
        <is>
          <t>20230912</t>
        </is>
      </c>
      <c r="P177" t="inlineStr">
        <is>
          <t>Jawa Barat</t>
        </is>
      </c>
      <c r="Q177" t="inlineStr"/>
    </row>
    <row r="178">
      <c r="A178" t="inlineStr">
        <is>
          <t>VIDYA KARYA PERSADA</t>
        </is>
      </c>
      <c r="B178" t="inlineStr">
        <is>
          <t>Kota Surabaya</t>
        </is>
      </c>
      <c r="C178" t="inlineStr">
        <is>
          <t>0315317561</t>
        </is>
      </c>
      <c r="D178" t="inlineStr">
        <is>
          <t>vidyakarya.persada@yahoo.com</t>
        </is>
      </c>
      <c r="E178" t="inlineStr">
        <is>
          <t>https://lpjk.pu.go.id/search-badan-usaha-detail/QTJ4aTJhWlhQVCt3bExZQ0huNkJxZz09</t>
        </is>
      </c>
      <c r="F178" t="n">
        <v>1</v>
      </c>
      <c r="G178" t="inlineStr">
        <is>
          <t>BG001</t>
        </is>
      </c>
      <c r="H178" t="inlineStr">
        <is>
          <t>2 September 1992</t>
        </is>
      </c>
      <c r="I178" s="2" t="n">
        <v>46286</v>
      </c>
      <c r="J178" t="inlineStr">
        <is>
          <t>Disetujui</t>
        </is>
      </c>
      <c r="K178" t="n">
        <v>90</v>
      </c>
      <c r="L178" t="inlineStr">
        <is>
          <t>21 September 2026</t>
        </is>
      </c>
      <c r="M178" t="inlineStr">
        <is>
          <t>Konstruksi Gedung Hunian</t>
        </is>
      </c>
      <c r="N178" t="inlineStr">
        <is>
          <t>K</t>
        </is>
      </c>
      <c r="O178" t="inlineStr">
        <is>
          <t>20230914</t>
        </is>
      </c>
      <c r="P178" t="inlineStr">
        <is>
          <t>Jawa Timur</t>
        </is>
      </c>
      <c r="Q178" t="inlineStr"/>
    </row>
    <row r="179">
      <c r="A179" t="inlineStr">
        <is>
          <t>WAHANA DAYA KARSA</t>
        </is>
      </c>
      <c r="B179" t="inlineStr">
        <is>
          <t>Kab. Sidoarjo</t>
        </is>
      </c>
      <c r="C179" t="inlineStr">
        <is>
          <t>0318947705</t>
        </is>
      </c>
      <c r="D179" t="inlineStr">
        <is>
          <t>ptwdk.sby@gmail.com</t>
        </is>
      </c>
      <c r="E179" t="inlineStr">
        <is>
          <t>https://lpjk.pu.go.id/search-badan-usaha-detail/VWFzbTB4SVUreENlWkVOc052YW5GZz09</t>
        </is>
      </c>
      <c r="F179" t="n">
        <v>1</v>
      </c>
      <c r="G179" t="inlineStr">
        <is>
          <t>BG003</t>
        </is>
      </c>
      <c r="H179" t="inlineStr">
        <is>
          <t>2 April 2011</t>
        </is>
      </c>
      <c r="I179" s="2" t="n">
        <v>46286</v>
      </c>
      <c r="J179" t="inlineStr">
        <is>
          <t>Disetujui</t>
        </is>
      </c>
      <c r="K179" t="n">
        <v>90</v>
      </c>
      <c r="L179" t="inlineStr">
        <is>
          <t>21 September 2026</t>
        </is>
      </c>
      <c r="M179" t="inlineStr">
        <is>
          <t>Konstruksi Gedung Industri</t>
        </is>
      </c>
      <c r="N179" t="inlineStr">
        <is>
          <t>K</t>
        </is>
      </c>
      <c r="O179" t="inlineStr">
        <is>
          <t>20230921</t>
        </is>
      </c>
      <c r="P179" t="inlineStr">
        <is>
          <t>Jawa Timur</t>
        </is>
      </c>
      <c r="Q179" t="inlineStr"/>
    </row>
    <row r="180">
      <c r="A180" t="inlineStr">
        <is>
          <t>WATU WESI RAYA</t>
        </is>
      </c>
      <c r="B180" t="inlineStr">
        <is>
          <t>Kab. Klungkung</t>
        </is>
      </c>
      <c r="C180" t="inlineStr">
        <is>
          <t>081339410250</t>
        </is>
      </c>
      <c r="D180" t="inlineStr">
        <is>
          <t>cv.watuwesiraya23@gmail.com</t>
        </is>
      </c>
      <c r="E180" t="inlineStr">
        <is>
          <t>https://lpjk.pu.go.id/search-badan-usaha-detail/TCt1OHdCM2pJYTBEaWpETzZ1R0ZkZz09</t>
        </is>
      </c>
      <c r="F180" t="n">
        <v>1</v>
      </c>
      <c r="G180" t="inlineStr">
        <is>
          <t>BG002</t>
        </is>
      </c>
      <c r="H180" t="inlineStr">
        <is>
          <t>17 Juli 2023</t>
        </is>
      </c>
      <c r="I180" s="2" t="n">
        <v>46286</v>
      </c>
      <c r="J180" t="inlineStr">
        <is>
          <t>Disetujui</t>
        </is>
      </c>
      <c r="K180" t="n">
        <v>90</v>
      </c>
      <c r="L180" t="inlineStr">
        <is>
          <t>21 September 2026</t>
        </is>
      </c>
      <c r="M180" t="inlineStr">
        <is>
          <t>Konstruksi Gedung Perkantoran</t>
        </is>
      </c>
      <c r="N180" t="inlineStr">
        <is>
          <t>K</t>
        </is>
      </c>
      <c r="O180" t="inlineStr">
        <is>
          <t>20230919</t>
        </is>
      </c>
      <c r="P180" t="inlineStr">
        <is>
          <t>Bali</t>
        </is>
      </c>
      <c r="Q180" t="inlineStr"/>
    </row>
    <row r="181">
      <c r="A181" t="inlineStr">
        <is>
          <t>WIRA KARYA</t>
        </is>
      </c>
      <c r="B181" t="inlineStr">
        <is>
          <t>Kab. Ketapang</t>
        </is>
      </c>
      <c r="C181" t="inlineStr">
        <is>
          <t>085348581277</t>
        </is>
      </c>
      <c r="D181" t="inlineStr">
        <is>
          <t>wirakarya.ktpg@gmail.com</t>
        </is>
      </c>
      <c r="E181" t="inlineStr">
        <is>
          <t>https://lpjk.pu.go.id/search-badan-usaha-detail/bzNkK0ZxSGtvb2MxZ1hQcFQwc0VmUT09</t>
        </is>
      </c>
      <c r="F181" t="n">
        <v>2</v>
      </c>
      <c r="G181" t="inlineStr">
        <is>
          <t>BG008, BG009</t>
        </is>
      </c>
      <c r="H181" t="inlineStr">
        <is>
          <t>3 Mei 2016</t>
        </is>
      </c>
      <c r="I181" s="2" t="n">
        <v>46286</v>
      </c>
      <c r="J181" t="inlineStr">
        <is>
          <t>Disetujui</t>
        </is>
      </c>
      <c r="K181" t="n">
        <v>90</v>
      </c>
      <c r="L181" t="inlineStr">
        <is>
          <t>21 September 2026</t>
        </is>
      </c>
      <c r="M181" t="inlineStr">
        <is>
          <t>Konstruksi Gedung Lainnya, Konstruksi Gedung Tempat Hiburan dan Olahraga</t>
        </is>
      </c>
      <c r="N181" t="inlineStr">
        <is>
          <t>K</t>
        </is>
      </c>
      <c r="O181" t="inlineStr">
        <is>
          <t>20230919</t>
        </is>
      </c>
      <c r="P181" t="inlineStr">
        <is>
          <t>Kalimantan Barat</t>
        </is>
      </c>
      <c r="Q181" t="inlineStr"/>
    </row>
    <row r="182">
      <c r="A182" t="inlineStr">
        <is>
          <t>WULANDARI</t>
        </is>
      </c>
      <c r="B182" t="inlineStr">
        <is>
          <t>Kab. Langkat</t>
        </is>
      </c>
      <c r="C182" t="inlineStr">
        <is>
          <t>085261554321</t>
        </is>
      </c>
      <c r="D182" t="inlineStr">
        <is>
          <t>cvwulandari922@gmail.com</t>
        </is>
      </c>
      <c r="E182" t="inlineStr">
        <is>
          <t>https://lpjk.pu.go.id/search-badan-usaha-detail/dkRRTG1lM2o5UG9OM1VqZU1FOUIydz09</t>
        </is>
      </c>
      <c r="F182" t="n">
        <v>6</v>
      </c>
      <c r="G182" t="inlineStr">
        <is>
          <t>BG005, BG006</t>
        </is>
      </c>
      <c r="H182" t="inlineStr">
        <is>
          <t>20 April 2009</t>
        </is>
      </c>
      <c r="I182" s="2" t="n">
        <v>46286</v>
      </c>
      <c r="J182" t="inlineStr">
        <is>
          <t>Disetujui</t>
        </is>
      </c>
      <c r="K182" t="n">
        <v>90</v>
      </c>
      <c r="L182" t="inlineStr">
        <is>
          <t>21 September 2026</t>
        </is>
      </c>
      <c r="M182" t="inlineStr">
        <is>
          <t>Konstruksi Gedung Kesehatan, Konstruksi Gedung Pendidikan</t>
        </is>
      </c>
      <c r="N182" t="inlineStr">
        <is>
          <t>K</t>
        </is>
      </c>
      <c r="O182" t="inlineStr">
        <is>
          <t>20230921</t>
        </is>
      </c>
      <c r="P182" t="inlineStr">
        <is>
          <t>Sumatera Utara</t>
        </is>
      </c>
      <c r="Q182" t="inlineStr"/>
    </row>
    <row r="183">
      <c r="A183" t="inlineStr">
        <is>
          <t>YUMAR MUSTIKA JAYA</t>
        </is>
      </c>
      <c r="B183" t="inlineStr">
        <is>
          <t>Kota Balikpapan</t>
        </is>
      </c>
      <c r="C183" t="inlineStr">
        <is>
          <t>085752915351</t>
        </is>
      </c>
      <c r="D183" t="inlineStr">
        <is>
          <t>yumarmustikajaya@gmail.com</t>
        </is>
      </c>
      <c r="E183" t="inlineStr">
        <is>
          <t>https://lpjk.pu.go.id/search-badan-usaha-detail/RmZ1N0tYN2N5ZGNrN1pUeTFUd2hZUT09</t>
        </is>
      </c>
      <c r="F183" t="n">
        <v>3</v>
      </c>
      <c r="G183" t="inlineStr">
        <is>
          <t>BG001, BG006, BG009</t>
        </is>
      </c>
      <c r="H183" t="inlineStr">
        <is>
          <t>7 Juni 2023</t>
        </is>
      </c>
      <c r="I183" s="2" t="n">
        <v>46286</v>
      </c>
      <c r="J183" t="inlineStr">
        <is>
          <t>Disetujui</t>
        </is>
      </c>
      <c r="K183" t="n">
        <v>90</v>
      </c>
      <c r="L183" t="inlineStr">
        <is>
          <t>21 September 2026</t>
        </is>
      </c>
      <c r="M183" t="inlineStr">
        <is>
          <t>Konstruksi Gedung Hunian, Konstruksi Gedung Lainnya, Konstruksi Gedung Pendidikan</t>
        </is>
      </c>
      <c r="N183" t="inlineStr">
        <is>
          <t>K</t>
        </is>
      </c>
      <c r="O183" t="inlineStr">
        <is>
          <t>20230920</t>
        </is>
      </c>
      <c r="P183" t="inlineStr">
        <is>
          <t>Kalimantan Timur</t>
        </is>
      </c>
      <c r="Q18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1"/>
  <sheetViews>
    <sheetView workbookViewId="0">
      <selection activeCell="A1" sqref="A1"/>
    </sheetView>
  </sheetViews>
  <sheetFormatPr baseColWidth="8" defaultRowHeight="15"/>
  <cols>
    <col width="38" customWidth="1" min="1" max="1"/>
    <col width="27" customWidth="1" min="2" max="2"/>
    <col width="15" customWidth="1" min="3" max="3"/>
    <col width="39"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2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ADHIKARYA TEKNIK PERKASA</t>
        </is>
      </c>
      <c r="B2" t="inlineStr">
        <is>
          <t>Kota Adm. Jakarta Timur</t>
        </is>
      </c>
      <c r="C2" t="inlineStr">
        <is>
          <t>0214890787</t>
        </is>
      </c>
      <c r="D2" t="inlineStr">
        <is>
          <t>adhikarya_perkasa@yahoo.com</t>
        </is>
      </c>
      <c r="E2" t="inlineStr">
        <is>
          <t>https://lpjk.pu.go.id/search-badan-usaha-detail/bnd2RE9mdkp5UE5QK2NkTk5Yd1J3Zz09</t>
        </is>
      </c>
      <c r="F2" t="n">
        <v>3</v>
      </c>
      <c r="G2" t="inlineStr">
        <is>
          <t>BG002</t>
        </is>
      </c>
      <c r="H2" t="inlineStr">
        <is>
          <t>21 November 2003</t>
        </is>
      </c>
      <c r="I2" s="2" t="n">
        <v>46256</v>
      </c>
      <c r="J2" t="inlineStr">
        <is>
          <t>Disetujui</t>
        </is>
      </c>
      <c r="K2" t="n">
        <v>60</v>
      </c>
      <c r="L2" t="inlineStr">
        <is>
          <t>22 Agustus 2026</t>
        </is>
      </c>
      <c r="M2" t="inlineStr">
        <is>
          <t>Konstruksi Gedung Perkantoran</t>
        </is>
      </c>
      <c r="N2" t="inlineStr">
        <is>
          <t>M</t>
        </is>
      </c>
      <c r="O2" t="inlineStr">
        <is>
          <t>20230623</t>
        </is>
      </c>
      <c r="P2" t="inlineStr">
        <is>
          <t>DKI Jakarta</t>
        </is>
      </c>
      <c r="Q2" t="inlineStr"/>
    </row>
    <row r="3">
      <c r="A3" t="inlineStr">
        <is>
          <t>BRANTAS KONSULTAN INDONESIA</t>
        </is>
      </c>
      <c r="B3" t="inlineStr">
        <is>
          <t>Kab. Bogor</t>
        </is>
      </c>
      <c r="C3" t="inlineStr">
        <is>
          <t>082157195925</t>
        </is>
      </c>
      <c r="D3" t="inlineStr">
        <is>
          <t>ptbrantaskonsultanindonesia@gmail.com</t>
        </is>
      </c>
      <c r="E3" t="inlineStr">
        <is>
          <t>https://lpjk.pu.go.id/search-badan-usaha-detail/L3liVm42MTlJWmVtNHY0NEtpQzlMZz09</t>
        </is>
      </c>
      <c r="F3" t="n">
        <v>1</v>
      </c>
      <c r="G3" t="inlineStr">
        <is>
          <t>AT001</t>
        </is>
      </c>
      <c r="H3" t="inlineStr">
        <is>
          <t>2 November 2021</t>
        </is>
      </c>
      <c r="I3" s="2" t="n">
        <v>46256</v>
      </c>
      <c r="J3" t="inlineStr">
        <is>
          <t>Pencabutan</t>
        </is>
      </c>
      <c r="K3" t="n">
        <v>60</v>
      </c>
      <c r="L3" t="inlineStr">
        <is>
          <t>22 Agustus 2026</t>
        </is>
      </c>
      <c r="M3" t="inlineStr">
        <is>
          <t>Jasa Pengujian dan Analisis Teknis Geologi, Geofisika dan Geokimia</t>
        </is>
      </c>
      <c r="N3" t="inlineStr">
        <is>
          <t>Spesialis</t>
        </is>
      </c>
      <c r="O3" t="inlineStr">
        <is>
          <t>20230815</t>
        </is>
      </c>
      <c r="P3" t="inlineStr">
        <is>
          <t>Jawa Barat</t>
        </is>
      </c>
      <c r="Q3" s="3">
        <f>HYPERLINK("https://wa.me/6282157195925?text=*[PENGINGAT MASA BERLAKU SBU BRANTAS KONSULTAN INDONESIA]*%0A%0AYth. Pimpinan BRANTAS KONSULTAN INDONESIA,%0AMohon izin menginformasikan status SBU Anda di sistem LPJK:%0A%0A📄 SBU: AT001%0A📅 Expired: 22 Agustus 2026 (60 Hari Lagi)%0A%0AKami tim PT. ESDEA Assistance Management siap men-support proses perpanjangan segera agar administrasi proyek tidak terhambat%0A%0AApakah boleh saya bantu siapkan estimasi biaya dan waktu pengerjaannya?.", "Hubungi")</f>
        <v/>
      </c>
    </row>
    <row r="4">
      <c r="A4" t="inlineStr">
        <is>
          <t>DUA PUTRA INTERINDO</t>
        </is>
      </c>
      <c r="B4" t="inlineStr">
        <is>
          <t>Kota Bekasi</t>
        </is>
      </c>
      <c r="C4" t="inlineStr">
        <is>
          <t>02122988585</t>
        </is>
      </c>
      <c r="D4" t="inlineStr">
        <is>
          <t>pt.duaputra18@gmail.com</t>
        </is>
      </c>
      <c r="E4" t="inlineStr">
        <is>
          <t>https://lpjk.pu.go.id/search-badan-usaha-detail/SmtQL2NML3lMb05CYXkvMTlMQWtzQT09</t>
        </is>
      </c>
      <c r="F4" t="n">
        <v>1</v>
      </c>
      <c r="G4" t="inlineStr">
        <is>
          <t>BG009</t>
        </is>
      </c>
      <c r="H4" t="inlineStr">
        <is>
          <t>12 Maret 2016</t>
        </is>
      </c>
      <c r="I4" s="2" t="n">
        <v>46256</v>
      </c>
      <c r="J4" t="inlineStr">
        <is>
          <t>Disetujui</t>
        </is>
      </c>
      <c r="K4" t="n">
        <v>60</v>
      </c>
      <c r="L4" t="inlineStr">
        <is>
          <t>22 Agustus 2026</t>
        </is>
      </c>
      <c r="M4" t="inlineStr">
        <is>
          <t>Konstruksi Gedung Lainnya</t>
        </is>
      </c>
      <c r="N4" t="inlineStr">
        <is>
          <t>K</t>
        </is>
      </c>
      <c r="O4" t="inlineStr">
        <is>
          <t>20230728</t>
        </is>
      </c>
      <c r="P4" t="inlineStr">
        <is>
          <t>Jawa Barat</t>
        </is>
      </c>
      <c r="Q4" t="inlineStr"/>
    </row>
    <row r="5">
      <c r="A5" t="inlineStr">
        <is>
          <t>KARYA GEMILANG ANDI</t>
        </is>
      </c>
      <c r="B5" t="inlineStr">
        <is>
          <t>Kab. Bekasi</t>
        </is>
      </c>
      <c r="C5" t="inlineStr">
        <is>
          <t>081281491170</t>
        </is>
      </c>
      <c r="D5" t="inlineStr">
        <is>
          <t>uninrangkuti@yahoo.co.id</t>
        </is>
      </c>
      <c r="E5" t="inlineStr">
        <is>
          <t>https://lpjk.pu.go.id/search-badan-usaha-detail/cWZEZkxiMXE4V05meEhzbUJHaWJLQT09</t>
        </is>
      </c>
      <c r="F5" t="n">
        <v>1</v>
      </c>
      <c r="G5" t="inlineStr">
        <is>
          <t>BS010</t>
        </is>
      </c>
      <c r="H5" t="inlineStr">
        <is>
          <t>7 Oktober 2003</t>
        </is>
      </c>
      <c r="I5" s="2" t="n">
        <v>46256</v>
      </c>
      <c r="J5" t="inlineStr">
        <is>
          <t>Disetujui</t>
        </is>
      </c>
      <c r="K5" t="n">
        <v>60</v>
      </c>
      <c r="L5" t="inlineStr">
        <is>
          <t>22 Agustus 2026</t>
        </is>
      </c>
      <c r="M5" t="inlineStr">
        <is>
          <t>Konstruksi Bangunan Prasarana Sumber Daya Air</t>
        </is>
      </c>
      <c r="N5" t="inlineStr">
        <is>
          <t>K</t>
        </is>
      </c>
      <c r="O5" t="inlineStr">
        <is>
          <t>20230815</t>
        </is>
      </c>
      <c r="P5" t="inlineStr">
        <is>
          <t>Jawa Barat</t>
        </is>
      </c>
      <c r="Q5" s="3">
        <f>HYPERLINK("https://wa.me/6281281491170?text=*[PENGINGAT MASA BERLAKU SBU KARYA GEMILANG ANDI]*%0A%0AYth. Pimpinan KARYA GEMILANG ANDI,%0AMohon izin menginformasikan status SBU Anda di sistem LPJK:%0A%0A📄 SBU: BS010%0A📅 Expired: 22 Agustus 2026 (60 Hari Lagi)%0A%0AKami tim PT. ESDEA Assistance Management siap men-support proses perpanjangan segera agar administrasi proyek tidak terhambat%0A%0AApakah boleh saya bantu siapkan estimasi biaya dan waktu pengerjaannya?.", "Hubungi")</f>
        <v/>
      </c>
    </row>
    <row r="6">
      <c r="A6" t="inlineStr">
        <is>
          <t>KEIFEL ANUGERAH MANDIRI</t>
        </is>
      </c>
      <c r="B6" t="inlineStr">
        <is>
          <t>Kab. Bekasi</t>
        </is>
      </c>
      <c r="C6" t="inlineStr">
        <is>
          <t>081210482877</t>
        </is>
      </c>
      <c r="D6" t="inlineStr">
        <is>
          <t>keifelanugerahabadi91@yahoo.com</t>
        </is>
      </c>
      <c r="E6" t="inlineStr">
        <is>
          <t>https://lpjk.pu.go.id/search-badan-usaha-detail/b29BWFY0Mjc4YVBOekRUcGpTd1M3UT09</t>
        </is>
      </c>
      <c r="F6" t="n">
        <v>1</v>
      </c>
      <c r="G6" t="inlineStr">
        <is>
          <t>BS004</t>
        </is>
      </c>
      <c r="H6" t="inlineStr">
        <is>
          <t>14 Februari 2023</t>
        </is>
      </c>
      <c r="I6" s="2" t="n">
        <v>46256</v>
      </c>
      <c r="J6" t="inlineStr">
        <is>
          <t>Disetujui</t>
        </is>
      </c>
      <c r="K6" t="n">
        <v>60</v>
      </c>
      <c r="L6" t="inlineStr">
        <is>
          <t>22 Agustus 2026</t>
        </is>
      </c>
      <c r="M6" t="inlineStr">
        <is>
          <t>Konstruksi Jaringan Irigasi dan Drainase</t>
        </is>
      </c>
      <c r="N6" t="inlineStr">
        <is>
          <t>K</t>
        </is>
      </c>
      <c r="O6" t="inlineStr">
        <is>
          <t>20230818</t>
        </is>
      </c>
      <c r="P6" t="inlineStr">
        <is>
          <t>Jawa Barat</t>
        </is>
      </c>
      <c r="Q6" s="3">
        <f>HYPERLINK("https://wa.me/6281210482877?text=*[PENGINGAT MASA BERLAKU SBU KEIFEL ANUGERAH MANDIRI]*%0A%0AYth. Pimpinan KEIFEL ANUGERAH MANDIRI,%0AMohon izin menginformasikan status SBU Anda di sistem LPJK:%0A%0A📄 SBU: BS004%0A📅 Expired: 22 Agustus 2026 (60 Hari Lagi)%0A%0AKami tim PT. ESDEA Assistance Management siap men-support proses perpanjangan segera agar administrasi proyek tidak terhambat%0A%0AApakah boleh saya bantu siapkan estimasi biaya dan waktu pengerjaannya?.", "Hubungi")</f>
        <v/>
      </c>
    </row>
    <row r="7">
      <c r="A7" t="inlineStr">
        <is>
          <t>LINTONG DITAO</t>
        </is>
      </c>
      <c r="B7" t="inlineStr">
        <is>
          <t>Kota Depok</t>
        </is>
      </c>
      <c r="C7" t="inlineStr">
        <is>
          <t>081292586812</t>
        </is>
      </c>
      <c r="D7" t="inlineStr">
        <is>
          <t>lintongditao.cv@gmail.com</t>
        </is>
      </c>
      <c r="E7" t="inlineStr">
        <is>
          <t>https://lpjk.pu.go.id/search-badan-usaha-detail/T2NOd0JhWjVoNDY5S21CVjhsTk1JUT09</t>
        </is>
      </c>
      <c r="F7" t="n">
        <v>3</v>
      </c>
      <c r="G7" t="inlineStr">
        <is>
          <t>BS001, BS002, BS004</t>
        </is>
      </c>
      <c r="H7" t="inlineStr">
        <is>
          <t>21 Maret 2019</t>
        </is>
      </c>
      <c r="I7" s="2" t="n">
        <v>46256</v>
      </c>
      <c r="J7" t="inlineStr">
        <is>
          <t>Disetujui</t>
        </is>
      </c>
      <c r="K7" t="n">
        <v>60</v>
      </c>
      <c r="L7" t="inlineStr">
        <is>
          <t>22 Agustus 2026</t>
        </is>
      </c>
      <c r="M7" t="inlineStr">
        <is>
          <t>Bangunan Sipil Jembatan, Jalan Layang, Fly Over, dan Underpass, Konstruksi Bangunan Sipil Jalan, Konstruksi Jaringan Irigasi dan Drainase</t>
        </is>
      </c>
      <c r="N7" t="inlineStr">
        <is>
          <t>K</t>
        </is>
      </c>
      <c r="O7" t="inlineStr">
        <is>
          <t>20230816</t>
        </is>
      </c>
      <c r="P7" t="inlineStr">
        <is>
          <t>Jawa Barat</t>
        </is>
      </c>
      <c r="Q7" s="3">
        <f>HYPERLINK("https://wa.me/6281292586812?text=*[PENGINGAT MASA BERLAKU SBU LINTONG DITAO]*%0A%0AYth. Pimpinan LINTONG DITAO,%0AMohon izin menginformasikan status SBU Anda di sistem LPJK:%0A%0A📄 SBU: BS001, BS002, BS004%0A📅 Expired: 22 Agustus 2026 (60 Hari Lagi)%0A%0AKami tim PT. ESDEA Assistance Management siap men-support proses perpanjangan segera agar administrasi proyek tidak terhambat%0A%0AApakah boleh saya bantu siapkan estimasi biaya dan waktu pengerjaannya?.", "Hubungi")</f>
        <v/>
      </c>
    </row>
    <row r="8">
      <c r="A8" t="inlineStr">
        <is>
          <t>RIA LESTARI</t>
        </is>
      </c>
      <c r="B8" t="inlineStr">
        <is>
          <t>Kab. Bogor</t>
        </is>
      </c>
      <c r="C8" t="inlineStr">
        <is>
          <t>08128434011</t>
        </is>
      </c>
      <c r="D8" t="inlineStr">
        <is>
          <t>cvrialestari@gmail.com</t>
        </is>
      </c>
      <c r="E8" t="inlineStr">
        <is>
          <t>https://lpjk.pu.go.id/search-badan-usaha-detail/TEUvVmc5bG5jTCtLUUFkSm9icUNMUT09</t>
        </is>
      </c>
      <c r="F8" t="n">
        <v>1</v>
      </c>
      <c r="G8" t="inlineStr">
        <is>
          <t>BS001</t>
        </is>
      </c>
      <c r="H8" t="inlineStr">
        <is>
          <t>19 Desember 2016</t>
        </is>
      </c>
      <c r="I8" s="2" t="n">
        <v>46256</v>
      </c>
      <c r="J8" t="inlineStr">
        <is>
          <t>Disetujui</t>
        </is>
      </c>
      <c r="K8" t="n">
        <v>60</v>
      </c>
      <c r="L8" t="inlineStr">
        <is>
          <t>22 Agustus 2026</t>
        </is>
      </c>
      <c r="M8" t="inlineStr">
        <is>
          <t>Konstruksi Bangunan Sipil Jalan</t>
        </is>
      </c>
      <c r="N8" t="inlineStr">
        <is>
          <t>K</t>
        </is>
      </c>
      <c r="O8" t="inlineStr">
        <is>
          <t>20230816</t>
        </is>
      </c>
      <c r="P8" t="inlineStr">
        <is>
          <t>Jawa Barat</t>
        </is>
      </c>
      <c r="Q8" s="3">
        <f>HYPERLINK("https://wa.me/628128434011?text=*[PENGINGAT MASA BERLAKU SBU RIA LESTARI]*%0A%0AYth. Pimpinan RIA LESTARI,%0AMohon izin menginformasikan status SBU Anda di sistem LPJK:%0A%0A📄 SBU: BS001%0A📅 Expired: 22 Agustus 2026 (60 Hari Lagi)%0A%0AKami tim PT. ESDEA Assistance Management siap men-support proses perpanjangan segera agar administrasi proyek tidak terhambat%0A%0AApakah boleh saya bantu siapkan estimasi biaya dan waktu pengerjaannya?.", "Hubungi")</f>
        <v/>
      </c>
    </row>
    <row r="9">
      <c r="A9" t="inlineStr">
        <is>
          <t>RYANIZ JAYA PERSADA</t>
        </is>
      </c>
      <c r="B9" t="inlineStr">
        <is>
          <t>Kota Adm. Jakarta Timur</t>
        </is>
      </c>
      <c r="C9" t="inlineStr">
        <is>
          <t>0214801304</t>
        </is>
      </c>
      <c r="D9" t="inlineStr">
        <is>
          <t>ryanizjp@gmail.com</t>
        </is>
      </c>
      <c r="E9" t="inlineStr">
        <is>
          <t>https://lpjk.pu.go.id/search-badan-usaha-detail/VERRRlNHS3RTb0FXZWs4VlZzeFZadz09</t>
        </is>
      </c>
      <c r="F9" t="n">
        <v>1</v>
      </c>
      <c r="G9" t="inlineStr">
        <is>
          <t>BG006</t>
        </is>
      </c>
      <c r="H9" t="inlineStr">
        <is>
          <t>23 Oktober 2013</t>
        </is>
      </c>
      <c r="I9" s="2" t="n">
        <v>46256</v>
      </c>
      <c r="J9" t="inlineStr">
        <is>
          <t>Disetujui</t>
        </is>
      </c>
      <c r="K9" t="n">
        <v>60</v>
      </c>
      <c r="L9" t="inlineStr">
        <is>
          <t>22 Agustus 2026</t>
        </is>
      </c>
      <c r="M9" t="inlineStr">
        <is>
          <t>Konstruksi Gedung Pendidikan</t>
        </is>
      </c>
      <c r="N9" t="inlineStr">
        <is>
          <t>K</t>
        </is>
      </c>
      <c r="O9" t="inlineStr">
        <is>
          <t>20230811</t>
        </is>
      </c>
      <c r="P9" t="inlineStr">
        <is>
          <t>DKI Jakarta</t>
        </is>
      </c>
      <c r="Q9" t="inlineStr"/>
    </row>
    <row r="10">
      <c r="A10" t="inlineStr">
        <is>
          <t>SERBA GUNA KONSTRUKSITAMA</t>
        </is>
      </c>
      <c r="B10" t="inlineStr">
        <is>
          <t>Kota Bekasi</t>
        </is>
      </c>
      <c r="C10" t="inlineStr">
        <is>
          <t>0218476147</t>
        </is>
      </c>
      <c r="D10" t="inlineStr">
        <is>
          <t>serbagunakontruksitama@gmail.com</t>
        </is>
      </c>
      <c r="E10" t="inlineStr">
        <is>
          <t>https://lpjk.pu.go.id/search-badan-usaha-detail/UExVYUl5ZEROTzNsVy9WNHBzR3hLdz09</t>
        </is>
      </c>
      <c r="F10" t="n">
        <v>2</v>
      </c>
      <c r="G10" t="inlineStr">
        <is>
          <t>BG002, BG009</t>
        </is>
      </c>
      <c r="H10" t="inlineStr">
        <is>
          <t>13 Agustus 2021</t>
        </is>
      </c>
      <c r="I10" s="2" t="n">
        <v>46256</v>
      </c>
      <c r="J10" t="inlineStr">
        <is>
          <t>Disetujui</t>
        </is>
      </c>
      <c r="K10" t="n">
        <v>60</v>
      </c>
      <c r="L10" t="inlineStr">
        <is>
          <t>22 Agustus 2026</t>
        </is>
      </c>
      <c r="M10" t="inlineStr">
        <is>
          <t>Konstruksi Gedung Lainnya, Konstruksi Gedung Perkantoran</t>
        </is>
      </c>
      <c r="N10" t="inlineStr">
        <is>
          <t>K</t>
        </is>
      </c>
      <c r="O10" t="inlineStr">
        <is>
          <t>20230811, 20230814</t>
        </is>
      </c>
      <c r="P10" t="inlineStr">
        <is>
          <t>Jawa Barat</t>
        </is>
      </c>
      <c r="Q10" t="inlineStr"/>
    </row>
    <row r="11">
      <c r="A11" t="inlineStr">
        <is>
          <t>SNIBRAHIM JAYA KONSULTAN</t>
        </is>
      </c>
      <c r="B11" t="inlineStr">
        <is>
          <t>Kota Depok</t>
        </is>
      </c>
      <c r="C11" t="inlineStr">
        <is>
          <t>02177833772</t>
        </is>
      </c>
      <c r="D11" t="inlineStr">
        <is>
          <t>sjk_ibrahim@yahoo.com</t>
        </is>
      </c>
      <c r="E11" t="inlineStr">
        <is>
          <t>https://lpjk.pu.go.id/search-badan-usaha-detail/eVJDWEV1UFc3eUhMM1ZJUCt0bGlSdz09</t>
        </is>
      </c>
      <c r="F11" t="n">
        <v>1</v>
      </c>
      <c r="G11" t="inlineStr">
        <is>
          <t>RK003</t>
        </is>
      </c>
      <c r="H11" t="inlineStr">
        <is>
          <t>21 Juni 2016</t>
        </is>
      </c>
      <c r="I11" s="2" t="n">
        <v>46256</v>
      </c>
      <c r="J11" t="inlineStr">
        <is>
          <t>Disetujui</t>
        </is>
      </c>
      <c r="K11" t="n">
        <v>60</v>
      </c>
      <c r="L11" t="inlineStr">
        <is>
          <t>22 Agustus 2026</t>
        </is>
      </c>
      <c r="M11" t="inlineStr">
        <is>
          <t>Jasa Rekayasa Pekerjaan Teknik Sipil Transportasi</t>
        </is>
      </c>
      <c r="N11" t="inlineStr">
        <is>
          <t>K</t>
        </is>
      </c>
      <c r="O11" t="inlineStr">
        <is>
          <t>20230814</t>
        </is>
      </c>
      <c r="P11" t="inlineStr">
        <is>
          <t>Jawa Barat</t>
        </is>
      </c>
      <c r="Q11" t="inlineStr"/>
    </row>
    <row r="12">
      <c r="A12" t="inlineStr">
        <is>
          <t>ZALWA MANDIRI TEKNIK</t>
        </is>
      </c>
      <c r="B12" t="inlineStr">
        <is>
          <t>Kota Bekasi</t>
        </is>
      </c>
      <c r="C12" t="inlineStr">
        <is>
          <t>02182781567</t>
        </is>
      </c>
      <c r="D12" t="inlineStr">
        <is>
          <t>zalwa.office@gmail.com</t>
        </is>
      </c>
      <c r="E12" t="inlineStr">
        <is>
          <t>https://lpjk.pu.go.id/search-badan-usaha-detail/dU5ZTXdhQTZHVFMzWmV4WXZ6TDFzZz09</t>
        </is>
      </c>
      <c r="F12" t="n">
        <v>1</v>
      </c>
      <c r="G12" t="inlineStr">
        <is>
          <t>IN008</t>
        </is>
      </c>
      <c r="H12" t="inlineStr">
        <is>
          <t>23 Mei 2022</t>
        </is>
      </c>
      <c r="I12" s="2" t="n">
        <v>46256</v>
      </c>
      <c r="J12" t="inlineStr">
        <is>
          <t>Pencabutan</t>
        </is>
      </c>
      <c r="K12" t="n">
        <v>60</v>
      </c>
      <c r="L12" t="inlineStr">
        <is>
          <t>22 Agustus 2026</t>
        </is>
      </c>
      <c r="M12" t="inlineStr">
        <is>
          <t>Instalasi Pendingin Dan Ventilasi Udara</t>
        </is>
      </c>
      <c r="N12" t="inlineStr">
        <is>
          <t>Spesialis</t>
        </is>
      </c>
      <c r="O12" t="inlineStr">
        <is>
          <t>20230816</t>
        </is>
      </c>
      <c r="P12" t="inlineStr">
        <is>
          <t>Jawa Barat</t>
        </is>
      </c>
      <c r="Q12" t="inlineStr"/>
    </row>
    <row r="13">
      <c r="A13" t="inlineStr">
        <is>
          <t>ABBASY DAYATAMA</t>
        </is>
      </c>
      <c r="B13" t="inlineStr">
        <is>
          <t>Kab. Natuna</t>
        </is>
      </c>
      <c r="C13" t="inlineStr">
        <is>
          <t>082283413232</t>
        </is>
      </c>
      <c r="D13" t="inlineStr">
        <is>
          <t>abbasydayatama@gmail.com</t>
        </is>
      </c>
      <c r="E13" t="inlineStr">
        <is>
          <t>https://lpjk.pu.go.id/search-badan-usaha-detail/OS9VVzF0Y00vVDFmamV6NlZCOGJoZz09</t>
        </is>
      </c>
      <c r="F13" t="n">
        <v>2</v>
      </c>
      <c r="G13" t="inlineStr">
        <is>
          <t>RK002</t>
        </is>
      </c>
      <c r="H13" t="inlineStr">
        <is>
          <t>15 Januari 2019</t>
        </is>
      </c>
      <c r="I13" s="2" t="n">
        <v>46256</v>
      </c>
      <c r="J13" t="inlineStr">
        <is>
          <t>Disetujui</t>
        </is>
      </c>
      <c r="K13" t="n">
        <v>60</v>
      </c>
      <c r="L13" t="inlineStr">
        <is>
          <t>22 Agustus 2026</t>
        </is>
      </c>
      <c r="M13" t="inlineStr">
        <is>
          <t>Jasa Rekayasa Pekerjaan Teknik Sipil Sumber Daya Air</t>
        </is>
      </c>
      <c r="N13" t="inlineStr">
        <is>
          <t>K</t>
        </is>
      </c>
      <c r="O13" t="inlineStr">
        <is>
          <t>20230809</t>
        </is>
      </c>
      <c r="P13" t="inlineStr">
        <is>
          <t>Kepulauan Riau</t>
        </is>
      </c>
      <c r="Q13" t="inlineStr"/>
    </row>
    <row r="14">
      <c r="A14" t="inlineStr">
        <is>
          <t>ADITYA JAYA UTAMA</t>
        </is>
      </c>
      <c r="B14" t="inlineStr">
        <is>
          <t>Kota Makassar</t>
        </is>
      </c>
      <c r="C14" t="inlineStr">
        <is>
          <t>0411-4672747</t>
        </is>
      </c>
      <c r="D14" t="inlineStr">
        <is>
          <t>cvadityajayautama68@gmail.com</t>
        </is>
      </c>
      <c r="E14" t="inlineStr">
        <is>
          <t>https://lpjk.pu.go.id/search-badan-usaha-detail/enBjTjFhK0RwRE9oSXlLTWtJWjhLdz09</t>
        </is>
      </c>
      <c r="F14" t="n">
        <v>1</v>
      </c>
      <c r="G14" t="inlineStr">
        <is>
          <t>BG008</t>
        </is>
      </c>
      <c r="H14" t="inlineStr">
        <is>
          <t>22 Agustus 2016</t>
        </is>
      </c>
      <c r="I14" s="2" t="n">
        <v>46256</v>
      </c>
      <c r="J14" t="inlineStr">
        <is>
          <t>Disetujui</t>
        </is>
      </c>
      <c r="K14" t="n">
        <v>60</v>
      </c>
      <c r="L14" t="inlineStr">
        <is>
          <t>22 Agustus 2026</t>
        </is>
      </c>
      <c r="M14" t="inlineStr">
        <is>
          <t>Konstruksi Gedung Tempat Hiburan dan Olahraga</t>
        </is>
      </c>
      <c r="N14" t="inlineStr">
        <is>
          <t>K</t>
        </is>
      </c>
      <c r="O14" t="inlineStr">
        <is>
          <t>20230820</t>
        </is>
      </c>
      <c r="P14" t="inlineStr">
        <is>
          <t>Sulawesi Selatan</t>
        </is>
      </c>
      <c r="Q14" t="inlineStr"/>
    </row>
    <row r="15">
      <c r="A15" t="inlineStr">
        <is>
          <t>ADJIE KARYA SEJAHTERA</t>
        </is>
      </c>
      <c r="B15" t="inlineStr">
        <is>
          <t>Kota Surakarta</t>
        </is>
      </c>
      <c r="C15" t="inlineStr">
        <is>
          <t>082323188902</t>
        </is>
      </c>
      <c r="D15" t="inlineStr">
        <is>
          <t>adjiekaryasejahtera112@gmail.com</t>
        </is>
      </c>
      <c r="E15" t="inlineStr">
        <is>
          <t>https://lpjk.pu.go.id/search-badan-usaha-detail/Sy83dlhwMElnS3NwVHFLSjZiQnRXZz09</t>
        </is>
      </c>
      <c r="F15" t="n">
        <v>1</v>
      </c>
      <c r="G15" t="inlineStr">
        <is>
          <t>BG006</t>
        </is>
      </c>
      <c r="H15" t="inlineStr">
        <is>
          <t>4 Mei 2023</t>
        </is>
      </c>
      <c r="I15" s="2" t="n">
        <v>46256</v>
      </c>
      <c r="J15" t="inlineStr">
        <is>
          <t>Disetujui</t>
        </is>
      </c>
      <c r="K15" t="n">
        <v>60</v>
      </c>
      <c r="L15" t="inlineStr">
        <is>
          <t>22 Agustus 2026</t>
        </is>
      </c>
      <c r="M15" t="inlineStr">
        <is>
          <t>Konstruksi Gedung Pendidikan</t>
        </is>
      </c>
      <c r="N15" t="inlineStr">
        <is>
          <t>K</t>
        </is>
      </c>
      <c r="O15" t="inlineStr">
        <is>
          <t>20230816</t>
        </is>
      </c>
      <c r="P15" t="inlineStr">
        <is>
          <t>Jawa Tengah</t>
        </is>
      </c>
      <c r="Q15" t="inlineStr"/>
    </row>
    <row r="16">
      <c r="A16" t="inlineStr">
        <is>
          <t>AEK NA BATU RANGE</t>
        </is>
      </c>
      <c r="B16" t="inlineStr">
        <is>
          <t>Kab. Semarang</t>
        </is>
      </c>
      <c r="C16" t="inlineStr">
        <is>
          <t>085325209868</t>
        </is>
      </c>
      <c r="D16" t="inlineStr">
        <is>
          <t>aeknabaturange@gmail.com</t>
        </is>
      </c>
      <c r="E16" t="inlineStr">
        <is>
          <t>https://lpjk.pu.go.id/search-badan-usaha-detail/VVFMdmRBbWFTNzRWbkQwVnNsVzlmUT09</t>
        </is>
      </c>
      <c r="F16" t="n">
        <v>1</v>
      </c>
      <c r="G16" t="inlineStr">
        <is>
          <t>BS005</t>
        </is>
      </c>
      <c r="H16" t="inlineStr">
        <is>
          <t>21 Desember 2019</t>
        </is>
      </c>
      <c r="I16" s="2" t="n">
        <v>46256</v>
      </c>
      <c r="J16" t="inlineStr">
        <is>
          <t>Disetujui</t>
        </is>
      </c>
      <c r="K16" t="n">
        <v>60</v>
      </c>
      <c r="L16" t="inlineStr">
        <is>
          <t>22 Agustus 2026</t>
        </is>
      </c>
      <c r="M16" t="inlineStr">
        <is>
          <t>Konstruksi Bangunan Sipil Pengolahan Air Bersih</t>
        </is>
      </c>
      <c r="N16" t="inlineStr">
        <is>
          <t>K</t>
        </is>
      </c>
      <c r="O16" t="inlineStr">
        <is>
          <t>20230814</t>
        </is>
      </c>
      <c r="P16" t="inlineStr">
        <is>
          <t>Jawa Tengah</t>
        </is>
      </c>
      <c r="Q16" t="inlineStr"/>
    </row>
    <row r="17">
      <c r="A17" t="inlineStr">
        <is>
          <t>ALFARIZKI DUTA CEMERLANG</t>
        </is>
      </c>
      <c r="B17" t="inlineStr">
        <is>
          <t>Kab. Asahan</t>
        </is>
      </c>
      <c r="C17" t="inlineStr">
        <is>
          <t>081382246515</t>
        </is>
      </c>
      <c r="D17" t="inlineStr">
        <is>
          <t>admin@groupalfarizki.com</t>
        </is>
      </c>
      <c r="E17" t="inlineStr">
        <is>
          <t>https://lpjk.pu.go.id/search-badan-usaha-detail/QmQxK1dLMHcxODB2bmpPdVFVanc2UT09</t>
        </is>
      </c>
      <c r="F17" t="n">
        <v>2</v>
      </c>
      <c r="G17" t="inlineStr">
        <is>
          <t>BS002</t>
        </is>
      </c>
      <c r="H17" t="inlineStr">
        <is>
          <t>13 Januari 2023</t>
        </is>
      </c>
      <c r="I17" s="2" t="n">
        <v>46256</v>
      </c>
      <c r="J17" t="inlineStr">
        <is>
          <t>Pencabutan</t>
        </is>
      </c>
      <c r="K17" t="n">
        <v>60</v>
      </c>
      <c r="L17" t="inlineStr">
        <is>
          <t>22 Agustus 2026</t>
        </is>
      </c>
      <c r="M17" t="inlineStr">
        <is>
          <t>Bangunan Sipil Jembatan, Jalan Layang, Fly Over, dan Underpass</t>
        </is>
      </c>
      <c r="N17" t="inlineStr">
        <is>
          <t>K</t>
        </is>
      </c>
      <c r="O17" t="inlineStr">
        <is>
          <t>20230805</t>
        </is>
      </c>
      <c r="P17" t="inlineStr">
        <is>
          <t>Sumatera Utara</t>
        </is>
      </c>
      <c r="Q17" t="inlineStr"/>
    </row>
    <row r="18">
      <c r="A18" t="inlineStr">
        <is>
          <t>ANEKA KARYA PRIMA</t>
        </is>
      </c>
      <c r="B18" t="inlineStr">
        <is>
          <t>Kota Pontianak</t>
        </is>
      </c>
      <c r="C18" t="inlineStr">
        <is>
          <t>0561732007</t>
        </is>
      </c>
      <c r="D18" t="inlineStr">
        <is>
          <t>anekakaryaprima.akp@gmail.com</t>
        </is>
      </c>
      <c r="E18" t="inlineStr">
        <is>
          <t>https://lpjk.pu.go.id/search-badan-usaha-detail/djBaWm9Ic2M4c2lwOU5aTnV5TkVrUT09</t>
        </is>
      </c>
      <c r="F18" t="n">
        <v>1</v>
      </c>
      <c r="G18" t="inlineStr">
        <is>
          <t>BG003</t>
        </is>
      </c>
      <c r="H18" t="inlineStr">
        <is>
          <t>18 November 2013</t>
        </is>
      </c>
      <c r="I18" s="2" t="n">
        <v>46256</v>
      </c>
      <c r="J18" t="inlineStr">
        <is>
          <t>Disetujui</t>
        </is>
      </c>
      <c r="K18" t="n">
        <v>60</v>
      </c>
      <c r="L18" t="inlineStr">
        <is>
          <t>22 Agustus 2026</t>
        </is>
      </c>
      <c r="M18" t="inlineStr">
        <is>
          <t>Konstruksi Gedung Industri</t>
        </is>
      </c>
      <c r="N18" t="inlineStr">
        <is>
          <t>K</t>
        </is>
      </c>
      <c r="O18" t="inlineStr">
        <is>
          <t>20230811</t>
        </is>
      </c>
      <c r="P18" t="inlineStr">
        <is>
          <t>Kalimantan Barat</t>
        </is>
      </c>
      <c r="Q18" t="inlineStr"/>
    </row>
    <row r="19">
      <c r="A19" t="inlineStr">
        <is>
          <t>ANGGARAKSA JAYA</t>
        </is>
      </c>
      <c r="B19" t="inlineStr">
        <is>
          <t>Kota Adm. Jakarta Selatan</t>
        </is>
      </c>
      <c r="C19" t="inlineStr">
        <is>
          <t>02122717134</t>
        </is>
      </c>
      <c r="D19" t="inlineStr">
        <is>
          <t>anggaraksajaya2019@gmail.com</t>
        </is>
      </c>
      <c r="E19" t="inlineStr">
        <is>
          <t>https://lpjk.pu.go.id/search-badan-usaha-detail/TTVvdEd0V0l3dHM2TEJYT2srVXY0UT09</t>
        </is>
      </c>
      <c r="F19" t="n">
        <v>2</v>
      </c>
      <c r="G19" t="inlineStr">
        <is>
          <t>RK002</t>
        </is>
      </c>
      <c r="H19" t="inlineStr">
        <is>
          <t>31 Desember 1981</t>
        </is>
      </c>
      <c r="I19" s="2" t="n">
        <v>46256</v>
      </c>
      <c r="J19" t="inlineStr">
        <is>
          <t>Disetujui</t>
        </is>
      </c>
      <c r="K19" t="n">
        <v>60</v>
      </c>
      <c r="L19" t="inlineStr">
        <is>
          <t>22 Agustus 2026</t>
        </is>
      </c>
      <c r="M19" t="inlineStr">
        <is>
          <t>Jasa Rekayasa Pekerjaan Teknik Sipil Sumber Daya Air</t>
        </is>
      </c>
      <c r="N19" t="inlineStr">
        <is>
          <t>K</t>
        </is>
      </c>
      <c r="O19" t="inlineStr">
        <is>
          <t>20230728</t>
        </is>
      </c>
      <c r="P19" t="inlineStr">
        <is>
          <t>DKI Jakarta</t>
        </is>
      </c>
      <c r="Q19" t="inlineStr"/>
    </row>
    <row r="20">
      <c r="A20" t="inlineStr">
        <is>
          <t>ANUGERAH BERDIKARI MAKMUR</t>
        </is>
      </c>
      <c r="B20" t="inlineStr">
        <is>
          <t>Kota Medan</t>
        </is>
      </c>
      <c r="C20" t="inlineStr">
        <is>
          <t>082276065234</t>
        </is>
      </c>
      <c r="D20" t="inlineStr">
        <is>
          <t>anugerahberdikarimakmur19@gmail.com</t>
        </is>
      </c>
      <c r="E20" t="inlineStr">
        <is>
          <t>https://lpjk.pu.go.id/search-badan-usaha-detail/TkplMDRmTzJlcStUVXFYLzdJbEFkZz09</t>
        </is>
      </c>
      <c r="F20" t="n">
        <v>1</v>
      </c>
      <c r="G20" t="inlineStr">
        <is>
          <t>BS001</t>
        </is>
      </c>
      <c r="H20" t="inlineStr">
        <is>
          <t>15 Maret 2016</t>
        </is>
      </c>
      <c r="I20" s="2" t="n">
        <v>46256</v>
      </c>
      <c r="J20" t="inlineStr">
        <is>
          <t>Disetujui</t>
        </is>
      </c>
      <c r="K20" t="n">
        <v>60</v>
      </c>
      <c r="L20" t="inlineStr">
        <is>
          <t>22 Agustus 2026</t>
        </is>
      </c>
      <c r="M20" t="inlineStr">
        <is>
          <t>Konstruksi Bangunan Sipil Jalan</t>
        </is>
      </c>
      <c r="N20" t="inlineStr">
        <is>
          <t>K</t>
        </is>
      </c>
      <c r="O20" t="inlineStr">
        <is>
          <t>20230721</t>
        </is>
      </c>
      <c r="P20" t="inlineStr">
        <is>
          <t>Sumatera Utara</t>
        </is>
      </c>
      <c r="Q20" t="inlineStr"/>
    </row>
    <row r="21">
      <c r="A21" t="inlineStr">
        <is>
          <t>ANUGERAH PRIMA SELARAS</t>
        </is>
      </c>
      <c r="B21" t="inlineStr">
        <is>
          <t>Kota Adm. Jakarta Barat</t>
        </is>
      </c>
      <c r="C21" t="inlineStr">
        <is>
          <t>0215301194</t>
        </is>
      </c>
      <c r="D21" t="inlineStr">
        <is>
          <t>anugerahprimaselaras@gmail.com</t>
        </is>
      </c>
      <c r="E21" t="inlineStr">
        <is>
          <t>https://lpjk.pu.go.id/search-badan-usaha-detail/ZnYvb3VPditkRFZ4OXIzOTdYZm9QUT09</t>
        </is>
      </c>
      <c r="F21" t="n">
        <v>1</v>
      </c>
      <c r="G21" t="inlineStr">
        <is>
          <t>BG004</t>
        </is>
      </c>
      <c r="H21" t="inlineStr">
        <is>
          <t>11 Desember 2011</t>
        </is>
      </c>
      <c r="I21" s="2" t="n">
        <v>46256</v>
      </c>
      <c r="J21" t="inlineStr">
        <is>
          <t>Disetujui</t>
        </is>
      </c>
      <c r="K21" t="n">
        <v>60</v>
      </c>
      <c r="L21" t="inlineStr">
        <is>
          <t>22 Agustus 2026</t>
        </is>
      </c>
      <c r="M21" t="inlineStr">
        <is>
          <t>Konstruksi Gedung Perbelanjaan</t>
        </is>
      </c>
      <c r="N21" t="inlineStr">
        <is>
          <t>K</t>
        </is>
      </c>
      <c r="O21" t="inlineStr">
        <is>
          <t>20230802</t>
        </is>
      </c>
      <c r="P21" t="inlineStr">
        <is>
          <t>DKI Jakarta</t>
        </is>
      </c>
      <c r="Q21" t="inlineStr"/>
    </row>
    <row r="22">
      <c r="A22" t="inlineStr">
        <is>
          <t>ANUGRAHA PRATAMA SEJAHTERA</t>
        </is>
      </c>
      <c r="B22" t="inlineStr">
        <is>
          <t>Kab. Pandeglang</t>
        </is>
      </c>
      <c r="C22" t="inlineStr">
        <is>
          <t>087889999892</t>
        </is>
      </c>
      <c r="D22" t="inlineStr">
        <is>
          <t>anugrahapratamasejahtera.cv@gmail.com</t>
        </is>
      </c>
      <c r="E22" t="inlineStr">
        <is>
          <t>https://lpjk.pu.go.id/search-badan-usaha-detail/WkxacXM4VzlCT2I4TFAxZk0xenJ4UT09</t>
        </is>
      </c>
      <c r="F22" t="n">
        <v>6</v>
      </c>
      <c r="G22" t="inlineStr">
        <is>
          <t>BG006, BG009, BS001</t>
        </is>
      </c>
      <c r="H22" t="inlineStr">
        <is>
          <t>14 Desember 2022</t>
        </is>
      </c>
      <c r="I22" s="2" t="n">
        <v>46256</v>
      </c>
      <c r="J22" t="inlineStr">
        <is>
          <t>Disetujui</t>
        </is>
      </c>
      <c r="K22" t="n">
        <v>60</v>
      </c>
      <c r="L22" t="inlineStr">
        <is>
          <t>22 Agustus 2026</t>
        </is>
      </c>
      <c r="M22" t="inlineStr">
        <is>
          <t>Konstruksi Bangunan Sipil Jalan, Konstruksi Gedung Lainnya, Konstruksi Gedung Pendidikan</t>
        </is>
      </c>
      <c r="N22" t="inlineStr">
        <is>
          <t>K</t>
        </is>
      </c>
      <c r="O22" t="inlineStr">
        <is>
          <t>20230811, 20230815</t>
        </is>
      </c>
      <c r="P22" t="inlineStr">
        <is>
          <t>Banten</t>
        </is>
      </c>
      <c r="Q22" t="inlineStr"/>
    </row>
    <row r="23">
      <c r="A23" t="inlineStr">
        <is>
          <t>ARGA PERMAI</t>
        </is>
      </c>
      <c r="B23" t="inlineStr">
        <is>
          <t>Kota Bima</t>
        </is>
      </c>
      <c r="C23" t="inlineStr">
        <is>
          <t>085239385621</t>
        </is>
      </c>
      <c r="D23" t="inlineStr">
        <is>
          <t>cvargapermai06@gmail.com</t>
        </is>
      </c>
      <c r="E23" t="inlineStr">
        <is>
          <t>https://lpjk.pu.go.id/search-badan-usaha-detail/YXc1dEFPS212TUlxZ3hUc3A1NGNsQT09</t>
        </is>
      </c>
      <c r="F23" t="n">
        <v>1</v>
      </c>
      <c r="G23" t="inlineStr">
        <is>
          <t>BS002</t>
        </is>
      </c>
      <c r="H23" t="inlineStr">
        <is>
          <t>7 Februari 2014</t>
        </is>
      </c>
      <c r="I23" s="2" t="n">
        <v>46256</v>
      </c>
      <c r="J23" t="inlineStr">
        <is>
          <t>Pencabutan</t>
        </is>
      </c>
      <c r="K23" t="n">
        <v>60</v>
      </c>
      <c r="L23" t="inlineStr">
        <is>
          <t>22 Agustus 2026</t>
        </is>
      </c>
      <c r="M23" t="inlineStr">
        <is>
          <t>Bangunan Sipil Jembatan, Jalan Layang, Fly Over, dan Underpass</t>
        </is>
      </c>
      <c r="N23" t="inlineStr">
        <is>
          <t>K</t>
        </is>
      </c>
      <c r="O23" t="inlineStr">
        <is>
          <t>20230809</t>
        </is>
      </c>
      <c r="P23" t="inlineStr">
        <is>
          <t>Nusa Tenggara Barat</t>
        </is>
      </c>
      <c r="Q23" t="inlineStr"/>
    </row>
    <row r="24">
      <c r="A24" t="inlineStr">
        <is>
          <t>ARGANTA PRATAMA</t>
        </is>
      </c>
      <c r="B24" t="inlineStr">
        <is>
          <t>Kota Medan</t>
        </is>
      </c>
      <c r="C24" t="inlineStr">
        <is>
          <t>082163942207</t>
        </is>
      </c>
      <c r="D24" t="inlineStr">
        <is>
          <t>cvargantapratama@gmail.com</t>
        </is>
      </c>
      <c r="E24" t="inlineStr">
        <is>
          <t>https://lpjk.pu.go.id/search-badan-usaha-detail/SkxBWmJtV0lEOGF6UTBHUVpvd1Vtdz09</t>
        </is>
      </c>
      <c r="F24" t="n">
        <v>1</v>
      </c>
      <c r="G24" t="inlineStr">
        <is>
          <t>BG005</t>
        </is>
      </c>
      <c r="H24" t="inlineStr">
        <is>
          <t>23 Desember 2022</t>
        </is>
      </c>
      <c r="I24" s="2" t="n">
        <v>46256</v>
      </c>
      <c r="J24" t="inlineStr">
        <is>
          <t>Disetujui</t>
        </is>
      </c>
      <c r="K24" t="n">
        <v>60</v>
      </c>
      <c r="L24" t="inlineStr">
        <is>
          <t>22 Agustus 2026</t>
        </is>
      </c>
      <c r="M24" t="inlineStr">
        <is>
          <t>Konstruksi Gedung Kesehatan</t>
        </is>
      </c>
      <c r="N24" t="inlineStr">
        <is>
          <t>K</t>
        </is>
      </c>
      <c r="O24" t="inlineStr">
        <is>
          <t>20230821</t>
        </is>
      </c>
      <c r="P24" t="inlineStr">
        <is>
          <t>Sumatera Utara</t>
        </is>
      </c>
      <c r="Q24" t="inlineStr"/>
    </row>
    <row r="25">
      <c r="A25" t="inlineStr">
        <is>
          <t>ARI ASRA JAYA</t>
        </is>
      </c>
      <c r="B25" t="inlineStr">
        <is>
          <t>Kota Ambon</t>
        </is>
      </c>
      <c r="C25" t="inlineStr">
        <is>
          <t>085243780645</t>
        </is>
      </c>
      <c r="D25" t="inlineStr">
        <is>
          <t>ariasrajaya@gmail.com</t>
        </is>
      </c>
      <c r="E25" t="inlineStr">
        <is>
          <t>https://lpjk.pu.go.id/search-badan-usaha-detail/N0h5cVFneFMyS1Axd3J1K1NMOU45UT09</t>
        </is>
      </c>
      <c r="F25" t="n">
        <v>1</v>
      </c>
      <c r="G25" t="inlineStr">
        <is>
          <t>BS010</t>
        </is>
      </c>
      <c r="H25" t="inlineStr">
        <is>
          <t>21 Desember 2020</t>
        </is>
      </c>
      <c r="I25" s="2" t="n">
        <v>46256</v>
      </c>
      <c r="J25" t="inlineStr">
        <is>
          <t>Pencabutan</t>
        </is>
      </c>
      <c r="K25" t="n">
        <v>60</v>
      </c>
      <c r="L25" t="inlineStr">
        <is>
          <t>22 Agustus 2026</t>
        </is>
      </c>
      <c r="M25" t="inlineStr">
        <is>
          <t>Konstruksi Bangunan Prasarana Sumber Daya Air</t>
        </is>
      </c>
      <c r="N25" t="inlineStr">
        <is>
          <t>K</t>
        </is>
      </c>
      <c r="O25" t="inlineStr">
        <is>
          <t>20230821</t>
        </is>
      </c>
      <c r="P25" t="inlineStr">
        <is>
          <t>Maluku</t>
        </is>
      </c>
      <c r="Q25" t="inlineStr"/>
    </row>
    <row r="26">
      <c r="A26" t="inlineStr">
        <is>
          <t>ARI SAPUTRA MANDIRI</t>
        </is>
      </c>
      <c r="B26" t="inlineStr">
        <is>
          <t>Kab. Kutai Kartanegara</t>
        </is>
      </c>
      <c r="C26" t="inlineStr">
        <is>
          <t>08125582461</t>
        </is>
      </c>
      <c r="D26" t="inlineStr">
        <is>
          <t>cv.arisaputramandiri2020@gmail.com</t>
        </is>
      </c>
      <c r="E26" t="inlineStr">
        <is>
          <t>https://lpjk.pu.go.id/search-badan-usaha-detail/c0krNVk5TlI2TEx0WndFTk9pV090QT09</t>
        </is>
      </c>
      <c r="F26" t="n">
        <v>1</v>
      </c>
      <c r="G26" t="inlineStr">
        <is>
          <t>BS004</t>
        </is>
      </c>
      <c r="H26" t="inlineStr">
        <is>
          <t>16 Januari 2023</t>
        </is>
      </c>
      <c r="I26" s="2" t="n">
        <v>46256</v>
      </c>
      <c r="J26" t="inlineStr">
        <is>
          <t>Disetujui</t>
        </is>
      </c>
      <c r="K26" t="n">
        <v>60</v>
      </c>
      <c r="L26" t="inlineStr">
        <is>
          <t>22 Agustus 2026</t>
        </is>
      </c>
      <c r="M26" t="inlineStr">
        <is>
          <t>Konstruksi Jaringan Irigasi dan Drainase</t>
        </is>
      </c>
      <c r="N26" t="inlineStr">
        <is>
          <t>K</t>
        </is>
      </c>
      <c r="O26" t="inlineStr">
        <is>
          <t>20230814</t>
        </is>
      </c>
      <c r="P26" t="inlineStr">
        <is>
          <t>Kalimantan Timur</t>
        </is>
      </c>
      <c r="Q26" t="inlineStr"/>
    </row>
    <row r="27">
      <c r="A27" t="inlineStr">
        <is>
          <t>ARINA JAYA BERSAMA</t>
        </is>
      </c>
      <c r="B27" t="inlineStr">
        <is>
          <t>Kota Palembang</t>
        </is>
      </c>
      <c r="C27" t="inlineStr">
        <is>
          <t>081271199025</t>
        </is>
      </c>
      <c r="D27" t="inlineStr">
        <is>
          <t>indrianachmad04@gmail.com</t>
        </is>
      </c>
      <c r="E27" t="inlineStr">
        <is>
          <t>https://lpjk.pu.go.id/search-badan-usaha-detail/UFowRWxBWFFIVHhDRG9zRjJ2TzE0Zz09</t>
        </is>
      </c>
      <c r="F27" t="n">
        <v>2</v>
      </c>
      <c r="G27" t="inlineStr">
        <is>
          <t>BG002, BG003</t>
        </is>
      </c>
      <c r="H27" t="inlineStr">
        <is>
          <t>6 Mei 2013</t>
        </is>
      </c>
      <c r="I27" s="2" t="n">
        <v>46256</v>
      </c>
      <c r="J27" t="inlineStr">
        <is>
          <t>Disetujui</t>
        </is>
      </c>
      <c r="K27" t="n">
        <v>60</v>
      </c>
      <c r="L27" t="inlineStr">
        <is>
          <t>22 Agustus 2026</t>
        </is>
      </c>
      <c r="M27" t="inlineStr">
        <is>
          <t>Konstruksi Gedung Industri, Konstruksi Gedung Perkantoran</t>
        </is>
      </c>
      <c r="N27" t="inlineStr">
        <is>
          <t>K</t>
        </is>
      </c>
      <c r="O27" t="inlineStr">
        <is>
          <t>20230817, 20230818</t>
        </is>
      </c>
      <c r="P27" t="inlineStr">
        <is>
          <t>Sumatera Selatan</t>
        </is>
      </c>
      <c r="Q27" t="inlineStr"/>
    </row>
    <row r="28">
      <c r="A28" t="inlineStr">
        <is>
          <t>BAGASNUSA KONSULTAN</t>
        </is>
      </c>
      <c r="B28" t="inlineStr">
        <is>
          <t>Kota Palangkaraya</t>
        </is>
      </c>
      <c r="C28" t="inlineStr">
        <is>
          <t>085252870906</t>
        </is>
      </c>
      <c r="D28" t="inlineStr">
        <is>
          <t>bagas.pry@gmail.com</t>
        </is>
      </c>
      <c r="E28" t="inlineStr">
        <is>
          <t>https://lpjk.pu.go.id/search-badan-usaha-detail/bWErVDFTNFdtYy9VbHFGeVZycXppZz09</t>
        </is>
      </c>
      <c r="F28" t="n">
        <v>1</v>
      </c>
      <c r="G28" t="inlineStr">
        <is>
          <t>RK003</t>
        </is>
      </c>
      <c r="H28" t="inlineStr">
        <is>
          <t>23 Juni 1998</t>
        </is>
      </c>
      <c r="I28" s="2" t="n">
        <v>46256</v>
      </c>
      <c r="J28" t="inlineStr">
        <is>
          <t>Disetujui</t>
        </is>
      </c>
      <c r="K28" t="n">
        <v>60</v>
      </c>
      <c r="L28" t="inlineStr">
        <is>
          <t>22 Agustus 2026</t>
        </is>
      </c>
      <c r="M28" t="inlineStr">
        <is>
          <t>Jasa Rekayasa Pekerjaan Teknik Sipil Transportasi</t>
        </is>
      </c>
      <c r="N28" t="inlineStr">
        <is>
          <t>K</t>
        </is>
      </c>
      <c r="O28" t="inlineStr">
        <is>
          <t>20230810</t>
        </is>
      </c>
      <c r="P28" t="inlineStr">
        <is>
          <t>Kalimantan Tengah</t>
        </is>
      </c>
      <c r="Q28" t="inlineStr"/>
    </row>
    <row r="29">
      <c r="A29" t="inlineStr">
        <is>
          <t>BANGUN SARANA PAPUA</t>
        </is>
      </c>
      <c r="B29" t="inlineStr">
        <is>
          <t>Kab. Boven Digoel</t>
        </is>
      </c>
      <c r="C29" t="inlineStr">
        <is>
          <t>081294363911</t>
        </is>
      </c>
      <c r="D29" t="inlineStr">
        <is>
          <t>cv.bangunsaranapapua@gmail.com</t>
        </is>
      </c>
      <c r="E29" t="inlineStr">
        <is>
          <t>https://lpjk.pu.go.id/search-badan-usaha-detail/Mi9PeGVseGVwaE1zRnBrdWhVQ1dSdz09</t>
        </is>
      </c>
      <c r="F29" t="n">
        <v>1</v>
      </c>
      <c r="G29" t="inlineStr">
        <is>
          <t>BS005</t>
        </is>
      </c>
      <c r="H29" t="inlineStr">
        <is>
          <t>8 Juli 2022</t>
        </is>
      </c>
      <c r="I29" s="2" t="n">
        <v>46256</v>
      </c>
      <c r="J29" t="inlineStr">
        <is>
          <t>Disetujui</t>
        </is>
      </c>
      <c r="K29" t="n">
        <v>60</v>
      </c>
      <c r="L29" t="inlineStr">
        <is>
          <t>22 Agustus 2026</t>
        </is>
      </c>
      <c r="M29" t="inlineStr">
        <is>
          <t>Konstruksi Bangunan Sipil Pengolahan Air Bersih</t>
        </is>
      </c>
      <c r="N29" t="inlineStr">
        <is>
          <t>K</t>
        </is>
      </c>
      <c r="O29" t="inlineStr">
        <is>
          <t>20230818</t>
        </is>
      </c>
      <c r="P29" t="inlineStr">
        <is>
          <t>Papua Selatan</t>
        </is>
      </c>
      <c r="Q29" t="inlineStr"/>
    </row>
    <row r="30">
      <c r="A30" t="inlineStr">
        <is>
          <t>BAROKAH</t>
        </is>
      </c>
      <c r="B30" t="inlineStr">
        <is>
          <t>Kab. Nagan Raya</t>
        </is>
      </c>
      <c r="C30" t="inlineStr">
        <is>
          <t>081360491691</t>
        </is>
      </c>
      <c r="D30" t="inlineStr">
        <is>
          <t>barokah.musliadi@gmail.com</t>
        </is>
      </c>
      <c r="E30" t="inlineStr">
        <is>
          <t>https://lpjk.pu.go.id/search-badan-usaha-detail/bk9ST2hlZTJOWGIwQk9hRVFtSkhYUT09</t>
        </is>
      </c>
      <c r="F30" t="n">
        <v>4</v>
      </c>
      <c r="G30" t="inlineStr">
        <is>
          <t>BG002, BS001</t>
        </is>
      </c>
      <c r="H30" t="inlineStr">
        <is>
          <t>10 Juli 2014</t>
        </is>
      </c>
      <c r="I30" s="2" t="n">
        <v>46256</v>
      </c>
      <c r="J30" t="inlineStr">
        <is>
          <t>Disetujui</t>
        </is>
      </c>
      <c r="K30" t="n">
        <v>60</v>
      </c>
      <c r="L30" t="inlineStr">
        <is>
          <t>22 Agustus 2026</t>
        </is>
      </c>
      <c r="M30" t="inlineStr">
        <is>
          <t>Konstruksi Bangunan Sipil Jalan, Konstruksi Gedung Perkantoran</t>
        </is>
      </c>
      <c r="N30" t="inlineStr">
        <is>
          <t>K</t>
        </is>
      </c>
      <c r="O30" t="inlineStr">
        <is>
          <t>20230718</t>
        </is>
      </c>
      <c r="P30" t="inlineStr">
        <is>
          <t>Aceh</t>
        </is>
      </c>
      <c r="Q30" t="inlineStr"/>
    </row>
    <row r="31">
      <c r="A31" t="inlineStr">
        <is>
          <t>BATULICIN SARANA CONSULTAN</t>
        </is>
      </c>
      <c r="B31" t="inlineStr">
        <is>
          <t>Kab. Tanah Bumbu</t>
        </is>
      </c>
      <c r="C31" t="inlineStr">
        <is>
          <t>08875100342</t>
        </is>
      </c>
      <c r="D31" t="inlineStr">
        <is>
          <t>cv.batulicinsaranaconsultan@gmail.com</t>
        </is>
      </c>
      <c r="E31" t="inlineStr">
        <is>
          <t>https://lpjk.pu.go.id/search-badan-usaha-detail/eGJXdUwzQmVnMFhqdWJSUFpCSGp0UT09</t>
        </is>
      </c>
      <c r="F31" t="n">
        <v>1</v>
      </c>
      <c r="G31" t="inlineStr">
        <is>
          <t>AR001</t>
        </is>
      </c>
      <c r="H31" t="inlineStr">
        <is>
          <t>6 Maret 2017</t>
        </is>
      </c>
      <c r="I31" s="2" t="n">
        <v>46256</v>
      </c>
      <c r="J31" t="inlineStr">
        <is>
          <t>Disetujui</t>
        </is>
      </c>
      <c r="K31" t="n">
        <v>60</v>
      </c>
      <c r="L31" t="inlineStr">
        <is>
          <t>22 Agustus 2026</t>
        </is>
      </c>
      <c r="M31" t="inlineStr">
        <is>
          <t>Jasa Arsitektural Bangunan Gedung Hunian dan Non Hunian</t>
        </is>
      </c>
      <c r="N31" t="inlineStr">
        <is>
          <t>K</t>
        </is>
      </c>
      <c r="O31" t="inlineStr">
        <is>
          <t>20230805</t>
        </is>
      </c>
      <c r="P31" t="inlineStr">
        <is>
          <t>Kalimantan Selatan</t>
        </is>
      </c>
      <c r="Q31" t="inlineStr"/>
    </row>
    <row r="32">
      <c r="A32" t="inlineStr">
        <is>
          <t>BERKAH ROBBIY</t>
        </is>
      </c>
      <c r="B32" t="inlineStr">
        <is>
          <t>Kab. Ketapang</t>
        </is>
      </c>
      <c r="C32" t="inlineStr">
        <is>
          <t>081251954151</t>
        </is>
      </c>
      <c r="D32" t="inlineStr">
        <is>
          <t>cvberkahrobbiy@gmail.com</t>
        </is>
      </c>
      <c r="E32" t="inlineStr">
        <is>
          <t>https://lpjk.pu.go.id/search-badan-usaha-detail/K0UwMG8xeERIZEJ4ckE0cUtsbFhtdz09</t>
        </is>
      </c>
      <c r="F32" t="n">
        <v>2</v>
      </c>
      <c r="G32" t="inlineStr">
        <is>
          <t>BS002</t>
        </is>
      </c>
      <c r="H32" t="inlineStr">
        <is>
          <t>18 Oktober 2021</t>
        </is>
      </c>
      <c r="I32" s="2" t="n">
        <v>46256</v>
      </c>
      <c r="J32" t="inlineStr">
        <is>
          <t>Pencabutan</t>
        </is>
      </c>
      <c r="K32" t="n">
        <v>60</v>
      </c>
      <c r="L32" t="inlineStr">
        <is>
          <t>22 Agustus 2026</t>
        </is>
      </c>
      <c r="M32" t="inlineStr">
        <is>
          <t>Bangunan Sipil Jembatan, Jalan Layang, Fly Over, dan Underpass</t>
        </is>
      </c>
      <c r="N32" t="inlineStr">
        <is>
          <t>K</t>
        </is>
      </c>
      <c r="O32" t="inlineStr">
        <is>
          <t>20230820</t>
        </is>
      </c>
      <c r="P32" t="inlineStr">
        <is>
          <t>Kalimantan Barat</t>
        </is>
      </c>
      <c r="Q32" t="inlineStr"/>
    </row>
    <row r="33">
      <c r="A33" t="inlineStr">
        <is>
          <t>BILQISSHIQA LAPAN SEMBILAN SEMBILAN</t>
        </is>
      </c>
      <c r="B33" t="inlineStr">
        <is>
          <t>Kab. Mempawah</t>
        </is>
      </c>
      <c r="C33" t="inlineStr">
        <is>
          <t>082310333989</t>
        </is>
      </c>
      <c r="D33" t="inlineStr">
        <is>
          <t>bilqis_899@yahoo.com</t>
        </is>
      </c>
      <c r="E33" t="inlineStr">
        <is>
          <t>https://lpjk.pu.go.id/search-badan-usaha-detail/Q1VkeC9OelhEYzhYeWhPamtFczZsUT09</t>
        </is>
      </c>
      <c r="F33" t="n">
        <v>1</v>
      </c>
      <c r="G33" t="inlineStr">
        <is>
          <t>BS016</t>
        </is>
      </c>
      <c r="H33" t="inlineStr">
        <is>
          <t>22 Agustus 2014</t>
        </is>
      </c>
      <c r="I33" s="2" t="n">
        <v>46256</v>
      </c>
      <c r="J33" t="inlineStr">
        <is>
          <t>Pencabutan</t>
        </is>
      </c>
      <c r="K33" t="n">
        <v>60</v>
      </c>
      <c r="L33" t="inlineStr">
        <is>
          <t>22 Agustus 2026</t>
        </is>
      </c>
      <c r="M33" t="inlineStr">
        <is>
          <t>Konstruksi Bangunan Sipil Fasilitas Olah Raga</t>
        </is>
      </c>
      <c r="N33" t="inlineStr">
        <is>
          <t>K</t>
        </is>
      </c>
      <c r="O33" t="inlineStr">
        <is>
          <t>20230628</t>
        </is>
      </c>
      <c r="P33" t="inlineStr">
        <is>
          <t>Kalimantan Barat</t>
        </is>
      </c>
      <c r="Q33" t="inlineStr"/>
    </row>
    <row r="34">
      <c r="A34" t="inlineStr">
        <is>
          <t>BINA BERSAMA SUKSES</t>
        </is>
      </c>
      <c r="B34" t="inlineStr">
        <is>
          <t>Kota Tangerang</t>
        </is>
      </c>
      <c r="C34" t="inlineStr">
        <is>
          <t>0215524821</t>
        </is>
      </c>
      <c r="D34" t="inlineStr">
        <is>
          <t>binabersamasukses_cv@yahoo.co.id</t>
        </is>
      </c>
      <c r="E34" t="inlineStr">
        <is>
          <t>https://lpjk.pu.go.id/search-badan-usaha-detail/QzdRTk9WY1BEUnU4elF5VC9iazZyUT09</t>
        </is>
      </c>
      <c r="F34" t="n">
        <v>1</v>
      </c>
      <c r="G34" t="inlineStr">
        <is>
          <t>BG006</t>
        </is>
      </c>
      <c r="H34" t="inlineStr">
        <is>
          <t>28 Juli 2023</t>
        </is>
      </c>
      <c r="I34" s="2" t="n">
        <v>46256</v>
      </c>
      <c r="J34" t="inlineStr">
        <is>
          <t>Disetujui</t>
        </is>
      </c>
      <c r="K34" t="n">
        <v>60</v>
      </c>
      <c r="L34" t="inlineStr">
        <is>
          <t>22 Agustus 2026</t>
        </is>
      </c>
      <c r="M34" t="inlineStr">
        <is>
          <t>Konstruksi Gedung Pendidikan</t>
        </is>
      </c>
      <c r="N34" t="inlineStr">
        <is>
          <t>K</t>
        </is>
      </c>
      <c r="O34" t="inlineStr">
        <is>
          <t>20230823</t>
        </is>
      </c>
      <c r="P34" t="inlineStr">
        <is>
          <t>Banten</t>
        </is>
      </c>
      <c r="Q34" t="inlineStr"/>
    </row>
    <row r="35">
      <c r="A35" t="inlineStr">
        <is>
          <t>BINTANG ABADI</t>
        </is>
      </c>
      <c r="B35" t="inlineStr">
        <is>
          <t>Kab. Jember</t>
        </is>
      </c>
      <c r="C35" t="inlineStr">
        <is>
          <t>082236236548</t>
        </is>
      </c>
      <c r="D35" t="inlineStr">
        <is>
          <t>cv.bintang.abadi29@gmail.com</t>
        </is>
      </c>
      <c r="E35" t="inlineStr">
        <is>
          <t>https://lpjk.pu.go.id/search-badan-usaha-detail/dFNOUGRZQjRMK3E5eVY4YmlhWCsydz09</t>
        </is>
      </c>
      <c r="F35" t="n">
        <v>4</v>
      </c>
      <c r="G35" t="inlineStr">
        <is>
          <t>BG005, BS001</t>
        </is>
      </c>
      <c r="H35" t="inlineStr">
        <is>
          <t>4 Februari 2022</t>
        </is>
      </c>
      <c r="I35" s="2" t="n">
        <v>46256</v>
      </c>
      <c r="J35" t="inlineStr">
        <is>
          <t>Disetujui</t>
        </is>
      </c>
      <c r="K35" t="n">
        <v>60</v>
      </c>
      <c r="L35" t="inlineStr">
        <is>
          <t>22 Agustus 2026</t>
        </is>
      </c>
      <c r="M35" t="inlineStr">
        <is>
          <t>Konstruksi Bangunan Sipil Jalan, Konstruksi Gedung Kesehatan</t>
        </is>
      </c>
      <c r="N35" t="inlineStr">
        <is>
          <t>K</t>
        </is>
      </c>
      <c r="O35" t="inlineStr">
        <is>
          <t>20230818</t>
        </is>
      </c>
      <c r="P35" t="inlineStr">
        <is>
          <t>Jawa Timur</t>
        </is>
      </c>
      <c r="Q35" t="inlineStr"/>
    </row>
    <row r="36">
      <c r="A36" t="inlineStr">
        <is>
          <t>BINTANG INTI REKATAMA</t>
        </is>
      </c>
      <c r="B36" t="inlineStr">
        <is>
          <t>Kota Makassar</t>
        </is>
      </c>
      <c r="C36" t="inlineStr">
        <is>
          <t>0411832682</t>
        </is>
      </c>
      <c r="D36" t="inlineStr">
        <is>
          <t>bintang_inti@yahoo.com</t>
        </is>
      </c>
      <c r="E36" t="inlineStr">
        <is>
          <t>https://lpjk.pu.go.id/search-badan-usaha-detail/Y0ltRjByT3pON2hkTVNrOEU0MzBmUT09</t>
        </is>
      </c>
      <c r="F36" t="n">
        <v>2</v>
      </c>
      <c r="G36" t="inlineStr">
        <is>
          <t>RK001</t>
        </is>
      </c>
      <c r="H36" t="inlineStr">
        <is>
          <t>6 November 2002</t>
        </is>
      </c>
      <c r="I36" s="2" t="n">
        <v>46256</v>
      </c>
      <c r="J36" t="inlineStr">
        <is>
          <t>Disetujui</t>
        </is>
      </c>
      <c r="K36" t="n">
        <v>60</v>
      </c>
      <c r="L36" t="inlineStr">
        <is>
          <t>22 Agustus 2026</t>
        </is>
      </c>
      <c r="M36" t="inlineStr">
        <is>
          <t>Jasa Rekayasa Konstruksi Bangunan Gedung Hunian dan Non Hunian</t>
        </is>
      </c>
      <c r="N36" t="inlineStr">
        <is>
          <t>M</t>
        </is>
      </c>
      <c r="O36" t="inlineStr">
        <is>
          <t>20230808</t>
        </is>
      </c>
      <c r="P36" t="inlineStr">
        <is>
          <t>Sulawesi Selatan</t>
        </is>
      </c>
      <c r="Q36" t="inlineStr"/>
    </row>
    <row r="37">
      <c r="A37" t="inlineStr">
        <is>
          <t>BUDI AGUNG</t>
        </is>
      </c>
      <c r="B37" t="inlineStr">
        <is>
          <t>Kab. Blitar</t>
        </is>
      </c>
      <c r="C37" t="inlineStr">
        <is>
          <t>082211122132</t>
        </is>
      </c>
      <c r="D37" t="inlineStr">
        <is>
          <t>budisantoso.be14@yahoo.co.id</t>
        </is>
      </c>
      <c r="E37" t="inlineStr">
        <is>
          <t>https://lpjk.pu.go.id/search-badan-usaha-detail/Rm9HYVcwRlM3NmJaTm5Db2o2UER6UT09</t>
        </is>
      </c>
      <c r="F37" t="n">
        <v>1</v>
      </c>
      <c r="G37" t="inlineStr">
        <is>
          <t>BG009</t>
        </is>
      </c>
      <c r="H37" t="inlineStr">
        <is>
          <t>20 Desember 1985</t>
        </is>
      </c>
      <c r="I37" s="2" t="n">
        <v>46256</v>
      </c>
      <c r="J37" t="inlineStr">
        <is>
          <t>Disetujui</t>
        </is>
      </c>
      <c r="K37" t="n">
        <v>60</v>
      </c>
      <c r="L37" t="inlineStr">
        <is>
          <t>22 Agustus 2026</t>
        </is>
      </c>
      <c r="M37" t="inlineStr">
        <is>
          <t>Konstruksi Gedung Lainnya</t>
        </is>
      </c>
      <c r="N37" t="inlineStr">
        <is>
          <t>K</t>
        </is>
      </c>
      <c r="O37" t="inlineStr">
        <is>
          <t>20230816</t>
        </is>
      </c>
      <c r="P37" t="inlineStr">
        <is>
          <t>Jawa Timur</t>
        </is>
      </c>
      <c r="Q37" t="inlineStr"/>
    </row>
    <row r="38">
      <c r="A38" t="inlineStr">
        <is>
          <t>BUMI PADJAJARAN</t>
        </is>
      </c>
      <c r="B38" t="inlineStr">
        <is>
          <t>Kota Sukabumi</t>
        </is>
      </c>
      <c r="C38" t="inlineStr">
        <is>
          <t>082262161985</t>
        </is>
      </c>
      <c r="D38" t="inlineStr">
        <is>
          <t>padjajaran.cv@gmail.com</t>
        </is>
      </c>
      <c r="E38" t="inlineStr">
        <is>
          <t>https://lpjk.pu.go.id/search-badan-usaha-detail/bFhXTjBBcWc2Q3BZSlJRKzY0VjF3dz09</t>
        </is>
      </c>
      <c r="F38" t="n">
        <v>1</v>
      </c>
      <c r="G38" t="inlineStr">
        <is>
          <t>BG009</t>
        </is>
      </c>
      <c r="H38" t="inlineStr">
        <is>
          <t>13 Februari 2014</t>
        </is>
      </c>
      <c r="I38" s="2" t="n">
        <v>46256</v>
      </c>
      <c r="J38" t="inlineStr">
        <is>
          <t>Disetujui</t>
        </is>
      </c>
      <c r="K38" t="n">
        <v>60</v>
      </c>
      <c r="L38" t="inlineStr">
        <is>
          <t>22 Agustus 2026</t>
        </is>
      </c>
      <c r="M38" t="inlineStr">
        <is>
          <t>Konstruksi Gedung Lainnya</t>
        </is>
      </c>
      <c r="N38" t="inlineStr">
        <is>
          <t>K</t>
        </is>
      </c>
      <c r="O38" t="inlineStr">
        <is>
          <t>20230807</t>
        </is>
      </c>
      <c r="P38" t="inlineStr">
        <is>
          <t>Jawa Barat</t>
        </is>
      </c>
      <c r="Q38" t="inlineStr"/>
    </row>
    <row r="39">
      <c r="A39" t="inlineStr">
        <is>
          <t>BUMI RANCANG</t>
        </is>
      </c>
      <c r="B39" t="inlineStr">
        <is>
          <t>Kab. Pemalang</t>
        </is>
      </c>
      <c r="C39" t="inlineStr">
        <is>
          <t>0818244614</t>
        </is>
      </c>
      <c r="D39" t="inlineStr">
        <is>
          <t>bumirancangcv@yahoo.com</t>
        </is>
      </c>
      <c r="E39" t="inlineStr">
        <is>
          <t>https://lpjk.pu.go.id/search-badan-usaha-detail/S3lhZ3diRGUraWFKNXp5dDZSMHRCdz09</t>
        </is>
      </c>
      <c r="F39" t="n">
        <v>3</v>
      </c>
      <c r="G39" t="inlineStr">
        <is>
          <t>BG005, BG006, BG009</t>
        </is>
      </c>
      <c r="H39" t="inlineStr">
        <is>
          <t>24 Agustus 2006</t>
        </is>
      </c>
      <c r="I39" s="2" t="n">
        <v>46256</v>
      </c>
      <c r="J39" t="inlineStr">
        <is>
          <t>Disetujui</t>
        </is>
      </c>
      <c r="K39" t="n">
        <v>60</v>
      </c>
      <c r="L39" t="inlineStr">
        <is>
          <t>22 Agustus 2026</t>
        </is>
      </c>
      <c r="M39" t="inlineStr">
        <is>
          <t>Konstruksi Gedung Kesehatan, Konstruksi Gedung Lainnya, Konstruksi Gedung Pendidikan</t>
        </is>
      </c>
      <c r="N39" t="inlineStr">
        <is>
          <t>K</t>
        </is>
      </c>
      <c r="O39" t="inlineStr">
        <is>
          <t>20230816, 20230817</t>
        </is>
      </c>
      <c r="P39" t="inlineStr">
        <is>
          <t>Jawa Tengah</t>
        </is>
      </c>
      <c r="Q39" t="inlineStr"/>
    </row>
    <row r="40">
      <c r="A40" t="inlineStr">
        <is>
          <t>BUNGASAW DHALLS</t>
        </is>
      </c>
      <c r="B40" t="inlineStr">
        <is>
          <t>Kota Palu</t>
        </is>
      </c>
      <c r="C40" t="inlineStr">
        <is>
          <t>08114500231</t>
        </is>
      </c>
      <c r="D40" t="inlineStr">
        <is>
          <t>bungasaw@yahoo.com</t>
        </is>
      </c>
      <c r="E40" t="inlineStr">
        <is>
          <t>https://lpjk.pu.go.id/search-badan-usaha-detail/bGFnWm9uUnJ0czZQd0xFd2hQMlhSdz09</t>
        </is>
      </c>
      <c r="F40" t="n">
        <v>1</v>
      </c>
      <c r="G40" t="inlineStr">
        <is>
          <t>BG006</t>
        </is>
      </c>
      <c r="H40" t="inlineStr">
        <is>
          <t>7 September 2019</t>
        </is>
      </c>
      <c r="I40" s="2" t="n">
        <v>46256</v>
      </c>
      <c r="J40" t="inlineStr">
        <is>
          <t>Disetujui</t>
        </is>
      </c>
      <c r="K40" t="n">
        <v>60</v>
      </c>
      <c r="L40" t="inlineStr">
        <is>
          <t>22 Agustus 2026</t>
        </is>
      </c>
      <c r="M40" t="inlineStr">
        <is>
          <t>Konstruksi Gedung Pendidikan</t>
        </is>
      </c>
      <c r="N40" t="inlineStr">
        <is>
          <t>K</t>
        </is>
      </c>
      <c r="O40" t="inlineStr">
        <is>
          <t>20230815</t>
        </is>
      </c>
      <c r="P40" t="inlineStr">
        <is>
          <t>Sulawesi Tengah</t>
        </is>
      </c>
      <c r="Q40" t="inlineStr"/>
    </row>
    <row r="41">
      <c r="A41" t="inlineStr">
        <is>
          <t>CATUR PILAR CAKRAWALA</t>
        </is>
      </c>
      <c r="B41" t="inlineStr">
        <is>
          <t>Kota Padang</t>
        </is>
      </c>
      <c r="C41" t="inlineStr">
        <is>
          <t>081275309168</t>
        </is>
      </c>
      <c r="D41" t="inlineStr">
        <is>
          <t>pilarcakrawalacatur@gmail.com</t>
        </is>
      </c>
      <c r="E41" t="inlineStr">
        <is>
          <t>https://lpjk.pu.go.id/search-badan-usaha-detail/SHhzZDFRMFpzTTc0UjIweE52T0gwUT09</t>
        </is>
      </c>
      <c r="F41" t="n">
        <v>1</v>
      </c>
      <c r="G41" t="inlineStr">
        <is>
          <t>BS001</t>
        </is>
      </c>
      <c r="H41" t="inlineStr">
        <is>
          <t>29 Maret 2023</t>
        </is>
      </c>
      <c r="I41" s="2" t="n">
        <v>46256</v>
      </c>
      <c r="J41" t="inlineStr">
        <is>
          <t>Disetujui</t>
        </is>
      </c>
      <c r="K41" t="n">
        <v>60</v>
      </c>
      <c r="L41" t="inlineStr">
        <is>
          <t>22 Agustus 2026</t>
        </is>
      </c>
      <c r="M41" t="inlineStr">
        <is>
          <t>Konstruksi Bangunan Sipil Jalan</t>
        </is>
      </c>
      <c r="N41" t="inlineStr">
        <is>
          <t>K</t>
        </is>
      </c>
      <c r="O41" t="inlineStr">
        <is>
          <t>20230817</t>
        </is>
      </c>
      <c r="P41" t="inlineStr">
        <is>
          <t>Sumatera Barat</t>
        </is>
      </c>
      <c r="Q41" t="inlineStr"/>
    </row>
    <row r="42">
      <c r="A42" t="inlineStr">
        <is>
          <t>CIPTA KARYA MANDIRI</t>
        </is>
      </c>
      <c r="B42" t="inlineStr">
        <is>
          <t>Kota Surabaya</t>
        </is>
      </c>
      <c r="C42" t="inlineStr">
        <is>
          <t>0318275181</t>
        </is>
      </c>
      <c r="D42" t="inlineStr">
        <is>
          <t>meisunarko@rocketmail.com</t>
        </is>
      </c>
      <c r="E42" t="inlineStr">
        <is>
          <t>https://lpjk.pu.go.id/search-badan-usaha-detail/MlpvR1RJYklqWWRaU296UFM5bDMrZz09</t>
        </is>
      </c>
      <c r="F42" t="n">
        <v>2</v>
      </c>
      <c r="G42" t="inlineStr">
        <is>
          <t>KP002</t>
        </is>
      </c>
      <c r="H42" t="inlineStr">
        <is>
          <t>8 Januari 2003</t>
        </is>
      </c>
      <c r="I42" s="2" t="n">
        <v>46256</v>
      </c>
      <c r="J42" t="inlineStr">
        <is>
          <t>Disetujui</t>
        </is>
      </c>
      <c r="K42" t="n">
        <v>60</v>
      </c>
      <c r="L42" t="inlineStr">
        <is>
          <t>22 Agustus 2026</t>
        </is>
      </c>
      <c r="M42" t="inlineStr">
        <is>
          <t>Pekerjaan Konstruksi Prapabrikasi Bangunan Sipil</t>
        </is>
      </c>
      <c r="N42" t="inlineStr">
        <is>
          <t>Spesialis</t>
        </is>
      </c>
      <c r="O42" t="inlineStr">
        <is>
          <t>20230816</t>
        </is>
      </c>
      <c r="P42" t="inlineStr">
        <is>
          <t>Jawa Timur</t>
        </is>
      </c>
      <c r="Q42" t="inlineStr"/>
    </row>
    <row r="43">
      <c r="A43" t="inlineStr">
        <is>
          <t>CIPTA KARYA NUSANTARA</t>
        </is>
      </c>
      <c r="B43" t="inlineStr">
        <is>
          <t>Kota Medan</t>
        </is>
      </c>
      <c r="C43" t="inlineStr">
        <is>
          <t>085311511270</t>
        </is>
      </c>
      <c r="D43" t="inlineStr">
        <is>
          <t>ciptakaryanusantara04@gmail.com</t>
        </is>
      </c>
      <c r="E43" t="inlineStr">
        <is>
          <t>https://lpjk.pu.go.id/search-badan-usaha-detail/Y2wxbnJSNXdHajdCUHdXQzNFNVJBdz09</t>
        </is>
      </c>
      <c r="F43" t="n">
        <v>2</v>
      </c>
      <c r="G43" t="inlineStr">
        <is>
          <t>BG004, BS001</t>
        </is>
      </c>
      <c r="H43" t="inlineStr">
        <is>
          <t>27 Mei 2015</t>
        </is>
      </c>
      <c r="I43" s="2" t="n">
        <v>46256</v>
      </c>
      <c r="J43" t="inlineStr">
        <is>
          <t>Disetujui</t>
        </is>
      </c>
      <c r="K43" t="n">
        <v>60</v>
      </c>
      <c r="L43" t="inlineStr">
        <is>
          <t>22 Agustus 2026</t>
        </is>
      </c>
      <c r="M43" t="inlineStr">
        <is>
          <t>Konstruksi Bangunan Sipil Jalan, Konstruksi Gedung Perbelanjaan</t>
        </is>
      </c>
      <c r="N43" t="inlineStr">
        <is>
          <t>K</t>
        </is>
      </c>
      <c r="O43" t="inlineStr">
        <is>
          <t>20230818, 20230821</t>
        </is>
      </c>
      <c r="P43" t="inlineStr">
        <is>
          <t>Sumatera Utara</t>
        </is>
      </c>
      <c r="Q43" t="inlineStr"/>
    </row>
    <row r="44">
      <c r="A44" t="inlineStr">
        <is>
          <t>CIPTA WIDYA KARYA</t>
        </is>
      </c>
      <c r="B44" t="inlineStr">
        <is>
          <t>Kota Kupang</t>
        </is>
      </c>
      <c r="C44" t="inlineStr">
        <is>
          <t>085239070085</t>
        </is>
      </c>
      <c r="D44" t="inlineStr">
        <is>
          <t>ciptawidyakarya@gmail.com</t>
        </is>
      </c>
      <c r="E44" t="inlineStr">
        <is>
          <t>https://lpjk.pu.go.id/search-badan-usaha-detail/YXB3WUkxTHd5OW4xYU13V3dQRSt6UT09</t>
        </is>
      </c>
      <c r="F44" t="n">
        <v>3</v>
      </c>
      <c r="G44" t="inlineStr">
        <is>
          <t>AR001, AR002, AR003</t>
        </is>
      </c>
      <c r="H44" t="inlineStr">
        <is>
          <t>16 April 2020</t>
        </is>
      </c>
      <c r="I44" s="2" t="n">
        <v>46256</v>
      </c>
      <c r="J44" t="inlineStr">
        <is>
          <t>Disetujui</t>
        </is>
      </c>
      <c r="K44" t="n">
        <v>60</v>
      </c>
      <c r="L44" t="inlineStr">
        <is>
          <t>22 Agustus 2026</t>
        </is>
      </c>
      <c r="M44" t="inlineStr">
        <is>
          <t>Jasa Arsitektural Bangunan Gedung Hunian dan Non Hunian, Jasa Arsitektural Lainnya, Jasa Desain Interior pada Bangunan Gedung dan Bangunan Sipil</t>
        </is>
      </c>
      <c r="N44" t="inlineStr">
        <is>
          <t>K</t>
        </is>
      </c>
      <c r="O44" t="inlineStr">
        <is>
          <t>20230731, 20230802</t>
        </is>
      </c>
      <c r="P44" t="inlineStr">
        <is>
          <t>Nusa Tenggara Timur</t>
        </is>
      </c>
      <c r="Q44" t="inlineStr"/>
    </row>
    <row r="45">
      <c r="A45" t="inlineStr">
        <is>
          <t>CIPTAMA KARYA SUKSES</t>
        </is>
      </c>
      <c r="B45" t="inlineStr">
        <is>
          <t>Kota Medan</t>
        </is>
      </c>
      <c r="C45" t="inlineStr">
        <is>
          <t>081288995757</t>
        </is>
      </c>
      <c r="D45" t="inlineStr">
        <is>
          <t>ciptamakaryasukses@yahoo.com</t>
        </is>
      </c>
      <c r="E45" t="inlineStr">
        <is>
          <t>https://lpjk.pu.go.id/search-badan-usaha-detail/S1ZGTzFqQmZIQVowSC9mTHlSRzJ6dz09</t>
        </is>
      </c>
      <c r="F45" t="n">
        <v>3</v>
      </c>
      <c r="G45" t="inlineStr">
        <is>
          <t>BS005</t>
        </is>
      </c>
      <c r="H45" t="inlineStr">
        <is>
          <t>15 Agustus 2013</t>
        </is>
      </c>
      <c r="I45" s="2" t="n">
        <v>46256</v>
      </c>
      <c r="J45" t="inlineStr">
        <is>
          <t>Pencabutan</t>
        </is>
      </c>
      <c r="K45" t="n">
        <v>60</v>
      </c>
      <c r="L45" t="inlineStr">
        <is>
          <t>22 Agustus 2026</t>
        </is>
      </c>
      <c r="M45" t="inlineStr">
        <is>
          <t>Konstruksi Bangunan Sipil Pengolahan Air Bersih</t>
        </is>
      </c>
      <c r="N45" t="inlineStr">
        <is>
          <t>K</t>
        </is>
      </c>
      <c r="O45" t="inlineStr">
        <is>
          <t>20230821</t>
        </is>
      </c>
      <c r="P45" t="inlineStr">
        <is>
          <t>Sumatera Utara</t>
        </is>
      </c>
      <c r="Q45" t="inlineStr"/>
    </row>
    <row r="46">
      <c r="A46" t="inlineStr">
        <is>
          <t>CITRA AKASIA</t>
        </is>
      </c>
      <c r="B46" t="inlineStr">
        <is>
          <t>Kab. Karimun</t>
        </is>
      </c>
      <c r="C46" t="inlineStr">
        <is>
          <t>081211885656</t>
        </is>
      </c>
      <c r="D46" t="inlineStr">
        <is>
          <t>citrakasia1@gmail.com</t>
        </is>
      </c>
      <c r="E46" t="inlineStr">
        <is>
          <t>https://lpjk.pu.go.id/search-badan-usaha-detail/UVFMSFdHS1BxUVkwb2hxWFJMMlNtUT09</t>
        </is>
      </c>
      <c r="F46" t="n">
        <v>1</v>
      </c>
      <c r="G46" t="inlineStr">
        <is>
          <t>BG001</t>
        </is>
      </c>
      <c r="H46" t="inlineStr">
        <is>
          <t>8 November 2022</t>
        </is>
      </c>
      <c r="I46" s="2" t="n">
        <v>46256</v>
      </c>
      <c r="J46" t="inlineStr">
        <is>
          <t>Disetujui</t>
        </is>
      </c>
      <c r="K46" t="n">
        <v>60</v>
      </c>
      <c r="L46" t="inlineStr">
        <is>
          <t>22 Agustus 2026</t>
        </is>
      </c>
      <c r="M46" t="inlineStr">
        <is>
          <t>Konstruksi Gedung Hunian</t>
        </is>
      </c>
      <c r="N46" t="inlineStr">
        <is>
          <t>K</t>
        </is>
      </c>
      <c r="O46" t="inlineStr">
        <is>
          <t>20230821</t>
        </is>
      </c>
      <c r="P46" t="inlineStr">
        <is>
          <t>Kepulauan Riau</t>
        </is>
      </c>
      <c r="Q46" t="inlineStr"/>
    </row>
    <row r="47">
      <c r="A47" t="inlineStr">
        <is>
          <t>CITRA SURYA JAYA</t>
        </is>
      </c>
      <c r="B47" t="inlineStr">
        <is>
          <t>Kota Surabaya</t>
        </is>
      </c>
      <c r="C47" t="inlineStr">
        <is>
          <t>0313815302</t>
        </is>
      </c>
      <c r="D47" t="inlineStr">
        <is>
          <t>ptcitrasuryajaya@yahoo.com</t>
        </is>
      </c>
      <c r="E47" t="inlineStr">
        <is>
          <t>https://lpjk.pu.go.id/search-badan-usaha-detail/NVhrZ2ZuTm5jVXkyeCtvNEQ0L0ZqUT09</t>
        </is>
      </c>
      <c r="F47" t="n">
        <v>1</v>
      </c>
      <c r="G47" t="inlineStr">
        <is>
          <t>BG009</t>
        </is>
      </c>
      <c r="H47" t="inlineStr">
        <is>
          <t>24 Mei 2013</t>
        </is>
      </c>
      <c r="I47" s="2" t="n">
        <v>46256</v>
      </c>
      <c r="J47" t="inlineStr">
        <is>
          <t>Disetujui</t>
        </is>
      </c>
      <c r="K47" t="n">
        <v>60</v>
      </c>
      <c r="L47" t="inlineStr">
        <is>
          <t>22 Agustus 2026</t>
        </is>
      </c>
      <c r="M47" t="inlineStr">
        <is>
          <t>Konstruksi Gedung Lainnya</t>
        </is>
      </c>
      <c r="N47" t="inlineStr">
        <is>
          <t>K</t>
        </is>
      </c>
      <c r="O47" t="inlineStr">
        <is>
          <t>20230815</t>
        </is>
      </c>
      <c r="P47" t="inlineStr">
        <is>
          <t>Jawa Timur</t>
        </is>
      </c>
      <c r="Q47" t="inlineStr"/>
    </row>
    <row r="48">
      <c r="A48" t="inlineStr">
        <is>
          <t>CV. ART CIPTA CONSULTANT</t>
        </is>
      </c>
      <c r="B48" t="inlineStr">
        <is>
          <t>Kota Jambi</t>
        </is>
      </c>
      <c r="C48" t="inlineStr">
        <is>
          <t>085267772009</t>
        </is>
      </c>
      <c r="D48" t="inlineStr">
        <is>
          <t>artciptaconsultant@yahoo.com</t>
        </is>
      </c>
      <c r="E48" t="inlineStr">
        <is>
          <t>https://lpjk.pu.go.id/search-badan-usaha-detail/TmlVVFB6RzdFTGpEbzUxc3lheXIrQT09</t>
        </is>
      </c>
      <c r="F48" t="n">
        <v>3</v>
      </c>
      <c r="G48" t="inlineStr">
        <is>
          <t>RK001, RK002, RK003</t>
        </is>
      </c>
      <c r="H48" t="inlineStr">
        <is>
          <t>31 Mei 2012</t>
        </is>
      </c>
      <c r="I48" s="2" t="n">
        <v>46256</v>
      </c>
      <c r="J48" t="inlineStr">
        <is>
          <t>Disetujui</t>
        </is>
      </c>
      <c r="K48" t="n">
        <v>60</v>
      </c>
      <c r="L48" t="inlineStr">
        <is>
          <t>22 Agustus 2026</t>
        </is>
      </c>
      <c r="M48" t="inlineStr">
        <is>
          <t>Jasa Rekayasa Konstruksi Bangunan Gedung Hunian dan Non Hunian, Jasa Rekayasa Pekerjaan Teknik Sipil Sumber Daya Air, Jasa Rekayasa Pekerjaan Teknik Sipil Transportasi</t>
        </is>
      </c>
      <c r="N48" t="inlineStr">
        <is>
          <t>K</t>
        </is>
      </c>
      <c r="O48" t="inlineStr">
        <is>
          <t>20230810, 20230811</t>
        </is>
      </c>
      <c r="P48" t="inlineStr">
        <is>
          <t>Jambi</t>
        </is>
      </c>
      <c r="Q48" t="inlineStr"/>
    </row>
    <row r="49">
      <c r="A49" t="inlineStr">
        <is>
          <t>CV. GANEFO</t>
        </is>
      </c>
      <c r="B49" t="inlineStr">
        <is>
          <t>Kab. Karanganyar</t>
        </is>
      </c>
      <c r="C49" t="inlineStr">
        <is>
          <t>085778336444</t>
        </is>
      </c>
      <c r="D49" t="inlineStr">
        <is>
          <t>ganefocv2002@gmail.com</t>
        </is>
      </c>
      <c r="E49" t="inlineStr">
        <is>
          <t>https://lpjk.pu.go.id/search-badan-usaha-detail/R1ViZ01uc0F5ZWhZS284ZTVpeFBpdz09</t>
        </is>
      </c>
      <c r="F49" t="n">
        <v>1</v>
      </c>
      <c r="G49" t="inlineStr">
        <is>
          <t>BS004</t>
        </is>
      </c>
      <c r="H49" t="inlineStr">
        <is>
          <t>15 Mei 2002</t>
        </is>
      </c>
      <c r="I49" s="2" t="n">
        <v>46256</v>
      </c>
      <c r="J49" t="inlineStr">
        <is>
          <t>Disetujui</t>
        </is>
      </c>
      <c r="K49" t="n">
        <v>60</v>
      </c>
      <c r="L49" t="inlineStr">
        <is>
          <t>22 Agustus 2026</t>
        </is>
      </c>
      <c r="M49" t="inlineStr">
        <is>
          <t>Konstruksi Jaringan Irigasi dan Drainase</t>
        </is>
      </c>
      <c r="N49" t="inlineStr">
        <is>
          <t>K</t>
        </is>
      </c>
      <c r="O49" t="inlineStr">
        <is>
          <t>20230816</t>
        </is>
      </c>
      <c r="P49" t="inlineStr">
        <is>
          <t>Jawa Tengah</t>
        </is>
      </c>
      <c r="Q49" t="inlineStr"/>
    </row>
    <row r="50">
      <c r="A50" t="inlineStr">
        <is>
          <t>CV. MITRA KONSTRUKSI</t>
        </is>
      </c>
      <c r="B50" t="inlineStr">
        <is>
          <t>Kab. Kepulauan Sangihe</t>
        </is>
      </c>
      <c r="C50" t="inlineStr">
        <is>
          <t>082189667777</t>
        </is>
      </c>
      <c r="D50" t="inlineStr">
        <is>
          <t>mitrakonstruksi.cv@gmail.com</t>
        </is>
      </c>
      <c r="E50" t="inlineStr">
        <is>
          <t>https://lpjk.pu.go.id/search-badan-usaha-detail/QVhYLzNxdi9LNkU2QURIekhScHVRQT09</t>
        </is>
      </c>
      <c r="F50" t="n">
        <v>4</v>
      </c>
      <c r="G50" t="inlineStr">
        <is>
          <t>BG001, BG006</t>
        </is>
      </c>
      <c r="H50" t="inlineStr">
        <is>
          <t>14 Februari 2014</t>
        </is>
      </c>
      <c r="I50" s="2" t="n">
        <v>46256</v>
      </c>
      <c r="J50" t="inlineStr">
        <is>
          <t>Disetujui</t>
        </is>
      </c>
      <c r="K50" t="n">
        <v>60</v>
      </c>
      <c r="L50" t="inlineStr">
        <is>
          <t>22 Agustus 2026</t>
        </is>
      </c>
      <c r="M50" t="inlineStr">
        <is>
          <t>Konstruksi Gedung Hunian, Konstruksi Gedung Pendidikan</t>
        </is>
      </c>
      <c r="N50" t="inlineStr">
        <is>
          <t>K</t>
        </is>
      </c>
      <c r="O50" t="inlineStr">
        <is>
          <t>20230818</t>
        </is>
      </c>
      <c r="P50" t="inlineStr">
        <is>
          <t>Sulawesi Utara</t>
        </is>
      </c>
      <c r="Q50" t="inlineStr"/>
    </row>
    <row r="51">
      <c r="A51" t="inlineStr">
        <is>
          <t>CV. RAYHANI</t>
        </is>
      </c>
      <c r="B51" t="inlineStr">
        <is>
          <t>Kab. Hulu Sungai Tengah</t>
        </is>
      </c>
      <c r="C51" t="inlineStr">
        <is>
          <t>085348029718</t>
        </is>
      </c>
      <c r="D51" t="inlineStr">
        <is>
          <t>rahyani.rusdi@gmail.com</t>
        </is>
      </c>
      <c r="E51" t="inlineStr">
        <is>
          <t>https://lpjk.pu.go.id/search-badan-usaha-detail/QjFEcDFzTndiNmdKRFRsQnRpbUJVUT09</t>
        </is>
      </c>
      <c r="F51" t="n">
        <v>2</v>
      </c>
      <c r="G51" t="inlineStr">
        <is>
          <t>RK003</t>
        </is>
      </c>
      <c r="H51" t="inlineStr">
        <is>
          <t>3 Maret 2016</t>
        </is>
      </c>
      <c r="I51" s="2" t="n">
        <v>46256</v>
      </c>
      <c r="J51" t="inlineStr">
        <is>
          <t>Pencabutan</t>
        </is>
      </c>
      <c r="K51" t="n">
        <v>60</v>
      </c>
      <c r="L51" t="inlineStr">
        <is>
          <t>22 Agustus 2026</t>
        </is>
      </c>
      <c r="M51" t="inlineStr">
        <is>
          <t>Jasa Rekayasa Pekerjaan Teknik Sipil Transportasi</t>
        </is>
      </c>
      <c r="N51" t="inlineStr">
        <is>
          <t>K</t>
        </is>
      </c>
      <c r="O51" t="inlineStr">
        <is>
          <t>20230801</t>
        </is>
      </c>
      <c r="P51" t="inlineStr">
        <is>
          <t>Kalimantan Selatan</t>
        </is>
      </c>
      <c r="Q51" t="inlineStr"/>
    </row>
    <row r="52">
      <c r="A52" t="inlineStr">
        <is>
          <t>DELOK MAS</t>
        </is>
      </c>
      <c r="B52" t="inlineStr">
        <is>
          <t>Kota Sukabumi</t>
        </is>
      </c>
      <c r="C52" t="inlineStr">
        <is>
          <t>081572857996</t>
        </is>
      </c>
      <c r="D52" t="inlineStr">
        <is>
          <t>delok_mas@yahoo.com</t>
        </is>
      </c>
      <c r="E52" t="inlineStr">
        <is>
          <t>https://lpjk.pu.go.id/search-badan-usaha-detail/WXlJdlJuV0VNUERpaXFrWDZ2UHdPZz09</t>
        </is>
      </c>
      <c r="F52" t="n">
        <v>1</v>
      </c>
      <c r="G52" t="inlineStr">
        <is>
          <t>BG006</t>
        </is>
      </c>
      <c r="H52" t="inlineStr">
        <is>
          <t>6 November 2012</t>
        </is>
      </c>
      <c r="I52" s="2" t="n">
        <v>46256</v>
      </c>
      <c r="J52" t="inlineStr">
        <is>
          <t>Disetujui</t>
        </is>
      </c>
      <c r="K52" t="n">
        <v>60</v>
      </c>
      <c r="L52" t="inlineStr">
        <is>
          <t>22 Agustus 2026</t>
        </is>
      </c>
      <c r="M52" t="inlineStr">
        <is>
          <t>Konstruksi Gedung Pendidikan</t>
        </is>
      </c>
      <c r="N52" t="inlineStr">
        <is>
          <t>K</t>
        </is>
      </c>
      <c r="O52" t="inlineStr">
        <is>
          <t>20230705</t>
        </is>
      </c>
      <c r="P52" t="inlineStr">
        <is>
          <t>Jawa Barat</t>
        </is>
      </c>
      <c r="Q52" t="inlineStr"/>
    </row>
    <row r="53">
      <c r="A53" t="inlineStr">
        <is>
          <t>DEMIAN ABADI</t>
        </is>
      </c>
      <c r="B53" t="inlineStr">
        <is>
          <t>Kota Kupang</t>
        </is>
      </c>
      <c r="C53" t="inlineStr">
        <is>
          <t>081261257828</t>
        </is>
      </c>
      <c r="D53" t="inlineStr">
        <is>
          <t>demianabadicv@gmail.com</t>
        </is>
      </c>
      <c r="E53" t="inlineStr">
        <is>
          <t>https://lpjk.pu.go.id/search-badan-usaha-detail/VU5BZzJSeldrVGRBdjZoQXYrcC9Edz09</t>
        </is>
      </c>
      <c r="F53" t="n">
        <v>1</v>
      </c>
      <c r="G53" t="inlineStr">
        <is>
          <t>BS001</t>
        </is>
      </c>
      <c r="H53" t="inlineStr">
        <is>
          <t>17 Januari 2023</t>
        </is>
      </c>
      <c r="I53" s="2" t="n">
        <v>46256</v>
      </c>
      <c r="J53" t="inlineStr">
        <is>
          <t>Disetujui</t>
        </is>
      </c>
      <c r="K53" t="n">
        <v>60</v>
      </c>
      <c r="L53" t="inlineStr">
        <is>
          <t>22 Agustus 2026</t>
        </is>
      </c>
      <c r="M53" t="inlineStr">
        <is>
          <t>Konstruksi Bangunan Sipil Jalan</t>
        </is>
      </c>
      <c r="N53" t="inlineStr">
        <is>
          <t>K</t>
        </is>
      </c>
      <c r="O53" t="inlineStr">
        <is>
          <t>20230818</t>
        </is>
      </c>
      <c r="P53" t="inlineStr">
        <is>
          <t>Nusa Tenggara Timur</t>
        </is>
      </c>
      <c r="Q53" t="inlineStr"/>
    </row>
    <row r="54">
      <c r="A54" t="inlineStr">
        <is>
          <t>DEWI LESTARI</t>
        </is>
      </c>
      <c r="B54" t="inlineStr">
        <is>
          <t>Kab. Ketapang</t>
        </is>
      </c>
      <c r="C54" t="inlineStr">
        <is>
          <t>089694324690</t>
        </is>
      </c>
      <c r="D54" t="inlineStr">
        <is>
          <t>darmawan64k@gmail.com</t>
        </is>
      </c>
      <c r="E54" t="inlineStr">
        <is>
          <t>https://lpjk.pu.go.id/search-badan-usaha-detail/aC9sb1pvM2NTdlFqYm9hK2RwTzBvUT09</t>
        </is>
      </c>
      <c r="F54" t="n">
        <v>1</v>
      </c>
      <c r="G54" t="inlineStr">
        <is>
          <t>BS004</t>
        </is>
      </c>
      <c r="H54" t="inlineStr">
        <is>
          <t>9 Juni 2008</t>
        </is>
      </c>
      <c r="I54" s="2" t="n">
        <v>46256</v>
      </c>
      <c r="J54" t="inlineStr">
        <is>
          <t>Disetujui</t>
        </is>
      </c>
      <c r="K54" t="n">
        <v>60</v>
      </c>
      <c r="L54" t="inlineStr">
        <is>
          <t>22 Agustus 2026</t>
        </is>
      </c>
      <c r="M54" t="inlineStr">
        <is>
          <t>Konstruksi Jaringan Irigasi dan Drainase</t>
        </is>
      </c>
      <c r="N54" t="inlineStr">
        <is>
          <t>K</t>
        </is>
      </c>
      <c r="O54" t="inlineStr">
        <is>
          <t>20230816</t>
        </is>
      </c>
      <c r="P54" t="inlineStr">
        <is>
          <t>Kalimantan Barat</t>
        </is>
      </c>
      <c r="Q54" t="inlineStr"/>
    </row>
    <row r="55">
      <c r="A55" t="inlineStr">
        <is>
          <t>DEWI WANGI</t>
        </is>
      </c>
      <c r="B55" t="inlineStr">
        <is>
          <t>Kota Mataram</t>
        </is>
      </c>
      <c r="C55" t="inlineStr">
        <is>
          <t>085282000069</t>
        </is>
      </c>
      <c r="D55" t="inlineStr">
        <is>
          <t>cvdewiwangi123@gmail.com</t>
        </is>
      </c>
      <c r="E55" t="inlineStr">
        <is>
          <t>https://lpjk.pu.go.id/search-badan-usaha-detail/aXN4TEhPQjBVQ1Rhb29URXlWR0VtQT09</t>
        </is>
      </c>
      <c r="F55" t="n">
        <v>1</v>
      </c>
      <c r="G55" t="inlineStr">
        <is>
          <t>BS002</t>
        </is>
      </c>
      <c r="H55" t="inlineStr">
        <is>
          <t>22 Juni 2012</t>
        </is>
      </c>
      <c r="I55" s="2" t="n">
        <v>46256</v>
      </c>
      <c r="J55" t="inlineStr">
        <is>
          <t>Disetujui</t>
        </is>
      </c>
      <c r="K55" t="n">
        <v>60</v>
      </c>
      <c r="L55" t="inlineStr">
        <is>
          <t>22 Agustus 2026</t>
        </is>
      </c>
      <c r="M55" t="inlineStr">
        <is>
          <t>Bangunan Sipil Jembatan, Jalan Layang, Fly Over, dan Underpass</t>
        </is>
      </c>
      <c r="N55" t="inlineStr">
        <is>
          <t>K</t>
        </is>
      </c>
      <c r="O55" t="inlineStr">
        <is>
          <t>20230817</t>
        </is>
      </c>
      <c r="P55" t="inlineStr">
        <is>
          <t>Nusa Tenggara Barat</t>
        </is>
      </c>
      <c r="Q55" t="inlineStr"/>
    </row>
    <row r="56">
      <c r="A56" t="inlineStr">
        <is>
          <t>DIAN SARANA</t>
        </is>
      </c>
      <c r="B56" t="inlineStr">
        <is>
          <t>Kab. Kuningan</t>
        </is>
      </c>
      <c r="C56" t="inlineStr">
        <is>
          <t>08112244050</t>
        </is>
      </c>
      <c r="D56" t="inlineStr">
        <is>
          <t>gm.winduhaji@yahoo.co.id</t>
        </is>
      </c>
      <c r="E56" t="inlineStr">
        <is>
          <t>https://lpjk.pu.go.id/search-badan-usaha-detail/OEE0d2wxNjVMdkN5SDFWcklNZk00dz09</t>
        </is>
      </c>
      <c r="F56" t="n">
        <v>1</v>
      </c>
      <c r="G56" t="inlineStr">
        <is>
          <t>BG005</t>
        </is>
      </c>
      <c r="H56" t="inlineStr">
        <is>
          <t>16 Februari 1987</t>
        </is>
      </c>
      <c r="I56" s="2" t="n">
        <v>46256</v>
      </c>
      <c r="J56" t="inlineStr">
        <is>
          <t>Disetujui</t>
        </is>
      </c>
      <c r="K56" t="n">
        <v>60</v>
      </c>
      <c r="L56" t="inlineStr">
        <is>
          <t>22 Agustus 2026</t>
        </is>
      </c>
      <c r="M56" t="inlineStr">
        <is>
          <t>Konstruksi Gedung Kesehatan</t>
        </is>
      </c>
      <c r="N56" t="inlineStr">
        <is>
          <t>K</t>
        </is>
      </c>
      <c r="O56" t="inlineStr">
        <is>
          <t>20230818</t>
        </is>
      </c>
      <c r="P56" t="inlineStr">
        <is>
          <t>Jawa Barat</t>
        </is>
      </c>
      <c r="Q56" t="inlineStr"/>
    </row>
    <row r="57">
      <c r="A57" t="inlineStr">
        <is>
          <t>DINANDO KEMBAR</t>
        </is>
      </c>
      <c r="B57" t="inlineStr">
        <is>
          <t>Kab. Toba Samosir</t>
        </is>
      </c>
      <c r="C57" t="inlineStr">
        <is>
          <t>085361636544</t>
        </is>
      </c>
      <c r="D57" t="inlineStr">
        <is>
          <t>cv.dinandokembar@gmail.com</t>
        </is>
      </c>
      <c r="E57" t="inlineStr">
        <is>
          <t>https://lpjk.pu.go.id/search-badan-usaha-detail/TkUrOXBnVkJUUHk5ajl6b3JKRkFXdz09</t>
        </is>
      </c>
      <c r="F57" t="n">
        <v>2</v>
      </c>
      <c r="G57" t="inlineStr">
        <is>
          <t>BS001</t>
        </is>
      </c>
      <c r="H57" t="inlineStr">
        <is>
          <t>2 Juli 2020</t>
        </is>
      </c>
      <c r="I57" s="2" t="n">
        <v>46256</v>
      </c>
      <c r="J57" t="inlineStr">
        <is>
          <t>Disetujui</t>
        </is>
      </c>
      <c r="K57" t="n">
        <v>60</v>
      </c>
      <c r="L57" t="inlineStr">
        <is>
          <t>22 Agustus 2026</t>
        </is>
      </c>
      <c r="M57" t="inlineStr">
        <is>
          <t>Konstruksi Bangunan Sipil Jalan</t>
        </is>
      </c>
      <c r="N57" t="inlineStr">
        <is>
          <t>K</t>
        </is>
      </c>
      <c r="O57" t="inlineStr">
        <is>
          <t>20230819</t>
        </is>
      </c>
      <c r="P57" t="inlineStr">
        <is>
          <t>Sumatera Utara</t>
        </is>
      </c>
      <c r="Q57" t="inlineStr"/>
    </row>
    <row r="58">
      <c r="A58" t="inlineStr">
        <is>
          <t>DUA PUTRA PERKASA</t>
        </is>
      </c>
      <c r="B58" t="inlineStr">
        <is>
          <t>Kab. Majene</t>
        </is>
      </c>
      <c r="C58" t="inlineStr">
        <is>
          <t>085396957987</t>
        </is>
      </c>
      <c r="D58" t="inlineStr">
        <is>
          <t>putraperkasa283@gmail.com</t>
        </is>
      </c>
      <c r="E58" t="inlineStr">
        <is>
          <t>https://lpjk.pu.go.id/search-badan-usaha-detail/Y0Fzem8wWWVJcWRSQzV6VGdzWS9qdz09</t>
        </is>
      </c>
      <c r="F58" t="n">
        <v>1</v>
      </c>
      <c r="G58" t="inlineStr">
        <is>
          <t>BG006</t>
        </is>
      </c>
      <c r="H58" t="inlineStr">
        <is>
          <t>31 Desember 2002</t>
        </is>
      </c>
      <c r="I58" s="2" t="n">
        <v>46256</v>
      </c>
      <c r="J58" t="inlineStr">
        <is>
          <t>Pencabutan</t>
        </is>
      </c>
      <c r="K58" t="n">
        <v>60</v>
      </c>
      <c r="L58" t="inlineStr">
        <is>
          <t>22 Agustus 2026</t>
        </is>
      </c>
      <c r="M58" t="inlineStr">
        <is>
          <t>Konstruksi Gedung Pendidikan</t>
        </is>
      </c>
      <c r="N58" t="inlineStr">
        <is>
          <t>K</t>
        </is>
      </c>
      <c r="O58" t="inlineStr">
        <is>
          <t>20230816</t>
        </is>
      </c>
      <c r="P58" t="inlineStr">
        <is>
          <t>Sulawesi Barat</t>
        </is>
      </c>
      <c r="Q58" t="inlineStr"/>
    </row>
    <row r="59">
      <c r="A59" t="inlineStr">
        <is>
          <t>DUTA SARANA</t>
        </is>
      </c>
      <c r="B59" t="inlineStr">
        <is>
          <t>Kab. Sintang</t>
        </is>
      </c>
      <c r="C59" t="inlineStr">
        <is>
          <t>0811575929</t>
        </is>
      </c>
      <c r="D59" t="inlineStr">
        <is>
          <t>dutasarana.cv@yahoo.com</t>
        </is>
      </c>
      <c r="E59" t="inlineStr">
        <is>
          <t>https://lpjk.pu.go.id/search-badan-usaha-detail/eG82RFFhemM3blYvTkRaWWIvMjJNQT09</t>
        </is>
      </c>
      <c r="F59" t="n">
        <v>1</v>
      </c>
      <c r="G59" t="inlineStr">
        <is>
          <t>BG009</t>
        </is>
      </c>
      <c r="H59" t="inlineStr">
        <is>
          <t>28 Maret 2006</t>
        </is>
      </c>
      <c r="I59" s="2" t="n">
        <v>46256</v>
      </c>
      <c r="J59" t="inlineStr">
        <is>
          <t>Disetujui</t>
        </is>
      </c>
      <c r="K59" t="n">
        <v>60</v>
      </c>
      <c r="L59" t="inlineStr">
        <is>
          <t>22 Agustus 2026</t>
        </is>
      </c>
      <c r="M59" t="inlineStr">
        <is>
          <t>Konstruksi Gedung Lainnya</t>
        </is>
      </c>
      <c r="N59" t="inlineStr">
        <is>
          <t>K</t>
        </is>
      </c>
      <c r="O59" t="inlineStr">
        <is>
          <t>20230814</t>
        </is>
      </c>
      <c r="P59" t="inlineStr">
        <is>
          <t>Kalimantan Barat</t>
        </is>
      </c>
      <c r="Q59" t="inlineStr"/>
    </row>
    <row r="60">
      <c r="A60" t="inlineStr">
        <is>
          <t>ESHA MANDIRI</t>
        </is>
      </c>
      <c r="B60" t="inlineStr">
        <is>
          <t>Kab. Majalengka</t>
        </is>
      </c>
      <c r="C60" t="inlineStr">
        <is>
          <t>085318510066</t>
        </is>
      </c>
      <c r="D60" t="inlineStr">
        <is>
          <t>Esha.mandiri@yahoo.co.id</t>
        </is>
      </c>
      <c r="E60" t="inlineStr">
        <is>
          <t>https://lpjk.pu.go.id/search-badan-usaha-detail/cFpFYndpb3EvcVFpKzZmUjVUODJwZz09</t>
        </is>
      </c>
      <c r="F60" t="n">
        <v>1</v>
      </c>
      <c r="G60" t="inlineStr">
        <is>
          <t>BS001</t>
        </is>
      </c>
      <c r="H60" t="inlineStr">
        <is>
          <t>26 Agustus 2015</t>
        </is>
      </c>
      <c r="I60" s="2" t="n">
        <v>46256</v>
      </c>
      <c r="J60" t="inlineStr">
        <is>
          <t>Disetujui</t>
        </is>
      </c>
      <c r="K60" t="n">
        <v>60</v>
      </c>
      <c r="L60" t="inlineStr">
        <is>
          <t>22 Agustus 2026</t>
        </is>
      </c>
      <c r="M60" t="inlineStr">
        <is>
          <t>Konstruksi Bangunan Sipil Jalan</t>
        </is>
      </c>
      <c r="N60" t="inlineStr">
        <is>
          <t>K</t>
        </is>
      </c>
      <c r="O60" t="inlineStr">
        <is>
          <t>20230821</t>
        </is>
      </c>
      <c r="P60" t="inlineStr">
        <is>
          <t>Jawa Barat</t>
        </is>
      </c>
      <c r="Q60" t="inlineStr"/>
    </row>
    <row r="61">
      <c r="A61" t="inlineStr">
        <is>
          <t>GEMILANG INDAH MANDIRI</t>
        </is>
      </c>
      <c r="B61" t="inlineStr">
        <is>
          <t>Kota Jambi</t>
        </is>
      </c>
      <c r="C61" t="inlineStr">
        <is>
          <t>085273204077</t>
        </is>
      </c>
      <c r="D61" t="inlineStr">
        <is>
          <t>cv.gemilangindahmandiri@gmail.com</t>
        </is>
      </c>
      <c r="E61" t="inlineStr">
        <is>
          <t>https://lpjk.pu.go.id/search-badan-usaha-detail/eHgvdWJmU3A0c0E3SFBDYU5odFA5Zz09</t>
        </is>
      </c>
      <c r="F61" t="n">
        <v>3</v>
      </c>
      <c r="G61" t="inlineStr">
        <is>
          <t>BG006, BG009, BS004</t>
        </is>
      </c>
      <c r="H61" t="inlineStr">
        <is>
          <t>11 April 2017</t>
        </is>
      </c>
      <c r="I61" s="2" t="n">
        <v>46256</v>
      </c>
      <c r="J61" t="inlineStr">
        <is>
          <t>Disetujui</t>
        </is>
      </c>
      <c r="K61" t="n">
        <v>60</v>
      </c>
      <c r="L61" t="inlineStr">
        <is>
          <t>22 Agustus 2026</t>
        </is>
      </c>
      <c r="M61" t="inlineStr">
        <is>
          <t>Konstruksi Gedung Lainnya, Konstruksi Gedung Pendidikan, Konstruksi Jaringan Irigasi dan Drainase</t>
        </is>
      </c>
      <c r="N61" t="inlineStr">
        <is>
          <t>K</t>
        </is>
      </c>
      <c r="O61" t="inlineStr">
        <is>
          <t>20230814, 20230818</t>
        </is>
      </c>
      <c r="P61" t="inlineStr">
        <is>
          <t>Jambi</t>
        </is>
      </c>
      <c r="Q61" t="inlineStr"/>
    </row>
    <row r="62">
      <c r="A62" t="inlineStr">
        <is>
          <t>GLOBAL ENGINEERING INTERNATIONAL</t>
        </is>
      </c>
      <c r="B62" t="inlineStr">
        <is>
          <t>Kota Adm. Jakarta Selatan</t>
        </is>
      </c>
      <c r="C62" t="inlineStr">
        <is>
          <t>0217883380</t>
        </is>
      </c>
      <c r="D62" t="inlineStr">
        <is>
          <t>ptglobal.ei@gmail.com</t>
        </is>
      </c>
      <c r="E62" t="inlineStr">
        <is>
          <t>https://lpjk.pu.go.id/search-badan-usaha-detail/L3h2bkdJdHRXaHlVZkJRV0sxTGJ0dz09</t>
        </is>
      </c>
      <c r="F62" t="n">
        <v>2</v>
      </c>
      <c r="G62" t="inlineStr">
        <is>
          <t>RK004, RT003</t>
        </is>
      </c>
      <c r="H62" t="inlineStr">
        <is>
          <t>11 November 2010</t>
        </is>
      </c>
      <c r="I62" s="2" t="n">
        <v>46256</v>
      </c>
      <c r="J62" t="inlineStr">
        <is>
          <t>Disetujui</t>
        </is>
      </c>
      <c r="K62" t="n">
        <v>60</v>
      </c>
      <c r="L62" t="inlineStr">
        <is>
          <t>22 Agustus 2026</t>
        </is>
      </c>
      <c r="M62" t="inlineStr">
        <is>
          <t>Jasa Rekayasa Konstruksi Proses Industrial, Produksi, dan Fasilitas Produksi, Jasa Rekayasa Pekerjaan Mekanikal Dalam Bangunan</t>
        </is>
      </c>
      <c r="N62" t="inlineStr">
        <is>
          <t>K</t>
        </is>
      </c>
      <c r="O62" t="inlineStr">
        <is>
          <t>20230811</t>
        </is>
      </c>
      <c r="P62" t="inlineStr">
        <is>
          <t>DKI Jakarta</t>
        </is>
      </c>
      <c r="Q62" t="inlineStr"/>
    </row>
    <row r="63">
      <c r="A63" t="inlineStr">
        <is>
          <t>GRAHA GUNA GATRA</t>
        </is>
      </c>
      <c r="B63" t="inlineStr">
        <is>
          <t>Kota Surabaya</t>
        </is>
      </c>
      <c r="C63" t="inlineStr">
        <is>
          <t>081285904566</t>
        </is>
      </c>
      <c r="D63" t="inlineStr">
        <is>
          <t>grahagunagatra@gmail.com</t>
        </is>
      </c>
      <c r="E63" t="inlineStr">
        <is>
          <t>https://lpjk.pu.go.id/search-badan-usaha-detail/eXczV1prMHRmYXdnOHIxRkQzVlc3QT09</t>
        </is>
      </c>
      <c r="F63" t="n">
        <v>1</v>
      </c>
      <c r="G63" t="inlineStr">
        <is>
          <t>RK002</t>
        </is>
      </c>
      <c r="H63" t="inlineStr">
        <is>
          <t>23 Oktober 2001</t>
        </is>
      </c>
      <c r="I63" s="2" t="n">
        <v>46256</v>
      </c>
      <c r="J63" t="inlineStr">
        <is>
          <t>Disetujui</t>
        </is>
      </c>
      <c r="K63" t="n">
        <v>60</v>
      </c>
      <c r="L63" t="inlineStr">
        <is>
          <t>22 Agustus 2026</t>
        </is>
      </c>
      <c r="M63" t="inlineStr">
        <is>
          <t>Jasa Rekayasa Pekerjaan Teknik Sipil Sumber Daya Air</t>
        </is>
      </c>
      <c r="N63" t="inlineStr">
        <is>
          <t>K</t>
        </is>
      </c>
      <c r="O63" t="inlineStr">
        <is>
          <t>20230807</t>
        </is>
      </c>
      <c r="P63" t="inlineStr">
        <is>
          <t>Jawa Timur</t>
        </is>
      </c>
      <c r="Q63" t="inlineStr"/>
    </row>
    <row r="64">
      <c r="A64" t="inlineStr">
        <is>
          <t>HALIM JAYA ABADI</t>
        </is>
      </c>
      <c r="B64" t="inlineStr">
        <is>
          <t>Kab. Jember</t>
        </is>
      </c>
      <c r="C64" t="inlineStr">
        <is>
          <t>085257771269</t>
        </is>
      </c>
      <c r="D64" t="inlineStr">
        <is>
          <t>halimjayaabadi@gmail.com</t>
        </is>
      </c>
      <c r="E64" t="inlineStr">
        <is>
          <t>https://lpjk.pu.go.id/search-badan-usaha-detail/Q0FSa3M5RUJEU2FUNW8zdzdyVEE2QT09</t>
        </is>
      </c>
      <c r="F64" t="n">
        <v>1</v>
      </c>
      <c r="G64" t="inlineStr">
        <is>
          <t>BG005</t>
        </is>
      </c>
      <c r="H64" t="inlineStr">
        <is>
          <t>22 Desember 2015</t>
        </is>
      </c>
      <c r="I64" s="2" t="n">
        <v>46256</v>
      </c>
      <c r="J64" t="inlineStr">
        <is>
          <t>Disetujui</t>
        </is>
      </c>
      <c r="K64" t="n">
        <v>60</v>
      </c>
      <c r="L64" t="inlineStr">
        <is>
          <t>22 Agustus 2026</t>
        </is>
      </c>
      <c r="M64" t="inlineStr">
        <is>
          <t>Konstruksi Gedung Kesehatan</t>
        </is>
      </c>
      <c r="N64" t="inlineStr">
        <is>
          <t>K</t>
        </is>
      </c>
      <c r="O64" t="inlineStr">
        <is>
          <t>20230815</t>
        </is>
      </c>
      <c r="P64" t="inlineStr">
        <is>
          <t>Jawa Timur</t>
        </is>
      </c>
      <c r="Q64" t="inlineStr"/>
    </row>
    <row r="65">
      <c r="A65" t="inlineStr">
        <is>
          <t>HASIL KARYA KONSULTAN</t>
        </is>
      </c>
      <c r="B65" t="inlineStr">
        <is>
          <t>Kab. Sidoarjo</t>
        </is>
      </c>
      <c r="C65" t="inlineStr">
        <is>
          <t>0319898798</t>
        </is>
      </c>
      <c r="D65" t="inlineStr">
        <is>
          <t>hasilkaryakons@gmail.com</t>
        </is>
      </c>
      <c r="E65" t="inlineStr">
        <is>
          <t>https://lpjk.pu.go.id/search-badan-usaha-detail/SlZZR3JHb0pRdjM1UkRoK1EzQVdidz09</t>
        </is>
      </c>
      <c r="F65" t="n">
        <v>1</v>
      </c>
      <c r="G65" t="inlineStr">
        <is>
          <t>AR002</t>
        </is>
      </c>
      <c r="H65" t="inlineStr">
        <is>
          <t>13 Juni 2009</t>
        </is>
      </c>
      <c r="I65" s="2" t="n">
        <v>46256</v>
      </c>
      <c r="J65" t="inlineStr">
        <is>
          <t>Disetujui</t>
        </is>
      </c>
      <c r="K65" t="n">
        <v>60</v>
      </c>
      <c r="L65" t="inlineStr">
        <is>
          <t>22 Agustus 2026</t>
        </is>
      </c>
      <c r="M65" t="inlineStr">
        <is>
          <t>Jasa Arsitektural Lainnya</t>
        </is>
      </c>
      <c r="N65" t="inlineStr">
        <is>
          <t>K</t>
        </is>
      </c>
      <c r="O65" t="inlineStr">
        <is>
          <t>20230810</t>
        </is>
      </c>
      <c r="P65" t="inlineStr">
        <is>
          <t>Jawa Timur</t>
        </is>
      </c>
      <c r="Q65" t="inlineStr"/>
    </row>
    <row r="66">
      <c r="A66" t="inlineStr">
        <is>
          <t>HIJAU HITAM MANDIRI</t>
        </is>
      </c>
      <c r="B66" t="inlineStr">
        <is>
          <t>Kab. Seram Bagian Timur</t>
        </is>
      </c>
      <c r="C66" t="inlineStr">
        <is>
          <t>081343337372</t>
        </is>
      </c>
      <c r="D66" t="inlineStr">
        <is>
          <t>cvhijauhitammandiri@gmail.com</t>
        </is>
      </c>
      <c r="E66" t="inlineStr">
        <is>
          <t>https://lpjk.pu.go.id/search-badan-usaha-detail/dmFUUWZkeUE3RUNCeHg4aXVpckRUZz09</t>
        </is>
      </c>
      <c r="F66" t="n">
        <v>2</v>
      </c>
      <c r="G66" t="inlineStr">
        <is>
          <t>BG001</t>
        </is>
      </c>
      <c r="H66" t="inlineStr">
        <is>
          <t>15 November 2005</t>
        </is>
      </c>
      <c r="I66" s="2" t="n">
        <v>46256</v>
      </c>
      <c r="J66" t="inlineStr">
        <is>
          <t>Disetujui</t>
        </is>
      </c>
      <c r="K66" t="n">
        <v>60</v>
      </c>
      <c r="L66" t="inlineStr">
        <is>
          <t>22 Agustus 2026</t>
        </is>
      </c>
      <c r="M66" t="inlineStr">
        <is>
          <t>Konstruksi Gedung Hunian</t>
        </is>
      </c>
      <c r="N66" t="inlineStr">
        <is>
          <t>K</t>
        </is>
      </c>
      <c r="O66" t="inlineStr">
        <is>
          <t>20230821</t>
        </is>
      </c>
      <c r="P66" t="inlineStr">
        <is>
          <t>Maluku</t>
        </is>
      </c>
      <c r="Q66" t="inlineStr"/>
    </row>
    <row r="67">
      <c r="A67" t="inlineStr">
        <is>
          <t>HIKMAH</t>
        </is>
      </c>
      <c r="B67" t="inlineStr">
        <is>
          <t>Kab. Banggai</t>
        </is>
      </c>
      <c r="C67" t="inlineStr">
        <is>
          <t>082292946251</t>
        </is>
      </c>
      <c r="D67" t="inlineStr">
        <is>
          <t>nhana1008@gmail.com</t>
        </is>
      </c>
      <c r="E67" t="inlineStr">
        <is>
          <t>https://lpjk.pu.go.id/search-badan-usaha-detail/SW9oTXlkWnh4NHlodDYzZGNQTFFzUT09</t>
        </is>
      </c>
      <c r="F67" t="n">
        <v>1</v>
      </c>
      <c r="G67" t="inlineStr">
        <is>
          <t>BS001</t>
        </is>
      </c>
      <c r="H67" t="inlineStr">
        <is>
          <t>8 Maret 1983</t>
        </is>
      </c>
      <c r="I67" s="2" t="n">
        <v>46256</v>
      </c>
      <c r="J67" t="inlineStr">
        <is>
          <t>Disetujui</t>
        </is>
      </c>
      <c r="K67" t="n">
        <v>60</v>
      </c>
      <c r="L67" t="inlineStr">
        <is>
          <t>22 Agustus 2026</t>
        </is>
      </c>
      <c r="M67" t="inlineStr">
        <is>
          <t>Konstruksi Bangunan Sipil Jalan</t>
        </is>
      </c>
      <c r="N67" t="inlineStr">
        <is>
          <t>K</t>
        </is>
      </c>
      <c r="O67" t="inlineStr">
        <is>
          <t>20230804</t>
        </is>
      </c>
      <c r="P67" t="inlineStr">
        <is>
          <t>Sulawesi Tengah</t>
        </is>
      </c>
      <c r="Q67" t="inlineStr"/>
    </row>
    <row r="68">
      <c r="A68" t="inlineStr">
        <is>
          <t>IDE KREASI KONSULTAN</t>
        </is>
      </c>
      <c r="B68" t="inlineStr">
        <is>
          <t>Kota Jambi</t>
        </is>
      </c>
      <c r="C68" t="inlineStr">
        <is>
          <t>082259855739</t>
        </is>
      </c>
      <c r="D68" t="inlineStr">
        <is>
          <t>cv.idekreasikonsultan@gmail.com</t>
        </is>
      </c>
      <c r="E68" t="inlineStr">
        <is>
          <t>https://lpjk.pu.go.id/search-badan-usaha-detail/Uk84SmlzaSt6dnRkRytKRGFkWXBkZz09</t>
        </is>
      </c>
      <c r="F68" t="n">
        <v>2</v>
      </c>
      <c r="G68" t="inlineStr">
        <is>
          <t>RK002, RK003</t>
        </is>
      </c>
      <c r="H68" t="inlineStr">
        <is>
          <t>14 Desember 2022</t>
        </is>
      </c>
      <c r="I68" s="2" t="n">
        <v>46256</v>
      </c>
      <c r="J68" t="inlineStr">
        <is>
          <t>Disetujui</t>
        </is>
      </c>
      <c r="K68" t="n">
        <v>60</v>
      </c>
      <c r="L68" t="inlineStr">
        <is>
          <t>22 Agustus 2026</t>
        </is>
      </c>
      <c r="M68" t="inlineStr">
        <is>
          <t>Jasa Rekayasa Pekerjaan Teknik Sipil Sumber Daya Air, Jasa Rekayasa Pekerjaan Teknik Sipil Transportasi</t>
        </is>
      </c>
      <c r="N68" t="inlineStr">
        <is>
          <t>K</t>
        </is>
      </c>
      <c r="O68" t="inlineStr">
        <is>
          <t>20230406, 20230808</t>
        </is>
      </c>
      <c r="P68" t="inlineStr">
        <is>
          <t>Jambi</t>
        </is>
      </c>
      <c r="Q68" t="inlineStr"/>
    </row>
    <row r="69">
      <c r="A69" t="inlineStr">
        <is>
          <t>ILHAM ILAHI</t>
        </is>
      </c>
      <c r="B69" t="inlineStr">
        <is>
          <t>Kab. Kepulauan Meranti</t>
        </is>
      </c>
      <c r="C69" t="inlineStr">
        <is>
          <t>081268123381</t>
        </is>
      </c>
      <c r="D69" t="inlineStr">
        <is>
          <t>cv.ilhamilahi@yopmail.com</t>
        </is>
      </c>
      <c r="E69" t="inlineStr">
        <is>
          <t>https://lpjk.pu.go.id/search-badan-usaha-detail/NUlTbGgwbkpVRjFZZEpDUUJ0RWlqdz09</t>
        </is>
      </c>
      <c r="F69" t="n">
        <v>1</v>
      </c>
      <c r="G69" t="inlineStr">
        <is>
          <t>BS004</t>
        </is>
      </c>
      <c r="H69" t="inlineStr">
        <is>
          <t>6 November 2001</t>
        </is>
      </c>
      <c r="I69" s="2" t="n">
        <v>46256</v>
      </c>
      <c r="J69" t="inlineStr">
        <is>
          <t>Disetujui</t>
        </is>
      </c>
      <c r="K69" t="n">
        <v>60</v>
      </c>
      <c r="L69" t="inlineStr">
        <is>
          <t>22 Agustus 2026</t>
        </is>
      </c>
      <c r="M69" t="inlineStr">
        <is>
          <t>Konstruksi Jaringan Irigasi dan Drainase</t>
        </is>
      </c>
      <c r="N69" t="inlineStr">
        <is>
          <t>K</t>
        </is>
      </c>
      <c r="O69" t="inlineStr">
        <is>
          <t>20230815</t>
        </is>
      </c>
      <c r="P69" t="inlineStr">
        <is>
          <t>Riau</t>
        </is>
      </c>
      <c r="Q69" t="inlineStr"/>
    </row>
    <row r="70">
      <c r="A70" t="inlineStr">
        <is>
          <t>INDONESIA INDAH</t>
        </is>
      </c>
      <c r="B70" t="inlineStr">
        <is>
          <t>Kab. Polewali Mandar</t>
        </is>
      </c>
      <c r="C70" t="inlineStr">
        <is>
          <t>082346546286</t>
        </is>
      </c>
      <c r="D70" t="inlineStr">
        <is>
          <t>cvindonesiaindah73@gmail.com</t>
        </is>
      </c>
      <c r="E70" t="inlineStr">
        <is>
          <t>https://lpjk.pu.go.id/search-badan-usaha-detail/NHludXlvcHdJYTJZajdUdU1MYURldz09</t>
        </is>
      </c>
      <c r="F70" t="n">
        <v>1</v>
      </c>
      <c r="G70" t="inlineStr">
        <is>
          <t>BG008</t>
        </is>
      </c>
      <c r="H70" t="inlineStr">
        <is>
          <t>3 Desember 1984</t>
        </is>
      </c>
      <c r="I70" s="2" t="n">
        <v>46256</v>
      </c>
      <c r="J70" t="inlineStr">
        <is>
          <t>Pencabutan</t>
        </is>
      </c>
      <c r="K70" t="n">
        <v>60</v>
      </c>
      <c r="L70" t="inlineStr">
        <is>
          <t>22 Agustus 2026</t>
        </is>
      </c>
      <c r="M70" t="inlineStr">
        <is>
          <t>Konstruksi Gedung Tempat Hiburan dan Olahraga</t>
        </is>
      </c>
      <c r="N70" t="inlineStr">
        <is>
          <t>K</t>
        </is>
      </c>
      <c r="O70" t="inlineStr">
        <is>
          <t>20230820</t>
        </is>
      </c>
      <c r="P70" t="inlineStr">
        <is>
          <t>Sulawesi Barat</t>
        </is>
      </c>
      <c r="Q70" t="inlineStr"/>
    </row>
    <row r="71">
      <c r="A71" t="inlineStr">
        <is>
          <t>INTAN MULYA</t>
        </is>
      </c>
      <c r="B71" t="inlineStr">
        <is>
          <t>Kab. Magetan</t>
        </is>
      </c>
      <c r="C71" t="inlineStr">
        <is>
          <t>081235367250</t>
        </is>
      </c>
      <c r="D71" t="inlineStr">
        <is>
          <t>int.mulya@gmail.com</t>
        </is>
      </c>
      <c r="E71" t="inlineStr">
        <is>
          <t>https://lpjk.pu.go.id/search-badan-usaha-detail/bWt1aHpsZm4zeTN1eVIvSTFaM285dz09</t>
        </is>
      </c>
      <c r="F71" t="n">
        <v>1</v>
      </c>
      <c r="G71" t="inlineStr">
        <is>
          <t>RK003</t>
        </is>
      </c>
      <c r="H71" t="inlineStr">
        <is>
          <t>19 Oktober 2021</t>
        </is>
      </c>
      <c r="I71" s="2" t="n">
        <v>46256</v>
      </c>
      <c r="J71" t="inlineStr">
        <is>
          <t>Disetujui</t>
        </is>
      </c>
      <c r="K71" t="n">
        <v>60</v>
      </c>
      <c r="L71" t="inlineStr">
        <is>
          <t>22 Agustus 2026</t>
        </is>
      </c>
      <c r="M71" t="inlineStr">
        <is>
          <t>Jasa Rekayasa Pekerjaan Teknik Sipil Transportasi</t>
        </is>
      </c>
      <c r="N71" t="inlineStr">
        <is>
          <t>K</t>
        </is>
      </c>
      <c r="O71" t="inlineStr">
        <is>
          <t>20230613</t>
        </is>
      </c>
      <c r="P71" t="inlineStr">
        <is>
          <t>Jawa Timur</t>
        </is>
      </c>
      <c r="Q71" t="inlineStr"/>
    </row>
    <row r="72">
      <c r="A72" t="inlineStr">
        <is>
          <t>JASA NIAGA</t>
        </is>
      </c>
      <c r="B72" t="inlineStr">
        <is>
          <t>Kab. Malang</t>
        </is>
      </c>
      <c r="C72" t="inlineStr">
        <is>
          <t>0341552257</t>
        </is>
      </c>
      <c r="D72" t="inlineStr">
        <is>
          <t>jasaniaga@ymail.com</t>
        </is>
      </c>
      <c r="E72" t="inlineStr">
        <is>
          <t>https://lpjk.pu.go.id/search-badan-usaha-detail/MW1wUnJuL040Uk41Q1UzMTQxNWkvZz09</t>
        </is>
      </c>
      <c r="F72" t="n">
        <v>1</v>
      </c>
      <c r="G72" t="inlineStr">
        <is>
          <t>BG006</t>
        </is>
      </c>
      <c r="H72" t="inlineStr">
        <is>
          <t>31 Maret 1986</t>
        </is>
      </c>
      <c r="I72" s="2" t="n">
        <v>46256</v>
      </c>
      <c r="J72" t="inlineStr">
        <is>
          <t>Disetujui</t>
        </is>
      </c>
      <c r="K72" t="n">
        <v>60</v>
      </c>
      <c r="L72" t="inlineStr">
        <is>
          <t>22 Agustus 2026</t>
        </is>
      </c>
      <c r="M72" t="inlineStr">
        <is>
          <t>Konstruksi Gedung Pendidikan</t>
        </is>
      </c>
      <c r="N72" t="inlineStr">
        <is>
          <t>K</t>
        </is>
      </c>
      <c r="O72" t="inlineStr">
        <is>
          <t>20230818</t>
        </is>
      </c>
      <c r="P72" t="inlineStr">
        <is>
          <t>Jawa Timur</t>
        </is>
      </c>
      <c r="Q72" t="inlineStr"/>
    </row>
    <row r="73">
      <c r="A73" t="inlineStr">
        <is>
          <t>JATI PRAKASA UPAKARYA</t>
        </is>
      </c>
      <c r="B73" t="inlineStr">
        <is>
          <t>Kota Medan</t>
        </is>
      </c>
      <c r="C73" t="inlineStr">
        <is>
          <t>0811816717</t>
        </is>
      </c>
      <c r="D73" t="inlineStr">
        <is>
          <t>jpupakarya@gmail.com</t>
        </is>
      </c>
      <c r="E73" t="inlineStr">
        <is>
          <t>https://lpjk.pu.go.id/search-badan-usaha-detail/T2hvNlBPQnR2eHNpcU1BenJhSndKdz09</t>
        </is>
      </c>
      <c r="F73" t="n">
        <v>1</v>
      </c>
      <c r="G73" t="inlineStr">
        <is>
          <t>BG001</t>
        </is>
      </c>
      <c r="H73" t="inlineStr">
        <is>
          <t>22 Juni 2023</t>
        </is>
      </c>
      <c r="I73" s="2" t="n">
        <v>46256</v>
      </c>
      <c r="J73" t="inlineStr">
        <is>
          <t>Pencabutan</t>
        </is>
      </c>
      <c r="K73" t="n">
        <v>60</v>
      </c>
      <c r="L73" t="inlineStr">
        <is>
          <t>22 Agustus 2026</t>
        </is>
      </c>
      <c r="M73" t="inlineStr">
        <is>
          <t>Konstruksi Gedung Hunian</t>
        </is>
      </c>
      <c r="N73" t="inlineStr">
        <is>
          <t>K</t>
        </is>
      </c>
      <c r="O73" t="inlineStr">
        <is>
          <t>20230821</t>
        </is>
      </c>
      <c r="P73" t="inlineStr">
        <is>
          <t>Sumatera Utara</t>
        </is>
      </c>
      <c r="Q73" t="inlineStr"/>
    </row>
    <row r="74">
      <c r="A74" t="inlineStr">
        <is>
          <t>JAYA PERMAI CONSULTANT</t>
        </is>
      </c>
      <c r="B74" t="inlineStr">
        <is>
          <t>Kota Padang</t>
        </is>
      </c>
      <c r="C74" t="inlineStr">
        <is>
          <t>07514488288</t>
        </is>
      </c>
      <c r="D74" t="inlineStr">
        <is>
          <t>jayapermai_cons@yahoo.co.id</t>
        </is>
      </c>
      <c r="E74" t="inlineStr">
        <is>
          <t>https://lpjk.pu.go.id/search-badan-usaha-detail/M3BRdWpBWkRGOHFRMjZOUUQrU1drdz09</t>
        </is>
      </c>
      <c r="F74" t="n">
        <v>1</v>
      </c>
      <c r="G74" t="inlineStr">
        <is>
          <t>RK003</t>
        </is>
      </c>
      <c r="H74" t="inlineStr">
        <is>
          <t>11 Januari 2012</t>
        </is>
      </c>
      <c r="I74" s="2" t="n">
        <v>46256</v>
      </c>
      <c r="J74" t="inlineStr">
        <is>
          <t>Disetujui</t>
        </is>
      </c>
      <c r="K74" t="n">
        <v>60</v>
      </c>
      <c r="L74" t="inlineStr">
        <is>
          <t>22 Agustus 2026</t>
        </is>
      </c>
      <c r="M74" t="inlineStr">
        <is>
          <t>Jasa Rekayasa Pekerjaan Teknik Sipil Transportasi</t>
        </is>
      </c>
      <c r="N74" t="inlineStr">
        <is>
          <t>K</t>
        </is>
      </c>
      <c r="O74" t="inlineStr">
        <is>
          <t>20230803</t>
        </is>
      </c>
      <c r="P74" t="inlineStr">
        <is>
          <t>Sumatera Barat</t>
        </is>
      </c>
      <c r="Q74" t="inlineStr"/>
    </row>
    <row r="75">
      <c r="A75" t="inlineStr">
        <is>
          <t>JAYA UTAMA</t>
        </is>
      </c>
      <c r="B75" t="inlineStr">
        <is>
          <t>-</t>
        </is>
      </c>
      <c r="C75" t="inlineStr">
        <is>
          <t>085278212000</t>
        </is>
      </c>
      <c r="D75" t="inlineStr">
        <is>
          <t>jayautama045@gmail.com</t>
        </is>
      </c>
      <c r="E75" t="inlineStr">
        <is>
          <t>https://lpjk.pu.go.id/search-badan-usaha-detail/MFJkTFVxTHAzRFNEUEtQWHpxYlowQT09</t>
        </is>
      </c>
      <c r="F75" t="n">
        <v>1</v>
      </c>
      <c r="G75" t="inlineStr">
        <is>
          <t>BG003</t>
        </is>
      </c>
      <c r="H75" t="inlineStr">
        <is>
          <t>15 Februari 2008</t>
        </is>
      </c>
      <c r="I75" s="2" t="n">
        <v>46256</v>
      </c>
      <c r="J75" t="inlineStr">
        <is>
          <t>Pencabutan</t>
        </is>
      </c>
      <c r="K75" t="n">
        <v>60</v>
      </c>
      <c r="L75" t="inlineStr">
        <is>
          <t>22 Agustus 2026</t>
        </is>
      </c>
      <c r="M75" t="inlineStr">
        <is>
          <t>Konstruksi Gedung Industri</t>
        </is>
      </c>
      <c r="N75" t="inlineStr">
        <is>
          <t>K</t>
        </is>
      </c>
      <c r="O75" t="inlineStr">
        <is>
          <t>20230823</t>
        </is>
      </c>
      <c r="P75" t="inlineStr">
        <is>
          <t>Riau</t>
        </is>
      </c>
      <c r="Q75" t="inlineStr"/>
    </row>
    <row r="76">
      <c r="A76" t="inlineStr">
        <is>
          <t>KALANDRA NUSANTARA INDONESIA</t>
        </is>
      </c>
      <c r="B76" t="inlineStr">
        <is>
          <t>Kota Semarang</t>
        </is>
      </c>
      <c r="C76" t="inlineStr">
        <is>
          <t>085725523220</t>
        </is>
      </c>
      <c r="D76" t="inlineStr">
        <is>
          <t>pt.kalandranusantara@gmail.com</t>
        </is>
      </c>
      <c r="E76" t="inlineStr">
        <is>
          <t>https://lpjk.pu.go.id/search-badan-usaha-detail/RXpBVlJob1BDWUJISzEzUUpaZFhtQT09</t>
        </is>
      </c>
      <c r="F76" t="n">
        <v>4</v>
      </c>
      <c r="G76" t="inlineStr">
        <is>
          <t>AL001, RK005</t>
        </is>
      </c>
      <c r="H76" t="inlineStr">
        <is>
          <t>13 Maret 2023</t>
        </is>
      </c>
      <c r="I76" s="2" t="n">
        <v>46256</v>
      </c>
      <c r="J76" t="inlineStr">
        <is>
          <t>Disetujui</t>
        </is>
      </c>
      <c r="K76" t="n">
        <v>60</v>
      </c>
      <c r="L76" t="inlineStr">
        <is>
          <t>22 Agustus 2026</t>
        </is>
      </c>
      <c r="M76" t="inlineStr">
        <is>
          <t>Jasa Pengembangan Pemanfaatan Ruang, Jasa Rekayasa Lainnya</t>
        </is>
      </c>
      <c r="N76" t="inlineStr">
        <is>
          <t>K</t>
        </is>
      </c>
      <c r="O76" t="inlineStr">
        <is>
          <t>20230701</t>
        </is>
      </c>
      <c r="P76" t="inlineStr">
        <is>
          <t>Jawa Tengah</t>
        </is>
      </c>
      <c r="Q76" t="inlineStr"/>
    </row>
    <row r="77">
      <c r="A77" t="inlineStr">
        <is>
          <t>KARYA KAMEFADA WIJAYA INDONESIA</t>
        </is>
      </c>
      <c r="B77" t="inlineStr">
        <is>
          <t>Kota Bandar Lampung</t>
        </is>
      </c>
      <c r="C77" t="inlineStr">
        <is>
          <t>081367743843</t>
        </is>
      </c>
      <c r="D77" t="inlineStr">
        <is>
          <t>pt.karyakamefada2007@gmail.com</t>
        </is>
      </c>
      <c r="E77" t="inlineStr">
        <is>
          <t>https://lpjk.pu.go.id/search-badan-usaha-detail/YTJEVTJ1RHh5T2lPWVhHUjdGbDFtdz09</t>
        </is>
      </c>
      <c r="F77" t="n">
        <v>1</v>
      </c>
      <c r="G77" t="inlineStr">
        <is>
          <t>BG005</t>
        </is>
      </c>
      <c r="H77" t="inlineStr">
        <is>
          <t>22 Januari 2007</t>
        </is>
      </c>
      <c r="I77" s="2" t="n">
        <v>46256</v>
      </c>
      <c r="J77" t="inlineStr">
        <is>
          <t>Disetujui</t>
        </is>
      </c>
      <c r="K77" t="n">
        <v>60</v>
      </c>
      <c r="L77" t="inlineStr">
        <is>
          <t>22 Agustus 2026</t>
        </is>
      </c>
      <c r="M77" t="inlineStr">
        <is>
          <t>Konstruksi Gedung Kesehatan</t>
        </is>
      </c>
      <c r="N77" t="inlineStr">
        <is>
          <t>M</t>
        </is>
      </c>
      <c r="O77" t="inlineStr">
        <is>
          <t>20230815</t>
        </is>
      </c>
      <c r="P77" t="inlineStr">
        <is>
          <t>Lampung</t>
        </is>
      </c>
      <c r="Q77" t="inlineStr"/>
    </row>
    <row r="78">
      <c r="A78" t="inlineStr">
        <is>
          <t>KARYA KARTANEGARA</t>
        </is>
      </c>
      <c r="B78" t="inlineStr">
        <is>
          <t>Kab. Kutai Kartanegara</t>
        </is>
      </c>
      <c r="C78" t="inlineStr">
        <is>
          <t>081253456111</t>
        </is>
      </c>
      <c r="D78" t="inlineStr">
        <is>
          <t>kartanegarakarya@gmail.com</t>
        </is>
      </c>
      <c r="E78" t="inlineStr">
        <is>
          <t>https://lpjk.pu.go.id/search-badan-usaha-detail/NXUyeUxoNWZoVVJTYUlsdk5oZUZIQT09</t>
        </is>
      </c>
      <c r="F78" t="n">
        <v>4</v>
      </c>
      <c r="G78" t="inlineStr">
        <is>
          <t>BG002, BG005, BG006, BG008</t>
        </is>
      </c>
      <c r="H78" t="inlineStr">
        <is>
          <t>7 Agustus 2023</t>
        </is>
      </c>
      <c r="I78" s="2" t="n">
        <v>46256</v>
      </c>
      <c r="J78" t="inlineStr">
        <is>
          <t>Disetujui</t>
        </is>
      </c>
      <c r="K78" t="n">
        <v>60</v>
      </c>
      <c r="L78" t="inlineStr">
        <is>
          <t>22 Agustus 2026</t>
        </is>
      </c>
      <c r="M78" t="inlineStr">
        <is>
          <t>Konstruksi Gedung Kesehatan, Konstruksi Gedung Pendidikan, Konstruksi Gedung Perkantoran, Konstruksi Gedung Tempat Hiburan dan Olahraga</t>
        </is>
      </c>
      <c r="N78" t="inlineStr">
        <is>
          <t>K</t>
        </is>
      </c>
      <c r="O78" t="inlineStr">
        <is>
          <t>20230819</t>
        </is>
      </c>
      <c r="P78" t="inlineStr">
        <is>
          <t>Kalimantan Timur</t>
        </is>
      </c>
      <c r="Q78" t="inlineStr"/>
    </row>
    <row r="79">
      <c r="A79" t="inlineStr">
        <is>
          <t>KARYA KITA</t>
        </is>
      </c>
      <c r="B79" t="inlineStr">
        <is>
          <t>Kota Banda Aceh</t>
        </is>
      </c>
      <c r="C79" t="inlineStr">
        <is>
          <t>082288216008</t>
        </is>
      </c>
      <c r="D79" t="inlineStr">
        <is>
          <t>karyakitasbu@gmail.com</t>
        </is>
      </c>
      <c r="E79" t="inlineStr">
        <is>
          <t>https://lpjk.pu.go.id/search-badan-usaha-detail/aG0wMjEvZjR2Q3p6NWozUjVtRjV0Zz09</t>
        </is>
      </c>
      <c r="F79" t="n">
        <v>1</v>
      </c>
      <c r="G79" t="inlineStr">
        <is>
          <t>BS001</t>
        </is>
      </c>
      <c r="H79" t="inlineStr">
        <is>
          <t>1 Maret 2022</t>
        </is>
      </c>
      <c r="I79" s="2" t="n">
        <v>46256</v>
      </c>
      <c r="J79" t="inlineStr">
        <is>
          <t>Disetujui</t>
        </is>
      </c>
      <c r="K79" t="n">
        <v>60</v>
      </c>
      <c r="L79" t="inlineStr">
        <is>
          <t>22 Agustus 2026</t>
        </is>
      </c>
      <c r="M79" t="inlineStr">
        <is>
          <t>Konstruksi Bangunan Sipil Jalan</t>
        </is>
      </c>
      <c r="N79" t="inlineStr">
        <is>
          <t>K</t>
        </is>
      </c>
      <c r="O79" t="inlineStr">
        <is>
          <t>20230815</t>
        </is>
      </c>
      <c r="P79" t="inlineStr">
        <is>
          <t>Aceh</t>
        </is>
      </c>
      <c r="Q79" t="inlineStr"/>
    </row>
    <row r="80">
      <c r="A80" t="inlineStr">
        <is>
          <t>KARYA NUGRAHA</t>
        </is>
      </c>
      <c r="B80" t="inlineStr">
        <is>
          <t>Kab. Magetan</t>
        </is>
      </c>
      <c r="C80" t="inlineStr">
        <is>
          <t>085100601989</t>
        </is>
      </c>
      <c r="D80" t="inlineStr">
        <is>
          <t>karyanugraha42@yahoo.com</t>
        </is>
      </c>
      <c r="E80" t="inlineStr">
        <is>
          <t>https://lpjk.pu.go.id/search-badan-usaha-detail/WFVONDBpWlFZVXEveGVacTdjNnFkQT09</t>
        </is>
      </c>
      <c r="F80" t="n">
        <v>1</v>
      </c>
      <c r="G80" t="inlineStr">
        <is>
          <t>BS004</t>
        </is>
      </c>
      <c r="H80" t="inlineStr">
        <is>
          <t>27 November 2008</t>
        </is>
      </c>
      <c r="I80" s="2" t="n">
        <v>46256</v>
      </c>
      <c r="J80" t="inlineStr">
        <is>
          <t>Disetujui</t>
        </is>
      </c>
      <c r="K80" t="n">
        <v>60</v>
      </c>
      <c r="L80" t="inlineStr">
        <is>
          <t>22 Agustus 2026</t>
        </is>
      </c>
      <c r="M80" t="inlineStr">
        <is>
          <t>Konstruksi Jaringan Irigasi dan Drainase</t>
        </is>
      </c>
      <c r="N80" t="inlineStr">
        <is>
          <t>K</t>
        </is>
      </c>
      <c r="O80" t="inlineStr">
        <is>
          <t>20230818</t>
        </is>
      </c>
      <c r="P80" t="inlineStr">
        <is>
          <t>Jawa Timur</t>
        </is>
      </c>
      <c r="Q80" t="inlineStr"/>
    </row>
    <row r="81">
      <c r="A81" t="inlineStr">
        <is>
          <t>KARYA PUGA</t>
        </is>
      </c>
      <c r="B81" t="inlineStr">
        <is>
          <t>Kota Banda Aceh</t>
        </is>
      </c>
      <c r="C81" t="inlineStr">
        <is>
          <t>085260797115</t>
        </is>
      </c>
      <c r="D81" t="inlineStr">
        <is>
          <t>karyapuga84@gmail.com</t>
        </is>
      </c>
      <c r="E81" t="inlineStr">
        <is>
          <t>https://lpjk.pu.go.id/search-badan-usaha-detail/ZmJ1TkVqdU16T2NlMnAvNTJ1NlJMdz09</t>
        </is>
      </c>
      <c r="F81" t="n">
        <v>2</v>
      </c>
      <c r="G81" t="inlineStr">
        <is>
          <t>RK002, RK003</t>
        </is>
      </c>
      <c r="H81" t="inlineStr">
        <is>
          <t>7 Januari 1984</t>
        </is>
      </c>
      <c r="I81" s="2" t="n">
        <v>46256</v>
      </c>
      <c r="J81" t="inlineStr">
        <is>
          <t>Disetujui</t>
        </is>
      </c>
      <c r="K81" t="n">
        <v>60</v>
      </c>
      <c r="L81" t="inlineStr">
        <is>
          <t>22 Agustus 2026</t>
        </is>
      </c>
      <c r="M81" t="inlineStr">
        <is>
          <t>Jasa Rekayasa Pekerjaan Teknik Sipil Sumber Daya Air, Jasa Rekayasa Pekerjaan Teknik Sipil Transportasi</t>
        </is>
      </c>
      <c r="N81" t="inlineStr">
        <is>
          <t>K</t>
        </is>
      </c>
      <c r="O81" t="inlineStr">
        <is>
          <t>20230804</t>
        </is>
      </c>
      <c r="P81" t="inlineStr">
        <is>
          <t>Aceh</t>
        </is>
      </c>
      <c r="Q81" t="inlineStr"/>
    </row>
    <row r="82">
      <c r="A82" t="inlineStr">
        <is>
          <t>KHARISMA ARTA NUGRAHA</t>
        </is>
      </c>
      <c r="B82" t="inlineStr">
        <is>
          <t>Kab. Landak</t>
        </is>
      </c>
      <c r="C82" t="inlineStr">
        <is>
          <t>081345508248</t>
        </is>
      </c>
      <c r="D82" t="inlineStr">
        <is>
          <t>cv.kharismaarthanugraha@yahoo.com</t>
        </is>
      </c>
      <c r="E82" t="inlineStr">
        <is>
          <t>https://lpjk.pu.go.id/search-badan-usaha-detail/Y0VScWh6d0o1V1RoZlJENmVsQkRTQT09</t>
        </is>
      </c>
      <c r="F82" t="n">
        <v>2</v>
      </c>
      <c r="G82" t="inlineStr">
        <is>
          <t>BS002</t>
        </is>
      </c>
      <c r="H82" t="inlineStr">
        <is>
          <t>21 September 1993</t>
        </is>
      </c>
      <c r="I82" s="2" t="n">
        <v>46256</v>
      </c>
      <c r="J82" t="inlineStr">
        <is>
          <t>Disetujui</t>
        </is>
      </c>
      <c r="K82" t="n">
        <v>60</v>
      </c>
      <c r="L82" t="inlineStr">
        <is>
          <t>22 Agustus 2026</t>
        </is>
      </c>
      <c r="M82" t="inlineStr">
        <is>
          <t>Bangunan Sipil Jembatan, Jalan Layang, Fly Over, dan Underpass</t>
        </is>
      </c>
      <c r="N82" t="inlineStr">
        <is>
          <t>K</t>
        </is>
      </c>
      <c r="O82" t="inlineStr">
        <is>
          <t>20230808</t>
        </is>
      </c>
      <c r="P82" t="inlineStr">
        <is>
          <t>Kalimantan Barat</t>
        </is>
      </c>
      <c r="Q82" t="inlineStr"/>
    </row>
    <row r="83">
      <c r="A83" t="inlineStr">
        <is>
          <t>KUBANG ENGINEERING CONSULTANT</t>
        </is>
      </c>
      <c r="B83" t="inlineStr">
        <is>
          <t>Kota Semarang</t>
        </is>
      </c>
      <c r="C83" t="inlineStr">
        <is>
          <t>0246708772</t>
        </is>
      </c>
      <c r="D83" t="inlineStr">
        <is>
          <t>kubang166@yahoo.co.id</t>
        </is>
      </c>
      <c r="E83" t="inlineStr">
        <is>
          <t>https://lpjk.pu.go.id/search-badan-usaha-detail/V1k2TUpqYnRFQVhKTVVXZW01NFhXUT09</t>
        </is>
      </c>
      <c r="F83" t="n">
        <v>3</v>
      </c>
      <c r="G83" t="inlineStr">
        <is>
          <t>RK001, RK002, RK003</t>
        </is>
      </c>
      <c r="H83" t="inlineStr">
        <is>
          <t>8 Januari 2004</t>
        </is>
      </c>
      <c r="I83" s="2" t="n">
        <v>46256</v>
      </c>
      <c r="J83" t="inlineStr">
        <is>
          <t>Disetujui</t>
        </is>
      </c>
      <c r="K83" t="n">
        <v>60</v>
      </c>
      <c r="L83" t="inlineStr">
        <is>
          <t>22 Agustus 2026</t>
        </is>
      </c>
      <c r="M83" t="inlineStr">
        <is>
          <t>Jasa Rekayasa Konstruksi Bangunan Gedung Hunian dan Non Hunian, Jasa Rekayasa Pekerjaan Teknik Sipil Sumber Daya Air, Jasa Rekayasa Pekerjaan Teknik Sipil Transportasi</t>
        </is>
      </c>
      <c r="N83" t="inlineStr">
        <is>
          <t>K</t>
        </is>
      </c>
      <c r="O83" t="inlineStr">
        <is>
          <t>20230810</t>
        </is>
      </c>
      <c r="P83" t="inlineStr">
        <is>
          <t>Jawa Tengah</t>
        </is>
      </c>
      <c r="Q83" t="inlineStr"/>
    </row>
    <row r="84">
      <c r="A84" t="inlineStr">
        <is>
          <t>LAKSANA AGUNG</t>
        </is>
      </c>
      <c r="B84" t="inlineStr">
        <is>
          <t>Kota Palembang</t>
        </is>
      </c>
      <c r="C84" t="inlineStr">
        <is>
          <t>085226135366</t>
        </is>
      </c>
      <c r="D84" t="inlineStr">
        <is>
          <t>cv.laksanagung@gmail.com</t>
        </is>
      </c>
      <c r="E84" t="inlineStr">
        <is>
          <t>https://lpjk.pu.go.id/search-badan-usaha-detail/ZVM4cEVybHhhank0TVhWbXU3OWlUZz09</t>
        </is>
      </c>
      <c r="F84" t="n">
        <v>1</v>
      </c>
      <c r="G84" t="inlineStr">
        <is>
          <t>BS004</t>
        </is>
      </c>
      <c r="H84" t="inlineStr">
        <is>
          <t>7 Februari 2020</t>
        </is>
      </c>
      <c r="I84" s="2" t="n">
        <v>46256</v>
      </c>
      <c r="J84" t="inlineStr">
        <is>
          <t>Pencabutan</t>
        </is>
      </c>
      <c r="K84" t="n">
        <v>60</v>
      </c>
      <c r="L84" t="inlineStr">
        <is>
          <t>22 Agustus 2026</t>
        </is>
      </c>
      <c r="M84" t="inlineStr">
        <is>
          <t>Konstruksi Jaringan Irigasi dan Drainase</t>
        </is>
      </c>
      <c r="N84" t="inlineStr">
        <is>
          <t>K</t>
        </is>
      </c>
      <c r="O84" t="inlineStr">
        <is>
          <t>20230818</t>
        </is>
      </c>
      <c r="P84" t="inlineStr">
        <is>
          <t>Sumatera Selatan</t>
        </is>
      </c>
      <c r="Q84" t="inlineStr"/>
    </row>
    <row r="85">
      <c r="A85" t="inlineStr">
        <is>
          <t>LIMA PILAR BERSAMA</t>
        </is>
      </c>
      <c r="B85" t="inlineStr">
        <is>
          <t>Kota Adm. Jakarta Barat</t>
        </is>
      </c>
      <c r="C85" t="inlineStr">
        <is>
          <t>08174818698</t>
        </is>
      </c>
      <c r="D85" t="inlineStr">
        <is>
          <t>pt.limapilarbersama@gmail.com</t>
        </is>
      </c>
      <c r="E85" t="inlineStr">
        <is>
          <t>https://lpjk.pu.go.id/search-badan-usaha-detail/UnZaYUZodklRNFdOcmlhdzFTYTU1QT09</t>
        </is>
      </c>
      <c r="F85" t="n">
        <v>3</v>
      </c>
      <c r="G85" t="inlineStr">
        <is>
          <t>RK001, RK002, RK003</t>
        </is>
      </c>
      <c r="H85" t="inlineStr">
        <is>
          <t>10 November 2022</t>
        </is>
      </c>
      <c r="I85" s="2" t="n">
        <v>46256</v>
      </c>
      <c r="J85" t="inlineStr">
        <is>
          <t>Disetujui</t>
        </is>
      </c>
      <c r="K85" t="n">
        <v>60</v>
      </c>
      <c r="L85" t="inlineStr">
        <is>
          <t>22 Agustus 2026</t>
        </is>
      </c>
      <c r="M85" t="inlineStr">
        <is>
          <t>Jasa Rekayasa Konstruksi Bangunan Gedung Hunian dan Non Hunian, Jasa Rekayasa Pekerjaan Teknik Sipil Sumber Daya Air, Jasa Rekayasa Pekerjaan Teknik Sipil Transportasi</t>
        </is>
      </c>
      <c r="N85" t="inlineStr">
        <is>
          <t>K</t>
        </is>
      </c>
      <c r="O85" t="inlineStr">
        <is>
          <t>20230810, 20230811</t>
        </is>
      </c>
      <c r="P85" t="inlineStr">
        <is>
          <t>DKI Jakarta</t>
        </is>
      </c>
      <c r="Q85" t="inlineStr"/>
    </row>
    <row r="86">
      <c r="A86" t="inlineStr">
        <is>
          <t>MAHATHIR</t>
        </is>
      </c>
      <c r="B86" t="inlineStr">
        <is>
          <t>Kota Singkawang</t>
        </is>
      </c>
      <c r="C86" t="inlineStr">
        <is>
          <t>085245744101</t>
        </is>
      </c>
      <c r="D86" t="inlineStr">
        <is>
          <t>cv.mahathir88@gmail.com</t>
        </is>
      </c>
      <c r="E86" t="inlineStr">
        <is>
          <t>https://lpjk.pu.go.id/search-badan-usaha-detail/RkdlaHp6NllmUTA4bTV5cjB2RUhWdz09</t>
        </is>
      </c>
      <c r="F86" t="n">
        <v>2</v>
      </c>
      <c r="G86" t="inlineStr">
        <is>
          <t>BS001, BS004</t>
        </is>
      </c>
      <c r="H86" t="inlineStr">
        <is>
          <t>5 Maret 2007</t>
        </is>
      </c>
      <c r="I86" s="2" t="n">
        <v>46256</v>
      </c>
      <c r="J86" t="inlineStr">
        <is>
          <t>Disetujui</t>
        </is>
      </c>
      <c r="K86" t="n">
        <v>60</v>
      </c>
      <c r="L86" t="inlineStr">
        <is>
          <t>22 Agustus 2026</t>
        </is>
      </c>
      <c r="M86" t="inlineStr">
        <is>
          <t>Konstruksi Bangunan Sipil Jalan, Konstruksi Jaringan Irigasi dan Drainase</t>
        </is>
      </c>
      <c r="N86" t="inlineStr">
        <is>
          <t>K</t>
        </is>
      </c>
      <c r="O86" t="inlineStr">
        <is>
          <t>20230810</t>
        </is>
      </c>
      <c r="P86" t="inlineStr">
        <is>
          <t>Kalimantan Barat</t>
        </is>
      </c>
      <c r="Q86" t="inlineStr"/>
    </row>
    <row r="87">
      <c r="A87" t="inlineStr">
        <is>
          <t>MAJA DESIGN UTAMA</t>
        </is>
      </c>
      <c r="B87" t="inlineStr">
        <is>
          <t>Kab. Mojokerto</t>
        </is>
      </c>
      <c r="C87" t="inlineStr">
        <is>
          <t>-</t>
        </is>
      </c>
      <c r="D87" t="inlineStr">
        <is>
          <t>majadesignutama19@gmail.com</t>
        </is>
      </c>
      <c r="E87" t="inlineStr">
        <is>
          <t>https://lpjk.pu.go.id/search-badan-usaha-detail/ODFFenRnZXBjV2w2dFRWQTZBNjJ2Zz09</t>
        </is>
      </c>
      <c r="F87" t="n">
        <v>1</v>
      </c>
      <c r="G87" t="inlineStr">
        <is>
          <t>RK003</t>
        </is>
      </c>
      <c r="H87" t="inlineStr">
        <is>
          <t>30 April 2019</t>
        </is>
      </c>
      <c r="I87" s="2" t="n">
        <v>46256</v>
      </c>
      <c r="J87" t="inlineStr">
        <is>
          <t>Konfirmasi Pembayaran</t>
        </is>
      </c>
      <c r="K87" t="n">
        <v>60</v>
      </c>
      <c r="L87" t="inlineStr">
        <is>
          <t>22 Agustus 2026</t>
        </is>
      </c>
      <c r="M87" t="inlineStr">
        <is>
          <t>Jasa Rekayasa Pekerjaan Teknik Sipil Transportasi</t>
        </is>
      </c>
      <c r="N87" t="inlineStr">
        <is>
          <t>K</t>
        </is>
      </c>
      <c r="O87" t="inlineStr">
        <is>
          <t>20230809</t>
        </is>
      </c>
      <c r="P87" t="inlineStr">
        <is>
          <t>Jawa Timur</t>
        </is>
      </c>
      <c r="Q87" t="inlineStr"/>
    </row>
    <row r="88">
      <c r="A88" t="inlineStr">
        <is>
          <t>MAKMUR JAYA</t>
        </is>
      </c>
      <c r="B88" t="inlineStr">
        <is>
          <t>Kab. Sukabumi</t>
        </is>
      </c>
      <c r="C88" t="inlineStr">
        <is>
          <t>085659640098</t>
        </is>
      </c>
      <c r="D88" t="inlineStr">
        <is>
          <t>makmurjayacv972@gmail.com</t>
        </is>
      </c>
      <c r="E88" t="inlineStr">
        <is>
          <t>https://lpjk.pu.go.id/search-badan-usaha-detail/OHQ1ck5jVlBZYm9DT1M1YUdQRlhJQT09</t>
        </is>
      </c>
      <c r="F88" t="n">
        <v>2</v>
      </c>
      <c r="G88" t="inlineStr">
        <is>
          <t>BS001, BS004</t>
        </is>
      </c>
      <c r="H88" t="inlineStr">
        <is>
          <t>3 November 1981</t>
        </is>
      </c>
      <c r="I88" s="2" t="n">
        <v>46256</v>
      </c>
      <c r="J88" t="inlineStr">
        <is>
          <t>Disetujui</t>
        </is>
      </c>
      <c r="K88" t="n">
        <v>60</v>
      </c>
      <c r="L88" t="inlineStr">
        <is>
          <t>22 Agustus 2026</t>
        </is>
      </c>
      <c r="M88" t="inlineStr">
        <is>
          <t>Konstruksi Bangunan Sipil Jalan, Konstruksi Jaringan Irigasi dan Drainase</t>
        </is>
      </c>
      <c r="N88" t="inlineStr">
        <is>
          <t>K</t>
        </is>
      </c>
      <c r="O88" t="inlineStr">
        <is>
          <t>20230816, 20230820</t>
        </is>
      </c>
      <c r="P88" t="inlineStr">
        <is>
          <t>Jawa Barat</t>
        </is>
      </c>
      <c r="Q88" t="inlineStr"/>
    </row>
    <row r="89">
      <c r="A89" t="inlineStr">
        <is>
          <t>MANGGALAKARYA BANGUN SARANA</t>
        </is>
      </c>
      <c r="B89" t="inlineStr">
        <is>
          <t>Kab. Karanganyar</t>
        </is>
      </c>
      <c r="C89" t="inlineStr">
        <is>
          <t>0271-2873759</t>
        </is>
      </c>
      <c r="D89" t="inlineStr">
        <is>
          <t>corsec@manggalakarya.com</t>
        </is>
      </c>
      <c r="E89" t="inlineStr">
        <is>
          <t>https://lpjk.pu.go.id/search-badan-usaha-detail/VGlUbXBzRzZncGVJcjhtMVJUSThzZz09</t>
        </is>
      </c>
      <c r="F89" t="n">
        <v>1</v>
      </c>
      <c r="G89" t="inlineStr">
        <is>
          <t>AR002</t>
        </is>
      </c>
      <c r="H89" t="inlineStr">
        <is>
          <t>31 Oktober 2002</t>
        </is>
      </c>
      <c r="I89" s="2" t="n">
        <v>46256</v>
      </c>
      <c r="J89" t="inlineStr">
        <is>
          <t>Disetujui</t>
        </is>
      </c>
      <c r="K89" t="n">
        <v>60</v>
      </c>
      <c r="L89" t="inlineStr">
        <is>
          <t>22 Agustus 2026</t>
        </is>
      </c>
      <c r="M89" t="inlineStr">
        <is>
          <t>Jasa Arsitektural Lainnya</t>
        </is>
      </c>
      <c r="N89" t="inlineStr">
        <is>
          <t>K</t>
        </is>
      </c>
      <c r="O89" t="inlineStr">
        <is>
          <t>20230728</t>
        </is>
      </c>
      <c r="P89" t="inlineStr">
        <is>
          <t>Jawa Tengah</t>
        </is>
      </c>
      <c r="Q89" t="inlineStr"/>
    </row>
    <row r="90">
      <c r="A90" t="inlineStr">
        <is>
          <t>MARSA</t>
        </is>
      </c>
      <c r="B90" t="inlineStr">
        <is>
          <t>Kota Pontianak</t>
        </is>
      </c>
      <c r="C90" t="inlineStr">
        <is>
          <t>085821263245</t>
        </is>
      </c>
      <c r="D90" t="inlineStr">
        <is>
          <t>cvmarsa@gmail.com</t>
        </is>
      </c>
      <c r="E90" t="inlineStr">
        <is>
          <t>https://lpjk.pu.go.id/search-badan-usaha-detail/NjVkNXVnMEVueXdYM0kwU2xBalIzUT09</t>
        </is>
      </c>
      <c r="F90" t="n">
        <v>2</v>
      </c>
      <c r="G90" t="inlineStr">
        <is>
          <t>BG001</t>
        </is>
      </c>
      <c r="H90" t="inlineStr">
        <is>
          <t>12 September 1980</t>
        </is>
      </c>
      <c r="I90" s="2" t="n">
        <v>46256</v>
      </c>
      <c r="J90" t="inlineStr">
        <is>
          <t>Disetujui</t>
        </is>
      </c>
      <c r="K90" t="n">
        <v>60</v>
      </c>
      <c r="L90" t="inlineStr">
        <is>
          <t>22 Agustus 2026</t>
        </is>
      </c>
      <c r="M90" t="inlineStr">
        <is>
          <t>Konstruksi Gedung Hunian</t>
        </is>
      </c>
      <c r="N90" t="inlineStr">
        <is>
          <t>K</t>
        </is>
      </c>
      <c r="O90" t="inlineStr">
        <is>
          <t>20230725</t>
        </is>
      </c>
      <c r="P90" t="inlineStr">
        <is>
          <t>Kalimantan Barat</t>
        </is>
      </c>
      <c r="Q90" t="inlineStr"/>
    </row>
    <row r="91">
      <c r="A91" t="inlineStr">
        <is>
          <t>MATARAM PUTRA SAKTI</t>
        </is>
      </c>
      <c r="B91" t="inlineStr">
        <is>
          <t>Kota Blitar</t>
        </is>
      </c>
      <c r="C91" t="inlineStr">
        <is>
          <t>08818460429</t>
        </is>
      </c>
      <c r="D91" t="inlineStr">
        <is>
          <t>mataramputrasakti@gmail.com</t>
        </is>
      </c>
      <c r="E91" t="inlineStr">
        <is>
          <t>https://lpjk.pu.go.id/search-badan-usaha-detail/SHZXY3N3aDU0ZlBkU1VNWmhOT1E3QT09</t>
        </is>
      </c>
      <c r="F91" t="n">
        <v>1</v>
      </c>
      <c r="G91" t="inlineStr">
        <is>
          <t>BS001</t>
        </is>
      </c>
      <c r="H91" t="inlineStr">
        <is>
          <t>25 Agustus 2008</t>
        </is>
      </c>
      <c r="I91" s="2" t="n">
        <v>46256</v>
      </c>
      <c r="J91" t="inlineStr">
        <is>
          <t>Disetujui</t>
        </is>
      </c>
      <c r="K91" t="n">
        <v>60</v>
      </c>
      <c r="L91" t="inlineStr">
        <is>
          <t>22 Agustus 2026</t>
        </is>
      </c>
      <c r="M91" t="inlineStr">
        <is>
          <t>Konstruksi Bangunan Sipil Jalan</t>
        </is>
      </c>
      <c r="N91" t="inlineStr">
        <is>
          <t>K</t>
        </is>
      </c>
      <c r="O91" t="inlineStr">
        <is>
          <t>20230816</t>
        </is>
      </c>
      <c r="P91" t="inlineStr">
        <is>
          <t>Jawa Timur</t>
        </is>
      </c>
      <c r="Q91" t="inlineStr"/>
    </row>
    <row r="92">
      <c r="A92" t="inlineStr">
        <is>
          <t>MEGA REZKY PRATAMA</t>
        </is>
      </c>
      <c r="B92" t="inlineStr">
        <is>
          <t>Kota Makassar</t>
        </is>
      </c>
      <c r="C92" t="inlineStr">
        <is>
          <t>082187566354</t>
        </is>
      </c>
      <c r="D92" t="inlineStr">
        <is>
          <t>megarezkypratama@gmail.com</t>
        </is>
      </c>
      <c r="E92" t="inlineStr">
        <is>
          <t>https://lpjk.pu.go.id/search-badan-usaha-detail/eWpHS211enpQejFJdGljSVBlN1M0Zz09</t>
        </is>
      </c>
      <c r="F92" t="n">
        <v>2</v>
      </c>
      <c r="G92" t="inlineStr">
        <is>
          <t>BS001, BS011</t>
        </is>
      </c>
      <c r="H92" t="inlineStr">
        <is>
          <t>30 Mei 2016</t>
        </is>
      </c>
      <c r="I92" s="2" t="n">
        <v>46256</v>
      </c>
      <c r="J92" t="inlineStr">
        <is>
          <t>Disetujui, Pencabutan</t>
        </is>
      </c>
      <c r="K92" t="n">
        <v>60</v>
      </c>
      <c r="L92" t="inlineStr">
        <is>
          <t>22 Agustus 2026</t>
        </is>
      </c>
      <c r="M92" t="inlineStr">
        <is>
          <t>Konstruksi Bangunan Pelabuhan Bukan Perikanan, Konstruksi Bangunan Sipil Jalan</t>
        </is>
      </c>
      <c r="N92" t="inlineStr">
        <is>
          <t>K</t>
        </is>
      </c>
      <c r="O92" t="inlineStr">
        <is>
          <t>20230819</t>
        </is>
      </c>
      <c r="P92" t="inlineStr">
        <is>
          <t>Sulawesi Selatan</t>
        </is>
      </c>
      <c r="Q92" t="inlineStr"/>
    </row>
    <row r="93">
      <c r="A93" t="inlineStr">
        <is>
          <t>MEKAR SARI</t>
        </is>
      </c>
      <c r="B93" t="inlineStr">
        <is>
          <t>Kab. Sidoarjo</t>
        </is>
      </c>
      <c r="C93" t="inlineStr">
        <is>
          <t>0318950345</t>
        </is>
      </c>
      <c r="D93" t="inlineStr">
        <is>
          <t>ms_grup@yahoo.com</t>
        </is>
      </c>
      <c r="E93" t="inlineStr">
        <is>
          <t>https://lpjk.pu.go.id/search-badan-usaha-detail/S3Y1VmpqbDBob2IrM2J0MlI1a0V1QT09</t>
        </is>
      </c>
      <c r="F93" t="n">
        <v>2</v>
      </c>
      <c r="G93" t="inlineStr">
        <is>
          <t>BS001</t>
        </is>
      </c>
      <c r="H93" t="inlineStr">
        <is>
          <t>28 Oktober 1987</t>
        </is>
      </c>
      <c r="I93" s="2" t="n">
        <v>46256</v>
      </c>
      <c r="J93" t="inlineStr">
        <is>
          <t>Disetujui</t>
        </is>
      </c>
      <c r="K93" t="n">
        <v>60</v>
      </c>
      <c r="L93" t="inlineStr">
        <is>
          <t>22 Agustus 2026</t>
        </is>
      </c>
      <c r="M93" t="inlineStr">
        <is>
          <t>Konstruksi Bangunan Sipil Jalan</t>
        </is>
      </c>
      <c r="N93" t="inlineStr">
        <is>
          <t>K</t>
        </is>
      </c>
      <c r="O93" t="inlineStr">
        <is>
          <t>20230818</t>
        </is>
      </c>
      <c r="P93" t="inlineStr">
        <is>
          <t>Jawa Timur</t>
        </is>
      </c>
      <c r="Q93" t="inlineStr"/>
    </row>
    <row r="94">
      <c r="A94" t="inlineStr">
        <is>
          <t>MENARA INDOJAYA</t>
        </is>
      </c>
      <c r="B94" t="inlineStr">
        <is>
          <t>Kab. Trenggalek</t>
        </is>
      </c>
      <c r="C94" t="inlineStr">
        <is>
          <t>081234466444</t>
        </is>
      </c>
      <c r="D94" t="inlineStr">
        <is>
          <t>cvmenaraindojaya@gmail.com</t>
        </is>
      </c>
      <c r="E94" t="inlineStr">
        <is>
          <t>https://lpjk.pu.go.id/search-badan-usaha-detail/NlU1eE1YUmZYeGpYZ3JvZEVhZVhPUT09</t>
        </is>
      </c>
      <c r="F94" t="n">
        <v>2</v>
      </c>
      <c r="G94" t="inlineStr">
        <is>
          <t>BG005, BS005</t>
        </is>
      </c>
      <c r="H94" t="inlineStr">
        <is>
          <t>20 Mei 2014</t>
        </is>
      </c>
      <c r="I94" s="2" t="n">
        <v>46256</v>
      </c>
      <c r="J94" t="inlineStr">
        <is>
          <t>Disetujui</t>
        </is>
      </c>
      <c r="K94" t="n">
        <v>60</v>
      </c>
      <c r="L94" t="inlineStr">
        <is>
          <t>22 Agustus 2026</t>
        </is>
      </c>
      <c r="M94" t="inlineStr">
        <is>
          <t>Konstruksi Bangunan Sipil Pengolahan Air Bersih, Konstruksi Gedung Kesehatan</t>
        </is>
      </c>
      <c r="N94" t="inlineStr">
        <is>
          <t>K</t>
        </is>
      </c>
      <c r="O94" t="inlineStr">
        <is>
          <t>20230804, 20230808</t>
        </is>
      </c>
      <c r="P94" t="inlineStr">
        <is>
          <t>Jawa Timur</t>
        </is>
      </c>
      <c r="Q94" t="inlineStr"/>
    </row>
    <row r="95">
      <c r="A95" t="inlineStr">
        <is>
          <t>METANOIA CONSULTANT</t>
        </is>
      </c>
      <c r="B95" t="inlineStr">
        <is>
          <t>Kota Sorong</t>
        </is>
      </c>
      <c r="C95" t="inlineStr">
        <is>
          <t>082271593191</t>
        </is>
      </c>
      <c r="D95" t="inlineStr">
        <is>
          <t>metanoia1consultant@gmail.com</t>
        </is>
      </c>
      <c r="E95" t="inlineStr">
        <is>
          <t>https://lpjk.pu.go.id/search-badan-usaha-detail/YUczeHlScE9zYWtoYndORjlaTFVpQT09</t>
        </is>
      </c>
      <c r="F95" t="n">
        <v>2</v>
      </c>
      <c r="G95" t="inlineStr">
        <is>
          <t>RK001, RK002</t>
        </is>
      </c>
      <c r="H95" t="inlineStr">
        <is>
          <t>2 September 2009</t>
        </is>
      </c>
      <c r="I95" s="2" t="n">
        <v>46256</v>
      </c>
      <c r="J95" t="inlineStr">
        <is>
          <t>Disetujui</t>
        </is>
      </c>
      <c r="K95" t="n">
        <v>60</v>
      </c>
      <c r="L95" t="inlineStr">
        <is>
          <t>22 Agustus 2026</t>
        </is>
      </c>
      <c r="M95" t="inlineStr">
        <is>
          <t>Jasa Rekayasa Konstruksi Bangunan Gedung Hunian dan Non Hunian, Jasa Rekayasa Pekerjaan Teknik Sipil Sumber Daya Air</t>
        </is>
      </c>
      <c r="N95" t="inlineStr">
        <is>
          <t>K</t>
        </is>
      </c>
      <c r="O95" t="inlineStr">
        <is>
          <t>20230813</t>
        </is>
      </c>
      <c r="P95" t="inlineStr">
        <is>
          <t>Papua Barat</t>
        </is>
      </c>
      <c r="Q95" t="inlineStr"/>
    </row>
    <row r="96">
      <c r="A96" t="inlineStr">
        <is>
          <t>MINANG BARU</t>
        </is>
      </c>
      <c r="B96" t="inlineStr">
        <is>
          <t>Kab. Tebo</t>
        </is>
      </c>
      <c r="C96" t="inlineStr">
        <is>
          <t>085369683030</t>
        </is>
      </c>
      <c r="D96" t="inlineStr">
        <is>
          <t>minangbaru247@gmail.com</t>
        </is>
      </c>
      <c r="E96" t="inlineStr">
        <is>
          <t>https://lpjk.pu.go.id/search-badan-usaha-detail/VG5OdEZZRmphNHB3cFZ6R0hUZGV1QT09</t>
        </is>
      </c>
      <c r="F96" t="n">
        <v>1</v>
      </c>
      <c r="G96" t="inlineStr">
        <is>
          <t>BS001</t>
        </is>
      </c>
      <c r="H96" t="inlineStr">
        <is>
          <t>12 Agustus 2023</t>
        </is>
      </c>
      <c r="I96" s="2" t="n">
        <v>46256</v>
      </c>
      <c r="J96" t="inlineStr">
        <is>
          <t>Disetujui</t>
        </is>
      </c>
      <c r="K96" t="n">
        <v>60</v>
      </c>
      <c r="L96" t="inlineStr">
        <is>
          <t>22 Agustus 2026</t>
        </is>
      </c>
      <c r="M96" t="inlineStr">
        <is>
          <t>Konstruksi Bangunan Sipil Jalan</t>
        </is>
      </c>
      <c r="N96" t="inlineStr">
        <is>
          <t>K</t>
        </is>
      </c>
      <c r="O96" t="inlineStr">
        <is>
          <t>20230820</t>
        </is>
      </c>
      <c r="P96" t="inlineStr">
        <is>
          <t>Jambi</t>
        </is>
      </c>
      <c r="Q96" t="inlineStr"/>
    </row>
    <row r="97">
      <c r="A97" t="inlineStr">
        <is>
          <t>MITRA MAHER MASAGI</t>
        </is>
      </c>
      <c r="B97" t="inlineStr">
        <is>
          <t>Kota Bandung</t>
        </is>
      </c>
      <c r="C97" t="inlineStr">
        <is>
          <t>085701022944</t>
        </is>
      </c>
      <c r="D97" t="inlineStr">
        <is>
          <t>mitramahermasagi.cv@gmail.com</t>
        </is>
      </c>
      <c r="E97" t="inlineStr">
        <is>
          <t>https://lpjk.pu.go.id/search-badan-usaha-detail/NFJ2OFdnaGd6NSt5OEFGTnJWaHlJQT09</t>
        </is>
      </c>
      <c r="F97" t="n">
        <v>1</v>
      </c>
      <c r="G97" t="inlineStr">
        <is>
          <t>BG007</t>
        </is>
      </c>
      <c r="H97" t="inlineStr">
        <is>
          <t>8 Juni 2023</t>
        </is>
      </c>
      <c r="I97" s="2" t="n">
        <v>46256</v>
      </c>
      <c r="J97" t="inlineStr">
        <is>
          <t>Pencabutan</t>
        </is>
      </c>
      <c r="K97" t="n">
        <v>60</v>
      </c>
      <c r="L97" t="inlineStr">
        <is>
          <t>22 Agustus 2026</t>
        </is>
      </c>
      <c r="M97" t="inlineStr">
        <is>
          <t>Konstruksi Gedung Penginapan</t>
        </is>
      </c>
      <c r="N97" t="inlineStr">
        <is>
          <t>K</t>
        </is>
      </c>
      <c r="O97" t="inlineStr">
        <is>
          <t>20230814</t>
        </is>
      </c>
      <c r="P97" t="inlineStr">
        <is>
          <t>Jawa Barat</t>
        </is>
      </c>
      <c r="Q97" t="inlineStr"/>
    </row>
    <row r="98">
      <c r="A98" t="inlineStr">
        <is>
          <t>MITRA PUTRI SALJU</t>
        </is>
      </c>
      <c r="B98" t="inlineStr">
        <is>
          <t>Kab. Kapuas Hulu</t>
        </is>
      </c>
      <c r="C98" t="inlineStr">
        <is>
          <t>081350477977</t>
        </is>
      </c>
      <c r="D98" t="inlineStr">
        <is>
          <t>mps.psu@gmail.com</t>
        </is>
      </c>
      <c r="E98" t="inlineStr">
        <is>
          <t>https://lpjk.pu.go.id/search-badan-usaha-detail/aHNXSWdYQ1R5THhGRXJtRzNERjhMUT09</t>
        </is>
      </c>
      <c r="F98" t="n">
        <v>1</v>
      </c>
      <c r="G98" t="inlineStr">
        <is>
          <t>BG009</t>
        </is>
      </c>
      <c r="H98" t="inlineStr">
        <is>
          <t>27 Januari 2022</t>
        </is>
      </c>
      <c r="I98" s="2" t="n">
        <v>46256</v>
      </c>
      <c r="J98" t="inlineStr">
        <is>
          <t>Disetujui</t>
        </is>
      </c>
      <c r="K98" t="n">
        <v>60</v>
      </c>
      <c r="L98" t="inlineStr">
        <is>
          <t>22 Agustus 2026</t>
        </is>
      </c>
      <c r="M98" t="inlineStr">
        <is>
          <t>Konstruksi Gedung Lainnya</t>
        </is>
      </c>
      <c r="N98" t="inlineStr">
        <is>
          <t>K</t>
        </is>
      </c>
      <c r="O98" t="inlineStr">
        <is>
          <t>20230804</t>
        </is>
      </c>
      <c r="P98" t="inlineStr">
        <is>
          <t>Kalimantan Barat</t>
        </is>
      </c>
      <c r="Q98" t="inlineStr"/>
    </row>
    <row r="99">
      <c r="A99" t="inlineStr">
        <is>
          <t>MUKTI WIBAWA SENTOSA</t>
        </is>
      </c>
      <c r="B99" t="inlineStr">
        <is>
          <t>Kota Adm. Jakarta Selatan</t>
        </is>
      </c>
      <c r="C99" t="inlineStr">
        <is>
          <t>02180641900</t>
        </is>
      </c>
      <c r="D99" t="inlineStr">
        <is>
          <t>muktiwibawasentosa@gmail.com</t>
        </is>
      </c>
      <c r="E99" t="inlineStr">
        <is>
          <t>https://lpjk.pu.go.id/search-badan-usaha-detail/dzdIN0FkSk5BZWorRklPMkZoV09ndz09</t>
        </is>
      </c>
      <c r="F99" t="n">
        <v>4</v>
      </c>
      <c r="G99" t="inlineStr">
        <is>
          <t>BG002, BG005, BG008, BG009</t>
        </is>
      </c>
      <c r="H99" t="inlineStr">
        <is>
          <t>1 Oktober 2019</t>
        </is>
      </c>
      <c r="I99" s="2" t="n">
        <v>46256</v>
      </c>
      <c r="J99" t="inlineStr">
        <is>
          <t>Disetujui</t>
        </is>
      </c>
      <c r="K99" t="n">
        <v>60</v>
      </c>
      <c r="L99" t="inlineStr">
        <is>
          <t>22 Agustus 2026</t>
        </is>
      </c>
      <c r="M99" t="inlineStr">
        <is>
          <t>Konstruksi Gedung Kesehatan, Konstruksi Gedung Lainnya, Konstruksi Gedung Perkantoran, Konstruksi Gedung Tempat Hiburan dan Olahraga</t>
        </is>
      </c>
      <c r="N99" t="inlineStr">
        <is>
          <t>K</t>
        </is>
      </c>
      <c r="O99" t="inlineStr">
        <is>
          <t>20230822, 20230823</t>
        </is>
      </c>
      <c r="P99" t="inlineStr">
        <is>
          <t>DKI Jakarta</t>
        </is>
      </c>
      <c r="Q99" t="inlineStr"/>
    </row>
    <row r="100">
      <c r="A100" t="inlineStr">
        <is>
          <t>MULIA VICAR</t>
        </is>
      </c>
      <c r="B100" t="inlineStr">
        <is>
          <t>Kota Makassar</t>
        </is>
      </c>
      <c r="C100" t="inlineStr">
        <is>
          <t>081241410055</t>
        </is>
      </c>
      <c r="D100" t="inlineStr">
        <is>
          <t>muliavicar@gmail.com</t>
        </is>
      </c>
      <c r="E100" t="inlineStr">
        <is>
          <t>https://lpjk.pu.go.id/search-badan-usaha-detail/OVZ0eTQydkg1Yzd4b2dkYXczM0pVdz09</t>
        </is>
      </c>
      <c r="F100" t="n">
        <v>1</v>
      </c>
      <c r="G100" t="inlineStr">
        <is>
          <t>RK003</t>
        </is>
      </c>
      <c r="H100" t="inlineStr">
        <is>
          <t>24 Mei 1999</t>
        </is>
      </c>
      <c r="I100" s="2" t="n">
        <v>46256</v>
      </c>
      <c r="J100" t="inlineStr">
        <is>
          <t>Disetujui</t>
        </is>
      </c>
      <c r="K100" t="n">
        <v>60</v>
      </c>
      <c r="L100" t="inlineStr">
        <is>
          <t>22 Agustus 2026</t>
        </is>
      </c>
      <c r="M100" t="inlineStr">
        <is>
          <t>Jasa Rekayasa Pekerjaan Teknik Sipil Transportasi</t>
        </is>
      </c>
      <c r="N100" t="inlineStr">
        <is>
          <t>K</t>
        </is>
      </c>
      <c r="O100" t="inlineStr">
        <is>
          <t>20230808</t>
        </is>
      </c>
      <c r="P100" t="inlineStr">
        <is>
          <t>Sulawesi Selatan</t>
        </is>
      </c>
      <c r="Q100" t="inlineStr"/>
    </row>
    <row r="101">
      <c r="A101" t="inlineStr">
        <is>
          <t>NAGA MAS JAYA</t>
        </is>
      </c>
      <c r="B101" t="inlineStr">
        <is>
          <t>Kab. Bandung Barat</t>
        </is>
      </c>
      <c r="C101" t="inlineStr">
        <is>
          <t>082129990638</t>
        </is>
      </c>
      <c r="D101" t="inlineStr">
        <is>
          <t>st.maruli@ymail.com</t>
        </is>
      </c>
      <c r="E101" t="inlineStr">
        <is>
          <t>https://lpjk.pu.go.id/search-badan-usaha-detail/YWtrR1JidG94NWdnaFhIM1dDL0NZQT09</t>
        </is>
      </c>
      <c r="F101" t="n">
        <v>4</v>
      </c>
      <c r="G101" t="inlineStr">
        <is>
          <t>BG001, BG006, BG009, BS001</t>
        </is>
      </c>
      <c r="H101" t="inlineStr">
        <is>
          <t>11 Januari 2011</t>
        </is>
      </c>
      <c r="I101" s="2" t="n">
        <v>46256</v>
      </c>
      <c r="J101" t="inlineStr">
        <is>
          <t>Disetujui</t>
        </is>
      </c>
      <c r="K101" t="n">
        <v>60</v>
      </c>
      <c r="L101" t="inlineStr">
        <is>
          <t>22 Agustus 2026</t>
        </is>
      </c>
      <c r="M101" t="inlineStr">
        <is>
          <t>Konstruksi Bangunan Sipil Jalan, Konstruksi Gedung Hunian, Konstruksi Gedung Lainnya, Konstruksi Gedung Pendidikan</t>
        </is>
      </c>
      <c r="N101" t="inlineStr">
        <is>
          <t>K</t>
        </is>
      </c>
      <c r="O101" t="inlineStr">
        <is>
          <t>20230816, 20230818</t>
        </is>
      </c>
      <c r="P101" t="inlineStr">
        <is>
          <t>Jawa Barat</t>
        </is>
      </c>
      <c r="Q101" t="inlineStr"/>
    </row>
    <row r="102">
      <c r="A102" t="inlineStr">
        <is>
          <t>NANDA KIMASINDO JAYA ABADI</t>
        </is>
      </c>
      <c r="B102" t="inlineStr">
        <is>
          <t>Kota Surabaya</t>
        </is>
      </c>
      <c r="C102" t="inlineStr">
        <is>
          <t>082131232944</t>
        </is>
      </c>
      <c r="D102" t="inlineStr">
        <is>
          <t>samikshmkn@gmail.com</t>
        </is>
      </c>
      <c r="E102" t="inlineStr">
        <is>
          <t>https://lpjk.pu.go.id/search-badan-usaha-detail/VlpNN283MFIvNHMreDZoSTViV2IvUT09</t>
        </is>
      </c>
      <c r="F102" t="n">
        <v>1</v>
      </c>
      <c r="G102" t="inlineStr">
        <is>
          <t>BS001</t>
        </is>
      </c>
      <c r="H102" t="inlineStr">
        <is>
          <t>25 Januari 2007</t>
        </is>
      </c>
      <c r="I102" s="2" t="n">
        <v>46256</v>
      </c>
      <c r="J102" t="inlineStr">
        <is>
          <t>Disetujui</t>
        </is>
      </c>
      <c r="K102" t="n">
        <v>60</v>
      </c>
      <c r="L102" t="inlineStr">
        <is>
          <t>22 Agustus 2026</t>
        </is>
      </c>
      <c r="M102" t="inlineStr">
        <is>
          <t>Konstruksi Bangunan Sipil Jalan</t>
        </is>
      </c>
      <c r="N102" t="inlineStr">
        <is>
          <t>K</t>
        </is>
      </c>
      <c r="O102" t="inlineStr">
        <is>
          <t>20230814</t>
        </is>
      </c>
      <c r="P102" t="inlineStr">
        <is>
          <t>Jawa Timur</t>
        </is>
      </c>
      <c r="Q102" t="inlineStr"/>
    </row>
    <row r="103">
      <c r="A103" t="inlineStr">
        <is>
          <t>NINDYA KRIDA</t>
        </is>
      </c>
      <c r="B103" t="inlineStr">
        <is>
          <t>Kab. Tulungagung</t>
        </is>
      </c>
      <c r="C103" t="inlineStr">
        <is>
          <t>0355523076</t>
        </is>
      </c>
      <c r="D103" t="inlineStr">
        <is>
          <t>dbasuki@rocketmail.com</t>
        </is>
      </c>
      <c r="E103" t="inlineStr">
        <is>
          <t>https://lpjk.pu.go.id/search-badan-usaha-detail/VEQzMEZUcm02dTRBazI5cjNGUmNzUT09</t>
        </is>
      </c>
      <c r="F103" t="n">
        <v>2</v>
      </c>
      <c r="G103" t="inlineStr">
        <is>
          <t>BG006</t>
        </is>
      </c>
      <c r="H103" t="inlineStr">
        <is>
          <t>12 Oktober 1982</t>
        </is>
      </c>
      <c r="I103" s="2" t="n">
        <v>46256</v>
      </c>
      <c r="J103" t="inlineStr">
        <is>
          <t>Disetujui</t>
        </is>
      </c>
      <c r="K103" t="n">
        <v>60</v>
      </c>
      <c r="L103" t="inlineStr">
        <is>
          <t>22 Agustus 2026</t>
        </is>
      </c>
      <c r="M103" t="inlineStr">
        <is>
          <t>Konstruksi Gedung Pendidikan</t>
        </is>
      </c>
      <c r="N103" t="inlineStr">
        <is>
          <t>K</t>
        </is>
      </c>
      <c r="O103" t="inlineStr">
        <is>
          <t>20230816</t>
        </is>
      </c>
      <c r="P103" t="inlineStr">
        <is>
          <t>Jawa Timur</t>
        </is>
      </c>
      <c r="Q103" t="inlineStr"/>
    </row>
    <row r="104">
      <c r="A104" t="inlineStr">
        <is>
          <t>NIRWANA RAHMA MAKMUR</t>
        </is>
      </c>
      <c r="B104" t="inlineStr">
        <is>
          <t>Kota Makassar</t>
        </is>
      </c>
      <c r="C104" t="inlineStr">
        <is>
          <t>082196806806</t>
        </is>
      </c>
      <c r="D104" t="inlineStr">
        <is>
          <t>nirwana031.makmur@gmail.com</t>
        </is>
      </c>
      <c r="E104" t="inlineStr">
        <is>
          <t>https://lpjk.pu.go.id/search-badan-usaha-detail/T3FkTTJJVFgrYWk1TlpSSmtMYWFGZz09</t>
        </is>
      </c>
      <c r="F104" t="n">
        <v>7</v>
      </c>
      <c r="G104" t="inlineStr">
        <is>
          <t>AR001, AR002, AR003, RK001, RK002, RK003, RK005</t>
        </is>
      </c>
      <c r="H104" t="inlineStr">
        <is>
          <t>5 Januari 2018</t>
        </is>
      </c>
      <c r="I104" s="2" t="n">
        <v>46256</v>
      </c>
      <c r="J104" t="inlineStr">
        <is>
          <t>Disetujui</t>
        </is>
      </c>
      <c r="K104" t="n">
        <v>60</v>
      </c>
      <c r="L104" t="inlineStr">
        <is>
          <t>22 Agustus 2026</t>
        </is>
      </c>
      <c r="M104" t="inlineStr">
        <is>
          <t>Jasa Arsitektural Bangunan Gedung Hunian dan Non Hunian, Jasa Arsitektural Lainnya, Jasa Desain Interior pada Bangunan Gedung dan Bangunan Sipil, Jasa Rekayasa Konstruksi Bangunan Gedung Hunian dan Non Hunian, Jasa Rekayasa Lainnya, Jasa Rekayasa Pekerjaan Teknik Sipil Sumber Daya Air, Jasa Rekayasa Pekerjaan Teknik Sipil Transportasi</t>
        </is>
      </c>
      <c r="N104" t="inlineStr">
        <is>
          <t>K</t>
        </is>
      </c>
      <c r="O104" t="inlineStr">
        <is>
          <t>20230811</t>
        </is>
      </c>
      <c r="P104" t="inlineStr">
        <is>
          <t>Sulawesi Selatan</t>
        </is>
      </c>
      <c r="Q104" t="inlineStr"/>
    </row>
    <row r="105">
      <c r="A105" t="inlineStr">
        <is>
          <t>NUSA ABADI ELEKTRIKA</t>
        </is>
      </c>
      <c r="B105" t="inlineStr">
        <is>
          <t>Kota Tangerang</t>
        </is>
      </c>
      <c r="C105" t="inlineStr">
        <is>
          <t>081319616363</t>
        </is>
      </c>
      <c r="D105" t="inlineStr">
        <is>
          <t>nusaabadielektrika01@gmail.com</t>
        </is>
      </c>
      <c r="E105" t="inlineStr">
        <is>
          <t>https://lpjk.pu.go.id/search-badan-usaha-detail/NEl2T3lpUmlLWXFRYWpYTnJBcHcxdz09</t>
        </is>
      </c>
      <c r="F105" t="n">
        <v>1</v>
      </c>
      <c r="G105" t="inlineStr">
        <is>
          <t>BG009</t>
        </is>
      </c>
      <c r="H105" t="inlineStr">
        <is>
          <t>7 Juni 2011</t>
        </is>
      </c>
      <c r="I105" s="2" t="n">
        <v>46256</v>
      </c>
      <c r="J105" t="inlineStr">
        <is>
          <t>Disetujui</t>
        </is>
      </c>
      <c r="K105" t="n">
        <v>60</v>
      </c>
      <c r="L105" t="inlineStr">
        <is>
          <t>22 Agustus 2026</t>
        </is>
      </c>
      <c r="M105" t="inlineStr">
        <is>
          <t>Konstruksi Gedung Lainnya</t>
        </is>
      </c>
      <c r="N105" t="inlineStr">
        <is>
          <t>K</t>
        </is>
      </c>
      <c r="O105" t="inlineStr">
        <is>
          <t>20230816</t>
        </is>
      </c>
      <c r="P105" t="inlineStr">
        <is>
          <t>Banten</t>
        </is>
      </c>
      <c r="Q105" t="inlineStr"/>
    </row>
    <row r="106">
      <c r="A106" t="inlineStr">
        <is>
          <t>OPTIMAL ENGINEERINGSUPPORT INDONESIA</t>
        </is>
      </c>
      <c r="B106" t="inlineStr">
        <is>
          <t>Kota Bandung</t>
        </is>
      </c>
      <c r="C106" t="inlineStr">
        <is>
          <t>08122119668</t>
        </is>
      </c>
      <c r="D106" t="inlineStr">
        <is>
          <t>pt.optimal.esi@gmail.com</t>
        </is>
      </c>
      <c r="E106" t="inlineStr">
        <is>
          <t>https://lpjk.pu.go.id/search-badan-usaha-detail/ZE9SZDJuL2JBL1NyeVVwd3d3Q1lTQT09</t>
        </is>
      </c>
      <c r="F106" t="n">
        <v>6</v>
      </c>
      <c r="G106" t="inlineStr">
        <is>
          <t>RK001, RK005, RT001</t>
        </is>
      </c>
      <c r="H106" t="inlineStr">
        <is>
          <t>14 September 2022</t>
        </is>
      </c>
      <c r="I106" s="2" t="n">
        <v>46256</v>
      </c>
      <c r="J106" t="inlineStr">
        <is>
          <t>Disetujui</t>
        </is>
      </c>
      <c r="K106" t="n">
        <v>60</v>
      </c>
      <c r="L106" t="inlineStr">
        <is>
          <t>22 Agustus 2026</t>
        </is>
      </c>
      <c r="M106" t="inlineStr">
        <is>
          <t>Jasa Pelayanan Studi Investasi Infrastruktur, Jasa Rekayasa Konstruksi Bangunan Gedung Hunian dan Non Hunian, Jasa Rekayasa Lainnya</t>
        </is>
      </c>
      <c r="N106" t="inlineStr">
        <is>
          <t>K</t>
        </is>
      </c>
      <c r="O106" t="inlineStr">
        <is>
          <t>20230712, 20230728</t>
        </is>
      </c>
      <c r="P106" t="inlineStr">
        <is>
          <t>Jawa Barat</t>
        </is>
      </c>
      <c r="Q106" t="inlineStr"/>
    </row>
    <row r="107">
      <c r="A107" t="inlineStr">
        <is>
          <t>ORION ROTRINDO</t>
        </is>
      </c>
      <c r="B107" t="inlineStr">
        <is>
          <t>Kab. Muara Enim</t>
        </is>
      </c>
      <c r="C107" t="inlineStr">
        <is>
          <t>085273700799</t>
        </is>
      </c>
      <c r="D107" t="inlineStr">
        <is>
          <t>orionrotrindo.cv@gmail.com</t>
        </is>
      </c>
      <c r="E107" t="inlineStr">
        <is>
          <t>https://lpjk.pu.go.id/search-badan-usaha-detail/OHVsZFZtdHZNU2hYWXhtM2Y5UFhZZz09</t>
        </is>
      </c>
      <c r="F107" t="n">
        <v>1</v>
      </c>
      <c r="G107" t="inlineStr">
        <is>
          <t>BG008</t>
        </is>
      </c>
      <c r="H107" t="inlineStr">
        <is>
          <t>17 Maret 2008</t>
        </is>
      </c>
      <c r="I107" s="2" t="n">
        <v>46256</v>
      </c>
      <c r="J107" t="inlineStr">
        <is>
          <t>Disetujui</t>
        </is>
      </c>
      <c r="K107" t="n">
        <v>60</v>
      </c>
      <c r="L107" t="inlineStr">
        <is>
          <t>22 Agustus 2026</t>
        </is>
      </c>
      <c r="M107" t="inlineStr">
        <is>
          <t>Konstruksi Gedung Tempat Hiburan dan Olahraga</t>
        </is>
      </c>
      <c r="N107" t="inlineStr">
        <is>
          <t>K</t>
        </is>
      </c>
      <c r="O107" t="inlineStr">
        <is>
          <t>20230816</t>
        </is>
      </c>
      <c r="P107" t="inlineStr">
        <is>
          <t>Sumatera Selatan</t>
        </is>
      </c>
      <c r="Q107" t="inlineStr"/>
    </row>
    <row r="108">
      <c r="A108" t="inlineStr">
        <is>
          <t>PALUSEWU PERKASA</t>
        </is>
      </c>
      <c r="B108" t="inlineStr">
        <is>
          <t>Kota Adm. Jakarta Pusat</t>
        </is>
      </c>
      <c r="C108" t="inlineStr">
        <is>
          <t>02146820505</t>
        </is>
      </c>
      <c r="D108" t="inlineStr">
        <is>
          <t>palusewu@yahoo.co.id</t>
        </is>
      </c>
      <c r="E108" t="inlineStr">
        <is>
          <t>https://lpjk.pu.go.id/search-badan-usaha-detail/Rk85ZkQvQkx4UlVPQVBITHcrTlJSdz09</t>
        </is>
      </c>
      <c r="F108" t="n">
        <v>2</v>
      </c>
      <c r="G108" t="inlineStr">
        <is>
          <t>BG002, BG003</t>
        </is>
      </c>
      <c r="H108" t="inlineStr">
        <is>
          <t>28 Mei 1994</t>
        </is>
      </c>
      <c r="I108" s="2" t="n">
        <v>46256</v>
      </c>
      <c r="J108" t="inlineStr">
        <is>
          <t>Pembekuan</t>
        </is>
      </c>
      <c r="K108" t="n">
        <v>60</v>
      </c>
      <c r="L108" t="inlineStr">
        <is>
          <t>22 Agustus 2026</t>
        </is>
      </c>
      <c r="M108" t="inlineStr">
        <is>
          <t>Konstruksi Gedung Industri, Konstruksi Gedung Perkantoran</t>
        </is>
      </c>
      <c r="N108" t="inlineStr">
        <is>
          <t>M</t>
        </is>
      </c>
      <c r="O108" t="inlineStr">
        <is>
          <t>20230819</t>
        </is>
      </c>
      <c r="P108" t="inlineStr">
        <is>
          <t>DKI Jakarta</t>
        </is>
      </c>
      <c r="Q108" t="inlineStr"/>
    </row>
    <row r="109">
      <c r="A109" t="inlineStr">
        <is>
          <t>PARAMARTA MUTIARA KARSA</t>
        </is>
      </c>
      <c r="B109" t="inlineStr">
        <is>
          <t>Kota Adm. Jakarta Barat</t>
        </is>
      </c>
      <c r="C109" t="inlineStr">
        <is>
          <t>081932532137</t>
        </is>
      </c>
      <c r="D109" t="inlineStr">
        <is>
          <t>paramarta.mk@gmail.com</t>
        </is>
      </c>
      <c r="E109" t="inlineStr">
        <is>
          <t>https://lpjk.pu.go.id/search-badan-usaha-detail/YkFFaWRqM245SVV4TS9URHU1NkptUT09</t>
        </is>
      </c>
      <c r="F109" t="n">
        <v>1</v>
      </c>
      <c r="G109" t="inlineStr">
        <is>
          <t>BG003</t>
        </is>
      </c>
      <c r="H109" t="inlineStr">
        <is>
          <t>8 Maret 2023</t>
        </is>
      </c>
      <c r="I109" s="2" t="n">
        <v>46256</v>
      </c>
      <c r="J109" t="inlineStr">
        <is>
          <t>Disetujui</t>
        </is>
      </c>
      <c r="K109" t="n">
        <v>60</v>
      </c>
      <c r="L109" t="inlineStr">
        <is>
          <t>22 Agustus 2026</t>
        </is>
      </c>
      <c r="M109" t="inlineStr">
        <is>
          <t>Konstruksi Gedung Industri</t>
        </is>
      </c>
      <c r="N109" t="inlineStr">
        <is>
          <t>K</t>
        </is>
      </c>
      <c r="O109" t="inlineStr">
        <is>
          <t>20230811</t>
        </is>
      </c>
      <c r="P109" t="inlineStr">
        <is>
          <t>DKI Jakarta</t>
        </is>
      </c>
      <c r="Q109" t="inlineStr"/>
    </row>
    <row r="110">
      <c r="A110" t="inlineStr">
        <is>
          <t>PARSAMEAN NAULI INTI PERSADA</t>
        </is>
      </c>
      <c r="B110" t="inlineStr">
        <is>
          <t>Kota Medan</t>
        </is>
      </c>
      <c r="C110" t="inlineStr">
        <is>
          <t>085262127774</t>
        </is>
      </c>
      <c r="D110" t="inlineStr">
        <is>
          <t>parsameannauli_intipersada@yahoo.com</t>
        </is>
      </c>
      <c r="E110" t="inlineStr">
        <is>
          <t>https://lpjk.pu.go.id/search-badan-usaha-detail/Tlc1RzhBRTZFbS9xRTd5MkJhQnA4QT09</t>
        </is>
      </c>
      <c r="F110" t="n">
        <v>1</v>
      </c>
      <c r="G110" t="inlineStr">
        <is>
          <t>BG008</t>
        </is>
      </c>
      <c r="H110" t="inlineStr">
        <is>
          <t>18 Februari 2016</t>
        </is>
      </c>
      <c r="I110" s="2" t="n">
        <v>46256</v>
      </c>
      <c r="J110" t="inlineStr">
        <is>
          <t>Disetujui</t>
        </is>
      </c>
      <c r="K110" t="n">
        <v>60</v>
      </c>
      <c r="L110" t="inlineStr">
        <is>
          <t>22 Agustus 2026</t>
        </is>
      </c>
      <c r="M110" t="inlineStr">
        <is>
          <t>Konstruksi Gedung Tempat Hiburan dan Olahraga</t>
        </is>
      </c>
      <c r="N110" t="inlineStr">
        <is>
          <t>K</t>
        </is>
      </c>
      <c r="O110" t="inlineStr">
        <is>
          <t>20230816</t>
        </is>
      </c>
      <c r="P110" t="inlineStr">
        <is>
          <t>Sumatera Utara</t>
        </is>
      </c>
      <c r="Q110" t="inlineStr"/>
    </row>
    <row r="111">
      <c r="A111" t="inlineStr">
        <is>
          <t>PERMATA KENCANA RAYA</t>
        </is>
      </c>
      <c r="B111" t="inlineStr">
        <is>
          <t>Kota Cilegon</t>
        </is>
      </c>
      <c r="C111" t="inlineStr">
        <is>
          <t>085782482592</t>
        </is>
      </c>
      <c r="D111" t="inlineStr">
        <is>
          <t>permatakencanaraya@gmail.com</t>
        </is>
      </c>
      <c r="E111" t="inlineStr">
        <is>
          <t>https://lpjk.pu.go.id/search-badan-usaha-detail/NlUvTHNaVVN0ZEV1TU5YVngwUWxGZz09</t>
        </is>
      </c>
      <c r="F111" t="n">
        <v>1</v>
      </c>
      <c r="G111" t="inlineStr">
        <is>
          <t>BG003</t>
        </is>
      </c>
      <c r="H111" t="inlineStr">
        <is>
          <t>4 Juli 2022</t>
        </is>
      </c>
      <c r="I111" s="2" t="n">
        <v>46256</v>
      </c>
      <c r="J111" t="inlineStr">
        <is>
          <t>Pencabutan</t>
        </is>
      </c>
      <c r="K111" t="n">
        <v>60</v>
      </c>
      <c r="L111" t="inlineStr">
        <is>
          <t>22 Agustus 2026</t>
        </is>
      </c>
      <c r="M111" t="inlineStr">
        <is>
          <t>Konstruksi Gedung Industri</t>
        </is>
      </c>
      <c r="N111" t="inlineStr">
        <is>
          <t>K</t>
        </is>
      </c>
      <c r="O111" t="inlineStr">
        <is>
          <t>20230707</t>
        </is>
      </c>
      <c r="P111" t="inlineStr">
        <is>
          <t>Banten</t>
        </is>
      </c>
      <c r="Q111" t="inlineStr"/>
    </row>
    <row r="112">
      <c r="A112" t="inlineStr">
        <is>
          <t>PERMATA TIRTA JAYA</t>
        </is>
      </c>
      <c r="B112" t="inlineStr">
        <is>
          <t>Kab. Konawe Selatan</t>
        </is>
      </c>
      <c r="C112" t="inlineStr">
        <is>
          <t>081245661819</t>
        </is>
      </c>
      <c r="D112" t="inlineStr">
        <is>
          <t>jusnadi2106@gmail.com</t>
        </is>
      </c>
      <c r="E112" t="inlineStr">
        <is>
          <t>https://lpjk.pu.go.id/search-badan-usaha-detail/c1NWWTMvenBWUXpVbldSQyswOU9uZz09</t>
        </is>
      </c>
      <c r="F112" t="n">
        <v>1</v>
      </c>
      <c r="G112" t="inlineStr">
        <is>
          <t>BG001</t>
        </is>
      </c>
      <c r="H112" t="inlineStr">
        <is>
          <t>11 November 2022</t>
        </is>
      </c>
      <c r="I112" s="2" t="n">
        <v>46256</v>
      </c>
      <c r="J112" t="inlineStr">
        <is>
          <t>Disetujui</t>
        </is>
      </c>
      <c r="K112" t="n">
        <v>60</v>
      </c>
      <c r="L112" t="inlineStr">
        <is>
          <t>22 Agustus 2026</t>
        </is>
      </c>
      <c r="M112" t="inlineStr">
        <is>
          <t>Konstruksi Gedung Hunian</t>
        </is>
      </c>
      <c r="N112" t="inlineStr">
        <is>
          <t>K</t>
        </is>
      </c>
      <c r="O112" t="inlineStr">
        <is>
          <t>20230815</t>
        </is>
      </c>
      <c r="P112" t="inlineStr">
        <is>
          <t>Sulawesi Tenggara</t>
        </is>
      </c>
      <c r="Q112" t="inlineStr"/>
    </row>
    <row r="113">
      <c r="A113" t="inlineStr">
        <is>
          <t>PILAR JAYA KONSTRUKSI</t>
        </is>
      </c>
      <c r="B113" t="inlineStr">
        <is>
          <t>Kota Kupang</t>
        </is>
      </c>
      <c r="C113" t="inlineStr">
        <is>
          <t>082236069997</t>
        </is>
      </c>
      <c r="D113" t="inlineStr">
        <is>
          <t>pilararch16@gmail.com</t>
        </is>
      </c>
      <c r="E113" t="inlineStr">
        <is>
          <t>https://lpjk.pu.go.id/search-badan-usaha-detail/QzZnOE5pR2FJcGwraXo0N2NRQ2VVZz09</t>
        </is>
      </c>
      <c r="F113" t="n">
        <v>2</v>
      </c>
      <c r="G113" t="inlineStr">
        <is>
          <t>BG002, BG005</t>
        </is>
      </c>
      <c r="H113" t="inlineStr">
        <is>
          <t>16 Maret 2018</t>
        </is>
      </c>
      <c r="I113" s="2" t="n">
        <v>46256</v>
      </c>
      <c r="J113" t="inlineStr">
        <is>
          <t>Disetujui</t>
        </is>
      </c>
      <c r="K113" t="n">
        <v>60</v>
      </c>
      <c r="L113" t="inlineStr">
        <is>
          <t>22 Agustus 2026</t>
        </is>
      </c>
      <c r="M113" t="inlineStr">
        <is>
          <t>Konstruksi Gedung Kesehatan, Konstruksi Gedung Perkantoran</t>
        </is>
      </c>
      <c r="N113" t="inlineStr">
        <is>
          <t>K</t>
        </is>
      </c>
      <c r="O113" t="inlineStr">
        <is>
          <t>20230727, 20230728</t>
        </is>
      </c>
      <c r="P113" t="inlineStr">
        <is>
          <t>Nusa Tenggara Timur</t>
        </is>
      </c>
      <c r="Q113" t="inlineStr"/>
    </row>
    <row r="114">
      <c r="A114" t="inlineStr">
        <is>
          <t>POLA DWIPA</t>
        </is>
      </c>
      <c r="B114" t="inlineStr">
        <is>
          <t>Kota Semarang</t>
        </is>
      </c>
      <c r="C114" t="inlineStr">
        <is>
          <t>0248312282</t>
        </is>
      </c>
      <c r="D114" t="inlineStr">
        <is>
          <t>poladwip@gmail.com</t>
        </is>
      </c>
      <c r="E114" t="inlineStr">
        <is>
          <t>https://lpjk.pu.go.id/search-badan-usaha-detail/OWxBTUNVaHQvNjBjMGp3M2UvekgxUT09</t>
        </is>
      </c>
      <c r="F114" t="n">
        <v>1</v>
      </c>
      <c r="G114" t="inlineStr">
        <is>
          <t>RK001</t>
        </is>
      </c>
      <c r="H114" t="inlineStr">
        <is>
          <t>20 Januari 1976</t>
        </is>
      </c>
      <c r="I114" s="2" t="n">
        <v>46256</v>
      </c>
      <c r="J114" t="inlineStr">
        <is>
          <t>Disetujui</t>
        </is>
      </c>
      <c r="K114" t="n">
        <v>60</v>
      </c>
      <c r="L114" t="inlineStr">
        <is>
          <t>22 Agustus 2026</t>
        </is>
      </c>
      <c r="M114" t="inlineStr">
        <is>
          <t>Jasa Rekayasa Konstruksi Bangunan Gedung Hunian dan Non Hunian</t>
        </is>
      </c>
      <c r="N114" t="inlineStr">
        <is>
          <t>M</t>
        </is>
      </c>
      <c r="O114" t="inlineStr">
        <is>
          <t>20230807</t>
        </is>
      </c>
      <c r="P114" t="inlineStr">
        <is>
          <t>Jawa Tengah</t>
        </is>
      </c>
      <c r="Q114" t="inlineStr"/>
    </row>
    <row r="115">
      <c r="A115" t="inlineStr">
        <is>
          <t>POWER PERDANA NUSANTARA</t>
        </is>
      </c>
      <c r="B115" t="inlineStr">
        <is>
          <t>Kota Adm. Jakarta Selatan</t>
        </is>
      </c>
      <c r="C115" t="inlineStr">
        <is>
          <t>02151576242</t>
        </is>
      </c>
      <c r="D115" t="inlineStr">
        <is>
          <t>pperdana@powerperdana.com</t>
        </is>
      </c>
      <c r="E115" t="inlineStr">
        <is>
          <t>https://lpjk.pu.go.id/search-badan-usaha-detail/QXJjUSswOW9IU1dBL0N5Mnd1amZOQT09</t>
        </is>
      </c>
      <c r="F115" t="n">
        <v>1</v>
      </c>
      <c r="G115" t="inlineStr">
        <is>
          <t>IN003</t>
        </is>
      </c>
      <c r="H115" t="inlineStr">
        <is>
          <t>10 Februari 2023</t>
        </is>
      </c>
      <c r="I115" s="2" t="n">
        <v>46256</v>
      </c>
      <c r="J115" t="inlineStr">
        <is>
          <t>Disetujui</t>
        </is>
      </c>
      <c r="K115" t="n">
        <v>60</v>
      </c>
      <c r="L115" t="inlineStr">
        <is>
          <t>22 Agustus 2026</t>
        </is>
      </c>
      <c r="M115" t="inlineStr">
        <is>
          <t>Instalasi Peralatan Infrastruktur Pertambangan dan Manufaktur</t>
        </is>
      </c>
      <c r="N115" t="inlineStr">
        <is>
          <t>Spesialis</t>
        </is>
      </c>
      <c r="O115" t="inlineStr">
        <is>
          <t>20230525</t>
        </is>
      </c>
      <c r="P115" t="inlineStr">
        <is>
          <t>DKI Jakarta</t>
        </is>
      </c>
      <c r="Q115" t="inlineStr"/>
    </row>
    <row r="116">
      <c r="A116" t="inlineStr">
        <is>
          <t>PRIMA KARYA UTAMA</t>
        </is>
      </c>
      <c r="B116" t="inlineStr">
        <is>
          <t>Kota Solok</t>
        </is>
      </c>
      <c r="C116" t="inlineStr">
        <is>
          <t>085263804893</t>
        </is>
      </c>
      <c r="D116" t="inlineStr">
        <is>
          <t>primautamaslk@gmail.com</t>
        </is>
      </c>
      <c r="E116" t="inlineStr">
        <is>
          <t>https://lpjk.pu.go.id/search-badan-usaha-detail/MmxvR05LNUZVdjdUalFoRmVHOVlwUT09</t>
        </is>
      </c>
      <c r="F116" t="n">
        <v>1</v>
      </c>
      <c r="G116" t="inlineStr">
        <is>
          <t>BS001</t>
        </is>
      </c>
      <c r="H116" t="inlineStr">
        <is>
          <t>10 Februari 2006</t>
        </is>
      </c>
      <c r="I116" s="2" t="n">
        <v>46256</v>
      </c>
      <c r="J116" t="inlineStr">
        <is>
          <t>Disetujui</t>
        </is>
      </c>
      <c r="K116" t="n">
        <v>60</v>
      </c>
      <c r="L116" t="inlineStr">
        <is>
          <t>22 Agustus 2026</t>
        </is>
      </c>
      <c r="M116" t="inlineStr">
        <is>
          <t>Konstruksi Bangunan Sipil Jalan</t>
        </is>
      </c>
      <c r="N116" t="inlineStr">
        <is>
          <t>K</t>
        </is>
      </c>
      <c r="O116" t="inlineStr">
        <is>
          <t>20230805</t>
        </is>
      </c>
      <c r="P116" t="inlineStr">
        <is>
          <t>Sumatera Barat</t>
        </is>
      </c>
      <c r="Q116" t="inlineStr"/>
    </row>
    <row r="117">
      <c r="A117" t="inlineStr">
        <is>
          <t>PUTRA DHARMA</t>
        </is>
      </c>
      <c r="B117" t="inlineStr">
        <is>
          <t>Kab. Jember</t>
        </is>
      </c>
      <c r="C117" t="inlineStr">
        <is>
          <t>0331540228</t>
        </is>
      </c>
      <c r="D117" t="inlineStr">
        <is>
          <t>putradharma704@yahoo.co.id</t>
        </is>
      </c>
      <c r="E117" t="inlineStr">
        <is>
          <t>https://lpjk.pu.go.id/search-badan-usaha-detail/RG8zcFFJUnl0TEk4UjFoT2NpbldNdz09</t>
        </is>
      </c>
      <c r="F117" t="n">
        <v>2</v>
      </c>
      <c r="G117" t="inlineStr">
        <is>
          <t>BS001, BS004</t>
        </is>
      </c>
      <c r="H117" t="inlineStr">
        <is>
          <t>12 September 2005</t>
        </is>
      </c>
      <c r="I117" s="2" t="n">
        <v>46256</v>
      </c>
      <c r="J117" t="inlineStr">
        <is>
          <t>Disetujui</t>
        </is>
      </c>
      <c r="K117" t="n">
        <v>60</v>
      </c>
      <c r="L117" t="inlineStr">
        <is>
          <t>22 Agustus 2026</t>
        </is>
      </c>
      <c r="M117" t="inlineStr">
        <is>
          <t>Konstruksi Bangunan Sipil Jalan, Konstruksi Jaringan Irigasi dan Drainase</t>
        </is>
      </c>
      <c r="N117" t="inlineStr">
        <is>
          <t>K</t>
        </is>
      </c>
      <c r="O117" t="inlineStr">
        <is>
          <t>20230816</t>
        </is>
      </c>
      <c r="P117" t="inlineStr">
        <is>
          <t>Jawa Timur</t>
        </is>
      </c>
      <c r="Q117" t="inlineStr"/>
    </row>
    <row r="118">
      <c r="A118" t="inlineStr">
        <is>
          <t>PUTRA KAYONG</t>
        </is>
      </c>
      <c r="B118" t="inlineStr">
        <is>
          <t>Kab. Kayong Utara</t>
        </is>
      </c>
      <c r="C118" t="inlineStr">
        <is>
          <t>085245572355</t>
        </is>
      </c>
      <c r="D118" t="inlineStr">
        <is>
          <t>heriyanto42245@gmail.com</t>
        </is>
      </c>
      <c r="E118" t="inlineStr">
        <is>
          <t>https://lpjk.pu.go.id/search-badan-usaha-detail/SEY1bWZoRy9TeGNkQ1AwWm42UzA0Zz09</t>
        </is>
      </c>
      <c r="F118" t="n">
        <v>2</v>
      </c>
      <c r="G118" t="inlineStr">
        <is>
          <t>BS004, BS005</t>
        </is>
      </c>
      <c r="H118" t="inlineStr">
        <is>
          <t>30 Oktober 2009</t>
        </is>
      </c>
      <c r="I118" s="2" t="n">
        <v>46256</v>
      </c>
      <c r="J118" t="inlineStr">
        <is>
          <t>Disetujui</t>
        </is>
      </c>
      <c r="K118" t="n">
        <v>60</v>
      </c>
      <c r="L118" t="inlineStr">
        <is>
          <t>22 Agustus 2026</t>
        </is>
      </c>
      <c r="M118" t="inlineStr">
        <is>
          <t>Konstruksi Bangunan Sipil Pengolahan Air Bersih, Konstruksi Jaringan Irigasi dan Drainase</t>
        </is>
      </c>
      <c r="N118" t="inlineStr">
        <is>
          <t>K</t>
        </is>
      </c>
      <c r="O118" t="inlineStr">
        <is>
          <t>20230525, 20230820</t>
        </is>
      </c>
      <c r="P118" t="inlineStr">
        <is>
          <t>Kalimantan Barat</t>
        </is>
      </c>
      <c r="Q118" t="inlineStr"/>
    </row>
    <row r="119">
      <c r="A119" t="inlineStr">
        <is>
          <t>PUTRA MAHKOTA MADANI</t>
        </is>
      </c>
      <c r="B119" t="inlineStr">
        <is>
          <t>Kab. Langkat</t>
        </is>
      </c>
      <c r="C119" t="inlineStr">
        <is>
          <t>085297258778</t>
        </is>
      </c>
      <c r="D119" t="inlineStr">
        <is>
          <t>putramahkotamadani@gmail.com</t>
        </is>
      </c>
      <c r="E119" t="inlineStr">
        <is>
          <t>https://lpjk.pu.go.id/search-badan-usaha-detail/VHVJeHVwN1RXMmszNmZxR2xjL1FPQT09</t>
        </is>
      </c>
      <c r="F119" t="n">
        <v>2</v>
      </c>
      <c r="G119" t="inlineStr">
        <is>
          <t>BS001, BS002</t>
        </is>
      </c>
      <c r="H119" t="inlineStr">
        <is>
          <t>18 September 2017</t>
        </is>
      </c>
      <c r="I119" s="2" t="n">
        <v>46256</v>
      </c>
      <c r="J119" t="inlineStr">
        <is>
          <t>Disetujui</t>
        </is>
      </c>
      <c r="K119" t="n">
        <v>60</v>
      </c>
      <c r="L119" t="inlineStr">
        <is>
          <t>22 Agustus 2026</t>
        </is>
      </c>
      <c r="M119" t="inlineStr">
        <is>
          <t>Bangunan Sipil Jembatan, Jalan Layang, Fly Over, dan Underpass, Konstruksi Bangunan Sipil Jalan</t>
        </is>
      </c>
      <c r="N119" t="inlineStr">
        <is>
          <t>K</t>
        </is>
      </c>
      <c r="O119" t="inlineStr">
        <is>
          <t>20230819, 20230821</t>
        </is>
      </c>
      <c r="P119" t="inlineStr">
        <is>
          <t>Sumatera Utara</t>
        </is>
      </c>
      <c r="Q119" t="inlineStr"/>
    </row>
    <row r="120">
      <c r="A120" t="inlineStr">
        <is>
          <t>PUTRA PERDANA</t>
        </is>
      </c>
      <c r="B120" t="inlineStr">
        <is>
          <t>Kab. Padang Lawas</t>
        </is>
      </c>
      <c r="C120" t="inlineStr">
        <is>
          <t>081363271066</t>
        </is>
      </c>
      <c r="D120" t="inlineStr">
        <is>
          <t>gamdi.perdana@gmail.com</t>
        </is>
      </c>
      <c r="E120" t="inlineStr">
        <is>
          <t>https://lpjk.pu.go.id/search-badan-usaha-detail/cTlrZTF0REMrUUFRcFU4Qll6WkFzQT09</t>
        </is>
      </c>
      <c r="F120" t="n">
        <v>1</v>
      </c>
      <c r="G120" t="inlineStr">
        <is>
          <t>BS001</t>
        </is>
      </c>
      <c r="H120" t="inlineStr">
        <is>
          <t>5 Juli 2012</t>
        </is>
      </c>
      <c r="I120" s="2" t="n">
        <v>46256</v>
      </c>
      <c r="J120" t="inlineStr">
        <is>
          <t>Disetujui</t>
        </is>
      </c>
      <c r="K120" t="n">
        <v>60</v>
      </c>
      <c r="L120" t="inlineStr">
        <is>
          <t>22 Agustus 2026</t>
        </is>
      </c>
      <c r="M120" t="inlineStr">
        <is>
          <t>Konstruksi Bangunan Sipil Jalan</t>
        </is>
      </c>
      <c r="N120" t="inlineStr">
        <is>
          <t>K</t>
        </is>
      </c>
      <c r="O120" t="inlineStr">
        <is>
          <t>20230823</t>
        </is>
      </c>
      <c r="P120" t="inlineStr">
        <is>
          <t>Sumatera Utara</t>
        </is>
      </c>
      <c r="Q120" t="inlineStr"/>
    </row>
    <row r="121">
      <c r="A121" t="inlineStr">
        <is>
          <t>PUTRA RIBRAN</t>
        </is>
      </c>
      <c r="B121" t="inlineStr">
        <is>
          <t>Kab. Deli Serdang</t>
        </is>
      </c>
      <c r="C121" t="inlineStr">
        <is>
          <t>082268088088</t>
        </is>
      </c>
      <c r="D121" t="inlineStr">
        <is>
          <t>cvputraribran07@gmail.com</t>
        </is>
      </c>
      <c r="E121" t="inlineStr">
        <is>
          <t>https://lpjk.pu.go.id/search-badan-usaha-detail/VlhhenRyd25rUWlVa3A2T1JsZnp3OVcyTEZZUVQyUFR6T3cxQVNVOWxpZz0</t>
        </is>
      </c>
      <c r="F121" t="n">
        <v>1</v>
      </c>
      <c r="G121" t="inlineStr">
        <is>
          <t>BS004</t>
        </is>
      </c>
      <c r="H121" t="inlineStr">
        <is>
          <t>23 Mei 2022</t>
        </is>
      </c>
      <c r="I121" s="2" t="n">
        <v>46256</v>
      </c>
      <c r="J121" t="inlineStr">
        <is>
          <t>Disetujui</t>
        </is>
      </c>
      <c r="K121" t="n">
        <v>60</v>
      </c>
      <c r="L121" t="inlineStr">
        <is>
          <t>22 Agustus 2026</t>
        </is>
      </c>
      <c r="M121" t="inlineStr">
        <is>
          <t>Konstruksi Jaringan Irigasi dan Drainase</t>
        </is>
      </c>
      <c r="N121" t="inlineStr">
        <is>
          <t>K</t>
        </is>
      </c>
      <c r="O121" t="inlineStr">
        <is>
          <t>20230821</t>
        </is>
      </c>
      <c r="P121" t="inlineStr">
        <is>
          <t>Sumatera Utara</t>
        </is>
      </c>
      <c r="Q121" t="inlineStr"/>
    </row>
    <row r="122">
      <c r="A122" t="inlineStr">
        <is>
          <t>RADHIKA KARSA</t>
        </is>
      </c>
      <c r="B122" t="inlineStr">
        <is>
          <t>Kab. Sleman</t>
        </is>
      </c>
      <c r="C122" t="inlineStr">
        <is>
          <t>081250066066</t>
        </is>
      </c>
      <c r="D122" t="inlineStr">
        <is>
          <t>radhikakarsa@gmail.com</t>
        </is>
      </c>
      <c r="E122" t="inlineStr">
        <is>
          <t>https://lpjk.pu.go.id/search-badan-usaha-detail/YTFxUXVDSzFYRVpIcUdReThCODJEQT09</t>
        </is>
      </c>
      <c r="F122" t="n">
        <v>2</v>
      </c>
      <c r="G122" t="inlineStr">
        <is>
          <t>BG009, BS004</t>
        </is>
      </c>
      <c r="H122" t="inlineStr">
        <is>
          <t>21 Juni 2023</t>
        </is>
      </c>
      <c r="I122" s="2" t="n">
        <v>46256</v>
      </c>
      <c r="J122" t="inlineStr">
        <is>
          <t>Disetujui, Pencabutan</t>
        </is>
      </c>
      <c r="K122" t="n">
        <v>60</v>
      </c>
      <c r="L122" t="inlineStr">
        <is>
          <t>22 Agustus 2026</t>
        </is>
      </c>
      <c r="M122" t="inlineStr">
        <is>
          <t>Konstruksi Gedung Lainnya, Konstruksi Jaringan Irigasi dan Drainase</t>
        </is>
      </c>
      <c r="N122" t="inlineStr">
        <is>
          <t>K</t>
        </is>
      </c>
      <c r="O122" t="inlineStr">
        <is>
          <t>20230814</t>
        </is>
      </c>
      <c r="P122" t="inlineStr">
        <is>
          <t>DI Yogyakarta</t>
        </is>
      </c>
      <c r="Q122" t="inlineStr"/>
    </row>
    <row r="123">
      <c r="A123" t="inlineStr">
        <is>
          <t>RAFINDO JAYA ABADI</t>
        </is>
      </c>
      <c r="B123" t="inlineStr">
        <is>
          <t>Kota Adm. Jakarta Pusat</t>
        </is>
      </c>
      <c r="C123" t="inlineStr">
        <is>
          <t>087866855251</t>
        </is>
      </c>
      <c r="D123" t="inlineStr">
        <is>
          <t>fuad.alsilbi@gmail.com</t>
        </is>
      </c>
      <c r="E123" t="inlineStr">
        <is>
          <t>https://lpjk.pu.go.id/search-badan-usaha-detail/bERVK0ZJaTA1RmtqOVBPSTV0MVpwdz09</t>
        </is>
      </c>
      <c r="F123" t="n">
        <v>2</v>
      </c>
      <c r="G123" t="inlineStr">
        <is>
          <t>BG002</t>
        </is>
      </c>
      <c r="H123" t="inlineStr">
        <is>
          <t>12 Februari 2015</t>
        </is>
      </c>
      <c r="I123" s="2" t="n">
        <v>46256</v>
      </c>
      <c r="J123" t="inlineStr">
        <is>
          <t>Disetujui</t>
        </is>
      </c>
      <c r="K123" t="n">
        <v>60</v>
      </c>
      <c r="L123" t="inlineStr">
        <is>
          <t>22 Agustus 2026</t>
        </is>
      </c>
      <c r="M123" t="inlineStr">
        <is>
          <t>Konstruksi Gedung Perkantoran</t>
        </is>
      </c>
      <c r="N123" t="inlineStr">
        <is>
          <t>K</t>
        </is>
      </c>
      <c r="O123" t="inlineStr">
        <is>
          <t>20230816</t>
        </is>
      </c>
      <c r="P123" t="inlineStr">
        <is>
          <t>DKI Jakarta</t>
        </is>
      </c>
      <c r="Q123" t="inlineStr"/>
    </row>
    <row r="124">
      <c r="A124" t="inlineStr">
        <is>
          <t>RAJA BENOS</t>
        </is>
      </c>
      <c r="B124" t="inlineStr">
        <is>
          <t>Kab. Toba Samosir</t>
        </is>
      </c>
      <c r="C124" t="inlineStr">
        <is>
          <t>081364154750</t>
        </is>
      </c>
      <c r="D124" t="inlineStr">
        <is>
          <t>cvrajabenos@gmail.com</t>
        </is>
      </c>
      <c r="E124" t="inlineStr">
        <is>
          <t>https://lpjk.pu.go.id/search-badan-usaha-detail/OUN1UkgvR1JGTTd6Qk4vSXo4dU1WQT09</t>
        </is>
      </c>
      <c r="F124" t="n">
        <v>1</v>
      </c>
      <c r="G124" t="inlineStr">
        <is>
          <t>BG006</t>
        </is>
      </c>
      <c r="H124" t="inlineStr">
        <is>
          <t>6 Januari 2023</t>
        </is>
      </c>
      <c r="I124" s="2" t="n">
        <v>46256</v>
      </c>
      <c r="J124" t="inlineStr">
        <is>
          <t>Disetujui</t>
        </is>
      </c>
      <c r="K124" t="n">
        <v>60</v>
      </c>
      <c r="L124" t="inlineStr">
        <is>
          <t>22 Agustus 2026</t>
        </is>
      </c>
      <c r="M124" t="inlineStr">
        <is>
          <t>Konstruksi Gedung Pendidikan</t>
        </is>
      </c>
      <c r="N124" t="inlineStr">
        <is>
          <t>K</t>
        </is>
      </c>
      <c r="O124" t="inlineStr">
        <is>
          <t>20230818</t>
        </is>
      </c>
      <c r="P124" t="inlineStr">
        <is>
          <t>Sumatera Utara</t>
        </is>
      </c>
      <c r="Q124" t="inlineStr"/>
    </row>
    <row r="125">
      <c r="A125" t="inlineStr">
        <is>
          <t>REKA OPTIMA</t>
        </is>
      </c>
      <c r="B125" t="inlineStr">
        <is>
          <t>Kota Adm. Jakarta Selatan</t>
        </is>
      </c>
      <c r="C125" t="inlineStr">
        <is>
          <t>083192333904</t>
        </is>
      </c>
      <c r="D125" t="inlineStr">
        <is>
          <t>info@rekaoptima.com</t>
        </is>
      </c>
      <c r="E125" t="inlineStr">
        <is>
          <t>https://lpjk.pu.go.id/search-badan-usaha-detail/Yy9jWkVINDlXNUxuNzlXSVU3b1Q2QT09</t>
        </is>
      </c>
      <c r="F125" t="n">
        <v>1</v>
      </c>
      <c r="G125" t="inlineStr">
        <is>
          <t>BS017</t>
        </is>
      </c>
      <c r="H125" t="inlineStr">
        <is>
          <t>29 Mei 2008</t>
        </is>
      </c>
      <c r="I125" s="2" t="n">
        <v>46256</v>
      </c>
      <c r="J125" t="inlineStr">
        <is>
          <t>Disetujui</t>
        </is>
      </c>
      <c r="K125" t="n">
        <v>60</v>
      </c>
      <c r="L125" t="inlineStr">
        <is>
          <t>22 Agustus 2026</t>
        </is>
      </c>
      <c r="M125" t="inlineStr">
        <is>
          <t>Konstruksi Bangunan Sipil Lainnya Ytdl</t>
        </is>
      </c>
      <c r="N125" t="inlineStr">
        <is>
          <t>K</t>
        </is>
      </c>
      <c r="O125" t="inlineStr">
        <is>
          <t>20230704</t>
        </is>
      </c>
      <c r="P125" t="inlineStr">
        <is>
          <t>DKI Jakarta</t>
        </is>
      </c>
      <c r="Q125" t="inlineStr"/>
    </row>
    <row r="126">
      <c r="A126" t="inlineStr">
        <is>
          <t>RENRA PRATAMA</t>
        </is>
      </c>
      <c r="B126" t="inlineStr">
        <is>
          <t>Kab. Cirebon</t>
        </is>
      </c>
      <c r="C126" t="inlineStr">
        <is>
          <t>081394449896</t>
        </is>
      </c>
      <c r="D126" t="inlineStr">
        <is>
          <t>irfantogu118@gmail.com</t>
        </is>
      </c>
      <c r="E126" t="inlineStr">
        <is>
          <t>https://lpjk.pu.go.id/search-badan-usaha-detail/MTFReHZaL1Vnem81THByc09lK2xCQT09</t>
        </is>
      </c>
      <c r="F126" t="n">
        <v>2</v>
      </c>
      <c r="G126" t="inlineStr">
        <is>
          <t>BG002, BG009</t>
        </is>
      </c>
      <c r="H126" t="inlineStr">
        <is>
          <t>6 Juli 2020</t>
        </is>
      </c>
      <c r="I126" s="2" t="n">
        <v>46256</v>
      </c>
      <c r="J126" t="inlineStr">
        <is>
          <t>Disetujui</t>
        </is>
      </c>
      <c r="K126" t="n">
        <v>60</v>
      </c>
      <c r="L126" t="inlineStr">
        <is>
          <t>22 Agustus 2026</t>
        </is>
      </c>
      <c r="M126" t="inlineStr">
        <is>
          <t>Konstruksi Gedung Lainnya, Konstruksi Gedung Perkantoran</t>
        </is>
      </c>
      <c r="N126" t="inlineStr">
        <is>
          <t>K</t>
        </is>
      </c>
      <c r="O126" t="inlineStr">
        <is>
          <t>20230816</t>
        </is>
      </c>
      <c r="P126" t="inlineStr">
        <is>
          <t>Jawa Barat</t>
        </is>
      </c>
      <c r="Q126" t="inlineStr"/>
    </row>
    <row r="127">
      <c r="A127" t="inlineStr">
        <is>
          <t>RIFKY AGUNG PERKASA</t>
        </is>
      </c>
      <c r="B127" t="inlineStr">
        <is>
          <t>Kota Pontianak</t>
        </is>
      </c>
      <c r="C127" t="inlineStr">
        <is>
          <t>081345164963</t>
        </is>
      </c>
      <c r="D127" t="inlineStr">
        <is>
          <t>rifkyagungperkasa@gmail.com</t>
        </is>
      </c>
      <c r="E127" t="inlineStr">
        <is>
          <t>https://lpjk.pu.go.id/search-badan-usaha-detail/bnM4SUN0UEUyNU1sVmFvMGd6bkViUT09</t>
        </is>
      </c>
      <c r="F127" t="n">
        <v>1</v>
      </c>
      <c r="G127" t="inlineStr">
        <is>
          <t>BG001</t>
        </is>
      </c>
      <c r="H127" t="inlineStr">
        <is>
          <t>25 November 2015</t>
        </is>
      </c>
      <c r="I127" s="2" t="n">
        <v>46256</v>
      </c>
      <c r="J127" t="inlineStr">
        <is>
          <t>Disetujui</t>
        </is>
      </c>
      <c r="K127" t="n">
        <v>60</v>
      </c>
      <c r="L127" t="inlineStr">
        <is>
          <t>22 Agustus 2026</t>
        </is>
      </c>
      <c r="M127" t="inlineStr">
        <is>
          <t>Konstruksi Gedung Hunian</t>
        </is>
      </c>
      <c r="N127" t="inlineStr">
        <is>
          <t>K</t>
        </is>
      </c>
      <c r="O127" t="inlineStr">
        <is>
          <t>20230820</t>
        </is>
      </c>
      <c r="P127" t="inlineStr">
        <is>
          <t>Kalimantan Barat</t>
        </is>
      </c>
      <c r="Q127" t="inlineStr"/>
    </row>
    <row r="128">
      <c r="A128" t="inlineStr">
        <is>
          <t>ROMA</t>
        </is>
      </c>
      <c r="B128" t="inlineStr">
        <is>
          <t>Kab. Toba Samosir</t>
        </is>
      </c>
      <c r="C128" t="inlineStr">
        <is>
          <t>081377010442</t>
        </is>
      </c>
      <c r="D128" t="inlineStr">
        <is>
          <t>cv.roma.toba@gmail.com</t>
        </is>
      </c>
      <c r="E128" t="inlineStr">
        <is>
          <t>https://lpjk.pu.go.id/search-badan-usaha-detail/eHIvY0kzOFIvbnN0SExXOFBJSGt1QT09</t>
        </is>
      </c>
      <c r="F128" t="n">
        <v>1</v>
      </c>
      <c r="G128" t="inlineStr">
        <is>
          <t>BG009</t>
        </is>
      </c>
      <c r="H128" t="inlineStr">
        <is>
          <t>28 Maret 2023</t>
        </is>
      </c>
      <c r="I128" s="2" t="n">
        <v>46256</v>
      </c>
      <c r="J128" t="inlineStr">
        <is>
          <t>Disetujui</t>
        </is>
      </c>
      <c r="K128" t="n">
        <v>60</v>
      </c>
      <c r="L128" t="inlineStr">
        <is>
          <t>22 Agustus 2026</t>
        </is>
      </c>
      <c r="M128" t="inlineStr">
        <is>
          <t>Konstruksi Gedung Lainnya</t>
        </is>
      </c>
      <c r="N128" t="inlineStr">
        <is>
          <t>K</t>
        </is>
      </c>
      <c r="O128" t="inlineStr">
        <is>
          <t>20230822</t>
        </is>
      </c>
      <c r="P128" t="inlineStr">
        <is>
          <t>Sumatera Utara</t>
        </is>
      </c>
      <c r="Q128" t="inlineStr"/>
    </row>
    <row r="129">
      <c r="A129" t="inlineStr">
        <is>
          <t>SAHABAT KARYA MANDIRI</t>
        </is>
      </c>
      <c r="B129" t="inlineStr">
        <is>
          <t>Kota Pontianak</t>
        </is>
      </c>
      <c r="C129" t="inlineStr">
        <is>
          <t>08115771129</t>
        </is>
      </c>
      <c r="D129" t="inlineStr">
        <is>
          <t>cvsahabat81@gmail.com</t>
        </is>
      </c>
      <c r="E129" t="inlineStr">
        <is>
          <t>https://lpjk.pu.go.id/search-badan-usaha-detail/YkFhUzJKSEZNS2tJVER6U05kOFAzQT09</t>
        </is>
      </c>
      <c r="F129" t="n">
        <v>2</v>
      </c>
      <c r="G129" t="inlineStr">
        <is>
          <t>BG005, BG009</t>
        </is>
      </c>
      <c r="H129" t="inlineStr">
        <is>
          <t>1 Agustus 2007</t>
        </is>
      </c>
      <c r="I129" s="2" t="n">
        <v>46256</v>
      </c>
      <c r="J129" t="inlineStr">
        <is>
          <t>Disetujui</t>
        </is>
      </c>
      <c r="K129" t="n">
        <v>60</v>
      </c>
      <c r="L129" t="inlineStr">
        <is>
          <t>22 Agustus 2026</t>
        </is>
      </c>
      <c r="M129" t="inlineStr">
        <is>
          <t>Konstruksi Gedung Kesehatan, Konstruksi Gedung Lainnya</t>
        </is>
      </c>
      <c r="N129" t="inlineStr">
        <is>
          <t>K</t>
        </is>
      </c>
      <c r="O129" t="inlineStr">
        <is>
          <t>20230820</t>
        </is>
      </c>
      <c r="P129" t="inlineStr">
        <is>
          <t>Kalimantan Barat</t>
        </is>
      </c>
      <c r="Q129" t="inlineStr"/>
    </row>
    <row r="130">
      <c r="A130" t="inlineStr">
        <is>
          <t>SENTRA BIRAMA ABADI</t>
        </is>
      </c>
      <c r="B130" t="inlineStr">
        <is>
          <t>Kota Payakumbuh</t>
        </is>
      </c>
      <c r="C130" t="inlineStr">
        <is>
          <t>0811663685</t>
        </is>
      </c>
      <c r="D130" t="inlineStr">
        <is>
          <t>sentrabiramaabadi@gmail.com</t>
        </is>
      </c>
      <c r="E130" t="inlineStr">
        <is>
          <t>https://lpjk.pu.go.id/search-badan-usaha-detail/N1E2YnRlY3czQUtScEJ0aGtEMGoxUT09</t>
        </is>
      </c>
      <c r="F130" t="n">
        <v>1</v>
      </c>
      <c r="G130" t="inlineStr">
        <is>
          <t>BG002</t>
        </is>
      </c>
      <c r="H130" t="inlineStr">
        <is>
          <t>27 Juli 2023</t>
        </is>
      </c>
      <c r="I130" s="2" t="n">
        <v>46256</v>
      </c>
      <c r="J130" t="inlineStr">
        <is>
          <t>Disetujui</t>
        </is>
      </c>
      <c r="K130" t="n">
        <v>60</v>
      </c>
      <c r="L130" t="inlineStr">
        <is>
          <t>22 Agustus 2026</t>
        </is>
      </c>
      <c r="M130" t="inlineStr">
        <is>
          <t>Konstruksi Gedung Perkantoran</t>
        </is>
      </c>
      <c r="N130" t="inlineStr">
        <is>
          <t>K</t>
        </is>
      </c>
      <c r="O130" t="inlineStr">
        <is>
          <t>20230822</t>
        </is>
      </c>
      <c r="P130" t="inlineStr">
        <is>
          <t>Sumatera Barat</t>
        </is>
      </c>
      <c r="Q130" t="inlineStr"/>
    </row>
    <row r="131">
      <c r="A131" t="inlineStr">
        <is>
          <t>SINAR CEMERLANG</t>
        </is>
      </c>
      <c r="B131" t="inlineStr">
        <is>
          <t>Kota Banjar</t>
        </is>
      </c>
      <c r="C131" t="inlineStr">
        <is>
          <t>082240340897</t>
        </is>
      </c>
      <c r="D131" t="inlineStr">
        <is>
          <t>sinar.cemerlangcv@yahoo.com</t>
        </is>
      </c>
      <c r="E131" t="inlineStr">
        <is>
          <t>https://lpjk.pu.go.id/search-badan-usaha-detail/RlRESm80djFpOTJ1NEsxL2UwTXpvdz09</t>
        </is>
      </c>
      <c r="F131" t="n">
        <v>3</v>
      </c>
      <c r="G131" t="inlineStr">
        <is>
          <t>BG001, BG006, BG009</t>
        </is>
      </c>
      <c r="H131" t="inlineStr">
        <is>
          <t>22 Juni 2012</t>
        </is>
      </c>
      <c r="I131" s="2" t="n">
        <v>46256</v>
      </c>
      <c r="J131" t="inlineStr">
        <is>
          <t>Pencabutan</t>
        </is>
      </c>
      <c r="K131" t="n">
        <v>60</v>
      </c>
      <c r="L131" t="inlineStr">
        <is>
          <t>22 Agustus 2026</t>
        </is>
      </c>
      <c r="M131" t="inlineStr">
        <is>
          <t>Konstruksi Gedung Hunian, Konstruksi Gedung Lainnya, Konstruksi Gedung Pendidikan</t>
        </is>
      </c>
      <c r="N131" t="inlineStr">
        <is>
          <t>K</t>
        </is>
      </c>
      <c r="O131" t="inlineStr">
        <is>
          <t>20230821</t>
        </is>
      </c>
      <c r="P131" t="inlineStr">
        <is>
          <t>Jawa Barat</t>
        </is>
      </c>
      <c r="Q131" t="inlineStr"/>
    </row>
    <row r="132">
      <c r="A132" t="inlineStr">
        <is>
          <t>SINERGI LIMA EMPAT</t>
        </is>
      </c>
      <c r="B132" t="inlineStr">
        <is>
          <t>Kota Surabaya</t>
        </is>
      </c>
      <c r="C132" t="inlineStr">
        <is>
          <t>081216835619</t>
        </is>
      </c>
      <c r="D132" t="inlineStr">
        <is>
          <t>cvsinergilimaempat@gmail.com</t>
        </is>
      </c>
      <c r="E132" t="inlineStr">
        <is>
          <t>https://lpjk.pu.go.id/search-badan-usaha-detail/RGV1Z0pTa1J3WWlzWDhEeHU3RUMwUHJIZldESzQvRW5jeWh5WnpPQ2pXOD0</t>
        </is>
      </c>
      <c r="F132" t="n">
        <v>1</v>
      </c>
      <c r="G132" t="inlineStr">
        <is>
          <t>BS004</t>
        </is>
      </c>
      <c r="H132" t="inlineStr">
        <is>
          <t>5 Juli 2023</t>
        </is>
      </c>
      <c r="I132" s="2" t="n">
        <v>46256</v>
      </c>
      <c r="J132" t="inlineStr">
        <is>
          <t>Disetujui</t>
        </is>
      </c>
      <c r="K132" t="n">
        <v>60</v>
      </c>
      <c r="L132" t="inlineStr">
        <is>
          <t>22 Agustus 2026</t>
        </is>
      </c>
      <c r="M132" t="inlineStr">
        <is>
          <t>Konstruksi Jaringan Irigasi dan Drainase</t>
        </is>
      </c>
      <c r="N132" t="inlineStr">
        <is>
          <t>K</t>
        </is>
      </c>
      <c r="O132" t="inlineStr">
        <is>
          <t>20230818</t>
        </is>
      </c>
      <c r="P132" t="inlineStr">
        <is>
          <t>Jawa Timur</t>
        </is>
      </c>
      <c r="Q132" t="inlineStr"/>
    </row>
    <row r="133">
      <c r="A133" t="inlineStr">
        <is>
          <t>SINTA ROMLI MANDIRI</t>
        </is>
      </c>
      <c r="B133" t="inlineStr">
        <is>
          <t>Kab. Sukabumi</t>
        </is>
      </c>
      <c r="C133" t="inlineStr">
        <is>
          <t>085846492743</t>
        </is>
      </c>
      <c r="D133" t="inlineStr">
        <is>
          <t>sintaromlimandiri@gmail.com</t>
        </is>
      </c>
      <c r="E133" t="inlineStr">
        <is>
          <t>https://lpjk.pu.go.id/search-badan-usaha-detail/Y3NTRVJWdkFDUzIrK29IaHl4NjlUQT09</t>
        </is>
      </c>
      <c r="F133" t="n">
        <v>1</v>
      </c>
      <c r="G133" t="inlineStr">
        <is>
          <t>BS005</t>
        </is>
      </c>
      <c r="H133" t="inlineStr">
        <is>
          <t>16 Januari 2020</t>
        </is>
      </c>
      <c r="I133" s="2" t="n">
        <v>46256</v>
      </c>
      <c r="J133" t="inlineStr">
        <is>
          <t>Disetujui</t>
        </is>
      </c>
      <c r="K133" t="n">
        <v>60</v>
      </c>
      <c r="L133" t="inlineStr">
        <is>
          <t>22 Agustus 2026</t>
        </is>
      </c>
      <c r="M133" t="inlineStr">
        <is>
          <t>Konstruksi Bangunan Sipil Pengolahan Air Bersih</t>
        </is>
      </c>
      <c r="N133" t="inlineStr">
        <is>
          <t>K</t>
        </is>
      </c>
      <c r="O133" t="inlineStr">
        <is>
          <t>20230820</t>
        </is>
      </c>
      <c r="P133" t="inlineStr">
        <is>
          <t>Jawa Barat</t>
        </is>
      </c>
      <c r="Q133" t="inlineStr"/>
    </row>
    <row r="134">
      <c r="A134" t="inlineStr">
        <is>
          <t>SUKARAYA BATURAJA</t>
        </is>
      </c>
      <c r="B134" t="inlineStr">
        <is>
          <t>Kab. Ogan Komering Ulu</t>
        </is>
      </c>
      <c r="C134" t="inlineStr">
        <is>
          <t>085268495442</t>
        </is>
      </c>
      <c r="D134" t="inlineStr">
        <is>
          <t>sukarayabaturaja545@gmail.com</t>
        </is>
      </c>
      <c r="E134" t="inlineStr">
        <is>
          <t>https://lpjk.pu.go.id/search-badan-usaha-detail/QWR3bU1udTZlckJJNnZzRjlseXk5QT09</t>
        </is>
      </c>
      <c r="F134" t="n">
        <v>1</v>
      </c>
      <c r="G134" t="inlineStr">
        <is>
          <t>BS001</t>
        </is>
      </c>
      <c r="H134" t="inlineStr">
        <is>
          <t>21 Maret 2003</t>
        </is>
      </c>
      <c r="I134" s="2" t="n">
        <v>46256</v>
      </c>
      <c r="J134" t="inlineStr">
        <is>
          <t>Disetujui</t>
        </is>
      </c>
      <c r="K134" t="n">
        <v>60</v>
      </c>
      <c r="L134" t="inlineStr">
        <is>
          <t>22 Agustus 2026</t>
        </is>
      </c>
      <c r="M134" t="inlineStr">
        <is>
          <t>Konstruksi Bangunan Sipil Jalan</t>
        </is>
      </c>
      <c r="N134" t="inlineStr">
        <is>
          <t>K</t>
        </is>
      </c>
      <c r="O134" t="inlineStr">
        <is>
          <t>20230819</t>
        </is>
      </c>
      <c r="P134" t="inlineStr">
        <is>
          <t>Sumatera Selatan</t>
        </is>
      </c>
      <c r="Q134" t="inlineStr"/>
    </row>
    <row r="135">
      <c r="A135" t="inlineStr">
        <is>
          <t>SUMBER MAKMUR</t>
        </is>
      </c>
      <c r="B135" t="inlineStr">
        <is>
          <t>Kab. Gunungkidul</t>
        </is>
      </c>
      <c r="C135" t="inlineStr">
        <is>
          <t>08112516155</t>
        </is>
      </c>
      <c r="D135" t="inlineStr">
        <is>
          <t>giyantoro411@gmail.com</t>
        </is>
      </c>
      <c r="E135" t="inlineStr">
        <is>
          <t>https://lpjk.pu.go.id/search-badan-usaha-detail/NmkvTkVUaVFETzJ0SXprYzJWb1hyZz09</t>
        </is>
      </c>
      <c r="F135" t="n">
        <v>1</v>
      </c>
      <c r="G135" t="inlineStr">
        <is>
          <t>BG009</t>
        </is>
      </c>
      <c r="H135" t="inlineStr">
        <is>
          <t>22 Juni 2012</t>
        </is>
      </c>
      <c r="I135" s="2" t="n">
        <v>46256</v>
      </c>
      <c r="J135" t="inlineStr">
        <is>
          <t>Pencabutan</t>
        </is>
      </c>
      <c r="K135" t="n">
        <v>60</v>
      </c>
      <c r="L135" t="inlineStr">
        <is>
          <t>22 Agustus 2026</t>
        </is>
      </c>
      <c r="M135" t="inlineStr">
        <is>
          <t>Konstruksi Gedung Lainnya</t>
        </is>
      </c>
      <c r="N135" t="inlineStr">
        <is>
          <t>K</t>
        </is>
      </c>
      <c r="O135" t="inlineStr">
        <is>
          <t>20230815</t>
        </is>
      </c>
      <c r="P135" t="inlineStr">
        <is>
          <t>DI Yogyakarta</t>
        </is>
      </c>
      <c r="Q135" t="inlineStr"/>
    </row>
    <row r="136">
      <c r="A136" t="inlineStr">
        <is>
          <t>SURYA LESTARI</t>
        </is>
      </c>
      <c r="B136" t="inlineStr">
        <is>
          <t>Kota Pekanbaru</t>
        </is>
      </c>
      <c r="C136" t="inlineStr">
        <is>
          <t>082169837359</t>
        </is>
      </c>
      <c r="D136" t="inlineStr">
        <is>
          <t>sally_fatma70@yahoo.com</t>
        </is>
      </c>
      <c r="E136" t="inlineStr">
        <is>
          <t>https://lpjk.pu.go.id/search-badan-usaha-detail/MXNRd1ZIR0JTZ3hnYTRCVDF6STh4dz09</t>
        </is>
      </c>
      <c r="F136" t="n">
        <v>2</v>
      </c>
      <c r="G136" t="inlineStr">
        <is>
          <t>BG001, BG005</t>
        </is>
      </c>
      <c r="H136" t="inlineStr">
        <is>
          <t>18 Februari 1999</t>
        </is>
      </c>
      <c r="I136" s="2" t="n">
        <v>46256</v>
      </c>
      <c r="J136" t="inlineStr">
        <is>
          <t>Disetujui</t>
        </is>
      </c>
      <c r="K136" t="n">
        <v>60</v>
      </c>
      <c r="L136" t="inlineStr">
        <is>
          <t>22 Agustus 2026</t>
        </is>
      </c>
      <c r="M136" t="inlineStr">
        <is>
          <t>Konstruksi Gedung Hunian, Konstruksi Gedung Kesehatan</t>
        </is>
      </c>
      <c r="N136" t="inlineStr">
        <is>
          <t>K</t>
        </is>
      </c>
      <c r="O136" t="inlineStr">
        <is>
          <t>20230815</t>
        </is>
      </c>
      <c r="P136" t="inlineStr">
        <is>
          <t>Riau</t>
        </is>
      </c>
      <c r="Q136" t="inlineStr"/>
    </row>
    <row r="137">
      <c r="A137" t="inlineStr">
        <is>
          <t>TEHNIK BANGUN KONSTRUKSI</t>
        </is>
      </c>
      <c r="B137" t="inlineStr">
        <is>
          <t>Kab. Jayawijaya</t>
        </is>
      </c>
      <c r="C137" t="inlineStr">
        <is>
          <t>082197477053</t>
        </is>
      </c>
      <c r="D137" t="inlineStr">
        <is>
          <t>teknikbangunkonstruksipt@gmail.com</t>
        </is>
      </c>
      <c r="E137" t="inlineStr">
        <is>
          <t>https://lpjk.pu.go.id/search-badan-usaha-detail/RkdLZDZWL0tiMWRDVlhyVW1kaDBTUT09</t>
        </is>
      </c>
      <c r="F137" t="n">
        <v>1</v>
      </c>
      <c r="G137" t="inlineStr">
        <is>
          <t>BS001</t>
        </is>
      </c>
      <c r="H137" t="inlineStr">
        <is>
          <t>10 April 2015</t>
        </is>
      </c>
      <c r="I137" s="2" t="n">
        <v>46256</v>
      </c>
      <c r="J137" t="inlineStr">
        <is>
          <t>Pencabutan</t>
        </is>
      </c>
      <c r="K137" t="n">
        <v>60</v>
      </c>
      <c r="L137" t="inlineStr">
        <is>
          <t>22 Agustus 2026</t>
        </is>
      </c>
      <c r="M137" t="inlineStr">
        <is>
          <t>Konstruksi Bangunan Sipil Jalan</t>
        </is>
      </c>
      <c r="N137" t="inlineStr">
        <is>
          <t>M</t>
        </is>
      </c>
      <c r="O137" t="inlineStr">
        <is>
          <t>20230823</t>
        </is>
      </c>
      <c r="P137" t="inlineStr">
        <is>
          <t>Papua</t>
        </is>
      </c>
      <c r="Q137" t="inlineStr"/>
    </row>
    <row r="138">
      <c r="A138" t="inlineStr">
        <is>
          <t>TIRTA SURYA</t>
        </is>
      </c>
      <c r="B138" t="inlineStr">
        <is>
          <t>Kab. Bojonegoro</t>
        </is>
      </c>
      <c r="C138" t="inlineStr">
        <is>
          <t>081234900000</t>
        </is>
      </c>
      <c r="D138" t="inlineStr">
        <is>
          <t>cvtirtasuryadrajat@gmail.com</t>
        </is>
      </c>
      <c r="E138" t="inlineStr">
        <is>
          <t>https://lpjk.pu.go.id/search-badan-usaha-detail/WGtVVHQ2aitKN0toc1JlSytWeCtRQT09</t>
        </is>
      </c>
      <c r="F138" t="n">
        <v>2</v>
      </c>
      <c r="G138" t="inlineStr">
        <is>
          <t>BG001, BG006</t>
        </is>
      </c>
      <c r="H138" t="inlineStr">
        <is>
          <t>11 Januari 2023</t>
        </is>
      </c>
      <c r="I138" s="2" t="n">
        <v>46256</v>
      </c>
      <c r="J138" t="inlineStr">
        <is>
          <t>Disetujui</t>
        </is>
      </c>
      <c r="K138" t="n">
        <v>60</v>
      </c>
      <c r="L138" t="inlineStr">
        <is>
          <t>22 Agustus 2026</t>
        </is>
      </c>
      <c r="M138" t="inlineStr">
        <is>
          <t>Konstruksi Gedung Hunian, Konstruksi Gedung Pendidikan</t>
        </is>
      </c>
      <c r="N138" t="inlineStr">
        <is>
          <t>K</t>
        </is>
      </c>
      <c r="O138" t="inlineStr">
        <is>
          <t>20230816</t>
        </is>
      </c>
      <c r="P138" t="inlineStr">
        <is>
          <t>Jawa Timur</t>
        </is>
      </c>
      <c r="Q138" t="inlineStr"/>
    </row>
    <row r="139">
      <c r="A139" t="inlineStr">
        <is>
          <t>TRI AGENG KUSUMA</t>
        </is>
      </c>
      <c r="B139" t="inlineStr">
        <is>
          <t>Kab. Sleman</t>
        </is>
      </c>
      <c r="C139" t="inlineStr">
        <is>
          <t>085726053664</t>
        </is>
      </c>
      <c r="D139" t="inlineStr">
        <is>
          <t>triagengkusuma2020@gmail.com</t>
        </is>
      </c>
      <c r="E139" t="inlineStr">
        <is>
          <t>https://lpjk.pu.go.id/search-badan-usaha-detail/Sm5QZStIamdsU2tnVXVYMG5EOFZaZz09</t>
        </is>
      </c>
      <c r="F139" t="n">
        <v>1</v>
      </c>
      <c r="G139" t="inlineStr">
        <is>
          <t>BG009</t>
        </is>
      </c>
      <c r="H139" t="inlineStr">
        <is>
          <t>2 Juli 2020</t>
        </is>
      </c>
      <c r="I139" s="2" t="n">
        <v>46256</v>
      </c>
      <c r="J139" t="inlineStr">
        <is>
          <t>Disetujui</t>
        </is>
      </c>
      <c r="K139" t="n">
        <v>60</v>
      </c>
      <c r="L139" t="inlineStr">
        <is>
          <t>22 Agustus 2026</t>
        </is>
      </c>
      <c r="M139" t="inlineStr">
        <is>
          <t>Konstruksi Gedung Lainnya</t>
        </is>
      </c>
      <c r="N139" t="inlineStr">
        <is>
          <t>K</t>
        </is>
      </c>
      <c r="O139" t="inlineStr">
        <is>
          <t>20230815</t>
        </is>
      </c>
      <c r="P139" t="inlineStr">
        <is>
          <t>DI Yogyakarta</t>
        </is>
      </c>
      <c r="Q139" t="inlineStr"/>
    </row>
    <row r="140">
      <c r="A140" t="inlineStr">
        <is>
          <t>TRI KARYA</t>
        </is>
      </c>
      <c r="B140" t="inlineStr">
        <is>
          <t>Kab. Bandung</t>
        </is>
      </c>
      <c r="C140" t="inlineStr">
        <is>
          <t>08179236233</t>
        </is>
      </c>
      <c r="D140" t="inlineStr">
        <is>
          <t>trikaryacv123@gmail.com</t>
        </is>
      </c>
      <c r="E140" t="inlineStr">
        <is>
          <t>https://lpjk.pu.go.id/search-badan-usaha-detail/dlUrWXRJU1NvelNZaWdMMFlwYkYzdz09</t>
        </is>
      </c>
      <c r="F140" t="n">
        <v>1</v>
      </c>
      <c r="G140" t="inlineStr">
        <is>
          <t>BG001</t>
        </is>
      </c>
      <c r="H140" t="inlineStr">
        <is>
          <t>12 Maret 2009</t>
        </is>
      </c>
      <c r="I140" s="2" t="n">
        <v>46256</v>
      </c>
      <c r="J140" t="inlineStr">
        <is>
          <t>Disetujui</t>
        </is>
      </c>
      <c r="K140" t="n">
        <v>60</v>
      </c>
      <c r="L140" t="inlineStr">
        <is>
          <t>22 Agustus 2026</t>
        </is>
      </c>
      <c r="M140" t="inlineStr">
        <is>
          <t>Konstruksi Gedung Hunian</t>
        </is>
      </c>
      <c r="N140" t="inlineStr">
        <is>
          <t>K</t>
        </is>
      </c>
      <c r="O140" t="inlineStr">
        <is>
          <t>20230823</t>
        </is>
      </c>
      <c r="P140" t="inlineStr">
        <is>
          <t>Jawa Barat</t>
        </is>
      </c>
      <c r="Q140" t="inlineStr"/>
    </row>
    <row r="141">
      <c r="A141" t="inlineStr">
        <is>
          <t>TUNAS ENGINEERING</t>
        </is>
      </c>
      <c r="B141" t="inlineStr">
        <is>
          <t>Kota Tangerang Selatan</t>
        </is>
      </c>
      <c r="C141" t="inlineStr">
        <is>
          <t>02175882435</t>
        </is>
      </c>
      <c r="D141" t="inlineStr">
        <is>
          <t>tunas_engineering@yahoo.com</t>
        </is>
      </c>
      <c r="E141" t="inlineStr">
        <is>
          <t>https://lpjk.pu.go.id/search-badan-usaha-detail/MVVKNWRHTXA0Y2ZidVc5alpLSGZhdz09</t>
        </is>
      </c>
      <c r="F141" t="n">
        <v>1</v>
      </c>
      <c r="G141" t="inlineStr">
        <is>
          <t>RK002</t>
        </is>
      </c>
      <c r="H141" t="inlineStr">
        <is>
          <t>2 Maret 2010</t>
        </is>
      </c>
      <c r="I141" s="2" t="n">
        <v>46256</v>
      </c>
      <c r="J141" t="inlineStr">
        <is>
          <t>Disetujui</t>
        </is>
      </c>
      <c r="K141" t="n">
        <v>60</v>
      </c>
      <c r="L141" t="inlineStr">
        <is>
          <t>22 Agustus 2026</t>
        </is>
      </c>
      <c r="M141" t="inlineStr">
        <is>
          <t>Jasa Rekayasa Pekerjaan Teknik Sipil Sumber Daya Air</t>
        </is>
      </c>
      <c r="N141" t="inlineStr">
        <is>
          <t>K</t>
        </is>
      </c>
      <c r="O141" t="inlineStr">
        <is>
          <t>20230811</t>
        </is>
      </c>
      <c r="P141" t="inlineStr">
        <is>
          <t>Banten</t>
        </is>
      </c>
      <c r="Q141" t="inlineStr"/>
    </row>
    <row r="142">
      <c r="A142" t="inlineStr">
        <is>
          <t>TUNJUNG BIRU</t>
        </is>
      </c>
      <c r="B142" t="inlineStr">
        <is>
          <t>Kota Medan</t>
        </is>
      </c>
      <c r="C142" t="inlineStr">
        <is>
          <t>081397379849</t>
        </is>
      </c>
      <c r="D142" t="inlineStr">
        <is>
          <t>cvtunjungbiru@gmail.com</t>
        </is>
      </c>
      <c r="E142" t="inlineStr">
        <is>
          <t>https://lpjk.pu.go.id/search-badan-usaha-detail/ZEFiU3BSc1oyaUV4Ry9IYkg2eWFmQT09</t>
        </is>
      </c>
      <c r="F142" t="n">
        <v>1</v>
      </c>
      <c r="G142" t="inlineStr">
        <is>
          <t>BS001</t>
        </is>
      </c>
      <c r="H142" t="inlineStr">
        <is>
          <t>26 November 2013</t>
        </is>
      </c>
      <c r="I142" s="2" t="n">
        <v>46256</v>
      </c>
      <c r="J142" t="inlineStr">
        <is>
          <t>Disetujui</t>
        </is>
      </c>
      <c r="K142" t="n">
        <v>60</v>
      </c>
      <c r="L142" t="inlineStr">
        <is>
          <t>22 Agustus 2026</t>
        </is>
      </c>
      <c r="M142" t="inlineStr">
        <is>
          <t>Konstruksi Bangunan Sipil Jalan</t>
        </is>
      </c>
      <c r="N142" t="inlineStr">
        <is>
          <t>K</t>
        </is>
      </c>
      <c r="O142" t="inlineStr">
        <is>
          <t>20230818</t>
        </is>
      </c>
      <c r="P142" t="inlineStr">
        <is>
          <t>Sumatera Utara</t>
        </is>
      </c>
      <c r="Q142" t="inlineStr"/>
    </row>
    <row r="143">
      <c r="A143" t="inlineStr">
        <is>
          <t>TWINK INDONESIA</t>
        </is>
      </c>
      <c r="B143" t="inlineStr">
        <is>
          <t>Kota Adm. Jakarta Selatan</t>
        </is>
      </c>
      <c r="C143" t="inlineStr">
        <is>
          <t>0217900088</t>
        </is>
      </c>
      <c r="D143" t="inlineStr">
        <is>
          <t>twinkjkt@twink.co.id</t>
        </is>
      </c>
      <c r="E143" t="inlineStr">
        <is>
          <t>https://lpjk.pu.go.id/search-badan-usaha-detail/TjRHQno4bHVtOHQ4MmxDSGRYRUwzdz09</t>
        </is>
      </c>
      <c r="F143" t="n">
        <v>1</v>
      </c>
      <c r="G143" t="inlineStr">
        <is>
          <t>BS007</t>
        </is>
      </c>
      <c r="H143" t="inlineStr">
        <is>
          <t>7 Agustus 1975</t>
        </is>
      </c>
      <c r="I143" s="2" t="n">
        <v>46256</v>
      </c>
      <c r="J143" t="inlineStr">
        <is>
          <t>Disetujui</t>
        </is>
      </c>
      <c r="K143" t="n">
        <v>60</v>
      </c>
      <c r="L143" t="inlineStr">
        <is>
          <t>22 Agustus 2026</t>
        </is>
      </c>
      <c r="M143" t="inlineStr">
        <is>
          <t>Konstruksi Bangunan Sipil Elektrikal</t>
        </is>
      </c>
      <c r="N143" t="inlineStr">
        <is>
          <t>B</t>
        </is>
      </c>
      <c r="O143" t="inlineStr">
        <is>
          <t>20230804</t>
        </is>
      </c>
      <c r="P143" t="inlineStr">
        <is>
          <t>DKI Jakarta</t>
        </is>
      </c>
      <c r="Q143" t="inlineStr"/>
    </row>
    <row r="144">
      <c r="A144" t="inlineStr">
        <is>
          <t>USAHA MANDIRI IDRISIYYAH</t>
        </is>
      </c>
      <c r="B144" t="inlineStr">
        <is>
          <t>Kota Adm. Jakarta Pusat</t>
        </is>
      </c>
      <c r="C144" t="inlineStr">
        <is>
          <t>6281219683752</t>
        </is>
      </c>
      <c r="D144" t="inlineStr">
        <is>
          <t>pt.usahamandiriidrisiyyah@gmail.com</t>
        </is>
      </c>
      <c r="E144" t="inlineStr">
        <is>
          <t>https://lpjk.pu.go.id/search-badan-usaha-detail/U0Q1NWt2b1V3Ni9HY1pYaURNNWhPUT09</t>
        </is>
      </c>
      <c r="F144" t="n">
        <v>1</v>
      </c>
      <c r="G144" t="inlineStr">
        <is>
          <t>BG001</t>
        </is>
      </c>
      <c r="H144" t="inlineStr">
        <is>
          <t>13 Januari 2012</t>
        </is>
      </c>
      <c r="I144" s="2" t="n">
        <v>46256</v>
      </c>
      <c r="J144" t="inlineStr">
        <is>
          <t>Disetujui</t>
        </is>
      </c>
      <c r="K144" t="n">
        <v>60</v>
      </c>
      <c r="L144" t="inlineStr">
        <is>
          <t>22 Agustus 2026</t>
        </is>
      </c>
      <c r="M144" t="inlineStr">
        <is>
          <t>Konstruksi Gedung Hunian</t>
        </is>
      </c>
      <c r="N144" t="inlineStr">
        <is>
          <t>K</t>
        </is>
      </c>
      <c r="O144" t="inlineStr">
        <is>
          <t>20220917</t>
        </is>
      </c>
      <c r="P144" t="inlineStr">
        <is>
          <t>DKI Jakarta</t>
        </is>
      </c>
      <c r="Q144" t="inlineStr"/>
    </row>
    <row r="145">
      <c r="A145" t="inlineStr">
        <is>
          <t>VICTORY UTAMA KARYA</t>
        </is>
      </c>
      <c r="B145" t="inlineStr">
        <is>
          <t>Kota Adm. Jakarta Barat</t>
        </is>
      </c>
      <c r="C145" t="inlineStr">
        <is>
          <t>02129618073</t>
        </is>
      </c>
      <c r="D145" t="inlineStr">
        <is>
          <t>pt.victoryutamakarya@gmail.com</t>
        </is>
      </c>
      <c r="E145" t="inlineStr">
        <is>
          <t>https://lpjk.pu.go.id/search-badan-usaha-detail/NEROdndwY3hqNDhJb0tGZ3loY3hPUT09</t>
        </is>
      </c>
      <c r="F145" t="n">
        <v>1</v>
      </c>
      <c r="G145" t="inlineStr">
        <is>
          <t>BG009</t>
        </is>
      </c>
      <c r="H145" t="inlineStr">
        <is>
          <t>8 Mei 2014</t>
        </is>
      </c>
      <c r="I145" s="2" t="n">
        <v>46256</v>
      </c>
      <c r="J145" t="inlineStr">
        <is>
          <t>Disetujui</t>
        </is>
      </c>
      <c r="K145" t="n">
        <v>60</v>
      </c>
      <c r="L145" t="inlineStr">
        <is>
          <t>22 Agustus 2026</t>
        </is>
      </c>
      <c r="M145" t="inlineStr">
        <is>
          <t>Konstruksi Gedung Lainnya</t>
        </is>
      </c>
      <c r="N145" t="inlineStr">
        <is>
          <t>B</t>
        </is>
      </c>
      <c r="O145" t="inlineStr">
        <is>
          <t>20230818</t>
        </is>
      </c>
      <c r="P145" t="inlineStr">
        <is>
          <t>DKI Jakarta</t>
        </is>
      </c>
      <c r="Q145" t="inlineStr"/>
    </row>
    <row r="146">
      <c r="A146" t="inlineStr">
        <is>
          <t>WAHANA TATA BANJARAN</t>
        </is>
      </c>
      <c r="B146" t="inlineStr">
        <is>
          <t>Kab. Barito Kuala</t>
        </is>
      </c>
      <c r="C146" t="inlineStr">
        <is>
          <t>082158368364</t>
        </is>
      </c>
      <c r="D146" t="inlineStr">
        <is>
          <t>tatabanjaran.office@gmail.com</t>
        </is>
      </c>
      <c r="E146" t="inlineStr">
        <is>
          <t>https://lpjk.pu.go.id/search-badan-usaha-detail/WXBOMkY1Z0FTYXZ4Q1QzWjBiejZhZz09</t>
        </is>
      </c>
      <c r="F146" t="n">
        <v>1</v>
      </c>
      <c r="G146" t="inlineStr">
        <is>
          <t>RK005</t>
        </is>
      </c>
      <c r="H146" t="inlineStr">
        <is>
          <t>30 April 2018</t>
        </is>
      </c>
      <c r="I146" s="2" t="n">
        <v>46256</v>
      </c>
      <c r="J146" t="inlineStr">
        <is>
          <t>Disetujui</t>
        </is>
      </c>
      <c r="K146" t="n">
        <v>60</v>
      </c>
      <c r="L146" t="inlineStr">
        <is>
          <t>22 Agustus 2026</t>
        </is>
      </c>
      <c r="M146" t="inlineStr">
        <is>
          <t>Jasa Rekayasa Lainnya</t>
        </is>
      </c>
      <c r="N146" t="inlineStr">
        <is>
          <t>K</t>
        </is>
      </c>
      <c r="O146" t="inlineStr">
        <is>
          <t>20230803</t>
        </is>
      </c>
      <c r="P146" t="inlineStr">
        <is>
          <t>Kalimantan Selatan</t>
        </is>
      </c>
      <c r="Q146" t="inlineStr"/>
    </row>
    <row r="147">
      <c r="A147" t="inlineStr">
        <is>
          <t>WISNU PRATAMA</t>
        </is>
      </c>
      <c r="B147" t="inlineStr">
        <is>
          <t>Kota Sukabumi</t>
        </is>
      </c>
      <c r="C147" t="inlineStr">
        <is>
          <t>0266213444</t>
        </is>
      </c>
      <c r="D147" t="inlineStr">
        <is>
          <t>wisnupratama115@yahoo.com</t>
        </is>
      </c>
      <c r="E147" t="inlineStr">
        <is>
          <t>https://lpjk.pu.go.id/search-badan-usaha-detail/OUhFcmp1clhTYXRJOGpDTTIxbWhYZz09</t>
        </is>
      </c>
      <c r="F147" t="n">
        <v>1</v>
      </c>
      <c r="G147" t="inlineStr">
        <is>
          <t>BS001</t>
        </is>
      </c>
      <c r="H147" t="inlineStr">
        <is>
          <t>16 Oktober 2002</t>
        </is>
      </c>
      <c r="I147" s="2" t="n">
        <v>46256</v>
      </c>
      <c r="J147" t="inlineStr">
        <is>
          <t>Pencabutan</t>
        </is>
      </c>
      <c r="K147" t="n">
        <v>60</v>
      </c>
      <c r="L147" t="inlineStr">
        <is>
          <t>22 Agustus 2026</t>
        </is>
      </c>
      <c r="M147" t="inlineStr">
        <is>
          <t>Konstruksi Bangunan Sipil Jalan</t>
        </is>
      </c>
      <c r="N147" t="inlineStr">
        <is>
          <t>K</t>
        </is>
      </c>
      <c r="O147" t="inlineStr">
        <is>
          <t>20230722</t>
        </is>
      </c>
      <c r="P147" t="inlineStr">
        <is>
          <t>Jawa Barat</t>
        </is>
      </c>
      <c r="Q147" t="inlineStr"/>
    </row>
    <row r="148">
      <c r="A148" t="inlineStr">
        <is>
          <t>WULAN INDAH</t>
        </is>
      </c>
      <c r="B148" t="inlineStr">
        <is>
          <t>Kab. Trenggalek</t>
        </is>
      </c>
      <c r="C148" t="inlineStr">
        <is>
          <t>085335054171</t>
        </is>
      </c>
      <c r="D148" t="inlineStr">
        <is>
          <t>cv.wulanindah@yahoo.com</t>
        </is>
      </c>
      <c r="E148" t="inlineStr">
        <is>
          <t>https://lpjk.pu.go.id/search-badan-usaha-detail/UFFGRHl1QWZZSDBwaFltSnpKdHRWZz09</t>
        </is>
      </c>
      <c r="F148" t="n">
        <v>2</v>
      </c>
      <c r="G148" t="inlineStr">
        <is>
          <t>BG006, BG009</t>
        </is>
      </c>
      <c r="H148" t="inlineStr">
        <is>
          <t>5 Januari 2003</t>
        </is>
      </c>
      <c r="I148" s="2" t="n">
        <v>46256</v>
      </c>
      <c r="J148" t="inlineStr">
        <is>
          <t>Disetujui</t>
        </is>
      </c>
      <c r="K148" t="n">
        <v>60</v>
      </c>
      <c r="L148" t="inlineStr">
        <is>
          <t>22 Agustus 2026</t>
        </is>
      </c>
      <c r="M148" t="inlineStr">
        <is>
          <t>Konstruksi Gedung Lainnya, Konstruksi Gedung Pendidikan</t>
        </is>
      </c>
      <c r="N148" t="inlineStr">
        <is>
          <t>K</t>
        </is>
      </c>
      <c r="O148" t="inlineStr">
        <is>
          <t>20230816</t>
        </is>
      </c>
      <c r="P148" t="inlineStr">
        <is>
          <t>Jawa Timur</t>
        </is>
      </c>
      <c r="Q148" t="inlineStr"/>
    </row>
    <row r="149">
      <c r="A149" t="inlineStr">
        <is>
          <t>YDP USAHA PERDANA</t>
        </is>
      </c>
      <c r="B149" t="inlineStr">
        <is>
          <t>Kab. Bandung Barat</t>
        </is>
      </c>
      <c r="C149" t="inlineStr">
        <is>
          <t>0222789314</t>
        </is>
      </c>
      <c r="D149" t="inlineStr">
        <is>
          <t>ydp_usahaperdana@yahoo.com</t>
        </is>
      </c>
      <c r="E149" t="inlineStr">
        <is>
          <t>https://lpjk.pu.go.id/search-badan-usaha-detail/dUc1ZFRYZUMwOXk5cmxhenFrekJjQT09</t>
        </is>
      </c>
      <c r="F149" t="n">
        <v>2</v>
      </c>
      <c r="G149" t="inlineStr">
        <is>
          <t>BS002</t>
        </is>
      </c>
      <c r="H149" t="inlineStr">
        <is>
          <t>4 Juni 2002</t>
        </is>
      </c>
      <c r="I149" s="2" t="n">
        <v>46256</v>
      </c>
      <c r="J149" t="inlineStr">
        <is>
          <t>Pencabutan</t>
        </is>
      </c>
      <c r="K149" t="n">
        <v>60</v>
      </c>
      <c r="L149" t="inlineStr">
        <is>
          <t>22 Agustus 2026</t>
        </is>
      </c>
      <c r="M149" t="inlineStr">
        <is>
          <t>Bangunan Sipil Jembatan, Jalan Layang, Fly Over, dan Underpass</t>
        </is>
      </c>
      <c r="N149" t="inlineStr">
        <is>
          <t>K</t>
        </is>
      </c>
      <c r="O149" t="inlineStr">
        <is>
          <t>20230809</t>
        </is>
      </c>
      <c r="P149" t="inlineStr">
        <is>
          <t>Jawa Barat</t>
        </is>
      </c>
      <c r="Q149" t="inlineStr"/>
    </row>
    <row r="150">
      <c r="A150" t="inlineStr">
        <is>
          <t>YOGA UMBARA</t>
        </is>
      </c>
      <c r="B150" t="inlineStr">
        <is>
          <t>Kab. Bangka Barat</t>
        </is>
      </c>
      <c r="C150" t="inlineStr">
        <is>
          <t>081929083638</t>
        </is>
      </c>
      <c r="D150" t="inlineStr">
        <is>
          <t>de_ven@ymail.com</t>
        </is>
      </c>
      <c r="E150" t="inlineStr">
        <is>
          <t>https://lpjk.pu.go.id/search-badan-usaha-detail/VHhSUzc2alByTVlxVk4vVnBMMVlTZz09</t>
        </is>
      </c>
      <c r="F150" t="n">
        <v>1</v>
      </c>
      <c r="G150" t="inlineStr">
        <is>
          <t>BS001</t>
        </is>
      </c>
      <c r="H150" t="inlineStr">
        <is>
          <t>11 Januari 2021</t>
        </is>
      </c>
      <c r="I150" s="2" t="n">
        <v>46256</v>
      </c>
      <c r="J150" t="inlineStr">
        <is>
          <t>Disetujui</t>
        </is>
      </c>
      <c r="K150" t="n">
        <v>60</v>
      </c>
      <c r="L150" t="inlineStr">
        <is>
          <t>22 Agustus 2026</t>
        </is>
      </c>
      <c r="M150" t="inlineStr">
        <is>
          <t>Konstruksi Bangunan Sipil Jalan</t>
        </is>
      </c>
      <c r="N150" t="inlineStr">
        <is>
          <t>K</t>
        </is>
      </c>
      <c r="O150" t="inlineStr">
        <is>
          <t>20230823</t>
        </is>
      </c>
      <c r="P150" t="inlineStr">
        <is>
          <t>Kepulauan Bangka Belitung</t>
        </is>
      </c>
      <c r="Q150" t="inlineStr"/>
    </row>
    <row r="151">
      <c r="A151" t="inlineStr">
        <is>
          <t>ZARA ARUMI PRATAMA</t>
        </is>
      </c>
      <c r="B151" t="inlineStr">
        <is>
          <t>Kota Banjar</t>
        </is>
      </c>
      <c r="C151" t="inlineStr">
        <is>
          <t>00000</t>
        </is>
      </c>
      <c r="D151" t="inlineStr">
        <is>
          <t>zaraarumipratama@gmail.com</t>
        </is>
      </c>
      <c r="E151" t="inlineStr">
        <is>
          <t>https://lpjk.pu.go.id/search-badan-usaha-detail/VEtVSVVTbkFqb0Q3RmtyaWRXaWhNQT09</t>
        </is>
      </c>
      <c r="F151" t="n">
        <v>2</v>
      </c>
      <c r="G151" t="inlineStr">
        <is>
          <t>BG002, BS001</t>
        </is>
      </c>
      <c r="H151" t="inlineStr">
        <is>
          <t>13 April 2023</t>
        </is>
      </c>
      <c r="I151" s="2" t="n">
        <v>46256</v>
      </c>
      <c r="J151" t="inlineStr">
        <is>
          <t>Disetujui</t>
        </is>
      </c>
      <c r="K151" t="n">
        <v>60</v>
      </c>
      <c r="L151" t="inlineStr">
        <is>
          <t>22 Agustus 2026</t>
        </is>
      </c>
      <c r="M151" t="inlineStr">
        <is>
          <t>Konstruksi Bangunan Sipil Jalan, Konstruksi Gedung Perkantoran</t>
        </is>
      </c>
      <c r="N151" t="inlineStr">
        <is>
          <t>K</t>
        </is>
      </c>
      <c r="O151" t="inlineStr">
        <is>
          <t>20230816, 20230818</t>
        </is>
      </c>
      <c r="P151" t="inlineStr">
        <is>
          <t>Jawa Barat</t>
        </is>
      </c>
      <c r="Q1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0"/>
  <sheetViews>
    <sheetView workbookViewId="0">
      <selection activeCell="A1" sqref="A1"/>
    </sheetView>
  </sheetViews>
  <sheetFormatPr baseColWidth="8" defaultRowHeight="15"/>
  <cols>
    <col width="49" customWidth="1" min="1" max="1"/>
    <col width="27" customWidth="1" min="2" max="2"/>
    <col width="18" customWidth="1" min="3" max="3"/>
    <col width="43"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2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ADIKARYA KONSTRUKSI PERKASA</t>
        </is>
      </c>
      <c r="B2" t="inlineStr">
        <is>
          <t>Kota Adm. Jakarta Timur</t>
        </is>
      </c>
      <c r="C2" t="inlineStr">
        <is>
          <t>02129833524</t>
        </is>
      </c>
      <c r="D2" t="inlineStr">
        <is>
          <t>pt.akperkasa@gmail.com</t>
        </is>
      </c>
      <c r="E2" t="inlineStr">
        <is>
          <t>https://lpjk.pu.go.id/search-badan-usaha-detail/eGtIUlplNU14L3ROaURHbDY4d3g2dz09</t>
        </is>
      </c>
      <c r="F2" t="n">
        <v>2</v>
      </c>
      <c r="G2" t="inlineStr">
        <is>
          <t>BS005</t>
        </is>
      </c>
      <c r="H2" t="inlineStr">
        <is>
          <t>9 Maret 2020</t>
        </is>
      </c>
      <c r="I2" s="2" t="n">
        <v>46226</v>
      </c>
      <c r="J2" t="inlineStr">
        <is>
          <t>Disetujui</t>
        </is>
      </c>
      <c r="K2" t="n">
        <v>30</v>
      </c>
      <c r="L2" t="inlineStr">
        <is>
          <t>23 Juli 2026</t>
        </is>
      </c>
      <c r="M2" t="inlineStr">
        <is>
          <t>Konstruksi Bangunan Sipil Pengolahan Air Bersih</t>
        </is>
      </c>
      <c r="N2" t="inlineStr">
        <is>
          <t>K</t>
        </is>
      </c>
      <c r="O2" t="inlineStr">
        <is>
          <t>20230720</t>
        </is>
      </c>
      <c r="P2" t="inlineStr">
        <is>
          <t>DKI Jakarta</t>
        </is>
      </c>
      <c r="Q2" t="inlineStr"/>
    </row>
    <row r="3">
      <c r="A3" t="inlineStr">
        <is>
          <t>BIOSANT TIRTA LESTARI</t>
        </is>
      </c>
      <c r="B3" t="inlineStr">
        <is>
          <t>Kota Depok</t>
        </is>
      </c>
      <c r="C3" t="inlineStr">
        <is>
          <t>02185508880</t>
        </is>
      </c>
      <c r="D3" t="inlineStr">
        <is>
          <t>finance@biosant.co.id</t>
        </is>
      </c>
      <c r="E3" t="inlineStr">
        <is>
          <t>https://lpjk.pu.go.id/search-badan-usaha-detail/WjM1cmF6ZU02eGdWMWVjMXF1VXJpQT09</t>
        </is>
      </c>
      <c r="F3" t="n">
        <v>1</v>
      </c>
      <c r="G3" t="inlineStr">
        <is>
          <t>BS005</t>
        </is>
      </c>
      <c r="H3" t="inlineStr">
        <is>
          <t>3 Februari 2014</t>
        </is>
      </c>
      <c r="I3" s="2" t="n">
        <v>46226</v>
      </c>
      <c r="J3" t="inlineStr">
        <is>
          <t>Disetujui</t>
        </is>
      </c>
      <c r="K3" t="n">
        <v>30</v>
      </c>
      <c r="L3" t="inlineStr">
        <is>
          <t>23 Juli 2026</t>
        </is>
      </c>
      <c r="M3" t="inlineStr">
        <is>
          <t>Konstruksi Bangunan Sipil Pengolahan Air Bersih</t>
        </is>
      </c>
      <c r="N3" t="inlineStr">
        <is>
          <t>M</t>
        </is>
      </c>
      <c r="O3" t="inlineStr">
        <is>
          <t>20230713</t>
        </is>
      </c>
      <c r="P3" t="inlineStr">
        <is>
          <t>Jawa Barat</t>
        </is>
      </c>
      <c r="Q3" t="inlineStr"/>
    </row>
    <row r="4">
      <c r="A4" t="inlineStr">
        <is>
          <t>BONA PASOGIT JAYA</t>
        </is>
      </c>
      <c r="B4" t="inlineStr">
        <is>
          <t>Kota Adm. Jakarta Timur</t>
        </is>
      </c>
      <c r="C4" t="inlineStr">
        <is>
          <t>021</t>
        </is>
      </c>
      <c r="D4" t="inlineStr">
        <is>
          <t>bona_pasogit18@yahoo.co.id</t>
        </is>
      </c>
      <c r="E4" t="inlineStr">
        <is>
          <t>https://lpjk.pu.go.id/search-badan-usaha-detail/ZldsZ3ZBOVF2K09xeHdsRlk0cDdCUT09</t>
        </is>
      </c>
      <c r="F4" t="n">
        <v>1</v>
      </c>
      <c r="G4" t="inlineStr">
        <is>
          <t>BG005</t>
        </is>
      </c>
      <c r="H4" t="inlineStr">
        <is>
          <t>31 Maret 2022</t>
        </is>
      </c>
      <c r="I4" s="2" t="n">
        <v>46226</v>
      </c>
      <c r="J4" t="inlineStr">
        <is>
          <t>Disetujui</t>
        </is>
      </c>
      <c r="K4" t="n">
        <v>30</v>
      </c>
      <c r="L4" t="inlineStr">
        <is>
          <t>23 Juli 2026</t>
        </is>
      </c>
      <c r="M4" t="inlineStr">
        <is>
          <t>Konstruksi Gedung Kesehatan</t>
        </is>
      </c>
      <c r="N4" t="inlineStr">
        <is>
          <t>K</t>
        </is>
      </c>
      <c r="O4" t="inlineStr">
        <is>
          <t>20230721</t>
        </is>
      </c>
      <c r="P4" t="inlineStr">
        <is>
          <t>DKI Jakarta</t>
        </is>
      </c>
      <c r="Q4" t="inlineStr"/>
    </row>
    <row r="5">
      <c r="A5" t="inlineStr">
        <is>
          <t>DUNIA MEGAH INDONUSA</t>
        </is>
      </c>
      <c r="B5" t="inlineStr">
        <is>
          <t>Kota Adm. Jakarta Timur</t>
        </is>
      </c>
      <c r="C5" t="inlineStr">
        <is>
          <t>081242633166</t>
        </is>
      </c>
      <c r="D5" t="inlineStr">
        <is>
          <t>duniamegahiindonusa@gmail.com</t>
        </is>
      </c>
      <c r="E5" t="inlineStr">
        <is>
          <t>https://lpjk.pu.go.id/search-badan-usaha-detail/ZExtNzN0L1J5a2IvVmdxbVFhMVZnQT09</t>
        </is>
      </c>
      <c r="F5" t="n">
        <v>1</v>
      </c>
      <c r="G5" t="inlineStr">
        <is>
          <t>BG003</t>
        </is>
      </c>
      <c r="H5" t="inlineStr">
        <is>
          <t>5 September 2022</t>
        </is>
      </c>
      <c r="I5" s="2" t="n">
        <v>46226</v>
      </c>
      <c r="J5" t="inlineStr">
        <is>
          <t>Pencabutan</t>
        </is>
      </c>
      <c r="K5" t="n">
        <v>30</v>
      </c>
      <c r="L5" t="inlineStr">
        <is>
          <t>23 Juli 2026</t>
        </is>
      </c>
      <c r="M5" t="inlineStr">
        <is>
          <t>Konstruksi Gedung Industri</t>
        </is>
      </c>
      <c r="N5" t="inlineStr">
        <is>
          <t>B</t>
        </is>
      </c>
      <c r="O5" t="inlineStr">
        <is>
          <t>20230721</t>
        </is>
      </c>
      <c r="P5" t="inlineStr">
        <is>
          <t>DKI Jakarta</t>
        </is>
      </c>
      <c r="Q5" s="3">
        <f>HYPERLINK("https://wa.me/6281242633166?text=*[Pengingat Masa Berlaku SBU DUNIA MEGAH INDONUSA]*%0A%0AYth. Pimpinan DUNIA MEGAH INDONUSA,%0AMohon izin menginformasikan status SBU Anda:%0A%0A📄 SBU: BG003%0A📅 Expired: 23 Juli 2026 (30 Hari Lagi)%0A%0AKami tim PT. ESDEA Assistance Management siap men-support proses perpanjangan segera agar administrasi proyek tidak terhambat%0A%0AApakah boleh saya bantu siapkan estimasi biaya dan waktu pengerjaannya?.", "Hubungi")</f>
        <v/>
      </c>
    </row>
    <row r="6">
      <c r="A6" t="inlineStr">
        <is>
          <t>MULYA JAYA AYU PRIMA</t>
        </is>
      </c>
      <c r="B6" t="inlineStr">
        <is>
          <t>Kota Adm. Jakarta Timur</t>
        </is>
      </c>
      <c r="C6" t="inlineStr">
        <is>
          <t>0218701815</t>
        </is>
      </c>
      <c r="D6" t="inlineStr">
        <is>
          <t>mulyajayaayuprima.adm@gmail.com</t>
        </is>
      </c>
      <c r="E6" t="inlineStr">
        <is>
          <t>https://lpjk.pu.go.id/search-badan-usaha-detail/YStRZFRJa1UvTGpSM05TY3djcld0Zz09</t>
        </is>
      </c>
      <c r="F6" t="n">
        <v>1</v>
      </c>
      <c r="G6" t="inlineStr">
        <is>
          <t>PB009</t>
        </is>
      </c>
      <c r="H6" t="inlineStr">
        <is>
          <t>28 September 1996</t>
        </is>
      </c>
      <c r="I6" s="2" t="n">
        <v>46226</v>
      </c>
      <c r="J6" t="inlineStr">
        <is>
          <t>Disetujui</t>
        </is>
      </c>
      <c r="K6" t="n">
        <v>30</v>
      </c>
      <c r="L6" t="inlineStr">
        <is>
          <t>23 Juli 2026</t>
        </is>
      </c>
      <c r="M6" t="inlineStr">
        <is>
          <t>Pembersihan dan Perapihan Bangunan Gedung dan/atau Bangunan Sipil</t>
        </is>
      </c>
      <c r="N6" t="inlineStr">
        <is>
          <t>Spesialis</t>
        </is>
      </c>
      <c r="O6" t="inlineStr">
        <is>
          <t>20230717</t>
        </is>
      </c>
      <c r="P6" t="inlineStr">
        <is>
          <t>DKI Jakarta</t>
        </is>
      </c>
      <c r="Q6" t="inlineStr"/>
    </row>
    <row r="7">
      <c r="A7" t="inlineStr">
        <is>
          <t>PANDAWA ADHI KARYA</t>
        </is>
      </c>
      <c r="B7" t="inlineStr">
        <is>
          <t>Kota Adm. Jakarta Timur</t>
        </is>
      </c>
      <c r="C7" t="inlineStr">
        <is>
          <t>087877999907</t>
        </is>
      </c>
      <c r="D7" t="inlineStr">
        <is>
          <t>ptpandawaadhikarya@gmail.com</t>
        </is>
      </c>
      <c r="E7" t="inlineStr">
        <is>
          <t>https://lpjk.pu.go.id/search-badan-usaha-detail/RXA5TVVqcWFOa2ZUSmZ3VVVZVDlFZz09</t>
        </is>
      </c>
      <c r="F7" t="n">
        <v>2</v>
      </c>
      <c r="G7" t="inlineStr">
        <is>
          <t>AR001</t>
        </is>
      </c>
      <c r="H7" t="inlineStr">
        <is>
          <t>17 April 2023</t>
        </is>
      </c>
      <c r="I7" s="2" t="n">
        <v>46226</v>
      </c>
      <c r="J7" t="inlineStr">
        <is>
          <t>Disetujui</t>
        </is>
      </c>
      <c r="K7" t="n">
        <v>30</v>
      </c>
      <c r="L7" t="inlineStr">
        <is>
          <t>23 Juli 2026</t>
        </is>
      </c>
      <c r="M7" t="inlineStr">
        <is>
          <t>Jasa Arsitektural Bangunan Gedung Hunian dan Non Hunian</t>
        </is>
      </c>
      <c r="N7" t="inlineStr">
        <is>
          <t>K</t>
        </is>
      </c>
      <c r="O7" t="inlineStr">
        <is>
          <t>20230708</t>
        </is>
      </c>
      <c r="P7" t="inlineStr">
        <is>
          <t>DKI Jakarta</t>
        </is>
      </c>
      <c r="Q7" s="3">
        <f>HYPERLINK("https://wa.me/6287877999907?text=*[Pengingat Masa Berlaku SBU PANDAWA ADHI KARYA]*%0A%0AYth. Pimpinan PANDAWA ADHI KARYA,%0AMohon izin menginformasikan status SBU Anda:%0A%0A📄 SBU: AR001%0A📅 Expired: 23 Juli 2026 (30 Hari Lagi)%0A%0AKami tim PT. ESDEA Assistance Management siap men-support proses perpanjangan segera agar administrasi proyek tidak terhambat%0A%0AApakah boleh saya bantu siapkan estimasi biaya dan waktu pengerjaannya?.", "Hubungi")</f>
        <v/>
      </c>
    </row>
    <row r="8">
      <c r="A8" t="inlineStr">
        <is>
          <t>PERUSAHAAN PERSEROAN (PERSERO) PT. HUTAMA KARYA</t>
        </is>
      </c>
      <c r="B8" t="inlineStr">
        <is>
          <t>Kota Adm. Jakarta Timur</t>
        </is>
      </c>
      <c r="C8" t="inlineStr">
        <is>
          <t>0218193708</t>
        </is>
      </c>
      <c r="D8" t="inlineStr">
        <is>
          <t>pthk@hutamakarya.com</t>
        </is>
      </c>
      <c r="E8" t="inlineStr">
        <is>
          <t>https://lpjk.pu.go.id/search-badan-usaha-detail/TE1nYjBDd0dtOWR1MTRtTjcwVFgrdz09</t>
        </is>
      </c>
      <c r="F8" t="n">
        <v>1</v>
      </c>
      <c r="G8" t="inlineStr">
        <is>
          <t>BG004</t>
        </is>
      </c>
      <c r="H8" t="inlineStr">
        <is>
          <t>5 Maret 1973</t>
        </is>
      </c>
      <c r="I8" s="2" t="n">
        <v>46226</v>
      </c>
      <c r="J8" t="inlineStr">
        <is>
          <t>Disetujui</t>
        </is>
      </c>
      <c r="K8" t="n">
        <v>30</v>
      </c>
      <c r="L8" t="inlineStr">
        <is>
          <t>23 Juli 2026</t>
        </is>
      </c>
      <c r="M8" t="inlineStr">
        <is>
          <t>Konstruksi Gedung Perbelanjaan</t>
        </is>
      </c>
      <c r="N8" t="inlineStr">
        <is>
          <t>B</t>
        </is>
      </c>
      <c r="O8" t="inlineStr">
        <is>
          <t>20230530</t>
        </is>
      </c>
      <c r="P8" t="inlineStr">
        <is>
          <t>DKI Jakarta</t>
        </is>
      </c>
      <c r="Q8" t="inlineStr"/>
    </row>
    <row r="9">
      <c r="A9" t="inlineStr">
        <is>
          <t>PUTRI HIDAYAH ARUMBINANG</t>
        </is>
      </c>
      <c r="B9" t="inlineStr">
        <is>
          <t>Kota Adm. Jakarta Timur</t>
        </is>
      </c>
      <c r="C9" t="inlineStr">
        <is>
          <t>0214805346</t>
        </is>
      </c>
      <c r="D9" t="inlineStr">
        <is>
          <t>putrihidayaharumbinang@yahoo.com</t>
        </is>
      </c>
      <c r="E9" t="inlineStr">
        <is>
          <t>https://lpjk.pu.go.id/search-badan-usaha-detail/WWM5ZW51cHVoVGJsNUd2SFdYQ0p2UT09</t>
        </is>
      </c>
      <c r="F9" t="n">
        <v>1</v>
      </c>
      <c r="G9" t="inlineStr">
        <is>
          <t>BS001</t>
        </is>
      </c>
      <c r="H9" t="inlineStr">
        <is>
          <t>14 April 2011</t>
        </is>
      </c>
      <c r="I9" s="2" t="n">
        <v>46226</v>
      </c>
      <c r="J9" t="inlineStr">
        <is>
          <t>Disetujui</t>
        </is>
      </c>
      <c r="K9" t="n">
        <v>30</v>
      </c>
      <c r="L9" t="inlineStr">
        <is>
          <t>23 Juli 2026</t>
        </is>
      </c>
      <c r="M9" t="inlineStr">
        <is>
          <t>Konstruksi Bangunan Sipil Jalan</t>
        </is>
      </c>
      <c r="N9" t="inlineStr">
        <is>
          <t>K</t>
        </is>
      </c>
      <c r="O9" t="inlineStr">
        <is>
          <t>20230718</t>
        </is>
      </c>
      <c r="P9" t="inlineStr">
        <is>
          <t>DKI Jakarta</t>
        </is>
      </c>
      <c r="Q9" t="inlineStr"/>
    </row>
    <row r="10">
      <c r="A10" t="inlineStr">
        <is>
          <t>SUMBER KAYA STRUKTUR BAJA</t>
        </is>
      </c>
      <c r="B10" t="inlineStr">
        <is>
          <t>Kab. Bekasi</t>
        </is>
      </c>
      <c r="C10" t="inlineStr">
        <is>
          <t>0218997770</t>
        </is>
      </c>
      <c r="D10" t="inlineStr">
        <is>
          <t>strukturbaja@gmail.com</t>
        </is>
      </c>
      <c r="E10" t="inlineStr">
        <is>
          <t>https://lpjk.pu.go.id/search-badan-usaha-detail/Z1djaXFsTGd4OHJ1MEVseTExd3ZNQT09</t>
        </is>
      </c>
      <c r="F10" t="n">
        <v>1</v>
      </c>
      <c r="G10" t="inlineStr">
        <is>
          <t>BG004</t>
        </is>
      </c>
      <c r="H10" t="inlineStr">
        <is>
          <t>9 Februari 2012</t>
        </is>
      </c>
      <c r="I10" s="2" t="n">
        <v>46226</v>
      </c>
      <c r="J10" t="inlineStr">
        <is>
          <t>Disetujui</t>
        </is>
      </c>
      <c r="K10" t="n">
        <v>30</v>
      </c>
      <c r="L10" t="inlineStr">
        <is>
          <t>23 Juli 2026</t>
        </is>
      </c>
      <c r="M10" t="inlineStr">
        <is>
          <t>Konstruksi Gedung Perbelanjaan</t>
        </is>
      </c>
      <c r="N10" t="inlineStr">
        <is>
          <t>K</t>
        </is>
      </c>
      <c r="O10" t="inlineStr">
        <is>
          <t>20230713</t>
        </is>
      </c>
      <c r="P10" t="inlineStr">
        <is>
          <t>Jawa Barat</t>
        </is>
      </c>
      <c r="Q10" t="inlineStr"/>
    </row>
    <row r="11">
      <c r="A11" t="inlineStr">
        <is>
          <t>ABABA PEMERATA</t>
        </is>
      </c>
      <c r="B11" t="inlineStr">
        <is>
          <t>Kab. Bandung</t>
        </is>
      </c>
      <c r="C11" t="inlineStr">
        <is>
          <t>022 2060076</t>
        </is>
      </c>
      <c r="D11" t="inlineStr">
        <is>
          <t>ababapemerata@yahoo.co.id</t>
        </is>
      </c>
      <c r="E11" t="inlineStr">
        <is>
          <t>https://lpjk.pu.go.id/search-badan-usaha-detail/Q0hLOVhyVHk3ZkduU05rL0ZKMmExQT09</t>
        </is>
      </c>
      <c r="F11" t="n">
        <v>1</v>
      </c>
      <c r="G11" t="inlineStr">
        <is>
          <t>BS005</t>
        </is>
      </c>
      <c r="H11" t="inlineStr">
        <is>
          <t>28 September 1987</t>
        </is>
      </c>
      <c r="I11" s="2" t="n">
        <v>46226</v>
      </c>
      <c r="J11" t="inlineStr">
        <is>
          <t>Pencabutan</t>
        </is>
      </c>
      <c r="K11" t="n">
        <v>30</v>
      </c>
      <c r="L11" t="inlineStr">
        <is>
          <t>23 Juli 2026</t>
        </is>
      </c>
      <c r="M11" t="inlineStr">
        <is>
          <t>Konstruksi Bangunan Sipil Pengolahan Air Bersih</t>
        </is>
      </c>
      <c r="N11" t="inlineStr">
        <is>
          <t>K</t>
        </is>
      </c>
      <c r="O11" t="inlineStr">
        <is>
          <t>20230724</t>
        </is>
      </c>
      <c r="P11" t="inlineStr">
        <is>
          <t>Jawa Barat</t>
        </is>
      </c>
      <c r="Q11" t="inlineStr"/>
    </row>
    <row r="12">
      <c r="A12" t="inlineStr">
        <is>
          <t>ADI JAYAKARYA</t>
        </is>
      </c>
      <c r="B12" t="inlineStr">
        <is>
          <t>Kab. Bangkalan</t>
        </is>
      </c>
      <c r="C12" t="inlineStr">
        <is>
          <t>082332379949</t>
        </is>
      </c>
      <c r="D12" t="inlineStr">
        <is>
          <t>adijayakarya212@gmail.com</t>
        </is>
      </c>
      <c r="E12" t="inlineStr">
        <is>
          <t>https://lpjk.pu.go.id/search-badan-usaha-detail/T1FHd2p3L2ZqWitnZi9ZR1ZDUVZ3QT09</t>
        </is>
      </c>
      <c r="F12" t="n">
        <v>1</v>
      </c>
      <c r="G12" t="inlineStr">
        <is>
          <t>BS004</t>
        </is>
      </c>
      <c r="H12" t="inlineStr">
        <is>
          <t>4 Oktober 2022</t>
        </is>
      </c>
      <c r="I12" s="2" t="n">
        <v>46226</v>
      </c>
      <c r="J12" t="inlineStr">
        <is>
          <t>Disetujui</t>
        </is>
      </c>
      <c r="K12" t="n">
        <v>30</v>
      </c>
      <c r="L12" t="inlineStr">
        <is>
          <t>23 Juli 2026</t>
        </is>
      </c>
      <c r="M12" t="inlineStr">
        <is>
          <t>Konstruksi Jaringan Irigasi dan Drainase</t>
        </is>
      </c>
      <c r="N12" t="inlineStr">
        <is>
          <t>K</t>
        </is>
      </c>
      <c r="O12" t="inlineStr">
        <is>
          <t>20230721</t>
        </is>
      </c>
      <c r="P12" t="inlineStr">
        <is>
          <t>Jawa Timur</t>
        </is>
      </c>
      <c r="Q12" t="inlineStr"/>
    </row>
    <row r="13">
      <c r="A13" t="inlineStr">
        <is>
          <t>AKBAR</t>
        </is>
      </c>
      <c r="B13" t="inlineStr">
        <is>
          <t>Kab. Klaten</t>
        </is>
      </c>
      <c r="C13" t="inlineStr">
        <is>
          <t>081325146298</t>
        </is>
      </c>
      <c r="D13" t="inlineStr">
        <is>
          <t>akbar_cv49@yahoo.co.id</t>
        </is>
      </c>
      <c r="E13" t="inlineStr">
        <is>
          <t>https://lpjk.pu.go.id/search-badan-usaha-detail/Y2ZmSjh4QnhxeExpTldMYUlWWWlrdz09</t>
        </is>
      </c>
      <c r="F13" t="n">
        <v>1</v>
      </c>
      <c r="G13" t="inlineStr">
        <is>
          <t>BS005</t>
        </is>
      </c>
      <c r="H13" t="inlineStr">
        <is>
          <t>16 November 1994</t>
        </is>
      </c>
      <c r="I13" s="2" t="n">
        <v>46226</v>
      </c>
      <c r="J13" t="inlineStr">
        <is>
          <t>Disetujui</t>
        </is>
      </c>
      <c r="K13" t="n">
        <v>30</v>
      </c>
      <c r="L13" t="inlineStr">
        <is>
          <t>23 Juli 2026</t>
        </is>
      </c>
      <c r="M13" t="inlineStr">
        <is>
          <t>Konstruksi Bangunan Sipil Pengolahan Air Bersih</t>
        </is>
      </c>
      <c r="N13" t="inlineStr">
        <is>
          <t>K</t>
        </is>
      </c>
      <c r="O13" t="inlineStr">
        <is>
          <t>20230712</t>
        </is>
      </c>
      <c r="P13" t="inlineStr">
        <is>
          <t>Jawa Tengah</t>
        </is>
      </c>
      <c r="Q13" t="inlineStr"/>
    </row>
    <row r="14">
      <c r="A14" t="inlineStr">
        <is>
          <t>AKSA PUTRA BUANA</t>
        </is>
      </c>
      <c r="B14" t="inlineStr">
        <is>
          <t>Kab. Cianjur</t>
        </is>
      </c>
      <c r="C14" t="inlineStr">
        <is>
          <t>087828804621</t>
        </is>
      </c>
      <c r="D14" t="inlineStr">
        <is>
          <t>aksaputrabuana@gmail.com</t>
        </is>
      </c>
      <c r="E14" t="inlineStr">
        <is>
          <t>https://lpjk.pu.go.id/search-badan-usaha-detail/a0NIaGZRVzd5OXhaWURmak1mcmRGUT09</t>
        </is>
      </c>
      <c r="F14" t="n">
        <v>3</v>
      </c>
      <c r="G14" t="inlineStr">
        <is>
          <t>BG006, BS001, BS004</t>
        </is>
      </c>
      <c r="H14" t="inlineStr">
        <is>
          <t>22 Januari 2020</t>
        </is>
      </c>
      <c r="I14" s="2" t="n">
        <v>46226</v>
      </c>
      <c r="J14" t="inlineStr">
        <is>
          <t>Disetujui</t>
        </is>
      </c>
      <c r="K14" t="n">
        <v>30</v>
      </c>
      <c r="L14" t="inlineStr">
        <is>
          <t>23 Juli 2026</t>
        </is>
      </c>
      <c r="M14" t="inlineStr">
        <is>
          <t>Konstruksi Bangunan Sipil Jalan, Konstruksi Gedung Pendidikan, Konstruksi Jaringan Irigasi dan Drainase</t>
        </is>
      </c>
      <c r="N14" t="inlineStr">
        <is>
          <t>K</t>
        </is>
      </c>
      <c r="O14" t="inlineStr">
        <is>
          <t>20230607, 20230612</t>
        </is>
      </c>
      <c r="P14" t="inlineStr">
        <is>
          <t>Jawa Barat</t>
        </is>
      </c>
      <c r="Q14" t="inlineStr"/>
    </row>
    <row r="15">
      <c r="A15" t="inlineStr">
        <is>
          <t>ALEXANDER ENGINEERING CONSULTANT</t>
        </is>
      </c>
      <c r="B15" t="inlineStr">
        <is>
          <t>Kota Sungai Penuh</t>
        </is>
      </c>
      <c r="C15" t="inlineStr">
        <is>
          <t>081347124177</t>
        </is>
      </c>
      <c r="D15" t="inlineStr">
        <is>
          <t>cv.alexander.engineering23@gmail.com</t>
        </is>
      </c>
      <c r="E15" t="inlineStr">
        <is>
          <t>https://lpjk.pu.go.id/search-badan-usaha-detail/UzcrbXk3bXBlUmdBNTdBc241am9RQT09</t>
        </is>
      </c>
      <c r="F15" t="n">
        <v>1</v>
      </c>
      <c r="G15" t="inlineStr">
        <is>
          <t>RK003</t>
        </is>
      </c>
      <c r="H15" t="inlineStr">
        <is>
          <t>19 Januari 2015</t>
        </is>
      </c>
      <c r="I15" s="2" t="n">
        <v>46226</v>
      </c>
      <c r="J15" t="inlineStr">
        <is>
          <t>Disetujui</t>
        </is>
      </c>
      <c r="K15" t="n">
        <v>30</v>
      </c>
      <c r="L15" t="inlineStr">
        <is>
          <t>23 Juli 2026</t>
        </is>
      </c>
      <c r="M15" t="inlineStr">
        <is>
          <t>Jasa Rekayasa Pekerjaan Teknik Sipil Transportasi</t>
        </is>
      </c>
      <c r="N15" t="inlineStr">
        <is>
          <t>K</t>
        </is>
      </c>
      <c r="O15" t="inlineStr">
        <is>
          <t>20230710</t>
        </is>
      </c>
      <c r="P15" t="inlineStr">
        <is>
          <t>Jambi</t>
        </is>
      </c>
      <c r="Q15" t="inlineStr"/>
    </row>
    <row r="16">
      <c r="A16" t="inlineStr">
        <is>
          <t>ALGHANI LAKEISHA ABADI</t>
        </is>
      </c>
      <c r="B16" t="inlineStr">
        <is>
          <t>Kab. Kuantan Singingi</t>
        </is>
      </c>
      <c r="C16" t="inlineStr">
        <is>
          <t>0811755151</t>
        </is>
      </c>
      <c r="D16" t="inlineStr">
        <is>
          <t>cvalghaniabadi82@gmail.com</t>
        </is>
      </c>
      <c r="E16" t="inlineStr">
        <is>
          <t>https://lpjk.pu.go.id/search-badan-usaha-detail/Q29sRlJBY3FxOUtQR0FQZG5RSE5TZz09</t>
        </is>
      </c>
      <c r="F16" t="n">
        <v>1</v>
      </c>
      <c r="G16" t="inlineStr">
        <is>
          <t>BG006</t>
        </is>
      </c>
      <c r="H16" t="inlineStr">
        <is>
          <t>31 Januari 2020</t>
        </is>
      </c>
      <c r="I16" s="2" t="n">
        <v>46226</v>
      </c>
      <c r="J16" t="inlineStr">
        <is>
          <t>Disetujui</t>
        </is>
      </c>
      <c r="K16" t="n">
        <v>30</v>
      </c>
      <c r="L16" t="inlineStr">
        <is>
          <t>23 Juli 2026</t>
        </is>
      </c>
      <c r="M16" t="inlineStr">
        <is>
          <t>Konstruksi Gedung Pendidikan</t>
        </is>
      </c>
      <c r="N16" t="inlineStr">
        <is>
          <t>K</t>
        </is>
      </c>
      <c r="O16" t="inlineStr">
        <is>
          <t>20230720</t>
        </is>
      </c>
      <c r="P16" t="inlineStr">
        <is>
          <t>Riau</t>
        </is>
      </c>
      <c r="Q16" t="inlineStr"/>
    </row>
    <row r="17">
      <c r="A17" t="inlineStr">
        <is>
          <t>AMARTHA</t>
        </is>
      </c>
      <c r="B17" t="inlineStr">
        <is>
          <t>Kab. Nganjuk</t>
        </is>
      </c>
      <c r="C17" t="inlineStr">
        <is>
          <t>08125942316</t>
        </is>
      </c>
      <c r="D17" t="inlineStr">
        <is>
          <t>amarthajaya@yahoo.com</t>
        </is>
      </c>
      <c r="E17" t="inlineStr">
        <is>
          <t>https://lpjk.pu.go.id/search-badan-usaha-detail/QmlBYVZOQ1U5NUpaeDRjSG1uMXNuUT09</t>
        </is>
      </c>
      <c r="F17" t="n">
        <v>2</v>
      </c>
      <c r="G17" t="inlineStr">
        <is>
          <t>BS001</t>
        </is>
      </c>
      <c r="H17" t="inlineStr">
        <is>
          <t>26 November 2001</t>
        </is>
      </c>
      <c r="I17" s="2" t="n">
        <v>46226</v>
      </c>
      <c r="J17" t="inlineStr">
        <is>
          <t>Disetujui</t>
        </is>
      </c>
      <c r="K17" t="n">
        <v>30</v>
      </c>
      <c r="L17" t="inlineStr">
        <is>
          <t>23 Juli 2026</t>
        </is>
      </c>
      <c r="M17" t="inlineStr">
        <is>
          <t>Konstruksi Bangunan Sipil Jalan</t>
        </is>
      </c>
      <c r="N17" t="inlineStr">
        <is>
          <t>K</t>
        </is>
      </c>
      <c r="O17" t="inlineStr">
        <is>
          <t>20230613</t>
        </is>
      </c>
      <c r="P17" t="inlineStr">
        <is>
          <t>Jawa Timur</t>
        </is>
      </c>
      <c r="Q17" t="inlineStr"/>
    </row>
    <row r="18">
      <c r="A18" t="inlineStr">
        <is>
          <t>ANGGREK TEKNIK</t>
        </is>
      </c>
      <c r="B18" t="inlineStr">
        <is>
          <t>Kab. Lombok Tengah</t>
        </is>
      </c>
      <c r="C18" t="inlineStr">
        <is>
          <t>08175738507</t>
        </is>
      </c>
      <c r="D18" t="inlineStr">
        <is>
          <t>cvanggrekteknik@gmail.com</t>
        </is>
      </c>
      <c r="E18" t="inlineStr">
        <is>
          <t>https://lpjk.pu.go.id/search-badan-usaha-detail/RW1tQ2Z2ZU5tSHlFeVk0R0NlNUlUZz09</t>
        </is>
      </c>
      <c r="F18" t="n">
        <v>1</v>
      </c>
      <c r="G18" t="inlineStr">
        <is>
          <t>BG005</t>
        </is>
      </c>
      <c r="H18" t="inlineStr">
        <is>
          <t>24 November 2021</t>
        </is>
      </c>
      <c r="I18" s="2" t="n">
        <v>46226</v>
      </c>
      <c r="J18" t="inlineStr">
        <is>
          <t>Pencabutan</t>
        </is>
      </c>
      <c r="K18" t="n">
        <v>30</v>
      </c>
      <c r="L18" t="inlineStr">
        <is>
          <t>23 Juli 2026</t>
        </is>
      </c>
      <c r="M18" t="inlineStr">
        <is>
          <t>Konstruksi Gedung Kesehatan</t>
        </is>
      </c>
      <c r="N18" t="inlineStr">
        <is>
          <t>K</t>
        </is>
      </c>
      <c r="O18" t="inlineStr">
        <is>
          <t>20230724</t>
        </is>
      </c>
      <c r="P18" t="inlineStr">
        <is>
          <t>Nusa Tenggara Barat</t>
        </is>
      </c>
      <c r="Q18" t="inlineStr"/>
    </row>
    <row r="19">
      <c r="A19" t="inlineStr">
        <is>
          <t>ANGKASA JAYA</t>
        </is>
      </c>
      <c r="B19" t="inlineStr">
        <is>
          <t>Kab. Sanggau</t>
        </is>
      </c>
      <c r="C19" t="inlineStr">
        <is>
          <t>082251244888</t>
        </is>
      </c>
      <c r="D19" t="inlineStr">
        <is>
          <t>angkasajaya046@gmail.com</t>
        </is>
      </c>
      <c r="E19" t="inlineStr">
        <is>
          <t>https://lpjk.pu.go.id/search-badan-usaha-detail/bEZGMGVZbUNQdjhoSTRmZ2tLMTRVUT09</t>
        </is>
      </c>
      <c r="F19" t="n">
        <v>2</v>
      </c>
      <c r="G19" t="inlineStr">
        <is>
          <t>PB005</t>
        </is>
      </c>
      <c r="H19" t="inlineStr">
        <is>
          <t>1 September 2015</t>
        </is>
      </c>
      <c r="I19" s="2" t="n">
        <v>46226</v>
      </c>
      <c r="J19" t="inlineStr">
        <is>
          <t>Pembekuan</t>
        </is>
      </c>
      <c r="K19" t="n">
        <v>30</v>
      </c>
      <c r="L19" t="inlineStr">
        <is>
          <t>23 Juli 2026</t>
        </is>
      </c>
      <c r="M19" t="inlineStr">
        <is>
          <t>Pemasangan Ornamen dan Pekerjaan Seni</t>
        </is>
      </c>
      <c r="N19" t="inlineStr">
        <is>
          <t>Spesialis</t>
        </is>
      </c>
      <c r="O19" t="inlineStr">
        <is>
          <t>20230723</t>
        </is>
      </c>
      <c r="P19" t="inlineStr">
        <is>
          <t>Kalimantan Barat</t>
        </is>
      </c>
      <c r="Q19" t="inlineStr"/>
    </row>
    <row r="20">
      <c r="A20" t="inlineStr">
        <is>
          <t>ANUGERAH MAGNA NANOTEKNOLOGI</t>
        </is>
      </c>
      <c r="B20" t="inlineStr">
        <is>
          <t>Kab. Tangerang</t>
        </is>
      </c>
      <c r="C20" t="inlineStr">
        <is>
          <t>02154211357</t>
        </is>
      </c>
      <c r="D20" t="inlineStr">
        <is>
          <t>corp@nano.ama.id</t>
        </is>
      </c>
      <c r="E20" t="inlineStr">
        <is>
          <t>https://lpjk.pu.go.id/search-badan-usaha-detail/OW8xMjBSbGNmUnoyMUgzWFFWc1ZUZz09</t>
        </is>
      </c>
      <c r="F20" t="n">
        <v>2</v>
      </c>
      <c r="G20" t="inlineStr">
        <is>
          <t>BG004, BG007</t>
        </is>
      </c>
      <c r="H20" t="inlineStr">
        <is>
          <t>10 Oktober 2022</t>
        </is>
      </c>
      <c r="I20" s="2" t="n">
        <v>46226</v>
      </c>
      <c r="J20" t="inlineStr">
        <is>
          <t>Disetujui</t>
        </is>
      </c>
      <c r="K20" t="n">
        <v>30</v>
      </c>
      <c r="L20" t="inlineStr">
        <is>
          <t>23 Juli 2026</t>
        </is>
      </c>
      <c r="M20" t="inlineStr">
        <is>
          <t>Konstruksi Gedung Penginapan, Konstruksi Gedung Perbelanjaan</t>
        </is>
      </c>
      <c r="N20" t="inlineStr">
        <is>
          <t>K</t>
        </is>
      </c>
      <c r="O20" t="inlineStr">
        <is>
          <t>20230721</t>
        </is>
      </c>
      <c r="P20" t="inlineStr">
        <is>
          <t>Banten</t>
        </is>
      </c>
      <c r="Q20" t="inlineStr"/>
    </row>
    <row r="21">
      <c r="A21" t="inlineStr">
        <is>
          <t>ANUGERAH RIZKI DARMAWAN</t>
        </is>
      </c>
      <c r="B21" t="inlineStr">
        <is>
          <t>Kota Palembang</t>
        </is>
      </c>
      <c r="C21" t="inlineStr">
        <is>
          <t>08217516118</t>
        </is>
      </c>
      <c r="D21" t="inlineStr">
        <is>
          <t>anugerahrizkid@gmail.com</t>
        </is>
      </c>
      <c r="E21" t="inlineStr">
        <is>
          <t>https://lpjk.pu.go.id/search-badan-usaha-detail/cWdrY2Z1STVaTVVQUXdCVkVYYlVkZz09</t>
        </is>
      </c>
      <c r="F21" t="n">
        <v>1</v>
      </c>
      <c r="G21" t="inlineStr">
        <is>
          <t>BG009</t>
        </is>
      </c>
      <c r="H21" t="inlineStr">
        <is>
          <t>1 Januari 2018</t>
        </is>
      </c>
      <c r="I21" s="2" t="n">
        <v>46226</v>
      </c>
      <c r="J21" t="inlineStr">
        <is>
          <t>Disetujui</t>
        </is>
      </c>
      <c r="K21" t="n">
        <v>30</v>
      </c>
      <c r="L21" t="inlineStr">
        <is>
          <t>23 Juli 2026</t>
        </is>
      </c>
      <c r="M21" t="inlineStr">
        <is>
          <t>Konstruksi Gedung Lainnya</t>
        </is>
      </c>
      <c r="N21" t="inlineStr">
        <is>
          <t>K</t>
        </is>
      </c>
      <c r="O21" t="inlineStr">
        <is>
          <t>20230716</t>
        </is>
      </c>
      <c r="P21" t="inlineStr">
        <is>
          <t>Sumatera Selatan</t>
        </is>
      </c>
      <c r="Q21" t="inlineStr"/>
    </row>
    <row r="22">
      <c r="A22" t="inlineStr">
        <is>
          <t>APRI PRATAMA</t>
        </is>
      </c>
      <c r="B22" t="inlineStr">
        <is>
          <t>Kota Banjar</t>
        </is>
      </c>
      <c r="C22" t="inlineStr">
        <is>
          <t>0895396867505</t>
        </is>
      </c>
      <c r="D22" t="inlineStr">
        <is>
          <t>cvapripratama@gmail.com</t>
        </is>
      </c>
      <c r="E22" t="inlineStr">
        <is>
          <t>https://lpjk.pu.go.id/search-badan-usaha-detail/dlVFU1RKV1hzSTl2TkNUR2kvU2hlQT09</t>
        </is>
      </c>
      <c r="F22" t="n">
        <v>1</v>
      </c>
      <c r="G22" t="inlineStr">
        <is>
          <t>BG006</t>
        </is>
      </c>
      <c r="H22" t="inlineStr">
        <is>
          <t>23 Januari 2020</t>
        </is>
      </c>
      <c r="I22" s="2" t="n">
        <v>46226</v>
      </c>
      <c r="J22" t="inlineStr">
        <is>
          <t>Disetujui</t>
        </is>
      </c>
      <c r="K22" t="n">
        <v>30</v>
      </c>
      <c r="L22" t="inlineStr">
        <is>
          <t>23 Juli 2026</t>
        </is>
      </c>
      <c r="M22" t="inlineStr">
        <is>
          <t>Konstruksi Gedung Pendidikan</t>
        </is>
      </c>
      <c r="N22" t="inlineStr">
        <is>
          <t>K</t>
        </is>
      </c>
      <c r="O22" t="inlineStr">
        <is>
          <t>20230720</t>
        </is>
      </c>
      <c r="P22" t="inlineStr">
        <is>
          <t>Jawa Barat</t>
        </is>
      </c>
      <c r="Q22" t="inlineStr"/>
    </row>
    <row r="23">
      <c r="A23" t="inlineStr">
        <is>
          <t>ARA KARYA PERDANA</t>
        </is>
      </c>
      <c r="B23" t="inlineStr">
        <is>
          <t>Kota Palu</t>
        </is>
      </c>
      <c r="C23" t="inlineStr">
        <is>
          <t>082343762246</t>
        </is>
      </c>
      <c r="D23" t="inlineStr">
        <is>
          <t>arakaryaperdana@gmail.com</t>
        </is>
      </c>
      <c r="E23" t="inlineStr">
        <is>
          <t>https://lpjk.pu.go.id/search-badan-usaha-detail/NVNvWG9vU2taWlE5WTd0VUlaZEhJUT09</t>
        </is>
      </c>
      <c r="F23" t="n">
        <v>1</v>
      </c>
      <c r="G23" t="inlineStr">
        <is>
          <t>BS001</t>
        </is>
      </c>
      <c r="H23" t="inlineStr">
        <is>
          <t>21 Juni 2023</t>
        </is>
      </c>
      <c r="I23" s="2" t="n">
        <v>46226</v>
      </c>
      <c r="J23" t="inlineStr">
        <is>
          <t>Disetujui</t>
        </is>
      </c>
      <c r="K23" t="n">
        <v>30</v>
      </c>
      <c r="L23" t="inlineStr">
        <is>
          <t>23 Juli 2026</t>
        </is>
      </c>
      <c r="M23" t="inlineStr">
        <is>
          <t>Konstruksi Bangunan Sipil Jalan</t>
        </is>
      </c>
      <c r="N23" t="inlineStr">
        <is>
          <t>K</t>
        </is>
      </c>
      <c r="O23" t="inlineStr">
        <is>
          <t>20230717</t>
        </is>
      </c>
      <c r="P23" t="inlineStr">
        <is>
          <t>Sulawesi Tengah</t>
        </is>
      </c>
      <c r="Q23" t="inlineStr"/>
    </row>
    <row r="24">
      <c r="A24" t="inlineStr">
        <is>
          <t>ARFIZ KARYA TRITAMA</t>
        </is>
      </c>
      <c r="B24" t="inlineStr">
        <is>
          <t>Kota Pontianak</t>
        </is>
      </c>
      <c r="C24" t="inlineStr">
        <is>
          <t>082153938267</t>
        </is>
      </c>
      <c r="D24" t="inlineStr">
        <is>
          <t>ptarfizkaryatritama@gmail.com</t>
        </is>
      </c>
      <c r="E24" t="inlineStr">
        <is>
          <t>https://lpjk.pu.go.id/search-badan-usaha-detail/SzdpbVdrSWZSNUwzTUQrcEV5YUIwZz09</t>
        </is>
      </c>
      <c r="F24" t="n">
        <v>1</v>
      </c>
      <c r="G24" t="inlineStr">
        <is>
          <t>BS001</t>
        </is>
      </c>
      <c r="H24" t="inlineStr">
        <is>
          <t>11 Maret 2014</t>
        </is>
      </c>
      <c r="I24" s="2" t="n">
        <v>46226</v>
      </c>
      <c r="J24" t="inlineStr">
        <is>
          <t>Disetujui</t>
        </is>
      </c>
      <c r="K24" t="n">
        <v>30</v>
      </c>
      <c r="L24" t="inlineStr">
        <is>
          <t>23 Juli 2026</t>
        </is>
      </c>
      <c r="M24" t="inlineStr">
        <is>
          <t>Konstruksi Bangunan Sipil Jalan</t>
        </is>
      </c>
      <c r="N24" t="inlineStr">
        <is>
          <t>K</t>
        </is>
      </c>
      <c r="O24" t="inlineStr">
        <is>
          <t>20230705</t>
        </is>
      </c>
      <c r="P24" t="inlineStr">
        <is>
          <t>Kalimantan Barat</t>
        </is>
      </c>
      <c r="Q24" t="inlineStr"/>
    </row>
    <row r="25">
      <c r="A25" t="inlineStr">
        <is>
          <t>ARIESTA ABADI INDONESIA</t>
        </is>
      </c>
      <c r="B25" t="inlineStr">
        <is>
          <t>Kota Palembang</t>
        </is>
      </c>
      <c r="C25" t="inlineStr">
        <is>
          <t>085268637533</t>
        </is>
      </c>
      <c r="D25" t="inlineStr">
        <is>
          <t>indonesiac84@yahoo.com</t>
        </is>
      </c>
      <c r="E25" t="inlineStr">
        <is>
          <t>https://lpjk.pu.go.id/search-badan-usaha-detail/MVk2ZXpxaVlsbVUzbDNxcTNiRUZEdz09</t>
        </is>
      </c>
      <c r="F25" t="n">
        <v>3</v>
      </c>
      <c r="G25" t="inlineStr">
        <is>
          <t>BG009</t>
        </is>
      </c>
      <c r="H25" t="inlineStr">
        <is>
          <t>30 Desember 2022</t>
        </is>
      </c>
      <c r="I25" s="2" t="n">
        <v>46226</v>
      </c>
      <c r="J25" t="inlineStr">
        <is>
          <t>Disetujui</t>
        </is>
      </c>
      <c r="K25" t="n">
        <v>30</v>
      </c>
      <c r="L25" t="inlineStr">
        <is>
          <t>23 Juli 2026</t>
        </is>
      </c>
      <c r="M25" t="inlineStr">
        <is>
          <t>Konstruksi Gedung Lainnya</t>
        </is>
      </c>
      <c r="N25" t="inlineStr">
        <is>
          <t>K</t>
        </is>
      </c>
      <c r="O25" t="inlineStr">
        <is>
          <t>20230713</t>
        </is>
      </c>
      <c r="P25" t="inlineStr">
        <is>
          <t>Sumatera Selatan</t>
        </is>
      </c>
      <c r="Q25" t="inlineStr"/>
    </row>
    <row r="26">
      <c r="A26" t="inlineStr">
        <is>
          <t>ARINDO</t>
        </is>
      </c>
      <c r="B26" t="inlineStr">
        <is>
          <t>Kab. Pesisir Selatan</t>
        </is>
      </c>
      <c r="C26" t="inlineStr">
        <is>
          <t>081384323048</t>
        </is>
      </c>
      <c r="D26" t="inlineStr">
        <is>
          <t>cvarindo@ymail.com</t>
        </is>
      </c>
      <c r="E26" t="inlineStr">
        <is>
          <t>https://lpjk.pu.go.id/search-badan-usaha-detail/U3JkSVNycUZxMHBoZVg1THpuUlhiQT09</t>
        </is>
      </c>
      <c r="F26" t="n">
        <v>1</v>
      </c>
      <c r="G26" t="inlineStr">
        <is>
          <t>BG006</t>
        </is>
      </c>
      <c r="H26" t="inlineStr">
        <is>
          <t>26 September 1990</t>
        </is>
      </c>
      <c r="I26" s="2" t="n">
        <v>46226</v>
      </c>
      <c r="J26" t="inlineStr">
        <is>
          <t>Pencabutan</t>
        </is>
      </c>
      <c r="K26" t="n">
        <v>30</v>
      </c>
      <c r="L26" t="inlineStr">
        <is>
          <t>23 Juli 2026</t>
        </is>
      </c>
      <c r="M26" t="inlineStr">
        <is>
          <t>Konstruksi Gedung Pendidikan</t>
        </is>
      </c>
      <c r="N26" t="inlineStr">
        <is>
          <t>K</t>
        </is>
      </c>
      <c r="O26" t="inlineStr">
        <is>
          <t>20230721</t>
        </is>
      </c>
      <c r="P26" t="inlineStr">
        <is>
          <t>Sumatera Barat</t>
        </is>
      </c>
      <c r="Q26" t="inlineStr"/>
    </row>
    <row r="27">
      <c r="A27" t="inlineStr">
        <is>
          <t>ARMADA JAYA</t>
        </is>
      </c>
      <c r="B27" t="inlineStr">
        <is>
          <t>Kab. Indragiri Hilir</t>
        </is>
      </c>
      <c r="C27" t="inlineStr">
        <is>
          <t>082287608676</t>
        </is>
      </c>
      <c r="D27" t="inlineStr">
        <is>
          <t>armadaj324@gmail.com</t>
        </is>
      </c>
      <c r="E27" t="inlineStr">
        <is>
          <t>https://lpjk.pu.go.id/search-badan-usaha-detail/MTU3UzV5QXZMSzN6Y092VFc3SGV5UT09</t>
        </is>
      </c>
      <c r="F27" t="n">
        <v>2</v>
      </c>
      <c r="G27" t="inlineStr">
        <is>
          <t>BG006, BG009</t>
        </is>
      </c>
      <c r="H27" t="inlineStr">
        <is>
          <t>10 Januari 2020</t>
        </is>
      </c>
      <c r="I27" s="2" t="n">
        <v>46226</v>
      </c>
      <c r="J27" t="inlineStr">
        <is>
          <t>Disetujui</t>
        </is>
      </c>
      <c r="K27" t="n">
        <v>30</v>
      </c>
      <c r="L27" t="inlineStr">
        <is>
          <t>23 Juli 2026</t>
        </is>
      </c>
      <c r="M27" t="inlineStr">
        <is>
          <t>Konstruksi Gedung Lainnya, Konstruksi Gedung Pendidikan</t>
        </is>
      </c>
      <c r="N27" t="inlineStr">
        <is>
          <t>K</t>
        </is>
      </c>
      <c r="O27" t="inlineStr">
        <is>
          <t>20230712</t>
        </is>
      </c>
      <c r="P27" t="inlineStr">
        <is>
          <t>Riau</t>
        </is>
      </c>
      <c r="Q27" t="inlineStr"/>
    </row>
    <row r="28">
      <c r="A28" t="inlineStr">
        <is>
          <t>ARTHA RANCANG TEKNIK</t>
        </is>
      </c>
      <c r="B28" t="inlineStr">
        <is>
          <t>Kota Palembang</t>
        </is>
      </c>
      <c r="C28" t="inlineStr">
        <is>
          <t>0711516028</t>
        </is>
      </c>
      <c r="D28" t="inlineStr">
        <is>
          <t>artharancang@gmail.com</t>
        </is>
      </c>
      <c r="E28" t="inlineStr">
        <is>
          <t>https://lpjk.pu.go.id/search-badan-usaha-detail/dmRUSGk0TURNUTA5TGZjS3E0Ykk5Zz09</t>
        </is>
      </c>
      <c r="F28" t="n">
        <v>1</v>
      </c>
      <c r="G28" t="inlineStr">
        <is>
          <t>RK001</t>
        </is>
      </c>
      <c r="H28" t="inlineStr">
        <is>
          <t>20 Juni 2007</t>
        </is>
      </c>
      <c r="I28" s="2" t="n">
        <v>46226</v>
      </c>
      <c r="J28" t="inlineStr">
        <is>
          <t>Disetujui</t>
        </is>
      </c>
      <c r="K28" t="n">
        <v>30</v>
      </c>
      <c r="L28" t="inlineStr">
        <is>
          <t>23 Juli 2026</t>
        </is>
      </c>
      <c r="M28" t="inlineStr">
        <is>
          <t>Jasa Rekayasa Konstruksi Bangunan Gedung Hunian dan Non Hunian</t>
        </is>
      </c>
      <c r="N28" t="inlineStr">
        <is>
          <t>K</t>
        </is>
      </c>
      <c r="O28" t="inlineStr">
        <is>
          <t>20230711</t>
        </is>
      </c>
      <c r="P28" t="inlineStr">
        <is>
          <t>Sumatera Selatan</t>
        </is>
      </c>
      <c r="Q28" t="inlineStr"/>
    </row>
    <row r="29">
      <c r="A29" t="inlineStr">
        <is>
          <t>ATLANTIC ALAM INDUSTRI</t>
        </is>
      </c>
      <c r="B29" t="inlineStr">
        <is>
          <t>Kota Langsa</t>
        </is>
      </c>
      <c r="C29" t="inlineStr">
        <is>
          <t>064541042</t>
        </is>
      </c>
      <c r="D29" t="inlineStr">
        <is>
          <t>atlanticalamindustri@aaipt.co.id</t>
        </is>
      </c>
      <c r="E29" t="inlineStr">
        <is>
          <t>https://lpjk.pu.go.id/search-badan-usaha-detail/Z0RWa0ZqM2dKSmhPVUY1UE1qTkxtdz09</t>
        </is>
      </c>
      <c r="F29" t="n">
        <v>2</v>
      </c>
      <c r="G29" t="inlineStr">
        <is>
          <t>IN001, IN003</t>
        </is>
      </c>
      <c r="H29" t="inlineStr">
        <is>
          <t>12 September 2003</t>
        </is>
      </c>
      <c r="I29" s="2" t="n">
        <v>46226</v>
      </c>
      <c r="J29" t="inlineStr">
        <is>
          <t>Disetujui</t>
        </is>
      </c>
      <c r="K29" t="n">
        <v>30</v>
      </c>
      <c r="L29" t="inlineStr">
        <is>
          <t>23 Juli 2026</t>
        </is>
      </c>
      <c r="M29" t="inlineStr">
        <is>
          <t>Instalasi Mekanikal, Instalasi Peralatan Infrastruktur Pertambangan dan Manufaktur</t>
        </is>
      </c>
      <c r="N29" t="inlineStr">
        <is>
          <t>Spesialis</t>
        </is>
      </c>
      <c r="O29" t="inlineStr">
        <is>
          <t>20230623</t>
        </is>
      </c>
      <c r="P29" t="inlineStr">
        <is>
          <t>Aceh</t>
        </is>
      </c>
      <c r="Q29" t="inlineStr"/>
    </row>
    <row r="30">
      <c r="A30" t="inlineStr">
        <is>
          <t>BAHANA PERTIWI</t>
        </is>
      </c>
      <c r="B30" t="inlineStr">
        <is>
          <t>Kab. Kolaka</t>
        </is>
      </c>
      <c r="C30" t="inlineStr">
        <is>
          <t>085395307067</t>
        </is>
      </c>
      <c r="D30" t="inlineStr">
        <is>
          <t>cv.bahanapertiwi@gmail.com</t>
        </is>
      </c>
      <c r="E30" t="inlineStr">
        <is>
          <t>https://lpjk.pu.go.id/search-badan-usaha-detail/NEtPR2dZWS95eStWVExTRlpkcUlpUT09</t>
        </is>
      </c>
      <c r="F30" t="n">
        <v>1</v>
      </c>
      <c r="G30" t="inlineStr">
        <is>
          <t>BS004</t>
        </is>
      </c>
      <c r="H30" t="inlineStr">
        <is>
          <t>4 Juli 2008</t>
        </is>
      </c>
      <c r="I30" s="2" t="n">
        <v>46226</v>
      </c>
      <c r="J30" t="inlineStr">
        <is>
          <t>Pencabutan</t>
        </is>
      </c>
      <c r="K30" t="n">
        <v>30</v>
      </c>
      <c r="L30" t="inlineStr">
        <is>
          <t>23 Juli 2026</t>
        </is>
      </c>
      <c r="M30" t="inlineStr">
        <is>
          <t>Konstruksi Jaringan Irigasi dan Drainase</t>
        </is>
      </c>
      <c r="N30" t="inlineStr">
        <is>
          <t>K</t>
        </is>
      </c>
      <c r="O30" t="inlineStr">
        <is>
          <t>20230717</t>
        </is>
      </c>
      <c r="P30" t="inlineStr">
        <is>
          <t>Sulawesi Tenggara</t>
        </is>
      </c>
      <c r="Q30" t="inlineStr"/>
    </row>
    <row r="31">
      <c r="A31" t="inlineStr">
        <is>
          <t>BAYU MANDIRI</t>
        </is>
      </c>
      <c r="B31" t="inlineStr">
        <is>
          <t>Kota Bandung</t>
        </is>
      </c>
      <c r="C31" t="inlineStr">
        <is>
          <t>081322808000</t>
        </is>
      </c>
      <c r="D31" t="inlineStr">
        <is>
          <t>rbayueka@yahoo.com</t>
        </is>
      </c>
      <c r="E31" t="inlineStr">
        <is>
          <t>https://lpjk.pu.go.id/search-badan-usaha-detail/WUE2S1M0VlpweHg5TUMvT3BlYzdlUT09</t>
        </is>
      </c>
      <c r="F31" t="n">
        <v>1</v>
      </c>
      <c r="G31" t="inlineStr">
        <is>
          <t>BS004</t>
        </is>
      </c>
      <c r="H31" t="inlineStr">
        <is>
          <t>1 Juli 2005</t>
        </is>
      </c>
      <c r="I31" s="2" t="n">
        <v>46226</v>
      </c>
      <c r="J31" t="inlineStr">
        <is>
          <t>Pencabutan</t>
        </is>
      </c>
      <c r="K31" t="n">
        <v>30</v>
      </c>
      <c r="L31" t="inlineStr">
        <is>
          <t>23 Juli 2026</t>
        </is>
      </c>
      <c r="M31" t="inlineStr">
        <is>
          <t>Konstruksi Jaringan Irigasi dan Drainase</t>
        </is>
      </c>
      <c r="N31" t="inlineStr">
        <is>
          <t>K</t>
        </is>
      </c>
      <c r="O31" t="inlineStr">
        <is>
          <t>20230717</t>
        </is>
      </c>
      <c r="P31" t="inlineStr">
        <is>
          <t>Jawa Barat</t>
        </is>
      </c>
      <c r="Q31" t="inlineStr"/>
    </row>
    <row r="32">
      <c r="A32" t="inlineStr">
        <is>
          <t>BERKAH DOA IBU</t>
        </is>
      </c>
      <c r="B32" t="inlineStr">
        <is>
          <t>Kab. Ogan Komering Ulu</t>
        </is>
      </c>
      <c r="C32" t="inlineStr">
        <is>
          <t>081278020457</t>
        </is>
      </c>
      <c r="D32" t="inlineStr">
        <is>
          <t>berkahdoaibu3@gmail.com</t>
        </is>
      </c>
      <c r="E32" t="inlineStr">
        <is>
          <t>https://lpjk.pu.go.id/search-badan-usaha-detail/eXlSeHg0dHl2ZnRXSDUxdEptaHRCZz09</t>
        </is>
      </c>
      <c r="F32" t="n">
        <v>14</v>
      </c>
      <c r="G32" t="inlineStr">
        <is>
          <t>BG002, BG005, BG006, BG009, BS001, BS004, BS005</t>
        </is>
      </c>
      <c r="H32" t="inlineStr">
        <is>
          <t>16 Januari 2017</t>
        </is>
      </c>
      <c r="I32" s="2" t="n">
        <v>46226</v>
      </c>
      <c r="J32" t="inlineStr">
        <is>
          <t>Disetujui</t>
        </is>
      </c>
      <c r="K32" t="n">
        <v>30</v>
      </c>
      <c r="L32" t="inlineStr">
        <is>
          <t>23 Juli 2026</t>
        </is>
      </c>
      <c r="M32" t="inlineStr">
        <is>
          <t>Konstruksi Bangunan Sipil Jalan, Konstruksi Bangunan Sipil Pengolahan Air Bersih, Konstruksi Gedung Kesehatan, Konstruksi Gedung Lainnya, Konstruksi Gedung Pendidikan, Konstruksi Gedung Perkantoran, Konstruksi Jaringan Irigasi dan Drainase</t>
        </is>
      </c>
      <c r="N32" t="inlineStr">
        <is>
          <t>K</t>
        </is>
      </c>
      <c r="O32" t="inlineStr">
        <is>
          <t>20230716</t>
        </is>
      </c>
      <c r="P32" t="inlineStr">
        <is>
          <t>Sumatera Selatan</t>
        </is>
      </c>
      <c r="Q32" t="inlineStr"/>
    </row>
    <row r="33">
      <c r="A33" t="inlineStr">
        <is>
          <t>BIMA SAKTI PERKASA</t>
        </is>
      </c>
      <c r="B33" t="inlineStr">
        <is>
          <t>Kab. Landak</t>
        </is>
      </c>
      <c r="C33" t="inlineStr">
        <is>
          <t>085282415756</t>
        </is>
      </c>
      <c r="D33" t="inlineStr">
        <is>
          <t>cvbimasaktiperkasa85@gmail.com</t>
        </is>
      </c>
      <c r="E33" t="inlineStr">
        <is>
          <t>https://lpjk.pu.go.id/search-badan-usaha-detail/ZEVHR0oxQUpCbU5nQnVDNFVJcFUwUT09</t>
        </is>
      </c>
      <c r="F33" t="n">
        <v>1</v>
      </c>
      <c r="G33" t="inlineStr">
        <is>
          <t>BS004</t>
        </is>
      </c>
      <c r="H33" t="inlineStr">
        <is>
          <t>26 Maret 2019</t>
        </is>
      </c>
      <c r="I33" s="2" t="n">
        <v>46226</v>
      </c>
      <c r="J33" t="inlineStr">
        <is>
          <t>Disetujui</t>
        </is>
      </c>
      <c r="K33" t="n">
        <v>30</v>
      </c>
      <c r="L33" t="inlineStr">
        <is>
          <t>23 Juli 2026</t>
        </is>
      </c>
      <c r="M33" t="inlineStr">
        <is>
          <t>Konstruksi Jaringan Irigasi dan Drainase</t>
        </is>
      </c>
      <c r="N33" t="inlineStr">
        <is>
          <t>K</t>
        </is>
      </c>
      <c r="O33" t="inlineStr">
        <is>
          <t>20230723</t>
        </is>
      </c>
      <c r="P33" t="inlineStr">
        <is>
          <t>Kalimantan Barat</t>
        </is>
      </c>
      <c r="Q33" t="inlineStr"/>
    </row>
    <row r="34">
      <c r="A34" t="inlineStr">
        <is>
          <t>BINARA DUA JEE</t>
        </is>
      </c>
      <c r="B34" t="inlineStr">
        <is>
          <t>Kab. Semarang</t>
        </is>
      </c>
      <c r="C34" t="inlineStr">
        <is>
          <t>08112727308</t>
        </is>
      </c>
      <c r="D34" t="inlineStr">
        <is>
          <t>binaraduajee@gmail.com</t>
        </is>
      </c>
      <c r="E34" t="inlineStr">
        <is>
          <t>https://lpjk.pu.go.id/search-badan-usaha-detail/ZUpMeFU4bXhueTBqaWw4VlhoQm5SeGQ2RnF0dDZQUzRZbmwvZXFJaXhvdz0</t>
        </is>
      </c>
      <c r="F34" t="n">
        <v>4</v>
      </c>
      <c r="G34" t="inlineStr">
        <is>
          <t>AR001, RK001</t>
        </is>
      </c>
      <c r="H34" t="inlineStr">
        <is>
          <t>16 Maret 2019</t>
        </is>
      </c>
      <c r="I34" s="2" t="n">
        <v>46226</v>
      </c>
      <c r="J34" t="inlineStr">
        <is>
          <t>Pencabutan</t>
        </is>
      </c>
      <c r="K34" t="n">
        <v>30</v>
      </c>
      <c r="L34" t="inlineStr">
        <is>
          <t>23 Juli 2026</t>
        </is>
      </c>
      <c r="M34" t="inlineStr">
        <is>
          <t>Jasa Arsitektural Bangunan Gedung Hunian dan Non Hunian, Jasa Rekayasa Konstruksi Bangunan Gedung Hunian dan Non Hunian</t>
        </is>
      </c>
      <c r="N34" t="inlineStr">
        <is>
          <t>K</t>
        </is>
      </c>
      <c r="O34" t="inlineStr">
        <is>
          <t>20230511, 20230713</t>
        </is>
      </c>
      <c r="P34" t="inlineStr">
        <is>
          <t>Jawa Tengah</t>
        </is>
      </c>
      <c r="Q34" t="inlineStr"/>
    </row>
    <row r="35">
      <c r="A35" t="inlineStr">
        <is>
          <t>BINTANG GALAXY</t>
        </is>
      </c>
      <c r="B35" t="inlineStr">
        <is>
          <t>Kab. Lamongan</t>
        </is>
      </c>
      <c r="C35" t="inlineStr">
        <is>
          <t>081230695297</t>
        </is>
      </c>
      <c r="D35" t="inlineStr">
        <is>
          <t>b_galaxy@ymail.com</t>
        </is>
      </c>
      <c r="E35" t="inlineStr">
        <is>
          <t>https://lpjk.pu.go.id/search-badan-usaha-detail/SEl4MnZ0WENGNnZtV0xQQm4zMHFVZz09</t>
        </is>
      </c>
      <c r="F35" t="n">
        <v>2</v>
      </c>
      <c r="G35" t="inlineStr">
        <is>
          <t>BS005</t>
        </is>
      </c>
      <c r="H35" t="inlineStr">
        <is>
          <t>26 Juli 2007</t>
        </is>
      </c>
      <c r="I35" s="2" t="n">
        <v>46226</v>
      </c>
      <c r="J35" t="inlineStr">
        <is>
          <t>Disetujui</t>
        </is>
      </c>
      <c r="K35" t="n">
        <v>30</v>
      </c>
      <c r="L35" t="inlineStr">
        <is>
          <t>23 Juli 2026</t>
        </is>
      </c>
      <c r="M35" t="inlineStr">
        <is>
          <t>Konstruksi Bangunan Sipil Pengolahan Air Bersih</t>
        </is>
      </c>
      <c r="N35" t="inlineStr">
        <is>
          <t>K</t>
        </is>
      </c>
      <c r="O35" t="inlineStr">
        <is>
          <t>20230711</t>
        </is>
      </c>
      <c r="P35" t="inlineStr">
        <is>
          <t>Jawa Timur</t>
        </is>
      </c>
      <c r="Q35" t="inlineStr"/>
    </row>
    <row r="36">
      <c r="A36" t="inlineStr">
        <is>
          <t>BUMI LESTARINDO</t>
        </is>
      </c>
      <c r="B36" t="inlineStr">
        <is>
          <t>Kab. Lumajang</t>
        </is>
      </c>
      <c r="C36" t="inlineStr">
        <is>
          <t>085234638111</t>
        </is>
      </c>
      <c r="D36" t="inlineStr">
        <is>
          <t>idoer_gdr@yahoo.co.id</t>
        </is>
      </c>
      <c r="E36" t="inlineStr">
        <is>
          <t>https://lpjk.pu.go.id/search-badan-usaha-detail/ZkNQcnM2RWVmVHVMdVo3NStBaU9BQT09</t>
        </is>
      </c>
      <c r="F36" t="n">
        <v>2</v>
      </c>
      <c r="G36" t="inlineStr">
        <is>
          <t>BG002, BS004</t>
        </is>
      </c>
      <c r="H36" t="inlineStr">
        <is>
          <t>12 Januari 2008</t>
        </is>
      </c>
      <c r="I36" s="2" t="n">
        <v>46226</v>
      </c>
      <c r="J36" t="inlineStr">
        <is>
          <t>Disetujui</t>
        </is>
      </c>
      <c r="K36" t="n">
        <v>30</v>
      </c>
      <c r="L36" t="inlineStr">
        <is>
          <t>23 Juli 2026</t>
        </is>
      </c>
      <c r="M36" t="inlineStr">
        <is>
          <t>Konstruksi Gedung Perkantoran, Konstruksi Jaringan Irigasi dan Drainase</t>
        </is>
      </c>
      <c r="N36" t="inlineStr">
        <is>
          <t>K</t>
        </is>
      </c>
      <c r="O36" t="inlineStr">
        <is>
          <t>20230713</t>
        </is>
      </c>
      <c r="P36" t="inlineStr">
        <is>
          <t>Jawa Timur</t>
        </is>
      </c>
      <c r="Q36" t="inlineStr"/>
    </row>
    <row r="37">
      <c r="A37" t="inlineStr">
        <is>
          <t>CAHAYA NUHA</t>
        </is>
      </c>
      <c r="B37" t="inlineStr">
        <is>
          <t>Kota Gorontalo</t>
        </is>
      </c>
      <c r="C37" t="inlineStr">
        <is>
          <t>08114327234</t>
        </is>
      </c>
      <c r="D37" t="inlineStr">
        <is>
          <t>cahayanuha99@gmail.com</t>
        </is>
      </c>
      <c r="E37" t="inlineStr">
        <is>
          <t>https://lpjk.pu.go.id/search-badan-usaha-detail/amVjUWhUNzRIZ1hYT3ZTUHg0ekNaQT09</t>
        </is>
      </c>
      <c r="F37" t="n">
        <v>1</v>
      </c>
      <c r="G37" t="inlineStr">
        <is>
          <t>BS001</t>
        </is>
      </c>
      <c r="H37" t="inlineStr">
        <is>
          <t>7 April 2017</t>
        </is>
      </c>
      <c r="I37" s="2" t="n">
        <v>46226</v>
      </c>
      <c r="J37" t="inlineStr">
        <is>
          <t>Disetujui</t>
        </is>
      </c>
      <c r="K37" t="n">
        <v>30</v>
      </c>
      <c r="L37" t="inlineStr">
        <is>
          <t>23 Juli 2026</t>
        </is>
      </c>
      <c r="M37" t="inlineStr">
        <is>
          <t>Konstruksi Bangunan Sipil Jalan</t>
        </is>
      </c>
      <c r="N37" t="inlineStr">
        <is>
          <t>K</t>
        </is>
      </c>
      <c r="O37" t="inlineStr">
        <is>
          <t>20230724</t>
        </is>
      </c>
      <c r="P37" t="inlineStr">
        <is>
          <t>Gorontalo</t>
        </is>
      </c>
      <c r="Q37" t="inlineStr"/>
    </row>
    <row r="38">
      <c r="A38" t="inlineStr">
        <is>
          <t>CAHAYA TUNAS MULYA</t>
        </is>
      </c>
      <c r="B38" t="inlineStr">
        <is>
          <t>Kota Pontianak</t>
        </is>
      </c>
      <c r="C38" t="inlineStr">
        <is>
          <t>085349886346</t>
        </is>
      </c>
      <c r="D38" t="inlineStr">
        <is>
          <t>cahayatunasmulya@yahoo.co.id</t>
        </is>
      </c>
      <c r="E38" t="inlineStr">
        <is>
          <t>https://lpjk.pu.go.id/search-badan-usaha-detail/SWo3eGQrRjJ3SzM4UWh2Rk80aHlQdz09</t>
        </is>
      </c>
      <c r="F38" t="n">
        <v>2</v>
      </c>
      <c r="G38" t="inlineStr">
        <is>
          <t>BG005, BG006</t>
        </is>
      </c>
      <c r="H38" t="inlineStr">
        <is>
          <t>6 Juni 2007</t>
        </is>
      </c>
      <c r="I38" s="2" t="n">
        <v>46226</v>
      </c>
      <c r="J38" t="inlineStr">
        <is>
          <t>Pencabutan</t>
        </is>
      </c>
      <c r="K38" t="n">
        <v>30</v>
      </c>
      <c r="L38" t="inlineStr">
        <is>
          <t>23 Juli 2026</t>
        </is>
      </c>
      <c r="M38" t="inlineStr">
        <is>
          <t>Konstruksi Gedung Kesehatan, Konstruksi Gedung Pendidikan</t>
        </is>
      </c>
      <c r="N38" t="inlineStr">
        <is>
          <t>K</t>
        </is>
      </c>
      <c r="O38" t="inlineStr">
        <is>
          <t>20230722, 20230723</t>
        </is>
      </c>
      <c r="P38" t="inlineStr">
        <is>
          <t>Kalimantan Barat</t>
        </is>
      </c>
      <c r="Q38" t="inlineStr"/>
    </row>
    <row r="39">
      <c r="A39" t="inlineStr">
        <is>
          <t>CITRA GAMA SAKTI</t>
        </is>
      </c>
      <c r="B39" t="inlineStr">
        <is>
          <t>Kab. Sleman</t>
        </is>
      </c>
      <c r="C39" t="inlineStr">
        <is>
          <t>02742838954</t>
        </is>
      </c>
      <c r="D39" t="inlineStr">
        <is>
          <t>citra_gama_sakti@yahoo.com</t>
        </is>
      </c>
      <c r="E39" t="inlineStr">
        <is>
          <t>https://lpjk.pu.go.id/search-badan-usaha-detail/SW1ZeTdqV1YrU2V3dUZZMlZ4aWg2UT09</t>
        </is>
      </c>
      <c r="F39" t="n">
        <v>1</v>
      </c>
      <c r="G39" t="inlineStr">
        <is>
          <t>RK005</t>
        </is>
      </c>
      <c r="H39" t="inlineStr">
        <is>
          <t>21 Maret 2005</t>
        </is>
      </c>
      <c r="I39" s="2" t="n">
        <v>46226</v>
      </c>
      <c r="J39" t="inlineStr">
        <is>
          <t>Disetujui</t>
        </is>
      </c>
      <c r="K39" t="n">
        <v>30</v>
      </c>
      <c r="L39" t="inlineStr">
        <is>
          <t>23 Juli 2026</t>
        </is>
      </c>
      <c r="M39" t="inlineStr">
        <is>
          <t>Jasa Rekayasa Lainnya</t>
        </is>
      </c>
      <c r="N39" t="inlineStr">
        <is>
          <t>K</t>
        </is>
      </c>
      <c r="O39" t="inlineStr">
        <is>
          <t>20230704</t>
        </is>
      </c>
      <c r="P39" t="inlineStr">
        <is>
          <t>DI Yogyakarta</t>
        </is>
      </c>
      <c r="Q39" t="inlineStr"/>
    </row>
    <row r="40">
      <c r="A40" t="inlineStr">
        <is>
          <t>CITRA MANDIRI</t>
        </is>
      </c>
      <c r="B40" t="inlineStr">
        <is>
          <t>Kab. Sidoarjo</t>
        </is>
      </c>
      <c r="C40" t="inlineStr">
        <is>
          <t>031 8851249</t>
        </is>
      </c>
      <c r="D40" t="inlineStr">
        <is>
          <t>cvcitramandiri882@gmail.com</t>
        </is>
      </c>
      <c r="E40" t="inlineStr">
        <is>
          <t>https://lpjk.pu.go.id/search-badan-usaha-detail/dTlGcXlKSTFoQkhDOHlzY1owTHV3UT09</t>
        </is>
      </c>
      <c r="F40" t="n">
        <v>1</v>
      </c>
      <c r="G40" t="inlineStr">
        <is>
          <t>BG002</t>
        </is>
      </c>
      <c r="H40" t="inlineStr">
        <is>
          <t>9 Oktober 2009</t>
        </is>
      </c>
      <c r="I40" s="2" t="n">
        <v>46226</v>
      </c>
      <c r="J40" t="inlineStr">
        <is>
          <t>Disetujui</t>
        </is>
      </c>
      <c r="K40" t="n">
        <v>30</v>
      </c>
      <c r="L40" t="inlineStr">
        <is>
          <t>23 Juli 2026</t>
        </is>
      </c>
      <c r="M40" t="inlineStr">
        <is>
          <t>Konstruksi Gedung Perkantoran</t>
        </is>
      </c>
      <c r="N40" t="inlineStr">
        <is>
          <t>K</t>
        </is>
      </c>
      <c r="O40" t="inlineStr">
        <is>
          <t>20230723</t>
        </is>
      </c>
      <c r="P40" t="inlineStr">
        <is>
          <t>Jawa Timur</t>
        </is>
      </c>
      <c r="Q40" t="inlineStr"/>
    </row>
    <row r="41">
      <c r="A41" t="inlineStr">
        <is>
          <t>Cahaya Konsultan</t>
        </is>
      </c>
      <c r="B41" t="inlineStr">
        <is>
          <t>Kota Palembang</t>
        </is>
      </c>
      <c r="C41" t="inlineStr">
        <is>
          <t>-</t>
        </is>
      </c>
      <c r="D41" t="inlineStr">
        <is>
          <t>csacahayasriwijaya@gmail.com</t>
        </is>
      </c>
      <c r="E41" t="inlineStr">
        <is>
          <t>https://lpjk.pu.go.id/search-badan-usaha-detail/MDM3dWhIZjlpdDIxempjaFo2c0dMQT09</t>
        </is>
      </c>
      <c r="F41" t="n">
        <v>1</v>
      </c>
      <c r="G41" t="inlineStr">
        <is>
          <t>AR003</t>
        </is>
      </c>
      <c r="H41" t="inlineStr">
        <is>
          <t>25 Januari 2011</t>
        </is>
      </c>
      <c r="I41" s="2" t="n">
        <v>46226</v>
      </c>
      <c r="J41" t="inlineStr">
        <is>
          <t>Disetujui</t>
        </is>
      </c>
      <c r="K41" t="n">
        <v>30</v>
      </c>
      <c r="L41" t="inlineStr">
        <is>
          <t>23 Juli 2026</t>
        </is>
      </c>
      <c r="M41" t="inlineStr">
        <is>
          <t>Jasa Desain Interior pada Bangunan Gedung dan Bangunan Sipil</t>
        </is>
      </c>
      <c r="N41" t="inlineStr">
        <is>
          <t>K</t>
        </is>
      </c>
      <c r="O41" t="inlineStr">
        <is>
          <t>20230713</t>
        </is>
      </c>
      <c r="P41" t="inlineStr">
        <is>
          <t>Sumatera Selatan</t>
        </is>
      </c>
      <c r="Q41" t="inlineStr"/>
    </row>
    <row r="42">
      <c r="A42" t="inlineStr">
        <is>
          <t>DAVINDO PUTRA PERKASA</t>
        </is>
      </c>
      <c r="B42" t="inlineStr">
        <is>
          <t>Kota Pontianak</t>
        </is>
      </c>
      <c r="C42" t="inlineStr">
        <is>
          <t>081350777650</t>
        </is>
      </c>
      <c r="D42" t="inlineStr">
        <is>
          <t>davindo.perkasa88@gmail.com</t>
        </is>
      </c>
      <c r="E42" t="inlineStr">
        <is>
          <t>https://lpjk.pu.go.id/search-badan-usaha-detail/dkRlVnFKVk1kUUQ4bSt5eVlHWW5Vdz09</t>
        </is>
      </c>
      <c r="F42" t="n">
        <v>1</v>
      </c>
      <c r="G42" t="inlineStr">
        <is>
          <t>BS001</t>
        </is>
      </c>
      <c r="H42" t="inlineStr">
        <is>
          <t>5 Juli 2021</t>
        </is>
      </c>
      <c r="I42" s="2" t="n">
        <v>46226</v>
      </c>
      <c r="J42" t="inlineStr">
        <is>
          <t>Disetujui</t>
        </is>
      </c>
      <c r="K42" t="n">
        <v>30</v>
      </c>
      <c r="L42" t="inlineStr">
        <is>
          <t>23 Juli 2026</t>
        </is>
      </c>
      <c r="M42" t="inlineStr">
        <is>
          <t>Konstruksi Bangunan Sipil Jalan</t>
        </is>
      </c>
      <c r="N42" t="inlineStr">
        <is>
          <t>K</t>
        </is>
      </c>
      <c r="O42" t="inlineStr">
        <is>
          <t>20230724</t>
        </is>
      </c>
      <c r="P42" t="inlineStr">
        <is>
          <t>Kalimantan Barat</t>
        </is>
      </c>
      <c r="Q42" t="inlineStr"/>
    </row>
    <row r="43">
      <c r="A43" t="inlineStr">
        <is>
          <t>DELOK MAS</t>
        </is>
      </c>
      <c r="B43" t="inlineStr">
        <is>
          <t>Kota Sukabumi</t>
        </is>
      </c>
      <c r="C43" t="inlineStr">
        <is>
          <t>081572857996</t>
        </is>
      </c>
      <c r="D43" t="inlineStr">
        <is>
          <t>delok_mas@yahoo.com</t>
        </is>
      </c>
      <c r="E43" t="inlineStr">
        <is>
          <t>https://lpjk.pu.go.id/search-badan-usaha-detail/WXlJdlJuV0VNUERpaXFrWDZ2UHdPZz09</t>
        </is>
      </c>
      <c r="F43" t="n">
        <v>1</v>
      </c>
      <c r="G43" t="inlineStr">
        <is>
          <t>BG009</t>
        </is>
      </c>
      <c r="H43" t="inlineStr">
        <is>
          <t>6 November 2012</t>
        </is>
      </c>
      <c r="I43" s="2" t="n">
        <v>46226</v>
      </c>
      <c r="J43" t="inlineStr">
        <is>
          <t>Disetujui</t>
        </is>
      </c>
      <c r="K43" t="n">
        <v>30</v>
      </c>
      <c r="L43" t="inlineStr">
        <is>
          <t>23 Juli 2026</t>
        </is>
      </c>
      <c r="M43" t="inlineStr">
        <is>
          <t>Konstruksi Gedung Lainnya</t>
        </is>
      </c>
      <c r="N43" t="inlineStr">
        <is>
          <t>K</t>
        </is>
      </c>
      <c r="O43" t="inlineStr">
        <is>
          <t>20230705</t>
        </is>
      </c>
      <c r="P43" t="inlineStr">
        <is>
          <t>Jawa Barat</t>
        </is>
      </c>
      <c r="Q43" t="inlineStr"/>
    </row>
    <row r="44">
      <c r="A44" t="inlineStr">
        <is>
          <t>DUA CAWAN MADU</t>
        </is>
      </c>
      <c r="B44" t="inlineStr">
        <is>
          <t>Kab. Muara Enim</t>
        </is>
      </c>
      <c r="C44" t="inlineStr">
        <is>
          <t>085283589804</t>
        </is>
      </c>
      <c r="D44" t="inlineStr">
        <is>
          <t>duacawanmadu.cv@gmail.com</t>
        </is>
      </c>
      <c r="E44" t="inlineStr">
        <is>
          <t>https://lpjk.pu.go.id/search-badan-usaha-detail/UzVlSDRIMXNndnprMUNHZ2g0VzMrZz09</t>
        </is>
      </c>
      <c r="F44" t="n">
        <v>2</v>
      </c>
      <c r="G44" t="inlineStr">
        <is>
          <t>BS001, BS004</t>
        </is>
      </c>
      <c r="H44" t="inlineStr">
        <is>
          <t>29 Januari 2020</t>
        </is>
      </c>
      <c r="I44" s="2" t="n">
        <v>46226</v>
      </c>
      <c r="J44" t="inlineStr">
        <is>
          <t>Disetujui</t>
        </is>
      </c>
      <c r="K44" t="n">
        <v>30</v>
      </c>
      <c r="L44" t="inlineStr">
        <is>
          <t>23 Juli 2026</t>
        </is>
      </c>
      <c r="M44" t="inlineStr">
        <is>
          <t>Konstruksi Bangunan Sipil Jalan, Konstruksi Jaringan Irigasi dan Drainase</t>
        </is>
      </c>
      <c r="N44" t="inlineStr">
        <is>
          <t>K</t>
        </is>
      </c>
      <c r="O44" t="inlineStr">
        <is>
          <t>20230715, 20230722</t>
        </is>
      </c>
      <c r="P44" t="inlineStr">
        <is>
          <t>Sumatera Selatan</t>
        </is>
      </c>
      <c r="Q44" t="inlineStr"/>
    </row>
    <row r="45">
      <c r="A45" t="inlineStr">
        <is>
          <t>DUTA LESTARI</t>
        </is>
      </c>
      <c r="B45" t="inlineStr">
        <is>
          <t>Kota Bontang</t>
        </is>
      </c>
      <c r="C45" t="inlineStr">
        <is>
          <t>085249007787</t>
        </is>
      </c>
      <c r="D45" t="inlineStr">
        <is>
          <t>dutalestaribtg@gmail.com</t>
        </is>
      </c>
      <c r="E45" t="inlineStr">
        <is>
          <t>https://lpjk.pu.go.id/search-badan-usaha-detail/eXFNOGhQRUF3bCt5dUJNODAzYWZmZz09</t>
        </is>
      </c>
      <c r="F45" t="n">
        <v>1</v>
      </c>
      <c r="G45" t="inlineStr">
        <is>
          <t>BS001</t>
        </is>
      </c>
      <c r="H45" t="inlineStr">
        <is>
          <t>19 Januari 2015</t>
        </is>
      </c>
      <c r="I45" s="2" t="n">
        <v>46226</v>
      </c>
      <c r="J45" t="inlineStr">
        <is>
          <t>Disetujui</t>
        </is>
      </c>
      <c r="K45" t="n">
        <v>30</v>
      </c>
      <c r="L45" t="inlineStr">
        <is>
          <t>23 Juli 2026</t>
        </is>
      </c>
      <c r="M45" t="inlineStr">
        <is>
          <t>Konstruksi Bangunan Sipil Jalan</t>
        </is>
      </c>
      <c r="N45" t="inlineStr">
        <is>
          <t>K</t>
        </is>
      </c>
      <c r="O45" t="inlineStr">
        <is>
          <t>20230721</t>
        </is>
      </c>
      <c r="P45" t="inlineStr">
        <is>
          <t>Kalimantan Timur</t>
        </is>
      </c>
      <c r="Q45" t="inlineStr"/>
    </row>
    <row r="46">
      <c r="A46" t="inlineStr">
        <is>
          <t>DUTA PRATAMA</t>
        </is>
      </c>
      <c r="B46" t="inlineStr">
        <is>
          <t>Kota Pasuruan</t>
        </is>
      </c>
      <c r="C46" t="inlineStr">
        <is>
          <t>082240696636</t>
        </is>
      </c>
      <c r="D46" t="inlineStr">
        <is>
          <t>cv.dutapratama90@gmail.com</t>
        </is>
      </c>
      <c r="E46" t="inlineStr">
        <is>
          <t>https://lpjk.pu.go.id/search-badan-usaha-detail/cWI4UTc2TjdWTzZxSW1hVFNJVjBkQT09</t>
        </is>
      </c>
      <c r="F46" t="n">
        <v>4</v>
      </c>
      <c r="G46" t="inlineStr">
        <is>
          <t>BG005, BG006, BS001, BS004</t>
        </is>
      </c>
      <c r="H46" t="inlineStr">
        <is>
          <t>18 Juli 2011</t>
        </is>
      </c>
      <c r="I46" s="2" t="n">
        <v>46226</v>
      </c>
      <c r="J46" t="inlineStr">
        <is>
          <t>Disetujui</t>
        </is>
      </c>
      <c r="K46" t="n">
        <v>30</v>
      </c>
      <c r="L46" t="inlineStr">
        <is>
          <t>23 Juli 2026</t>
        </is>
      </c>
      <c r="M46" t="inlineStr">
        <is>
          <t>Konstruksi Bangunan Sipil Jalan, Konstruksi Gedung Kesehatan, Konstruksi Gedung Pendidikan, Konstruksi Jaringan Irigasi dan Drainase</t>
        </is>
      </c>
      <c r="N46" t="inlineStr">
        <is>
          <t>K</t>
        </is>
      </c>
      <c r="O46" t="inlineStr">
        <is>
          <t>20230406</t>
        </is>
      </c>
      <c r="P46" t="inlineStr">
        <is>
          <t>Jawa Timur</t>
        </is>
      </c>
      <c r="Q46" t="inlineStr"/>
    </row>
    <row r="47">
      <c r="A47" t="inlineStr">
        <is>
          <t>EUSINA KARYA INDONESIA</t>
        </is>
      </c>
      <c r="B47" t="inlineStr">
        <is>
          <t>Kota Bandung</t>
        </is>
      </c>
      <c r="C47" t="inlineStr">
        <is>
          <t>081224656160</t>
        </is>
      </c>
      <c r="D47" t="inlineStr">
        <is>
          <t>pt.eusinakaryaindonesia@gmail.com</t>
        </is>
      </c>
      <c r="E47" t="inlineStr">
        <is>
          <t>https://lpjk.pu.go.id/search-badan-usaha-detail/R0orb2ZGdWFtbGRLTXVEc1VKTG5ndz09</t>
        </is>
      </c>
      <c r="F47" t="n">
        <v>3</v>
      </c>
      <c r="G47" t="inlineStr">
        <is>
          <t>BG004, BG006, BG009</t>
        </is>
      </c>
      <c r="H47" t="inlineStr">
        <is>
          <t>2 Januari 2023</t>
        </is>
      </c>
      <c r="I47" s="2" t="n">
        <v>46226</v>
      </c>
      <c r="J47" t="inlineStr">
        <is>
          <t>Disetujui</t>
        </is>
      </c>
      <c r="K47" t="n">
        <v>30</v>
      </c>
      <c r="L47" t="inlineStr">
        <is>
          <t>23 Juli 2026</t>
        </is>
      </c>
      <c r="M47" t="inlineStr">
        <is>
          <t>Konstruksi Gedung Lainnya, Konstruksi Gedung Pendidikan, Konstruksi Gedung Perbelanjaan</t>
        </is>
      </c>
      <c r="N47" t="inlineStr">
        <is>
          <t>K</t>
        </is>
      </c>
      <c r="O47" t="inlineStr">
        <is>
          <t>20230715</t>
        </is>
      </c>
      <c r="P47" t="inlineStr">
        <is>
          <t>Jawa Barat</t>
        </is>
      </c>
      <c r="Q47" t="inlineStr"/>
    </row>
    <row r="48">
      <c r="A48" t="inlineStr">
        <is>
          <t>GLOBAL KARYA SEJAHTERA RAYA</t>
        </is>
      </c>
      <c r="B48" t="inlineStr">
        <is>
          <t>Kab. Bantul</t>
        </is>
      </c>
      <c r="C48" t="inlineStr">
        <is>
          <t>02742824193</t>
        </is>
      </c>
      <c r="D48" t="inlineStr">
        <is>
          <t>gks.office@yahoo.com</t>
        </is>
      </c>
      <c r="E48" t="inlineStr">
        <is>
          <t>https://lpjk.pu.go.id/search-badan-usaha-detail/eGJsRVl5MWxza1pBejh4aXFXTmdRZz09</t>
        </is>
      </c>
      <c r="F48" t="n">
        <v>3</v>
      </c>
      <c r="G48" t="inlineStr">
        <is>
          <t>BG001, BG005, BG006</t>
        </is>
      </c>
      <c r="H48" t="inlineStr">
        <is>
          <t>28 Maret 2011</t>
        </is>
      </c>
      <c r="I48" s="2" t="n">
        <v>46226</v>
      </c>
      <c r="J48" t="inlineStr">
        <is>
          <t>Pembekuan, Pencabutan</t>
        </is>
      </c>
      <c r="K48" t="n">
        <v>30</v>
      </c>
      <c r="L48" t="inlineStr">
        <is>
          <t>23 Juli 2026</t>
        </is>
      </c>
      <c r="M48" t="inlineStr">
        <is>
          <t>Konstruksi Gedung Hunian, Konstruksi Gedung Kesehatan, Konstruksi Gedung Pendidikan</t>
        </is>
      </c>
      <c r="N48" t="inlineStr">
        <is>
          <t>M</t>
        </is>
      </c>
      <c r="O48" t="inlineStr">
        <is>
          <t>20230722, 20230723</t>
        </is>
      </c>
      <c r="P48" t="inlineStr">
        <is>
          <t>DI Yogyakarta</t>
        </is>
      </c>
      <c r="Q48" t="inlineStr"/>
    </row>
    <row r="49">
      <c r="A49" t="inlineStr">
        <is>
          <t>GOLDEN DEKA YAME</t>
        </is>
      </c>
      <c r="B49" t="inlineStr">
        <is>
          <t>Kota Jayapura</t>
        </is>
      </c>
      <c r="C49" t="inlineStr">
        <is>
          <t>081248465353</t>
        </is>
      </c>
      <c r="D49" t="inlineStr">
        <is>
          <t>goldendekayame@gmail.com</t>
        </is>
      </c>
      <c r="E49" t="inlineStr">
        <is>
          <t>https://lpjk.pu.go.id/search-badan-usaha-detail/dUFCenlER0hlY0puaHg1bldXSDUxUT09</t>
        </is>
      </c>
      <c r="F49" t="n">
        <v>10</v>
      </c>
      <c r="G49" t="inlineStr">
        <is>
          <t>BG001, BG002, BG005, BG006, BG009</t>
        </is>
      </c>
      <c r="H49" t="inlineStr">
        <is>
          <t>24 November 2021</t>
        </is>
      </c>
      <c r="I49" s="2" t="n">
        <v>46226</v>
      </c>
      <c r="J49" t="inlineStr">
        <is>
          <t>Disetujui</t>
        </is>
      </c>
      <c r="K49" t="n">
        <v>30</v>
      </c>
      <c r="L49" t="inlineStr">
        <is>
          <t>23 Juli 2026</t>
        </is>
      </c>
      <c r="M49" t="inlineStr">
        <is>
          <t>Konstruksi Gedung Hunian, Konstruksi Gedung Kesehatan, Konstruksi Gedung Lainnya, Konstruksi Gedung Pendidikan, Konstruksi Gedung Perkantoran</t>
        </is>
      </c>
      <c r="N49" t="inlineStr">
        <is>
          <t>K</t>
        </is>
      </c>
      <c r="O49" t="inlineStr">
        <is>
          <t>20230718</t>
        </is>
      </c>
      <c r="P49" t="inlineStr">
        <is>
          <t>Papua</t>
        </is>
      </c>
      <c r="Q49" t="inlineStr"/>
    </row>
    <row r="50">
      <c r="A50" t="inlineStr">
        <is>
          <t>HIDAYAT</t>
        </is>
      </c>
      <c r="B50" t="inlineStr">
        <is>
          <t>Kab. Tanjung Jabung Timur</t>
        </is>
      </c>
      <c r="C50" t="inlineStr">
        <is>
          <t>0813 6681 2111</t>
        </is>
      </c>
      <c r="D50" t="inlineStr">
        <is>
          <t>cv.hidayatjambi23@gmail.com</t>
        </is>
      </c>
      <c r="E50" t="inlineStr">
        <is>
          <t>https://lpjk.pu.go.id/search-badan-usaha-detail/bVVRK21aZzZ5dnJmSlI3Y0o4V2diZz09</t>
        </is>
      </c>
      <c r="F50" t="n">
        <v>1</v>
      </c>
      <c r="G50" t="inlineStr">
        <is>
          <t>BG005</t>
        </is>
      </c>
      <c r="H50" t="inlineStr">
        <is>
          <t>17 Mei 1986</t>
        </is>
      </c>
      <c r="I50" s="2" t="n">
        <v>46226</v>
      </c>
      <c r="J50" t="inlineStr">
        <is>
          <t>Disetujui</t>
        </is>
      </c>
      <c r="K50" t="n">
        <v>30</v>
      </c>
      <c r="L50" t="inlineStr">
        <is>
          <t>23 Juli 2026</t>
        </is>
      </c>
      <c r="M50" t="inlineStr">
        <is>
          <t>Konstruksi Gedung Kesehatan</t>
        </is>
      </c>
      <c r="N50" t="inlineStr">
        <is>
          <t>K</t>
        </is>
      </c>
      <c r="O50" t="inlineStr">
        <is>
          <t>20230614</t>
        </is>
      </c>
      <c r="P50" t="inlineStr">
        <is>
          <t>Jambi</t>
        </is>
      </c>
      <c r="Q50" t="inlineStr"/>
    </row>
    <row r="51">
      <c r="A51" t="inlineStr">
        <is>
          <t>HOKINDO KONTRUKSI MANDIRI</t>
        </is>
      </c>
      <c r="B51" t="inlineStr">
        <is>
          <t>Kab. Tanjung Jabung Barat</t>
        </is>
      </c>
      <c r="C51" t="inlineStr">
        <is>
          <t>083157603304</t>
        </is>
      </c>
      <c r="D51" t="inlineStr">
        <is>
          <t>hokindokontruksimandiri@gmail.com</t>
        </is>
      </c>
      <c r="E51" t="inlineStr">
        <is>
          <t>https://lpjk.pu.go.id/search-badan-usaha-detail/YWVpV1pETERMOGZzc01HMjBkWDFFZz09</t>
        </is>
      </c>
      <c r="F51" t="n">
        <v>1</v>
      </c>
      <c r="G51" t="inlineStr">
        <is>
          <t>BG005</t>
        </is>
      </c>
      <c r="H51" t="inlineStr">
        <is>
          <t>11 Januari 2023</t>
        </is>
      </c>
      <c r="I51" s="2" t="n">
        <v>46226</v>
      </c>
      <c r="J51" t="inlineStr">
        <is>
          <t>Disetujui</t>
        </is>
      </c>
      <c r="K51" t="n">
        <v>30</v>
      </c>
      <c r="L51" t="inlineStr">
        <is>
          <t>23 Juli 2026</t>
        </is>
      </c>
      <c r="M51" t="inlineStr">
        <is>
          <t>Konstruksi Gedung Kesehatan</t>
        </is>
      </c>
      <c r="N51" t="inlineStr">
        <is>
          <t>K</t>
        </is>
      </c>
      <c r="O51" t="inlineStr">
        <is>
          <t>20230720</t>
        </is>
      </c>
      <c r="P51" t="inlineStr">
        <is>
          <t>Jambi</t>
        </is>
      </c>
      <c r="Q51" t="inlineStr"/>
    </row>
    <row r="52">
      <c r="A52" t="inlineStr">
        <is>
          <t>HONEYCOW PRIMA</t>
        </is>
      </c>
      <c r="B52" t="inlineStr">
        <is>
          <t>Kab. Pamekasan</t>
        </is>
      </c>
      <c r="C52" t="inlineStr">
        <is>
          <t>087854167410</t>
        </is>
      </c>
      <c r="D52" t="inlineStr">
        <is>
          <t>syaifularifhoney@gmail.com</t>
        </is>
      </c>
      <c r="E52" t="inlineStr">
        <is>
          <t>https://lpjk.pu.go.id/search-badan-usaha-detail/WllGdlJ3Z1JEWGlWaFRrVDltKzE5dz09</t>
        </is>
      </c>
      <c r="F52" t="n">
        <v>4</v>
      </c>
      <c r="G52" t="inlineStr">
        <is>
          <t>BG006, BG009, BS001, BS004</t>
        </is>
      </c>
      <c r="H52" t="inlineStr">
        <is>
          <t>26 November 2019</t>
        </is>
      </c>
      <c r="I52" s="2" t="n">
        <v>46226</v>
      </c>
      <c r="J52" t="inlineStr">
        <is>
          <t>Disetujui</t>
        </is>
      </c>
      <c r="K52" t="n">
        <v>30</v>
      </c>
      <c r="L52" t="inlineStr">
        <is>
          <t>23 Juli 2026</t>
        </is>
      </c>
      <c r="M52" t="inlineStr">
        <is>
          <t>Konstruksi Bangunan Sipil Jalan, Konstruksi Gedung Lainnya, Konstruksi Gedung Pendidikan, Konstruksi Jaringan Irigasi dan Drainase</t>
        </is>
      </c>
      <c r="N52" t="inlineStr">
        <is>
          <t>K</t>
        </is>
      </c>
      <c r="O52" t="inlineStr">
        <is>
          <t>20230724</t>
        </is>
      </c>
      <c r="P52" t="inlineStr">
        <is>
          <t>Jawa Timur</t>
        </is>
      </c>
      <c r="Q52" t="inlineStr"/>
    </row>
    <row r="53">
      <c r="A53" t="inlineStr">
        <is>
          <t>INOVASI KARYA PRIMA</t>
        </is>
      </c>
      <c r="B53" t="inlineStr">
        <is>
          <t>Kota Medan</t>
        </is>
      </c>
      <c r="C53" t="inlineStr">
        <is>
          <t>081264663600</t>
        </is>
      </c>
      <c r="D53" t="inlineStr">
        <is>
          <t>oykead@yahoo.co.id</t>
        </is>
      </c>
      <c r="E53" t="inlineStr">
        <is>
          <t>https://lpjk.pu.go.id/search-badan-usaha-detail/dUpLaUhQMFI2cEY2UEt1a0pVM0VpQT09</t>
        </is>
      </c>
      <c r="F53" t="n">
        <v>1</v>
      </c>
      <c r="G53" t="inlineStr">
        <is>
          <t>BG009</t>
        </is>
      </c>
      <c r="H53" t="inlineStr">
        <is>
          <t>10 Maret 2003</t>
        </is>
      </c>
      <c r="I53" s="2" t="n">
        <v>46226</v>
      </c>
      <c r="J53" t="inlineStr">
        <is>
          <t>Disetujui</t>
        </is>
      </c>
      <c r="K53" t="n">
        <v>30</v>
      </c>
      <c r="L53" t="inlineStr">
        <is>
          <t>23 Juli 2026</t>
        </is>
      </c>
      <c r="M53" t="inlineStr">
        <is>
          <t>Konstruksi Gedung Lainnya</t>
        </is>
      </c>
      <c r="N53" t="inlineStr">
        <is>
          <t>K</t>
        </is>
      </c>
      <c r="O53" t="inlineStr">
        <is>
          <t>20230724</t>
        </is>
      </c>
      <c r="P53" t="inlineStr">
        <is>
          <t>Sumatera Utara</t>
        </is>
      </c>
      <c r="Q53" t="inlineStr"/>
    </row>
    <row r="54">
      <c r="A54" t="inlineStr">
        <is>
          <t>INTAN MULYA</t>
        </is>
      </c>
      <c r="B54" t="inlineStr">
        <is>
          <t>Kab. Magetan</t>
        </is>
      </c>
      <c r="C54" t="inlineStr">
        <is>
          <t>081235367250</t>
        </is>
      </c>
      <c r="D54" t="inlineStr">
        <is>
          <t>int.mulya@gmail.com</t>
        </is>
      </c>
      <c r="E54" t="inlineStr">
        <is>
          <t>https://lpjk.pu.go.id/search-badan-usaha-detail/bWt1aHpsZm4zeTN1eVIvSTFaM285dz09</t>
        </is>
      </c>
      <c r="F54" t="n">
        <v>2</v>
      </c>
      <c r="G54" t="inlineStr">
        <is>
          <t>RK001, RK002</t>
        </is>
      </c>
      <c r="H54" t="inlineStr">
        <is>
          <t>19 Oktober 2021</t>
        </is>
      </c>
      <c r="I54" s="2" t="n">
        <v>46226</v>
      </c>
      <c r="J54" t="inlineStr">
        <is>
          <t>Disetujui, Pencabutan</t>
        </is>
      </c>
      <c r="K54" t="n">
        <v>30</v>
      </c>
      <c r="L54" t="inlineStr">
        <is>
          <t>23 Juli 2026</t>
        </is>
      </c>
      <c r="M54" t="inlineStr">
        <is>
          <t>Jasa Rekayasa Konstruksi Bangunan Gedung Hunian dan Non Hunian, Jasa Rekayasa Pekerjaan Teknik Sipil Sumber Daya Air</t>
        </is>
      </c>
      <c r="N54" t="inlineStr">
        <is>
          <t>K</t>
        </is>
      </c>
      <c r="O54" t="inlineStr">
        <is>
          <t>20230714</t>
        </is>
      </c>
      <c r="P54" t="inlineStr">
        <is>
          <t>Jawa Timur</t>
        </is>
      </c>
      <c r="Q54" t="inlineStr"/>
    </row>
    <row r="55">
      <c r="A55" t="inlineStr">
        <is>
          <t>INTI JAWA TEKNIK</t>
        </is>
      </c>
      <c r="B55" t="inlineStr">
        <is>
          <t>Kab. Jombang</t>
        </is>
      </c>
      <c r="C55" t="inlineStr">
        <is>
          <t>0321493687</t>
        </is>
      </c>
      <c r="D55" t="inlineStr">
        <is>
          <t>intijawa@gmail.com</t>
        </is>
      </c>
      <c r="E55" t="inlineStr">
        <is>
          <t>https://lpjk.pu.go.id/search-badan-usaha-detail/RUIxKzc0eGt1Q3ZUMS82c0dIcHQ3dz09</t>
        </is>
      </c>
      <c r="F55" t="n">
        <v>1</v>
      </c>
      <c r="G55" t="inlineStr">
        <is>
          <t>BS001</t>
        </is>
      </c>
      <c r="H55" t="inlineStr">
        <is>
          <t>12 Maret 2014</t>
        </is>
      </c>
      <c r="I55" s="2" t="n">
        <v>46226</v>
      </c>
      <c r="J55" t="inlineStr">
        <is>
          <t>Disetujui</t>
        </is>
      </c>
      <c r="K55" t="n">
        <v>30</v>
      </c>
      <c r="L55" t="inlineStr">
        <is>
          <t>23 Juli 2026</t>
        </is>
      </c>
      <c r="M55" t="inlineStr">
        <is>
          <t>Konstruksi Bangunan Sipil Jalan</t>
        </is>
      </c>
      <c r="N55" t="inlineStr">
        <is>
          <t>M</t>
        </is>
      </c>
      <c r="O55" t="inlineStr">
        <is>
          <t>20230720</t>
        </is>
      </c>
      <c r="P55" t="inlineStr">
        <is>
          <t>Jawa Timur</t>
        </is>
      </c>
      <c r="Q55" t="inlineStr"/>
    </row>
    <row r="56">
      <c r="A56" t="inlineStr">
        <is>
          <t>ISTANA MAJU BERSAMA</t>
        </is>
      </c>
      <c r="B56" t="inlineStr">
        <is>
          <t>Kab. Purwakarta</t>
        </is>
      </c>
      <c r="C56" t="inlineStr">
        <is>
          <t>081290075798</t>
        </is>
      </c>
      <c r="D56" t="inlineStr">
        <is>
          <t>istanamajubersama.pt@gmail.com</t>
        </is>
      </c>
      <c r="E56" t="inlineStr">
        <is>
          <t>https://lpjk.pu.go.id/search-badan-usaha-detail/enZUdHhjcTB3L1hsQlJjam5YSmJVQT09</t>
        </is>
      </c>
      <c r="F56" t="n">
        <v>6</v>
      </c>
      <c r="G56" t="inlineStr">
        <is>
          <t>BG002, BG005, BG006, BG009, BS001, BS004</t>
        </is>
      </c>
      <c r="H56" t="inlineStr">
        <is>
          <t>17 September 2019</t>
        </is>
      </c>
      <c r="I56" s="2" t="n">
        <v>46226</v>
      </c>
      <c r="J56" t="inlineStr">
        <is>
          <t>Disetujui</t>
        </is>
      </c>
      <c r="K56" t="n">
        <v>30</v>
      </c>
      <c r="L56" t="inlineStr">
        <is>
          <t>23 Juli 2026</t>
        </is>
      </c>
      <c r="M56" t="inlineStr">
        <is>
          <t>Konstruksi Bangunan Sipil Jalan, Konstruksi Gedung Kesehatan, Konstruksi Gedung Lainnya, Konstruksi Gedung Pendidikan, Konstruksi Gedung Perkantoran, Konstruksi Jaringan Irigasi dan Drainase</t>
        </is>
      </c>
      <c r="N56" t="inlineStr">
        <is>
          <t>K</t>
        </is>
      </c>
      <c r="O56" t="inlineStr">
        <is>
          <t>20230718</t>
        </is>
      </c>
      <c r="P56" t="inlineStr">
        <is>
          <t>Jawa Barat</t>
        </is>
      </c>
      <c r="Q56" t="inlineStr"/>
    </row>
    <row r="57">
      <c r="A57" t="inlineStr">
        <is>
          <t>JAVA SENTOSA GROUP</t>
        </is>
      </c>
      <c r="B57" t="inlineStr">
        <is>
          <t>Kab. Tuban</t>
        </is>
      </c>
      <c r="C57" t="inlineStr">
        <is>
          <t>082142234537</t>
        </is>
      </c>
      <c r="D57" t="inlineStr">
        <is>
          <t>ptjavasentosagroup@gmail.com</t>
        </is>
      </c>
      <c r="E57" t="inlineStr">
        <is>
          <t>https://lpjk.pu.go.id/search-badan-usaha-detail/b0Y5cTVzejhhVmpuTmxUZ2I4bjI1Zz09</t>
        </is>
      </c>
      <c r="F57" t="n">
        <v>4</v>
      </c>
      <c r="G57" t="inlineStr">
        <is>
          <t>BG005, BG006, BG009, BS001</t>
        </is>
      </c>
      <c r="H57" t="inlineStr">
        <is>
          <t>15 Maret 2021</t>
        </is>
      </c>
      <c r="I57" s="2" t="n">
        <v>46226</v>
      </c>
      <c r="J57" t="inlineStr">
        <is>
          <t>Disetujui</t>
        </is>
      </c>
      <c r="K57" t="n">
        <v>30</v>
      </c>
      <c r="L57" t="inlineStr">
        <is>
          <t>23 Juli 2026</t>
        </is>
      </c>
      <c r="M57" t="inlineStr">
        <is>
          <t>Konstruksi Bangunan Sipil Jalan, Konstruksi Gedung Kesehatan, Konstruksi Gedung Lainnya, Konstruksi Gedung Pendidikan</t>
        </is>
      </c>
      <c r="N57" t="inlineStr">
        <is>
          <t>K</t>
        </is>
      </c>
      <c r="O57" t="inlineStr">
        <is>
          <t>20230720</t>
        </is>
      </c>
      <c r="P57" t="inlineStr">
        <is>
          <t>Jawa Timur</t>
        </is>
      </c>
      <c r="Q57" t="inlineStr"/>
    </row>
    <row r="58">
      <c r="A58" t="inlineStr">
        <is>
          <t>JAYABAYA</t>
        </is>
      </c>
      <c r="B58" t="inlineStr">
        <is>
          <t>Kab. Kudus</t>
        </is>
      </c>
      <c r="C58" t="inlineStr">
        <is>
          <t>085225273088</t>
        </is>
      </c>
      <c r="D58" t="inlineStr">
        <is>
          <t>jayabaya.cv14@gmail.com</t>
        </is>
      </c>
      <c r="E58" t="inlineStr">
        <is>
          <t>https://lpjk.pu.go.id/search-badan-usaha-detail/OTYzM29nVExzM0NDMGFES0lnaHp6dz09</t>
        </is>
      </c>
      <c r="F58" t="n">
        <v>3</v>
      </c>
      <c r="G58" t="inlineStr">
        <is>
          <t>BG002, BG003, BS004</t>
        </is>
      </c>
      <c r="H58" t="inlineStr">
        <is>
          <t>26 Maret 2014</t>
        </is>
      </c>
      <c r="I58" s="2" t="n">
        <v>46226</v>
      </c>
      <c r="J58" t="inlineStr">
        <is>
          <t>Disetujui</t>
        </is>
      </c>
      <c r="K58" t="n">
        <v>30</v>
      </c>
      <c r="L58" t="inlineStr">
        <is>
          <t>23 Juli 2026</t>
        </is>
      </c>
      <c r="M58" t="inlineStr">
        <is>
          <t>Konstruksi Gedung Industri, Konstruksi Gedung Perkantoran, Konstruksi Jaringan Irigasi dan Drainase</t>
        </is>
      </c>
      <c r="N58" t="inlineStr">
        <is>
          <t>K</t>
        </is>
      </c>
      <c r="O58" t="inlineStr">
        <is>
          <t>20230719</t>
        </is>
      </c>
      <c r="P58" t="inlineStr">
        <is>
          <t>Jawa Tengah</t>
        </is>
      </c>
      <c r="Q58" t="inlineStr"/>
    </row>
    <row r="59">
      <c r="A59" t="inlineStr">
        <is>
          <t>KARISMA SEJAHTERA</t>
        </is>
      </c>
      <c r="B59" t="inlineStr">
        <is>
          <t>Kota Bitung</t>
        </is>
      </c>
      <c r="C59" t="inlineStr">
        <is>
          <t>082189262726</t>
        </is>
      </c>
      <c r="D59" t="inlineStr">
        <is>
          <t>karismasejahtera23@gmail.com</t>
        </is>
      </c>
      <c r="E59" t="inlineStr">
        <is>
          <t>https://lpjk.pu.go.id/search-badan-usaha-detail/MDVIclNpWk1oUFpUUUZORGhNb0dwdz09</t>
        </is>
      </c>
      <c r="F59" t="n">
        <v>4</v>
      </c>
      <c r="G59" t="inlineStr">
        <is>
          <t>BG002, BG006, BG008, BG009</t>
        </is>
      </c>
      <c r="H59" t="inlineStr">
        <is>
          <t>20 Januari 2023</t>
        </is>
      </c>
      <c r="I59" s="2" t="n">
        <v>46226</v>
      </c>
      <c r="J59" t="inlineStr">
        <is>
          <t>Disetujui</t>
        </is>
      </c>
      <c r="K59" t="n">
        <v>30</v>
      </c>
      <c r="L59" t="inlineStr">
        <is>
          <t>23 Juli 2026</t>
        </is>
      </c>
      <c r="M59" t="inlineStr">
        <is>
          <t>Konstruksi Gedung Lainnya, Konstruksi Gedung Pendidikan, Konstruksi Gedung Perkantoran, Konstruksi Gedung Tempat Hiburan dan Olahraga</t>
        </is>
      </c>
      <c r="N59" t="inlineStr">
        <is>
          <t>K</t>
        </is>
      </c>
      <c r="O59" t="inlineStr">
        <is>
          <t>20230718, 20230720</t>
        </is>
      </c>
      <c r="P59" t="inlineStr">
        <is>
          <t>Sulawesi Utara</t>
        </is>
      </c>
      <c r="Q59" t="inlineStr"/>
    </row>
    <row r="60">
      <c r="A60" t="inlineStr">
        <is>
          <t>KARSA PRABALA</t>
        </is>
      </c>
      <c r="B60" t="inlineStr">
        <is>
          <t>Kota Adm. Jakarta Selatan</t>
        </is>
      </c>
      <c r="C60" t="inlineStr">
        <is>
          <t>0217397460</t>
        </is>
      </c>
      <c r="D60" t="inlineStr">
        <is>
          <t>info@karsaprabala.com</t>
        </is>
      </c>
      <c r="E60" t="inlineStr">
        <is>
          <t>https://lpjk.pu.go.id/search-badan-usaha-detail/MXpvSHlWOFVLcUpJSVpKVU55Smh0UT09</t>
        </is>
      </c>
      <c r="F60" t="n">
        <v>1</v>
      </c>
      <c r="G60" t="inlineStr">
        <is>
          <t>BG008</t>
        </is>
      </c>
      <c r="H60" t="inlineStr">
        <is>
          <t>11 Februari 2012</t>
        </is>
      </c>
      <c r="I60" s="2" t="n">
        <v>46226</v>
      </c>
      <c r="J60" t="inlineStr">
        <is>
          <t>Pencabutan</t>
        </is>
      </c>
      <c r="K60" t="n">
        <v>30</v>
      </c>
      <c r="L60" t="inlineStr">
        <is>
          <t>23 Juli 2026</t>
        </is>
      </c>
      <c r="M60" t="inlineStr">
        <is>
          <t>Konstruksi Gedung Tempat Hiburan dan Olahraga</t>
        </is>
      </c>
      <c r="N60" t="inlineStr">
        <is>
          <t>K</t>
        </is>
      </c>
      <c r="O60" t="inlineStr">
        <is>
          <t>20230713</t>
        </is>
      </c>
      <c r="P60" t="inlineStr">
        <is>
          <t>DKI Jakarta</t>
        </is>
      </c>
      <c r="Q60" t="inlineStr"/>
    </row>
    <row r="61">
      <c r="A61" t="inlineStr">
        <is>
          <t>KARYA ANAK BANGSA</t>
        </is>
      </c>
      <c r="B61" t="inlineStr">
        <is>
          <t>Kab. Kutai Timur</t>
        </is>
      </c>
      <c r="C61" t="inlineStr">
        <is>
          <t>08115818802</t>
        </is>
      </c>
      <c r="D61" t="inlineStr">
        <is>
          <t>cv.karyaanakbangsa96@gmail.com</t>
        </is>
      </c>
      <c r="E61" t="inlineStr">
        <is>
          <t>https://lpjk.pu.go.id/search-badan-usaha-detail/STFTTmNaRmlic01qRUY5V3VhZmhoUT09</t>
        </is>
      </c>
      <c r="F61" t="n">
        <v>1</v>
      </c>
      <c r="G61" t="inlineStr">
        <is>
          <t>BS001</t>
        </is>
      </c>
      <c r="H61" t="inlineStr">
        <is>
          <t>2 Mei 2014</t>
        </is>
      </c>
      <c r="I61" s="2" t="n">
        <v>46226</v>
      </c>
      <c r="J61" t="inlineStr">
        <is>
          <t>Disetujui</t>
        </is>
      </c>
      <c r="K61" t="n">
        <v>30</v>
      </c>
      <c r="L61" t="inlineStr">
        <is>
          <t>23 Juli 2026</t>
        </is>
      </c>
      <c r="M61" t="inlineStr">
        <is>
          <t>Konstruksi Bangunan Sipil Jalan</t>
        </is>
      </c>
      <c r="N61" t="inlineStr">
        <is>
          <t>K</t>
        </is>
      </c>
      <c r="O61" t="inlineStr">
        <is>
          <t>20230724</t>
        </is>
      </c>
      <c r="P61" t="inlineStr">
        <is>
          <t>Kalimantan Timur</t>
        </is>
      </c>
      <c r="Q61" t="inlineStr"/>
    </row>
    <row r="62">
      <c r="A62" t="inlineStr">
        <is>
          <t>KARYA ATTALA</t>
        </is>
      </c>
      <c r="B62" t="inlineStr">
        <is>
          <t>Kota Samarinda</t>
        </is>
      </c>
      <c r="C62" t="inlineStr">
        <is>
          <t>0815538666</t>
        </is>
      </c>
      <c r="D62" t="inlineStr">
        <is>
          <t>attala.karya15@gmail.com</t>
        </is>
      </c>
      <c r="E62" t="inlineStr">
        <is>
          <t>https://lpjk.pu.go.id/search-badan-usaha-detail/UG9XOTBpd0tQRXB2bDYyYmVlU3JNQT09</t>
        </is>
      </c>
      <c r="F62" t="n">
        <v>4</v>
      </c>
      <c r="G62" t="inlineStr">
        <is>
          <t>BG005, BG006, BG009, BS001</t>
        </is>
      </c>
      <c r="H62" t="inlineStr">
        <is>
          <t>29 Juli 2021</t>
        </is>
      </c>
      <c r="I62" s="2" t="n">
        <v>46226</v>
      </c>
      <c r="J62" t="inlineStr">
        <is>
          <t>Pencabutan</t>
        </is>
      </c>
      <c r="K62" t="n">
        <v>30</v>
      </c>
      <c r="L62" t="inlineStr">
        <is>
          <t>23 Juli 2026</t>
        </is>
      </c>
      <c r="M62" t="inlineStr">
        <is>
          <t>Konstruksi Bangunan Sipil Jalan, Konstruksi Gedung Kesehatan, Konstruksi Gedung Lainnya, Konstruksi Gedung Pendidikan</t>
        </is>
      </c>
      <c r="N62" t="inlineStr">
        <is>
          <t>K</t>
        </is>
      </c>
      <c r="O62" t="inlineStr">
        <is>
          <t>20230724</t>
        </is>
      </c>
      <c r="P62" t="inlineStr">
        <is>
          <t>Kalimantan Timur</t>
        </is>
      </c>
      <c r="Q62" t="inlineStr"/>
    </row>
    <row r="63">
      <c r="A63" t="inlineStr">
        <is>
          <t>KARYA GHANIYYAH KONSTRUKSI</t>
        </is>
      </c>
      <c r="B63" t="inlineStr">
        <is>
          <t>Kota Kendari</t>
        </is>
      </c>
      <c r="C63" t="inlineStr">
        <is>
          <t>08114080326</t>
        </is>
      </c>
      <c r="D63" t="inlineStr">
        <is>
          <t>CV.KaryaGhaniyyahKonstruksi@gmail.com</t>
        </is>
      </c>
      <c r="E63" t="inlineStr">
        <is>
          <t>https://lpjk.pu.go.id/search-badan-usaha-detail/UHdXbG9JNjVydys2MU0xaUdEOFhoUT09</t>
        </is>
      </c>
      <c r="F63" t="n">
        <v>3</v>
      </c>
      <c r="G63" t="inlineStr">
        <is>
          <t>BG002, BG005, BG006</t>
        </is>
      </c>
      <c r="H63" t="inlineStr">
        <is>
          <t>27 Juni 2023</t>
        </is>
      </c>
      <c r="I63" s="2" t="n">
        <v>46226</v>
      </c>
      <c r="J63" t="inlineStr">
        <is>
          <t>Pencabutan</t>
        </is>
      </c>
      <c r="K63" t="n">
        <v>30</v>
      </c>
      <c r="L63" t="inlineStr">
        <is>
          <t>23 Juli 2026</t>
        </is>
      </c>
      <c r="M63" t="inlineStr">
        <is>
          <t>Konstruksi Gedung Kesehatan, Konstruksi Gedung Pendidikan, Konstruksi Gedung Perkantoran</t>
        </is>
      </c>
      <c r="N63" t="inlineStr">
        <is>
          <t>K</t>
        </is>
      </c>
      <c r="O63" t="inlineStr">
        <is>
          <t>20230722, 20230723</t>
        </is>
      </c>
      <c r="P63" t="inlineStr">
        <is>
          <t>Sulawesi Tenggara</t>
        </is>
      </c>
      <c r="Q63" t="inlineStr"/>
    </row>
    <row r="64">
      <c r="A64" t="inlineStr">
        <is>
          <t>KARYA MANDIRI PARAHYANGAN</t>
        </is>
      </c>
      <c r="B64" t="inlineStr">
        <is>
          <t>Kota Bandung</t>
        </is>
      </c>
      <c r="C64" t="inlineStr">
        <is>
          <t>-</t>
        </is>
      </c>
      <c r="D64" t="inlineStr">
        <is>
          <t>cv.karyamandiriparahyangan@gmail.com</t>
        </is>
      </c>
      <c r="E64" t="inlineStr">
        <is>
          <t>https://lpjk.pu.go.id/search-badan-usaha-detail/ZE5KaWNUSWRYd2FjL3E4ckxyVUJEdz09</t>
        </is>
      </c>
      <c r="F64" t="n">
        <v>1</v>
      </c>
      <c r="G64" t="inlineStr">
        <is>
          <t>BG006</t>
        </is>
      </c>
      <c r="H64" t="inlineStr">
        <is>
          <t>21 Februari 2015</t>
        </is>
      </c>
      <c r="I64" s="2" t="n">
        <v>46226</v>
      </c>
      <c r="J64" t="inlineStr">
        <is>
          <t>Pencabutan</t>
        </is>
      </c>
      <c r="K64" t="n">
        <v>30</v>
      </c>
      <c r="L64" t="inlineStr">
        <is>
          <t>23 Juli 2026</t>
        </is>
      </c>
      <c r="M64" t="inlineStr">
        <is>
          <t>Konstruksi Gedung Pendidikan</t>
        </is>
      </c>
      <c r="N64" t="inlineStr">
        <is>
          <t>K</t>
        </is>
      </c>
      <c r="O64" t="inlineStr">
        <is>
          <t>20230724</t>
        </is>
      </c>
      <c r="P64" t="inlineStr">
        <is>
          <t>Jawa Barat</t>
        </is>
      </c>
      <c r="Q64" t="inlineStr"/>
    </row>
    <row r="65">
      <c r="A65" t="inlineStr">
        <is>
          <t>KARYA MANFAAT</t>
        </is>
      </c>
      <c r="B65" t="inlineStr">
        <is>
          <t>Kab. Demak</t>
        </is>
      </c>
      <c r="C65" t="inlineStr">
        <is>
          <t>081228985503</t>
        </is>
      </c>
      <c r="D65" t="inlineStr">
        <is>
          <t>cvkaryamanfaat@gmail.com</t>
        </is>
      </c>
      <c r="E65" t="inlineStr">
        <is>
          <t>https://lpjk.pu.go.id/search-badan-usaha-detail/V1JkOGw4bVpmaEtqYXZJOWZvUlFXdz09</t>
        </is>
      </c>
      <c r="F65" t="n">
        <v>1</v>
      </c>
      <c r="G65" t="inlineStr">
        <is>
          <t>BS001</t>
        </is>
      </c>
      <c r="H65" t="inlineStr">
        <is>
          <t>11 Maret 2023</t>
        </is>
      </c>
      <c r="I65" s="2" t="n">
        <v>46226</v>
      </c>
      <c r="J65" t="inlineStr">
        <is>
          <t>Disetujui</t>
        </is>
      </c>
      <c r="K65" t="n">
        <v>30</v>
      </c>
      <c r="L65" t="inlineStr">
        <is>
          <t>23 Juli 2026</t>
        </is>
      </c>
      <c r="M65" t="inlineStr">
        <is>
          <t>Konstruksi Bangunan Sipil Jalan</t>
        </is>
      </c>
      <c r="N65" t="inlineStr">
        <is>
          <t>K</t>
        </is>
      </c>
      <c r="O65" t="inlineStr">
        <is>
          <t>20230723</t>
        </is>
      </c>
      <c r="P65" t="inlineStr">
        <is>
          <t>Jawa Tengah</t>
        </is>
      </c>
      <c r="Q65" t="inlineStr"/>
    </row>
    <row r="66">
      <c r="A66" t="inlineStr">
        <is>
          <t>KARYA WARDANA</t>
        </is>
      </c>
      <c r="B66" t="inlineStr">
        <is>
          <t>Kab. Karangasem</t>
        </is>
      </c>
      <c r="C66" t="inlineStr">
        <is>
          <t>08123956392</t>
        </is>
      </c>
      <c r="D66" t="inlineStr">
        <is>
          <t>cvkaryawardana@gmail.com</t>
        </is>
      </c>
      <c r="E66" t="inlineStr">
        <is>
          <t>https://lpjk.pu.go.id/search-badan-usaha-detail/Yks2WGhEWEN5OFBaTVpLdFBzVWNRdz09</t>
        </is>
      </c>
      <c r="F66" t="n">
        <v>1</v>
      </c>
      <c r="G66" t="inlineStr">
        <is>
          <t>BS004</t>
        </is>
      </c>
      <c r="H66" t="inlineStr">
        <is>
          <t>9 Oktober 2001</t>
        </is>
      </c>
      <c r="I66" s="2" t="n">
        <v>46226</v>
      </c>
      <c r="J66" t="inlineStr">
        <is>
          <t>Disetujui</t>
        </is>
      </c>
      <c r="K66" t="n">
        <v>30</v>
      </c>
      <c r="L66" t="inlineStr">
        <is>
          <t>23 Juli 2026</t>
        </is>
      </c>
      <c r="M66" t="inlineStr">
        <is>
          <t>Konstruksi Jaringan Irigasi dan Drainase</t>
        </is>
      </c>
      <c r="N66" t="inlineStr">
        <is>
          <t>K</t>
        </is>
      </c>
      <c r="O66" t="inlineStr">
        <is>
          <t>20230718</t>
        </is>
      </c>
      <c r="P66" t="inlineStr">
        <is>
          <t>Bali</t>
        </is>
      </c>
      <c r="Q66" t="inlineStr"/>
    </row>
    <row r="67">
      <c r="A67" t="inlineStr">
        <is>
          <t>KAWANINDO MENTARI ABADI</t>
        </is>
      </c>
      <c r="B67" t="inlineStr">
        <is>
          <t>Kota Tangerang Selatan</t>
        </is>
      </c>
      <c r="C67" t="inlineStr">
        <is>
          <t>0217414018</t>
        </is>
      </c>
      <c r="D67" t="inlineStr">
        <is>
          <t>kawanindo.mentari@gmail.com</t>
        </is>
      </c>
      <c r="E67" t="inlineStr">
        <is>
          <t>https://lpjk.pu.go.id/search-badan-usaha-detail/SERpMFpvSGJybVNscGRaSWhnK2JvQT09</t>
        </is>
      </c>
      <c r="F67" t="n">
        <v>9</v>
      </c>
      <c r="G67" t="inlineStr">
        <is>
          <t>BG006, BG009, BS004</t>
        </is>
      </c>
      <c r="H67" t="inlineStr">
        <is>
          <t>6 September 2018</t>
        </is>
      </c>
      <c r="I67" s="2" t="n">
        <v>46226</v>
      </c>
      <c r="J67" t="inlineStr">
        <is>
          <t>Disetujui</t>
        </is>
      </c>
      <c r="K67" t="n">
        <v>30</v>
      </c>
      <c r="L67" t="inlineStr">
        <is>
          <t>23 Juli 2026</t>
        </is>
      </c>
      <c r="M67" t="inlineStr">
        <is>
          <t>Konstruksi Gedung Lainnya, Konstruksi Gedung Pendidikan, Konstruksi Jaringan Irigasi dan Drainase</t>
        </is>
      </c>
      <c r="N67" t="inlineStr">
        <is>
          <t>K</t>
        </is>
      </c>
      <c r="O67" t="inlineStr">
        <is>
          <t>20230722</t>
        </is>
      </c>
      <c r="P67" t="inlineStr">
        <is>
          <t>Banten</t>
        </is>
      </c>
      <c r="Q67" t="inlineStr"/>
    </row>
    <row r="68">
      <c r="A68" t="inlineStr">
        <is>
          <t>KIA ANUGRAH</t>
        </is>
      </c>
      <c r="B68" t="inlineStr">
        <is>
          <t>Kab. Lombok Tengah</t>
        </is>
      </c>
      <c r="C68" t="inlineStr">
        <is>
          <t>087865844463</t>
        </is>
      </c>
      <c r="D68" t="inlineStr">
        <is>
          <t>kiaanugerah64@gmail.com</t>
        </is>
      </c>
      <c r="E68" t="inlineStr">
        <is>
          <t>https://lpjk.pu.go.id/search-badan-usaha-detail/eVNuTzlPOEY5bms4U24yMXVpZndydz09</t>
        </is>
      </c>
      <c r="F68" t="n">
        <v>1</v>
      </c>
      <c r="G68" t="inlineStr">
        <is>
          <t>BS001</t>
        </is>
      </c>
      <c r="H68" t="inlineStr">
        <is>
          <t>22 Juni 2012</t>
        </is>
      </c>
      <c r="I68" s="2" t="n">
        <v>46226</v>
      </c>
      <c r="J68" t="inlineStr">
        <is>
          <t>Disetujui</t>
        </is>
      </c>
      <c r="K68" t="n">
        <v>30</v>
      </c>
      <c r="L68" t="inlineStr">
        <is>
          <t>23 Juli 2026</t>
        </is>
      </c>
      <c r="M68" t="inlineStr">
        <is>
          <t>Konstruksi Bangunan Sipil Jalan</t>
        </is>
      </c>
      <c r="N68" t="inlineStr">
        <is>
          <t>K</t>
        </is>
      </c>
      <c r="O68" t="inlineStr">
        <is>
          <t>20230627</t>
        </is>
      </c>
      <c r="P68" t="inlineStr">
        <is>
          <t>Nusa Tenggara Barat</t>
        </is>
      </c>
      <c r="Q68" t="inlineStr"/>
    </row>
    <row r="69">
      <c r="A69" t="inlineStr">
        <is>
          <t>KOKOH CONTRACTOR INDONESIA</t>
        </is>
      </c>
      <c r="B69" t="inlineStr">
        <is>
          <t>Kota Adm. Jakarta Barat</t>
        </is>
      </c>
      <c r="C69" t="inlineStr">
        <is>
          <t>0215680695</t>
        </is>
      </c>
      <c r="D69" t="inlineStr">
        <is>
          <t>kokohcontractorindonesia@gmail.com</t>
        </is>
      </c>
      <c r="E69" t="inlineStr">
        <is>
          <t>https://lpjk.pu.go.id/search-badan-usaha-detail/K1V4cmdKWTlxVnJ6MEVGeXYzZDkwZz09</t>
        </is>
      </c>
      <c r="F69" t="n">
        <v>1</v>
      </c>
      <c r="G69" t="inlineStr">
        <is>
          <t>KP001</t>
        </is>
      </c>
      <c r="H69" t="inlineStr">
        <is>
          <t>15 Agustus 2005</t>
        </is>
      </c>
      <c r="I69" s="2" t="n">
        <v>46226</v>
      </c>
      <c r="J69" t="inlineStr">
        <is>
          <t>Pembekuan</t>
        </is>
      </c>
      <c r="K69" t="n">
        <v>30</v>
      </c>
      <c r="L69" t="inlineStr">
        <is>
          <t>23 Juli 2026</t>
        </is>
      </c>
      <c r="M69" t="inlineStr">
        <is>
          <t>Pekerjaan Konstruksi Prapabrikasi Bangunan Gedung</t>
        </is>
      </c>
      <c r="N69" t="inlineStr">
        <is>
          <t>Spesialis</t>
        </is>
      </c>
      <c r="O69" t="inlineStr">
        <is>
          <t>20230721</t>
        </is>
      </c>
      <c r="P69" t="inlineStr">
        <is>
          <t>DKI Jakarta</t>
        </is>
      </c>
      <c r="Q69" t="inlineStr"/>
    </row>
    <row r="70">
      <c r="A70" t="inlineStr">
        <is>
          <t>KREASINDO PUTRA NIKAN</t>
        </is>
      </c>
      <c r="B70" t="inlineStr">
        <is>
          <t>Kab. Ogan Komering Ilir</t>
        </is>
      </c>
      <c r="C70" t="inlineStr">
        <is>
          <t>081271365854</t>
        </is>
      </c>
      <c r="D70" t="inlineStr">
        <is>
          <t>kreasindoputranikan88@gmail.com</t>
        </is>
      </c>
      <c r="E70" t="inlineStr">
        <is>
          <t>https://lpjk.pu.go.id/search-badan-usaha-detail/ZnoxaGxFNlZKOTd2Z2thZEFvNDYzZz09</t>
        </is>
      </c>
      <c r="F70" t="n">
        <v>2</v>
      </c>
      <c r="G70" t="inlineStr">
        <is>
          <t>BS004</t>
        </is>
      </c>
      <c r="H70" t="inlineStr">
        <is>
          <t>15 Januari 2020</t>
        </is>
      </c>
      <c r="I70" s="2" t="n">
        <v>46226</v>
      </c>
      <c r="J70" t="inlineStr">
        <is>
          <t>Disetujui</t>
        </is>
      </c>
      <c r="K70" t="n">
        <v>30</v>
      </c>
      <c r="L70" t="inlineStr">
        <is>
          <t>23 Juli 2026</t>
        </is>
      </c>
      <c r="M70" t="inlineStr">
        <is>
          <t>Konstruksi Jaringan Irigasi dan Drainase</t>
        </is>
      </c>
      <c r="N70" t="inlineStr">
        <is>
          <t>K</t>
        </is>
      </c>
      <c r="O70" t="inlineStr">
        <is>
          <t>20230724</t>
        </is>
      </c>
      <c r="P70" t="inlineStr">
        <is>
          <t>Sumatera Selatan</t>
        </is>
      </c>
      <c r="Q70" t="inlineStr"/>
    </row>
    <row r="71">
      <c r="A71" t="inlineStr">
        <is>
          <t>KUALA PERSADA PAPUA NUSANTARA</t>
        </is>
      </c>
      <c r="B71" t="inlineStr">
        <is>
          <t>Kab. Mimika</t>
        </is>
      </c>
      <c r="C71" t="inlineStr">
        <is>
          <t>085241700502</t>
        </is>
      </c>
      <c r="D71" t="inlineStr">
        <is>
          <t>pt.kualapersadapapuanusantara01@gmail.com</t>
        </is>
      </c>
      <c r="E71" t="inlineStr">
        <is>
          <t>https://lpjk.pu.go.id/search-badan-usaha-detail/TTh3YVVBa2pJQmVyQW1KMVdXTm4rZz09</t>
        </is>
      </c>
      <c r="F71" t="n">
        <v>2</v>
      </c>
      <c r="G71" t="inlineStr">
        <is>
          <t>BG003, BG009</t>
        </is>
      </c>
      <c r="H71" t="inlineStr">
        <is>
          <t>4 November 2004</t>
        </is>
      </c>
      <c r="I71" s="2" t="n">
        <v>46226</v>
      </c>
      <c r="J71" t="inlineStr">
        <is>
          <t>Pembekuan</t>
        </is>
      </c>
      <c r="K71" t="n">
        <v>30</v>
      </c>
      <c r="L71" t="inlineStr">
        <is>
          <t>23 Juli 2026</t>
        </is>
      </c>
      <c r="M71" t="inlineStr">
        <is>
          <t>Konstruksi Gedung Industri, Konstruksi Gedung Lainnya</t>
        </is>
      </c>
      <c r="N71" t="inlineStr">
        <is>
          <t>M</t>
        </is>
      </c>
      <c r="O71" t="inlineStr">
        <is>
          <t>20230721, 20230724</t>
        </is>
      </c>
      <c r="P71" t="inlineStr">
        <is>
          <t>Papua</t>
        </is>
      </c>
      <c r="Q71" t="inlineStr"/>
    </row>
    <row r="72">
      <c r="A72" t="inlineStr">
        <is>
          <t>LIMA BERSAUDARA CONTRAKTOR</t>
        </is>
      </c>
      <c r="B72" t="inlineStr">
        <is>
          <t>Kab. Serang</t>
        </is>
      </c>
      <c r="C72" t="inlineStr">
        <is>
          <t>081585660970</t>
        </is>
      </c>
      <c r="D72" t="inlineStr">
        <is>
          <t>lsbubanten@gmail.com</t>
        </is>
      </c>
      <c r="E72" t="inlineStr">
        <is>
          <t>https://lpjk.pu.go.id/search-badan-usaha-detail/b0lKUDZRMmNFenBCbktiajlUS29JZz09</t>
        </is>
      </c>
      <c r="F72" t="n">
        <v>1</v>
      </c>
      <c r="G72" t="inlineStr">
        <is>
          <t>BS004</t>
        </is>
      </c>
      <c r="H72" t="inlineStr">
        <is>
          <t>5 Desember 2022</t>
        </is>
      </c>
      <c r="I72" s="2" t="n">
        <v>46226</v>
      </c>
      <c r="J72" t="inlineStr">
        <is>
          <t>Pencabutan</t>
        </is>
      </c>
      <c r="K72" t="n">
        <v>30</v>
      </c>
      <c r="L72" t="inlineStr">
        <is>
          <t>23 Juli 2026</t>
        </is>
      </c>
      <c r="M72" t="inlineStr">
        <is>
          <t>Konstruksi Jaringan Irigasi dan Drainase</t>
        </is>
      </c>
      <c r="N72" t="inlineStr">
        <is>
          <t>K</t>
        </is>
      </c>
      <c r="O72" t="inlineStr">
        <is>
          <t>20230705</t>
        </is>
      </c>
      <c r="P72" t="inlineStr">
        <is>
          <t>Banten</t>
        </is>
      </c>
      <c r="Q72" t="inlineStr"/>
    </row>
    <row r="73">
      <c r="A73" t="inlineStr">
        <is>
          <t>LINTAS SUMBARI</t>
        </is>
      </c>
      <c r="B73" t="inlineStr">
        <is>
          <t>Kab. Lima Puluh Kota</t>
        </is>
      </c>
      <c r="C73" t="inlineStr">
        <is>
          <t>081374150999</t>
        </is>
      </c>
      <c r="D73" t="inlineStr">
        <is>
          <t>sumbarilintas.cv@gmail.com</t>
        </is>
      </c>
      <c r="E73" t="inlineStr">
        <is>
          <t>https://lpjk.pu.go.id/search-badan-usaha-detail/UkV6Q1FQbUlUVVF1MVZnRUMyMEcvdz09</t>
        </is>
      </c>
      <c r="F73" t="n">
        <v>2</v>
      </c>
      <c r="G73" t="inlineStr">
        <is>
          <t>BS001, BS004</t>
        </is>
      </c>
      <c r="H73" t="inlineStr">
        <is>
          <t>11 Maret 2014</t>
        </is>
      </c>
      <c r="I73" s="2" t="n">
        <v>46226</v>
      </c>
      <c r="J73" t="inlineStr">
        <is>
          <t>Disetujui</t>
        </is>
      </c>
      <c r="K73" t="n">
        <v>30</v>
      </c>
      <c r="L73" t="inlineStr">
        <is>
          <t>23 Juli 2026</t>
        </is>
      </c>
      <c r="M73" t="inlineStr">
        <is>
          <t>Konstruksi Bangunan Sipil Jalan, Konstruksi Jaringan Irigasi dan Drainase</t>
        </is>
      </c>
      <c r="N73" t="inlineStr">
        <is>
          <t>K</t>
        </is>
      </c>
      <c r="O73" t="inlineStr">
        <is>
          <t>20230721</t>
        </is>
      </c>
      <c r="P73" t="inlineStr">
        <is>
          <t>Sumatera Barat</t>
        </is>
      </c>
      <c r="Q73" t="inlineStr"/>
    </row>
    <row r="74">
      <c r="A74" t="inlineStr">
        <is>
          <t>LUMBUNG REZEKI</t>
        </is>
      </c>
      <c r="B74" t="inlineStr">
        <is>
          <t>Kota Samarinda</t>
        </is>
      </c>
      <c r="C74" t="inlineStr">
        <is>
          <t>085250837000</t>
        </is>
      </c>
      <c r="D74" t="inlineStr">
        <is>
          <t>rezekilumbung@ymail.com</t>
        </is>
      </c>
      <c r="E74" t="inlineStr">
        <is>
          <t>https://lpjk.pu.go.id/search-badan-usaha-detail/NkRxVkNYZ2FEWDFva3piQ3JET1NHQT09</t>
        </is>
      </c>
      <c r="F74" t="n">
        <v>1</v>
      </c>
      <c r="G74" t="inlineStr">
        <is>
          <t>BG009</t>
        </is>
      </c>
      <c r="H74" t="inlineStr">
        <is>
          <t>1 Februari 2013</t>
        </is>
      </c>
      <c r="I74" s="2" t="n">
        <v>46226</v>
      </c>
      <c r="J74" t="inlineStr">
        <is>
          <t>Disetujui</t>
        </is>
      </c>
      <c r="K74" t="n">
        <v>30</v>
      </c>
      <c r="L74" t="inlineStr">
        <is>
          <t>23 Juli 2026</t>
        </is>
      </c>
      <c r="M74" t="inlineStr">
        <is>
          <t>Konstruksi Gedung Lainnya</t>
        </is>
      </c>
      <c r="N74" t="inlineStr">
        <is>
          <t>K</t>
        </is>
      </c>
      <c r="O74" t="inlineStr">
        <is>
          <t>20230724</t>
        </is>
      </c>
      <c r="P74" t="inlineStr">
        <is>
          <t>Kalimantan Timur</t>
        </is>
      </c>
      <c r="Q74" t="inlineStr"/>
    </row>
    <row r="75">
      <c r="A75" t="inlineStr">
        <is>
          <t>MADANI MITRA MANDIRI</t>
        </is>
      </c>
      <c r="B75" t="inlineStr">
        <is>
          <t>Kab. Morowali Utara</t>
        </is>
      </c>
      <c r="C75" t="inlineStr">
        <is>
          <t>082293972900</t>
        </is>
      </c>
      <c r="D75" t="inlineStr">
        <is>
          <t>Madanimitramandiri610@yahoo.com</t>
        </is>
      </c>
      <c r="E75" t="inlineStr">
        <is>
          <t>https://lpjk.pu.go.id/search-badan-usaha-detail/bDRrVWhFNG9WS3VZYllwTkRyL1NmZz09</t>
        </is>
      </c>
      <c r="F75" t="n">
        <v>3</v>
      </c>
      <c r="G75" t="inlineStr">
        <is>
          <t>BS005</t>
        </is>
      </c>
      <c r="H75" t="inlineStr">
        <is>
          <t>9 September 1999</t>
        </is>
      </c>
      <c r="I75" s="2" t="n">
        <v>46226</v>
      </c>
      <c r="J75" t="inlineStr">
        <is>
          <t>Disetujui</t>
        </is>
      </c>
      <c r="K75" t="n">
        <v>30</v>
      </c>
      <c r="L75" t="inlineStr">
        <is>
          <t>23 Juli 2026</t>
        </is>
      </c>
      <c r="M75" t="inlineStr">
        <is>
          <t>Konstruksi Bangunan Sipil Pengolahan Air Bersih</t>
        </is>
      </c>
      <c r="N75" t="inlineStr">
        <is>
          <t>K</t>
        </is>
      </c>
      <c r="O75" t="inlineStr">
        <is>
          <t>20230719</t>
        </is>
      </c>
      <c r="P75" t="inlineStr">
        <is>
          <t>Sulawesi Tengah</t>
        </is>
      </c>
      <c r="Q75" t="inlineStr"/>
    </row>
    <row r="76">
      <c r="A76" t="inlineStr">
        <is>
          <t>MAFAZA INDO GROUP</t>
        </is>
      </c>
      <c r="B76" t="inlineStr">
        <is>
          <t>Kab. Kayong Utara</t>
        </is>
      </c>
      <c r="C76" t="inlineStr">
        <is>
          <t>082152040809</t>
        </is>
      </c>
      <c r="D76" t="inlineStr">
        <is>
          <t>cv.mafazaindogroup@gmail.com</t>
        </is>
      </c>
      <c r="E76" t="inlineStr">
        <is>
          <t>https://lpjk.pu.go.id/search-badan-usaha-detail/ZUxnd1RUK0tFb3lnalRRN1NFUk9aQT09</t>
        </is>
      </c>
      <c r="F76" t="n">
        <v>3</v>
      </c>
      <c r="G76" t="inlineStr">
        <is>
          <t>RK001, RK002, RK003</t>
        </is>
      </c>
      <c r="H76" t="inlineStr">
        <is>
          <t>29 Juni 2020</t>
        </is>
      </c>
      <c r="I76" s="2" t="n">
        <v>46226</v>
      </c>
      <c r="J76" t="inlineStr">
        <is>
          <t>Disetujui</t>
        </is>
      </c>
      <c r="K76" t="n">
        <v>30</v>
      </c>
      <c r="L76" t="inlineStr">
        <is>
          <t>23 Juli 2026</t>
        </is>
      </c>
      <c r="M76" t="inlineStr">
        <is>
          <t>Jasa Rekayasa Konstruksi Bangunan Gedung Hunian dan Non Hunian, Jasa Rekayasa Pekerjaan Teknik Sipil Sumber Daya Air, Jasa Rekayasa Pekerjaan Teknik Sipil Transportasi</t>
        </is>
      </c>
      <c r="N76" t="inlineStr">
        <is>
          <t>K</t>
        </is>
      </c>
      <c r="O76" t="inlineStr">
        <is>
          <t>20230712</t>
        </is>
      </c>
      <c r="P76" t="inlineStr">
        <is>
          <t>Kalimantan Barat</t>
        </is>
      </c>
      <c r="Q76" t="inlineStr"/>
    </row>
    <row r="77">
      <c r="A77" t="inlineStr">
        <is>
          <t>MEDALI KARYA UTAMA</t>
        </is>
      </c>
      <c r="B77" t="inlineStr">
        <is>
          <t>Kota Palangkaraya</t>
        </is>
      </c>
      <c r="C77" t="inlineStr">
        <is>
          <t>085248915723</t>
        </is>
      </c>
      <c r="D77" t="inlineStr">
        <is>
          <t>medalikaryautama@gmail.com</t>
        </is>
      </c>
      <c r="E77" t="inlineStr">
        <is>
          <t>https://lpjk.pu.go.id/search-badan-usaha-detail/cEp0UWc3SGpIZThlUHZ5WHRBdlh3Zz09</t>
        </is>
      </c>
      <c r="F77" t="n">
        <v>1</v>
      </c>
      <c r="G77" t="inlineStr">
        <is>
          <t>RK003</t>
        </is>
      </c>
      <c r="H77" t="inlineStr">
        <is>
          <t>19 Juni 2023</t>
        </is>
      </c>
      <c r="I77" s="2" t="n">
        <v>46226</v>
      </c>
      <c r="J77" t="inlineStr">
        <is>
          <t>Disetujui</t>
        </is>
      </c>
      <c r="K77" t="n">
        <v>30</v>
      </c>
      <c r="L77" t="inlineStr">
        <is>
          <t>23 Juli 2026</t>
        </is>
      </c>
      <c r="M77" t="inlineStr">
        <is>
          <t>Jasa Rekayasa Pekerjaan Teknik Sipil Transportasi</t>
        </is>
      </c>
      <c r="N77" t="inlineStr">
        <is>
          <t>K</t>
        </is>
      </c>
      <c r="O77" t="inlineStr">
        <is>
          <t>20230710</t>
        </is>
      </c>
      <c r="P77" t="inlineStr">
        <is>
          <t>Kalimantan Tengah</t>
        </is>
      </c>
      <c r="Q77" t="inlineStr"/>
    </row>
    <row r="78">
      <c r="A78" t="inlineStr">
        <is>
          <t>MEGA JAYA BAKTI</t>
        </is>
      </c>
      <c r="B78" t="inlineStr">
        <is>
          <t>Kab. Banggai Laut</t>
        </is>
      </c>
      <c r="C78" t="inlineStr">
        <is>
          <t>082194005878</t>
        </is>
      </c>
      <c r="D78" t="inlineStr">
        <is>
          <t>megajayabakticv@gmail.com</t>
        </is>
      </c>
      <c r="E78" t="inlineStr">
        <is>
          <t>https://lpjk.pu.go.id/search-badan-usaha-detail/dm9iSTNnZWczVENRWDFrRFpRb1p5UT09</t>
        </is>
      </c>
      <c r="F78" t="n">
        <v>5</v>
      </c>
      <c r="G78" t="inlineStr">
        <is>
          <t>BG001, BG002, BG005, BG006, BG009</t>
        </is>
      </c>
      <c r="H78" t="inlineStr">
        <is>
          <t>20 Agustus 2016</t>
        </is>
      </c>
      <c r="I78" s="2" t="n">
        <v>46226</v>
      </c>
      <c r="J78" t="inlineStr">
        <is>
          <t>Disetujui</t>
        </is>
      </c>
      <c r="K78" t="n">
        <v>30</v>
      </c>
      <c r="L78" t="inlineStr">
        <is>
          <t>23 Juli 2026</t>
        </is>
      </c>
      <c r="M78" t="inlineStr">
        <is>
          <t>Konstruksi Gedung Hunian, Konstruksi Gedung Kesehatan, Konstruksi Gedung Lainnya, Konstruksi Gedung Pendidikan, Konstruksi Gedung Perkantoran</t>
        </is>
      </c>
      <c r="N78" t="inlineStr">
        <is>
          <t>K</t>
        </is>
      </c>
      <c r="O78" t="inlineStr">
        <is>
          <t>20230722</t>
        </is>
      </c>
      <c r="P78" t="inlineStr">
        <is>
          <t>Sulawesi Tengah</t>
        </is>
      </c>
      <c r="Q78" t="inlineStr"/>
    </row>
    <row r="79">
      <c r="A79" t="inlineStr">
        <is>
          <t>MEGA KREASI CAKRAWALA</t>
        </is>
      </c>
      <c r="B79" t="inlineStr">
        <is>
          <t>Kab. Garut</t>
        </is>
      </c>
      <c r="C79" t="inlineStr">
        <is>
          <t>081320658670</t>
        </is>
      </c>
      <c r="D79" t="inlineStr">
        <is>
          <t>megakreasickr@gmail.com</t>
        </is>
      </c>
      <c r="E79" t="inlineStr">
        <is>
          <t>https://lpjk.pu.go.id/search-badan-usaha-detail/cVQ0eENWbldpTHp0cW1wYi95SVNxUT09</t>
        </is>
      </c>
      <c r="F79" t="n">
        <v>5</v>
      </c>
      <c r="G79" t="inlineStr">
        <is>
          <t>BG001, BG002, BG004, BG005, BG006</t>
        </is>
      </c>
      <c r="H79" t="inlineStr">
        <is>
          <t>30 September 2020</t>
        </is>
      </c>
      <c r="I79" s="2" t="n">
        <v>46226</v>
      </c>
      <c r="J79" t="inlineStr">
        <is>
          <t>Disetujui</t>
        </is>
      </c>
      <c r="K79" t="n">
        <v>30</v>
      </c>
      <c r="L79" t="inlineStr">
        <is>
          <t>23 Juli 2026</t>
        </is>
      </c>
      <c r="M79" t="inlineStr">
        <is>
          <t>Konstruksi Gedung Hunian, Konstruksi Gedung Kesehatan, Konstruksi Gedung Pendidikan, Konstruksi Gedung Perbelanjaan, Konstruksi Gedung Perkantoran</t>
        </is>
      </c>
      <c r="N79" t="inlineStr">
        <is>
          <t>K</t>
        </is>
      </c>
      <c r="O79" t="inlineStr">
        <is>
          <t>20230723, 20230724</t>
        </is>
      </c>
      <c r="P79" t="inlineStr">
        <is>
          <t>Jawa Barat</t>
        </is>
      </c>
      <c r="Q79" t="inlineStr"/>
    </row>
    <row r="80">
      <c r="A80" t="inlineStr">
        <is>
          <t>MEGA LESTARI</t>
        </is>
      </c>
      <c r="B80" t="inlineStr">
        <is>
          <t>Kota Palu</t>
        </is>
      </c>
      <c r="C80" t="inlineStr">
        <is>
          <t>085241178800</t>
        </is>
      </c>
      <c r="D80" t="inlineStr">
        <is>
          <t>cv.megalestari88@yahoo.com</t>
        </is>
      </c>
      <c r="E80" t="inlineStr">
        <is>
          <t>https://lpjk.pu.go.id/search-badan-usaha-detail/T1d2V012L0svR0xxbmFXVDB3b1UzZz09</t>
        </is>
      </c>
      <c r="F80" t="n">
        <v>1</v>
      </c>
      <c r="G80" t="inlineStr">
        <is>
          <t>BS001</t>
        </is>
      </c>
      <c r="H80" t="inlineStr">
        <is>
          <t>8 Januari 2014</t>
        </is>
      </c>
      <c r="I80" s="2" t="n">
        <v>46226</v>
      </c>
      <c r="J80" t="inlineStr">
        <is>
          <t>Disetujui</t>
        </is>
      </c>
      <c r="K80" t="n">
        <v>30</v>
      </c>
      <c r="L80" t="inlineStr">
        <is>
          <t>23 Juli 2026</t>
        </is>
      </c>
      <c r="M80" t="inlineStr">
        <is>
          <t>Konstruksi Bangunan Sipil Jalan</t>
        </is>
      </c>
      <c r="N80" t="inlineStr">
        <is>
          <t>K</t>
        </is>
      </c>
      <c r="O80" t="inlineStr">
        <is>
          <t>20230721</t>
        </is>
      </c>
      <c r="P80" t="inlineStr">
        <is>
          <t>Sulawesi Tengah</t>
        </is>
      </c>
      <c r="Q80" t="inlineStr"/>
    </row>
    <row r="81">
      <c r="A81" t="inlineStr">
        <is>
          <t>MEKAR JAYA ANUGRAH</t>
        </is>
      </c>
      <c r="B81" t="inlineStr">
        <is>
          <t>Kota Pekanbaru</t>
        </is>
      </c>
      <c r="C81" t="inlineStr">
        <is>
          <t>082284383254</t>
        </is>
      </c>
      <c r="D81" t="inlineStr">
        <is>
          <t>jayacvmekar5@gmail.com</t>
        </is>
      </c>
      <c r="E81" t="inlineStr">
        <is>
          <t>https://lpjk.pu.go.id/search-badan-usaha-detail/djVMSWRVY2NFSWpOYkZtQSttaWZVUT09</t>
        </is>
      </c>
      <c r="F81" t="n">
        <v>2</v>
      </c>
      <c r="G81" t="inlineStr">
        <is>
          <t>BS004</t>
        </is>
      </c>
      <c r="H81" t="inlineStr">
        <is>
          <t>4 Juli 2023</t>
        </is>
      </c>
      <c r="I81" s="2" t="n">
        <v>46226</v>
      </c>
      <c r="J81" t="inlineStr">
        <is>
          <t>Disetujui</t>
        </is>
      </c>
      <c r="K81" t="n">
        <v>30</v>
      </c>
      <c r="L81" t="inlineStr">
        <is>
          <t>23 Juli 2026</t>
        </is>
      </c>
      <c r="M81" t="inlineStr">
        <is>
          <t>Konstruksi Jaringan Irigasi dan Drainase</t>
        </is>
      </c>
      <c r="N81" t="inlineStr">
        <is>
          <t>K</t>
        </is>
      </c>
      <c r="O81" t="inlineStr">
        <is>
          <t>20230721</t>
        </is>
      </c>
      <c r="P81" t="inlineStr">
        <is>
          <t>Riau</t>
        </is>
      </c>
      <c r="Q81" t="inlineStr"/>
    </row>
    <row r="82">
      <c r="A82" t="inlineStr">
        <is>
          <t>MIRZA MAJU JAYA</t>
        </is>
      </c>
      <c r="B82" t="inlineStr">
        <is>
          <t>Kota Samarinda</t>
        </is>
      </c>
      <c r="C82" t="inlineStr">
        <is>
          <t>08115520039</t>
        </is>
      </c>
      <c r="D82" t="inlineStr">
        <is>
          <t>cvmirzamajujaya@gmail.com</t>
        </is>
      </c>
      <c r="E82" t="inlineStr">
        <is>
          <t>https://lpjk.pu.go.id/search-badan-usaha-detail/ZmJ2cFJjYjMyN2hrNWJmTzhKUHBTdz09</t>
        </is>
      </c>
      <c r="F82" t="n">
        <v>4</v>
      </c>
      <c r="G82" t="inlineStr">
        <is>
          <t>BS001, BS004</t>
        </is>
      </c>
      <c r="H82" t="inlineStr">
        <is>
          <t>23 Maret 2017</t>
        </is>
      </c>
      <c r="I82" s="2" t="n">
        <v>46226</v>
      </c>
      <c r="J82" t="inlineStr">
        <is>
          <t>Disetujui</t>
        </is>
      </c>
      <c r="K82" t="n">
        <v>30</v>
      </c>
      <c r="L82" t="inlineStr">
        <is>
          <t>23 Juli 2026</t>
        </is>
      </c>
      <c r="M82" t="inlineStr">
        <is>
          <t>Konstruksi Bangunan Sipil Jalan, Konstruksi Jaringan Irigasi dan Drainase</t>
        </is>
      </c>
      <c r="N82" t="inlineStr">
        <is>
          <t>K</t>
        </is>
      </c>
      <c r="O82" t="inlineStr">
        <is>
          <t>20230718</t>
        </is>
      </c>
      <c r="P82" t="inlineStr">
        <is>
          <t>Kalimantan Timur</t>
        </is>
      </c>
      <c r="Q82" t="inlineStr"/>
    </row>
    <row r="83">
      <c r="A83" t="inlineStr">
        <is>
          <t>MITRA MAKASSAR</t>
        </is>
      </c>
      <c r="B83" t="inlineStr">
        <is>
          <t>Kota Makassar</t>
        </is>
      </c>
      <c r="C83" t="inlineStr">
        <is>
          <t>08124281842</t>
        </is>
      </c>
      <c r="D83" t="inlineStr">
        <is>
          <t>muhammadsubhan_rahma@yahoo.co.id</t>
        </is>
      </c>
      <c r="E83" t="inlineStr">
        <is>
          <t>https://lpjk.pu.go.id/search-badan-usaha-detail/L2lWZUZTQ1ZjWkU4bjdEMW92YW84UT09</t>
        </is>
      </c>
      <c r="F83" t="n">
        <v>1</v>
      </c>
      <c r="G83" t="inlineStr">
        <is>
          <t>BG006</t>
        </is>
      </c>
      <c r="H83" t="inlineStr">
        <is>
          <t>21 Juni 2001</t>
        </is>
      </c>
      <c r="I83" s="2" t="n">
        <v>46226</v>
      </c>
      <c r="J83" t="inlineStr">
        <is>
          <t>Disetujui</t>
        </is>
      </c>
      <c r="K83" t="n">
        <v>30</v>
      </c>
      <c r="L83" t="inlineStr">
        <is>
          <t>23 Juli 2026</t>
        </is>
      </c>
      <c r="M83" t="inlineStr">
        <is>
          <t>Konstruksi Gedung Pendidikan</t>
        </is>
      </c>
      <c r="N83" t="inlineStr">
        <is>
          <t>K</t>
        </is>
      </c>
      <c r="O83" t="inlineStr">
        <is>
          <t>20230718</t>
        </is>
      </c>
      <c r="P83" t="inlineStr">
        <is>
          <t>Sulawesi Selatan</t>
        </is>
      </c>
      <c r="Q83" t="inlineStr"/>
    </row>
    <row r="84">
      <c r="A84" t="inlineStr">
        <is>
          <t>MITRA WARNA METALINDO</t>
        </is>
      </c>
      <c r="B84" t="inlineStr">
        <is>
          <t>Kota Samarinda</t>
        </is>
      </c>
      <c r="C84" t="inlineStr">
        <is>
          <t>05417267313</t>
        </is>
      </c>
      <c r="D84" t="inlineStr">
        <is>
          <t>pt.seaindonesia@gmail.com</t>
        </is>
      </c>
      <c r="E84" t="inlineStr">
        <is>
          <t>https://lpjk.pu.go.id/search-badan-usaha-detail/NWFRbk53UW11VGE4UEt0TVlQV1RQUT09</t>
        </is>
      </c>
      <c r="F84" t="n">
        <v>2</v>
      </c>
      <c r="G84" t="inlineStr">
        <is>
          <t>BS017, PB007</t>
        </is>
      </c>
      <c r="H84" t="inlineStr">
        <is>
          <t>19 Juli 2019</t>
        </is>
      </c>
      <c r="I84" s="2" t="n">
        <v>46226</v>
      </c>
      <c r="J84" t="inlineStr">
        <is>
          <t>Disetujui</t>
        </is>
      </c>
      <c r="K84" t="n">
        <v>30</v>
      </c>
      <c r="L84" t="inlineStr">
        <is>
          <t>23 Juli 2026</t>
        </is>
      </c>
      <c r="M84" t="inlineStr">
        <is>
          <t>Konstruksi Bangunan Sipil Lainnya Ytdl, Pengecatan</t>
        </is>
      </c>
      <c r="N84" t="inlineStr">
        <is>
          <t>K, Spesialis</t>
        </is>
      </c>
      <c r="O84" t="inlineStr">
        <is>
          <t>20230713</t>
        </is>
      </c>
      <c r="P84" t="inlineStr">
        <is>
          <t>Kalimantan Timur</t>
        </is>
      </c>
      <c r="Q84" t="inlineStr"/>
    </row>
    <row r="85">
      <c r="A85" t="inlineStr">
        <is>
          <t>MITRABANGUN ADIGRAHA</t>
        </is>
      </c>
      <c r="B85" t="inlineStr">
        <is>
          <t>Kota Adm. Jakarta Barat</t>
        </is>
      </c>
      <c r="C85" t="inlineStr">
        <is>
          <t>0215648373</t>
        </is>
      </c>
      <c r="D85" t="inlineStr">
        <is>
          <t>mitrabangunadigraha@yahoo.co.id</t>
        </is>
      </c>
      <c r="E85" t="inlineStr">
        <is>
          <t>https://lpjk.pu.go.id/search-badan-usaha-detail/dUxKRTM0NldkZFpYY295L2VyOHNTdz09</t>
        </is>
      </c>
      <c r="F85" t="n">
        <v>1</v>
      </c>
      <c r="G85" t="inlineStr">
        <is>
          <t>BG002</t>
        </is>
      </c>
      <c r="H85" t="inlineStr">
        <is>
          <t>10 Agustus 2004</t>
        </is>
      </c>
      <c r="I85" s="2" t="n">
        <v>46226</v>
      </c>
      <c r="J85" t="inlineStr">
        <is>
          <t>Disetujui</t>
        </is>
      </c>
      <c r="K85" t="n">
        <v>30</v>
      </c>
      <c r="L85" t="inlineStr">
        <is>
          <t>23 Juli 2026</t>
        </is>
      </c>
      <c r="M85" t="inlineStr">
        <is>
          <t>Konstruksi Gedung Perkantoran</t>
        </is>
      </c>
      <c r="N85" t="inlineStr">
        <is>
          <t>M</t>
        </is>
      </c>
      <c r="O85" t="inlineStr">
        <is>
          <t>20230414</t>
        </is>
      </c>
      <c r="P85" t="inlineStr">
        <is>
          <t>DKI Jakarta</t>
        </is>
      </c>
      <c r="Q85" t="inlineStr"/>
    </row>
    <row r="86">
      <c r="A86" t="inlineStr">
        <is>
          <t>MUARA KEMUANG RAYA</t>
        </is>
      </c>
      <c r="B86" t="inlineStr">
        <is>
          <t>Kab. Sekadau</t>
        </is>
      </c>
      <c r="C86" t="inlineStr">
        <is>
          <t>081256989945</t>
        </is>
      </c>
      <c r="D86" t="inlineStr">
        <is>
          <t>cv.muarakemuangraya@gmail.com</t>
        </is>
      </c>
      <c r="E86" t="inlineStr">
        <is>
          <t>https://lpjk.pu.go.id/search-badan-usaha-detail/Q24rRHdVM080RGxKdlJwd0kxeVF1Zz09</t>
        </is>
      </c>
      <c r="F86" t="n">
        <v>1</v>
      </c>
      <c r="G86" t="inlineStr">
        <is>
          <t>BG009</t>
        </is>
      </c>
      <c r="H86" t="inlineStr">
        <is>
          <t>3 Juni 2022</t>
        </is>
      </c>
      <c r="I86" s="2" t="n">
        <v>46226</v>
      </c>
      <c r="J86" t="inlineStr">
        <is>
          <t>Disetujui</t>
        </is>
      </c>
      <c r="K86" t="n">
        <v>30</v>
      </c>
      <c r="L86" t="inlineStr">
        <is>
          <t>23 Juli 2026</t>
        </is>
      </c>
      <c r="M86" t="inlineStr">
        <is>
          <t>Konstruksi Gedung Lainnya</t>
        </is>
      </c>
      <c r="N86" t="inlineStr">
        <is>
          <t>K</t>
        </is>
      </c>
      <c r="O86" t="inlineStr">
        <is>
          <t>20230718</t>
        </is>
      </c>
      <c r="P86" t="inlineStr">
        <is>
          <t>Kalimantan Barat</t>
        </is>
      </c>
      <c r="Q86" t="inlineStr"/>
    </row>
    <row r="87">
      <c r="A87" t="inlineStr">
        <is>
          <t>MUNCUL JAYA SEJATI</t>
        </is>
      </c>
      <c r="B87" t="inlineStr">
        <is>
          <t>Kab. Sampang</t>
        </is>
      </c>
      <c r="C87" t="inlineStr">
        <is>
          <t>082132230155</t>
        </is>
      </c>
      <c r="D87" t="inlineStr">
        <is>
          <t>cvmunculjayasejati@gmail.com</t>
        </is>
      </c>
      <c r="E87" t="inlineStr">
        <is>
          <t>https://lpjk.pu.go.id/search-badan-usaha-detail/alZ5NFZRTDBVMnU4bHZRalhiYU8wUT09</t>
        </is>
      </c>
      <c r="F87" t="n">
        <v>3</v>
      </c>
      <c r="G87" t="inlineStr">
        <is>
          <t>BG002, BS001, BS004</t>
        </is>
      </c>
      <c r="H87" t="inlineStr">
        <is>
          <t>22 Oktober 2019</t>
        </is>
      </c>
      <c r="I87" s="2" t="n">
        <v>46226</v>
      </c>
      <c r="J87" t="inlineStr">
        <is>
          <t>Disetujui</t>
        </is>
      </c>
      <c r="K87" t="n">
        <v>30</v>
      </c>
      <c r="L87" t="inlineStr">
        <is>
          <t>23 Juli 2026</t>
        </is>
      </c>
      <c r="M87" t="inlineStr">
        <is>
          <t>Konstruksi Bangunan Sipil Jalan, Konstruksi Gedung Perkantoran, Konstruksi Jaringan Irigasi dan Drainase</t>
        </is>
      </c>
      <c r="N87" t="inlineStr">
        <is>
          <t>K</t>
        </is>
      </c>
      <c r="O87" t="inlineStr">
        <is>
          <t>20230722</t>
        </is>
      </c>
      <c r="P87" t="inlineStr">
        <is>
          <t>Jawa Timur</t>
        </is>
      </c>
      <c r="Q87" t="inlineStr"/>
    </row>
    <row r="88">
      <c r="A88" t="inlineStr">
        <is>
          <t>MUSTIKA JATI</t>
        </is>
      </c>
      <c r="B88" t="inlineStr">
        <is>
          <t>Kab. Demak</t>
        </is>
      </c>
      <c r="C88" t="inlineStr">
        <is>
          <t>08122829717</t>
        </is>
      </c>
      <c r="D88" t="inlineStr">
        <is>
          <t>cv.mustikajatidmk@gmail.com</t>
        </is>
      </c>
      <c r="E88" t="inlineStr">
        <is>
          <t>https://lpjk.pu.go.id/search-badan-usaha-detail/SVF3aUNieDc5dmtteEJJTWorTHhjdz09</t>
        </is>
      </c>
      <c r="F88" t="n">
        <v>1</v>
      </c>
      <c r="G88" t="inlineStr">
        <is>
          <t>BG009</t>
        </is>
      </c>
      <c r="H88" t="inlineStr">
        <is>
          <t>18 Maret 1985</t>
        </is>
      </c>
      <c r="I88" s="2" t="n">
        <v>46226</v>
      </c>
      <c r="J88" t="inlineStr">
        <is>
          <t>Disetujui</t>
        </is>
      </c>
      <c r="K88" t="n">
        <v>30</v>
      </c>
      <c r="L88" t="inlineStr">
        <is>
          <t>23 Juli 2026</t>
        </is>
      </c>
      <c r="M88" t="inlineStr">
        <is>
          <t>Konstruksi Gedung Lainnya</t>
        </is>
      </c>
      <c r="N88" t="inlineStr">
        <is>
          <t>K</t>
        </is>
      </c>
      <c r="O88" t="inlineStr">
        <is>
          <t>20230721</t>
        </is>
      </c>
      <c r="P88" t="inlineStr">
        <is>
          <t>Jawa Tengah</t>
        </is>
      </c>
      <c r="Q88" t="inlineStr"/>
    </row>
    <row r="89">
      <c r="A89" t="inlineStr">
        <is>
          <t>NABILA RAMADHANI</t>
        </is>
      </c>
      <c r="B89" t="inlineStr">
        <is>
          <t>Kab. Barito Kuala</t>
        </is>
      </c>
      <c r="C89" t="inlineStr">
        <is>
          <t>081256106875</t>
        </is>
      </c>
      <c r="D89" t="inlineStr">
        <is>
          <t>anchnabila@gmail.com</t>
        </is>
      </c>
      <c r="E89" t="inlineStr">
        <is>
          <t>https://lpjk.pu.go.id/search-badan-usaha-detail/SHV5TFhnYnVqS2FNM3Q3SjROTVZpQT09</t>
        </is>
      </c>
      <c r="F89" t="n">
        <v>2</v>
      </c>
      <c r="G89" t="inlineStr">
        <is>
          <t>BS010</t>
        </is>
      </c>
      <c r="H89" t="inlineStr">
        <is>
          <t>15 Februari 2007</t>
        </is>
      </c>
      <c r="I89" s="2" t="n">
        <v>46226</v>
      </c>
      <c r="J89" t="inlineStr">
        <is>
          <t>Pencabutan</t>
        </is>
      </c>
      <c r="K89" t="n">
        <v>30</v>
      </c>
      <c r="L89" t="inlineStr">
        <is>
          <t>23 Juli 2026</t>
        </is>
      </c>
      <c r="M89" t="inlineStr">
        <is>
          <t>Konstruksi Bangunan Prasarana Sumber Daya Air</t>
        </is>
      </c>
      <c r="N89" t="inlineStr">
        <is>
          <t>K</t>
        </is>
      </c>
      <c r="O89" t="inlineStr">
        <is>
          <t>20230720</t>
        </is>
      </c>
      <c r="P89" t="inlineStr">
        <is>
          <t>Kalimantan Selatan</t>
        </is>
      </c>
      <c r="Q89" t="inlineStr"/>
    </row>
    <row r="90">
      <c r="A90" t="inlineStr">
        <is>
          <t>NAGA RAYA GROUP</t>
        </is>
      </c>
      <c r="B90" t="inlineStr">
        <is>
          <t>Kab. Banyumas</t>
        </is>
      </c>
      <c r="C90" t="inlineStr">
        <is>
          <t>081391885269</t>
        </is>
      </c>
      <c r="D90" t="inlineStr">
        <is>
          <t>nagarayaya12@gmail.com</t>
        </is>
      </c>
      <c r="E90" t="inlineStr">
        <is>
          <t>https://lpjk.pu.go.id/search-badan-usaha-detail/VGlVYWhmOHRWTFM3WDFERTQ1QVJyQT09</t>
        </is>
      </c>
      <c r="F90" t="n">
        <v>1</v>
      </c>
      <c r="G90" t="inlineStr">
        <is>
          <t>BG006</t>
        </is>
      </c>
      <c r="H90" t="inlineStr">
        <is>
          <t>29 Desember 2018</t>
        </is>
      </c>
      <c r="I90" s="2" t="n">
        <v>46226</v>
      </c>
      <c r="J90" t="inlineStr">
        <is>
          <t>Disetujui</t>
        </is>
      </c>
      <c r="K90" t="n">
        <v>30</v>
      </c>
      <c r="L90" t="inlineStr">
        <is>
          <t>23 Juli 2026</t>
        </is>
      </c>
      <c r="M90" t="inlineStr">
        <is>
          <t>Konstruksi Gedung Pendidikan</t>
        </is>
      </c>
      <c r="N90" t="inlineStr">
        <is>
          <t>K</t>
        </is>
      </c>
      <c r="O90" t="inlineStr">
        <is>
          <t>20230721</t>
        </is>
      </c>
      <c r="P90" t="inlineStr">
        <is>
          <t>Jawa Tengah</t>
        </is>
      </c>
      <c r="Q90" t="inlineStr"/>
    </row>
    <row r="91">
      <c r="A91" t="inlineStr">
        <is>
          <t>NENGGALA BUMI PERSADA</t>
        </is>
      </c>
      <c r="B91" t="inlineStr">
        <is>
          <t>Kota Lubuk Linggau</t>
        </is>
      </c>
      <c r="C91" t="inlineStr">
        <is>
          <t>081270835216</t>
        </is>
      </c>
      <c r="D91" t="inlineStr">
        <is>
          <t>nenggalabumipersada@gmail.com</t>
        </is>
      </c>
      <c r="E91" t="inlineStr">
        <is>
          <t>https://lpjk.pu.go.id/search-badan-usaha-detail/RzBKY1hWeFl3Q1RyUTJ3NjVGb0d0QT09</t>
        </is>
      </c>
      <c r="F91" t="n">
        <v>2</v>
      </c>
      <c r="G91" t="inlineStr">
        <is>
          <t>BG006</t>
        </is>
      </c>
      <c r="H91" t="inlineStr">
        <is>
          <t>7 Juni 2023</t>
        </is>
      </c>
      <c r="I91" s="2" t="n">
        <v>46226</v>
      </c>
      <c r="J91" t="inlineStr">
        <is>
          <t>Disetujui</t>
        </is>
      </c>
      <c r="K91" t="n">
        <v>30</v>
      </c>
      <c r="L91" t="inlineStr">
        <is>
          <t>23 Juli 2026</t>
        </is>
      </c>
      <c r="M91" t="inlineStr">
        <is>
          <t>Konstruksi Gedung Pendidikan</t>
        </is>
      </c>
      <c r="N91" t="inlineStr">
        <is>
          <t>K</t>
        </is>
      </c>
      <c r="O91" t="inlineStr">
        <is>
          <t>20230724</t>
        </is>
      </c>
      <c r="P91" t="inlineStr">
        <is>
          <t>Sumatera Selatan</t>
        </is>
      </c>
      <c r="Q91" t="inlineStr"/>
    </row>
    <row r="92">
      <c r="A92" t="inlineStr">
        <is>
          <t>NURISFA</t>
        </is>
      </c>
      <c r="B92" t="inlineStr">
        <is>
          <t>Kab. Tegal</t>
        </is>
      </c>
      <c r="C92" t="inlineStr">
        <is>
          <t>085878868992</t>
        </is>
      </c>
      <c r="D92" t="inlineStr">
        <is>
          <t>cv.nurisfa@gmail.com</t>
        </is>
      </c>
      <c r="E92" t="inlineStr">
        <is>
          <t>https://lpjk.pu.go.id/search-badan-usaha-detail/SUlLUDdxN2cyc0Q4aFBYNElNbG4xdz09</t>
        </is>
      </c>
      <c r="F92" t="n">
        <v>2</v>
      </c>
      <c r="G92" t="inlineStr">
        <is>
          <t>BG006, BG009</t>
        </is>
      </c>
      <c r="H92" t="inlineStr">
        <is>
          <t>24 Januari 2017</t>
        </is>
      </c>
      <c r="I92" s="2" t="n">
        <v>46226</v>
      </c>
      <c r="J92" t="inlineStr">
        <is>
          <t>Disetujui</t>
        </is>
      </c>
      <c r="K92" t="n">
        <v>30</v>
      </c>
      <c r="L92" t="inlineStr">
        <is>
          <t>23 Juli 2026</t>
        </is>
      </c>
      <c r="M92" t="inlineStr">
        <is>
          <t>Konstruksi Gedung Lainnya, Konstruksi Gedung Pendidikan</t>
        </is>
      </c>
      <c r="N92" t="inlineStr">
        <is>
          <t>K</t>
        </is>
      </c>
      <c r="O92" t="inlineStr">
        <is>
          <t>20230721</t>
        </is>
      </c>
      <c r="P92" t="inlineStr">
        <is>
          <t>Jawa Tengah</t>
        </is>
      </c>
      <c r="Q92" t="inlineStr"/>
    </row>
    <row r="93">
      <c r="A93" t="inlineStr">
        <is>
          <t>NUSANTARA BARU ABADI</t>
        </is>
      </c>
      <c r="B93" t="inlineStr">
        <is>
          <t>Kota Pekanbaru</t>
        </is>
      </c>
      <c r="C93" t="inlineStr">
        <is>
          <t>081229996964</t>
        </is>
      </c>
      <c r="D93" t="inlineStr">
        <is>
          <t>ptnusantarabaruabadi@gmail.com</t>
        </is>
      </c>
      <c r="E93" t="inlineStr">
        <is>
          <t>https://lpjk.pu.go.id/search-badan-usaha-detail/MnFZVS93V1M2bVU3d1ZWVVYvT1dsZz09</t>
        </is>
      </c>
      <c r="F93" t="n">
        <v>1</v>
      </c>
      <c r="G93" t="inlineStr">
        <is>
          <t>PL003</t>
        </is>
      </c>
      <c r="H93" t="inlineStr">
        <is>
          <t>17 Maret 2023</t>
        </is>
      </c>
      <c r="I93" s="2" t="n">
        <v>46226</v>
      </c>
      <c r="J93" t="inlineStr">
        <is>
          <t>Pembekuan</t>
        </is>
      </c>
      <c r="K93" t="n">
        <v>30</v>
      </c>
      <c r="L93" t="inlineStr">
        <is>
          <t>23 Juli 2026</t>
        </is>
      </c>
      <c r="M93" t="inlineStr">
        <is>
          <t>Penyiapan Lahan Konstruksi</t>
        </is>
      </c>
      <c r="N93" t="inlineStr">
        <is>
          <t>Spesialis</t>
        </is>
      </c>
      <c r="O93" t="inlineStr">
        <is>
          <t>20230722</t>
        </is>
      </c>
      <c r="P93" t="inlineStr">
        <is>
          <t>Riau</t>
        </is>
      </c>
      <c r="Q93" t="inlineStr"/>
    </row>
    <row r="94">
      <c r="A94" t="inlineStr">
        <is>
          <t>PEMUDA PERKASA JAYA</t>
        </is>
      </c>
      <c r="B94" t="inlineStr">
        <is>
          <t>Kab. Ogan Komering Ulu</t>
        </is>
      </c>
      <c r="C94" t="inlineStr">
        <is>
          <t>082134034508</t>
        </is>
      </c>
      <c r="D94" t="inlineStr">
        <is>
          <t>cvpemudaperkasajaya@gmail.com</t>
        </is>
      </c>
      <c r="E94" t="inlineStr">
        <is>
          <t>https://lpjk.pu.go.id/search-badan-usaha-detail/S281QmhJdk9DbmJhQVpCZm9hVmFzUT09</t>
        </is>
      </c>
      <c r="F94" t="n">
        <v>1</v>
      </c>
      <c r="G94" t="inlineStr">
        <is>
          <t>BG006</t>
        </is>
      </c>
      <c r="H94" t="inlineStr">
        <is>
          <t>31 Mei 2023</t>
        </is>
      </c>
      <c r="I94" s="2" t="n">
        <v>46226</v>
      </c>
      <c r="J94" t="inlineStr">
        <is>
          <t>Disetujui</t>
        </is>
      </c>
      <c r="K94" t="n">
        <v>30</v>
      </c>
      <c r="L94" t="inlineStr">
        <is>
          <t>23 Juli 2026</t>
        </is>
      </c>
      <c r="M94" t="inlineStr">
        <is>
          <t>Konstruksi Gedung Pendidikan</t>
        </is>
      </c>
      <c r="N94" t="inlineStr">
        <is>
          <t>K</t>
        </is>
      </c>
      <c r="O94" t="inlineStr">
        <is>
          <t>20230624</t>
        </is>
      </c>
      <c r="P94" t="inlineStr">
        <is>
          <t>Sumatera Selatan</t>
        </is>
      </c>
      <c r="Q94" t="inlineStr"/>
    </row>
    <row r="95">
      <c r="A95" t="inlineStr">
        <is>
          <t>PERKASA BUANA GEMILANG</t>
        </is>
      </c>
      <c r="B95" t="inlineStr">
        <is>
          <t>Kab. Tangerang</t>
        </is>
      </c>
      <c r="C95" t="inlineStr">
        <is>
          <t>087808580221</t>
        </is>
      </c>
      <c r="D95" t="inlineStr">
        <is>
          <t>perkasabuanagemilang@gmail.com</t>
        </is>
      </c>
      <c r="E95" t="inlineStr">
        <is>
          <t>https://lpjk.pu.go.id/search-badan-usaha-detail/Nmd4NUFXZVRING14ZmNoRFVGWHNkdz09</t>
        </is>
      </c>
      <c r="F95" t="n">
        <v>1</v>
      </c>
      <c r="G95" t="inlineStr">
        <is>
          <t>BS007</t>
        </is>
      </c>
      <c r="H95" t="inlineStr">
        <is>
          <t>14 Juli 2023</t>
        </is>
      </c>
      <c r="I95" s="2" t="n">
        <v>46226</v>
      </c>
      <c r="J95" t="inlineStr">
        <is>
          <t>Disetujui</t>
        </is>
      </c>
      <c r="K95" t="n">
        <v>30</v>
      </c>
      <c r="L95" t="inlineStr">
        <is>
          <t>23 Juli 2026</t>
        </is>
      </c>
      <c r="M95" t="inlineStr">
        <is>
          <t>Konstruksi Bangunan Sipil Elektrikal</t>
        </is>
      </c>
      <c r="N95" t="inlineStr">
        <is>
          <t>K</t>
        </is>
      </c>
      <c r="O95" t="inlineStr">
        <is>
          <t>20230718</t>
        </is>
      </c>
      <c r="P95" t="inlineStr">
        <is>
          <t>Banten</t>
        </is>
      </c>
      <c r="Q95" t="inlineStr"/>
    </row>
    <row r="96">
      <c r="A96" t="inlineStr">
        <is>
          <t>PERKASA TEKINDO</t>
        </is>
      </c>
      <c r="B96" t="inlineStr">
        <is>
          <t>Kota Bandung</t>
        </is>
      </c>
      <c r="C96" t="inlineStr">
        <is>
          <t>0226011721</t>
        </is>
      </c>
      <c r="D96" t="inlineStr">
        <is>
          <t>indoteknikperkasa226@gmail.com</t>
        </is>
      </c>
      <c r="E96" t="inlineStr">
        <is>
          <t>https://lpjk.pu.go.id/search-badan-usaha-detail/b0tVU2lQdnlweDB2OUxMM3pLM2huUT09</t>
        </is>
      </c>
      <c r="F96" t="n">
        <v>1</v>
      </c>
      <c r="G96" t="inlineStr">
        <is>
          <t>BG009</t>
        </is>
      </c>
      <c r="H96" t="inlineStr">
        <is>
          <t>12 Oktober 2022</t>
        </is>
      </c>
      <c r="I96" s="2" t="n">
        <v>46226</v>
      </c>
      <c r="J96" t="inlineStr">
        <is>
          <t>Pencabutan</t>
        </is>
      </c>
      <c r="K96" t="n">
        <v>30</v>
      </c>
      <c r="L96" t="inlineStr">
        <is>
          <t>23 Juli 2026</t>
        </is>
      </c>
      <c r="M96" t="inlineStr">
        <is>
          <t>Konstruksi Gedung Lainnya</t>
        </is>
      </c>
      <c r="N96" t="inlineStr">
        <is>
          <t>K</t>
        </is>
      </c>
      <c r="O96" t="inlineStr">
        <is>
          <t>20230705</t>
        </is>
      </c>
      <c r="P96" t="inlineStr">
        <is>
          <t>Jawa Barat</t>
        </is>
      </c>
      <c r="Q96" t="inlineStr"/>
    </row>
    <row r="97">
      <c r="A97" t="inlineStr">
        <is>
          <t>PILAR PERDANA</t>
        </is>
      </c>
      <c r="B97" t="inlineStr">
        <is>
          <t>Kab. Aceh Selatan</t>
        </is>
      </c>
      <c r="C97" t="inlineStr">
        <is>
          <t>085260251351</t>
        </is>
      </c>
      <c r="D97" t="inlineStr">
        <is>
          <t>auliarahman1212@gmail.com</t>
        </is>
      </c>
      <c r="E97" t="inlineStr">
        <is>
          <t>https://lpjk.pu.go.id/search-badan-usaha-detail/RVlldlB5ZksrZEpoNnpZSEZrYjRpQT09</t>
        </is>
      </c>
      <c r="F97" t="n">
        <v>4</v>
      </c>
      <c r="G97" t="inlineStr">
        <is>
          <t>BG002, BG005, BG006, BG009</t>
        </is>
      </c>
      <c r="H97" t="inlineStr">
        <is>
          <t>13 Januari 2017</t>
        </is>
      </c>
      <c r="I97" s="2" t="n">
        <v>46226</v>
      </c>
      <c r="J97" t="inlineStr">
        <is>
          <t>Disetujui</t>
        </is>
      </c>
      <c r="K97" t="n">
        <v>30</v>
      </c>
      <c r="L97" t="inlineStr">
        <is>
          <t>23 Juli 2026</t>
        </is>
      </c>
      <c r="M97" t="inlineStr">
        <is>
          <t>Konstruksi Gedung Kesehatan, Konstruksi Gedung Lainnya, Konstruksi Gedung Pendidikan, Konstruksi Gedung Perkantoran</t>
        </is>
      </c>
      <c r="N97" t="inlineStr">
        <is>
          <t>K</t>
        </is>
      </c>
      <c r="O97" t="inlineStr">
        <is>
          <t>20230614</t>
        </is>
      </c>
      <c r="P97" t="inlineStr">
        <is>
          <t>Aceh</t>
        </is>
      </c>
      <c r="Q97" t="inlineStr"/>
    </row>
    <row r="98">
      <c r="A98" t="inlineStr">
        <is>
          <t>POETRA SEMBILAN</t>
        </is>
      </c>
      <c r="B98" t="inlineStr">
        <is>
          <t>Kab. Sintang</t>
        </is>
      </c>
      <c r="C98" t="inlineStr">
        <is>
          <t>-</t>
        </is>
      </c>
      <c r="D98" t="inlineStr">
        <is>
          <t>cv.poetrasembilan@yahoo.com</t>
        </is>
      </c>
      <c r="E98" t="inlineStr">
        <is>
          <t>https://lpjk.pu.go.id/search-badan-usaha-detail/MldZbEEzWEdDVldpR3A2MFUxMWdCdz09</t>
        </is>
      </c>
      <c r="F98" t="n">
        <v>1</v>
      </c>
      <c r="G98" t="inlineStr">
        <is>
          <t>BS001</t>
        </is>
      </c>
      <c r="H98" t="inlineStr">
        <is>
          <t>8 Januari 2018</t>
        </is>
      </c>
      <c r="I98" s="2" t="n">
        <v>46226</v>
      </c>
      <c r="J98" t="inlineStr">
        <is>
          <t>Disetujui</t>
        </is>
      </c>
      <c r="K98" t="n">
        <v>30</v>
      </c>
      <c r="L98" t="inlineStr">
        <is>
          <t>23 Juli 2026</t>
        </is>
      </c>
      <c r="M98" t="inlineStr">
        <is>
          <t>Konstruksi Bangunan Sipil Jalan</t>
        </is>
      </c>
      <c r="N98" t="inlineStr">
        <is>
          <t>K</t>
        </is>
      </c>
      <c r="O98" t="inlineStr">
        <is>
          <t>20230724</t>
        </is>
      </c>
      <c r="P98" t="inlineStr">
        <is>
          <t>Kalimantan Barat</t>
        </is>
      </c>
      <c r="Q98" t="inlineStr"/>
    </row>
    <row r="99">
      <c r="A99" t="inlineStr">
        <is>
          <t>POLA KARYA PRATAMA</t>
        </is>
      </c>
      <c r="B99" t="inlineStr">
        <is>
          <t>Kab. Majalengka</t>
        </is>
      </c>
      <c r="C99" t="inlineStr">
        <is>
          <t>082319927771</t>
        </is>
      </c>
      <c r="D99" t="inlineStr">
        <is>
          <t>polakaryapratama.cv@gmail.com</t>
        </is>
      </c>
      <c r="E99" t="inlineStr">
        <is>
          <t>https://lpjk.pu.go.id/search-badan-usaha-detail/cjJoV2QxZmVGWE5pTmNRd1cyVFgwUT09</t>
        </is>
      </c>
      <c r="F99" t="n">
        <v>3</v>
      </c>
      <c r="G99" t="inlineStr">
        <is>
          <t>RK001, RK002, RK003</t>
        </is>
      </c>
      <c r="H99" t="inlineStr">
        <is>
          <t>9 Februari 2021</t>
        </is>
      </c>
      <c r="I99" s="2" t="n">
        <v>46226</v>
      </c>
      <c r="J99" t="inlineStr">
        <is>
          <t>Disetujui</t>
        </is>
      </c>
      <c r="K99" t="n">
        <v>30</v>
      </c>
      <c r="L99" t="inlineStr">
        <is>
          <t>23 Juli 2026</t>
        </is>
      </c>
      <c r="M99" t="inlineStr">
        <is>
          <t>Jasa Rekayasa Konstruksi Bangunan Gedung Hunian dan Non Hunian, Jasa Rekayasa Pekerjaan Teknik Sipil Sumber Daya Air, Jasa Rekayasa Pekerjaan Teknik Sipil Transportasi</t>
        </is>
      </c>
      <c r="N99" t="inlineStr">
        <is>
          <t>K</t>
        </is>
      </c>
      <c r="O99" t="inlineStr">
        <is>
          <t>20230707, 20230711</t>
        </is>
      </c>
      <c r="P99" t="inlineStr">
        <is>
          <t>Jawa Barat</t>
        </is>
      </c>
      <c r="Q99" t="inlineStr"/>
    </row>
    <row r="100">
      <c r="A100" t="inlineStr">
        <is>
          <t>PONDOK SENI</t>
        </is>
      </c>
      <c r="B100" t="inlineStr">
        <is>
          <t>Kab. Cilacap</t>
        </is>
      </c>
      <c r="C100" t="inlineStr">
        <is>
          <t>082226335010</t>
        </is>
      </c>
      <c r="D100" t="inlineStr">
        <is>
          <t>cvpondokseni@gmail.com</t>
        </is>
      </c>
      <c r="E100" t="inlineStr">
        <is>
          <t>https://lpjk.pu.go.id/search-badan-usaha-detail/bkpOeWxOU21lWjM4cjd6Y1BGVGxqQT09</t>
        </is>
      </c>
      <c r="F100" t="n">
        <v>1</v>
      </c>
      <c r="G100" t="inlineStr">
        <is>
          <t>BS004</t>
        </is>
      </c>
      <c r="H100" t="inlineStr">
        <is>
          <t>5 Januari 2023</t>
        </is>
      </c>
      <c r="I100" s="2" t="n">
        <v>46226</v>
      </c>
      <c r="J100" t="inlineStr">
        <is>
          <t>Disetujui</t>
        </is>
      </c>
      <c r="K100" t="n">
        <v>30</v>
      </c>
      <c r="L100" t="inlineStr">
        <is>
          <t>23 Juli 2026</t>
        </is>
      </c>
      <c r="M100" t="inlineStr">
        <is>
          <t>Konstruksi Jaringan Irigasi dan Drainase</t>
        </is>
      </c>
      <c r="N100" t="inlineStr">
        <is>
          <t>K</t>
        </is>
      </c>
      <c r="O100" t="inlineStr">
        <is>
          <t>20230719</t>
        </is>
      </c>
      <c r="P100" t="inlineStr">
        <is>
          <t>Jawa Tengah</t>
        </is>
      </c>
      <c r="Q100" t="inlineStr"/>
    </row>
    <row r="101">
      <c r="A101" t="inlineStr">
        <is>
          <t>PRIMAX MITRA SAKTI</t>
        </is>
      </c>
      <c r="B101" t="inlineStr">
        <is>
          <t>Kota Surabaya</t>
        </is>
      </c>
      <c r="C101" t="inlineStr">
        <is>
          <t>085230173479</t>
        </is>
      </c>
      <c r="D101" t="inlineStr">
        <is>
          <t>primax@primax.co.id</t>
        </is>
      </c>
      <c r="E101" t="inlineStr">
        <is>
          <t>https://lpjk.pu.go.id/search-badan-usaha-detail/dC82Y2YwdjJ5cWNJWGxBR0w2VW4zZz09</t>
        </is>
      </c>
      <c r="F101" t="n">
        <v>2</v>
      </c>
      <c r="G101" t="inlineStr">
        <is>
          <t>RK002, RK005</t>
        </is>
      </c>
      <c r="H101" t="inlineStr">
        <is>
          <t>3 September 2020</t>
        </is>
      </c>
      <c r="I101" s="2" t="n">
        <v>46226</v>
      </c>
      <c r="J101" t="inlineStr">
        <is>
          <t>Disetujui</t>
        </is>
      </c>
      <c r="K101" t="n">
        <v>30</v>
      </c>
      <c r="L101" t="inlineStr">
        <is>
          <t>23 Juli 2026</t>
        </is>
      </c>
      <c r="M101" t="inlineStr">
        <is>
          <t>Jasa Rekayasa Lainnya, Jasa Rekayasa Pekerjaan Teknik Sipil Sumber Daya Air</t>
        </is>
      </c>
      <c r="N101" t="inlineStr">
        <is>
          <t>K</t>
        </is>
      </c>
      <c r="O101" t="inlineStr">
        <is>
          <t>20230717</t>
        </is>
      </c>
      <c r="P101" t="inlineStr">
        <is>
          <t>Jawa Timur</t>
        </is>
      </c>
      <c r="Q101" t="inlineStr"/>
    </row>
    <row r="102">
      <c r="A102" t="inlineStr">
        <is>
          <t>PRISMA ARCHI</t>
        </is>
      </c>
      <c r="B102" t="inlineStr">
        <is>
          <t>Kota Kendari</t>
        </is>
      </c>
      <c r="C102" t="inlineStr">
        <is>
          <t>082154400909</t>
        </is>
      </c>
      <c r="D102" t="inlineStr">
        <is>
          <t>prismaarchi07@gmail.com</t>
        </is>
      </c>
      <c r="E102" t="inlineStr">
        <is>
          <t>https://lpjk.pu.go.id/search-badan-usaha-detail/bFZUWEtBbm5Ba0paMm1MakFSZlNYUT09</t>
        </is>
      </c>
      <c r="F102" t="n">
        <v>1</v>
      </c>
      <c r="G102" t="inlineStr">
        <is>
          <t>BS005</t>
        </is>
      </c>
      <c r="H102" t="inlineStr">
        <is>
          <t>19 Mei 2007</t>
        </is>
      </c>
      <c r="I102" s="2" t="n">
        <v>46226</v>
      </c>
      <c r="J102" t="inlineStr">
        <is>
          <t>Pencabutan</t>
        </is>
      </c>
      <c r="K102" t="n">
        <v>30</v>
      </c>
      <c r="L102" t="inlineStr">
        <is>
          <t>23 Juli 2026</t>
        </is>
      </c>
      <c r="M102" t="inlineStr">
        <is>
          <t>Konstruksi Bangunan Sipil Pengolahan Air Bersih</t>
        </is>
      </c>
      <c r="N102" t="inlineStr">
        <is>
          <t>K</t>
        </is>
      </c>
      <c r="O102" t="inlineStr">
        <is>
          <t>20230612</t>
        </is>
      </c>
      <c r="P102" t="inlineStr">
        <is>
          <t>Sulawesi Tenggara</t>
        </is>
      </c>
      <c r="Q102" t="inlineStr"/>
    </row>
    <row r="103">
      <c r="A103" t="inlineStr">
        <is>
          <t>PURNAMA TANJUNG PERKASA</t>
        </is>
      </c>
      <c r="B103" t="inlineStr">
        <is>
          <t>Kab. Belitung</t>
        </is>
      </c>
      <c r="C103" t="inlineStr">
        <is>
          <t>087882960075</t>
        </is>
      </c>
      <c r="D103" t="inlineStr">
        <is>
          <t>ptpurnamatanjungperkasa@gmail.com</t>
        </is>
      </c>
      <c r="E103" t="inlineStr">
        <is>
          <t>https://lpjk.pu.go.id/search-badan-usaha-detail/UGRCS1hjWWhNaVMrZlI4YkVHZmt3QT09</t>
        </is>
      </c>
      <c r="F103" t="n">
        <v>6</v>
      </c>
      <c r="G103" t="inlineStr">
        <is>
          <t>BG003, BS001, BS004</t>
        </is>
      </c>
      <c r="H103" t="inlineStr">
        <is>
          <t>15 April 2019</t>
        </is>
      </c>
      <c r="I103" s="2" t="n">
        <v>46226</v>
      </c>
      <c r="J103" t="inlineStr">
        <is>
          <t>Pencabutan</t>
        </is>
      </c>
      <c r="K103" t="n">
        <v>30</v>
      </c>
      <c r="L103" t="inlineStr">
        <is>
          <t>23 Juli 2026</t>
        </is>
      </c>
      <c r="M103" t="inlineStr">
        <is>
          <t>Konstruksi Bangunan Sipil Jalan, Konstruksi Gedung Industri, Konstruksi Jaringan Irigasi dan Drainase</t>
        </is>
      </c>
      <c r="N103" t="inlineStr">
        <is>
          <t>K</t>
        </is>
      </c>
      <c r="O103" t="inlineStr">
        <is>
          <t>20230721</t>
        </is>
      </c>
      <c r="P103" t="inlineStr">
        <is>
          <t>Kepulauan Bangka Belitung</t>
        </is>
      </c>
      <c r="Q103" t="inlineStr"/>
    </row>
    <row r="104">
      <c r="A104" t="inlineStr">
        <is>
          <t>PUSPA BANGSA</t>
        </is>
      </c>
      <c r="B104" t="inlineStr">
        <is>
          <t>Kab. Subang</t>
        </is>
      </c>
      <c r="C104" t="inlineStr">
        <is>
          <t>081394530025</t>
        </is>
      </c>
      <c r="D104" t="inlineStr">
        <is>
          <t>puspabangsacv@gmail.com</t>
        </is>
      </c>
      <c r="E104" t="inlineStr">
        <is>
          <t>https://lpjk.pu.go.id/search-badan-usaha-detail/eFJYMkx5Q0JRS0l1ZTB4ZDhrSFBHQT09</t>
        </is>
      </c>
      <c r="F104" t="n">
        <v>1</v>
      </c>
      <c r="G104" t="inlineStr">
        <is>
          <t>BG002</t>
        </is>
      </c>
      <c r="H104" t="inlineStr">
        <is>
          <t>16 Februari 2017</t>
        </is>
      </c>
      <c r="I104" s="2" t="n">
        <v>46226</v>
      </c>
      <c r="J104" t="inlineStr">
        <is>
          <t>Pencabutan</t>
        </is>
      </c>
      <c r="K104" t="n">
        <v>30</v>
      </c>
      <c r="L104" t="inlineStr">
        <is>
          <t>23 Juli 2026</t>
        </is>
      </c>
      <c r="M104" t="inlineStr">
        <is>
          <t>Konstruksi Gedung Perkantoran</t>
        </is>
      </c>
      <c r="N104" t="inlineStr">
        <is>
          <t>K</t>
        </is>
      </c>
      <c r="O104" t="inlineStr">
        <is>
          <t>20230621</t>
        </is>
      </c>
      <c r="P104" t="inlineStr">
        <is>
          <t>Jawa Barat</t>
        </is>
      </c>
      <c r="Q104" t="inlineStr"/>
    </row>
    <row r="105">
      <c r="A105" t="inlineStr">
        <is>
          <t>PUTRA BANUA BERKARYA</t>
        </is>
      </c>
      <c r="B105" t="inlineStr">
        <is>
          <t>Kab. Tabalong</t>
        </is>
      </c>
      <c r="C105" t="inlineStr">
        <is>
          <t>085249744374</t>
        </is>
      </c>
      <c r="D105" t="inlineStr">
        <is>
          <t>cv.putra.banua.berkarya@gmail.com</t>
        </is>
      </c>
      <c r="E105" t="inlineStr">
        <is>
          <t>https://lpjk.pu.go.id/search-badan-usaha-detail/MHFBdThZL3A0MFZmekxvMkdWS2tKZz09</t>
        </is>
      </c>
      <c r="F105" t="n">
        <v>1</v>
      </c>
      <c r="G105" t="inlineStr">
        <is>
          <t>BS001</t>
        </is>
      </c>
      <c r="H105" t="inlineStr">
        <is>
          <t>27 Juni 2023</t>
        </is>
      </c>
      <c r="I105" s="2" t="n">
        <v>46226</v>
      </c>
      <c r="J105" t="inlineStr">
        <is>
          <t>Disetujui</t>
        </is>
      </c>
      <c r="K105" t="n">
        <v>30</v>
      </c>
      <c r="L105" t="inlineStr">
        <is>
          <t>23 Juli 2026</t>
        </is>
      </c>
      <c r="M105" t="inlineStr">
        <is>
          <t>Konstruksi Bangunan Sipil Jalan</t>
        </is>
      </c>
      <c r="N105" t="inlineStr">
        <is>
          <t>K</t>
        </is>
      </c>
      <c r="O105" t="inlineStr">
        <is>
          <t>20230724</t>
        </is>
      </c>
      <c r="P105" t="inlineStr">
        <is>
          <t>Kalimantan Selatan</t>
        </is>
      </c>
      <c r="Q105" t="inlineStr"/>
    </row>
    <row r="106">
      <c r="A106" t="inlineStr">
        <is>
          <t>PUTRA ILYAS</t>
        </is>
      </c>
      <c r="B106" t="inlineStr">
        <is>
          <t>Kab. Luwu</t>
        </is>
      </c>
      <c r="C106" t="inlineStr">
        <is>
          <t>082225439117</t>
        </is>
      </c>
      <c r="D106" t="inlineStr">
        <is>
          <t>basoilyas11@gmail.com</t>
        </is>
      </c>
      <c r="E106" t="inlineStr">
        <is>
          <t>https://lpjk.pu.go.id/search-badan-usaha-detail/TWhpNjVCQVE4Y0FST1pvMDVQblFrQT09</t>
        </is>
      </c>
      <c r="F106" t="n">
        <v>1</v>
      </c>
      <c r="G106" t="inlineStr">
        <is>
          <t>BG006</t>
        </is>
      </c>
      <c r="H106" t="inlineStr">
        <is>
          <t>7 April 2022</t>
        </is>
      </c>
      <c r="I106" s="2" t="n">
        <v>46226</v>
      </c>
      <c r="J106" t="inlineStr">
        <is>
          <t>Disetujui</t>
        </is>
      </c>
      <c r="K106" t="n">
        <v>30</v>
      </c>
      <c r="L106" t="inlineStr">
        <is>
          <t>23 Juli 2026</t>
        </is>
      </c>
      <c r="M106" t="inlineStr">
        <is>
          <t>Konstruksi Gedung Pendidikan</t>
        </is>
      </c>
      <c r="N106" t="inlineStr">
        <is>
          <t>K</t>
        </is>
      </c>
      <c r="O106" t="inlineStr">
        <is>
          <t>20230721</t>
        </is>
      </c>
      <c r="P106" t="inlineStr">
        <is>
          <t>Sulawesi Selatan</t>
        </is>
      </c>
      <c r="Q106" t="inlineStr"/>
    </row>
    <row r="107">
      <c r="A107" t="inlineStr">
        <is>
          <t>PUTRA RANU</t>
        </is>
      </c>
      <c r="B107" t="inlineStr">
        <is>
          <t>Kab. Pasuruan</t>
        </is>
      </c>
      <c r="C107" t="inlineStr">
        <is>
          <t>081217797662</t>
        </is>
      </c>
      <c r="D107" t="inlineStr">
        <is>
          <t>cv.putraranu88@gmail.com</t>
        </is>
      </c>
      <c r="E107" t="inlineStr">
        <is>
          <t>https://lpjk.pu.go.id/search-badan-usaha-detail/K050bjdXS0ZJcmFVYkhmOWdoTmZkdz09</t>
        </is>
      </c>
      <c r="F107" t="n">
        <v>1</v>
      </c>
      <c r="G107" t="inlineStr">
        <is>
          <t>BS001</t>
        </is>
      </c>
      <c r="H107" t="inlineStr">
        <is>
          <t>13 November 2003</t>
        </is>
      </c>
      <c r="I107" s="2" t="n">
        <v>46226</v>
      </c>
      <c r="J107" t="inlineStr">
        <is>
          <t>Disetujui</t>
        </is>
      </c>
      <c r="K107" t="n">
        <v>30</v>
      </c>
      <c r="L107" t="inlineStr">
        <is>
          <t>23 Juli 2026</t>
        </is>
      </c>
      <c r="M107" t="inlineStr">
        <is>
          <t>Konstruksi Bangunan Sipil Jalan</t>
        </is>
      </c>
      <c r="N107" t="inlineStr">
        <is>
          <t>K</t>
        </is>
      </c>
      <c r="O107" t="inlineStr">
        <is>
          <t>20230713</t>
        </is>
      </c>
      <c r="P107" t="inlineStr">
        <is>
          <t>Jawa Timur</t>
        </is>
      </c>
      <c r="Q107" t="inlineStr"/>
    </row>
    <row r="108">
      <c r="A108" t="inlineStr">
        <is>
          <t>PUTRI WALET</t>
        </is>
      </c>
      <c r="B108" t="inlineStr">
        <is>
          <t>Kab. Kapuas Hulu</t>
        </is>
      </c>
      <c r="C108" t="inlineStr">
        <is>
          <t>081256790239</t>
        </is>
      </c>
      <c r="D108" t="inlineStr">
        <is>
          <t>putriwalet.cv@gmail.com</t>
        </is>
      </c>
      <c r="E108" t="inlineStr">
        <is>
          <t>https://lpjk.pu.go.id/search-badan-usaha-detail/b2RIU2ladFZWTFVsNXdBbUhLWUhGUT09</t>
        </is>
      </c>
      <c r="F108" t="n">
        <v>1</v>
      </c>
      <c r="G108" t="inlineStr">
        <is>
          <t>BG005</t>
        </is>
      </c>
      <c r="H108" t="inlineStr">
        <is>
          <t>18 September 2006</t>
        </is>
      </c>
      <c r="I108" s="2" t="n">
        <v>46226</v>
      </c>
      <c r="J108" t="inlineStr">
        <is>
          <t>Disetujui</t>
        </is>
      </c>
      <c r="K108" t="n">
        <v>30</v>
      </c>
      <c r="L108" t="inlineStr">
        <is>
          <t>23 Juli 2026</t>
        </is>
      </c>
      <c r="M108" t="inlineStr">
        <is>
          <t>Konstruksi Gedung Kesehatan</t>
        </is>
      </c>
      <c r="N108" t="inlineStr">
        <is>
          <t>K</t>
        </is>
      </c>
      <c r="O108" t="inlineStr">
        <is>
          <t>20230713</t>
        </is>
      </c>
      <c r="P108" t="inlineStr">
        <is>
          <t>Kalimantan Barat</t>
        </is>
      </c>
      <c r="Q108" t="inlineStr"/>
    </row>
    <row r="109">
      <c r="A109" t="inlineStr">
        <is>
          <t>RADMILA PARADUTA</t>
        </is>
      </c>
      <c r="B109" t="inlineStr">
        <is>
          <t>Kab. Bangkalan</t>
        </is>
      </c>
      <c r="C109" t="inlineStr">
        <is>
          <t>082330422222</t>
        </is>
      </c>
      <c r="D109" t="inlineStr">
        <is>
          <t>cvradmilaparaduta@gmail.com</t>
        </is>
      </c>
      <c r="E109" t="inlineStr">
        <is>
          <t>https://lpjk.pu.go.id/search-badan-usaha-detail/eDB4NUU1SEFhQTVTZ3REbEpZWGFlQT09</t>
        </is>
      </c>
      <c r="F109" t="n">
        <v>2</v>
      </c>
      <c r="G109" t="inlineStr">
        <is>
          <t>BS001, BS004</t>
        </is>
      </c>
      <c r="H109" t="inlineStr">
        <is>
          <t>9 Mei 2023</t>
        </is>
      </c>
      <c r="I109" s="2" t="n">
        <v>46226</v>
      </c>
      <c r="J109" t="inlineStr">
        <is>
          <t>Disetujui</t>
        </is>
      </c>
      <c r="K109" t="n">
        <v>30</v>
      </c>
      <c r="L109" t="inlineStr">
        <is>
          <t>23 Juli 2026</t>
        </is>
      </c>
      <c r="M109" t="inlineStr">
        <is>
          <t>Konstruksi Bangunan Sipil Jalan, Konstruksi Jaringan Irigasi dan Drainase</t>
        </is>
      </c>
      <c r="N109" t="inlineStr">
        <is>
          <t>K</t>
        </is>
      </c>
      <c r="O109" t="inlineStr">
        <is>
          <t>20230724</t>
        </is>
      </c>
      <c r="P109" t="inlineStr">
        <is>
          <t>Jawa Timur</t>
        </is>
      </c>
      <c r="Q109" t="inlineStr"/>
    </row>
    <row r="110">
      <c r="A110" t="inlineStr">
        <is>
          <t>RAMAI JAYA ABADI</t>
        </is>
      </c>
      <c r="B110" t="inlineStr">
        <is>
          <t>Kab. Blora</t>
        </is>
      </c>
      <c r="C110" t="inlineStr">
        <is>
          <t>02965104662</t>
        </is>
      </c>
      <c r="D110" t="inlineStr">
        <is>
          <t>ramaijayaabadi18@gmail.com</t>
        </is>
      </c>
      <c r="E110" t="inlineStr">
        <is>
          <t>https://lpjk.pu.go.id/search-badan-usaha-detail/Mml5WGFOa2M4KzBHOUNXQTJxZkp5QT09</t>
        </is>
      </c>
      <c r="F110" t="n">
        <v>1</v>
      </c>
      <c r="G110" t="inlineStr">
        <is>
          <t>IN001</t>
        </is>
      </c>
      <c r="H110" t="inlineStr">
        <is>
          <t>4 Februari 2004</t>
        </is>
      </c>
      <c r="I110" s="2" t="n">
        <v>46226</v>
      </c>
      <c r="J110" t="inlineStr">
        <is>
          <t>Disetujui</t>
        </is>
      </c>
      <c r="K110" t="n">
        <v>30</v>
      </c>
      <c r="L110" t="inlineStr">
        <is>
          <t>23 Juli 2026</t>
        </is>
      </c>
      <c r="M110" t="inlineStr">
        <is>
          <t>Instalasi Mekanikal</t>
        </is>
      </c>
      <c r="N110" t="inlineStr">
        <is>
          <t>Spesialis</t>
        </is>
      </c>
      <c r="O110" t="inlineStr">
        <is>
          <t>20230719</t>
        </is>
      </c>
      <c r="P110" t="inlineStr">
        <is>
          <t>Jawa Tengah</t>
        </is>
      </c>
      <c r="Q110" t="inlineStr"/>
    </row>
    <row r="111">
      <c r="A111" t="inlineStr">
        <is>
          <t>RAQA NUGRAHA</t>
        </is>
      </c>
      <c r="B111" t="inlineStr">
        <is>
          <t>Kab. Pangandaran</t>
        </is>
      </c>
      <c r="C111" t="inlineStr">
        <is>
          <t>085222800505</t>
        </is>
      </c>
      <c r="D111" t="inlineStr">
        <is>
          <t>cv.raqanugraha@gmail.com</t>
        </is>
      </c>
      <c r="E111" t="inlineStr">
        <is>
          <t>https://lpjk.pu.go.id/search-badan-usaha-detail/MVpYWEI0MGY1MTYrdkhmQ1M2THBmQT09</t>
        </is>
      </c>
      <c r="F111" t="n">
        <v>2</v>
      </c>
      <c r="G111" t="inlineStr">
        <is>
          <t>BG006, BS004</t>
        </is>
      </c>
      <c r="H111" t="inlineStr">
        <is>
          <t>29 Juli 2019</t>
        </is>
      </c>
      <c r="I111" s="2" t="n">
        <v>46226</v>
      </c>
      <c r="J111" t="inlineStr">
        <is>
          <t>Disetujui</t>
        </is>
      </c>
      <c r="K111" t="n">
        <v>30</v>
      </c>
      <c r="L111" t="inlineStr">
        <is>
          <t>23 Juli 2026</t>
        </is>
      </c>
      <c r="M111" t="inlineStr">
        <is>
          <t>Konstruksi Gedung Pendidikan, Konstruksi Jaringan Irigasi dan Drainase</t>
        </is>
      </c>
      <c r="N111" t="inlineStr">
        <is>
          <t>K</t>
        </is>
      </c>
      <c r="O111" t="inlineStr">
        <is>
          <t>20230608</t>
        </is>
      </c>
      <c r="P111" t="inlineStr">
        <is>
          <t>Jawa Barat</t>
        </is>
      </c>
      <c r="Q111" t="inlineStr"/>
    </row>
    <row r="112">
      <c r="A112" t="inlineStr">
        <is>
          <t>RARA VANNES MEGA KONSTRUKSI</t>
        </is>
      </c>
      <c r="B112" t="inlineStr">
        <is>
          <t>Kab. Rejang Lebong</t>
        </is>
      </c>
      <c r="C112" t="inlineStr">
        <is>
          <t>081275641272</t>
        </is>
      </c>
      <c r="D112" t="inlineStr">
        <is>
          <t>raravanes.megakontruksi@gmail.com</t>
        </is>
      </c>
      <c r="E112" t="inlineStr">
        <is>
          <t>https://lpjk.pu.go.id/search-badan-usaha-detail/Z3Y4emFyWGppZW9QZ2t1RG1vTzJodz09</t>
        </is>
      </c>
      <c r="F112" t="n">
        <v>2</v>
      </c>
      <c r="G112" t="inlineStr">
        <is>
          <t>BG005, BG009</t>
        </is>
      </c>
      <c r="H112" t="inlineStr">
        <is>
          <t>16 Maret 2023</t>
        </is>
      </c>
      <c r="I112" s="2" t="n">
        <v>46226</v>
      </c>
      <c r="J112" t="inlineStr">
        <is>
          <t>Disetujui</t>
        </is>
      </c>
      <c r="K112" t="n">
        <v>30</v>
      </c>
      <c r="L112" t="inlineStr">
        <is>
          <t>23 Juli 2026</t>
        </is>
      </c>
      <c r="M112" t="inlineStr">
        <is>
          <t>Konstruksi Gedung Kesehatan, Konstruksi Gedung Lainnya</t>
        </is>
      </c>
      <c r="N112" t="inlineStr">
        <is>
          <t>K</t>
        </is>
      </c>
      <c r="O112" t="inlineStr">
        <is>
          <t>20230719</t>
        </is>
      </c>
      <c r="P112" t="inlineStr">
        <is>
          <t>Bengkulu</t>
        </is>
      </c>
      <c r="Q112" t="inlineStr"/>
    </row>
    <row r="113">
      <c r="A113" t="inlineStr">
        <is>
          <t>RAYYAN KHAIRAN PRATAMA</t>
        </is>
      </c>
      <c r="B113" t="inlineStr">
        <is>
          <t>Kota Makassar</t>
        </is>
      </c>
      <c r="C113" t="inlineStr">
        <is>
          <t>082293381009</t>
        </is>
      </c>
      <c r="D113" t="inlineStr">
        <is>
          <t>ptrayyankhairanpratama2022@gmail.com</t>
        </is>
      </c>
      <c r="E113" t="inlineStr">
        <is>
          <t>https://lpjk.pu.go.id/search-badan-usaha-detail/V2NpTnc2ZHYrbEtqMFJkNXpOT1Fidz09</t>
        </is>
      </c>
      <c r="F113" t="n">
        <v>2</v>
      </c>
      <c r="G113" t="inlineStr">
        <is>
          <t>BS002</t>
        </is>
      </c>
      <c r="H113" t="inlineStr">
        <is>
          <t>2 Februari 2013</t>
        </is>
      </c>
      <c r="I113" s="2" t="n">
        <v>46226</v>
      </c>
      <c r="J113" t="inlineStr">
        <is>
          <t>Pencabutan</t>
        </is>
      </c>
      <c r="K113" t="n">
        <v>30</v>
      </c>
      <c r="L113" t="inlineStr">
        <is>
          <t>23 Juli 2026</t>
        </is>
      </c>
      <c r="M113" t="inlineStr">
        <is>
          <t>Bangunan Sipil Jembatan, Jalan Layang, Fly Over, dan Underpass</t>
        </is>
      </c>
      <c r="N113" t="inlineStr">
        <is>
          <t>M</t>
        </is>
      </c>
      <c r="O113" t="inlineStr">
        <is>
          <t>20230718</t>
        </is>
      </c>
      <c r="P113" t="inlineStr">
        <is>
          <t>Sulawesi Selatan</t>
        </is>
      </c>
      <c r="Q113" t="inlineStr"/>
    </row>
    <row r="114">
      <c r="A114" t="inlineStr">
        <is>
          <t>RINDANG BERSAMA</t>
        </is>
      </c>
      <c r="B114" t="inlineStr">
        <is>
          <t>Kab. Banjar</t>
        </is>
      </c>
      <c r="C114" t="inlineStr">
        <is>
          <t>05113264552</t>
        </is>
      </c>
      <c r="D114" t="inlineStr">
        <is>
          <t>rindang.bersamacv@gmail.com</t>
        </is>
      </c>
      <c r="E114" t="inlineStr">
        <is>
          <t>https://lpjk.pu.go.id/search-badan-usaha-detail/dzh3aDFmY0VlZXpjUnhGNjhhL01PUT09</t>
        </is>
      </c>
      <c r="F114" t="n">
        <v>1</v>
      </c>
      <c r="G114" t="inlineStr">
        <is>
          <t>BS001</t>
        </is>
      </c>
      <c r="H114" t="inlineStr">
        <is>
          <t>19 Desember 2000</t>
        </is>
      </c>
      <c r="I114" s="2" t="n">
        <v>46226</v>
      </c>
      <c r="J114" t="inlineStr">
        <is>
          <t>Disetujui</t>
        </is>
      </c>
      <c r="K114" t="n">
        <v>30</v>
      </c>
      <c r="L114" t="inlineStr">
        <is>
          <t>23 Juli 2026</t>
        </is>
      </c>
      <c r="M114" t="inlineStr">
        <is>
          <t>Konstruksi Bangunan Sipil Jalan</t>
        </is>
      </c>
      <c r="N114" t="inlineStr">
        <is>
          <t>K</t>
        </is>
      </c>
      <c r="O114" t="inlineStr">
        <is>
          <t>20230720</t>
        </is>
      </c>
      <c r="P114" t="inlineStr">
        <is>
          <t>Kalimantan Selatan</t>
        </is>
      </c>
      <c r="Q114" t="inlineStr"/>
    </row>
    <row r="115">
      <c r="A115" t="inlineStr">
        <is>
          <t>RIZKY UTAMA TEHNIK</t>
        </is>
      </c>
      <c r="B115" t="inlineStr">
        <is>
          <t>Kota Balikpapan</t>
        </is>
      </c>
      <c r="C115" t="inlineStr">
        <is>
          <t>0542422918</t>
        </is>
      </c>
      <c r="D115" t="inlineStr">
        <is>
          <t>Rizkyut@yahoo.com</t>
        </is>
      </c>
      <c r="E115" t="inlineStr">
        <is>
          <t>https://lpjk.pu.go.id/search-badan-usaha-detail/aUNNc1J4YnZhYmFIaDFYcEFXOUNaQT09</t>
        </is>
      </c>
      <c r="F115" t="n">
        <v>1</v>
      </c>
      <c r="G115" t="inlineStr">
        <is>
          <t>RK002</t>
        </is>
      </c>
      <c r="H115" t="inlineStr">
        <is>
          <t>18 Januari 2002</t>
        </is>
      </c>
      <c r="I115" s="2" t="n">
        <v>46226</v>
      </c>
      <c r="J115" t="inlineStr">
        <is>
          <t>Disetujui</t>
        </is>
      </c>
      <c r="K115" t="n">
        <v>30</v>
      </c>
      <c r="L115" t="inlineStr">
        <is>
          <t>23 Juli 2026</t>
        </is>
      </c>
      <c r="M115" t="inlineStr">
        <is>
          <t>Jasa Rekayasa Pekerjaan Teknik Sipil Sumber Daya Air</t>
        </is>
      </c>
      <c r="N115" t="inlineStr">
        <is>
          <t>K</t>
        </is>
      </c>
      <c r="O115" t="inlineStr">
        <is>
          <t>20230711</t>
        </is>
      </c>
      <c r="P115" t="inlineStr">
        <is>
          <t>Kalimantan Timur</t>
        </is>
      </c>
      <c r="Q115" t="inlineStr"/>
    </row>
    <row r="116">
      <c r="A116" t="inlineStr">
        <is>
          <t>RUKUN JAYA MADURA GROUP</t>
        </is>
      </c>
      <c r="B116" t="inlineStr">
        <is>
          <t>Kab. Sampang</t>
        </is>
      </c>
      <c r="C116" t="inlineStr">
        <is>
          <t>081937292440</t>
        </is>
      </c>
      <c r="D116" t="inlineStr">
        <is>
          <t>khoirulumam.pt@yandex.com</t>
        </is>
      </c>
      <c r="E116" t="inlineStr">
        <is>
          <t>https://lpjk.pu.go.id/search-badan-usaha-detail/cTNFT003OWdmcUhiT0UzNlU2NGErQT09</t>
        </is>
      </c>
      <c r="F116" t="n">
        <v>1</v>
      </c>
      <c r="G116" t="inlineStr">
        <is>
          <t>BS001</t>
        </is>
      </c>
      <c r="H116" t="inlineStr">
        <is>
          <t>2 Juli 2007</t>
        </is>
      </c>
      <c r="I116" s="2" t="n">
        <v>46226</v>
      </c>
      <c r="J116" t="inlineStr">
        <is>
          <t>Disetujui</t>
        </is>
      </c>
      <c r="K116" t="n">
        <v>30</v>
      </c>
      <c r="L116" t="inlineStr">
        <is>
          <t>23 Juli 2026</t>
        </is>
      </c>
      <c r="M116" t="inlineStr">
        <is>
          <t>Konstruksi Bangunan Sipil Jalan</t>
        </is>
      </c>
      <c r="N116" t="inlineStr">
        <is>
          <t>M</t>
        </is>
      </c>
      <c r="O116" t="inlineStr">
        <is>
          <t>20230707</t>
        </is>
      </c>
      <c r="P116" t="inlineStr">
        <is>
          <t>Jawa Timur</t>
        </is>
      </c>
      <c r="Q116" t="inlineStr"/>
    </row>
    <row r="117">
      <c r="A117" t="inlineStr">
        <is>
          <t>SADAR KARYA DINAMIS</t>
        </is>
      </c>
      <c r="B117" t="inlineStr">
        <is>
          <t>Kab. Bandung</t>
        </is>
      </c>
      <c r="C117" t="inlineStr">
        <is>
          <t>0225947783</t>
        </is>
      </c>
      <c r="D117" t="inlineStr">
        <is>
          <t>sadarkaryadinamis_s@yahoo.com</t>
        </is>
      </c>
      <c r="E117" t="inlineStr">
        <is>
          <t>https://lpjk.pu.go.id/search-badan-usaha-detail/SUx2ZzhudnpWanZ0Vk1GTXRjOUZ3UT09</t>
        </is>
      </c>
      <c r="F117" t="n">
        <v>2</v>
      </c>
      <c r="G117" t="inlineStr">
        <is>
          <t>BG009</t>
        </is>
      </c>
      <c r="H117" t="inlineStr">
        <is>
          <t>16 Januari 2010</t>
        </is>
      </c>
      <c r="I117" s="2" t="n">
        <v>46226</v>
      </c>
      <c r="J117" t="inlineStr">
        <is>
          <t>Disetujui</t>
        </is>
      </c>
      <c r="K117" t="n">
        <v>30</v>
      </c>
      <c r="L117" t="inlineStr">
        <is>
          <t>23 Juli 2026</t>
        </is>
      </c>
      <c r="M117" t="inlineStr">
        <is>
          <t>Konstruksi Gedung Lainnya</t>
        </is>
      </c>
      <c r="N117" t="inlineStr">
        <is>
          <t>M</t>
        </is>
      </c>
      <c r="O117" t="inlineStr">
        <is>
          <t>20230522</t>
        </is>
      </c>
      <c r="P117" t="inlineStr">
        <is>
          <t>Jawa Barat</t>
        </is>
      </c>
      <c r="Q117" t="inlineStr"/>
    </row>
    <row r="118">
      <c r="A118" t="inlineStr">
        <is>
          <t>SAGITA</t>
        </is>
      </c>
      <c r="B118" t="inlineStr">
        <is>
          <t>Kab. Dompu</t>
        </is>
      </c>
      <c r="C118" t="inlineStr">
        <is>
          <t>085337156207</t>
        </is>
      </c>
      <c r="D118" t="inlineStr">
        <is>
          <t>cv.sagita0609@gmail.com</t>
        </is>
      </c>
      <c r="E118" t="inlineStr">
        <is>
          <t>https://lpjk.pu.go.id/search-badan-usaha-detail/OWwzRXNtcHpPSGtNOGdDUmRKc3JxZz09</t>
        </is>
      </c>
      <c r="F118" t="n">
        <v>2</v>
      </c>
      <c r="G118" t="inlineStr">
        <is>
          <t>BG006, BG009</t>
        </is>
      </c>
      <c r="H118" t="inlineStr">
        <is>
          <t>13 Oktober 2004</t>
        </is>
      </c>
      <c r="I118" s="2" t="n">
        <v>46226</v>
      </c>
      <c r="J118" t="inlineStr">
        <is>
          <t>Disetujui</t>
        </is>
      </c>
      <c r="K118" t="n">
        <v>30</v>
      </c>
      <c r="L118" t="inlineStr">
        <is>
          <t>23 Juli 2026</t>
        </is>
      </c>
      <c r="M118" t="inlineStr">
        <is>
          <t>Konstruksi Gedung Lainnya, Konstruksi Gedung Pendidikan</t>
        </is>
      </c>
      <c r="N118" t="inlineStr">
        <is>
          <t>K</t>
        </is>
      </c>
      <c r="O118" t="inlineStr">
        <is>
          <t>20230724</t>
        </is>
      </c>
      <c r="P118" t="inlineStr">
        <is>
          <t>Nusa Tenggara Barat</t>
        </is>
      </c>
      <c r="Q118" t="inlineStr"/>
    </row>
    <row r="119">
      <c r="A119" t="inlineStr">
        <is>
          <t>SATU SEMBILAN PROJECT</t>
        </is>
      </c>
      <c r="B119" t="inlineStr">
        <is>
          <t>Kab. Tanah Bumbu</t>
        </is>
      </c>
      <c r="C119" t="inlineStr">
        <is>
          <t>081348043512</t>
        </is>
      </c>
      <c r="D119" t="inlineStr">
        <is>
          <t>Satusembilanproject@gmail.com</t>
        </is>
      </c>
      <c r="E119" t="inlineStr">
        <is>
          <t>https://lpjk.pu.go.id/search-badan-usaha-detail/ZjdMS3pYczZrcGlXamxPV0xBK202QT09</t>
        </is>
      </c>
      <c r="F119" t="n">
        <v>3</v>
      </c>
      <c r="G119" t="inlineStr">
        <is>
          <t>RK001, RK002, RK003</t>
        </is>
      </c>
      <c r="H119" t="inlineStr">
        <is>
          <t>22 Juni 2023</t>
        </is>
      </c>
      <c r="I119" s="2" t="n">
        <v>46226</v>
      </c>
      <c r="J119" t="inlineStr">
        <is>
          <t>Disetujui</t>
        </is>
      </c>
      <c r="K119" t="n">
        <v>30</v>
      </c>
      <c r="L119" t="inlineStr">
        <is>
          <t>23 Juli 2026</t>
        </is>
      </c>
      <c r="M119" t="inlineStr">
        <is>
          <t>Jasa Rekayasa Konstruksi Bangunan Gedung Hunian dan Non Hunian, Jasa Rekayasa Pekerjaan Teknik Sipil Sumber Daya Air, Jasa Rekayasa Pekerjaan Teknik Sipil Transportasi</t>
        </is>
      </c>
      <c r="N119" t="inlineStr">
        <is>
          <t>K</t>
        </is>
      </c>
      <c r="O119" t="inlineStr">
        <is>
          <t>20230717</t>
        </is>
      </c>
      <c r="P119" t="inlineStr">
        <is>
          <t>Kalimantan Selatan</t>
        </is>
      </c>
      <c r="Q119" t="inlineStr"/>
    </row>
    <row r="120">
      <c r="A120" t="inlineStr">
        <is>
          <t>SATYA PRATAMA KONSTRUKSI</t>
        </is>
      </c>
      <c r="B120" t="inlineStr">
        <is>
          <t>Kota Medan</t>
        </is>
      </c>
      <c r="C120" t="inlineStr">
        <is>
          <t>081223457483</t>
        </is>
      </c>
      <c r="D120" t="inlineStr">
        <is>
          <t>pt.satyapratama@yahoo.com</t>
        </is>
      </c>
      <c r="E120" t="inlineStr">
        <is>
          <t>https://lpjk.pu.go.id/search-badan-usaha-detail/UndVTHlrcHJKQmlPVThmelR4bzluQT09</t>
        </is>
      </c>
      <c r="F120" t="n">
        <v>1</v>
      </c>
      <c r="G120" t="inlineStr">
        <is>
          <t>BG001</t>
        </is>
      </c>
      <c r="H120" t="inlineStr">
        <is>
          <t>4 April 2023</t>
        </is>
      </c>
      <c r="I120" s="2" t="n">
        <v>46226</v>
      </c>
      <c r="J120" t="inlineStr">
        <is>
          <t>Disetujui</t>
        </is>
      </c>
      <c r="K120" t="n">
        <v>30</v>
      </c>
      <c r="L120" t="inlineStr">
        <is>
          <t>23 Juli 2026</t>
        </is>
      </c>
      <c r="M120" t="inlineStr">
        <is>
          <t>Konstruksi Gedung Hunian</t>
        </is>
      </c>
      <c r="N120" t="inlineStr">
        <is>
          <t>K</t>
        </is>
      </c>
      <c r="O120" t="inlineStr">
        <is>
          <t>20230721</t>
        </is>
      </c>
      <c r="P120" t="inlineStr">
        <is>
          <t>Sumatera Utara</t>
        </is>
      </c>
      <c r="Q120" t="inlineStr"/>
    </row>
    <row r="121">
      <c r="A121" t="inlineStr">
        <is>
          <t>SENTRA PRIMA SERVICES</t>
        </is>
      </c>
      <c r="B121" t="inlineStr">
        <is>
          <t>Kab. Sidoarjo</t>
        </is>
      </c>
      <c r="C121" t="inlineStr">
        <is>
          <t>0318553205</t>
        </is>
      </c>
      <c r="D121" t="inlineStr">
        <is>
          <t>sentrapriserv@indo.net.id</t>
        </is>
      </c>
      <c r="E121" t="inlineStr">
        <is>
          <t>https://lpjk.pu.go.id/search-badan-usaha-detail/aXJIK2tleUwxRmJlYlFUdW9ZWVNhQT09</t>
        </is>
      </c>
      <c r="F121" t="n">
        <v>1</v>
      </c>
      <c r="G121" t="inlineStr">
        <is>
          <t>IN004</t>
        </is>
      </c>
      <c r="H121" t="inlineStr">
        <is>
          <t>9 Maret 2004</t>
        </is>
      </c>
      <c r="I121" s="2" t="n">
        <v>46226</v>
      </c>
      <c r="J121" t="inlineStr">
        <is>
          <t>Disetujui</t>
        </is>
      </c>
      <c r="K121" t="n">
        <v>30</v>
      </c>
      <c r="L121" t="inlineStr">
        <is>
          <t>23 Juli 2026</t>
        </is>
      </c>
      <c r="M121" t="inlineStr">
        <is>
          <t>Instalasi Minyak dan Gas</t>
        </is>
      </c>
      <c r="N121" t="inlineStr">
        <is>
          <t>Spesialis</t>
        </is>
      </c>
      <c r="O121" t="inlineStr">
        <is>
          <t>20230721</t>
        </is>
      </c>
      <c r="P121" t="inlineStr">
        <is>
          <t>Jawa Timur</t>
        </is>
      </c>
      <c r="Q121" t="inlineStr"/>
    </row>
    <row r="122">
      <c r="A122" t="inlineStr">
        <is>
          <t>SEPULUH SUMBER ANUGERAH</t>
        </is>
      </c>
      <c r="B122" t="inlineStr">
        <is>
          <t>Kab. Serang</t>
        </is>
      </c>
      <c r="C122" t="inlineStr">
        <is>
          <t>(0254) 408947-49</t>
        </is>
      </c>
      <c r="D122" t="inlineStr">
        <is>
          <t>hrd@pt-ssa.co.id</t>
        </is>
      </c>
      <c r="E122" t="inlineStr">
        <is>
          <t>https://lpjk.pu.go.id/search-badan-usaha-detail/NTJTbjVzbTNUTERoQWg1WEdPOFZSQT09</t>
        </is>
      </c>
      <c r="F122" t="n">
        <v>1</v>
      </c>
      <c r="G122" t="inlineStr">
        <is>
          <t>GT003</t>
        </is>
      </c>
      <c r="H122" t="inlineStr">
        <is>
          <t>2 Februari 1996</t>
        </is>
      </c>
      <c r="I122" s="2" t="n">
        <v>46226</v>
      </c>
      <c r="J122" t="inlineStr">
        <is>
          <t>Disetujui</t>
        </is>
      </c>
      <c r="K122" t="n">
        <v>30</v>
      </c>
      <c r="L122" t="inlineStr">
        <is>
          <t>23 Juli 2026</t>
        </is>
      </c>
      <c r="M122" t="inlineStr">
        <is>
          <t>Konstruksi Gedung Industri</t>
        </is>
      </c>
      <c r="N122" t="inlineStr">
        <is>
          <t>B</t>
        </is>
      </c>
      <c r="O122" t="inlineStr">
        <is>
          <t>20230714</t>
        </is>
      </c>
      <c r="P122" t="inlineStr">
        <is>
          <t>Banten</t>
        </is>
      </c>
      <c r="Q122" t="inlineStr"/>
    </row>
    <row r="123">
      <c r="A123" t="inlineStr">
        <is>
          <t>SETIAWAN JAYA</t>
        </is>
      </c>
      <c r="B123" t="inlineStr">
        <is>
          <t>Kota Adm. Jakarta Utara</t>
        </is>
      </c>
      <c r="C123" t="inlineStr">
        <is>
          <t>0214608006</t>
        </is>
      </c>
      <c r="D123" t="inlineStr">
        <is>
          <t>setiawanjaya.alka@gmail.com</t>
        </is>
      </c>
      <c r="E123" t="inlineStr">
        <is>
          <t>https://lpjk.pu.go.id/search-badan-usaha-detail/UjM1WjRiSlBtaUFLUFgzWWdSTzRPUT09</t>
        </is>
      </c>
      <c r="F123" t="n">
        <v>1</v>
      </c>
      <c r="G123" t="inlineStr">
        <is>
          <t>BG004</t>
        </is>
      </c>
      <c r="H123" t="inlineStr">
        <is>
          <t>1 Mei 2009</t>
        </is>
      </c>
      <c r="I123" s="2" t="n">
        <v>46226</v>
      </c>
      <c r="J123" t="inlineStr">
        <is>
          <t>Disetujui</t>
        </is>
      </c>
      <c r="K123" t="n">
        <v>30</v>
      </c>
      <c r="L123" t="inlineStr">
        <is>
          <t>23 Juli 2026</t>
        </is>
      </c>
      <c r="M123" t="inlineStr">
        <is>
          <t>Konstruksi Gedung Perbelanjaan</t>
        </is>
      </c>
      <c r="N123" t="inlineStr">
        <is>
          <t>K</t>
        </is>
      </c>
      <c r="O123" t="inlineStr">
        <is>
          <t>20230406</t>
        </is>
      </c>
      <c r="P123" t="inlineStr">
        <is>
          <t>DKI Jakarta</t>
        </is>
      </c>
      <c r="Q123" t="inlineStr"/>
    </row>
    <row r="124">
      <c r="A124" t="inlineStr">
        <is>
          <t>SINAR PRIMA</t>
        </is>
      </c>
      <c r="B124" t="inlineStr">
        <is>
          <t>Kab. Garut</t>
        </is>
      </c>
      <c r="C124" t="inlineStr">
        <is>
          <t>085315740700</t>
        </is>
      </c>
      <c r="D124" t="inlineStr">
        <is>
          <t>Sinarprima06@gmail.com</t>
        </is>
      </c>
      <c r="E124" t="inlineStr">
        <is>
          <t>https://lpjk.pu.go.id/search-badan-usaha-detail/YlBlZ2lscytPOVV1bDVOUndvNHBPZz09</t>
        </is>
      </c>
      <c r="F124" t="n">
        <v>1</v>
      </c>
      <c r="G124" t="inlineStr">
        <is>
          <t>BS001</t>
        </is>
      </c>
      <c r="H124" t="inlineStr">
        <is>
          <t>20 Februari 2020</t>
        </is>
      </c>
      <c r="I124" s="2" t="n">
        <v>46226</v>
      </c>
      <c r="J124" t="inlineStr">
        <is>
          <t>Disetujui</t>
        </is>
      </c>
      <c r="K124" t="n">
        <v>30</v>
      </c>
      <c r="L124" t="inlineStr">
        <is>
          <t>23 Juli 2026</t>
        </is>
      </c>
      <c r="M124" t="inlineStr">
        <is>
          <t>Konstruksi Bangunan Sipil Jalan</t>
        </is>
      </c>
      <c r="N124" t="inlineStr">
        <is>
          <t>K</t>
        </is>
      </c>
      <c r="O124" t="inlineStr">
        <is>
          <t>20230721</t>
        </is>
      </c>
      <c r="P124" t="inlineStr">
        <is>
          <t>Jawa Barat</t>
        </is>
      </c>
      <c r="Q124" t="inlineStr"/>
    </row>
    <row r="125">
      <c r="A125" t="inlineStr">
        <is>
          <t>SINAR SURYA AGUNG</t>
        </is>
      </c>
      <c r="B125" t="inlineStr">
        <is>
          <t>Kab. Belitung Timur</t>
        </is>
      </c>
      <c r="C125" t="inlineStr">
        <is>
          <t>0813 6962 1989</t>
        </is>
      </c>
      <c r="D125" t="inlineStr">
        <is>
          <t>cv.sinarsuryaagung@gmail.com</t>
        </is>
      </c>
      <c r="E125" t="inlineStr">
        <is>
          <t>https://lpjk.pu.go.id/search-badan-usaha-detail/eUVmRDZXNDFxamJxZ1llclNsRStOUT09</t>
        </is>
      </c>
      <c r="F125" t="n">
        <v>3</v>
      </c>
      <c r="G125" t="inlineStr">
        <is>
          <t>BG006, BG009, BS004</t>
        </is>
      </c>
      <c r="H125" t="inlineStr">
        <is>
          <t>25 Februari 2019</t>
        </is>
      </c>
      <c r="I125" s="2" t="n">
        <v>46226</v>
      </c>
      <c r="J125" t="inlineStr">
        <is>
          <t>Disetujui</t>
        </is>
      </c>
      <c r="K125" t="n">
        <v>30</v>
      </c>
      <c r="L125" t="inlineStr">
        <is>
          <t>23 Juli 2026</t>
        </is>
      </c>
      <c r="M125" t="inlineStr">
        <is>
          <t>Konstruksi Gedung Lainnya, Konstruksi Gedung Pendidikan, Konstruksi Jaringan Irigasi dan Drainase</t>
        </is>
      </c>
      <c r="N125" t="inlineStr">
        <is>
          <t>K</t>
        </is>
      </c>
      <c r="O125" t="inlineStr">
        <is>
          <t>20230707</t>
        </is>
      </c>
      <c r="P125" t="inlineStr">
        <is>
          <t>Kepulauan Bangka Belitung</t>
        </is>
      </c>
      <c r="Q125" t="inlineStr"/>
    </row>
    <row r="126">
      <c r="A126" t="inlineStr">
        <is>
          <t>SUGIH MUKTI KANCANA</t>
        </is>
      </c>
      <c r="B126" t="inlineStr">
        <is>
          <t>Kota Bandung</t>
        </is>
      </c>
      <c r="C126" t="inlineStr">
        <is>
          <t>0811203423</t>
        </is>
      </c>
      <c r="D126" t="inlineStr">
        <is>
          <t>pt.gimika@gmail.com</t>
        </is>
      </c>
      <c r="E126" t="inlineStr">
        <is>
          <t>https://lpjk.pu.go.id/search-badan-usaha-detail/dUMyVnFOS2prRkNnR0ZqaU9UZVVKYm9VeUZvSVU0UU1YQ3ZRc2s1SVlYaz0</t>
        </is>
      </c>
      <c r="F126" t="n">
        <v>1</v>
      </c>
      <c r="G126" t="inlineStr">
        <is>
          <t>BG004</t>
        </is>
      </c>
      <c r="H126" t="inlineStr">
        <is>
          <t>29 Mei 2023</t>
        </is>
      </c>
      <c r="I126" s="2" t="n">
        <v>46226</v>
      </c>
      <c r="J126" t="inlineStr">
        <is>
          <t>Disetujui</t>
        </is>
      </c>
      <c r="K126" t="n">
        <v>30</v>
      </c>
      <c r="L126" t="inlineStr">
        <is>
          <t>23 Juli 2026</t>
        </is>
      </c>
      <c r="M126" t="inlineStr">
        <is>
          <t>Konstruksi Gedung Perbelanjaan</t>
        </is>
      </c>
      <c r="N126" t="inlineStr">
        <is>
          <t>M</t>
        </is>
      </c>
      <c r="O126" t="inlineStr">
        <is>
          <t>20230719</t>
        </is>
      </c>
      <c r="P126" t="inlineStr">
        <is>
          <t>Jawa Barat</t>
        </is>
      </c>
      <c r="Q126" t="inlineStr"/>
    </row>
    <row r="127">
      <c r="A127" t="inlineStr">
        <is>
          <t>SUMBER DUNIA PERKASA</t>
        </is>
      </c>
      <c r="B127" t="inlineStr">
        <is>
          <t>Kota Cilegon</t>
        </is>
      </c>
      <c r="C127" t="inlineStr">
        <is>
          <t>0254600669</t>
        </is>
      </c>
      <c r="D127" t="inlineStr">
        <is>
          <t>sumberduniaperkasa.sdp@gmail.com</t>
        </is>
      </c>
      <c r="E127" t="inlineStr">
        <is>
          <t>https://lpjk.pu.go.id/search-badan-usaha-detail/Q1lnaUxncHorUEFVWnJoRjh6cERwdz09</t>
        </is>
      </c>
      <c r="F127" t="n">
        <v>2</v>
      </c>
      <c r="G127" t="inlineStr">
        <is>
          <t>BG003, BG009</t>
        </is>
      </c>
      <c r="H127" t="inlineStr">
        <is>
          <t>27 Desember 2022</t>
        </is>
      </c>
      <c r="I127" s="2" t="n">
        <v>46226</v>
      </c>
      <c r="J127" t="inlineStr">
        <is>
          <t>Disetujui</t>
        </is>
      </c>
      <c r="K127" t="n">
        <v>30</v>
      </c>
      <c r="L127" t="inlineStr">
        <is>
          <t>23 Juli 2026</t>
        </is>
      </c>
      <c r="M127" t="inlineStr">
        <is>
          <t>Konstruksi Gedung Industri, Konstruksi Gedung Lainnya</t>
        </is>
      </c>
      <c r="N127" t="inlineStr">
        <is>
          <t>K</t>
        </is>
      </c>
      <c r="O127" t="inlineStr">
        <is>
          <t>20230717</t>
        </is>
      </c>
      <c r="P127" t="inlineStr">
        <is>
          <t>Banten</t>
        </is>
      </c>
      <c r="Q127" t="inlineStr"/>
    </row>
    <row r="128">
      <c r="A128" t="inlineStr">
        <is>
          <t>SUMBER USAHA JAYA</t>
        </is>
      </c>
      <c r="B128" t="inlineStr">
        <is>
          <t>Kota Ternate</t>
        </is>
      </c>
      <c r="C128" t="inlineStr">
        <is>
          <t>085240559494</t>
        </is>
      </c>
      <c r="D128" t="inlineStr">
        <is>
          <t>sherlysusianymantouw01@gmail.com</t>
        </is>
      </c>
      <c r="E128" t="inlineStr">
        <is>
          <t>https://lpjk.pu.go.id/search-badan-usaha-detail/aXphZmZGSWl6Q0VNcjM4YWRYZ2tqdz09</t>
        </is>
      </c>
      <c r="F128" t="n">
        <v>1</v>
      </c>
      <c r="G128" t="inlineStr">
        <is>
          <t>BG006</t>
        </is>
      </c>
      <c r="H128" t="inlineStr">
        <is>
          <t>15 Agustus 2001</t>
        </is>
      </c>
      <c r="I128" s="2" t="n">
        <v>46226</v>
      </c>
      <c r="J128" t="inlineStr">
        <is>
          <t>Disetujui</t>
        </is>
      </c>
      <c r="K128" t="n">
        <v>30</v>
      </c>
      <c r="L128" t="inlineStr">
        <is>
          <t>23 Juli 2026</t>
        </is>
      </c>
      <c r="M128" t="inlineStr">
        <is>
          <t>Konstruksi Gedung Pendidikan</t>
        </is>
      </c>
      <c r="N128" t="inlineStr">
        <is>
          <t>K</t>
        </is>
      </c>
      <c r="O128" t="inlineStr">
        <is>
          <t>20230719</t>
        </is>
      </c>
      <c r="P128" t="inlineStr">
        <is>
          <t>Maluku Utara</t>
        </is>
      </c>
      <c r="Q128" t="inlineStr"/>
    </row>
    <row r="129">
      <c r="A129" t="inlineStr">
        <is>
          <t>SURYA NUSANTARA KONSULTAN</t>
        </is>
      </c>
      <c r="B129" t="inlineStr">
        <is>
          <t>Kota Semarang</t>
        </is>
      </c>
      <c r="C129" t="inlineStr">
        <is>
          <t>08157726677</t>
        </is>
      </c>
      <c r="D129" t="inlineStr">
        <is>
          <t>suryanuskonsultan@gmail.com</t>
        </is>
      </c>
      <c r="E129" t="inlineStr">
        <is>
          <t>https://lpjk.pu.go.id/search-badan-usaha-detail/WGIrcDRtRzBBMnFLVjYzeWx4dnBPQT09</t>
        </is>
      </c>
      <c r="F129" t="n">
        <v>1</v>
      </c>
      <c r="G129" t="inlineStr">
        <is>
          <t>RK001</t>
        </is>
      </c>
      <c r="H129" t="inlineStr">
        <is>
          <t>11 Januari 2022</t>
        </is>
      </c>
      <c r="I129" s="2" t="n">
        <v>46226</v>
      </c>
      <c r="J129" t="inlineStr">
        <is>
          <t>Disetujui</t>
        </is>
      </c>
      <c r="K129" t="n">
        <v>30</v>
      </c>
      <c r="L129" t="inlineStr">
        <is>
          <t>23 Juli 2026</t>
        </is>
      </c>
      <c r="M129" t="inlineStr">
        <is>
          <t>Jasa Rekayasa Konstruksi Bangunan Gedung Hunian dan Non Hunian</t>
        </is>
      </c>
      <c r="N129" t="inlineStr">
        <is>
          <t>K</t>
        </is>
      </c>
      <c r="O129" t="inlineStr">
        <is>
          <t>20230706</t>
        </is>
      </c>
      <c r="P129" t="inlineStr">
        <is>
          <t>Jawa Tengah</t>
        </is>
      </c>
      <c r="Q129" t="inlineStr"/>
    </row>
    <row r="130">
      <c r="A130" t="inlineStr">
        <is>
          <t>TELKOM LANDMARK TOWER</t>
        </is>
      </c>
      <c r="B130" t="inlineStr">
        <is>
          <t>Kota Adm. Jakarta Selatan</t>
        </is>
      </c>
      <c r="C130" t="inlineStr">
        <is>
          <t>02122533000</t>
        </is>
      </c>
      <c r="D130" t="inlineStr">
        <is>
          <t>corporate@tlt.co.id</t>
        </is>
      </c>
      <c r="E130" t="inlineStr">
        <is>
          <t>https://lpjk.pu.go.id/search-badan-usaha-detail/ZHFnQlNFOWN5QkpTMXU2YXF3RGJiUT09</t>
        </is>
      </c>
      <c r="F130" t="n">
        <v>3</v>
      </c>
      <c r="G130" t="inlineStr">
        <is>
          <t>BG002, BG009, PB004</t>
        </is>
      </c>
      <c r="H130" t="inlineStr">
        <is>
          <t>27 Desember 2011</t>
        </is>
      </c>
      <c r="I130" s="2" t="n">
        <v>46226</v>
      </c>
      <c r="J130" t="inlineStr">
        <is>
          <t>Disetujui</t>
        </is>
      </c>
      <c r="K130" t="n">
        <v>30</v>
      </c>
      <c r="L130" t="inlineStr">
        <is>
          <t>23 Juli 2026</t>
        </is>
      </c>
      <c r="M130" t="inlineStr">
        <is>
          <t>Dekorasi Interior, Konstruksi Gedung Lainnya, Konstruksi Gedung Perkantoran</t>
        </is>
      </c>
      <c r="N130" t="inlineStr">
        <is>
          <t>M, Spesialis</t>
        </is>
      </c>
      <c r="O130" t="inlineStr">
        <is>
          <t>20230717, 20230719</t>
        </is>
      </c>
      <c r="P130" t="inlineStr">
        <is>
          <t>DKI Jakarta</t>
        </is>
      </c>
      <c r="Q130" t="inlineStr"/>
    </row>
    <row r="131">
      <c r="A131" t="inlineStr">
        <is>
          <t>TIGA DARA LESTARI</t>
        </is>
      </c>
      <c r="B131" t="inlineStr">
        <is>
          <t>Kab. Ogan Komering Ulu</t>
        </is>
      </c>
      <c r="C131" t="inlineStr">
        <is>
          <t>082281702987</t>
        </is>
      </c>
      <c r="D131" t="inlineStr">
        <is>
          <t>alfenmda@gmail.com</t>
        </is>
      </c>
      <c r="E131" t="inlineStr">
        <is>
          <t>https://lpjk.pu.go.id/search-badan-usaha-detail/Ykt3Q2pYSzZSYlpHeEZRdVVYNWNEdz09</t>
        </is>
      </c>
      <c r="F131" t="n">
        <v>1</v>
      </c>
      <c r="G131" t="inlineStr">
        <is>
          <t>BS002</t>
        </is>
      </c>
      <c r="H131" t="inlineStr">
        <is>
          <t>22 Juni 2012</t>
        </is>
      </c>
      <c r="I131" s="2" t="n">
        <v>46226</v>
      </c>
      <c r="J131" t="inlineStr">
        <is>
          <t>Disetujui</t>
        </is>
      </c>
      <c r="K131" t="n">
        <v>30</v>
      </c>
      <c r="L131" t="inlineStr">
        <is>
          <t>23 Juli 2026</t>
        </is>
      </c>
      <c r="M131" t="inlineStr">
        <is>
          <t>Bangunan Sipil Jembatan, Jalan Layang, Fly Over, dan Underpass</t>
        </is>
      </c>
      <c r="N131" t="inlineStr">
        <is>
          <t>K</t>
        </is>
      </c>
      <c r="O131" t="inlineStr">
        <is>
          <t>20230627</t>
        </is>
      </c>
      <c r="P131" t="inlineStr">
        <is>
          <t>Sumatera Selatan</t>
        </is>
      </c>
      <c r="Q131" t="inlineStr"/>
    </row>
    <row r="132">
      <c r="A132" t="inlineStr">
        <is>
          <t>TIGA PERSPECTIVE ENGINEERING</t>
        </is>
      </c>
      <c r="B132" t="inlineStr">
        <is>
          <t>Kab. Manokwari</t>
        </is>
      </c>
      <c r="C132" t="inlineStr">
        <is>
          <t>082197684412</t>
        </is>
      </c>
      <c r="D132" t="inlineStr">
        <is>
          <t>3perspective.engineering@gmail.com</t>
        </is>
      </c>
      <c r="E132" t="inlineStr">
        <is>
          <t>https://lpjk.pu.go.id/search-badan-usaha-detail/bDQ3QXJ0TmNYS3h5ajBVbFMrUUppQT09</t>
        </is>
      </c>
      <c r="F132" t="n">
        <v>1</v>
      </c>
      <c r="G132" t="inlineStr">
        <is>
          <t>RK003</t>
        </is>
      </c>
      <c r="H132" t="inlineStr">
        <is>
          <t>13 Maret 2019</t>
        </is>
      </c>
      <c r="I132" s="2" t="n">
        <v>46226</v>
      </c>
      <c r="J132" t="inlineStr">
        <is>
          <t>Disetujui</t>
        </is>
      </c>
      <c r="K132" t="n">
        <v>30</v>
      </c>
      <c r="L132" t="inlineStr">
        <is>
          <t>23 Juli 2026</t>
        </is>
      </c>
      <c r="M132" t="inlineStr">
        <is>
          <t>Jasa Rekayasa Pekerjaan Teknik Sipil Transportasi</t>
        </is>
      </c>
      <c r="N132" t="inlineStr">
        <is>
          <t>K</t>
        </is>
      </c>
      <c r="O132" t="inlineStr">
        <is>
          <t>20230109</t>
        </is>
      </c>
      <c r="P132" t="inlineStr">
        <is>
          <t>Papua Barat</t>
        </is>
      </c>
      <c r="Q132" t="inlineStr"/>
    </row>
    <row r="133">
      <c r="A133" t="inlineStr">
        <is>
          <t>TRI ABADI JAYA</t>
        </is>
      </c>
      <c r="B133" t="inlineStr">
        <is>
          <t>Kab. Muara Enim</t>
        </is>
      </c>
      <c r="C133" t="inlineStr">
        <is>
          <t>08127896844</t>
        </is>
      </c>
      <c r="D133" t="inlineStr">
        <is>
          <t>cv.trijayaabadi687@gmail.com</t>
        </is>
      </c>
      <c r="E133" t="inlineStr">
        <is>
          <t>https://lpjk.pu.go.id/search-badan-usaha-detail/RnVIL212Smt3MTNPM3l2NjNSRDcyZz09</t>
        </is>
      </c>
      <c r="F133" t="n">
        <v>1</v>
      </c>
      <c r="G133" t="inlineStr">
        <is>
          <t>BG005</t>
        </is>
      </c>
      <c r="H133" t="inlineStr">
        <is>
          <t>10 September 2021</t>
        </is>
      </c>
      <c r="I133" s="2" t="n">
        <v>46226</v>
      </c>
      <c r="J133" t="inlineStr">
        <is>
          <t>Disetujui</t>
        </is>
      </c>
      <c r="K133" t="n">
        <v>30</v>
      </c>
      <c r="L133" t="inlineStr">
        <is>
          <t>23 Juli 2026</t>
        </is>
      </c>
      <c r="M133" t="inlineStr">
        <is>
          <t>Konstruksi Gedung Kesehatan</t>
        </is>
      </c>
      <c r="N133" t="inlineStr">
        <is>
          <t>K</t>
        </is>
      </c>
      <c r="O133" t="inlineStr">
        <is>
          <t>20230627</t>
        </is>
      </c>
      <c r="P133" t="inlineStr">
        <is>
          <t>Sumatera Selatan</t>
        </is>
      </c>
      <c r="Q133" t="inlineStr"/>
    </row>
    <row r="134">
      <c r="A134" t="inlineStr">
        <is>
          <t>TRI PUTRA PERKASA</t>
        </is>
      </c>
      <c r="B134" t="inlineStr">
        <is>
          <t>Kota Gorontalo</t>
        </is>
      </c>
      <c r="C134" t="inlineStr">
        <is>
          <t>085299499264</t>
        </is>
      </c>
      <c r="D134" t="inlineStr">
        <is>
          <t>cvtriputraperkasa.gorontalo@gmail.com</t>
        </is>
      </c>
      <c r="E134" t="inlineStr">
        <is>
          <t>https://lpjk.pu.go.id/search-badan-usaha-detail/ZWFjdnJYNXE4bjBzSzRCOWF4WnJnQT09</t>
        </is>
      </c>
      <c r="F134" t="n">
        <v>1</v>
      </c>
      <c r="G134" t="inlineStr">
        <is>
          <t>BS005</t>
        </is>
      </c>
      <c r="H134" t="inlineStr">
        <is>
          <t>19 Februari 2018</t>
        </is>
      </c>
      <c r="I134" s="2" t="n">
        <v>46226</v>
      </c>
      <c r="J134" t="inlineStr">
        <is>
          <t>Disetujui</t>
        </is>
      </c>
      <c r="K134" t="n">
        <v>30</v>
      </c>
      <c r="L134" t="inlineStr">
        <is>
          <t>23 Juli 2026</t>
        </is>
      </c>
      <c r="M134" t="inlineStr">
        <is>
          <t>Konstruksi Bangunan Sipil Pengolahan Air Bersih</t>
        </is>
      </c>
      <c r="N134" t="inlineStr">
        <is>
          <t>K</t>
        </is>
      </c>
      <c r="O134" t="inlineStr">
        <is>
          <t>20230722</t>
        </is>
      </c>
      <c r="P134" t="inlineStr">
        <is>
          <t>Gorontalo</t>
        </is>
      </c>
      <c r="Q134" t="inlineStr"/>
    </row>
    <row r="135">
      <c r="A135" t="inlineStr">
        <is>
          <t>TUJUH LANGIT UTARA</t>
        </is>
      </c>
      <c r="B135" t="inlineStr">
        <is>
          <t>Kab. Tanah Bumbu</t>
        </is>
      </c>
      <c r="C135" t="inlineStr">
        <is>
          <t>085251325002</t>
        </is>
      </c>
      <c r="D135" t="inlineStr">
        <is>
          <t>cv.7langit.utara@gmail.com</t>
        </is>
      </c>
      <c r="E135" t="inlineStr">
        <is>
          <t>https://lpjk.pu.go.id/search-badan-usaha-detail/MTcwMkJSMXdPd2V2ZWFOS2tVMmNQQT09</t>
        </is>
      </c>
      <c r="F135" t="n">
        <v>2</v>
      </c>
      <c r="G135" t="inlineStr">
        <is>
          <t>BG001, BG009</t>
        </is>
      </c>
      <c r="H135" t="inlineStr">
        <is>
          <t>25 November 2019</t>
        </is>
      </c>
      <c r="I135" s="2" t="n">
        <v>46226</v>
      </c>
      <c r="J135" t="inlineStr">
        <is>
          <t>Disetujui</t>
        </is>
      </c>
      <c r="K135" t="n">
        <v>30</v>
      </c>
      <c r="L135" t="inlineStr">
        <is>
          <t>23 Juli 2026</t>
        </is>
      </c>
      <c r="M135" t="inlineStr">
        <is>
          <t>Konstruksi Gedung Hunian, Konstruksi Gedung Lainnya</t>
        </is>
      </c>
      <c r="N135" t="inlineStr">
        <is>
          <t>K</t>
        </is>
      </c>
      <c r="O135" t="inlineStr">
        <is>
          <t>20230721, 20230722</t>
        </is>
      </c>
      <c r="P135" t="inlineStr">
        <is>
          <t>Kalimantan Selatan</t>
        </is>
      </c>
      <c r="Q135" t="inlineStr"/>
    </row>
    <row r="136">
      <c r="A136" t="inlineStr">
        <is>
          <t>UTAMA AKSES PRIMA</t>
        </is>
      </c>
      <c r="B136" t="inlineStr">
        <is>
          <t>Kota Kediri</t>
        </is>
      </c>
      <c r="C136" t="inlineStr">
        <is>
          <t>0354683126</t>
        </is>
      </c>
      <c r="D136" t="inlineStr">
        <is>
          <t>utamaaksesprima.pt@gmail.com</t>
        </is>
      </c>
      <c r="E136" t="inlineStr">
        <is>
          <t>https://lpjk.pu.go.id/search-badan-usaha-detail/cXBRaEl2ZXhlWENWOENPWm1TTnNodz09</t>
        </is>
      </c>
      <c r="F136" t="n">
        <v>1</v>
      </c>
      <c r="G136" t="inlineStr">
        <is>
          <t>BS009</t>
        </is>
      </c>
      <c r="H136" t="inlineStr">
        <is>
          <t>24 September 2012</t>
        </is>
      </c>
      <c r="I136" s="2" t="n">
        <v>46226</v>
      </c>
      <c r="J136" t="inlineStr">
        <is>
          <t>Disetujui</t>
        </is>
      </c>
      <c r="K136" t="n">
        <v>30</v>
      </c>
      <c r="L136" t="inlineStr">
        <is>
          <t>23 Juli 2026</t>
        </is>
      </c>
      <c r="M136" t="inlineStr">
        <is>
          <t>Konstruksi Sentral Telekomunikasi</t>
        </is>
      </c>
      <c r="N136" t="inlineStr">
        <is>
          <t>K</t>
        </is>
      </c>
      <c r="O136" t="inlineStr">
        <is>
          <t>20230722</t>
        </is>
      </c>
      <c r="P136" t="inlineStr">
        <is>
          <t>Jawa Timur</t>
        </is>
      </c>
      <c r="Q136" t="inlineStr"/>
    </row>
    <row r="137">
      <c r="A137" t="inlineStr">
        <is>
          <t>WAHANA TIRTA GRAHA</t>
        </is>
      </c>
      <c r="B137" t="inlineStr">
        <is>
          <t>Kota Bukittinggi</t>
        </is>
      </c>
      <c r="C137" t="inlineStr">
        <is>
          <t>085265755653</t>
        </is>
      </c>
      <c r="D137" t="inlineStr">
        <is>
          <t>wahanatirtagraha@yahoo.com</t>
        </is>
      </c>
      <c r="E137" t="inlineStr">
        <is>
          <t>https://lpjk.pu.go.id/search-badan-usaha-detail/MmZMdSt2V0JyRWJYR2IrVFFEVk1BQT09</t>
        </is>
      </c>
      <c r="F137" t="n">
        <v>1</v>
      </c>
      <c r="G137" t="inlineStr">
        <is>
          <t>BG006</t>
        </is>
      </c>
      <c r="H137" t="inlineStr">
        <is>
          <t>26 September 2011</t>
        </is>
      </c>
      <c r="I137" s="2" t="n">
        <v>46226</v>
      </c>
      <c r="J137" t="inlineStr">
        <is>
          <t>Disetujui</t>
        </is>
      </c>
      <c r="K137" t="n">
        <v>30</v>
      </c>
      <c r="L137" t="inlineStr">
        <is>
          <t>23 Juli 2026</t>
        </is>
      </c>
      <c r="M137" t="inlineStr">
        <is>
          <t>Konstruksi Gedung Pendidikan</t>
        </is>
      </c>
      <c r="N137" t="inlineStr">
        <is>
          <t>K</t>
        </is>
      </c>
      <c r="O137" t="inlineStr">
        <is>
          <t>20230724</t>
        </is>
      </c>
      <c r="P137" t="inlineStr">
        <is>
          <t>Sumatera Barat</t>
        </is>
      </c>
      <c r="Q137" t="inlineStr"/>
    </row>
    <row r="138">
      <c r="A138" t="inlineStr">
        <is>
          <t>WAHYU MATRA KONTRAKTOR</t>
        </is>
      </c>
      <c r="B138" t="inlineStr">
        <is>
          <t>Kota Palembang</t>
        </is>
      </c>
      <c r="C138" t="inlineStr">
        <is>
          <t>081294715314</t>
        </is>
      </c>
      <c r="D138" t="inlineStr">
        <is>
          <t>wahyumatra@yahoo.co.id</t>
        </is>
      </c>
      <c r="E138" t="inlineStr">
        <is>
          <t>https://lpjk.pu.go.id/search-badan-usaha-detail/ZE53ZFFFZ3hUaTI3UE5CY01CcEROdz09</t>
        </is>
      </c>
      <c r="F138" t="n">
        <v>1</v>
      </c>
      <c r="G138" t="inlineStr">
        <is>
          <t>BS004</t>
        </is>
      </c>
      <c r="H138" t="inlineStr">
        <is>
          <t>1 September 1999</t>
        </is>
      </c>
      <c r="I138" s="2" t="n">
        <v>46226</v>
      </c>
      <c r="J138" t="inlineStr">
        <is>
          <t>Disetujui</t>
        </is>
      </c>
      <c r="K138" t="n">
        <v>30</v>
      </c>
      <c r="L138" t="inlineStr">
        <is>
          <t>23 Juli 2026</t>
        </is>
      </c>
      <c r="M138" t="inlineStr">
        <is>
          <t>Konstruksi Jaringan Irigasi dan Drainase</t>
        </is>
      </c>
      <c r="N138" t="inlineStr">
        <is>
          <t>M</t>
        </is>
      </c>
      <c r="O138" t="inlineStr">
        <is>
          <t>20230721</t>
        </is>
      </c>
      <c r="P138" t="inlineStr">
        <is>
          <t>Sumatera Selatan</t>
        </is>
      </c>
      <c r="Q138" t="inlineStr"/>
    </row>
    <row r="139">
      <c r="A139" t="inlineStr">
        <is>
          <t>WIJAYA</t>
        </is>
      </c>
      <c r="B139" t="inlineStr">
        <is>
          <t>Kab. Bangkalan</t>
        </is>
      </c>
      <c r="C139" t="inlineStr">
        <is>
          <t>081216533373</t>
        </is>
      </c>
      <c r="D139" t="inlineStr">
        <is>
          <t>wiwinindrawati1572@gmail.com</t>
        </is>
      </c>
      <c r="E139" t="inlineStr">
        <is>
          <t>https://lpjk.pu.go.id/search-badan-usaha-detail/empKZHpuODZ3c2FKL2xPWG5NbXhIUT09</t>
        </is>
      </c>
      <c r="F139" t="n">
        <v>2</v>
      </c>
      <c r="G139" t="inlineStr">
        <is>
          <t>BG006</t>
        </is>
      </c>
      <c r="H139" t="inlineStr">
        <is>
          <t>20 Oktober 1988</t>
        </is>
      </c>
      <c r="I139" s="2" t="n">
        <v>46226</v>
      </c>
      <c r="J139" t="inlineStr">
        <is>
          <t>Disetujui</t>
        </is>
      </c>
      <c r="K139" t="n">
        <v>30</v>
      </c>
      <c r="L139" t="inlineStr">
        <is>
          <t>23 Juli 2026</t>
        </is>
      </c>
      <c r="M139" t="inlineStr">
        <is>
          <t>Konstruksi Gedung Pendidikan</t>
        </is>
      </c>
      <c r="N139" t="inlineStr">
        <is>
          <t>K</t>
        </is>
      </c>
      <c r="O139" t="inlineStr">
        <is>
          <t>20230717</t>
        </is>
      </c>
      <c r="P139" t="inlineStr">
        <is>
          <t>Jawa Timur</t>
        </is>
      </c>
      <c r="Q139" t="inlineStr"/>
    </row>
    <row r="140">
      <c r="A140" t="inlineStr">
        <is>
          <t>YUNIOR</t>
        </is>
      </c>
      <c r="B140" t="inlineStr">
        <is>
          <t>Kab. Belu</t>
        </is>
      </c>
      <c r="C140" t="inlineStr">
        <is>
          <t>082130294995</t>
        </is>
      </c>
      <c r="D140" t="inlineStr">
        <is>
          <t>ayuslay53@gmail.com</t>
        </is>
      </c>
      <c r="E140" t="inlineStr">
        <is>
          <t>https://lpjk.pu.go.id/search-badan-usaha-detail/Qm15VHhuWXB5QlpTS2pPWUNZQjI3dz09</t>
        </is>
      </c>
      <c r="F140" t="n">
        <v>1</v>
      </c>
      <c r="G140" t="inlineStr">
        <is>
          <t>BG006</t>
        </is>
      </c>
      <c r="H140" t="inlineStr">
        <is>
          <t>5 Juni 2012</t>
        </is>
      </c>
      <c r="I140" s="2" t="n">
        <v>46226</v>
      </c>
      <c r="J140" t="inlineStr">
        <is>
          <t>Disetujui</t>
        </is>
      </c>
      <c r="K140" t="n">
        <v>30</v>
      </c>
      <c r="L140" t="inlineStr">
        <is>
          <t>23 Juli 2026</t>
        </is>
      </c>
      <c r="M140" t="inlineStr">
        <is>
          <t>Konstruksi Gedung Pendidikan</t>
        </is>
      </c>
      <c r="N140" t="inlineStr">
        <is>
          <t>K</t>
        </is>
      </c>
      <c r="O140" t="inlineStr">
        <is>
          <t>20230720</t>
        </is>
      </c>
      <c r="P140" t="inlineStr">
        <is>
          <t>Nusa Tenggara Timur</t>
        </is>
      </c>
      <c r="Q1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2026-06-23T02:30:27Z</dcterms:created>
  <dcterms:modified xsi:type="dcterms:W3CDTF">2026-06-23T02:30:27Z</dcterms:modified>
</cp:coreProperties>
</file>