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
  <sheetViews>
    <sheetView workbookViewId="0">
      <selection activeCell="A1" sqref="A1"/>
    </sheetView>
  </sheetViews>
  <sheetFormatPr baseColWidth="8" defaultRowHeight="15"/>
  <cols>
    <col width="40" customWidth="1" min="1" max="1"/>
    <col width="27" customWidth="1" min="2" max="2"/>
    <col width="16" customWidth="1" min="3" max="3"/>
    <col width="41"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BANGUNTAMA GRAHA PROPERTY</t>
        </is>
      </c>
      <c r="B2" t="inlineStr">
        <is>
          <t>Kab. Bekasi</t>
        </is>
      </c>
      <c r="C2" t="inlineStr">
        <is>
          <t>6281317452296</t>
        </is>
      </c>
      <c r="D2" t="inlineStr">
        <is>
          <t>banguntamagrahaproperty@gmail.com</t>
        </is>
      </c>
      <c r="E2" t="inlineStr">
        <is>
          <t>https://lpjk.pu.go.id/search-badan-usaha-detail/WkMwcTJaY1hBdU1pMHAzVnlybE9MZz09</t>
        </is>
      </c>
      <c r="F2" t="n">
        <v>2</v>
      </c>
      <c r="G2" t="inlineStr">
        <is>
          <t>BG001</t>
        </is>
      </c>
      <c r="H2" t="inlineStr">
        <is>
          <t>23 November 2023</t>
        </is>
      </c>
      <c r="I2" s="2" t="n">
        <v>46362</v>
      </c>
      <c r="J2" t="inlineStr">
        <is>
          <t>Disetujui</t>
        </is>
      </c>
      <c r="K2" t="n">
        <v>87</v>
      </c>
      <c r="L2" t="inlineStr">
        <is>
          <t>6 Desember 2026</t>
        </is>
      </c>
      <c r="M2" t="inlineStr">
        <is>
          <t>Konstruksi Gedung Hunian</t>
        </is>
      </c>
      <c r="N2" t="inlineStr">
        <is>
          <t>K</t>
        </is>
      </c>
      <c r="O2" t="inlineStr">
        <is>
          <t>20231206</t>
        </is>
      </c>
      <c r="P2" t="inlineStr">
        <is>
          <t>Jawa Barat</t>
        </is>
      </c>
      <c r="Q2" s="3">
        <f>HYPERLINK("https://wa.me/6281317452296?text=Selamat siang Bapak/Ibu pimpinan BANGUNTAMA GRAHA PROPERTY,%0A%0ASemoga Bapak/Ibu dalam keadaan baik.%0ABerdasarkan data LPJK, masa berlaku SBU perusahaan Bapak/Ibu akan berakhir sekitar 3 bulan lagi (pada 6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BUKAKA KOKARINDO</t>
        </is>
      </c>
      <c r="B3" t="inlineStr">
        <is>
          <t>Kab. Bogor</t>
        </is>
      </c>
      <c r="C3" t="inlineStr">
        <is>
          <t>0218232323</t>
        </is>
      </c>
      <c r="D3" t="inlineStr">
        <is>
          <t>pt.bukakakokarindo@gmail.com</t>
        </is>
      </c>
      <c r="E3" t="inlineStr">
        <is>
          <t>https://lpjk.pu.go.id/search-badan-usaha-detail/c0hOcUpTTmg4VWZvVHp2RXhWVXRTdz09</t>
        </is>
      </c>
      <c r="F3" t="n">
        <v>1</v>
      </c>
      <c r="G3" t="inlineStr">
        <is>
          <t>ST003</t>
        </is>
      </c>
      <c r="H3" t="inlineStr">
        <is>
          <t>15 Oktober 2013</t>
        </is>
      </c>
      <c r="I3" s="2" t="n">
        <v>46362</v>
      </c>
      <c r="J3" t="inlineStr">
        <is>
          <t>Disetujui</t>
        </is>
      </c>
      <c r="K3" t="n">
        <v>87</v>
      </c>
      <c r="L3" t="inlineStr">
        <is>
          <t>6 Desember 2026</t>
        </is>
      </c>
      <c r="M3" t="inlineStr">
        <is>
          <t>Konstruksi Bangunan Sipil Elektrikal</t>
        </is>
      </c>
      <c r="N3" t="inlineStr">
        <is>
          <t>B</t>
        </is>
      </c>
      <c r="O3" t="inlineStr">
        <is>
          <t>20231030</t>
        </is>
      </c>
      <c r="P3" t="inlineStr">
        <is>
          <t>Jawa Barat</t>
        </is>
      </c>
      <c r="Q3" t="inlineStr"/>
    </row>
    <row r="4">
      <c r="A4" t="inlineStr">
        <is>
          <t>CRUZINDO UTAMA JAYA</t>
        </is>
      </c>
      <c r="B4" t="inlineStr">
        <is>
          <t>Kota Bekasi</t>
        </is>
      </c>
      <c r="C4" t="inlineStr">
        <is>
          <t>02182625246</t>
        </is>
      </c>
      <c r="D4" t="inlineStr">
        <is>
          <t>cruzindoutamajaya@yahoo.com</t>
        </is>
      </c>
      <c r="E4" t="inlineStr">
        <is>
          <t>https://lpjk.pu.go.id/search-badan-usaha-detail/M2VuTGVzc3R2cVhnUTZtQVM3Y1lkdz09</t>
        </is>
      </c>
      <c r="F4" t="n">
        <v>4</v>
      </c>
      <c r="G4" t="inlineStr">
        <is>
          <t>BG003, BG005, BG006, BG007</t>
        </is>
      </c>
      <c r="H4" t="inlineStr">
        <is>
          <t>16 Januari 2012</t>
        </is>
      </c>
      <c r="I4" s="2" t="n">
        <v>46362</v>
      </c>
      <c r="J4" t="inlineStr">
        <is>
          <t>Disetujui</t>
        </is>
      </c>
      <c r="K4" t="n">
        <v>87</v>
      </c>
      <c r="L4" t="inlineStr">
        <is>
          <t>6 Desember 2026</t>
        </is>
      </c>
      <c r="M4" t="inlineStr">
        <is>
          <t>Konstruksi Gedung Industri, Konstruksi Gedung Kesehatan, Konstruksi Gedung Pendidikan, Konstruksi Gedung Penginapan</t>
        </is>
      </c>
      <c r="N4" t="inlineStr">
        <is>
          <t>K</t>
        </is>
      </c>
      <c r="O4" t="inlineStr">
        <is>
          <t>20231130</t>
        </is>
      </c>
      <c r="P4" t="inlineStr">
        <is>
          <t>Jawa Barat</t>
        </is>
      </c>
      <c r="Q4" t="inlineStr"/>
    </row>
    <row r="5">
      <c r="A5" t="inlineStr">
        <is>
          <t>DIRGA SENA</t>
        </is>
      </c>
      <c r="B5" t="inlineStr">
        <is>
          <t>Kota Adm. Jakarta Timur</t>
        </is>
      </c>
      <c r="C5" t="inlineStr">
        <is>
          <t>02128531932</t>
        </is>
      </c>
      <c r="D5" t="inlineStr">
        <is>
          <t>dirgasena23@gmail.com</t>
        </is>
      </c>
      <c r="E5" t="inlineStr">
        <is>
          <t>https://lpjk.pu.go.id/search-badan-usaha-detail/R0dNbUtYUkZONlV3RDc5OE5ZV2dLZz09</t>
        </is>
      </c>
      <c r="F5" t="n">
        <v>2</v>
      </c>
      <c r="G5" t="inlineStr">
        <is>
          <t>BG001, BG008</t>
        </is>
      </c>
      <c r="H5" t="inlineStr">
        <is>
          <t>23 Oktober 1987</t>
        </is>
      </c>
      <c r="I5" s="2" t="n">
        <v>46362</v>
      </c>
      <c r="J5" t="inlineStr">
        <is>
          <t>Disetujui</t>
        </is>
      </c>
      <c r="K5" t="n">
        <v>87</v>
      </c>
      <c r="L5" t="inlineStr">
        <is>
          <t>6 Desember 2026</t>
        </is>
      </c>
      <c r="M5" t="inlineStr">
        <is>
          <t>Konstruksi Gedung Hunian, Konstruksi Gedung Tempat Hiburan dan Olahraga</t>
        </is>
      </c>
      <c r="N5" t="inlineStr">
        <is>
          <t>K</t>
        </is>
      </c>
      <c r="O5" t="inlineStr">
        <is>
          <t>20231205</t>
        </is>
      </c>
      <c r="P5" t="inlineStr">
        <is>
          <t>DKI Jakarta</t>
        </is>
      </c>
      <c r="Q5" t="inlineStr"/>
    </row>
    <row r="6">
      <c r="A6" t="inlineStr">
        <is>
          <t>GRAHA ADI WIYATA</t>
        </is>
      </c>
      <c r="B6" t="inlineStr">
        <is>
          <t>Kab. Bogor</t>
        </is>
      </c>
      <c r="C6" t="inlineStr">
        <is>
          <t>081380868789</t>
        </is>
      </c>
      <c r="D6" t="inlineStr">
        <is>
          <t>adiwiyatagraha@gmail.com</t>
        </is>
      </c>
      <c r="E6" t="inlineStr">
        <is>
          <t>https://lpjk.pu.go.id/search-badan-usaha-detail/eWxDUVZ3QUc0ekU0UWN1S1MvcCt2QT09</t>
        </is>
      </c>
      <c r="F6" t="n">
        <v>2</v>
      </c>
      <c r="G6" t="inlineStr">
        <is>
          <t>RK001, RK003</t>
        </is>
      </c>
      <c r="H6" t="inlineStr">
        <is>
          <t>14 Oktober 2020</t>
        </is>
      </c>
      <c r="I6" s="2" t="n">
        <v>46362</v>
      </c>
      <c r="J6" t="inlineStr">
        <is>
          <t>Disetujui</t>
        </is>
      </c>
      <c r="K6" t="n">
        <v>87</v>
      </c>
      <c r="L6" t="inlineStr">
        <is>
          <t>6 Desember 2026</t>
        </is>
      </c>
      <c r="M6" t="inlineStr">
        <is>
          <t>Jasa Rekayasa Konstruksi Bangunan Gedung Hunian dan Non Hunian, Jasa Rekayasa Pekerjaan Teknik Sipil Transportasi</t>
        </is>
      </c>
      <c r="N6" t="inlineStr">
        <is>
          <t>K</t>
        </is>
      </c>
      <c r="O6" t="inlineStr">
        <is>
          <t>20231129</t>
        </is>
      </c>
      <c r="P6" t="inlineStr">
        <is>
          <t>Jawa Barat</t>
        </is>
      </c>
      <c r="Q6" s="3">
        <f>HYPERLINK("https://wa.me/6281380868789?text=Selamat siang Bapak/Ibu pimpinan GRAHA ADI WIYATA,%0A%0ASemoga Bapak/Ibu dalam keadaan baik.%0ABerdasarkan data LPJK, masa berlaku SBU perusahaan Bapak/Ibu akan berakhir sekitar 3 bulan lagi (pada 6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GUMILANG CAHAYA MANDIRI</t>
        </is>
      </c>
      <c r="B7" t="inlineStr">
        <is>
          <t>Kota Bekasi</t>
        </is>
      </c>
      <c r="C7" t="inlineStr">
        <is>
          <t>02184309217</t>
        </is>
      </c>
      <c r="D7" t="inlineStr">
        <is>
          <t>gumilang.cahaya.mandiri@gmail.com</t>
        </is>
      </c>
      <c r="E7" t="inlineStr">
        <is>
          <t>https://lpjk.pu.go.id/search-badan-usaha-detail/TktBb2dGNnlmTDg0TTRnNFc3QkZBZz09</t>
        </is>
      </c>
      <c r="F7" t="n">
        <v>2</v>
      </c>
      <c r="G7" t="inlineStr">
        <is>
          <t>BG001, PB001</t>
        </is>
      </c>
      <c r="H7" t="inlineStr">
        <is>
          <t>15 Oktober 2015</t>
        </is>
      </c>
      <c r="I7" s="2" t="n">
        <v>46362</v>
      </c>
      <c r="J7" t="inlineStr">
        <is>
          <t>Disetujui, Pencabutan</t>
        </is>
      </c>
      <c r="K7" t="n">
        <v>87</v>
      </c>
      <c r="L7" t="inlineStr">
        <is>
          <t>6 Desember 2026</t>
        </is>
      </c>
      <c r="M7" t="inlineStr">
        <is>
          <t>Konstruksi Gedung Hunian, Pengerjaan Pemasangan Kaca dan Alumunium</t>
        </is>
      </c>
      <c r="N7" t="inlineStr">
        <is>
          <t>K, Spesialis</t>
        </is>
      </c>
      <c r="O7" t="inlineStr">
        <is>
          <t>20231009</t>
        </is>
      </c>
      <c r="P7" t="inlineStr">
        <is>
          <t>Jawa Barat</t>
        </is>
      </c>
      <c r="Q7" t="inlineStr"/>
    </row>
    <row r="8">
      <c r="A8" t="inlineStr">
        <is>
          <t>ILHAM PUTRA MANDIRI</t>
        </is>
      </c>
      <c r="B8" t="inlineStr">
        <is>
          <t>Kab. Bekasi</t>
        </is>
      </c>
      <c r="C8" t="inlineStr">
        <is>
          <t>081210160752</t>
        </is>
      </c>
      <c r="D8" t="inlineStr">
        <is>
          <t>ilhamputramandiri.cv@gmail.com</t>
        </is>
      </c>
      <c r="E8" t="inlineStr">
        <is>
          <t>https://lpjk.pu.go.id/search-badan-usaha-detail/ZkZBWkZBeERmN0lKd25ObFA5Rm9nQT09</t>
        </is>
      </c>
      <c r="F8" t="n">
        <v>4</v>
      </c>
      <c r="G8" t="inlineStr">
        <is>
          <t>BG006, BS001, BS002, BS004</t>
        </is>
      </c>
      <c r="H8" t="inlineStr">
        <is>
          <t>24 Januari 2023</t>
        </is>
      </c>
      <c r="I8" s="2" t="n">
        <v>46362</v>
      </c>
      <c r="J8" t="inlineStr">
        <is>
          <t>Disetujui</t>
        </is>
      </c>
      <c r="K8" t="n">
        <v>87</v>
      </c>
      <c r="L8" t="inlineStr">
        <is>
          <t>6 Desember 2026</t>
        </is>
      </c>
      <c r="M8" t="inlineStr">
        <is>
          <t>Bangunan Sipil Jembatan, Jalan Layang, Fly Over, dan Underpass, Konstruksi Bangunan Sipil Jalan, Konstruksi Gedung Pendidikan, Konstruksi Jaringan Irigasi dan Drainase</t>
        </is>
      </c>
      <c r="N8" t="inlineStr">
        <is>
          <t>K</t>
        </is>
      </c>
      <c r="O8" t="inlineStr">
        <is>
          <t>20230203, 20231206</t>
        </is>
      </c>
      <c r="P8" t="inlineStr">
        <is>
          <t>Jawa Barat</t>
        </is>
      </c>
      <c r="Q8" s="3">
        <f>HYPERLINK("https://wa.me/6281210160752?text=Selamat siang Bapak/Ibu pimpinan ILHAM PUTRA MANDIRI,%0A%0ASemoga Bapak/Ibu dalam keadaan baik.%0ABerdasarkan data LPJK, masa berlaku SBU perusahaan Bapak/Ibu akan berakhir sekitar 3 bulan lagi (pada 6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INDONESIA NEXUS MANDIRI</t>
        </is>
      </c>
      <c r="B9" t="inlineStr">
        <is>
          <t>Kota Bekasi</t>
        </is>
      </c>
      <c r="C9" t="inlineStr">
        <is>
          <t>082299666697</t>
        </is>
      </c>
      <c r="D9" t="inlineStr">
        <is>
          <t>ptindonesianexusmandiri@gmail.com</t>
        </is>
      </c>
      <c r="E9" t="inlineStr">
        <is>
          <t>https://lpjk.pu.go.id/search-badan-usaha-detail/QmR1cFVqbEl6MWppaWwwbFRYQkNqdz09</t>
        </is>
      </c>
      <c r="F9" t="n">
        <v>4</v>
      </c>
      <c r="G9" t="inlineStr">
        <is>
          <t>BG001, BG002</t>
        </is>
      </c>
      <c r="H9" t="inlineStr">
        <is>
          <t>7 Februari 2023</t>
        </is>
      </c>
      <c r="I9" s="2" t="n">
        <v>46362</v>
      </c>
      <c r="J9" t="inlineStr">
        <is>
          <t>Disetujui</t>
        </is>
      </c>
      <c r="K9" t="n">
        <v>87</v>
      </c>
      <c r="L9" t="inlineStr">
        <is>
          <t>6 Desember 2026</t>
        </is>
      </c>
      <c r="M9" t="inlineStr">
        <is>
          <t>Konstruksi Gedung Hunian, Konstruksi Gedung Perkantoran</t>
        </is>
      </c>
      <c r="N9" t="inlineStr">
        <is>
          <t>K</t>
        </is>
      </c>
      <c r="O9" t="inlineStr">
        <is>
          <t>20231206</t>
        </is>
      </c>
      <c r="P9" t="inlineStr">
        <is>
          <t>Jawa Barat</t>
        </is>
      </c>
      <c r="Q9" s="3">
        <f>HYPERLINK("https://wa.me/6282299666697?text=Selamat siang Bapak/Ibu pimpinan INDONESIA NEXUS MANDIRI,%0A%0ASemoga Bapak/Ibu dalam keadaan baik.%0ABerdasarkan data LPJK, masa berlaku SBU perusahaan Bapak/Ibu akan berakhir sekitar 3 bulan lagi (pada 6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SERINTUNAN</t>
        </is>
      </c>
      <c r="B10" t="inlineStr">
        <is>
          <t>Kab. Bogor</t>
        </is>
      </c>
      <c r="C10" t="inlineStr">
        <is>
          <t>08128061344</t>
        </is>
      </c>
      <c r="D10" t="inlineStr">
        <is>
          <t>cvserintunan@gmail.com</t>
        </is>
      </c>
      <c r="E10" t="inlineStr">
        <is>
          <t>https://lpjk.pu.go.id/search-badan-usaha-detail/U082RUV0KzZuTnUvcFVkT2tJZkR5dz09</t>
        </is>
      </c>
      <c r="F10" t="n">
        <v>1</v>
      </c>
      <c r="G10" t="inlineStr">
        <is>
          <t>BG009</t>
        </is>
      </c>
      <c r="H10" t="inlineStr">
        <is>
          <t>27 Januari 1999</t>
        </is>
      </c>
      <c r="I10" s="2" t="n">
        <v>46362</v>
      </c>
      <c r="J10" t="inlineStr">
        <is>
          <t>Disetujui</t>
        </is>
      </c>
      <c r="K10" t="n">
        <v>87</v>
      </c>
      <c r="L10" t="inlineStr">
        <is>
          <t>6 Desember 2026</t>
        </is>
      </c>
      <c r="M10" t="inlineStr">
        <is>
          <t>Konstruksi Gedung Lainnya</t>
        </is>
      </c>
      <c r="N10" t="inlineStr">
        <is>
          <t>K</t>
        </is>
      </c>
      <c r="O10" t="inlineStr">
        <is>
          <t>20231205</t>
        </is>
      </c>
      <c r="P10" t="inlineStr">
        <is>
          <t>Jawa Barat</t>
        </is>
      </c>
      <c r="Q10" s="3">
        <f>HYPERLINK("https://wa.me/628128061344?text=Selamat siang Bapak/Ibu pimpinan SERINTUNAN,%0A%0ASemoga Bapak/Ibu dalam keadaan baik.%0ABerdasarkan data LPJK, masa berlaku SBU perusahaan Bapak/Ibu akan berakhir sekitar 3 bulan lagi (pada 6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WAHANA KARSA GEMILANG</t>
        </is>
      </c>
      <c r="B11" t="inlineStr">
        <is>
          <t>Kota Adm. Jakarta Timur</t>
        </is>
      </c>
      <c r="C11" t="inlineStr">
        <is>
          <t>02180870824</t>
        </is>
      </c>
      <c r="D11" t="inlineStr">
        <is>
          <t>wahanakarsagemilang25@gmail.com</t>
        </is>
      </c>
      <c r="E11" t="inlineStr">
        <is>
          <t>https://lpjk.pu.go.id/search-badan-usaha-detail/SWlVMTlpRkRuNEFROXRNZ3FIa3Ixdz09</t>
        </is>
      </c>
      <c r="F11" t="n">
        <v>1</v>
      </c>
      <c r="G11" t="inlineStr">
        <is>
          <t>BG006</t>
        </is>
      </c>
      <c r="H11" t="inlineStr">
        <is>
          <t>16 Agustus 2004</t>
        </is>
      </c>
      <c r="I11" s="2" t="n">
        <v>46362</v>
      </c>
      <c r="J11" t="inlineStr">
        <is>
          <t>Disetujui</t>
        </is>
      </c>
      <c r="K11" t="n">
        <v>87</v>
      </c>
      <c r="L11" t="inlineStr">
        <is>
          <t>6 Desember 2026</t>
        </is>
      </c>
      <c r="M11" t="inlineStr">
        <is>
          <t>Konstruksi Gedung Pendidikan</t>
        </is>
      </c>
      <c r="N11" t="inlineStr">
        <is>
          <t>K</t>
        </is>
      </c>
      <c r="O11" t="inlineStr">
        <is>
          <t>20230720</t>
        </is>
      </c>
      <c r="P11" t="inlineStr">
        <is>
          <t>DKI Jakarta</t>
        </is>
      </c>
      <c r="Q11" t="inlineStr"/>
    </row>
    <row r="12">
      <c r="A12" t="inlineStr">
        <is>
          <t>ZUMAR DAYA HUTAMA</t>
        </is>
      </c>
      <c r="B12" t="inlineStr">
        <is>
          <t>Kab. Bogor</t>
        </is>
      </c>
      <c r="C12" t="inlineStr">
        <is>
          <t>02183729155</t>
        </is>
      </c>
      <c r="D12" t="inlineStr">
        <is>
          <t>legal.zumar@gmail.com</t>
        </is>
      </c>
      <c r="E12" t="inlineStr">
        <is>
          <t>https://lpjk.pu.go.id/search-badan-usaha-detail/dTkza2ZFSUZKcUZHc2dSMXFtc1BhUT09</t>
        </is>
      </c>
      <c r="F12" t="n">
        <v>2</v>
      </c>
      <c r="G12" t="inlineStr">
        <is>
          <t>BS007</t>
        </is>
      </c>
      <c r="H12" t="inlineStr">
        <is>
          <t>4 Oktober 2022</t>
        </is>
      </c>
      <c r="I12" s="2" t="n">
        <v>46362</v>
      </c>
      <c r="J12" t="inlineStr">
        <is>
          <t>Disetujui</t>
        </is>
      </c>
      <c r="K12" t="n">
        <v>87</v>
      </c>
      <c r="L12" t="inlineStr">
        <is>
          <t>6 Desember 2026</t>
        </is>
      </c>
      <c r="M12" t="inlineStr">
        <is>
          <t>Konstruksi Bangunan Sipil Elektrikal</t>
        </is>
      </c>
      <c r="N12" t="inlineStr">
        <is>
          <t>K</t>
        </is>
      </c>
      <c r="O12" t="inlineStr">
        <is>
          <t>20231205</t>
        </is>
      </c>
      <c r="P12" t="inlineStr">
        <is>
          <t>Jawa Barat</t>
        </is>
      </c>
      <c r="Q12" t="inlineStr"/>
    </row>
    <row r="13">
      <c r="A13" t="inlineStr">
        <is>
          <t>ADIRATTAN WIJAYA</t>
        </is>
      </c>
      <c r="B13" t="inlineStr">
        <is>
          <t>Kota Semarang</t>
        </is>
      </c>
      <c r="C13" t="inlineStr">
        <is>
          <t>081283780827</t>
        </is>
      </c>
      <c r="D13" t="inlineStr">
        <is>
          <t>ptadirattanwijaya@gmail.com</t>
        </is>
      </c>
      <c r="E13" t="inlineStr">
        <is>
          <t>https://lpjk.pu.go.id/search-badan-usaha-detail/NlpwWUVBZ2VZSlExV2gxYmxsTThydz09</t>
        </is>
      </c>
      <c r="F13" t="n">
        <v>2</v>
      </c>
      <c r="G13" t="inlineStr">
        <is>
          <t>BG004</t>
        </is>
      </c>
      <c r="H13" t="inlineStr">
        <is>
          <t>4 Januari 1990</t>
        </is>
      </c>
      <c r="I13" s="2" t="n">
        <v>46362</v>
      </c>
      <c r="J13" t="inlineStr">
        <is>
          <t>Disetujui</t>
        </is>
      </c>
      <c r="K13" t="n">
        <v>87</v>
      </c>
      <c r="L13" t="inlineStr">
        <is>
          <t>6 Desember 2026</t>
        </is>
      </c>
      <c r="M13" t="inlineStr">
        <is>
          <t>Konstruksi Gedung Perbelanjaan</t>
        </is>
      </c>
      <c r="N13" t="inlineStr">
        <is>
          <t>K</t>
        </is>
      </c>
      <c r="O13" t="inlineStr">
        <is>
          <t>20231206</t>
        </is>
      </c>
      <c r="P13" t="inlineStr">
        <is>
          <t>Jawa Tengah</t>
        </is>
      </c>
      <c r="Q13" t="inlineStr"/>
    </row>
    <row r="14">
      <c r="A14" t="inlineStr">
        <is>
          <t>ADITIA MANDIRI</t>
        </is>
      </c>
      <c r="B14" t="inlineStr">
        <is>
          <t>Kab. Kayong Utara</t>
        </is>
      </c>
      <c r="C14" t="inlineStr">
        <is>
          <t>085349613311</t>
        </is>
      </c>
      <c r="D14" t="inlineStr">
        <is>
          <t>cv.aditiamandiri@gmail.com</t>
        </is>
      </c>
      <c r="E14" t="inlineStr">
        <is>
          <t>https://lpjk.pu.go.id/search-badan-usaha-detail/SGVMM3l0SkVTbUlERzlTWUx1ZDZiQT09</t>
        </is>
      </c>
      <c r="F14" t="n">
        <v>1</v>
      </c>
      <c r="G14" t="inlineStr">
        <is>
          <t>BS004</t>
        </is>
      </c>
      <c r="H14" t="inlineStr">
        <is>
          <t>6 Juni 2018</t>
        </is>
      </c>
      <c r="I14" s="2" t="n">
        <v>46362</v>
      </c>
      <c r="J14" t="inlineStr">
        <is>
          <t>Disetujui</t>
        </is>
      </c>
      <c r="K14" t="n">
        <v>87</v>
      </c>
      <c r="L14" t="inlineStr">
        <is>
          <t>6 Desember 2026</t>
        </is>
      </c>
      <c r="M14" t="inlineStr">
        <is>
          <t>Konstruksi Jaringan Irigasi dan Drainase</t>
        </is>
      </c>
      <c r="N14" t="inlineStr">
        <is>
          <t>K</t>
        </is>
      </c>
      <c r="O14" t="inlineStr">
        <is>
          <t>20231207</t>
        </is>
      </c>
      <c r="P14" t="inlineStr">
        <is>
          <t>Kalimantan Barat</t>
        </is>
      </c>
      <c r="Q14" t="inlineStr"/>
    </row>
    <row r="15">
      <c r="A15" t="inlineStr">
        <is>
          <t>ARFINDO DUTA KENCANA</t>
        </is>
      </c>
      <c r="B15" t="inlineStr">
        <is>
          <t>Kota Sorong</t>
        </is>
      </c>
      <c r="C15" t="inlineStr">
        <is>
          <t>0811485011</t>
        </is>
      </c>
      <c r="D15" t="inlineStr">
        <is>
          <t>arfindo_dk@yahoo.co.id</t>
        </is>
      </c>
      <c r="E15" t="inlineStr">
        <is>
          <t>https://lpjk.pu.go.id/search-badan-usaha-detail/UGdxTkFKazBMUmJ4bnk5MWcweVZNdz09</t>
        </is>
      </c>
      <c r="F15" t="n">
        <v>1</v>
      </c>
      <c r="G15" t="inlineStr">
        <is>
          <t>BG006</t>
        </is>
      </c>
      <c r="H15" t="inlineStr">
        <is>
          <t>26 Januari 2005</t>
        </is>
      </c>
      <c r="I15" s="2" t="n">
        <v>46362</v>
      </c>
      <c r="J15" t="inlineStr">
        <is>
          <t>Pencabutan</t>
        </is>
      </c>
      <c r="K15" t="n">
        <v>87</v>
      </c>
      <c r="L15" t="inlineStr">
        <is>
          <t>6 Desember 2026</t>
        </is>
      </c>
      <c r="M15" t="inlineStr">
        <is>
          <t>Konstruksi Gedung Pendidikan</t>
        </is>
      </c>
      <c r="N15" t="inlineStr">
        <is>
          <t>M</t>
        </is>
      </c>
      <c r="O15" t="inlineStr">
        <is>
          <t>20231122</t>
        </is>
      </c>
      <c r="P15" t="inlineStr">
        <is>
          <t>Papua Barat</t>
        </is>
      </c>
      <c r="Q15" t="inlineStr"/>
    </row>
    <row r="16">
      <c r="A16" t="inlineStr">
        <is>
          <t>ARIF JAYA MANDIRI</t>
        </is>
      </c>
      <c r="B16" t="inlineStr">
        <is>
          <t>Kab. Berau</t>
        </is>
      </c>
      <c r="C16" t="inlineStr">
        <is>
          <t>082255313387</t>
        </is>
      </c>
      <c r="D16" t="inlineStr">
        <is>
          <t>cv.arifjayamandiri@gmail.com</t>
        </is>
      </c>
      <c r="E16" t="inlineStr">
        <is>
          <t>https://lpjk.pu.go.id/search-badan-usaha-detail/SzhWVUtiT3BnWHo2bDgrblUrOG5nZz09</t>
        </is>
      </c>
      <c r="F16" t="n">
        <v>2</v>
      </c>
      <c r="G16" t="inlineStr">
        <is>
          <t>BS001, BS004</t>
        </is>
      </c>
      <c r="H16" t="inlineStr">
        <is>
          <t>13 Desember 2013</t>
        </is>
      </c>
      <c r="I16" s="2" t="n">
        <v>46362</v>
      </c>
      <c r="J16" t="inlineStr">
        <is>
          <t>Disetujui</t>
        </is>
      </c>
      <c r="K16" t="n">
        <v>87</v>
      </c>
      <c r="L16" t="inlineStr">
        <is>
          <t>6 Desember 2026</t>
        </is>
      </c>
      <c r="M16" t="inlineStr">
        <is>
          <t>Konstruksi Bangunan Sipil Jalan, Konstruksi Jaringan Irigasi dan Drainase</t>
        </is>
      </c>
      <c r="N16" t="inlineStr">
        <is>
          <t>K</t>
        </is>
      </c>
      <c r="O16" t="inlineStr">
        <is>
          <t>20231205</t>
        </is>
      </c>
      <c r="P16" t="inlineStr">
        <is>
          <t>Kalimantan Timur</t>
        </is>
      </c>
      <c r="Q16" t="inlineStr"/>
    </row>
    <row r="17">
      <c r="A17" t="inlineStr">
        <is>
          <t>ARKINDO JAYA</t>
        </is>
      </c>
      <c r="B17" t="inlineStr">
        <is>
          <t>Kota Dumai</t>
        </is>
      </c>
      <c r="C17" t="inlineStr">
        <is>
          <t>081277513879</t>
        </is>
      </c>
      <c r="D17" t="inlineStr">
        <is>
          <t>arkindojayadmi@gmail.com</t>
        </is>
      </c>
      <c r="E17" t="inlineStr">
        <is>
          <t>https://lpjk.pu.go.id/search-badan-usaha-detail/YlVNbWYwcmt6Q2VNcCtSaW1NWXBzZz09</t>
        </is>
      </c>
      <c r="F17" t="n">
        <v>3</v>
      </c>
      <c r="G17" t="inlineStr">
        <is>
          <t>BG006, BS001, BS004</t>
        </is>
      </c>
      <c r="H17" t="inlineStr">
        <is>
          <t>14 November 2019</t>
        </is>
      </c>
      <c r="I17" s="2" t="n">
        <v>46362</v>
      </c>
      <c r="J17" t="inlineStr">
        <is>
          <t>Disetujui</t>
        </is>
      </c>
      <c r="K17" t="n">
        <v>87</v>
      </c>
      <c r="L17" t="inlineStr">
        <is>
          <t>6 Desember 2026</t>
        </is>
      </c>
      <c r="M17" t="inlineStr">
        <is>
          <t>Konstruksi Bangunan Sipil Jalan, Konstruksi Gedung Pendidikan, Konstruksi Jaringan Irigasi dan Drainase</t>
        </is>
      </c>
      <c r="N17" t="inlineStr">
        <is>
          <t>K</t>
        </is>
      </c>
      <c r="O17" t="inlineStr">
        <is>
          <t>20231207</t>
        </is>
      </c>
      <c r="P17" t="inlineStr">
        <is>
          <t>Riau</t>
        </is>
      </c>
      <c r="Q17" t="inlineStr"/>
    </row>
    <row r="18">
      <c r="A18" t="inlineStr">
        <is>
          <t>BAJRA MANDALASAKTI</t>
        </is>
      </c>
      <c r="B18" t="inlineStr">
        <is>
          <t>Kota Adm. Jakarta Selatan</t>
        </is>
      </c>
      <c r="C18" t="inlineStr">
        <is>
          <t>0217991323</t>
        </is>
      </c>
      <c r="D18" t="inlineStr">
        <is>
          <t>enquiries@ptbms.net</t>
        </is>
      </c>
      <c r="E18" t="inlineStr">
        <is>
          <t>https://lpjk.pu.go.id/search-badan-usaha-detail/S3pzdTM3dDJ2dTdKTHB3cEQySWxHdz09</t>
        </is>
      </c>
      <c r="F18" t="n">
        <v>1</v>
      </c>
      <c r="G18" t="inlineStr">
        <is>
          <t>IN006</t>
        </is>
      </c>
      <c r="H18" t="inlineStr">
        <is>
          <t>19 November 1991</t>
        </is>
      </c>
      <c r="I18" s="2" t="n">
        <v>46362</v>
      </c>
      <c r="J18" t="inlineStr">
        <is>
          <t>Disetujui</t>
        </is>
      </c>
      <c r="K18" t="n">
        <v>87</v>
      </c>
      <c r="L18" t="inlineStr">
        <is>
          <t>6 Desember 2026</t>
        </is>
      </c>
      <c r="M18" t="inlineStr">
        <is>
          <t>Instalasi Elektronika</t>
        </is>
      </c>
      <c r="N18" t="inlineStr">
        <is>
          <t>Spesialis</t>
        </is>
      </c>
      <c r="O18" t="inlineStr">
        <is>
          <t>20231204</t>
        </is>
      </c>
      <c r="P18" t="inlineStr">
        <is>
          <t>DKI Jakarta</t>
        </is>
      </c>
      <c r="Q18" t="inlineStr"/>
    </row>
    <row r="19">
      <c r="A19" t="inlineStr">
        <is>
          <t>BALANGAN CITRA BANGUN PERMAI</t>
        </is>
      </c>
      <c r="B19" t="inlineStr">
        <is>
          <t>Kab. Balangan</t>
        </is>
      </c>
      <c r="C19" t="inlineStr">
        <is>
          <t>081349430778</t>
        </is>
      </c>
      <c r="D19" t="inlineStr">
        <is>
          <t>mudi6668i@gmail.com</t>
        </is>
      </c>
      <c r="E19" t="inlineStr">
        <is>
          <t>https://lpjk.pu.go.id/search-badan-usaha-detail/VkJyc01hMVg2bSszTnIvbmRBRUE0dz09</t>
        </is>
      </c>
      <c r="F19" t="n">
        <v>1</v>
      </c>
      <c r="G19" t="inlineStr">
        <is>
          <t>BS001</t>
        </is>
      </c>
      <c r="H19" t="inlineStr">
        <is>
          <t>10 April 1995</t>
        </is>
      </c>
      <c r="I19" s="2" t="n">
        <v>46362</v>
      </c>
      <c r="J19" t="inlineStr">
        <is>
          <t>Disetujui</t>
        </is>
      </c>
      <c r="K19" t="n">
        <v>87</v>
      </c>
      <c r="L19" t="inlineStr">
        <is>
          <t>6 Desember 2026</t>
        </is>
      </c>
      <c r="M19" t="inlineStr">
        <is>
          <t>Konstruksi Bangunan Sipil Jalan</t>
        </is>
      </c>
      <c r="N19" t="inlineStr">
        <is>
          <t>K</t>
        </is>
      </c>
      <c r="O19" t="inlineStr">
        <is>
          <t>20231206</t>
        </is>
      </c>
      <c r="P19" t="inlineStr">
        <is>
          <t>Kalimantan Selatan</t>
        </is>
      </c>
      <c r="Q19" t="inlineStr"/>
    </row>
    <row r="20">
      <c r="A20" t="inlineStr">
        <is>
          <t>BANGUN RANCANG ENGINEERING</t>
        </is>
      </c>
      <c r="B20" t="inlineStr">
        <is>
          <t>Kota Adm. Jakarta Selatan</t>
        </is>
      </c>
      <c r="C20" t="inlineStr">
        <is>
          <t>02150812001</t>
        </is>
      </c>
      <c r="D20" t="inlineStr">
        <is>
          <t>bangun.rancang.engineering@gmail.com</t>
        </is>
      </c>
      <c r="E20" t="inlineStr">
        <is>
          <t>https://lpjk.pu.go.id/search-badan-usaha-detail/NkxKLzBzQzV4cEJDems3ZlhnblZvZz09</t>
        </is>
      </c>
      <c r="F20" t="n">
        <v>2</v>
      </c>
      <c r="G20" t="inlineStr">
        <is>
          <t>AR002, AR003</t>
        </is>
      </c>
      <c r="H20" t="inlineStr">
        <is>
          <t>7 Januari 2019</t>
        </is>
      </c>
      <c r="I20" s="2" t="n">
        <v>46362</v>
      </c>
      <c r="J20" t="inlineStr">
        <is>
          <t>Disetujui</t>
        </is>
      </c>
      <c r="K20" t="n">
        <v>87</v>
      </c>
      <c r="L20" t="inlineStr">
        <is>
          <t>6 Desember 2026</t>
        </is>
      </c>
      <c r="M20" t="inlineStr">
        <is>
          <t>Jasa Arsitektural Lainnya, Jasa Desain Interior pada Bangunan Gedung dan Bangunan Sipil</t>
        </is>
      </c>
      <c r="N20" t="inlineStr">
        <is>
          <t>K</t>
        </is>
      </c>
      <c r="O20" t="inlineStr">
        <is>
          <t>20231126</t>
        </is>
      </c>
      <c r="P20" t="inlineStr">
        <is>
          <t>DKI Jakarta</t>
        </is>
      </c>
      <c r="Q20" t="inlineStr"/>
    </row>
    <row r="21">
      <c r="A21" t="inlineStr">
        <is>
          <t>BERNHARD JAYA ABADI</t>
        </is>
      </c>
      <c r="B21" t="inlineStr">
        <is>
          <t>Kota Cimahi</t>
        </is>
      </c>
      <c r="C21" t="inlineStr">
        <is>
          <t>081214811007</t>
        </is>
      </c>
      <c r="D21" t="inlineStr">
        <is>
          <t>aarbylan18@yahoo.com</t>
        </is>
      </c>
      <c r="E21" t="inlineStr">
        <is>
          <t>https://lpjk.pu.go.id/search-badan-usaha-detail/WXAxQnJtM0hjL0Rra0JlOWZCdmp4dz09</t>
        </is>
      </c>
      <c r="F21" t="n">
        <v>2</v>
      </c>
      <c r="G21" t="inlineStr">
        <is>
          <t>BG006, BG009</t>
        </is>
      </c>
      <c r="H21" t="inlineStr">
        <is>
          <t>5 Oktober 2023</t>
        </is>
      </c>
      <c r="I21" s="2" t="n">
        <v>46362</v>
      </c>
      <c r="J21" t="inlineStr">
        <is>
          <t>Disetujui</t>
        </is>
      </c>
      <c r="K21" t="n">
        <v>87</v>
      </c>
      <c r="L21" t="inlineStr">
        <is>
          <t>6 Desember 2026</t>
        </is>
      </c>
      <c r="M21" t="inlineStr">
        <is>
          <t>Konstruksi Gedung Lainnya, Konstruksi Gedung Pendidikan</t>
        </is>
      </c>
      <c r="N21" t="inlineStr">
        <is>
          <t>K</t>
        </is>
      </c>
      <c r="O21" t="inlineStr">
        <is>
          <t>20231130</t>
        </is>
      </c>
      <c r="P21" t="inlineStr">
        <is>
          <t>Jawa Barat</t>
        </is>
      </c>
      <c r="Q21" t="inlineStr"/>
    </row>
    <row r="22">
      <c r="A22" t="inlineStr">
        <is>
          <t>BINA MUDA KONSULTAN</t>
        </is>
      </c>
      <c r="B22" t="inlineStr">
        <is>
          <t>Kota Bandung</t>
        </is>
      </c>
      <c r="C22" t="inlineStr">
        <is>
          <t>081934173397</t>
        </is>
      </c>
      <c r="D22" t="inlineStr">
        <is>
          <t>bina.muda.konsultan23@gmail.com</t>
        </is>
      </c>
      <c r="E22" t="inlineStr">
        <is>
          <t>https://lpjk.pu.go.id/search-badan-usaha-detail/RVFsQWdZYjdTVklqcGxac0pqM0xFQT09</t>
        </is>
      </c>
      <c r="F22" t="n">
        <v>4</v>
      </c>
      <c r="G22" t="inlineStr">
        <is>
          <t>RK001, RK002, RK003, RK005</t>
        </is>
      </c>
      <c r="H22" t="inlineStr">
        <is>
          <t>17 November 2023</t>
        </is>
      </c>
      <c r="I22" s="2" t="n">
        <v>46362</v>
      </c>
      <c r="J22" t="inlineStr">
        <is>
          <t>Disetujui</t>
        </is>
      </c>
      <c r="K22" t="n">
        <v>87</v>
      </c>
      <c r="L22" t="inlineStr">
        <is>
          <t>6 Desember 2026</t>
        </is>
      </c>
      <c r="M22" t="inlineStr">
        <is>
          <t>Jasa Rekayasa Konstruksi Bangunan Gedung Hunian dan Non Hunian, Jasa Rekayasa Lainnya, Jasa Rekayasa Pekerjaan Teknik Sipil Sumber Daya Air, Jasa Rekayasa Pekerjaan Teknik Sipil Transportasi</t>
        </is>
      </c>
      <c r="N22" t="inlineStr">
        <is>
          <t>K</t>
        </is>
      </c>
      <c r="O22" t="inlineStr">
        <is>
          <t>20231201</t>
        </is>
      </c>
      <c r="P22" t="inlineStr">
        <is>
          <t>Jawa Barat</t>
        </is>
      </c>
      <c r="Q22" t="inlineStr"/>
    </row>
    <row r="23">
      <c r="A23" t="inlineStr">
        <is>
          <t>BINA MULIA</t>
        </is>
      </c>
      <c r="B23" t="inlineStr">
        <is>
          <t>Kab. Bireuen</t>
        </is>
      </c>
      <c r="C23" t="inlineStr">
        <is>
          <t>082361307332</t>
        </is>
      </c>
      <c r="D23" t="inlineStr">
        <is>
          <t>binamulia.cv@gmail.com</t>
        </is>
      </c>
      <c r="E23" t="inlineStr">
        <is>
          <t>https://lpjk.pu.go.id/search-badan-usaha-detail/em9xSGo3dHlCRzl4YjBEbFB0MmRVdz09</t>
        </is>
      </c>
      <c r="F23" t="n">
        <v>2</v>
      </c>
      <c r="G23" t="inlineStr">
        <is>
          <t>BG001, BG005</t>
        </is>
      </c>
      <c r="H23" t="inlineStr">
        <is>
          <t>11 Januari 2007</t>
        </is>
      </c>
      <c r="I23" s="2" t="n">
        <v>46362</v>
      </c>
      <c r="J23" t="inlineStr">
        <is>
          <t>Disetujui</t>
        </is>
      </c>
      <c r="K23" t="n">
        <v>87</v>
      </c>
      <c r="L23" t="inlineStr">
        <is>
          <t>6 Desember 2026</t>
        </is>
      </c>
      <c r="M23" t="inlineStr">
        <is>
          <t>Konstruksi Gedung Hunian, Konstruksi Gedung Kesehatan</t>
        </is>
      </c>
      <c r="N23" t="inlineStr">
        <is>
          <t>K</t>
        </is>
      </c>
      <c r="O23" t="inlineStr">
        <is>
          <t>20231207</t>
        </is>
      </c>
      <c r="P23" t="inlineStr">
        <is>
          <t>Aceh</t>
        </is>
      </c>
      <c r="Q23" t="inlineStr"/>
    </row>
    <row r="24">
      <c r="A24" t="inlineStr">
        <is>
          <t>BUMI INTAN MULIA</t>
        </is>
      </c>
      <c r="B24" t="inlineStr">
        <is>
          <t>Kota Banjarbaru</t>
        </is>
      </c>
      <c r="C24" t="inlineStr">
        <is>
          <t>0</t>
        </is>
      </c>
      <c r="D24" t="inlineStr">
        <is>
          <t>bumiintanmulia@gmail.com</t>
        </is>
      </c>
      <c r="E24" t="inlineStr">
        <is>
          <t>https://lpjk.pu.go.id/search-badan-usaha-detail/SEN5RW8xZlVzeEpCRkRRYzcxdloxZz09</t>
        </is>
      </c>
      <c r="F24" t="n">
        <v>1</v>
      </c>
      <c r="G24" t="inlineStr">
        <is>
          <t>BG001</t>
        </is>
      </c>
      <c r="H24" t="inlineStr">
        <is>
          <t>16 Oktober 2023</t>
        </is>
      </c>
      <c r="I24" s="2" t="n">
        <v>46362</v>
      </c>
      <c r="J24" t="inlineStr">
        <is>
          <t>Disetujui</t>
        </is>
      </c>
      <c r="K24" t="n">
        <v>87</v>
      </c>
      <c r="L24" t="inlineStr">
        <is>
          <t>6 Desember 2026</t>
        </is>
      </c>
      <c r="M24" t="inlineStr">
        <is>
          <t>Konstruksi Gedung Hunian</t>
        </is>
      </c>
      <c r="N24" t="inlineStr">
        <is>
          <t>K</t>
        </is>
      </c>
      <c r="O24" t="inlineStr">
        <is>
          <t>20231205</t>
        </is>
      </c>
      <c r="P24" t="inlineStr">
        <is>
          <t>Kalimantan Selatan</t>
        </is>
      </c>
      <c r="Q24" t="inlineStr"/>
    </row>
    <row r="25">
      <c r="A25" t="inlineStr">
        <is>
          <t>BUMI SERAN</t>
        </is>
      </c>
      <c r="B25" t="inlineStr">
        <is>
          <t>Kab. Sumbawa</t>
        </is>
      </c>
      <c r="C25" t="inlineStr">
        <is>
          <t>081906996777</t>
        </is>
      </c>
      <c r="D25" t="inlineStr">
        <is>
          <t>bumiseran2018@gmail.com</t>
        </is>
      </c>
      <c r="E25" t="inlineStr">
        <is>
          <t>https://lpjk.pu.go.id/search-badan-usaha-detail/RTF2ZTkrRTl3Mmk0NTJTYzk5ZUNBUT09</t>
        </is>
      </c>
      <c r="F25" t="n">
        <v>1</v>
      </c>
      <c r="G25" t="inlineStr">
        <is>
          <t>BS002</t>
        </is>
      </c>
      <c r="H25" t="inlineStr">
        <is>
          <t>8 Maret 2004</t>
        </is>
      </c>
      <c r="I25" s="2" t="n">
        <v>46362</v>
      </c>
      <c r="J25" t="inlineStr">
        <is>
          <t>Disetujui</t>
        </is>
      </c>
      <c r="K25" t="n">
        <v>87</v>
      </c>
      <c r="L25" t="inlineStr">
        <is>
          <t>6 Desember 2026</t>
        </is>
      </c>
      <c r="M25" t="inlineStr">
        <is>
          <t>Bangunan Sipil Jembatan, Jalan Layang, Fly Over, dan Underpass</t>
        </is>
      </c>
      <c r="N25" t="inlineStr">
        <is>
          <t>M</t>
        </is>
      </c>
      <c r="O25" t="inlineStr">
        <is>
          <t>20231201</t>
        </is>
      </c>
      <c r="P25" t="inlineStr">
        <is>
          <t>Nusa Tenggara Barat</t>
        </is>
      </c>
      <c r="Q25" t="inlineStr"/>
    </row>
    <row r="26">
      <c r="A26" t="inlineStr">
        <is>
          <t>CAHAYA BARU</t>
        </is>
      </c>
      <c r="B26" t="inlineStr">
        <is>
          <t>Kab. Lamongan</t>
        </is>
      </c>
      <c r="C26" t="inlineStr">
        <is>
          <t>082143451988</t>
        </is>
      </c>
      <c r="D26" t="inlineStr">
        <is>
          <t>cvcahayabaru2023@gmail.com</t>
        </is>
      </c>
      <c r="E26" t="inlineStr">
        <is>
          <t>https://lpjk.pu.go.id/search-badan-usaha-detail/aDAzelNJTWM4WkFiN3YrV09zTi8zUT09</t>
        </is>
      </c>
      <c r="F26" t="n">
        <v>1</v>
      </c>
      <c r="G26" t="inlineStr">
        <is>
          <t>BS001</t>
        </is>
      </c>
      <c r="H26" t="inlineStr">
        <is>
          <t>2 Juni 2014</t>
        </is>
      </c>
      <c r="I26" s="2" t="n">
        <v>46362</v>
      </c>
      <c r="J26" t="inlineStr">
        <is>
          <t>Disetujui</t>
        </is>
      </c>
      <c r="K26" t="n">
        <v>87</v>
      </c>
      <c r="L26" t="inlineStr">
        <is>
          <t>6 Desember 2026</t>
        </is>
      </c>
      <c r="M26" t="inlineStr">
        <is>
          <t>Konstruksi Bangunan Sipil Jalan</t>
        </is>
      </c>
      <c r="N26" t="inlineStr">
        <is>
          <t>K</t>
        </is>
      </c>
      <c r="O26" t="inlineStr">
        <is>
          <t>20231201</t>
        </is>
      </c>
      <c r="P26" t="inlineStr">
        <is>
          <t>Jawa Timur</t>
        </is>
      </c>
      <c r="Q26" t="inlineStr"/>
    </row>
    <row r="27">
      <c r="A27" t="inlineStr">
        <is>
          <t>CAHAYA GEMILANG SUKSES NUSANTARA</t>
        </is>
      </c>
      <c r="B27" t="inlineStr">
        <is>
          <t>Kota Medan</t>
        </is>
      </c>
      <c r="C27" t="inlineStr">
        <is>
          <t>08116338333</t>
        </is>
      </c>
      <c r="D27" t="inlineStr">
        <is>
          <t>cahayagemilangsuksesnusantara@gmail.com</t>
        </is>
      </c>
      <c r="E27" t="inlineStr">
        <is>
          <t>https://lpjk.pu.go.id/search-badan-usaha-detail/bmdRQ3BFMS96SW9GNENhdXdzb3VOUT09</t>
        </is>
      </c>
      <c r="F27" t="n">
        <v>1</v>
      </c>
      <c r="G27" t="inlineStr">
        <is>
          <t>BS001</t>
        </is>
      </c>
      <c r="H27" t="inlineStr">
        <is>
          <t>23 Mei 2023</t>
        </is>
      </c>
      <c r="I27" s="2" t="n">
        <v>46362</v>
      </c>
      <c r="J27" t="inlineStr">
        <is>
          <t>Disetujui</t>
        </is>
      </c>
      <c r="K27" t="n">
        <v>87</v>
      </c>
      <c r="L27" t="inlineStr">
        <is>
          <t>6 Desember 2026</t>
        </is>
      </c>
      <c r="M27" t="inlineStr">
        <is>
          <t>Konstruksi Bangunan Sipil Jalan</t>
        </is>
      </c>
      <c r="N27" t="inlineStr">
        <is>
          <t>K</t>
        </is>
      </c>
      <c r="O27" t="inlineStr">
        <is>
          <t>20231206</t>
        </is>
      </c>
      <c r="P27" t="inlineStr">
        <is>
          <t>Sumatera Utara</t>
        </is>
      </c>
      <c r="Q27" t="inlineStr"/>
    </row>
    <row r="28">
      <c r="A28" t="inlineStr">
        <is>
          <t>CHANDRA PRIMAPUTRA PERSADA</t>
        </is>
      </c>
      <c r="B28" t="inlineStr">
        <is>
          <t>Kota Adm. Jakarta Barat</t>
        </is>
      </c>
      <c r="C28" t="inlineStr">
        <is>
          <t>02154397413</t>
        </is>
      </c>
      <c r="D28" t="inlineStr">
        <is>
          <t>ptchandraprimaputra@gmail.com</t>
        </is>
      </c>
      <c r="E28" t="inlineStr">
        <is>
          <t>https://lpjk.pu.go.id/search-badan-usaha-detail/ZFlBcGVsMTFWQUlwd2V3dVVzNXljdz09</t>
        </is>
      </c>
      <c r="F28" t="n">
        <v>1</v>
      </c>
      <c r="G28" t="inlineStr">
        <is>
          <t>BG001</t>
        </is>
      </c>
      <c r="H28" t="inlineStr">
        <is>
          <t>31 Juli 2023</t>
        </is>
      </c>
      <c r="I28" s="2" t="n">
        <v>46362</v>
      </c>
      <c r="J28" t="inlineStr">
        <is>
          <t>Disetujui</t>
        </is>
      </c>
      <c r="K28" t="n">
        <v>87</v>
      </c>
      <c r="L28" t="inlineStr">
        <is>
          <t>6 Desember 2026</t>
        </is>
      </c>
      <c r="M28" t="inlineStr">
        <is>
          <t>Konstruksi Gedung Hunian</t>
        </is>
      </c>
      <c r="N28" t="inlineStr">
        <is>
          <t>K</t>
        </is>
      </c>
      <c r="O28" t="inlineStr">
        <is>
          <t>20231207</t>
        </is>
      </c>
      <c r="P28" t="inlineStr">
        <is>
          <t>DKI Jakarta</t>
        </is>
      </c>
      <c r="Q28" t="inlineStr"/>
    </row>
    <row r="29">
      <c r="A29" t="inlineStr">
        <is>
          <t>CIPTA BANGUN SUKSES</t>
        </is>
      </c>
      <c r="B29" t="inlineStr">
        <is>
          <t>Kota Bengkulu</t>
        </is>
      </c>
      <c r="C29" t="inlineStr">
        <is>
          <t>085357777800</t>
        </is>
      </c>
      <c r="D29" t="inlineStr">
        <is>
          <t>cvciptabangunsukses@gmail.com</t>
        </is>
      </c>
      <c r="E29" t="inlineStr">
        <is>
          <t>https://lpjk.pu.go.id/search-badan-usaha-detail/Y09QNjlURWNGL0Z5Y0drdllzMW5Gdz09</t>
        </is>
      </c>
      <c r="F29" t="n">
        <v>8</v>
      </c>
      <c r="G29" t="inlineStr">
        <is>
          <t>BG001, BG002, BG005, BG006</t>
        </is>
      </c>
      <c r="H29" t="inlineStr">
        <is>
          <t>21 Juni 2023</t>
        </is>
      </c>
      <c r="I29" s="2" t="n">
        <v>46362</v>
      </c>
      <c r="J29" t="inlineStr">
        <is>
          <t>Disetujui</t>
        </is>
      </c>
      <c r="K29" t="n">
        <v>87</v>
      </c>
      <c r="L29" t="inlineStr">
        <is>
          <t>6 Desember 2026</t>
        </is>
      </c>
      <c r="M29" t="inlineStr">
        <is>
          <t>Konstruksi Gedung Hunian, Konstruksi Gedung Kesehatan, Konstruksi Gedung Pendidikan, Konstruksi Gedung Perkantoran</t>
        </is>
      </c>
      <c r="N29" t="inlineStr">
        <is>
          <t>K</t>
        </is>
      </c>
      <c r="O29" t="inlineStr">
        <is>
          <t>20231204, 20231205</t>
        </is>
      </c>
      <c r="P29" t="inlineStr">
        <is>
          <t>Bengkulu</t>
        </is>
      </c>
      <c r="Q29" t="inlineStr"/>
    </row>
    <row r="30">
      <c r="A30" t="inlineStr">
        <is>
          <t>CIPTA GEMILANG TEKNIK MANDIRI</t>
        </is>
      </c>
      <c r="B30" t="inlineStr">
        <is>
          <t>Kota Adm. Jakarta Barat</t>
        </is>
      </c>
      <c r="C30" t="inlineStr">
        <is>
          <t>02154353637</t>
        </is>
      </c>
      <c r="D30" t="inlineStr">
        <is>
          <t>cgtm@ciptagemilang.net</t>
        </is>
      </c>
      <c r="E30" t="inlineStr">
        <is>
          <t>https://lpjk.pu.go.id/search-badan-usaha-detail/dmhTLzFXTTM3b1kwUTJHRDQ5dC9Tdz09</t>
        </is>
      </c>
      <c r="F30" t="n">
        <v>2</v>
      </c>
      <c r="G30" t="inlineStr">
        <is>
          <t>PB004</t>
        </is>
      </c>
      <c r="H30" t="inlineStr">
        <is>
          <t>22 Februari 2006</t>
        </is>
      </c>
      <c r="I30" s="2" t="n">
        <v>46362</v>
      </c>
      <c r="J30" t="inlineStr">
        <is>
          <t>Disetujui, Pembekuan</t>
        </is>
      </c>
      <c r="K30" t="n">
        <v>87</v>
      </c>
      <c r="L30" t="inlineStr">
        <is>
          <t>6 Desember 2026</t>
        </is>
      </c>
      <c r="M30" t="inlineStr">
        <is>
          <t>Dekorasi Interior</t>
        </is>
      </c>
      <c r="N30" t="inlineStr">
        <is>
          <t>Spesialis</t>
        </is>
      </c>
      <c r="O30" t="inlineStr">
        <is>
          <t>20231207</t>
        </is>
      </c>
      <c r="P30" t="inlineStr">
        <is>
          <t>DKI Jakarta</t>
        </is>
      </c>
      <c r="Q30" t="inlineStr"/>
    </row>
    <row r="31">
      <c r="A31" t="inlineStr">
        <is>
          <t>CIPTA KARYA KOKARTA</t>
        </is>
      </c>
      <c r="B31" t="inlineStr">
        <is>
          <t>Kab. Karanganyar</t>
        </is>
      </c>
      <c r="C31" t="inlineStr">
        <is>
          <t>085747506030</t>
        </is>
      </c>
      <c r="D31" t="inlineStr">
        <is>
          <t>kokarta2022@gmail.com</t>
        </is>
      </c>
      <c r="E31" t="inlineStr">
        <is>
          <t>https://lpjk.pu.go.id/search-badan-usaha-detail/dExXcVh5cUk3a1dveG9oK01tRGRwUT09</t>
        </is>
      </c>
      <c r="F31" t="n">
        <v>10</v>
      </c>
      <c r="G31" t="inlineStr">
        <is>
          <t>BG002, BG003, BG005, BG006, BG009</t>
        </is>
      </c>
      <c r="H31" t="inlineStr">
        <is>
          <t>21 Oktober 2022</t>
        </is>
      </c>
      <c r="I31" s="2" t="n">
        <v>46362</v>
      </c>
      <c r="J31" t="inlineStr">
        <is>
          <t>Disetujui</t>
        </is>
      </c>
      <c r="K31" t="n">
        <v>87</v>
      </c>
      <c r="L31" t="inlineStr">
        <is>
          <t>6 Desember 2026</t>
        </is>
      </c>
      <c r="M31" t="inlineStr">
        <is>
          <t>Konstruksi Gedung Industri, Konstruksi Gedung Kesehatan, Konstruksi Gedung Lainnya, Konstruksi Gedung Pendidikan, Konstruksi Gedung Perkantoran</t>
        </is>
      </c>
      <c r="N31" t="inlineStr">
        <is>
          <t>K</t>
        </is>
      </c>
      <c r="O31" t="inlineStr">
        <is>
          <t>20231129, 20231204</t>
        </is>
      </c>
      <c r="P31" t="inlineStr">
        <is>
          <t>Jawa Tengah</t>
        </is>
      </c>
      <c r="Q31" t="inlineStr"/>
    </row>
    <row r="32">
      <c r="A32" t="inlineStr">
        <is>
          <t>DELISTI JAYA ABADI</t>
        </is>
      </c>
      <c r="B32" t="inlineStr">
        <is>
          <t>Kota Pagar Alam</t>
        </is>
      </c>
      <c r="C32" t="inlineStr">
        <is>
          <t>085336088833</t>
        </is>
      </c>
      <c r="D32" t="inlineStr">
        <is>
          <t>delistijayaabadi@gmail.com</t>
        </is>
      </c>
      <c r="E32" t="inlineStr">
        <is>
          <t>https://lpjk.pu.go.id/search-badan-usaha-detail/VGFBcUgrOEVFVndwTk9GRU9Fa2VtZz09</t>
        </is>
      </c>
      <c r="F32" t="n">
        <v>3</v>
      </c>
      <c r="G32" t="inlineStr">
        <is>
          <t>BG002, BS001, BS004</t>
        </is>
      </c>
      <c r="H32" t="inlineStr">
        <is>
          <t>1 Desember 2014</t>
        </is>
      </c>
      <c r="I32" s="2" t="n">
        <v>46362</v>
      </c>
      <c r="J32" t="inlineStr">
        <is>
          <t>Disetujui</t>
        </is>
      </c>
      <c r="K32" t="n">
        <v>87</v>
      </c>
      <c r="L32" t="inlineStr">
        <is>
          <t>6 Desember 2026</t>
        </is>
      </c>
      <c r="M32" t="inlineStr">
        <is>
          <t>Konstruksi Bangunan Sipil Jalan, Konstruksi Gedung Perkantoran, Konstruksi Jaringan Irigasi dan Drainase</t>
        </is>
      </c>
      <c r="N32" t="inlineStr">
        <is>
          <t>K</t>
        </is>
      </c>
      <c r="O32" t="inlineStr">
        <is>
          <t>20231206</t>
        </is>
      </c>
      <c r="P32" t="inlineStr">
        <is>
          <t>Sumatera Selatan</t>
        </is>
      </c>
      <c r="Q32" t="inlineStr"/>
    </row>
    <row r="33">
      <c r="A33" t="inlineStr">
        <is>
          <t>DUA PUTRA SATU PUTRI</t>
        </is>
      </c>
      <c r="B33" t="inlineStr">
        <is>
          <t>Kab. Ketapang</t>
        </is>
      </c>
      <c r="C33" t="inlineStr">
        <is>
          <t>085348307653</t>
        </is>
      </c>
      <c r="D33" t="inlineStr">
        <is>
          <t>cv.duaputrasatuputri@yahoo.com</t>
        </is>
      </c>
      <c r="E33" t="inlineStr">
        <is>
          <t>https://lpjk.pu.go.id/search-badan-usaha-detail/SlhUNmo5elZyVkY2NTlvUUNhcVd2QT09</t>
        </is>
      </c>
      <c r="F33" t="n">
        <v>2</v>
      </c>
      <c r="G33" t="inlineStr">
        <is>
          <t>BG001, BG009</t>
        </is>
      </c>
      <c r="H33" t="inlineStr">
        <is>
          <t>15 Juli 2020</t>
        </is>
      </c>
      <c r="I33" s="2" t="n">
        <v>46362</v>
      </c>
      <c r="J33" t="inlineStr">
        <is>
          <t>Disetujui</t>
        </is>
      </c>
      <c r="K33" t="n">
        <v>87</v>
      </c>
      <c r="L33" t="inlineStr">
        <is>
          <t>6 Desember 2026</t>
        </is>
      </c>
      <c r="M33" t="inlineStr">
        <is>
          <t>Konstruksi Gedung Hunian, Konstruksi Gedung Lainnya</t>
        </is>
      </c>
      <c r="N33" t="inlineStr">
        <is>
          <t>K</t>
        </is>
      </c>
      <c r="O33" t="inlineStr">
        <is>
          <t>20231205</t>
        </is>
      </c>
      <c r="P33" t="inlineStr">
        <is>
          <t>Kalimantan Barat</t>
        </is>
      </c>
      <c r="Q33" t="inlineStr"/>
    </row>
    <row r="34">
      <c r="A34" t="inlineStr">
        <is>
          <t>DUTA TUNAS KONSTRUKSI PRATAMA</t>
        </is>
      </c>
      <c r="B34" t="inlineStr">
        <is>
          <t>Kab. Serang</t>
        </is>
      </c>
      <c r="C34" t="inlineStr">
        <is>
          <t>08121265551</t>
        </is>
      </c>
      <c r="D34" t="inlineStr">
        <is>
          <t>dutatunaskonstruksipratama@gmail.com</t>
        </is>
      </c>
      <c r="E34" t="inlineStr">
        <is>
          <t>https://lpjk.pu.go.id/search-badan-usaha-detail/ZE5ZTHFRK2pOWU5zNWl3SlpRTkVzdz09</t>
        </is>
      </c>
      <c r="F34" t="n">
        <v>1</v>
      </c>
      <c r="G34" t="inlineStr">
        <is>
          <t>BS001</t>
        </is>
      </c>
      <c r="H34" t="inlineStr">
        <is>
          <t>18 September 2017</t>
        </is>
      </c>
      <c r="I34" s="2" t="n">
        <v>46362</v>
      </c>
      <c r="J34" t="inlineStr">
        <is>
          <t>Disetujui</t>
        </is>
      </c>
      <c r="K34" t="n">
        <v>87</v>
      </c>
      <c r="L34" t="inlineStr">
        <is>
          <t>6 Desember 2026</t>
        </is>
      </c>
      <c r="M34" t="inlineStr">
        <is>
          <t>Konstruksi Bangunan Sipil Jalan</t>
        </is>
      </c>
      <c r="N34" t="inlineStr">
        <is>
          <t>M</t>
        </is>
      </c>
      <c r="O34" t="inlineStr">
        <is>
          <t>20231130</t>
        </is>
      </c>
      <c r="P34" t="inlineStr">
        <is>
          <t>Banten</t>
        </is>
      </c>
      <c r="Q34" t="inlineStr"/>
    </row>
    <row r="35">
      <c r="A35" t="inlineStr">
        <is>
          <t>FAUZAN GROUP</t>
        </is>
      </c>
      <c r="B35" t="inlineStr">
        <is>
          <t>Kota Medan</t>
        </is>
      </c>
      <c r="C35" t="inlineStr">
        <is>
          <t>085276655740</t>
        </is>
      </c>
      <c r="D35" t="inlineStr">
        <is>
          <t>cvfauzang@gmail.com</t>
        </is>
      </c>
      <c r="E35" t="inlineStr">
        <is>
          <t>https://lpjk.pu.go.id/search-badan-usaha-detail/SDN6UXI2OEYzaTRia1ZTUkQwdmxBUT09</t>
        </is>
      </c>
      <c r="F35" t="n">
        <v>2</v>
      </c>
      <c r="G35" t="inlineStr">
        <is>
          <t>BS002</t>
        </is>
      </c>
      <c r="H35" t="inlineStr">
        <is>
          <t>24 Mei 2012</t>
        </is>
      </c>
      <c r="I35" s="2" t="n">
        <v>46362</v>
      </c>
      <c r="J35" t="inlineStr">
        <is>
          <t>Disetujui</t>
        </is>
      </c>
      <c r="K35" t="n">
        <v>87</v>
      </c>
      <c r="L35" t="inlineStr">
        <is>
          <t>6 Desember 2026</t>
        </is>
      </c>
      <c r="M35" t="inlineStr">
        <is>
          <t>Bangunan Sipil Jembatan, Jalan Layang, Fly Over, dan Underpass</t>
        </is>
      </c>
      <c r="N35" t="inlineStr">
        <is>
          <t>K</t>
        </is>
      </c>
      <c r="O35" t="inlineStr">
        <is>
          <t>20231206</t>
        </is>
      </c>
      <c r="P35" t="inlineStr">
        <is>
          <t>Sumatera Utara</t>
        </is>
      </c>
      <c r="Q35" t="inlineStr"/>
    </row>
    <row r="36">
      <c r="A36" t="inlineStr">
        <is>
          <t>FORMULA LALU LINTAS</t>
        </is>
      </c>
      <c r="B36" t="inlineStr">
        <is>
          <t>Kab. Sleman</t>
        </is>
      </c>
      <c r="C36" t="inlineStr">
        <is>
          <t>081328032166</t>
        </is>
      </c>
      <c r="D36" t="inlineStr">
        <is>
          <t>formulalalulintas@gmail.com</t>
        </is>
      </c>
      <c r="E36" t="inlineStr">
        <is>
          <t>https://lpjk.pu.go.id/search-badan-usaha-detail/bFVubFVHaVN1S1duK1F6eHZCUDhPdz09</t>
        </is>
      </c>
      <c r="F36" t="n">
        <v>1</v>
      </c>
      <c r="G36" t="inlineStr">
        <is>
          <t>BS001</t>
        </is>
      </c>
      <c r="H36" t="inlineStr">
        <is>
          <t>5 Februari 2014</t>
        </is>
      </c>
      <c r="I36" s="2" t="n">
        <v>46362</v>
      </c>
      <c r="J36" t="inlineStr">
        <is>
          <t>Pencabutan</t>
        </is>
      </c>
      <c r="K36" t="n">
        <v>87</v>
      </c>
      <c r="L36" t="inlineStr">
        <is>
          <t>6 Desember 2026</t>
        </is>
      </c>
      <c r="M36" t="inlineStr">
        <is>
          <t>Konstruksi Bangunan Sipil Jalan</t>
        </is>
      </c>
      <c r="N36" t="inlineStr">
        <is>
          <t>M</t>
        </is>
      </c>
      <c r="O36" t="inlineStr">
        <is>
          <t>20231024</t>
        </is>
      </c>
      <c r="P36" t="inlineStr">
        <is>
          <t>DI Yogyakarta</t>
        </is>
      </c>
      <c r="Q36" t="inlineStr"/>
    </row>
    <row r="37">
      <c r="A37" t="inlineStr">
        <is>
          <t>GADING MAS UTAMA PROPERTY</t>
        </is>
      </c>
      <c r="B37" t="inlineStr">
        <is>
          <t>Kab. Ogan Komering Ulu</t>
        </is>
      </c>
      <c r="C37" t="inlineStr">
        <is>
          <t>0735372243</t>
        </is>
      </c>
      <c r="D37" t="inlineStr">
        <is>
          <t>ptgadingmasutamaproperty@gmail.com</t>
        </is>
      </c>
      <c r="E37" t="inlineStr">
        <is>
          <t>https://lpjk.pu.go.id/search-badan-usaha-detail/eG9ld3Y5czJYbGhObVhFV2NxdWJMQT09</t>
        </is>
      </c>
      <c r="F37" t="n">
        <v>1</v>
      </c>
      <c r="G37" t="inlineStr">
        <is>
          <t>BG001</t>
        </is>
      </c>
      <c r="H37" t="inlineStr">
        <is>
          <t>29 November 2023</t>
        </is>
      </c>
      <c r="I37" s="2" t="n">
        <v>46362</v>
      </c>
      <c r="J37" t="inlineStr">
        <is>
          <t>Disetujui</t>
        </is>
      </c>
      <c r="K37" t="n">
        <v>87</v>
      </c>
      <c r="L37" t="inlineStr">
        <is>
          <t>6 Desember 2026</t>
        </is>
      </c>
      <c r="M37" t="inlineStr">
        <is>
          <t>Konstruksi Gedung Hunian</t>
        </is>
      </c>
      <c r="N37" t="inlineStr">
        <is>
          <t>K</t>
        </is>
      </c>
      <c r="O37" t="inlineStr">
        <is>
          <t>20231207</t>
        </is>
      </c>
      <c r="P37" t="inlineStr">
        <is>
          <t>Sumatera Selatan</t>
        </is>
      </c>
      <c r="Q37" t="inlineStr"/>
    </row>
    <row r="38">
      <c r="A38" t="inlineStr">
        <is>
          <t>GARIS LIMA SORE</t>
        </is>
      </c>
      <c r="B38" t="inlineStr">
        <is>
          <t>Kota Jambi</t>
        </is>
      </c>
      <c r="C38" t="inlineStr">
        <is>
          <t>085283798140</t>
        </is>
      </c>
      <c r="D38" t="inlineStr">
        <is>
          <t>garislimasore2023@gmail.com</t>
        </is>
      </c>
      <c r="E38" t="inlineStr">
        <is>
          <t>https://lpjk.pu.go.id/search-badan-usaha-detail/QlVncGxVZFU0QTcveGJiTjFxcENTZz09</t>
        </is>
      </c>
      <c r="F38" t="n">
        <v>2</v>
      </c>
      <c r="G38" t="inlineStr">
        <is>
          <t>BS001, BS002</t>
        </is>
      </c>
      <c r="H38" t="inlineStr">
        <is>
          <t>18 April 2023</t>
        </is>
      </c>
      <c r="I38" s="2" t="n">
        <v>46362</v>
      </c>
      <c r="J38" t="inlineStr">
        <is>
          <t>Disetujui</t>
        </is>
      </c>
      <c r="K38" t="n">
        <v>87</v>
      </c>
      <c r="L38" t="inlineStr">
        <is>
          <t>6 Desember 2026</t>
        </is>
      </c>
      <c r="M38" t="inlineStr">
        <is>
          <t>Bangunan Sipil Jembatan, Jalan Layang, Fly Over, dan Underpass, Konstruksi Bangunan Sipil Jalan</t>
        </is>
      </c>
      <c r="N38" t="inlineStr">
        <is>
          <t>K</t>
        </is>
      </c>
      <c r="O38" t="inlineStr">
        <is>
          <t>20231205</t>
        </is>
      </c>
      <c r="P38" t="inlineStr">
        <is>
          <t>Jambi</t>
        </is>
      </c>
      <c r="Q38" t="inlineStr"/>
    </row>
    <row r="39">
      <c r="A39" t="inlineStr">
        <is>
          <t>GIE AND AN</t>
        </is>
      </c>
      <c r="B39" t="inlineStr">
        <is>
          <t>Kab. Brebes</t>
        </is>
      </c>
      <c r="C39" t="inlineStr">
        <is>
          <t>087887258666</t>
        </is>
      </c>
      <c r="D39" t="inlineStr">
        <is>
          <t>CVGIEAN@GMAIL.COM</t>
        </is>
      </c>
      <c r="E39" t="inlineStr">
        <is>
          <t>https://lpjk.pu.go.id/search-badan-usaha-detail/aDl6UjhFUWJQS2I0Ti9TcW41b0Nrdz09</t>
        </is>
      </c>
      <c r="F39" t="n">
        <v>1</v>
      </c>
      <c r="G39" t="inlineStr">
        <is>
          <t>BS001</t>
        </is>
      </c>
      <c r="H39" t="inlineStr">
        <is>
          <t>2 Februari 2023</t>
        </is>
      </c>
      <c r="I39" s="2" t="n">
        <v>46362</v>
      </c>
      <c r="J39" t="inlineStr">
        <is>
          <t>Disetujui</t>
        </is>
      </c>
      <c r="K39" t="n">
        <v>87</v>
      </c>
      <c r="L39" t="inlineStr">
        <is>
          <t>6 Desember 2026</t>
        </is>
      </c>
      <c r="M39" t="inlineStr">
        <is>
          <t>Konstruksi Bangunan Sipil Jalan</t>
        </is>
      </c>
      <c r="N39" t="inlineStr">
        <is>
          <t>K</t>
        </is>
      </c>
      <c r="O39" t="inlineStr">
        <is>
          <t>20231204</t>
        </is>
      </c>
      <c r="P39" t="inlineStr">
        <is>
          <t>Jawa Tengah</t>
        </is>
      </c>
      <c r="Q39" t="inlineStr"/>
    </row>
    <row r="40">
      <c r="A40" t="inlineStr">
        <is>
          <t>GRACIA KREASI MANDIRI</t>
        </is>
      </c>
      <c r="B40" t="inlineStr">
        <is>
          <t>Kota Tangerang</t>
        </is>
      </c>
      <c r="C40" t="inlineStr">
        <is>
          <t>02155746263</t>
        </is>
      </c>
      <c r="D40" t="inlineStr">
        <is>
          <t>gracia.kreasi@gmail.com</t>
        </is>
      </c>
      <c r="E40" t="inlineStr">
        <is>
          <t>https://lpjk.pu.go.id/search-badan-usaha-detail/ZnFGVFNaMjRqT3dBSGM1eks5a2V1Zz09</t>
        </is>
      </c>
      <c r="F40" t="n">
        <v>2</v>
      </c>
      <c r="G40" t="inlineStr">
        <is>
          <t>BG002, BG003</t>
        </is>
      </c>
      <c r="H40" t="inlineStr">
        <is>
          <t>12 Oktober 2021</t>
        </is>
      </c>
      <c r="I40" s="2" t="n">
        <v>46362</v>
      </c>
      <c r="J40" t="inlineStr">
        <is>
          <t>Disetujui</t>
        </is>
      </c>
      <c r="K40" t="n">
        <v>87</v>
      </c>
      <c r="L40" t="inlineStr">
        <is>
          <t>6 Desember 2026</t>
        </is>
      </c>
      <c r="M40" t="inlineStr">
        <is>
          <t>Konstruksi Gedung Industri, Konstruksi Gedung Perkantoran</t>
        </is>
      </c>
      <c r="N40" t="inlineStr">
        <is>
          <t>K</t>
        </is>
      </c>
      <c r="O40" t="inlineStr">
        <is>
          <t>20231207</t>
        </is>
      </c>
      <c r="P40" t="inlineStr">
        <is>
          <t>Banten</t>
        </is>
      </c>
      <c r="Q40" t="inlineStr"/>
    </row>
    <row r="41">
      <c r="A41" t="inlineStr">
        <is>
          <t>GRAHA CIPTA BOJONEGORO</t>
        </is>
      </c>
      <c r="B41" t="inlineStr">
        <is>
          <t>Kab. Bojonegoro</t>
        </is>
      </c>
      <c r="C41" t="inlineStr">
        <is>
          <t>081232929990</t>
        </is>
      </c>
      <c r="D41" t="inlineStr">
        <is>
          <t>Grahaciptaku@gmail.com</t>
        </is>
      </c>
      <c r="E41" t="inlineStr">
        <is>
          <t>https://lpjk.pu.go.id/search-badan-usaha-detail/OUhXemVTS24yZDRQaGVwaGc2dHBWQT09</t>
        </is>
      </c>
      <c r="F41" t="n">
        <v>1</v>
      </c>
      <c r="G41" t="inlineStr">
        <is>
          <t>BG006</t>
        </is>
      </c>
      <c r="H41" t="inlineStr">
        <is>
          <t>28 Maret 2008</t>
        </is>
      </c>
      <c r="I41" s="2" t="n">
        <v>46362</v>
      </c>
      <c r="J41" t="inlineStr">
        <is>
          <t>Disetujui</t>
        </is>
      </c>
      <c r="K41" t="n">
        <v>87</v>
      </c>
      <c r="L41" t="inlineStr">
        <is>
          <t>6 Desember 2026</t>
        </is>
      </c>
      <c r="M41" t="inlineStr">
        <is>
          <t>Konstruksi Gedung Pendidikan</t>
        </is>
      </c>
      <c r="N41" t="inlineStr">
        <is>
          <t>K</t>
        </is>
      </c>
      <c r="O41" t="inlineStr">
        <is>
          <t>20231129</t>
        </is>
      </c>
      <c r="P41" t="inlineStr">
        <is>
          <t>Jawa Timur</t>
        </is>
      </c>
      <c r="Q41" t="inlineStr"/>
    </row>
    <row r="42">
      <c r="A42" t="inlineStr">
        <is>
          <t>GRAHA UTAMA DINAMIKA</t>
        </is>
      </c>
      <c r="B42" t="inlineStr">
        <is>
          <t>Kota Adm. Jakarta Utara</t>
        </is>
      </c>
      <c r="C42" t="inlineStr">
        <is>
          <t>021</t>
        </is>
      </c>
      <c r="D42" t="inlineStr">
        <is>
          <t>betty.graha@gmail.com</t>
        </is>
      </c>
      <c r="E42" t="inlineStr">
        <is>
          <t>https://lpjk.pu.go.id/search-badan-usaha-detail/bDFvRXFHeHV1RGNrbXZyWVBPbGhHdz09</t>
        </is>
      </c>
      <c r="F42" t="n">
        <v>1</v>
      </c>
      <c r="G42" t="inlineStr">
        <is>
          <t>BG009</t>
        </is>
      </c>
      <c r="H42" t="inlineStr">
        <is>
          <t>14 Juli 1986</t>
        </is>
      </c>
      <c r="I42" s="2" t="n">
        <v>46362</v>
      </c>
      <c r="J42" t="inlineStr">
        <is>
          <t>Disetujui</t>
        </is>
      </c>
      <c r="K42" t="n">
        <v>87</v>
      </c>
      <c r="L42" t="inlineStr">
        <is>
          <t>6 Desember 2026</t>
        </is>
      </c>
      <c r="M42" t="inlineStr">
        <is>
          <t>Konstruksi Gedung Lainnya</t>
        </is>
      </c>
      <c r="N42" t="inlineStr">
        <is>
          <t>M</t>
        </is>
      </c>
      <c r="O42" t="inlineStr">
        <is>
          <t>20231205</t>
        </is>
      </c>
      <c r="P42" t="inlineStr">
        <is>
          <t>DKI Jakarta</t>
        </is>
      </c>
      <c r="Q42" t="inlineStr"/>
    </row>
    <row r="43">
      <c r="A43" t="inlineStr">
        <is>
          <t>GRATIA NUSA JAYA</t>
        </is>
      </c>
      <c r="B43" t="inlineStr">
        <is>
          <t>Kota Palangkaraya</t>
        </is>
      </c>
      <c r="C43" t="inlineStr">
        <is>
          <t>05369212589</t>
        </is>
      </c>
      <c r="D43" t="inlineStr">
        <is>
          <t>gratianusajaya@gmail.com</t>
        </is>
      </c>
      <c r="E43" t="inlineStr">
        <is>
          <t>https://lpjk.pu.go.id/search-badan-usaha-detail/RWlTR3JaeG1hRkR4TnhDQ1djbTFiUT09</t>
        </is>
      </c>
      <c r="F43" t="n">
        <v>5</v>
      </c>
      <c r="G43" t="inlineStr">
        <is>
          <t>BG002, BG003, BG005, BG006, BG009</t>
        </is>
      </c>
      <c r="H43" t="inlineStr">
        <is>
          <t>8 Desember 2016</t>
        </is>
      </c>
      <c r="I43" s="2" t="n">
        <v>46362</v>
      </c>
      <c r="J43" t="inlineStr">
        <is>
          <t>Pencabutan</t>
        </is>
      </c>
      <c r="K43" t="n">
        <v>87</v>
      </c>
      <c r="L43" t="inlineStr">
        <is>
          <t>6 Desember 2026</t>
        </is>
      </c>
      <c r="M43" t="inlineStr">
        <is>
          <t>Konstruksi Gedung Industri, Konstruksi Gedung Kesehatan, Konstruksi Gedung Lainnya, Konstruksi Gedung Pendidikan, Konstruksi Gedung Perkantoran</t>
        </is>
      </c>
      <c r="N43" t="inlineStr">
        <is>
          <t>K</t>
        </is>
      </c>
      <c r="O43" t="inlineStr">
        <is>
          <t>20231205</t>
        </is>
      </c>
      <c r="P43" t="inlineStr">
        <is>
          <t>Kalimantan Tengah</t>
        </is>
      </c>
      <c r="Q43" t="inlineStr"/>
    </row>
    <row r="44">
      <c r="A44" t="inlineStr">
        <is>
          <t>GUMILANG SAJATI</t>
        </is>
      </c>
      <c r="B44" t="inlineStr">
        <is>
          <t>Kota Bandung</t>
        </is>
      </c>
      <c r="C44" t="inlineStr">
        <is>
          <t>0227107296</t>
        </is>
      </c>
      <c r="D44" t="inlineStr">
        <is>
          <t>gumilangsajati@yahoo.com</t>
        </is>
      </c>
      <c r="E44" t="inlineStr">
        <is>
          <t>https://lpjk.pu.go.id/search-badan-usaha-detail/elE1SXNrWkFXcTlLTzZNS2NhNXJzd1R1RTNjdlFjbUcwZzhrU1JpNUs0ST0</t>
        </is>
      </c>
      <c r="F44" t="n">
        <v>2</v>
      </c>
      <c r="G44" t="inlineStr">
        <is>
          <t>AR002, AR003</t>
        </is>
      </c>
      <c r="H44" t="inlineStr">
        <is>
          <t>17 Juli 2025</t>
        </is>
      </c>
      <c r="I44" s="2" t="n">
        <v>46362</v>
      </c>
      <c r="J44" t="inlineStr">
        <is>
          <t>Disetujui</t>
        </is>
      </c>
      <c r="K44" t="n">
        <v>87</v>
      </c>
      <c r="L44" t="inlineStr">
        <is>
          <t>6 Desember 2026</t>
        </is>
      </c>
      <c r="M44" t="inlineStr">
        <is>
          <t>Jasa Arsitektural Lainnya, Jasa Desain Interior pada Bangunan Gedung dan Bangunan Sipil</t>
        </is>
      </c>
      <c r="N44" t="inlineStr">
        <is>
          <t>K</t>
        </is>
      </c>
      <c r="O44" t="inlineStr">
        <is>
          <t>20231127</t>
        </is>
      </c>
      <c r="P44" t="inlineStr">
        <is>
          <t>Jawa Barat</t>
        </is>
      </c>
      <c r="Q44" t="inlineStr"/>
    </row>
    <row r="45">
      <c r="A45" t="inlineStr">
        <is>
          <t>GUNUNG JATI JAYA SAKTI</t>
        </is>
      </c>
      <c r="B45" t="inlineStr">
        <is>
          <t>Kab. Cilacap</t>
        </is>
      </c>
      <c r="C45" t="inlineStr">
        <is>
          <t>0282541446</t>
        </is>
      </c>
      <c r="D45" t="inlineStr">
        <is>
          <t>cv.gunungjatijaya@yahoo.com</t>
        </is>
      </c>
      <c r="E45" t="inlineStr">
        <is>
          <t>https://lpjk.pu.go.id/search-badan-usaha-detail/NHJaK0lvc1h4Ky9nU09aZmRHK0RKQT09</t>
        </is>
      </c>
      <c r="F45" t="n">
        <v>1</v>
      </c>
      <c r="G45" t="inlineStr">
        <is>
          <t>IN004</t>
        </is>
      </c>
      <c r="H45" t="inlineStr">
        <is>
          <t>2 Juli 2013</t>
        </is>
      </c>
      <c r="I45" s="2" t="n">
        <v>46362</v>
      </c>
      <c r="J45" t="inlineStr">
        <is>
          <t>Disetujui</t>
        </is>
      </c>
      <c r="K45" t="n">
        <v>87</v>
      </c>
      <c r="L45" t="inlineStr">
        <is>
          <t>6 Desember 2026</t>
        </is>
      </c>
      <c r="M45" t="inlineStr">
        <is>
          <t>Instalasi Minyak dan Gas</t>
        </is>
      </c>
      <c r="N45" t="inlineStr">
        <is>
          <t>Spesialis</t>
        </is>
      </c>
      <c r="O45" t="inlineStr">
        <is>
          <t>20231108</t>
        </is>
      </c>
      <c r="P45" t="inlineStr">
        <is>
          <t>Jawa Tengah</t>
        </is>
      </c>
      <c r="Q45" t="inlineStr"/>
    </row>
    <row r="46">
      <c r="A46" t="inlineStr">
        <is>
          <t>HEKSA ENERGI MITRANIAGA</t>
        </is>
      </c>
      <c r="B46" t="inlineStr">
        <is>
          <t>Kota Adm. Jakarta Pusat</t>
        </is>
      </c>
      <c r="C46" t="inlineStr">
        <is>
          <t>02123579802</t>
        </is>
      </c>
      <c r="D46" t="inlineStr">
        <is>
          <t>anik.indrawati@heksaenergi.com</t>
        </is>
      </c>
      <c r="E46" t="inlineStr">
        <is>
          <t>https://lpjk.pu.go.id/search-badan-usaha-detail/Yk1PSkwxaWs2U09GRGhhb2oza2xrZz09</t>
        </is>
      </c>
      <c r="F46" t="n">
        <v>1</v>
      </c>
      <c r="G46" t="inlineStr">
        <is>
          <t>IN004</t>
        </is>
      </c>
      <c r="H46" t="inlineStr">
        <is>
          <t>12 September 2023</t>
        </is>
      </c>
      <c r="I46" s="2" t="n">
        <v>46362</v>
      </c>
      <c r="J46" t="inlineStr">
        <is>
          <t>Disetujui</t>
        </is>
      </c>
      <c r="K46" t="n">
        <v>87</v>
      </c>
      <c r="L46" t="inlineStr">
        <is>
          <t>6 Desember 2026</t>
        </is>
      </c>
      <c r="M46" t="inlineStr">
        <is>
          <t>Instalasi Minyak dan Gas</t>
        </is>
      </c>
      <c r="N46" t="inlineStr">
        <is>
          <t>Spesialis</t>
        </is>
      </c>
      <c r="O46" t="inlineStr">
        <is>
          <t>20231206</t>
        </is>
      </c>
      <c r="P46" t="inlineStr">
        <is>
          <t>DKI Jakarta</t>
        </is>
      </c>
      <c r="Q46" t="inlineStr"/>
    </row>
    <row r="47">
      <c r="A47" t="inlineStr">
        <is>
          <t>INDO DAYA</t>
        </is>
      </c>
      <c r="B47" t="inlineStr">
        <is>
          <t>Kab. Sekadau</t>
        </is>
      </c>
      <c r="C47" t="inlineStr">
        <is>
          <t>085247760203</t>
        </is>
      </c>
      <c r="D47" t="inlineStr">
        <is>
          <t>cv.indodayaskd@gmail.com</t>
        </is>
      </c>
      <c r="E47" t="inlineStr">
        <is>
          <t>https://lpjk.pu.go.id/search-badan-usaha-detail/ZTk0UGQwc3o0ZVRCMjEyUFBvMmo3dz09</t>
        </is>
      </c>
      <c r="F47" t="n">
        <v>1</v>
      </c>
      <c r="G47" t="inlineStr">
        <is>
          <t>BS001</t>
        </is>
      </c>
      <c r="H47" t="inlineStr">
        <is>
          <t>24 Oktober 2014</t>
        </is>
      </c>
      <c r="I47" s="2" t="n">
        <v>46362</v>
      </c>
      <c r="J47" t="inlineStr">
        <is>
          <t>Disetujui</t>
        </is>
      </c>
      <c r="K47" t="n">
        <v>87</v>
      </c>
      <c r="L47" t="inlineStr">
        <is>
          <t>6 Desember 2026</t>
        </is>
      </c>
      <c r="M47" t="inlineStr">
        <is>
          <t>Konstruksi Bangunan Sipil Jalan</t>
        </is>
      </c>
      <c r="N47" t="inlineStr">
        <is>
          <t>K</t>
        </is>
      </c>
      <c r="O47" t="inlineStr">
        <is>
          <t>20231128</t>
        </is>
      </c>
      <c r="P47" t="inlineStr">
        <is>
          <t>Kalimantan Barat</t>
        </is>
      </c>
      <c r="Q47" t="inlineStr"/>
    </row>
    <row r="48">
      <c r="A48" t="inlineStr">
        <is>
          <t>INDO RAJA MAKMUR</t>
        </is>
      </c>
      <c r="B48" t="inlineStr">
        <is>
          <t>Kota Mataram</t>
        </is>
      </c>
      <c r="C48" t="inlineStr">
        <is>
          <t>085205055185</t>
        </is>
      </c>
      <c r="D48" t="inlineStr">
        <is>
          <t>ptindorajamakmur@gmail.com</t>
        </is>
      </c>
      <c r="E48" t="inlineStr">
        <is>
          <t>https://lpjk.pu.go.id/search-badan-usaha-detail/ZUkzcG01YWxjNnhQUmxPbEhxNmpsQT09</t>
        </is>
      </c>
      <c r="F48" t="n">
        <v>1</v>
      </c>
      <c r="G48" t="inlineStr">
        <is>
          <t>BG009</t>
        </is>
      </c>
      <c r="H48" t="inlineStr">
        <is>
          <t>16 November 2023</t>
        </is>
      </c>
      <c r="I48" s="2" t="n">
        <v>46362</v>
      </c>
      <c r="J48" t="inlineStr">
        <is>
          <t>Disetujui</t>
        </is>
      </c>
      <c r="K48" t="n">
        <v>87</v>
      </c>
      <c r="L48" t="inlineStr">
        <is>
          <t>6 Desember 2026</t>
        </is>
      </c>
      <c r="M48" t="inlineStr">
        <is>
          <t>Konstruksi Gedung Lainnya</t>
        </is>
      </c>
      <c r="N48" t="inlineStr">
        <is>
          <t>K</t>
        </is>
      </c>
      <c r="O48" t="inlineStr">
        <is>
          <t>20231206</t>
        </is>
      </c>
      <c r="P48" t="inlineStr">
        <is>
          <t>Nusa Tenggara Barat</t>
        </is>
      </c>
      <c r="Q48" t="inlineStr"/>
    </row>
    <row r="49">
      <c r="A49" t="inlineStr">
        <is>
          <t>INSAN BINTANG NUSANTARA</t>
        </is>
      </c>
      <c r="B49" t="inlineStr">
        <is>
          <t>Kab. Murung Raya</t>
        </is>
      </c>
      <c r="C49" t="inlineStr">
        <is>
          <t>0878-7367-9847</t>
        </is>
      </c>
      <c r="D49" t="inlineStr">
        <is>
          <t>insanbintangnusantaracv@gmail.com</t>
        </is>
      </c>
      <c r="E49" t="inlineStr">
        <is>
          <t>https://lpjk.pu.go.id/search-badan-usaha-detail/QnVJc0pRd0h2UE9YZjQ3ODJzaDNYQT09</t>
        </is>
      </c>
      <c r="F49" t="n">
        <v>4</v>
      </c>
      <c r="G49" t="inlineStr">
        <is>
          <t>BG006, BG009, BS001, BS004</t>
        </is>
      </c>
      <c r="H49" t="inlineStr">
        <is>
          <t>29 Agustus 2023</t>
        </is>
      </c>
      <c r="I49" s="2" t="n">
        <v>46362</v>
      </c>
      <c r="J49" t="inlineStr">
        <is>
          <t>Disetujui</t>
        </is>
      </c>
      <c r="K49" t="n">
        <v>87</v>
      </c>
      <c r="L49" t="inlineStr">
        <is>
          <t>6 Desember 2026</t>
        </is>
      </c>
      <c r="M49" t="inlineStr">
        <is>
          <t>Konstruksi Bangunan Sipil Jalan, Konstruksi Gedung Lainnya, Konstruksi Gedung Pendidikan, Konstruksi Jaringan Irigasi dan Drainase</t>
        </is>
      </c>
      <c r="N49" t="inlineStr">
        <is>
          <t>K</t>
        </is>
      </c>
      <c r="O49" t="inlineStr">
        <is>
          <t>20231205</t>
        </is>
      </c>
      <c r="P49" t="inlineStr">
        <is>
          <t>Kalimantan Tengah</t>
        </is>
      </c>
      <c r="Q49" t="inlineStr"/>
    </row>
    <row r="50">
      <c r="A50" t="inlineStr">
        <is>
          <t>JAWARA KONSTRUKSI</t>
        </is>
      </c>
      <c r="B50" t="inlineStr">
        <is>
          <t>Kota Palopo</t>
        </is>
      </c>
      <c r="C50" t="inlineStr">
        <is>
          <t>0471326737</t>
        </is>
      </c>
      <c r="D50" t="inlineStr">
        <is>
          <t>jawara6767@gmail.com</t>
        </is>
      </c>
      <c r="E50" t="inlineStr">
        <is>
          <t>https://lpjk.pu.go.id/search-badan-usaha-detail/TTkvbytIcm9hM0hrK0dlaStTV2tFQT09</t>
        </is>
      </c>
      <c r="F50" t="n">
        <v>16</v>
      </c>
      <c r="G50" t="inlineStr">
        <is>
          <t>BG001, BG002, BG004, BG005, BG006, BS001, BS002, BS004</t>
        </is>
      </c>
      <c r="H50" t="inlineStr">
        <is>
          <t>30 November 2000</t>
        </is>
      </c>
      <c r="I50" s="2" t="n">
        <v>46362</v>
      </c>
      <c r="J50" t="inlineStr">
        <is>
          <t>Disetujui</t>
        </is>
      </c>
      <c r="K50" t="n">
        <v>87</v>
      </c>
      <c r="L50" t="inlineStr">
        <is>
          <t>6 Desember 2026</t>
        </is>
      </c>
      <c r="M50" t="inlineStr">
        <is>
          <t>Bangunan Sipil Jembatan, Jalan Layang, Fly Over, dan Underpass, Konstruksi Bangunan Sipil Jalan, Konstruksi Gedung Hunian, Konstruksi Gedung Kesehatan, Konstruksi Gedung Pendidikan, Konstruksi Gedung Perbelanjaan, Konstruksi Gedung Perkantoran, Konstruksi Jaringan Irigasi dan Drainase</t>
        </is>
      </c>
      <c r="N50" t="inlineStr">
        <is>
          <t>K</t>
        </is>
      </c>
      <c r="O50" t="inlineStr">
        <is>
          <t>20231205</t>
        </is>
      </c>
      <c r="P50" t="inlineStr">
        <is>
          <t>Sulawesi Selatan</t>
        </is>
      </c>
      <c r="Q50" t="inlineStr"/>
    </row>
    <row r="51">
      <c r="A51" t="inlineStr">
        <is>
          <t>JAYA GEMILANG SEJAHTERA GROUP</t>
        </is>
      </c>
      <c r="B51" t="inlineStr">
        <is>
          <t>Kab. Kutai Kartanegara</t>
        </is>
      </c>
      <c r="C51" t="inlineStr">
        <is>
          <t>081350401094</t>
        </is>
      </c>
      <c r="D51" t="inlineStr">
        <is>
          <t>cvjayagemilangsejahterag@gmail.com</t>
        </is>
      </c>
      <c r="E51" t="inlineStr">
        <is>
          <t>https://lpjk.pu.go.id/search-badan-usaha-detail/WFNUaDZpajFkS0lSb0ZlVFUyUUoxQT09</t>
        </is>
      </c>
      <c r="F51" t="n">
        <v>1</v>
      </c>
      <c r="G51" t="inlineStr">
        <is>
          <t>BS001</t>
        </is>
      </c>
      <c r="H51" t="inlineStr">
        <is>
          <t>4 Desember 2023</t>
        </is>
      </c>
      <c r="I51" s="2" t="n">
        <v>46362</v>
      </c>
      <c r="J51" t="inlineStr">
        <is>
          <t>Disetujui</t>
        </is>
      </c>
      <c r="K51" t="n">
        <v>87</v>
      </c>
      <c r="L51" t="inlineStr">
        <is>
          <t>6 Desember 2026</t>
        </is>
      </c>
      <c r="M51" t="inlineStr">
        <is>
          <t>Konstruksi Bangunan Sipil Jalan</t>
        </is>
      </c>
      <c r="N51" t="inlineStr">
        <is>
          <t>K</t>
        </is>
      </c>
      <c r="O51" t="inlineStr">
        <is>
          <t>20231205</t>
        </is>
      </c>
      <c r="P51" t="inlineStr">
        <is>
          <t>Kalimantan Timur</t>
        </is>
      </c>
      <c r="Q51" t="inlineStr"/>
    </row>
    <row r="52">
      <c r="A52" t="inlineStr">
        <is>
          <t>KARTIKA KIRANA</t>
        </is>
      </c>
      <c r="B52" t="inlineStr">
        <is>
          <t>Kab. Jember</t>
        </is>
      </c>
      <c r="C52" t="inlineStr">
        <is>
          <t>082333735464</t>
        </is>
      </c>
      <c r="D52" t="inlineStr">
        <is>
          <t>kartikakirana0275@gmail.com</t>
        </is>
      </c>
      <c r="E52" t="inlineStr">
        <is>
          <t>https://lpjk.pu.go.id/search-badan-usaha-detail/ckxXaDhYU1RVSlpzbDNEeGF6QlJ0dz09</t>
        </is>
      </c>
      <c r="F52" t="n">
        <v>2</v>
      </c>
      <c r="G52" t="inlineStr">
        <is>
          <t>BG005, BG009</t>
        </is>
      </c>
      <c r="H52" t="inlineStr">
        <is>
          <t>5 April 2017</t>
        </is>
      </c>
      <c r="I52" s="2" t="n">
        <v>46362</v>
      </c>
      <c r="J52" t="inlineStr">
        <is>
          <t>Disetujui</t>
        </is>
      </c>
      <c r="K52" t="n">
        <v>87</v>
      </c>
      <c r="L52" t="inlineStr">
        <is>
          <t>6 Desember 2026</t>
        </is>
      </c>
      <c r="M52" t="inlineStr">
        <is>
          <t>Konstruksi Gedung Kesehatan, Konstruksi Gedung Lainnya</t>
        </is>
      </c>
      <c r="N52" t="inlineStr">
        <is>
          <t>K</t>
        </is>
      </c>
      <c r="O52" t="inlineStr">
        <is>
          <t>20231117, 20231120</t>
        </is>
      </c>
      <c r="P52" t="inlineStr">
        <is>
          <t>Jawa Timur</t>
        </is>
      </c>
      <c r="Q52" t="inlineStr"/>
    </row>
    <row r="53">
      <c r="A53" t="inlineStr">
        <is>
          <t>KARUNIA BANGUN PERSADA</t>
        </is>
      </c>
      <c r="B53" t="inlineStr">
        <is>
          <t>Kota Medan</t>
        </is>
      </c>
      <c r="C53" t="inlineStr">
        <is>
          <t>0614559965</t>
        </is>
      </c>
      <c r="D53" t="inlineStr">
        <is>
          <t>karbanda.cv@gmail.com</t>
        </is>
      </c>
      <c r="E53" t="inlineStr">
        <is>
          <t>https://lpjk.pu.go.id/search-badan-usaha-detail/MDV2TU1GOUtPRzZsN0xkLzR2MTlsQT09</t>
        </is>
      </c>
      <c r="F53" t="n">
        <v>3</v>
      </c>
      <c r="G53" t="inlineStr">
        <is>
          <t>BG002, BG003, BG004</t>
        </is>
      </c>
      <c r="H53" t="inlineStr">
        <is>
          <t>23 Juli 1996</t>
        </is>
      </c>
      <c r="I53" s="2" t="n">
        <v>46362</v>
      </c>
      <c r="J53" t="inlineStr">
        <is>
          <t>Disetujui</t>
        </is>
      </c>
      <c r="K53" t="n">
        <v>87</v>
      </c>
      <c r="L53" t="inlineStr">
        <is>
          <t>6 Desember 2026</t>
        </is>
      </c>
      <c r="M53" t="inlineStr">
        <is>
          <t>Konstruksi Gedung Industri, Konstruksi Gedung Perbelanjaan, Konstruksi Gedung Perkantoran</t>
        </is>
      </c>
      <c r="N53" t="inlineStr">
        <is>
          <t>K</t>
        </is>
      </c>
      <c r="O53" t="inlineStr">
        <is>
          <t>20231201</t>
        </is>
      </c>
      <c r="P53" t="inlineStr">
        <is>
          <t>Sumatera Utara</t>
        </is>
      </c>
      <c r="Q53" t="inlineStr"/>
    </row>
    <row r="54">
      <c r="A54" t="inlineStr">
        <is>
          <t>KARYA SAKTI KONSTRUKSI</t>
        </is>
      </c>
      <c r="B54" t="inlineStr">
        <is>
          <t>Kab. Ogan Ilir</t>
        </is>
      </c>
      <c r="C54" t="inlineStr">
        <is>
          <t>085273422255</t>
        </is>
      </c>
      <c r="D54" t="inlineStr">
        <is>
          <t>karyasaktikonstruksi@gmail.com</t>
        </is>
      </c>
      <c r="E54" t="inlineStr">
        <is>
          <t>https://lpjk.pu.go.id/search-badan-usaha-detail/bWY3elp5OHN0S1JweVNNZXFxNmlSQT09</t>
        </is>
      </c>
      <c r="F54" t="n">
        <v>1</v>
      </c>
      <c r="G54" t="inlineStr">
        <is>
          <t>BS001</t>
        </is>
      </c>
      <c r="H54" t="inlineStr">
        <is>
          <t>1 November 2023</t>
        </is>
      </c>
      <c r="I54" s="2" t="n">
        <v>46362</v>
      </c>
      <c r="J54" t="inlineStr">
        <is>
          <t>Disetujui</t>
        </is>
      </c>
      <c r="K54" t="n">
        <v>87</v>
      </c>
      <c r="L54" t="inlineStr">
        <is>
          <t>6 Desember 2026</t>
        </is>
      </c>
      <c r="M54" t="inlineStr">
        <is>
          <t>Konstruksi Bangunan Sipil Jalan</t>
        </is>
      </c>
      <c r="N54" t="inlineStr">
        <is>
          <t>K</t>
        </is>
      </c>
      <c r="O54" t="inlineStr">
        <is>
          <t>20231201</t>
        </is>
      </c>
      <c r="P54" t="inlineStr">
        <is>
          <t>Sumatera Selatan</t>
        </is>
      </c>
      <c r="Q54" t="inlineStr"/>
    </row>
    <row r="55">
      <c r="A55" t="inlineStr">
        <is>
          <t>KEMALA CIPTA SELARAS</t>
        </is>
      </c>
      <c r="B55" t="inlineStr">
        <is>
          <t>Kota Adm. Jakarta Selatan</t>
        </is>
      </c>
      <c r="C55" t="inlineStr">
        <is>
          <t>081122853223</t>
        </is>
      </c>
      <c r="D55" t="inlineStr">
        <is>
          <t>kemalaciptaselaras.pt@gmail.com</t>
        </is>
      </c>
      <c r="E55" t="inlineStr">
        <is>
          <t>https://lpjk.pu.go.id/search-badan-usaha-detail/Z1pBcVNYSU8wbWJWOTBzTDVRUUpmZz09</t>
        </is>
      </c>
      <c r="F55" t="n">
        <v>1</v>
      </c>
      <c r="G55" t="inlineStr">
        <is>
          <t>BG001</t>
        </is>
      </c>
      <c r="H55" t="inlineStr">
        <is>
          <t>2 September 2016</t>
        </is>
      </c>
      <c r="I55" s="2" t="n">
        <v>46362</v>
      </c>
      <c r="J55" t="inlineStr">
        <is>
          <t>Disetujui</t>
        </is>
      </c>
      <c r="K55" t="n">
        <v>87</v>
      </c>
      <c r="L55" t="inlineStr">
        <is>
          <t>6 Desember 2026</t>
        </is>
      </c>
      <c r="M55" t="inlineStr">
        <is>
          <t>Konstruksi Gedung Hunian</t>
        </is>
      </c>
      <c r="N55" t="inlineStr">
        <is>
          <t>M</t>
        </is>
      </c>
      <c r="O55" t="inlineStr">
        <is>
          <t>20231122</t>
        </is>
      </c>
      <c r="P55" t="inlineStr">
        <is>
          <t>DKI Jakarta</t>
        </is>
      </c>
      <c r="Q55" t="inlineStr"/>
    </row>
    <row r="56">
      <c r="A56" t="inlineStr">
        <is>
          <t>KHANA GLOBAL MULIA</t>
        </is>
      </c>
      <c r="B56" t="inlineStr">
        <is>
          <t>Kota Adm. Jakarta Selatan</t>
        </is>
      </c>
      <c r="C56" t="inlineStr">
        <is>
          <t>087875970882</t>
        </is>
      </c>
      <c r="D56" t="inlineStr">
        <is>
          <t>khana.global.mulia@gmail.com</t>
        </is>
      </c>
      <c r="E56" t="inlineStr">
        <is>
          <t>https://lpjk.pu.go.id/search-badan-usaha-detail/YnVWcnZzci9EU0JWT3N6bVkxU2dsQT09</t>
        </is>
      </c>
      <c r="F56" t="n">
        <v>1</v>
      </c>
      <c r="G56" t="inlineStr">
        <is>
          <t>BG002</t>
        </is>
      </c>
      <c r="H56" t="inlineStr">
        <is>
          <t>27 Juli 2023</t>
        </is>
      </c>
      <c r="I56" s="2" t="n">
        <v>46362</v>
      </c>
      <c r="J56" t="inlineStr">
        <is>
          <t>Disetujui</t>
        </is>
      </c>
      <c r="K56" t="n">
        <v>87</v>
      </c>
      <c r="L56" t="inlineStr">
        <is>
          <t>6 Desember 2026</t>
        </is>
      </c>
      <c r="M56" t="inlineStr">
        <is>
          <t>Konstruksi Gedung Perkantoran</t>
        </is>
      </c>
      <c r="N56" t="inlineStr">
        <is>
          <t>K</t>
        </is>
      </c>
      <c r="O56" t="inlineStr">
        <is>
          <t>20231102</t>
        </is>
      </c>
      <c r="P56" t="inlineStr">
        <is>
          <t>DKI Jakarta</t>
        </is>
      </c>
      <c r="Q56" t="inlineStr"/>
    </row>
    <row r="57">
      <c r="A57" t="inlineStr">
        <is>
          <t>KONSTRUKSI JAYA TEKNIK</t>
        </is>
      </c>
      <c r="B57" t="inlineStr">
        <is>
          <t>Kota Malang</t>
        </is>
      </c>
      <c r="C57" t="inlineStr">
        <is>
          <t>085235653782</t>
        </is>
      </c>
      <c r="D57" t="inlineStr">
        <is>
          <t>konstruksijaya_teknik@yahoo.co.id</t>
        </is>
      </c>
      <c r="E57" t="inlineStr">
        <is>
          <t>https://lpjk.pu.go.id/search-badan-usaha-detail/S3doMXl0aUhkMkFxRkpVT2N2eVNiUT09</t>
        </is>
      </c>
      <c r="F57" t="n">
        <v>3</v>
      </c>
      <c r="G57" t="inlineStr">
        <is>
          <t>BG001, BG002, BG009</t>
        </is>
      </c>
      <c r="H57" t="inlineStr">
        <is>
          <t>22 Juni 2012</t>
        </is>
      </c>
      <c r="I57" s="2" t="n">
        <v>46362</v>
      </c>
      <c r="J57" t="inlineStr">
        <is>
          <t>Disetujui</t>
        </is>
      </c>
      <c r="K57" t="n">
        <v>87</v>
      </c>
      <c r="L57" t="inlineStr">
        <is>
          <t>6 Desember 2026</t>
        </is>
      </c>
      <c r="M57" t="inlineStr">
        <is>
          <t>Konstruksi Gedung Hunian, Konstruksi Gedung Lainnya, Konstruksi Gedung Perkantoran</t>
        </is>
      </c>
      <c r="N57" t="inlineStr">
        <is>
          <t>K</t>
        </is>
      </c>
      <c r="O57" t="inlineStr">
        <is>
          <t>20231129, 20231204</t>
        </is>
      </c>
      <c r="P57" t="inlineStr">
        <is>
          <t>Jawa Timur</t>
        </is>
      </c>
      <c r="Q57" t="inlineStr"/>
    </row>
    <row r="58">
      <c r="A58" t="inlineStr">
        <is>
          <t>KREASI INTI NIAGA GRIYATAMA</t>
        </is>
      </c>
      <c r="B58" t="inlineStr">
        <is>
          <t>Kota Bandung</t>
        </is>
      </c>
      <c r="C58" t="inlineStr">
        <is>
          <t>085624654968</t>
        </is>
      </c>
      <c r="D58" t="inlineStr">
        <is>
          <t>kreasiintiniagagriyatama@gmail.com</t>
        </is>
      </c>
      <c r="E58" t="inlineStr">
        <is>
          <t>https://lpjk.pu.go.id/search-badan-usaha-detail/WGs0V0pWMGZ3Q3lTNGttT1A3NFdPQT09</t>
        </is>
      </c>
      <c r="F58" t="n">
        <v>5</v>
      </c>
      <c r="G58" t="inlineStr">
        <is>
          <t>BG001, BG002, BG005, BG006, BG009</t>
        </is>
      </c>
      <c r="H58" t="inlineStr">
        <is>
          <t>7 Juli 2023</t>
        </is>
      </c>
      <c r="I58" s="2" t="n">
        <v>46362</v>
      </c>
      <c r="J58" t="inlineStr">
        <is>
          <t>Disetujui, Pencabutan</t>
        </is>
      </c>
      <c r="K58" t="n">
        <v>87</v>
      </c>
      <c r="L58" t="inlineStr">
        <is>
          <t>6 Desember 2026</t>
        </is>
      </c>
      <c r="M58" t="inlineStr">
        <is>
          <t>Konstruksi Gedung Hunian, Konstruksi Gedung Kesehatan, Konstruksi Gedung Lainnya, Konstruksi Gedung Pendidikan, Konstruksi Gedung Perkantoran</t>
        </is>
      </c>
      <c r="N58" t="inlineStr">
        <is>
          <t>K</t>
        </is>
      </c>
      <c r="O58" t="inlineStr">
        <is>
          <t>20231206</t>
        </is>
      </c>
      <c r="P58" t="inlineStr">
        <is>
          <t>Jawa Barat</t>
        </is>
      </c>
      <c r="Q58" t="inlineStr"/>
    </row>
    <row r="59">
      <c r="A59" t="inlineStr">
        <is>
          <t>KURNIA</t>
        </is>
      </c>
      <c r="B59" t="inlineStr">
        <is>
          <t>Kab. Musi Banyuasin</t>
        </is>
      </c>
      <c r="C59" t="inlineStr">
        <is>
          <t>081271532600</t>
        </is>
      </c>
      <c r="D59" t="inlineStr">
        <is>
          <t>ditektifconan@yahoo.co.id</t>
        </is>
      </c>
      <c r="E59" t="inlineStr">
        <is>
          <t>https://lpjk.pu.go.id/search-badan-usaha-detail/cHIrZzZIUUN4aDljTEN2cVI1UGpaUT09</t>
        </is>
      </c>
      <c r="F59" t="n">
        <v>3</v>
      </c>
      <c r="G59" t="inlineStr">
        <is>
          <t>BG005, BG006, BG009</t>
        </is>
      </c>
      <c r="H59" t="inlineStr">
        <is>
          <t>6 Februari 2002</t>
        </is>
      </c>
      <c r="I59" s="2" t="n">
        <v>46362</v>
      </c>
      <c r="J59" t="inlineStr">
        <is>
          <t>Disetujui</t>
        </is>
      </c>
      <c r="K59" t="n">
        <v>87</v>
      </c>
      <c r="L59" t="inlineStr">
        <is>
          <t>6 Desember 2026</t>
        </is>
      </c>
      <c r="M59" t="inlineStr">
        <is>
          <t>Konstruksi Gedung Kesehatan, Konstruksi Gedung Lainnya, Konstruksi Gedung Pendidikan</t>
        </is>
      </c>
      <c r="N59" t="inlineStr">
        <is>
          <t>K</t>
        </is>
      </c>
      <c r="O59" t="inlineStr">
        <is>
          <t>20231206</t>
        </is>
      </c>
      <c r="P59" t="inlineStr">
        <is>
          <t>Sumatera Selatan</t>
        </is>
      </c>
      <c r="Q59" t="inlineStr"/>
    </row>
    <row r="60">
      <c r="A60" t="inlineStr">
        <is>
          <t>KURNIA ILLAHI</t>
        </is>
      </c>
      <c r="B60" t="inlineStr">
        <is>
          <t>Kab. Banjarnegara</t>
        </is>
      </c>
      <c r="C60" t="inlineStr">
        <is>
          <t>082137846889</t>
        </is>
      </c>
      <c r="D60" t="inlineStr">
        <is>
          <t>kurniaillahi2708@gmail.com</t>
        </is>
      </c>
      <c r="E60" t="inlineStr">
        <is>
          <t>https://lpjk.pu.go.id/search-badan-usaha-detail/Q05NVWN5Vm44TjJDSnRmWEVIOThtUT09</t>
        </is>
      </c>
      <c r="F60" t="n">
        <v>3</v>
      </c>
      <c r="G60" t="inlineStr">
        <is>
          <t>BG005, BG008, BG009</t>
        </is>
      </c>
      <c r="H60" t="inlineStr">
        <is>
          <t>1 Januari 2018</t>
        </is>
      </c>
      <c r="I60" s="2" t="n">
        <v>46362</v>
      </c>
      <c r="J60" t="inlineStr">
        <is>
          <t>Disetujui</t>
        </is>
      </c>
      <c r="K60" t="n">
        <v>87</v>
      </c>
      <c r="L60" t="inlineStr">
        <is>
          <t>6 Desember 2026</t>
        </is>
      </c>
      <c r="M60" t="inlineStr">
        <is>
          <t>Konstruksi Gedung Kesehatan, Konstruksi Gedung Lainnya, Konstruksi Gedung Tempat Hiburan dan Olahraga</t>
        </is>
      </c>
      <c r="N60" t="inlineStr">
        <is>
          <t>K</t>
        </is>
      </c>
      <c r="O60" t="inlineStr">
        <is>
          <t>20231204, 20231205</t>
        </is>
      </c>
      <c r="P60" t="inlineStr">
        <is>
          <t>Jawa Tengah</t>
        </is>
      </c>
      <c r="Q60" t="inlineStr"/>
    </row>
    <row r="61">
      <c r="A61" t="inlineStr">
        <is>
          <t>LENTERA BERKAH DAMAI</t>
        </is>
      </c>
      <c r="B61" t="inlineStr">
        <is>
          <t>Kota Semarang</t>
        </is>
      </c>
      <c r="C61" t="inlineStr">
        <is>
          <t>02476738729</t>
        </is>
      </c>
      <c r="D61" t="inlineStr">
        <is>
          <t>ptlenteraberkahdamai@gmail.com</t>
        </is>
      </c>
      <c r="E61" t="inlineStr">
        <is>
          <t>https://lpjk.pu.go.id/search-badan-usaha-detail/YzZvenV2L0RJcXMvcTM5UThXcFhpdz09</t>
        </is>
      </c>
      <c r="F61" t="n">
        <v>2</v>
      </c>
      <c r="G61" t="inlineStr">
        <is>
          <t>BG001, BG009</t>
        </is>
      </c>
      <c r="H61" t="inlineStr">
        <is>
          <t>11 September 2021</t>
        </is>
      </c>
      <c r="I61" s="2" t="n">
        <v>46362</v>
      </c>
      <c r="J61" t="inlineStr">
        <is>
          <t>Pembekuan</t>
        </is>
      </c>
      <c r="K61" t="n">
        <v>87</v>
      </c>
      <c r="L61" t="inlineStr">
        <is>
          <t>6 Desember 2026</t>
        </is>
      </c>
      <c r="M61" t="inlineStr">
        <is>
          <t>Konstruksi Gedung Hunian, Konstruksi Gedung Lainnya</t>
        </is>
      </c>
      <c r="N61" t="inlineStr">
        <is>
          <t>K</t>
        </is>
      </c>
      <c r="O61" t="inlineStr">
        <is>
          <t>20231205</t>
        </is>
      </c>
      <c r="P61" t="inlineStr">
        <is>
          <t>Jawa Tengah</t>
        </is>
      </c>
      <c r="Q61" t="inlineStr"/>
    </row>
    <row r="62">
      <c r="A62" t="inlineStr">
        <is>
          <t>MAKMUR</t>
        </is>
      </c>
      <c r="B62" t="inlineStr">
        <is>
          <t>Kab. Bengkayang</t>
        </is>
      </c>
      <c r="C62" t="inlineStr">
        <is>
          <t>081349356977</t>
        </is>
      </c>
      <c r="D62" t="inlineStr">
        <is>
          <t>lamrisoster77@gmail.com</t>
        </is>
      </c>
      <c r="E62" t="inlineStr">
        <is>
          <t>https://lpjk.pu.go.id/search-badan-usaha-detail/aVpTS0NoYjVxSHlDS2RMMVlhVVlJZz09</t>
        </is>
      </c>
      <c r="F62" t="n">
        <v>1</v>
      </c>
      <c r="G62" t="inlineStr">
        <is>
          <t>BS012</t>
        </is>
      </c>
      <c r="H62" t="inlineStr">
        <is>
          <t>8 Agustus 1991</t>
        </is>
      </c>
      <c r="I62" s="2" t="n">
        <v>46362</v>
      </c>
      <c r="J62" t="inlineStr">
        <is>
          <t>Disetujui</t>
        </is>
      </c>
      <c r="K62" t="n">
        <v>87</v>
      </c>
      <c r="L62" t="inlineStr">
        <is>
          <t>6 Desember 2026</t>
        </is>
      </c>
      <c r="M62" t="inlineStr">
        <is>
          <t>Konstruksi Bangunan Pelabuhan Perikanan</t>
        </is>
      </c>
      <c r="N62" t="inlineStr">
        <is>
          <t>K</t>
        </is>
      </c>
      <c r="O62" t="inlineStr">
        <is>
          <t>20231204</t>
        </is>
      </c>
      <c r="P62" t="inlineStr">
        <is>
          <t>Kalimantan Barat</t>
        </is>
      </c>
      <c r="Q62" t="inlineStr"/>
    </row>
    <row r="63">
      <c r="A63" t="inlineStr">
        <is>
          <t>MANUEL TEGABAGA JAYA</t>
        </is>
      </c>
      <c r="B63" t="inlineStr">
        <is>
          <t>Kab. Jayawijaya</t>
        </is>
      </c>
      <c r="C63" t="inlineStr">
        <is>
          <t>082294521388</t>
        </is>
      </c>
      <c r="D63" t="inlineStr">
        <is>
          <t>cvmanueltegabagajaya@gmail.com</t>
        </is>
      </c>
      <c r="E63" t="inlineStr">
        <is>
          <t>https://lpjk.pu.go.id/search-badan-usaha-detail/b2pWbktiVjVtZllucFZCOVRyd2tzZz09</t>
        </is>
      </c>
      <c r="F63" t="n">
        <v>2</v>
      </c>
      <c r="G63" t="inlineStr">
        <is>
          <t>BG001, BG005</t>
        </is>
      </c>
      <c r="H63" t="inlineStr">
        <is>
          <t>4 Oktober 2022</t>
        </is>
      </c>
      <c r="I63" s="2" t="n">
        <v>46362</v>
      </c>
      <c r="J63" t="inlineStr">
        <is>
          <t>Disetujui</t>
        </is>
      </c>
      <c r="K63" t="n">
        <v>87</v>
      </c>
      <c r="L63" t="inlineStr">
        <is>
          <t>6 Desember 2026</t>
        </is>
      </c>
      <c r="M63" t="inlineStr">
        <is>
          <t>Konstruksi Gedung Hunian, Konstruksi Gedung Kesehatan</t>
        </is>
      </c>
      <c r="N63" t="inlineStr">
        <is>
          <t>K</t>
        </is>
      </c>
      <c r="O63" t="inlineStr">
        <is>
          <t>20231201</t>
        </is>
      </c>
      <c r="P63" t="inlineStr">
        <is>
          <t>Papua Pegunungan</t>
        </is>
      </c>
      <c r="Q63" t="inlineStr"/>
    </row>
    <row r="64">
      <c r="A64" t="inlineStr">
        <is>
          <t>MANUNGGAL ANUGERAH PERKASA</t>
        </is>
      </c>
      <c r="B64" t="inlineStr">
        <is>
          <t>Kab. Tabanan</t>
        </is>
      </c>
      <c r="C64" t="inlineStr">
        <is>
          <t>0817389526</t>
        </is>
      </c>
      <c r="D64" t="inlineStr">
        <is>
          <t>manunggal.map@gmail.com</t>
        </is>
      </c>
      <c r="E64" t="inlineStr">
        <is>
          <t>https://lpjk.pu.go.id/search-badan-usaha-detail/NVB0VnJGaGxHVDZ1N1dxYmp3RnJ0UT09</t>
        </is>
      </c>
      <c r="F64" t="n">
        <v>6</v>
      </c>
      <c r="G64" t="inlineStr">
        <is>
          <t>BG005, BG006, BG009</t>
        </is>
      </c>
      <c r="H64" t="inlineStr">
        <is>
          <t>1 Desember 2020</t>
        </is>
      </c>
      <c r="I64" s="2" t="n">
        <v>46362</v>
      </c>
      <c r="J64" t="inlineStr">
        <is>
          <t>Pencabutan</t>
        </is>
      </c>
      <c r="K64" t="n">
        <v>87</v>
      </c>
      <c r="L64" t="inlineStr">
        <is>
          <t>6 Desember 2026</t>
        </is>
      </c>
      <c r="M64" t="inlineStr">
        <is>
          <t>Konstruksi Gedung Kesehatan, Konstruksi Gedung Lainnya, Konstruksi Gedung Pendidikan</t>
        </is>
      </c>
      <c r="N64" t="inlineStr">
        <is>
          <t>K</t>
        </is>
      </c>
      <c r="O64" t="inlineStr">
        <is>
          <t>20231206, 20231207</t>
        </is>
      </c>
      <c r="P64" t="inlineStr">
        <is>
          <t>Bali</t>
        </is>
      </c>
      <c r="Q64" t="inlineStr"/>
    </row>
    <row r="65">
      <c r="A65" t="inlineStr">
        <is>
          <t>MEGAH PERKASA UTAMA</t>
        </is>
      </c>
      <c r="B65" t="inlineStr">
        <is>
          <t>Kab. Trenggalek</t>
        </is>
      </c>
      <c r="C65" t="inlineStr">
        <is>
          <t>081333396604</t>
        </is>
      </c>
      <c r="D65" t="inlineStr">
        <is>
          <t>Darrel.bramasta@gmail.com</t>
        </is>
      </c>
      <c r="E65" t="inlineStr">
        <is>
          <t>https://lpjk.pu.go.id/search-badan-usaha-detail/bUpsVUdNVFdMWkttOHIwQkdlL3R6UT09</t>
        </is>
      </c>
      <c r="F65" t="n">
        <v>4</v>
      </c>
      <c r="G65" t="inlineStr">
        <is>
          <t>RK001, RK003</t>
        </is>
      </c>
      <c r="H65" t="inlineStr">
        <is>
          <t>29 Juli 2019</t>
        </is>
      </c>
      <c r="I65" s="2" t="n">
        <v>46362</v>
      </c>
      <c r="J65" t="inlineStr">
        <is>
          <t>Disetujui</t>
        </is>
      </c>
      <c r="K65" t="n">
        <v>87</v>
      </c>
      <c r="L65" t="inlineStr">
        <is>
          <t>6 Desember 2026</t>
        </is>
      </c>
      <c r="M65" t="inlineStr">
        <is>
          <t>Jasa Rekayasa Konstruksi Bangunan Gedung Hunian dan Non Hunian, Jasa Rekayasa Pekerjaan Teknik Sipil Transportasi</t>
        </is>
      </c>
      <c r="N65" t="inlineStr">
        <is>
          <t>K</t>
        </is>
      </c>
      <c r="O65" t="inlineStr">
        <is>
          <t>20231123</t>
        </is>
      </c>
      <c r="P65" t="inlineStr">
        <is>
          <t>Jawa Timur</t>
        </is>
      </c>
      <c r="Q65" t="inlineStr"/>
    </row>
    <row r="66">
      <c r="A66" t="inlineStr">
        <is>
          <t>MEGASARI SEJATI</t>
        </is>
      </c>
      <c r="B66" t="inlineStr">
        <is>
          <t>Kota Jambi</t>
        </is>
      </c>
      <c r="C66" t="inlineStr">
        <is>
          <t>082182328989</t>
        </is>
      </c>
      <c r="D66" t="inlineStr">
        <is>
          <t>spt.megasari@yahoo.com</t>
        </is>
      </c>
      <c r="E66" t="inlineStr">
        <is>
          <t>https://lpjk.pu.go.id/search-badan-usaha-detail/ZzdPQmFvQk5QZHFxVS9UK0ZKK0lKQT09</t>
        </is>
      </c>
      <c r="F66" t="n">
        <v>1</v>
      </c>
      <c r="G66" t="inlineStr">
        <is>
          <t>BS001</t>
        </is>
      </c>
      <c r="H66" t="inlineStr">
        <is>
          <t>19 Januari 2006</t>
        </is>
      </c>
      <c r="I66" s="2" t="n">
        <v>46362</v>
      </c>
      <c r="J66" t="inlineStr">
        <is>
          <t>Disetujui</t>
        </is>
      </c>
      <c r="K66" t="n">
        <v>87</v>
      </c>
      <c r="L66" t="inlineStr">
        <is>
          <t>6 Desember 2026</t>
        </is>
      </c>
      <c r="M66" t="inlineStr">
        <is>
          <t>Konstruksi Bangunan Sipil Jalan</t>
        </is>
      </c>
      <c r="N66" t="inlineStr">
        <is>
          <t>M</t>
        </is>
      </c>
      <c r="O66" t="inlineStr">
        <is>
          <t>20231125</t>
        </is>
      </c>
      <c r="P66" t="inlineStr">
        <is>
          <t>Jambi</t>
        </is>
      </c>
      <c r="Q66" t="inlineStr"/>
    </row>
    <row r="67">
      <c r="A67" t="inlineStr">
        <is>
          <t>MITRA ECLAT GUNUNG ARTA</t>
        </is>
      </c>
      <c r="B67" t="inlineStr">
        <is>
          <t>Kota Bandar Lampung</t>
        </is>
      </c>
      <c r="C67" t="inlineStr">
        <is>
          <t>085273829406</t>
        </is>
      </c>
      <c r="D67" t="inlineStr">
        <is>
          <t>mitraeclatgunungarta@gmail.com</t>
        </is>
      </c>
      <c r="E67" t="inlineStr">
        <is>
          <t>https://lpjk.pu.go.id/search-badan-usaha-detail/bVFleXV5cFkxWVpmWHQvcjdoQ3YyQT09</t>
        </is>
      </c>
      <c r="F67" t="n">
        <v>1</v>
      </c>
      <c r="G67" t="inlineStr">
        <is>
          <t>BG004</t>
        </is>
      </c>
      <c r="H67" t="inlineStr">
        <is>
          <t>14 Mei 2014</t>
        </is>
      </c>
      <c r="I67" s="2" t="n">
        <v>46362</v>
      </c>
      <c r="J67" t="inlineStr">
        <is>
          <t>Pencabutan</t>
        </is>
      </c>
      <c r="K67" t="n">
        <v>87</v>
      </c>
      <c r="L67" t="inlineStr">
        <is>
          <t>6 Desember 2026</t>
        </is>
      </c>
      <c r="M67" t="inlineStr">
        <is>
          <t>Konstruksi Gedung Perbelanjaan</t>
        </is>
      </c>
      <c r="N67" t="inlineStr">
        <is>
          <t>B</t>
        </is>
      </c>
      <c r="O67" t="inlineStr">
        <is>
          <t>20231106</t>
        </is>
      </c>
      <c r="P67" t="inlineStr">
        <is>
          <t>Lampung</t>
        </is>
      </c>
      <c r="Q67" t="inlineStr"/>
    </row>
    <row r="68">
      <c r="A68" t="inlineStr">
        <is>
          <t>MITRA MINA ANDALAN</t>
        </is>
      </c>
      <c r="B68" t="inlineStr">
        <is>
          <t>Kab. Bengkalis</t>
        </is>
      </c>
      <c r="C68" t="inlineStr">
        <is>
          <t>08127626977</t>
        </is>
      </c>
      <c r="D68" t="inlineStr">
        <is>
          <t>mitraminaandalan@gmail.com</t>
        </is>
      </c>
      <c r="E68" t="inlineStr">
        <is>
          <t>https://lpjk.pu.go.id/search-badan-usaha-detail/VUxFa21ZR2JCMS9FYUNIenBjU2lndz09</t>
        </is>
      </c>
      <c r="F68" t="n">
        <v>3</v>
      </c>
      <c r="G68" t="inlineStr">
        <is>
          <t>BG006, BG008, BG009</t>
        </is>
      </c>
      <c r="H68" t="inlineStr">
        <is>
          <t>26 April 2011</t>
        </is>
      </c>
      <c r="I68" s="2" t="n">
        <v>46362</v>
      </c>
      <c r="J68" t="inlineStr">
        <is>
          <t>Disetujui</t>
        </is>
      </c>
      <c r="K68" t="n">
        <v>87</v>
      </c>
      <c r="L68" t="inlineStr">
        <is>
          <t>6 Desember 2026</t>
        </is>
      </c>
      <c r="M68" t="inlineStr">
        <is>
          <t>Konstruksi Gedung Lainnya, Konstruksi Gedung Pendidikan, Konstruksi Gedung Tempat Hiburan dan Olahraga</t>
        </is>
      </c>
      <c r="N68" t="inlineStr">
        <is>
          <t>K</t>
        </is>
      </c>
      <c r="O68" t="inlineStr">
        <is>
          <t>20231205, 20231206</t>
        </is>
      </c>
      <c r="P68" t="inlineStr">
        <is>
          <t>Riau</t>
        </is>
      </c>
      <c r="Q68" t="inlineStr"/>
    </row>
    <row r="69">
      <c r="A69" t="inlineStr">
        <is>
          <t>MUSTIKA MANDIRI MIDIYA</t>
        </is>
      </c>
      <c r="B69" t="inlineStr">
        <is>
          <t>Kota Dumai</t>
        </is>
      </c>
      <c r="C69" t="inlineStr">
        <is>
          <t>082122340069</t>
        </is>
      </c>
      <c r="D69" t="inlineStr">
        <is>
          <t>ptmmmidiya@gmail.com</t>
        </is>
      </c>
      <c r="E69" t="inlineStr">
        <is>
          <t>https://lpjk.pu.go.id/search-badan-usaha-detail/Uk1HRk9pWlBzeFVjQzZ0S2J2NnBRZz09</t>
        </is>
      </c>
      <c r="F69" t="n">
        <v>2</v>
      </c>
      <c r="G69" t="inlineStr">
        <is>
          <t>RK001, RK003</t>
        </is>
      </c>
      <c r="H69" t="inlineStr">
        <is>
          <t>5 September 2015</t>
        </is>
      </c>
      <c r="I69" s="2" t="n">
        <v>46362</v>
      </c>
      <c r="J69" t="inlineStr">
        <is>
          <t>Disetujui, Pencabutan</t>
        </is>
      </c>
      <c r="K69" t="n">
        <v>87</v>
      </c>
      <c r="L69" t="inlineStr">
        <is>
          <t>6 Desember 2026</t>
        </is>
      </c>
      <c r="M69" t="inlineStr">
        <is>
          <t>Jasa Rekayasa Konstruksi Bangunan Gedung Hunian dan Non Hunian, Jasa Rekayasa Pekerjaan Teknik Sipil Transportasi</t>
        </is>
      </c>
      <c r="N69" t="inlineStr">
        <is>
          <t>K</t>
        </is>
      </c>
      <c r="O69" t="inlineStr">
        <is>
          <t>20231120</t>
        </is>
      </c>
      <c r="P69" t="inlineStr">
        <is>
          <t>Riau</t>
        </is>
      </c>
      <c r="Q69" t="inlineStr"/>
    </row>
    <row r="70">
      <c r="A70" t="inlineStr">
        <is>
          <t>MUTIARA BRATA</t>
        </is>
      </c>
      <c r="B70" t="inlineStr">
        <is>
          <t>Kota Lhokseumawe</t>
        </is>
      </c>
      <c r="C70" t="inlineStr">
        <is>
          <t>085217275202</t>
        </is>
      </c>
      <c r="D70" t="inlineStr">
        <is>
          <t>mutiara.brata@gmail.com</t>
        </is>
      </c>
      <c r="E70" t="inlineStr">
        <is>
          <t>https://lpjk.pu.go.id/search-badan-usaha-detail/Z1g1d0FyNW1wQmtjV3JqK2dQNGMrdz09</t>
        </is>
      </c>
      <c r="F70" t="n">
        <v>14</v>
      </c>
      <c r="G70" t="inlineStr">
        <is>
          <t>BG001, BG003, BG005, BG006, BG009, BS001, BS004</t>
        </is>
      </c>
      <c r="H70" t="inlineStr">
        <is>
          <t>10 Februari 2011</t>
        </is>
      </c>
      <c r="I70" s="2" t="n">
        <v>46362</v>
      </c>
      <c r="J70" t="inlineStr">
        <is>
          <t>Disetujui</t>
        </is>
      </c>
      <c r="K70" t="n">
        <v>87</v>
      </c>
      <c r="L70" t="inlineStr">
        <is>
          <t>6 Desember 2026</t>
        </is>
      </c>
      <c r="M70" t="inlineStr">
        <is>
          <t>Konstruksi Bangunan Sipil Jalan, Konstruksi Gedung Hunian, Konstruksi Gedung Industri, Konstruksi Gedung Kesehatan, Konstruksi Gedung Lainnya, Konstruksi Gedung Pendidikan, Konstruksi Jaringan Irigasi dan Drainase</t>
        </is>
      </c>
      <c r="N70" t="inlineStr">
        <is>
          <t>K</t>
        </is>
      </c>
      <c r="O70" t="inlineStr">
        <is>
          <t>20231130</t>
        </is>
      </c>
      <c r="P70" t="inlineStr">
        <is>
          <t>Aceh</t>
        </is>
      </c>
      <c r="Q70" t="inlineStr"/>
    </row>
    <row r="71">
      <c r="A71" t="inlineStr">
        <is>
          <t>NUR MULIA PRAJA ABADI</t>
        </is>
      </c>
      <c r="B71" t="inlineStr">
        <is>
          <t>Kota Semarang</t>
        </is>
      </c>
      <c r="C71" t="inlineStr">
        <is>
          <t>0246732331</t>
        </is>
      </c>
      <c r="D71" t="inlineStr">
        <is>
          <t>nurmuliaprajaabadi@gmail.com</t>
        </is>
      </c>
      <c r="E71" t="inlineStr">
        <is>
          <t>https://lpjk.pu.go.id/search-badan-usaha-detail/aEVra0FZRzUvK09ibG96SENNcmNCQT09</t>
        </is>
      </c>
      <c r="F71" t="n">
        <v>3</v>
      </c>
      <c r="G71" t="inlineStr">
        <is>
          <t>BG001, BG002, BG009</t>
        </is>
      </c>
      <c r="H71" t="inlineStr">
        <is>
          <t>1 Oktober 2019</t>
        </is>
      </c>
      <c r="I71" s="2" t="n">
        <v>46362</v>
      </c>
      <c r="J71" t="inlineStr">
        <is>
          <t>Disetujui</t>
        </is>
      </c>
      <c r="K71" t="n">
        <v>87</v>
      </c>
      <c r="L71" t="inlineStr">
        <is>
          <t>6 Desember 2026</t>
        </is>
      </c>
      <c r="M71" t="inlineStr">
        <is>
          <t>Konstruksi Gedung Hunian, Konstruksi Gedung Lainnya, Konstruksi Gedung Perkantoran</t>
        </is>
      </c>
      <c r="N71" t="inlineStr">
        <is>
          <t>K</t>
        </is>
      </c>
      <c r="O71" t="inlineStr">
        <is>
          <t>20231206</t>
        </is>
      </c>
      <c r="P71" t="inlineStr">
        <is>
          <t>Jawa Tengah</t>
        </is>
      </c>
      <c r="Q71" t="inlineStr"/>
    </row>
    <row r="72">
      <c r="A72" t="inlineStr">
        <is>
          <t>NURANI</t>
        </is>
      </c>
      <c r="B72" t="inlineStr">
        <is>
          <t>Kota Surabaya</t>
        </is>
      </c>
      <c r="C72" t="inlineStr">
        <is>
          <t>08563272738</t>
        </is>
      </c>
      <c r="D72" t="inlineStr">
        <is>
          <t>cv.nuranisurabaya@gmail.com</t>
        </is>
      </c>
      <c r="E72" t="inlineStr">
        <is>
          <t>https://lpjk.pu.go.id/search-badan-usaha-detail/QXQyWnZyc2JCVk1OM3c0ajluKy9tZz09</t>
        </is>
      </c>
      <c r="F72" t="n">
        <v>3</v>
      </c>
      <c r="G72" t="inlineStr">
        <is>
          <t>BG009</t>
        </is>
      </c>
      <c r="H72" t="inlineStr">
        <is>
          <t>3 Februari 2009</t>
        </is>
      </c>
      <c r="I72" s="2" t="n">
        <v>46362</v>
      </c>
      <c r="J72" t="inlineStr">
        <is>
          <t>Disetujui</t>
        </is>
      </c>
      <c r="K72" t="n">
        <v>87</v>
      </c>
      <c r="L72" t="inlineStr">
        <is>
          <t>6 Desember 2026</t>
        </is>
      </c>
      <c r="M72" t="inlineStr">
        <is>
          <t>Konstruksi Gedung Lainnya</t>
        </is>
      </c>
      <c r="N72" t="inlineStr">
        <is>
          <t>K</t>
        </is>
      </c>
      <c r="O72" t="inlineStr">
        <is>
          <t>20231201</t>
        </is>
      </c>
      <c r="P72" t="inlineStr">
        <is>
          <t>Jawa Timur</t>
        </is>
      </c>
      <c r="Q72" t="inlineStr"/>
    </row>
    <row r="73">
      <c r="A73" t="inlineStr">
        <is>
          <t>NUSAKURA KARYA MANDIRI</t>
        </is>
      </c>
      <c r="B73" t="inlineStr">
        <is>
          <t>Kota Ambon</t>
        </is>
      </c>
      <c r="C73" t="inlineStr">
        <is>
          <t>082248165320</t>
        </is>
      </c>
      <c r="D73" t="inlineStr">
        <is>
          <t>nusakurakaryamandiri@gmail.com</t>
        </is>
      </c>
      <c r="E73" t="inlineStr">
        <is>
          <t>https://lpjk.pu.go.id/search-badan-usaha-detail/SEZxbGtyM1dtZ2pnUk04MnFrR1p1dz09</t>
        </is>
      </c>
      <c r="F73" t="n">
        <v>1</v>
      </c>
      <c r="G73" t="inlineStr">
        <is>
          <t>BS010</t>
        </is>
      </c>
      <c r="H73" t="inlineStr">
        <is>
          <t>27 Oktober 2021</t>
        </is>
      </c>
      <c r="I73" s="2" t="n">
        <v>46362</v>
      </c>
      <c r="J73" t="inlineStr">
        <is>
          <t>Disetujui</t>
        </is>
      </c>
      <c r="K73" t="n">
        <v>87</v>
      </c>
      <c r="L73" t="inlineStr">
        <is>
          <t>6 Desember 2026</t>
        </is>
      </c>
      <c r="M73" t="inlineStr">
        <is>
          <t>Konstruksi Bangunan Prasarana Sumber Daya Air</t>
        </is>
      </c>
      <c r="N73" t="inlineStr">
        <is>
          <t>K</t>
        </is>
      </c>
      <c r="O73" t="inlineStr">
        <is>
          <t>20230807</t>
        </is>
      </c>
      <c r="P73" t="inlineStr">
        <is>
          <t>Maluku</t>
        </is>
      </c>
      <c r="Q73" t="inlineStr"/>
    </row>
    <row r="74">
      <c r="A74" t="inlineStr">
        <is>
          <t>PERTAMINA MAINTENANCE AND CONSTRUCTION</t>
        </is>
      </c>
      <c r="B74" t="inlineStr">
        <is>
          <t>Kota Adm. Jakarta Selatan</t>
        </is>
      </c>
      <c r="C74" t="inlineStr">
        <is>
          <t>02183798585</t>
        </is>
      </c>
      <c r="D74" t="inlineStr">
        <is>
          <t>legalpertamc@gmail.com</t>
        </is>
      </c>
      <c r="E74" t="inlineStr">
        <is>
          <t>https://lpjk.pu.go.id/search-badan-usaha-detail/Z1RnVFdwbGRrNGcyOTRLY1BuWWRWQmtua3h2TzhLQllUOFV1WGpqT0NyUT0</t>
        </is>
      </c>
      <c r="F74" t="n">
        <v>1</v>
      </c>
      <c r="G74" t="inlineStr">
        <is>
          <t>IN003</t>
        </is>
      </c>
      <c r="H74" t="inlineStr">
        <is>
          <t>12 Desember 2025</t>
        </is>
      </c>
      <c r="I74" s="2" t="n">
        <v>46362</v>
      </c>
      <c r="J74" t="inlineStr">
        <is>
          <t>Disetujui</t>
        </is>
      </c>
      <c r="K74" t="n">
        <v>87</v>
      </c>
      <c r="L74" t="inlineStr">
        <is>
          <t>6 Desember 2026</t>
        </is>
      </c>
      <c r="M74" t="inlineStr">
        <is>
          <t>Instalasi Peralatan Infrastruktur Pertambangan dan Manufaktur</t>
        </is>
      </c>
      <c r="N74" t="inlineStr">
        <is>
          <t>Spesialis</t>
        </is>
      </c>
      <c r="O74" t="inlineStr">
        <is>
          <t>20231106</t>
        </is>
      </c>
      <c r="P74" t="inlineStr">
        <is>
          <t>DKI Jakarta</t>
        </is>
      </c>
      <c r="Q74" t="inlineStr"/>
    </row>
    <row r="75">
      <c r="A75" t="inlineStr">
        <is>
          <t>PILAR CADAS PUTRA</t>
        </is>
      </c>
      <c r="B75" t="inlineStr">
        <is>
          <t>Kota Tangerang</t>
        </is>
      </c>
      <c r="C75" t="inlineStr">
        <is>
          <t>02122263385</t>
        </is>
      </c>
      <c r="D75" t="inlineStr">
        <is>
          <t>pt.fcp@yahoo.com</t>
        </is>
      </c>
      <c r="E75" t="inlineStr">
        <is>
          <t>https://lpjk.pu.go.id/search-badan-usaha-detail/QmpVOU5nVDJBemFqbk1UN1ViQ1RBdz09</t>
        </is>
      </c>
      <c r="F75" t="n">
        <v>1</v>
      </c>
      <c r="G75" t="inlineStr">
        <is>
          <t>BG009</t>
        </is>
      </c>
      <c r="H75" t="inlineStr">
        <is>
          <t>14 Mei 2012</t>
        </is>
      </c>
      <c r="I75" s="2" t="n">
        <v>46362</v>
      </c>
      <c r="J75" t="inlineStr">
        <is>
          <t>Pencabutan</t>
        </is>
      </c>
      <c r="K75" t="n">
        <v>87</v>
      </c>
      <c r="L75" t="inlineStr">
        <is>
          <t>6 Desember 2026</t>
        </is>
      </c>
      <c r="M75" t="inlineStr">
        <is>
          <t>Konstruksi Gedung Lainnya</t>
        </is>
      </c>
      <c r="N75" t="inlineStr">
        <is>
          <t>B</t>
        </is>
      </c>
      <c r="O75" t="inlineStr">
        <is>
          <t>20231025</t>
        </is>
      </c>
      <c r="P75" t="inlineStr">
        <is>
          <t>Banten</t>
        </is>
      </c>
      <c r="Q75" t="inlineStr"/>
    </row>
    <row r="76">
      <c r="A76" t="inlineStr">
        <is>
          <t>PURNAMA JAYA KONSULTAN</t>
        </is>
      </c>
      <c r="B76" t="inlineStr">
        <is>
          <t>Kab. Sijunjung</t>
        </is>
      </c>
      <c r="C76" t="inlineStr">
        <is>
          <t>082169016518</t>
        </is>
      </c>
      <c r="D76" t="inlineStr">
        <is>
          <t>oonzekrisjj18@gmail.com</t>
        </is>
      </c>
      <c r="E76" t="inlineStr">
        <is>
          <t>https://lpjk.pu.go.id/search-badan-usaha-detail/OUZtRzNZTzlCZG52Ry9XYW9ickZHUT09</t>
        </is>
      </c>
      <c r="F76" t="n">
        <v>4</v>
      </c>
      <c r="G76" t="inlineStr">
        <is>
          <t>RK001, RK003</t>
        </is>
      </c>
      <c r="H76" t="inlineStr">
        <is>
          <t>9 Oktober 2018</t>
        </is>
      </c>
      <c r="I76" s="2" t="n">
        <v>46362</v>
      </c>
      <c r="J76" t="inlineStr">
        <is>
          <t>Disetujui</t>
        </is>
      </c>
      <c r="K76" t="n">
        <v>87</v>
      </c>
      <c r="L76" t="inlineStr">
        <is>
          <t>6 Desember 2026</t>
        </is>
      </c>
      <c r="M76" t="inlineStr">
        <is>
          <t>Jasa Rekayasa Konstruksi Bangunan Gedung Hunian dan Non Hunian, Jasa Rekayasa Pekerjaan Teknik Sipil Transportasi</t>
        </is>
      </c>
      <c r="N76" t="inlineStr">
        <is>
          <t>K</t>
        </is>
      </c>
      <c r="O76" t="inlineStr">
        <is>
          <t>20231124, 20231125</t>
        </is>
      </c>
      <c r="P76" t="inlineStr">
        <is>
          <t>Sumatera Barat</t>
        </is>
      </c>
      <c r="Q76" t="inlineStr"/>
    </row>
    <row r="77">
      <c r="A77" t="inlineStr">
        <is>
          <t>PUTRA BANYU ABADI</t>
        </is>
      </c>
      <c r="B77" t="inlineStr">
        <is>
          <t>Kota Tangerang Selatan</t>
        </is>
      </c>
      <c r="C77" t="inlineStr">
        <is>
          <t>08179897615</t>
        </is>
      </c>
      <c r="D77" t="inlineStr">
        <is>
          <t>putrabanyuabadi@gmail.com</t>
        </is>
      </c>
      <c r="E77" t="inlineStr">
        <is>
          <t>https://lpjk.pu.go.id/search-badan-usaha-detail/QTJnNis5T3lFY25JQmRqVmt0eWxkdz09</t>
        </is>
      </c>
      <c r="F77" t="n">
        <v>2</v>
      </c>
      <c r="G77" t="inlineStr">
        <is>
          <t>BG003, BG009</t>
        </is>
      </c>
      <c r="H77" t="inlineStr">
        <is>
          <t>30 November 2023</t>
        </is>
      </c>
      <c r="I77" s="2" t="n">
        <v>46362</v>
      </c>
      <c r="J77" t="inlineStr">
        <is>
          <t>Disetujui</t>
        </is>
      </c>
      <c r="K77" t="n">
        <v>87</v>
      </c>
      <c r="L77" t="inlineStr">
        <is>
          <t>6 Desember 2026</t>
        </is>
      </c>
      <c r="M77" t="inlineStr">
        <is>
          <t>Konstruksi Gedung Industri, Konstruksi Gedung Lainnya</t>
        </is>
      </c>
      <c r="N77" t="inlineStr">
        <is>
          <t>K</t>
        </is>
      </c>
      <c r="O77" t="inlineStr">
        <is>
          <t>20231207</t>
        </is>
      </c>
      <c r="P77" t="inlineStr">
        <is>
          <t>Banten</t>
        </is>
      </c>
      <c r="Q77" t="inlineStr"/>
    </row>
    <row r="78">
      <c r="A78" t="inlineStr">
        <is>
          <t>PUTRA BELITUNG TIMUR</t>
        </is>
      </c>
      <c r="B78" t="inlineStr">
        <is>
          <t>Kab. Belitung Timur</t>
        </is>
      </c>
      <c r="C78" t="inlineStr">
        <is>
          <t>08127396997</t>
        </is>
      </c>
      <c r="D78" t="inlineStr">
        <is>
          <t>pt.putrabelitungtimur1@gmail.com</t>
        </is>
      </c>
      <c r="E78" t="inlineStr">
        <is>
          <t>https://lpjk.pu.go.id/search-badan-usaha-detail/M1ZsWmhzTCs3YW12UHR0ZkNNckMvUT09</t>
        </is>
      </c>
      <c r="F78" t="n">
        <v>1</v>
      </c>
      <c r="G78" t="inlineStr">
        <is>
          <t>BS001</t>
        </is>
      </c>
      <c r="H78" t="inlineStr">
        <is>
          <t>13 Januari 2006</t>
        </is>
      </c>
      <c r="I78" s="2" t="n">
        <v>46362</v>
      </c>
      <c r="J78" t="inlineStr">
        <is>
          <t>Pencabutan</t>
        </is>
      </c>
      <c r="K78" t="n">
        <v>87</v>
      </c>
      <c r="L78" t="inlineStr">
        <is>
          <t>6 Desember 2026</t>
        </is>
      </c>
      <c r="M78" t="inlineStr">
        <is>
          <t>Konstruksi Bangunan Sipil Jalan</t>
        </is>
      </c>
      <c r="N78" t="inlineStr">
        <is>
          <t>M</t>
        </is>
      </c>
      <c r="O78" t="inlineStr">
        <is>
          <t>20231206</t>
        </is>
      </c>
      <c r="P78" t="inlineStr">
        <is>
          <t>Kepulauan Bangka Belitung</t>
        </is>
      </c>
      <c r="Q78" t="inlineStr"/>
    </row>
    <row r="79">
      <c r="A79" t="inlineStr">
        <is>
          <t>RATU KONSTRUKSI</t>
        </is>
      </c>
      <c r="B79" t="inlineStr">
        <is>
          <t>Kota Makassar</t>
        </is>
      </c>
      <c r="C79" t="inlineStr">
        <is>
          <t>085299924907</t>
        </is>
      </c>
      <c r="D79" t="inlineStr">
        <is>
          <t>ratukonstruksimks@gmail.com</t>
        </is>
      </c>
      <c r="E79" t="inlineStr">
        <is>
          <t>https://lpjk.pu.go.id/search-badan-usaha-detail/aFcxV2wyY3plclZaM0JWNTJoOFVYZz09</t>
        </is>
      </c>
      <c r="F79" t="n">
        <v>1</v>
      </c>
      <c r="G79" t="inlineStr">
        <is>
          <t>BS005</t>
        </is>
      </c>
      <c r="H79" t="inlineStr">
        <is>
          <t>9 September 2014</t>
        </is>
      </c>
      <c r="I79" s="2" t="n">
        <v>46362</v>
      </c>
      <c r="J79" t="inlineStr">
        <is>
          <t>Disetujui</t>
        </is>
      </c>
      <c r="K79" t="n">
        <v>87</v>
      </c>
      <c r="L79" t="inlineStr">
        <is>
          <t>6 Desember 2026</t>
        </is>
      </c>
      <c r="M79" t="inlineStr">
        <is>
          <t>Konstruksi Bangunan Sipil Pengolahan Air Bersih</t>
        </is>
      </c>
      <c r="N79" t="inlineStr">
        <is>
          <t>K</t>
        </is>
      </c>
      <c r="O79" t="inlineStr">
        <is>
          <t>20231206</t>
        </is>
      </c>
      <c r="P79" t="inlineStr">
        <is>
          <t>Sulawesi Selatan</t>
        </is>
      </c>
      <c r="Q79" t="inlineStr"/>
    </row>
    <row r="80">
      <c r="A80" t="inlineStr">
        <is>
          <t>REKAYASA TIRTA KONSULTAN</t>
        </is>
      </c>
      <c r="B80" t="inlineStr">
        <is>
          <t>Kota Palopo</t>
        </is>
      </c>
      <c r="C80" t="inlineStr">
        <is>
          <t>08114210989</t>
        </is>
      </c>
      <c r="D80" t="inlineStr">
        <is>
          <t>rekayasa.tirta@gmail.com</t>
        </is>
      </c>
      <c r="E80" t="inlineStr">
        <is>
          <t>https://lpjk.pu.go.id/search-badan-usaha-detail/Z3ppOFYzTjNpbC9LbWtBOXo2ZXJGQT09</t>
        </is>
      </c>
      <c r="F80" t="n">
        <v>4</v>
      </c>
      <c r="G80" t="inlineStr">
        <is>
          <t>RK002, RK003</t>
        </is>
      </c>
      <c r="H80" t="inlineStr">
        <is>
          <t>25 Mei 2009</t>
        </is>
      </c>
      <c r="I80" s="2" t="n">
        <v>46362</v>
      </c>
      <c r="J80" t="inlineStr">
        <is>
          <t>Disetujui</t>
        </is>
      </c>
      <c r="K80" t="n">
        <v>87</v>
      </c>
      <c r="L80" t="inlineStr">
        <is>
          <t>6 Desember 2026</t>
        </is>
      </c>
      <c r="M80" t="inlineStr">
        <is>
          <t>Jasa Rekayasa Pekerjaan Teknik Sipil Sumber Daya Air, Jasa Rekayasa Pekerjaan Teknik Sipil Transportasi</t>
        </is>
      </c>
      <c r="N80" t="inlineStr">
        <is>
          <t>K</t>
        </is>
      </c>
      <c r="O80" t="inlineStr">
        <is>
          <t>20231123, 20231124</t>
        </is>
      </c>
      <c r="P80" t="inlineStr">
        <is>
          <t>Sulawesi Selatan</t>
        </is>
      </c>
      <c r="Q80" t="inlineStr"/>
    </row>
    <row r="81">
      <c r="A81" t="inlineStr">
        <is>
          <t>SAFAA MANDIRI KONSTRUKSI</t>
        </is>
      </c>
      <c r="B81" t="inlineStr">
        <is>
          <t>Kab. Tangerang</t>
        </is>
      </c>
      <c r="C81" t="inlineStr">
        <is>
          <t>085101451822</t>
        </is>
      </c>
      <c r="D81" t="inlineStr">
        <is>
          <t>safaamandirikonstruksi@gmail.com</t>
        </is>
      </c>
      <c r="E81" t="inlineStr">
        <is>
          <t>https://lpjk.pu.go.id/search-badan-usaha-detail/R2cwbi80S0pPRnpjRGJKZklvRnRtZz09</t>
        </is>
      </c>
      <c r="F81" t="n">
        <v>2</v>
      </c>
      <c r="G81" t="inlineStr">
        <is>
          <t>BS001, BS004</t>
        </is>
      </c>
      <c r="H81" t="inlineStr">
        <is>
          <t>14 November 2022</t>
        </is>
      </c>
      <c r="I81" s="2" t="n">
        <v>46362</v>
      </c>
      <c r="J81" t="inlineStr">
        <is>
          <t>Disetujui</t>
        </is>
      </c>
      <c r="K81" t="n">
        <v>87</v>
      </c>
      <c r="L81" t="inlineStr">
        <is>
          <t>6 Desember 2026</t>
        </is>
      </c>
      <c r="M81" t="inlineStr">
        <is>
          <t>Konstruksi Bangunan Sipil Jalan, Konstruksi Jaringan Irigasi dan Drainase</t>
        </is>
      </c>
      <c r="N81" t="inlineStr">
        <is>
          <t>K</t>
        </is>
      </c>
      <c r="O81" t="inlineStr">
        <is>
          <t>20231205</t>
        </is>
      </c>
      <c r="P81" t="inlineStr">
        <is>
          <t>Banten</t>
        </is>
      </c>
      <c r="Q81" t="inlineStr"/>
    </row>
    <row r="82">
      <c r="A82" t="inlineStr">
        <is>
          <t>SELARAS INDAH SENTOSA</t>
        </is>
      </c>
      <c r="B82" t="inlineStr">
        <is>
          <t>Kota Adm. Jakarta Barat</t>
        </is>
      </c>
      <c r="C82" t="inlineStr">
        <is>
          <t>02129725192</t>
        </is>
      </c>
      <c r="D82" t="inlineStr">
        <is>
          <t>pt.selarasindahsentosa@hotmail.com</t>
        </is>
      </c>
      <c r="E82" t="inlineStr">
        <is>
          <t>https://lpjk.pu.go.id/search-badan-usaha-detail/RG04OXdSTEY1dUczUElXVW85bHdZdz09</t>
        </is>
      </c>
      <c r="F82" t="n">
        <v>2</v>
      </c>
      <c r="G82" t="inlineStr">
        <is>
          <t>BG001, BG002</t>
        </is>
      </c>
      <c r="H82" t="inlineStr">
        <is>
          <t>10 November 2012</t>
        </is>
      </c>
      <c r="I82" s="2" t="n">
        <v>46362</v>
      </c>
      <c r="J82" t="inlineStr">
        <is>
          <t>Disetujui</t>
        </is>
      </c>
      <c r="K82" t="n">
        <v>87</v>
      </c>
      <c r="L82" t="inlineStr">
        <is>
          <t>6 Desember 2026</t>
        </is>
      </c>
      <c r="M82" t="inlineStr">
        <is>
          <t>Konstruksi Gedung Hunian, Konstruksi Gedung Perkantoran</t>
        </is>
      </c>
      <c r="N82" t="inlineStr">
        <is>
          <t>K</t>
        </is>
      </c>
      <c r="O82" t="inlineStr">
        <is>
          <t>20231116, 20231206</t>
        </is>
      </c>
      <c r="P82" t="inlineStr">
        <is>
          <t>DKI Jakarta</t>
        </is>
      </c>
      <c r="Q82" t="inlineStr"/>
    </row>
    <row r="83">
      <c r="A83" t="inlineStr">
        <is>
          <t>SHAFAMA PRIMA KONSULTAN</t>
        </is>
      </c>
      <c r="B83" t="inlineStr">
        <is>
          <t>Kota Tangerang</t>
        </is>
      </c>
      <c r="C83" t="inlineStr">
        <is>
          <t>087713874686</t>
        </is>
      </c>
      <c r="D83" t="inlineStr">
        <is>
          <t>shafamaprima@gmail.com</t>
        </is>
      </c>
      <c r="E83" t="inlineStr">
        <is>
          <t>https://lpjk.pu.go.id/search-badan-usaha-detail/MS95ajg3T0FRSm00Y0FWWXFRdVdhdz09</t>
        </is>
      </c>
      <c r="F83" t="n">
        <v>3</v>
      </c>
      <c r="G83" t="inlineStr">
        <is>
          <t>AR001, AR002, AR003</t>
        </is>
      </c>
      <c r="H83" t="inlineStr">
        <is>
          <t>20 Maret 2019</t>
        </is>
      </c>
      <c r="I83" s="2" t="n">
        <v>46362</v>
      </c>
      <c r="J83" t="inlineStr">
        <is>
          <t>Disetujui</t>
        </is>
      </c>
      <c r="K83" t="n">
        <v>87</v>
      </c>
      <c r="L83" t="inlineStr">
        <is>
          <t>6 Desember 2026</t>
        </is>
      </c>
      <c r="M83" t="inlineStr">
        <is>
          <t>Jasa Arsitektural Bangunan Gedung Hunian dan Non Hunian, Jasa Arsitektural Lainnya, Jasa Desain Interior pada Bangunan Gedung dan Bangunan Sipil</t>
        </is>
      </c>
      <c r="N83" t="inlineStr">
        <is>
          <t>K</t>
        </is>
      </c>
      <c r="O83" t="inlineStr">
        <is>
          <t>20231116</t>
        </is>
      </c>
      <c r="P83" t="inlineStr">
        <is>
          <t>Banten</t>
        </is>
      </c>
      <c r="Q83" t="inlineStr"/>
    </row>
    <row r="84">
      <c r="A84" t="inlineStr">
        <is>
          <t>SINAR JAYA MUKTI LAS</t>
        </is>
      </c>
      <c r="B84" t="inlineStr">
        <is>
          <t>Kota Cimahi</t>
        </is>
      </c>
      <c r="C84" t="inlineStr">
        <is>
          <t>08122226985</t>
        </is>
      </c>
      <c r="D84" t="inlineStr">
        <is>
          <t>cvsinarjayamuktilas@gmail.com</t>
        </is>
      </c>
      <c r="E84" t="inlineStr">
        <is>
          <t>https://lpjk.pu.go.id/search-badan-usaha-detail/R1ZkN1d2V3g0VVdPOGU2QStKMUZRdz09</t>
        </is>
      </c>
      <c r="F84" t="n">
        <v>2</v>
      </c>
      <c r="G84" t="inlineStr">
        <is>
          <t>BG001, BG002</t>
        </is>
      </c>
      <c r="H84" t="inlineStr">
        <is>
          <t>4 Agustus 2023</t>
        </is>
      </c>
      <c r="I84" s="2" t="n">
        <v>46362</v>
      </c>
      <c r="J84" t="inlineStr">
        <is>
          <t>Disetujui</t>
        </is>
      </c>
      <c r="K84" t="n">
        <v>87</v>
      </c>
      <c r="L84" t="inlineStr">
        <is>
          <t>6 Desember 2026</t>
        </is>
      </c>
      <c r="M84" t="inlineStr">
        <is>
          <t>Konstruksi Gedung Hunian, Konstruksi Gedung Perkantoran</t>
        </is>
      </c>
      <c r="N84" t="inlineStr">
        <is>
          <t>K</t>
        </is>
      </c>
      <c r="O84" t="inlineStr">
        <is>
          <t>20231205</t>
        </is>
      </c>
      <c r="P84" t="inlineStr">
        <is>
          <t>Jawa Barat</t>
        </is>
      </c>
      <c r="Q84" t="inlineStr"/>
    </row>
    <row r="85">
      <c r="A85" t="inlineStr">
        <is>
          <t>SRIWIJAYA SAMABUSA</t>
        </is>
      </c>
      <c r="B85" t="inlineStr">
        <is>
          <t>-</t>
        </is>
      </c>
      <c r="C85" t="inlineStr">
        <is>
          <t>081211229595</t>
        </is>
      </c>
      <c r="D85" t="inlineStr">
        <is>
          <t>sriwijayasamabusa.pt@gmail.com</t>
        </is>
      </c>
      <c r="E85" t="inlineStr">
        <is>
          <t>https://lpjk.pu.go.id/search-badan-usaha-detail/UWprVUdLaGVIaW9ZbHNjUWd5dUVxQT09</t>
        </is>
      </c>
      <c r="F85" t="n">
        <v>1</v>
      </c>
      <c r="G85" t="inlineStr">
        <is>
          <t>BS004</t>
        </is>
      </c>
      <c r="H85" t="inlineStr">
        <is>
          <t>13 Januari 1994</t>
        </is>
      </c>
      <c r="I85" s="2" t="n">
        <v>46362</v>
      </c>
      <c r="J85" t="inlineStr">
        <is>
          <t>Disetujui</t>
        </is>
      </c>
      <c r="K85" t="n">
        <v>87</v>
      </c>
      <c r="L85" t="inlineStr">
        <is>
          <t>6 Desember 2026</t>
        </is>
      </c>
      <c r="M85" t="inlineStr">
        <is>
          <t>Konstruksi Jaringan Irigasi dan Drainase</t>
        </is>
      </c>
      <c r="N85" t="inlineStr">
        <is>
          <t>K</t>
        </is>
      </c>
      <c r="O85" t="inlineStr">
        <is>
          <t>20231024</t>
        </is>
      </c>
      <c r="P85" t="inlineStr">
        <is>
          <t>Papua Tengah</t>
        </is>
      </c>
      <c r="Q85" t="inlineStr"/>
    </row>
    <row r="86">
      <c r="A86" t="inlineStr">
        <is>
          <t>SUBUR JAYA</t>
        </is>
      </c>
      <c r="B86" t="inlineStr">
        <is>
          <t>Kab. Tuban</t>
        </is>
      </c>
      <c r="C86" t="inlineStr">
        <is>
          <t>081332131519</t>
        </is>
      </c>
      <c r="D86" t="inlineStr">
        <is>
          <t>subur_jayainfo@yahoo.com</t>
        </is>
      </c>
      <c r="E86" t="inlineStr">
        <is>
          <t>https://lpjk.pu.go.id/search-badan-usaha-detail/dzd1YWQ1dW5CcW9Qc3dUU2RWbzVuUT09</t>
        </is>
      </c>
      <c r="F86" t="n">
        <v>6</v>
      </c>
      <c r="G86" t="inlineStr">
        <is>
          <t>BG001, BG005, BG006, BG009, BS001, BS004</t>
        </is>
      </c>
      <c r="H86" t="inlineStr">
        <is>
          <t>9 Agustus 2006</t>
        </is>
      </c>
      <c r="I86" s="2" t="n">
        <v>46362</v>
      </c>
      <c r="J86" t="inlineStr">
        <is>
          <t>Disetujui</t>
        </is>
      </c>
      <c r="K86" t="n">
        <v>87</v>
      </c>
      <c r="L86" t="inlineStr">
        <is>
          <t>6 Desember 2026</t>
        </is>
      </c>
      <c r="M86" t="inlineStr">
        <is>
          <t>Konstruksi Bangunan Sipil Jalan, Konstruksi Gedung Hunian, Konstruksi Gedung Kesehatan, Konstruksi Gedung Lainnya, Konstruksi Gedung Pendidikan, Konstruksi Jaringan Irigasi dan Drainase</t>
        </is>
      </c>
      <c r="N86" t="inlineStr">
        <is>
          <t>K</t>
        </is>
      </c>
      <c r="O86" t="inlineStr">
        <is>
          <t>20231205</t>
        </is>
      </c>
      <c r="P86" t="inlineStr">
        <is>
          <t>Jawa Timur</t>
        </is>
      </c>
      <c r="Q86" t="inlineStr"/>
    </row>
    <row r="87">
      <c r="A87" t="inlineStr">
        <is>
          <t>SULTAN BANAVA DONGGALA</t>
        </is>
      </c>
      <c r="B87" t="inlineStr">
        <is>
          <t>Kab. Donggala</t>
        </is>
      </c>
      <c r="C87" t="inlineStr">
        <is>
          <t>085343538526</t>
        </is>
      </c>
      <c r="D87" t="inlineStr">
        <is>
          <t>cv.sultanbanavadonggala23@gmail.com</t>
        </is>
      </c>
      <c r="E87" t="inlineStr">
        <is>
          <t>https://lpjk.pu.go.id/search-badan-usaha-detail/bnB4WkszTXdVRXhPRE1qWGhzd21LZz09</t>
        </is>
      </c>
      <c r="F87" t="n">
        <v>4</v>
      </c>
      <c r="G87" t="inlineStr">
        <is>
          <t>BG001, BG002, BG005, BG009</t>
        </is>
      </c>
      <c r="H87" t="inlineStr">
        <is>
          <t>17 Maret 2023</t>
        </is>
      </c>
      <c r="I87" s="2" t="n">
        <v>46362</v>
      </c>
      <c r="J87" t="inlineStr">
        <is>
          <t>Disetujui</t>
        </is>
      </c>
      <c r="K87" t="n">
        <v>87</v>
      </c>
      <c r="L87" t="inlineStr">
        <is>
          <t>6 Desember 2026</t>
        </is>
      </c>
      <c r="M87" t="inlineStr">
        <is>
          <t>Konstruksi Gedung Hunian, Konstruksi Gedung Kesehatan, Konstruksi Gedung Lainnya, Konstruksi Gedung Perkantoran</t>
        </is>
      </c>
      <c r="N87" t="inlineStr">
        <is>
          <t>K</t>
        </is>
      </c>
      <c r="O87" t="inlineStr">
        <is>
          <t>20231204</t>
        </is>
      </c>
      <c r="P87" t="inlineStr">
        <is>
          <t>Sulawesi Tengah</t>
        </is>
      </c>
      <c r="Q87" t="inlineStr"/>
    </row>
    <row r="88">
      <c r="A88" t="inlineStr">
        <is>
          <t>TAMBUNA</t>
        </is>
      </c>
      <c r="B88" t="inlineStr">
        <is>
          <t>Kab. Kutai Kartanegara</t>
        </is>
      </c>
      <c r="C88" t="inlineStr">
        <is>
          <t>08115947666</t>
        </is>
      </c>
      <c r="D88" t="inlineStr">
        <is>
          <t>pt.tambuna@yahoo.com</t>
        </is>
      </c>
      <c r="E88" t="inlineStr">
        <is>
          <t>https://lpjk.pu.go.id/search-badan-usaha-detail/VzlmTlg5YWxkMklTZXF6dUpxZEM3dz09</t>
        </is>
      </c>
      <c r="F88" t="n">
        <v>2</v>
      </c>
      <c r="G88" t="inlineStr">
        <is>
          <t>BG009, BS001</t>
        </is>
      </c>
      <c r="H88" t="inlineStr">
        <is>
          <t>21 Maret 2007</t>
        </is>
      </c>
      <c r="I88" s="2" t="n">
        <v>46362</v>
      </c>
      <c r="J88" t="inlineStr">
        <is>
          <t>Disetujui</t>
        </is>
      </c>
      <c r="K88" t="n">
        <v>87</v>
      </c>
      <c r="L88" t="inlineStr">
        <is>
          <t>6 Desember 2026</t>
        </is>
      </c>
      <c r="M88" t="inlineStr">
        <is>
          <t>Konstruksi Bangunan Sipil Jalan, Konstruksi Gedung Lainnya</t>
        </is>
      </c>
      <c r="N88" t="inlineStr">
        <is>
          <t>M</t>
        </is>
      </c>
      <c r="O88" t="inlineStr">
        <is>
          <t>20231202, 20231205</t>
        </is>
      </c>
      <c r="P88" t="inlineStr">
        <is>
          <t>Kalimantan Timur</t>
        </is>
      </c>
      <c r="Q88" t="inlineStr"/>
    </row>
    <row r="89">
      <c r="A89" t="inlineStr">
        <is>
          <t>TANGGAP WASKITA</t>
        </is>
      </c>
      <c r="B89" t="inlineStr">
        <is>
          <t>Kota Yogyakarta</t>
        </is>
      </c>
      <c r="C89" t="inlineStr">
        <is>
          <t>08156666841</t>
        </is>
      </c>
      <c r="D89" t="inlineStr">
        <is>
          <t>tanggapwaskita@gmail.com</t>
        </is>
      </c>
      <c r="E89" t="inlineStr">
        <is>
          <t>https://lpjk.pu.go.id/search-badan-usaha-detail/MWxlcXY0ei9IZUVZUy8yVk5ZaVNRdz09</t>
        </is>
      </c>
      <c r="F89" t="n">
        <v>1</v>
      </c>
      <c r="G89" t="inlineStr">
        <is>
          <t>BS009</t>
        </is>
      </c>
      <c r="H89" t="inlineStr">
        <is>
          <t>14 Februari 2023</t>
        </is>
      </c>
      <c r="I89" s="2" t="n">
        <v>46362</v>
      </c>
      <c r="J89" t="inlineStr">
        <is>
          <t>Disetujui</t>
        </is>
      </c>
      <c r="K89" t="n">
        <v>87</v>
      </c>
      <c r="L89" t="inlineStr">
        <is>
          <t>6 Desember 2026</t>
        </is>
      </c>
      <c r="M89" t="inlineStr">
        <is>
          <t>Konstruksi Sentral Telekomunikasi</t>
        </is>
      </c>
      <c r="N89" t="inlineStr">
        <is>
          <t>K</t>
        </is>
      </c>
      <c r="O89" t="inlineStr">
        <is>
          <t>20231207</t>
        </is>
      </c>
      <c r="P89" t="inlineStr">
        <is>
          <t>DI Yogyakarta</t>
        </is>
      </c>
      <c r="Q89" t="inlineStr"/>
    </row>
    <row r="90">
      <c r="A90" t="inlineStr">
        <is>
          <t>TRI MITRA UNGGUL</t>
        </is>
      </c>
      <c r="B90" t="inlineStr">
        <is>
          <t>Kab. Karawang</t>
        </is>
      </c>
      <c r="C90" t="inlineStr">
        <is>
          <t>02129082125</t>
        </is>
      </c>
      <c r="D90" t="inlineStr">
        <is>
          <t>rsuseno@yahoo.com</t>
        </is>
      </c>
      <c r="E90" t="inlineStr">
        <is>
          <t>https://lpjk.pu.go.id/search-badan-usaha-detail/cVpST1lUMTFmMmo1UitPeEpiQzd2UT09</t>
        </is>
      </c>
      <c r="F90" t="n">
        <v>1</v>
      </c>
      <c r="G90" t="inlineStr">
        <is>
          <t>BG006</t>
        </is>
      </c>
      <c r="H90" t="inlineStr">
        <is>
          <t>28 November 2016</t>
        </is>
      </c>
      <c r="I90" s="2" t="n">
        <v>46362</v>
      </c>
      <c r="J90" t="inlineStr">
        <is>
          <t>Pencabutan</t>
        </is>
      </c>
      <c r="K90" t="n">
        <v>87</v>
      </c>
      <c r="L90" t="inlineStr">
        <is>
          <t>6 Desember 2026</t>
        </is>
      </c>
      <c r="M90" t="inlineStr">
        <is>
          <t>Konstruksi Gedung Pendidikan</t>
        </is>
      </c>
      <c r="N90" t="inlineStr">
        <is>
          <t>M</t>
        </is>
      </c>
      <c r="O90" t="inlineStr">
        <is>
          <t>20231206</t>
        </is>
      </c>
      <c r="P90" t="inlineStr">
        <is>
          <t>Jawa Barat</t>
        </is>
      </c>
      <c r="Q90" t="inlineStr"/>
    </row>
    <row r="91">
      <c r="A91" t="inlineStr">
        <is>
          <t>TRIJAYA KARYA HUTAMA</t>
        </is>
      </c>
      <c r="B91" t="inlineStr">
        <is>
          <t>Kab. Pandeglang</t>
        </is>
      </c>
      <c r="C91" t="inlineStr">
        <is>
          <t>081287393409</t>
        </is>
      </c>
      <c r="D91" t="inlineStr">
        <is>
          <t>fikrinurmaulid25@gmail.com</t>
        </is>
      </c>
      <c r="E91" t="inlineStr">
        <is>
          <t>https://lpjk.pu.go.id/search-badan-usaha-detail/Wmpaa0F3M21TakdtSXJUcU5yTllsZz09</t>
        </is>
      </c>
      <c r="F91" t="n">
        <v>1</v>
      </c>
      <c r="G91" t="inlineStr">
        <is>
          <t>BS001</t>
        </is>
      </c>
      <c r="H91" t="inlineStr">
        <is>
          <t>6 Januari 2015</t>
        </is>
      </c>
      <c r="I91" s="2" t="n">
        <v>46362</v>
      </c>
      <c r="J91" t="inlineStr">
        <is>
          <t>Disetujui</t>
        </is>
      </c>
      <c r="K91" t="n">
        <v>87</v>
      </c>
      <c r="L91" t="inlineStr">
        <is>
          <t>6 Desember 2026</t>
        </is>
      </c>
      <c r="M91" t="inlineStr">
        <is>
          <t>Konstruksi Bangunan Sipil Jalan</t>
        </is>
      </c>
      <c r="N91" t="inlineStr">
        <is>
          <t>K</t>
        </is>
      </c>
      <c r="O91" t="inlineStr">
        <is>
          <t>20231206</t>
        </is>
      </c>
      <c r="P91" t="inlineStr">
        <is>
          <t>Banten</t>
        </is>
      </c>
      <c r="Q91" t="inlineStr"/>
    </row>
    <row r="92">
      <c r="A92" t="inlineStr">
        <is>
          <t>TRIYAGAN HARMET PERKASA</t>
        </is>
      </c>
      <c r="B92" t="inlineStr">
        <is>
          <t>Kab. Sukoharjo</t>
        </is>
      </c>
      <c r="C92" t="inlineStr">
        <is>
          <t>081215676828</t>
        </is>
      </c>
      <c r="D92" t="inlineStr">
        <is>
          <t>pttriyaganharmet@gmail.com</t>
        </is>
      </c>
      <c r="E92" t="inlineStr">
        <is>
          <t>https://lpjk.pu.go.id/search-badan-usaha-detail/TFZQc2YyRXNKQTJvUHFXd0xCZ0lhUT09</t>
        </is>
      </c>
      <c r="F92" t="n">
        <v>1</v>
      </c>
      <c r="G92" t="inlineStr">
        <is>
          <t>BS002</t>
        </is>
      </c>
      <c r="H92" t="inlineStr">
        <is>
          <t>20 Februari 2017</t>
        </is>
      </c>
      <c r="I92" s="2" t="n">
        <v>46362</v>
      </c>
      <c r="J92" t="inlineStr">
        <is>
          <t>Disetujui</t>
        </is>
      </c>
      <c r="K92" t="n">
        <v>87</v>
      </c>
      <c r="L92" t="inlineStr">
        <is>
          <t>6 Desember 2026</t>
        </is>
      </c>
      <c r="M92" t="inlineStr">
        <is>
          <t>Bangunan Sipil Jembatan, Jalan Layang, Fly Over, dan Underpass</t>
        </is>
      </c>
      <c r="N92" t="inlineStr">
        <is>
          <t>M</t>
        </is>
      </c>
      <c r="O92" t="inlineStr">
        <is>
          <t>20231122</t>
        </is>
      </c>
      <c r="P92" t="inlineStr">
        <is>
          <t>Jawa Tengah</t>
        </is>
      </c>
      <c r="Q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cols>
    <col width="33"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CAKRA BANGUN SUKSES</t>
        </is>
      </c>
      <c r="B2" t="inlineStr">
        <is>
          <t>Kota Depok</t>
        </is>
      </c>
      <c r="C2" t="inlineStr">
        <is>
          <t>02129519909</t>
        </is>
      </c>
      <c r="D2" t="inlineStr">
        <is>
          <t>cakrabangunsukses@gmail.com</t>
        </is>
      </c>
      <c r="E2" t="inlineStr">
        <is>
          <t>https://lpjk.pu.go.id/search-badan-usaha-detail/VEpwVXVwdlg5b3hRWitTNjBzSEx5Zz09</t>
        </is>
      </c>
      <c r="F2" t="n">
        <v>1</v>
      </c>
      <c r="G2" t="inlineStr">
        <is>
          <t>BG004</t>
        </is>
      </c>
      <c r="H2" t="inlineStr">
        <is>
          <t>18 April 2017</t>
        </is>
      </c>
      <c r="I2" s="2" t="n">
        <v>46335</v>
      </c>
      <c r="J2" t="inlineStr">
        <is>
          <t>Pembekuan</t>
        </is>
      </c>
      <c r="K2" t="n">
        <v>60</v>
      </c>
      <c r="L2" t="inlineStr">
        <is>
          <t>9 November 2026</t>
        </is>
      </c>
      <c r="M2" t="inlineStr">
        <is>
          <t>Konstruksi Gedung Perbelanjaan</t>
        </is>
      </c>
      <c r="N2" t="inlineStr">
        <is>
          <t>M</t>
        </is>
      </c>
      <c r="O2" t="inlineStr">
        <is>
          <t>20231106</t>
        </is>
      </c>
      <c r="P2" t="inlineStr">
        <is>
          <t>Jawa Barat</t>
        </is>
      </c>
      <c r="Q2" t="inlineStr"/>
    </row>
    <row r="3">
      <c r="A3" t="inlineStr">
        <is>
          <t>DHEA MULANA BERKARYA</t>
        </is>
      </c>
      <c r="B3" t="inlineStr">
        <is>
          <t>Kota Bekasi</t>
        </is>
      </c>
      <c r="C3" t="inlineStr">
        <is>
          <t>081384382565</t>
        </is>
      </c>
      <c r="D3" t="inlineStr">
        <is>
          <t>ptdheamulanaberkarya@gmail.com</t>
        </is>
      </c>
      <c r="E3" t="inlineStr">
        <is>
          <t>https://lpjk.pu.go.id/search-badan-usaha-detail/eENKZ0t3RGp3MTNiN3kvakdqY3Uxdz09</t>
        </is>
      </c>
      <c r="F3" t="n">
        <v>8</v>
      </c>
      <c r="G3" t="inlineStr">
        <is>
          <t>BG001, BG005, BG006, BG008, BG009, BS001, BS002, BS004</t>
        </is>
      </c>
      <c r="H3" t="inlineStr">
        <is>
          <t>30 Agustus 2023</t>
        </is>
      </c>
      <c r="I3" s="2" t="n">
        <v>46335</v>
      </c>
      <c r="J3" t="inlineStr">
        <is>
          <t>Disetujui, Pencabutan</t>
        </is>
      </c>
      <c r="K3" t="n">
        <v>60</v>
      </c>
      <c r="L3" t="inlineStr">
        <is>
          <t>9 November 2026</t>
        </is>
      </c>
      <c r="M3" t="inlineStr">
        <is>
          <t>Bangunan Sipil Jembatan, Jalan Layang, Fly Over, dan Underpass, Konstruksi Bangunan Sipil Jalan, Konstruksi Gedung Hunian, Konstruksi Gedung Kesehatan, Konstruksi Gedung Lainnya, Konstruksi Gedung Pendidikan, Konstruksi Gedung Tempat Hiburan dan Olahraga, Konstruksi Jaringan Irigasi dan Drainase</t>
        </is>
      </c>
      <c r="N3" t="inlineStr">
        <is>
          <t>K</t>
        </is>
      </c>
      <c r="O3" t="inlineStr">
        <is>
          <t>20231103, 20231109, 20231110</t>
        </is>
      </c>
      <c r="P3" t="inlineStr">
        <is>
          <t>Jawa Barat</t>
        </is>
      </c>
      <c r="Q3" s="3">
        <f>HYPERLINK("https://wa.me/6281384382565?text=*[PENGINGAT MASA BERLAKU SBU DHEA MULANA BERKARYA]*%0A%0AYth. Pimpinan DHEA MULANA BERKARYA,%0AMohon izin menginformasikan status SBU Anda di sistem LPJK:%0A%0A📄 SBU: BG001, BG005, BG006, BG008, BG009, BS001, BS002, BS004%0A📅 Expired: 9 November 2026 (60 Hari Lagi)%0A%0AKami tim PT. ESDEA Assistance Management siap men-support proses perpanjangan segera agar administrasi proyek tidak terhambat%0A%0AApakah boleh saya bantu siapkan estimasi biaya dan waktu pengerjaannya?.", "Hubungi")</f>
        <v/>
      </c>
    </row>
    <row r="4">
      <c r="A4" t="inlineStr">
        <is>
          <t>GRAHA AVACIA SUKSES</t>
        </is>
      </c>
      <c r="B4" t="inlineStr">
        <is>
          <t>Kota Bekasi</t>
        </is>
      </c>
      <c r="C4" t="inlineStr">
        <is>
          <t>081283755353</t>
        </is>
      </c>
      <c r="D4" t="inlineStr">
        <is>
          <t>dennytri5na@yahoo.com</t>
        </is>
      </c>
      <c r="E4" t="inlineStr">
        <is>
          <t>https://lpjk.pu.go.id/search-badan-usaha-detail/a0JHTko2M2FLY0ltdDh2d0lqWDhBZz09</t>
        </is>
      </c>
      <c r="F4" t="n">
        <v>1</v>
      </c>
      <c r="G4" t="inlineStr">
        <is>
          <t>BG001</t>
        </is>
      </c>
      <c r="H4" t="inlineStr">
        <is>
          <t>1 Maret 2023</t>
        </is>
      </c>
      <c r="I4" s="2" t="n">
        <v>46335</v>
      </c>
      <c r="J4" t="inlineStr">
        <is>
          <t>Disetujui</t>
        </is>
      </c>
      <c r="K4" t="n">
        <v>60</v>
      </c>
      <c r="L4" t="inlineStr">
        <is>
          <t>9 November 2026</t>
        </is>
      </c>
      <c r="M4" t="inlineStr">
        <is>
          <t>Konstruksi Gedung Hunian</t>
        </is>
      </c>
      <c r="N4" t="inlineStr">
        <is>
          <t>K</t>
        </is>
      </c>
      <c r="O4" t="inlineStr">
        <is>
          <t>20231109</t>
        </is>
      </c>
      <c r="P4" t="inlineStr">
        <is>
          <t>Jawa Barat</t>
        </is>
      </c>
      <c r="Q4" s="3">
        <f>HYPERLINK("https://wa.me/6281283755353?text=*[PENGINGAT MASA BERLAKU SBU GRAHA AVACIA SUKSES]*%0A%0AYth. Pimpinan GRAHA AVACIA SUKSES,%0AMohon izin menginformasikan status SBU Anda di sistem LPJK:%0A%0A📄 SBU: BG001%0A📅 Expired: 9 November 2026 (60 Hari Lagi)%0A%0AKami tim PT. ESDEA Assistance Management siap men-support proses perpanjangan segera agar administrasi proyek tidak terhambat%0A%0AApakah boleh saya bantu siapkan estimasi biaya dan waktu pengerjaannya?.", "Hubungi")</f>
        <v/>
      </c>
    </row>
    <row r="5">
      <c r="A5" t="inlineStr">
        <is>
          <t>INDOBAKTI PRIMA KARYA</t>
        </is>
      </c>
      <c r="B5" t="inlineStr">
        <is>
          <t>Kota Adm. Jakarta Timur</t>
        </is>
      </c>
      <c r="C5" t="inlineStr">
        <is>
          <t>02189237980</t>
        </is>
      </c>
      <c r="D5" t="inlineStr">
        <is>
          <t>indobaktiprimakarya019@gmail.com</t>
        </is>
      </c>
      <c r="E5" t="inlineStr">
        <is>
          <t>https://lpjk.pu.go.id/search-badan-usaha-detail/bk9DeGh0dU9YQkUxaE8wemtQVytEQT09</t>
        </is>
      </c>
      <c r="F5" t="n">
        <v>5</v>
      </c>
      <c r="G5" t="inlineStr">
        <is>
          <t>BG001, BG002, BG005, BG006, BG009</t>
        </is>
      </c>
      <c r="H5" t="inlineStr">
        <is>
          <t>10 Oktober 2022</t>
        </is>
      </c>
      <c r="I5" s="2" t="n">
        <v>46335</v>
      </c>
      <c r="J5" t="inlineStr">
        <is>
          <t>Pencabutan</t>
        </is>
      </c>
      <c r="K5" t="n">
        <v>60</v>
      </c>
      <c r="L5" t="inlineStr">
        <is>
          <t>9 November 2026</t>
        </is>
      </c>
      <c r="M5" t="inlineStr">
        <is>
          <t>Konstruksi Gedung Hunian, Konstruksi Gedung Kesehatan, Konstruksi Gedung Lainnya, Konstruksi Gedung Pendidikan, Konstruksi Gedung Perkantoran</t>
        </is>
      </c>
      <c r="N5" t="inlineStr">
        <is>
          <t>K</t>
        </is>
      </c>
      <c r="O5" t="inlineStr">
        <is>
          <t>20231024</t>
        </is>
      </c>
      <c r="P5" t="inlineStr">
        <is>
          <t>DKI Jakarta</t>
        </is>
      </c>
      <c r="Q5" t="inlineStr"/>
    </row>
    <row r="6">
      <c r="A6" t="inlineStr">
        <is>
          <t>KARYA PRIMA MANDIRI ABADI</t>
        </is>
      </c>
      <c r="B6" t="inlineStr">
        <is>
          <t>Kota Depok</t>
        </is>
      </c>
      <c r="C6" t="inlineStr">
        <is>
          <t>02184974490</t>
        </is>
      </c>
      <c r="D6" t="inlineStr">
        <is>
          <t>kpmandiri@yahoo.com</t>
        </is>
      </c>
      <c r="E6" t="inlineStr">
        <is>
          <t>https://lpjk.pu.go.id/search-badan-usaha-detail/L1NHTEEzSCtYVXhMSUdORWRhRDFldz09</t>
        </is>
      </c>
      <c r="F6" t="n">
        <v>1</v>
      </c>
      <c r="G6" t="inlineStr">
        <is>
          <t>PB004</t>
        </is>
      </c>
      <c r="H6" t="inlineStr">
        <is>
          <t>26 Februari 2020</t>
        </is>
      </c>
      <c r="I6" s="2" t="n">
        <v>46335</v>
      </c>
      <c r="J6" t="inlineStr">
        <is>
          <t>Pembekuan</t>
        </is>
      </c>
      <c r="K6" t="n">
        <v>60</v>
      </c>
      <c r="L6" t="inlineStr">
        <is>
          <t>9 November 2026</t>
        </is>
      </c>
      <c r="M6" t="inlineStr">
        <is>
          <t>Dekorasi Interior</t>
        </is>
      </c>
      <c r="N6" t="inlineStr">
        <is>
          <t>Spesialis</t>
        </is>
      </c>
      <c r="O6" t="inlineStr">
        <is>
          <t>20231030</t>
        </is>
      </c>
      <c r="P6" t="inlineStr">
        <is>
          <t>Jawa Barat</t>
        </is>
      </c>
      <c r="Q6" t="inlineStr"/>
    </row>
    <row r="7">
      <c r="A7" t="inlineStr">
        <is>
          <t>KURNIA MAKMUR BAROKAH</t>
        </is>
      </c>
      <c r="B7" t="inlineStr">
        <is>
          <t>Kab. Bogor</t>
        </is>
      </c>
      <c r="C7" t="inlineStr">
        <is>
          <t>02150105732</t>
        </is>
      </c>
      <c r="D7" t="inlineStr">
        <is>
          <t>kurniamakmurbarokah@gmail.com</t>
        </is>
      </c>
      <c r="E7" t="inlineStr">
        <is>
          <t>https://lpjk.pu.go.id/search-badan-usaha-detail/NDFXOXlITS9mbW11dmFsSGk3UVJsdz09</t>
        </is>
      </c>
      <c r="F7" t="n">
        <v>1</v>
      </c>
      <c r="G7" t="inlineStr">
        <is>
          <t>BS004</t>
        </is>
      </c>
      <c r="H7" t="inlineStr">
        <is>
          <t>11 Juli 2023</t>
        </is>
      </c>
      <c r="I7" s="2" t="n">
        <v>46335</v>
      </c>
      <c r="J7" t="inlineStr">
        <is>
          <t>Disetujui</t>
        </is>
      </c>
      <c r="K7" t="n">
        <v>60</v>
      </c>
      <c r="L7" t="inlineStr">
        <is>
          <t>9 November 2026</t>
        </is>
      </c>
      <c r="M7" t="inlineStr">
        <is>
          <t>Konstruksi Jaringan Irigasi dan Drainase</t>
        </is>
      </c>
      <c r="N7" t="inlineStr">
        <is>
          <t>K</t>
        </is>
      </c>
      <c r="O7" t="inlineStr">
        <is>
          <t>20231031</t>
        </is>
      </c>
      <c r="P7" t="inlineStr">
        <is>
          <t>Jawa Barat</t>
        </is>
      </c>
      <c r="Q7" t="inlineStr"/>
    </row>
    <row r="8">
      <c r="A8" t="inlineStr">
        <is>
          <t>MEGALAND INFRA PERKASA</t>
        </is>
      </c>
      <c r="B8" t="inlineStr">
        <is>
          <t>Kab. Bogor</t>
        </is>
      </c>
      <c r="C8" t="inlineStr">
        <is>
          <t>02518543888</t>
        </is>
      </c>
      <c r="D8" t="inlineStr">
        <is>
          <t>megalandinfra.legal@gmail.com</t>
        </is>
      </c>
      <c r="E8" t="inlineStr">
        <is>
          <t>https://lpjk.pu.go.id/search-badan-usaha-detail/OUJuaElPK1d0NkppVTl1NEkrVllJZz09</t>
        </is>
      </c>
      <c r="F8" t="n">
        <v>6</v>
      </c>
      <c r="G8" t="inlineStr">
        <is>
          <t>BG002, BG004, BS001</t>
        </is>
      </c>
      <c r="H8" t="inlineStr">
        <is>
          <t>10 Januari 2023</t>
        </is>
      </c>
      <c r="I8" s="2" t="n">
        <v>46335</v>
      </c>
      <c r="J8" t="inlineStr">
        <is>
          <t>Disetujui</t>
        </is>
      </c>
      <c r="K8" t="n">
        <v>60</v>
      </c>
      <c r="L8" t="inlineStr">
        <is>
          <t>9 November 2026</t>
        </is>
      </c>
      <c r="M8" t="inlineStr">
        <is>
          <t>Konstruksi Bangunan Sipil Jalan, Konstruksi Gedung Perbelanjaan, Konstruksi Gedung Perkantoran</t>
        </is>
      </c>
      <c r="N8" t="inlineStr">
        <is>
          <t>K</t>
        </is>
      </c>
      <c r="O8" t="inlineStr">
        <is>
          <t>20231109, 20231110</t>
        </is>
      </c>
      <c r="P8" t="inlineStr">
        <is>
          <t>Jawa Barat</t>
        </is>
      </c>
      <c r="Q8" s="3">
        <f>HYPERLINK("https://wa.me/622518543888?text=*[PENGINGAT MASA BERLAKU SBU MEGALAND INFRA PERKASA]*%0A%0AYth. Pimpinan MEGALAND INFRA PERKASA,%0AMohon izin menginformasikan status SBU Anda di sistem LPJK:%0A%0A📄 SBU: BG002, BG004, BS001%0A📅 Expired: 9 November 2026 (60 Hari Lagi)%0A%0AKami tim PT. ESDEA Assistance Management siap men-support proses perpanjangan segera agar administrasi proyek tidak terhambat%0A%0AApakah boleh saya bantu siapkan estimasi biaya dan waktu pengerjaannya?.", "Hubungi")</f>
        <v/>
      </c>
    </row>
    <row r="9">
      <c r="A9" t="inlineStr">
        <is>
          <t>PUTERA FAHLEVI</t>
        </is>
      </c>
      <c r="B9" t="inlineStr">
        <is>
          <t>Kota Bogor</t>
        </is>
      </c>
      <c r="C9" t="inlineStr">
        <is>
          <t>081399017896</t>
        </is>
      </c>
      <c r="D9" t="inlineStr">
        <is>
          <t>rizkiakbar.legalmp@gmail.com</t>
        </is>
      </c>
      <c r="E9" t="inlineStr">
        <is>
          <t>https://lpjk.pu.go.id/search-badan-usaha-detail/cmdxL0x0NEl4L1NQdUdQeXRXYWRsZz09</t>
        </is>
      </c>
      <c r="F9" t="n">
        <v>2</v>
      </c>
      <c r="G9" t="inlineStr">
        <is>
          <t>BG002, BG009</t>
        </is>
      </c>
      <c r="H9" t="inlineStr">
        <is>
          <t>7 Agustus 2023</t>
        </is>
      </c>
      <c r="I9" s="2" t="n">
        <v>46335</v>
      </c>
      <c r="J9" t="inlineStr">
        <is>
          <t>Disetujui</t>
        </is>
      </c>
      <c r="K9" t="n">
        <v>60</v>
      </c>
      <c r="L9" t="inlineStr">
        <is>
          <t>9 November 2026</t>
        </is>
      </c>
      <c r="M9" t="inlineStr">
        <is>
          <t>Konstruksi Gedung Lainnya, Konstruksi Gedung Perkantoran</t>
        </is>
      </c>
      <c r="N9" t="inlineStr">
        <is>
          <t>K</t>
        </is>
      </c>
      <c r="O9" t="inlineStr">
        <is>
          <t>20231109</t>
        </is>
      </c>
      <c r="P9" t="inlineStr">
        <is>
          <t>Jawa Barat</t>
        </is>
      </c>
      <c r="Q9" s="3">
        <f>HYPERLINK("https://wa.me/6281399017896?text=*[PENGINGAT MASA BERLAKU SBU PUTERA FAHLEVI]*%0A%0AYth. Pimpinan PUTERA FAHLEVI,%0AMohon izin menginformasikan status SBU Anda di sistem LPJK:%0A%0A📄 SBU: BG002, BG009%0A📅 Expired: 9 November 2026 (60 Hari Lagi)%0A%0AKami tim PT. ESDEA Assistance Management siap men-support proses perpanjangan segera agar administrasi proyek tidak terhambat%0A%0AApakah boleh saya bantu siapkan estimasi biaya dan waktu pengerjaannya?.", "Hubungi")</f>
        <v/>
      </c>
    </row>
    <row r="10">
      <c r="A10" t="inlineStr">
        <is>
          <t>SPECIALISED ACCESS SYSTEM</t>
        </is>
      </c>
      <c r="B10" t="inlineStr">
        <is>
          <t>Kab. Bogor</t>
        </is>
      </c>
      <c r="C10" t="inlineStr">
        <is>
          <t>081284701449</t>
        </is>
      </c>
      <c r="D10" t="inlineStr">
        <is>
          <t>infosas76@gmail.com</t>
        </is>
      </c>
      <c r="E10" t="inlineStr">
        <is>
          <t>https://lpjk.pu.go.id/search-badan-usaha-detail/aEptTk1WTmhaaTd5V3pCM1NBZWVDQT09</t>
        </is>
      </c>
      <c r="F10" t="n">
        <v>1</v>
      </c>
      <c r="G10" t="inlineStr">
        <is>
          <t>BG009</t>
        </is>
      </c>
      <c r="H10" t="inlineStr">
        <is>
          <t>3 Februari 2014</t>
        </is>
      </c>
      <c r="I10" s="2" t="n">
        <v>46335</v>
      </c>
      <c r="J10" t="inlineStr">
        <is>
          <t>Disetujui</t>
        </is>
      </c>
      <c r="K10" t="n">
        <v>60</v>
      </c>
      <c r="L10" t="inlineStr">
        <is>
          <t>9 November 2026</t>
        </is>
      </c>
      <c r="M10" t="inlineStr">
        <is>
          <t>Konstruksi Gedung Lainnya</t>
        </is>
      </c>
      <c r="N10" t="inlineStr">
        <is>
          <t>K</t>
        </is>
      </c>
      <c r="O10" t="inlineStr">
        <is>
          <t>20231107</t>
        </is>
      </c>
      <c r="P10" t="inlineStr">
        <is>
          <t>Jawa Barat</t>
        </is>
      </c>
      <c r="Q10" s="3">
        <f>HYPERLINK("https://wa.me/6281284701449?text=*[PENGINGAT MASA BERLAKU SBU SPECIALISED ACCESS SYSTEM]*%0A%0AYth. Pimpinan SPECIALISED ACCESS SYSTEM,%0AMohon izin menginformasikan status SBU Anda di sistem LPJK:%0A%0A📄 SBU: BG009%0A📅 Expired: 9 November 2026 (60 Hari Lagi)%0A%0AKami tim PT. ESDEA Assistance Management siap men-support proses perpanjangan segera agar administrasi proyek tidak terhambat%0A%0AApakah boleh saya bantu siapkan estimasi biaya dan waktu pengerjaannya?.", "Hubungi")</f>
        <v/>
      </c>
    </row>
    <row r="11">
      <c r="A11" t="inlineStr">
        <is>
          <t>ULFA JAYA SUKSES</t>
        </is>
      </c>
      <c r="B11" t="inlineStr">
        <is>
          <t>Kota Bekasi</t>
        </is>
      </c>
      <c r="C11" t="inlineStr">
        <is>
          <t>02182409339</t>
        </is>
      </c>
      <c r="D11" t="inlineStr">
        <is>
          <t>ulfa.jaya.sukses45@gmail.com</t>
        </is>
      </c>
      <c r="E11" t="inlineStr">
        <is>
          <t>https://lpjk.pu.go.id/search-badan-usaha-detail/bWxocCtxNTV1WWpPYXFTblhYK0djQT09</t>
        </is>
      </c>
      <c r="F11" t="n">
        <v>5</v>
      </c>
      <c r="G11" t="inlineStr">
        <is>
          <t>BG001, BG002, BG004, BG007, BG009</t>
        </is>
      </c>
      <c r="H11" t="inlineStr">
        <is>
          <t>26 November 2019</t>
        </is>
      </c>
      <c r="I11" s="2" t="n">
        <v>46335</v>
      </c>
      <c r="J11" t="inlineStr">
        <is>
          <t>Disetujui</t>
        </is>
      </c>
      <c r="K11" t="n">
        <v>60</v>
      </c>
      <c r="L11" t="inlineStr">
        <is>
          <t>9 November 2026</t>
        </is>
      </c>
      <c r="M11" t="inlineStr">
        <is>
          <t>Konstruksi Gedung Hunian, Konstruksi Gedung Lainnya, Konstruksi Gedung Penginapan, Konstruksi Gedung Perbelanjaan, Konstruksi Gedung Perkantoran</t>
        </is>
      </c>
      <c r="N11" t="inlineStr">
        <is>
          <t>K</t>
        </is>
      </c>
      <c r="O11" t="inlineStr">
        <is>
          <t>20231109, 20231110</t>
        </is>
      </c>
      <c r="P11" t="inlineStr">
        <is>
          <t>Jawa Barat</t>
        </is>
      </c>
      <c r="Q11" t="inlineStr"/>
    </row>
    <row r="12">
      <c r="A12" t="inlineStr">
        <is>
          <t>ABDI BUMI CENDRAWASIH</t>
        </is>
      </c>
      <c r="B12" t="inlineStr">
        <is>
          <t>-</t>
        </is>
      </c>
      <c r="C12" t="inlineStr">
        <is>
          <t>081240299952</t>
        </is>
      </c>
      <c r="D12" t="inlineStr">
        <is>
          <t>pt.abdibumicendrawasih02@gmail.com</t>
        </is>
      </c>
      <c r="E12" t="inlineStr">
        <is>
          <t>https://lpjk.pu.go.id/search-badan-usaha-detail/aEZCMmthazF3ZE5MZjZaRE9YTnBWZz09</t>
        </is>
      </c>
      <c r="F12" t="n">
        <v>1</v>
      </c>
      <c r="G12" t="inlineStr">
        <is>
          <t>BS001</t>
        </is>
      </c>
      <c r="H12" t="inlineStr">
        <is>
          <t>22 Juni 2012</t>
        </is>
      </c>
      <c r="I12" s="2" t="n">
        <v>46335</v>
      </c>
      <c r="J12" t="inlineStr">
        <is>
          <t>Pencabutan</t>
        </is>
      </c>
      <c r="K12" t="n">
        <v>60</v>
      </c>
      <c r="L12" t="inlineStr">
        <is>
          <t>9 November 2026</t>
        </is>
      </c>
      <c r="M12" t="inlineStr">
        <is>
          <t>Konstruksi Bangunan Sipil Jalan</t>
        </is>
      </c>
      <c r="N12" t="inlineStr">
        <is>
          <t>M</t>
        </is>
      </c>
      <c r="O12" t="inlineStr">
        <is>
          <t>20231030</t>
        </is>
      </c>
      <c r="P12" t="inlineStr">
        <is>
          <t>Papua Tengah</t>
        </is>
      </c>
      <c r="Q12" t="inlineStr"/>
    </row>
    <row r="13">
      <c r="A13" t="inlineStr">
        <is>
          <t>ABYAKTA OPTIMA MANDIRI</t>
        </is>
      </c>
      <c r="B13" t="inlineStr">
        <is>
          <t>Kab. Banjarnegara</t>
        </is>
      </c>
      <c r="C13" t="inlineStr">
        <is>
          <t>081215314224</t>
        </is>
      </c>
      <c r="D13" t="inlineStr">
        <is>
          <t>cvabyaktaoptimamandiri@gmail.com</t>
        </is>
      </c>
      <c r="E13" t="inlineStr">
        <is>
          <t>https://lpjk.pu.go.id/search-badan-usaha-detail/UDlUZDJDVDFja0hJMVhCc3NQREIwZz09</t>
        </is>
      </c>
      <c r="F13" t="n">
        <v>5</v>
      </c>
      <c r="G13" t="inlineStr">
        <is>
          <t>BG001, BG005, BG006, BG009, BS001</t>
        </is>
      </c>
      <c r="H13" t="inlineStr">
        <is>
          <t>5 September 2022</t>
        </is>
      </c>
      <c r="I13" s="2" t="n">
        <v>46335</v>
      </c>
      <c r="J13" t="inlineStr">
        <is>
          <t>Disetujui</t>
        </is>
      </c>
      <c r="K13" t="n">
        <v>60</v>
      </c>
      <c r="L13" t="inlineStr">
        <is>
          <t>9 November 2026</t>
        </is>
      </c>
      <c r="M13" t="inlineStr">
        <is>
          <t>Konstruksi Bangunan Sipil Jalan, Konstruksi Gedung Hunian, Konstruksi Gedung Kesehatan, Konstruksi Gedung Lainnya, Konstruksi Gedung Pendidikan</t>
        </is>
      </c>
      <c r="N13" t="inlineStr">
        <is>
          <t>K</t>
        </is>
      </c>
      <c r="O13" t="inlineStr">
        <is>
          <t>20231105, 20231107</t>
        </is>
      </c>
      <c r="P13" t="inlineStr">
        <is>
          <t>Jawa Tengah</t>
        </is>
      </c>
      <c r="Q13" t="inlineStr"/>
    </row>
    <row r="14">
      <c r="A14" t="inlineStr">
        <is>
          <t>ADI PRATAMA</t>
        </is>
      </c>
      <c r="B14" t="inlineStr">
        <is>
          <t>Kota Surabaya</t>
        </is>
      </c>
      <c r="C14" t="inlineStr">
        <is>
          <t>0317405736</t>
        </is>
      </c>
      <c r="D14" t="inlineStr">
        <is>
          <t>adipratama25@yahoo.co.id</t>
        </is>
      </c>
      <c r="E14" t="inlineStr">
        <is>
          <t>https://lpjk.pu.go.id/search-badan-usaha-detail/N2oybEYvRHM2MWIrVnI5YVE5am0vUT09</t>
        </is>
      </c>
      <c r="F14" t="n">
        <v>1</v>
      </c>
      <c r="G14" t="inlineStr">
        <is>
          <t>BG003</t>
        </is>
      </c>
      <c r="H14" t="inlineStr">
        <is>
          <t>5 Maret 2007</t>
        </is>
      </c>
      <c r="I14" s="2" t="n">
        <v>46335</v>
      </c>
      <c r="J14" t="inlineStr">
        <is>
          <t>Disetujui</t>
        </is>
      </c>
      <c r="K14" t="n">
        <v>60</v>
      </c>
      <c r="L14" t="inlineStr">
        <is>
          <t>9 November 2026</t>
        </is>
      </c>
      <c r="M14" t="inlineStr">
        <is>
          <t>Konstruksi Gedung Industri</t>
        </is>
      </c>
      <c r="N14" t="inlineStr">
        <is>
          <t>K</t>
        </is>
      </c>
      <c r="O14" t="inlineStr">
        <is>
          <t>20231110</t>
        </is>
      </c>
      <c r="P14" t="inlineStr">
        <is>
          <t>Jawa Timur</t>
        </is>
      </c>
      <c r="Q14" t="inlineStr"/>
    </row>
    <row r="15">
      <c r="A15" t="inlineStr">
        <is>
          <t>ADIPRIMA TEHNIKA</t>
        </is>
      </c>
      <c r="B15" t="inlineStr">
        <is>
          <t>Kab. Bondowoso</t>
        </is>
      </c>
      <c r="C15" t="inlineStr">
        <is>
          <t>085236986859</t>
        </is>
      </c>
      <c r="D15" t="inlineStr">
        <is>
          <t>andyrobbianmeidianto@gmail.com</t>
        </is>
      </c>
      <c r="E15" t="inlineStr">
        <is>
          <t>https://lpjk.pu.go.id/search-badan-usaha-detail/bWw2b3AvUUhNZU9jaGdlRkd2OEdqZz09</t>
        </is>
      </c>
      <c r="F15" t="n">
        <v>6</v>
      </c>
      <c r="G15" t="inlineStr">
        <is>
          <t>BG002, BG005, BG006, BG009, BS001, BS004</t>
        </is>
      </c>
      <c r="H15" t="inlineStr">
        <is>
          <t>11 Maret 2002</t>
        </is>
      </c>
      <c r="I15" s="2" t="n">
        <v>46335</v>
      </c>
      <c r="J15" t="inlineStr">
        <is>
          <t>Disetujui</t>
        </is>
      </c>
      <c r="K15" t="n">
        <v>60</v>
      </c>
      <c r="L15" t="inlineStr">
        <is>
          <t>9 November 2026</t>
        </is>
      </c>
      <c r="M15" t="inlineStr">
        <is>
          <t>Konstruksi Bangunan Sipil Jalan, Konstruksi Gedung Kesehatan, Konstruksi Gedung Lainnya, Konstruksi Gedung Pendidikan, Konstruksi Gedung Perkantoran, Konstruksi Jaringan Irigasi dan Drainase</t>
        </is>
      </c>
      <c r="N15" t="inlineStr">
        <is>
          <t>K</t>
        </is>
      </c>
      <c r="O15" t="inlineStr">
        <is>
          <t>20231103, 20231110</t>
        </is>
      </c>
      <c r="P15" t="inlineStr">
        <is>
          <t>Jawa Timur</t>
        </is>
      </c>
      <c r="Q15" t="inlineStr"/>
    </row>
    <row r="16">
      <c r="A16" t="inlineStr">
        <is>
          <t>ADYAKSA TAMA MANUNGGAL</t>
        </is>
      </c>
      <c r="B16" t="inlineStr">
        <is>
          <t>Kab. Mojokerto</t>
        </is>
      </c>
      <c r="C16" t="inlineStr">
        <is>
          <t>081331730818</t>
        </is>
      </c>
      <c r="D16" t="inlineStr">
        <is>
          <t>adyaksatamamanunggal@gmail.com</t>
        </is>
      </c>
      <c r="E16" t="inlineStr">
        <is>
          <t>https://lpjk.pu.go.id/search-badan-usaha-detail/bnN1WElDK2R1MGd1c2drS00reEgyZz09</t>
        </is>
      </c>
      <c r="F16" t="n">
        <v>1</v>
      </c>
      <c r="G16" t="inlineStr">
        <is>
          <t>BG006</t>
        </is>
      </c>
      <c r="H16" t="inlineStr">
        <is>
          <t>29 September 2015</t>
        </is>
      </c>
      <c r="I16" s="2" t="n">
        <v>46335</v>
      </c>
      <c r="J16" t="inlineStr">
        <is>
          <t>Disetujui</t>
        </is>
      </c>
      <c r="K16" t="n">
        <v>60</v>
      </c>
      <c r="L16" t="inlineStr">
        <is>
          <t>9 November 2026</t>
        </is>
      </c>
      <c r="M16" t="inlineStr">
        <is>
          <t>Konstruksi Gedung Pendidikan</t>
        </is>
      </c>
      <c r="N16" t="inlineStr">
        <is>
          <t>K</t>
        </is>
      </c>
      <c r="O16" t="inlineStr">
        <is>
          <t>20231109</t>
        </is>
      </c>
      <c r="P16" t="inlineStr">
        <is>
          <t>Jawa Timur</t>
        </is>
      </c>
      <c r="Q16" t="inlineStr"/>
    </row>
    <row r="17">
      <c r="A17" t="inlineStr">
        <is>
          <t>AGUNG KARUNIA UTAMA</t>
        </is>
      </c>
      <c r="B17" t="inlineStr">
        <is>
          <t>Kota Adm. Jakarta Barat</t>
        </is>
      </c>
      <c r="C17" t="inlineStr">
        <is>
          <t>0215857979</t>
        </is>
      </c>
      <c r="D17" t="inlineStr">
        <is>
          <t>feizalmunzir@gmail.com</t>
        </is>
      </c>
      <c r="E17" t="inlineStr">
        <is>
          <t>https://lpjk.pu.go.id/search-badan-usaha-detail/Z09wRit3angwdHdqcXN3cWFLVXpGUT09</t>
        </is>
      </c>
      <c r="F17" t="n">
        <v>2</v>
      </c>
      <c r="G17" t="inlineStr">
        <is>
          <t>BS009</t>
        </is>
      </c>
      <c r="H17" t="inlineStr">
        <is>
          <t>7 Maret 1998</t>
        </is>
      </c>
      <c r="I17" s="2" t="n">
        <v>46335</v>
      </c>
      <c r="J17" t="inlineStr">
        <is>
          <t>Disetujui</t>
        </is>
      </c>
      <c r="K17" t="n">
        <v>60</v>
      </c>
      <c r="L17" t="inlineStr">
        <is>
          <t>9 November 2026</t>
        </is>
      </c>
      <c r="M17" t="inlineStr">
        <is>
          <t>Konstruksi Sentral Telekomunikasi</t>
        </is>
      </c>
      <c r="N17" t="inlineStr">
        <is>
          <t>K</t>
        </is>
      </c>
      <c r="O17" t="inlineStr">
        <is>
          <t>20231107</t>
        </is>
      </c>
      <c r="P17" t="inlineStr">
        <is>
          <t>DKI Jakarta</t>
        </is>
      </c>
      <c r="Q17" t="inlineStr"/>
    </row>
    <row r="18">
      <c r="A18" t="inlineStr">
        <is>
          <t>AKSA INDO MANUFAKTUR</t>
        </is>
      </c>
      <c r="B18" t="inlineStr">
        <is>
          <t>Kota Palu</t>
        </is>
      </c>
      <c r="C18" t="inlineStr">
        <is>
          <t>08114534393</t>
        </is>
      </c>
      <c r="D18" t="inlineStr">
        <is>
          <t>aksaindomanufaktur@gmail.com</t>
        </is>
      </c>
      <c r="E18" t="inlineStr">
        <is>
          <t>https://lpjk.pu.go.id/search-badan-usaha-detail/L1B1WkZTR1dpTUIzVkRXSkpJL01vdz09</t>
        </is>
      </c>
      <c r="F18" t="n">
        <v>1</v>
      </c>
      <c r="G18" t="inlineStr">
        <is>
          <t>BG006</t>
        </is>
      </c>
      <c r="H18" t="inlineStr">
        <is>
          <t>9 Januari 2023</t>
        </is>
      </c>
      <c r="I18" s="2" t="n">
        <v>46335</v>
      </c>
      <c r="J18" t="inlineStr">
        <is>
          <t>Disetujui</t>
        </is>
      </c>
      <c r="K18" t="n">
        <v>60</v>
      </c>
      <c r="L18" t="inlineStr">
        <is>
          <t>9 November 2026</t>
        </is>
      </c>
      <c r="M18" t="inlineStr">
        <is>
          <t>Konstruksi Gedung Pendidikan</t>
        </is>
      </c>
      <c r="N18" t="inlineStr">
        <is>
          <t>K</t>
        </is>
      </c>
      <c r="O18" t="inlineStr">
        <is>
          <t>20231025</t>
        </is>
      </c>
      <c r="P18" t="inlineStr">
        <is>
          <t>Sulawesi Tengah</t>
        </is>
      </c>
      <c r="Q18" t="inlineStr"/>
    </row>
    <row r="19">
      <c r="A19" t="inlineStr">
        <is>
          <t>ALAM BLANG LANCANG</t>
        </is>
      </c>
      <c r="B19" t="inlineStr">
        <is>
          <t>Kota Lhokseumawe</t>
        </is>
      </c>
      <c r="C19" t="inlineStr">
        <is>
          <t>06458450258</t>
        </is>
      </c>
      <c r="D19" t="inlineStr">
        <is>
          <t>pt.alamblanglancang@gmail.com</t>
        </is>
      </c>
      <c r="E19" t="inlineStr">
        <is>
          <t>https://lpjk.pu.go.id/search-badan-usaha-detail/MkxhL1ZnVC9JaEhKSnNNQUdaWE16dz09</t>
        </is>
      </c>
      <c r="F19" t="n">
        <v>1</v>
      </c>
      <c r="G19" t="inlineStr">
        <is>
          <t>IN004</t>
        </is>
      </c>
      <c r="H19" t="inlineStr">
        <is>
          <t>4 Maret 2010</t>
        </is>
      </c>
      <c r="I19" s="2" t="n">
        <v>46335</v>
      </c>
      <c r="J19" t="inlineStr">
        <is>
          <t>Disetujui</t>
        </is>
      </c>
      <c r="K19" t="n">
        <v>60</v>
      </c>
      <c r="L19" t="inlineStr">
        <is>
          <t>9 November 2026</t>
        </is>
      </c>
      <c r="M19" t="inlineStr">
        <is>
          <t>Instalasi Minyak dan Gas</t>
        </is>
      </c>
      <c r="N19" t="inlineStr">
        <is>
          <t>Spesialis</t>
        </is>
      </c>
      <c r="O19" t="inlineStr">
        <is>
          <t>20231106</t>
        </is>
      </c>
      <c r="P19" t="inlineStr">
        <is>
          <t>Aceh</t>
        </is>
      </c>
      <c r="Q19" t="inlineStr"/>
    </row>
    <row r="20">
      <c r="A20" t="inlineStr">
        <is>
          <t>ALAM MINANG</t>
        </is>
      </c>
      <c r="B20" t="inlineStr">
        <is>
          <t>Kab. Agam</t>
        </is>
      </c>
      <c r="C20" t="inlineStr">
        <is>
          <t>081363152611</t>
        </is>
      </c>
      <c r="D20" t="inlineStr">
        <is>
          <t>cv.alamminang@gmail.com</t>
        </is>
      </c>
      <c r="E20" t="inlineStr">
        <is>
          <t>https://lpjk.pu.go.id/search-badan-usaha-detail/alVFd2dlQlM4a3V0MFBxd2ZIUHBOdz09</t>
        </is>
      </c>
      <c r="F20" t="n">
        <v>7</v>
      </c>
      <c r="G20" t="inlineStr">
        <is>
          <t>BG002, BG004, BG005, BG006, BS001, BS002, BS004</t>
        </is>
      </c>
      <c r="H20" t="inlineStr">
        <is>
          <t>10 April 2003</t>
        </is>
      </c>
      <c r="I20" s="2" t="n">
        <v>46335</v>
      </c>
      <c r="J20" t="inlineStr">
        <is>
          <t>Disetujui</t>
        </is>
      </c>
      <c r="K20" t="n">
        <v>60</v>
      </c>
      <c r="L20" t="inlineStr">
        <is>
          <t>9 November 2026</t>
        </is>
      </c>
      <c r="M20" t="inlineStr">
        <is>
          <t>Bangunan Sipil Jembatan, Jalan Layang, Fly Over, dan Underpass, Konstruksi Bangunan Sipil Jalan, Konstruksi Gedung Kesehatan, Konstruksi Gedung Pendidikan, Konstruksi Gedung Perbelanjaan, Konstruksi Gedung Perkantoran, Konstruksi Jaringan Irigasi dan Drainase</t>
        </is>
      </c>
      <c r="N20" t="inlineStr">
        <is>
          <t>K</t>
        </is>
      </c>
      <c r="O20" t="inlineStr">
        <is>
          <t>20231110, 20231113</t>
        </is>
      </c>
      <c r="P20" t="inlineStr">
        <is>
          <t>Sumatera Barat</t>
        </is>
      </c>
      <c r="Q20" t="inlineStr"/>
    </row>
    <row r="21">
      <c r="A21" t="inlineStr">
        <is>
          <t>ALAMI INTER MEDIA</t>
        </is>
      </c>
      <c r="B21" t="inlineStr">
        <is>
          <t>Kota Bandung</t>
        </is>
      </c>
      <c r="C21" t="inlineStr">
        <is>
          <t>08112004414</t>
        </is>
      </c>
      <c r="D21" t="inlineStr">
        <is>
          <t>aim.contact@alami-group.com</t>
        </is>
      </c>
      <c r="E21" t="inlineStr">
        <is>
          <t>https://lpjk.pu.go.id/search-badan-usaha-detail/UmhqMmw0UnNMcWsrcWh6UjdrQTA4UT09</t>
        </is>
      </c>
      <c r="F21" t="n">
        <v>6</v>
      </c>
      <c r="G21" t="inlineStr">
        <is>
          <t>AL002, AL004, AR001</t>
        </is>
      </c>
      <c r="H21" t="inlineStr">
        <is>
          <t>22 Agustus 2008</t>
        </is>
      </c>
      <c r="I21" s="2" t="n">
        <v>46335</v>
      </c>
      <c r="J21" t="inlineStr">
        <is>
          <t>Disetujui</t>
        </is>
      </c>
      <c r="K21" t="n">
        <v>60</v>
      </c>
      <c r="L21" t="inlineStr">
        <is>
          <t>9 November 2026</t>
        </is>
      </c>
      <c r="M21" t="inlineStr">
        <is>
          <t>Jasa Arsitektural Bangunan Gedung Hunian dan Non Hunian, Jasa Pengembangan Lingkungan Bangunan dan Lanskap, Jasa Pengembangan Wilayah</t>
        </is>
      </c>
      <c r="N21" t="inlineStr">
        <is>
          <t>K</t>
        </is>
      </c>
      <c r="O21" t="inlineStr">
        <is>
          <t>20231031</t>
        </is>
      </c>
      <c r="P21" t="inlineStr">
        <is>
          <t>Jawa Barat</t>
        </is>
      </c>
      <c r="Q21" t="inlineStr"/>
    </row>
    <row r="22">
      <c r="A22" t="inlineStr">
        <is>
          <t>AMANDA PERDANA</t>
        </is>
      </c>
      <c r="B22" t="inlineStr">
        <is>
          <t>Kota Makassar</t>
        </is>
      </c>
      <c r="C22" t="inlineStr">
        <is>
          <t>081355213822</t>
        </is>
      </c>
      <c r="D22" t="inlineStr">
        <is>
          <t>amandaperdana035@gmail.com</t>
        </is>
      </c>
      <c r="E22" t="inlineStr">
        <is>
          <t>https://lpjk.pu.go.id/search-badan-usaha-detail/U0tMVFZUNE1QN3pNWGhDanpycTlkQT09</t>
        </is>
      </c>
      <c r="F22" t="n">
        <v>2</v>
      </c>
      <c r="G22" t="inlineStr">
        <is>
          <t>BS001</t>
        </is>
      </c>
      <c r="H22" t="inlineStr">
        <is>
          <t>15 Juni 2004</t>
        </is>
      </c>
      <c r="I22" s="2" t="n">
        <v>46335</v>
      </c>
      <c r="J22" t="inlineStr">
        <is>
          <t>Disetujui</t>
        </is>
      </c>
      <c r="K22" t="n">
        <v>60</v>
      </c>
      <c r="L22" t="inlineStr">
        <is>
          <t>9 November 2026</t>
        </is>
      </c>
      <c r="M22" t="inlineStr">
        <is>
          <t>Konstruksi Bangunan Sipil Jalan</t>
        </is>
      </c>
      <c r="N22" t="inlineStr">
        <is>
          <t>K</t>
        </is>
      </c>
      <c r="O22" t="inlineStr">
        <is>
          <t>20231012</t>
        </is>
      </c>
      <c r="P22" t="inlineStr">
        <is>
          <t>Sulawesi Selatan</t>
        </is>
      </c>
      <c r="Q22" t="inlineStr"/>
    </row>
    <row r="23">
      <c r="A23" t="inlineStr">
        <is>
          <t>ANGKASA BERSAMA</t>
        </is>
      </c>
      <c r="B23" t="inlineStr">
        <is>
          <t>Kab. Karo</t>
        </is>
      </c>
      <c r="C23" t="inlineStr">
        <is>
          <t>081396869919</t>
        </is>
      </c>
      <c r="D23" t="inlineStr">
        <is>
          <t>angkasabersamacv@gmail.com</t>
        </is>
      </c>
      <c r="E23" t="inlineStr">
        <is>
          <t>https://lpjk.pu.go.id/search-badan-usaha-detail/Y2pDRHFua0tRYlgvaTZpdDE3SGpBdz09</t>
        </is>
      </c>
      <c r="F23" t="n">
        <v>8</v>
      </c>
      <c r="G23" t="inlineStr">
        <is>
          <t>BG006, BG009, BS001, BS004</t>
        </is>
      </c>
      <c r="H23" t="inlineStr">
        <is>
          <t>15 November 1985</t>
        </is>
      </c>
      <c r="I23" s="2" t="n">
        <v>46335</v>
      </c>
      <c r="J23" t="inlineStr">
        <is>
          <t>Disetujui</t>
        </is>
      </c>
      <c r="K23" t="n">
        <v>60</v>
      </c>
      <c r="L23" t="inlineStr">
        <is>
          <t>9 November 2026</t>
        </is>
      </c>
      <c r="M23" t="inlineStr">
        <is>
          <t>Konstruksi Bangunan Sipil Jalan, Konstruksi Gedung Lainnya, Konstruksi Gedung Pendidikan, Konstruksi Jaringan Irigasi dan Drainase</t>
        </is>
      </c>
      <c r="N23" t="inlineStr">
        <is>
          <t>K</t>
        </is>
      </c>
      <c r="O23" t="inlineStr">
        <is>
          <t>20231107</t>
        </is>
      </c>
      <c r="P23" t="inlineStr">
        <is>
          <t>Sumatera Utara</t>
        </is>
      </c>
      <c r="Q23" t="inlineStr"/>
    </row>
    <row r="24">
      <c r="A24" t="inlineStr">
        <is>
          <t>ANUGERAH KEMILAU ABADI</t>
        </is>
      </c>
      <c r="B24" t="inlineStr">
        <is>
          <t>Kota Tangerang</t>
        </is>
      </c>
      <c r="C24" t="inlineStr">
        <is>
          <t>02155722499</t>
        </is>
      </c>
      <c r="D24" t="inlineStr">
        <is>
          <t>info.anugerahkemilauabadi@gmail.com</t>
        </is>
      </c>
      <c r="E24" t="inlineStr">
        <is>
          <t>https://lpjk.pu.go.id/search-badan-usaha-detail/SGNkaTFZeS9uSUJzUkhHdGh2SmhEUT09</t>
        </is>
      </c>
      <c r="F24" t="n">
        <v>2</v>
      </c>
      <c r="G24" t="inlineStr">
        <is>
          <t>BS001, BS010</t>
        </is>
      </c>
      <c r="H24" t="inlineStr">
        <is>
          <t>19 September 2019</t>
        </is>
      </c>
      <c r="I24" s="2" t="n">
        <v>46335</v>
      </c>
      <c r="J24" t="inlineStr">
        <is>
          <t>Disetujui</t>
        </is>
      </c>
      <c r="K24" t="n">
        <v>60</v>
      </c>
      <c r="L24" t="inlineStr">
        <is>
          <t>9 November 2026</t>
        </is>
      </c>
      <c r="M24" t="inlineStr">
        <is>
          <t>Konstruksi Bangunan Prasarana Sumber Daya Air, Konstruksi Bangunan Sipil Jalan</t>
        </is>
      </c>
      <c r="N24" t="inlineStr">
        <is>
          <t>K</t>
        </is>
      </c>
      <c r="O24" t="inlineStr">
        <is>
          <t>20231109</t>
        </is>
      </c>
      <c r="P24" t="inlineStr">
        <is>
          <t>Banten</t>
        </is>
      </c>
      <c r="Q24" t="inlineStr"/>
    </row>
    <row r="25">
      <c r="A25" t="inlineStr">
        <is>
          <t>ARKINDO</t>
        </is>
      </c>
      <c r="B25" t="inlineStr">
        <is>
          <t>Kota Bandung</t>
        </is>
      </c>
      <c r="C25" t="inlineStr">
        <is>
          <t>02287304460</t>
        </is>
      </c>
      <c r="D25" t="inlineStr">
        <is>
          <t>pt.arkindo@gmail.com</t>
        </is>
      </c>
      <c r="E25" t="inlineStr">
        <is>
          <t>https://lpjk.pu.go.id/search-badan-usaha-detail/RGwvZFkvQzdGT2Y4elZmS1NUOGpydz09</t>
        </is>
      </c>
      <c r="F25" t="n">
        <v>1</v>
      </c>
      <c r="G25" t="inlineStr">
        <is>
          <t>BS001</t>
        </is>
      </c>
      <c r="H25" t="inlineStr">
        <is>
          <t>29 Mei 1980</t>
        </is>
      </c>
      <c r="I25" s="2" t="n">
        <v>46335</v>
      </c>
      <c r="J25" t="inlineStr">
        <is>
          <t>Pencabutan</t>
        </is>
      </c>
      <c r="K25" t="n">
        <v>60</v>
      </c>
      <c r="L25" t="inlineStr">
        <is>
          <t>9 November 2026</t>
        </is>
      </c>
      <c r="M25" t="inlineStr">
        <is>
          <t>Konstruksi Bangunan Sipil Jalan</t>
        </is>
      </c>
      <c r="N25" t="inlineStr">
        <is>
          <t>B</t>
        </is>
      </c>
      <c r="O25" t="inlineStr">
        <is>
          <t>20231109</t>
        </is>
      </c>
      <c r="P25" t="inlineStr">
        <is>
          <t>Jawa Barat</t>
        </is>
      </c>
      <c r="Q25" t="inlineStr"/>
    </row>
    <row r="26">
      <c r="A26" t="inlineStr">
        <is>
          <t>AULIYAH SASMITA</t>
        </is>
      </c>
      <c r="B26" t="inlineStr">
        <is>
          <t>Kota Pasuruan</t>
        </is>
      </c>
      <c r="C26" t="inlineStr">
        <is>
          <t>+6282311109687</t>
        </is>
      </c>
      <c r="D26" t="inlineStr">
        <is>
          <t>auliyahsasmita@gmail.com</t>
        </is>
      </c>
      <c r="E26" t="inlineStr">
        <is>
          <t>https://lpjk.pu.go.id/search-badan-usaha-detail/b3B2NUNPbW96ZExKbFBHS29rbWVVUT09</t>
        </is>
      </c>
      <c r="F26" t="n">
        <v>2</v>
      </c>
      <c r="G26" t="inlineStr">
        <is>
          <t>BG006, BS005</t>
        </is>
      </c>
      <c r="H26" t="inlineStr">
        <is>
          <t>12 April 2022</t>
        </is>
      </c>
      <c r="I26" s="2" t="n">
        <v>46335</v>
      </c>
      <c r="J26" t="inlineStr">
        <is>
          <t>Pencabutan</t>
        </is>
      </c>
      <c r="K26" t="n">
        <v>60</v>
      </c>
      <c r="L26" t="inlineStr">
        <is>
          <t>9 November 2026</t>
        </is>
      </c>
      <c r="M26" t="inlineStr">
        <is>
          <t>Konstruksi Bangunan Sipil Pengolahan Air Bersih, Konstruksi Gedung Pendidikan</t>
        </is>
      </c>
      <c r="N26" t="inlineStr">
        <is>
          <t>K</t>
        </is>
      </c>
      <c r="O26" t="inlineStr">
        <is>
          <t>20231103, 20231110</t>
        </is>
      </c>
      <c r="P26" t="inlineStr">
        <is>
          <t>Jawa Timur</t>
        </is>
      </c>
      <c r="Q26" t="inlineStr"/>
    </row>
    <row r="27">
      <c r="A27" t="inlineStr">
        <is>
          <t>BARUNA PRASETYA JAYA</t>
        </is>
      </c>
      <c r="B27" t="inlineStr">
        <is>
          <t>Kab. Tuban</t>
        </is>
      </c>
      <c r="C27" t="inlineStr">
        <is>
          <t>081331059689</t>
        </is>
      </c>
      <c r="D27" t="inlineStr">
        <is>
          <t>barunaprasetyajaya@gmail.com</t>
        </is>
      </c>
      <c r="E27" t="inlineStr">
        <is>
          <t>https://lpjk.pu.go.id/search-badan-usaha-detail/cThVNEZCR0hxc2hzZGN6WXpQTks0QT09</t>
        </is>
      </c>
      <c r="F27" t="n">
        <v>1</v>
      </c>
      <c r="G27" t="inlineStr">
        <is>
          <t>BG009</t>
        </is>
      </c>
      <c r="H27" t="inlineStr">
        <is>
          <t>1 November 2023</t>
        </is>
      </c>
      <c r="I27" s="2" t="n">
        <v>46335</v>
      </c>
      <c r="J27" t="inlineStr">
        <is>
          <t>Pencabutan</t>
        </is>
      </c>
      <c r="K27" t="n">
        <v>60</v>
      </c>
      <c r="L27" t="inlineStr">
        <is>
          <t>9 November 2026</t>
        </is>
      </c>
      <c r="M27" t="inlineStr">
        <is>
          <t>Konstruksi Gedung Lainnya</t>
        </is>
      </c>
      <c r="N27" t="inlineStr">
        <is>
          <t>K</t>
        </is>
      </c>
      <c r="O27" t="inlineStr">
        <is>
          <t>20231109</t>
        </is>
      </c>
      <c r="P27" t="inlineStr">
        <is>
          <t>Jawa Timur</t>
        </is>
      </c>
      <c r="Q27" t="inlineStr"/>
    </row>
    <row r="28">
      <c r="A28" t="inlineStr">
        <is>
          <t>BERKAH JAYA AGUNG</t>
        </is>
      </c>
      <c r="B28" t="inlineStr">
        <is>
          <t>Kab. Banyuwangi</t>
        </is>
      </c>
      <c r="C28" t="inlineStr">
        <is>
          <t>081357021274</t>
        </is>
      </c>
      <c r="D28" t="inlineStr">
        <is>
          <t>cvberkahjayaagung1@gmail.com</t>
        </is>
      </c>
      <c r="E28" t="inlineStr">
        <is>
          <t>https://lpjk.pu.go.id/search-badan-usaha-detail/ZDR3V3A4YTV5SkErSS9nN09RWWNyUT09</t>
        </is>
      </c>
      <c r="F28" t="n">
        <v>8</v>
      </c>
      <c r="G28" t="inlineStr">
        <is>
          <t>BG005, BG006, BS001, BS004</t>
        </is>
      </c>
      <c r="H28" t="inlineStr">
        <is>
          <t>15 Oktober 2022</t>
        </is>
      </c>
      <c r="I28" s="2" t="n">
        <v>46335</v>
      </c>
      <c r="J28" t="inlineStr">
        <is>
          <t>Disetujui</t>
        </is>
      </c>
      <c r="K28" t="n">
        <v>60</v>
      </c>
      <c r="L28" t="inlineStr">
        <is>
          <t>9 November 2026</t>
        </is>
      </c>
      <c r="M28" t="inlineStr">
        <is>
          <t>Konstruksi Bangunan Sipil Jalan, Konstruksi Gedung Kesehatan, Konstruksi Gedung Pendidikan, Konstruksi Jaringan Irigasi dan Drainase</t>
        </is>
      </c>
      <c r="N28" t="inlineStr">
        <is>
          <t>K</t>
        </is>
      </c>
      <c r="O28" t="inlineStr">
        <is>
          <t>20231103</t>
        </is>
      </c>
      <c r="P28" t="inlineStr">
        <is>
          <t>Jawa Timur</t>
        </is>
      </c>
      <c r="Q28" t="inlineStr"/>
    </row>
    <row r="29">
      <c r="A29" t="inlineStr">
        <is>
          <t>BINA ASTRI</t>
        </is>
      </c>
      <c r="B29" t="inlineStr">
        <is>
          <t>Kota Serang</t>
        </is>
      </c>
      <c r="C29" t="inlineStr">
        <is>
          <t>087775557127</t>
        </is>
      </c>
      <c r="D29" t="inlineStr">
        <is>
          <t>binaastri@yahoo.com</t>
        </is>
      </c>
      <c r="E29" t="inlineStr">
        <is>
          <t>https://lpjk.pu.go.id/search-badan-usaha-detail/TW54Vm84K1UwUm9SQ0NrUklhcTNpdz09</t>
        </is>
      </c>
      <c r="F29" t="n">
        <v>3</v>
      </c>
      <c r="G29" t="inlineStr">
        <is>
          <t>BG009, BS001, BS004</t>
        </is>
      </c>
      <c r="H29" t="inlineStr">
        <is>
          <t>11 Mei 1992</t>
        </is>
      </c>
      <c r="I29" s="2" t="n">
        <v>46335</v>
      </c>
      <c r="J29" t="inlineStr">
        <is>
          <t>Disetujui</t>
        </is>
      </c>
      <c r="K29" t="n">
        <v>60</v>
      </c>
      <c r="L29" t="inlineStr">
        <is>
          <t>9 November 2026</t>
        </is>
      </c>
      <c r="M29" t="inlineStr">
        <is>
          <t>Konstruksi Bangunan Sipil Jalan, Konstruksi Gedung Lainnya, Konstruksi Jaringan Irigasi dan Drainase</t>
        </is>
      </c>
      <c r="N29" t="inlineStr">
        <is>
          <t>K</t>
        </is>
      </c>
      <c r="O29" t="inlineStr">
        <is>
          <t>20231026, 20231103</t>
        </is>
      </c>
      <c r="P29" t="inlineStr">
        <is>
          <t>Banten</t>
        </is>
      </c>
      <c r="Q29" t="inlineStr"/>
    </row>
    <row r="30">
      <c r="A30" t="inlineStr">
        <is>
          <t>BINTANG MAS</t>
        </is>
      </c>
      <c r="B30" t="inlineStr">
        <is>
          <t>Kab. Majene</t>
        </is>
      </c>
      <c r="C30" t="inlineStr">
        <is>
          <t>0</t>
        </is>
      </c>
      <c r="D30" t="inlineStr">
        <is>
          <t>cvbintangmasmajene@yahoo.com</t>
        </is>
      </c>
      <c r="E30" t="inlineStr">
        <is>
          <t>https://lpjk.pu.go.id/search-badan-usaha-detail/a29zRG9WRlRDck5TeXl4U1gxa3kzQT09</t>
        </is>
      </c>
      <c r="F30" t="n">
        <v>2</v>
      </c>
      <c r="G30" t="inlineStr">
        <is>
          <t>BG006</t>
        </is>
      </c>
      <c r="H30" t="inlineStr">
        <is>
          <t>18 September 2000</t>
        </is>
      </c>
      <c r="I30" s="2" t="n">
        <v>46335</v>
      </c>
      <c r="J30" t="inlineStr">
        <is>
          <t>Disetujui</t>
        </is>
      </c>
      <c r="K30" t="n">
        <v>60</v>
      </c>
      <c r="L30" t="inlineStr">
        <is>
          <t>9 November 2026</t>
        </is>
      </c>
      <c r="M30" t="inlineStr">
        <is>
          <t>Konstruksi Gedung Pendidikan</t>
        </is>
      </c>
      <c r="N30" t="inlineStr">
        <is>
          <t>K</t>
        </is>
      </c>
      <c r="O30" t="inlineStr">
        <is>
          <t>20231109</t>
        </is>
      </c>
      <c r="P30" t="inlineStr">
        <is>
          <t>Sulawesi Barat</t>
        </is>
      </c>
      <c r="Q30" t="inlineStr"/>
    </row>
    <row r="31">
      <c r="A31" t="inlineStr">
        <is>
          <t>BINTANG PERMAI</t>
        </is>
      </c>
      <c r="B31" t="inlineStr">
        <is>
          <t>Kota Pontianak</t>
        </is>
      </c>
      <c r="C31" t="inlineStr">
        <is>
          <t>083143876144</t>
        </is>
      </c>
      <c r="D31" t="inlineStr">
        <is>
          <t>cvbintangpermai2021@gmail.com</t>
        </is>
      </c>
      <c r="E31" t="inlineStr">
        <is>
          <t>https://lpjk.pu.go.id/search-badan-usaha-detail/V1QzQ2Z4bUl1RnBZQ3lPbjZERmVxQT09</t>
        </is>
      </c>
      <c r="F31" t="n">
        <v>4</v>
      </c>
      <c r="G31" t="inlineStr">
        <is>
          <t>BS001, BS004</t>
        </is>
      </c>
      <c r="H31" t="inlineStr">
        <is>
          <t>16 April 2021</t>
        </is>
      </c>
      <c r="I31" s="2" t="n">
        <v>46335</v>
      </c>
      <c r="J31" t="inlineStr">
        <is>
          <t>Disetujui</t>
        </is>
      </c>
      <c r="K31" t="n">
        <v>60</v>
      </c>
      <c r="L31" t="inlineStr">
        <is>
          <t>9 November 2026</t>
        </is>
      </c>
      <c r="M31" t="inlineStr">
        <is>
          <t>Konstruksi Bangunan Sipil Jalan, Konstruksi Jaringan Irigasi dan Drainase</t>
        </is>
      </c>
      <c r="N31" t="inlineStr">
        <is>
          <t>K</t>
        </is>
      </c>
      <c r="O31" t="inlineStr">
        <is>
          <t>20231013</t>
        </is>
      </c>
      <c r="P31" t="inlineStr">
        <is>
          <t>Kalimantan Barat</t>
        </is>
      </c>
      <c r="Q31" t="inlineStr"/>
    </row>
    <row r="32">
      <c r="A32" t="inlineStr">
        <is>
          <t>BINTANG PUMA JAYA</t>
        </is>
      </c>
      <c r="B32" t="inlineStr">
        <is>
          <t>Kab. Tulang Bawang Barat</t>
        </is>
      </c>
      <c r="C32" t="inlineStr">
        <is>
          <t>081271763683</t>
        </is>
      </c>
      <c r="D32" t="inlineStr">
        <is>
          <t>cvbintangpumajaya@gmail.com</t>
        </is>
      </c>
      <c r="E32" t="inlineStr">
        <is>
          <t>https://lpjk.pu.go.id/search-badan-usaha-detail/RG5VQ0RpNFdlVHkzanNuTjhrY01qdz09</t>
        </is>
      </c>
      <c r="F32" t="n">
        <v>4</v>
      </c>
      <c r="G32" t="inlineStr">
        <is>
          <t>BG002, BS004</t>
        </is>
      </c>
      <c r="H32" t="inlineStr">
        <is>
          <t>15 September 2023</t>
        </is>
      </c>
      <c r="I32" s="2" t="n">
        <v>46335</v>
      </c>
      <c r="J32" t="inlineStr">
        <is>
          <t>Disetujui</t>
        </is>
      </c>
      <c r="K32" t="n">
        <v>60</v>
      </c>
      <c r="L32" t="inlineStr">
        <is>
          <t>9 November 2026</t>
        </is>
      </c>
      <c r="M32" t="inlineStr">
        <is>
          <t>Konstruksi Gedung Perkantoran, Konstruksi Jaringan Irigasi dan Drainase</t>
        </is>
      </c>
      <c r="N32" t="inlineStr">
        <is>
          <t>K</t>
        </is>
      </c>
      <c r="O32" t="inlineStr">
        <is>
          <t>20231107</t>
        </is>
      </c>
      <c r="P32" t="inlineStr">
        <is>
          <t>Lampung</t>
        </is>
      </c>
      <c r="Q32" t="inlineStr"/>
    </row>
    <row r="33">
      <c r="A33" t="inlineStr">
        <is>
          <t>BRAHMA BJN</t>
        </is>
      </c>
      <c r="B33" t="inlineStr">
        <is>
          <t>Kab. Bojonegoro</t>
        </is>
      </c>
      <c r="C33" t="inlineStr">
        <is>
          <t>081331100456</t>
        </is>
      </c>
      <c r="D33" t="inlineStr">
        <is>
          <t>cvbrahmabjn@gmail.com</t>
        </is>
      </c>
      <c r="E33" t="inlineStr">
        <is>
          <t>https://lpjk.pu.go.id/search-badan-usaha-detail/TTJ6M2pSYnVPQ3NjejFyS0pneDJ2Zz09</t>
        </is>
      </c>
      <c r="F33" t="n">
        <v>2</v>
      </c>
      <c r="G33" t="inlineStr">
        <is>
          <t>BS001, BS004</t>
        </is>
      </c>
      <c r="H33" t="inlineStr">
        <is>
          <t>6 November 2023</t>
        </is>
      </c>
      <c r="I33" s="2" t="n">
        <v>46335</v>
      </c>
      <c r="J33" t="inlineStr">
        <is>
          <t>Disetujui</t>
        </is>
      </c>
      <c r="K33" t="n">
        <v>60</v>
      </c>
      <c r="L33" t="inlineStr">
        <is>
          <t>9 November 2026</t>
        </is>
      </c>
      <c r="M33" t="inlineStr">
        <is>
          <t>Konstruksi Bangunan Sipil Jalan, Konstruksi Jaringan Irigasi dan Drainase</t>
        </is>
      </c>
      <c r="N33" t="inlineStr">
        <is>
          <t>K</t>
        </is>
      </c>
      <c r="O33" t="inlineStr">
        <is>
          <t>20231109</t>
        </is>
      </c>
      <c r="P33" t="inlineStr">
        <is>
          <t>Jawa Timur</t>
        </is>
      </c>
      <c r="Q33" t="inlineStr"/>
    </row>
    <row r="34">
      <c r="A34" t="inlineStr">
        <is>
          <t>BUMI BERKAT</t>
        </is>
      </c>
      <c r="B34" t="inlineStr">
        <is>
          <t>Kab. Morowali Utara</t>
        </is>
      </c>
      <c r="C34" t="inlineStr">
        <is>
          <t>081354259990</t>
        </is>
      </c>
      <c r="D34" t="inlineStr">
        <is>
          <t>bumiberkat.7@gmail.com</t>
        </is>
      </c>
      <c r="E34" t="inlineStr">
        <is>
          <t>https://lpjk.pu.go.id/search-badan-usaha-detail/QlZLZ1lTV1JOWUx0WU5ZT2JRYm95Zz09</t>
        </is>
      </c>
      <c r="F34" t="n">
        <v>1</v>
      </c>
      <c r="G34" t="inlineStr">
        <is>
          <t>BS002</t>
        </is>
      </c>
      <c r="H34" t="inlineStr">
        <is>
          <t>16 Oktober 2015</t>
        </is>
      </c>
      <c r="I34" s="2" t="n">
        <v>46335</v>
      </c>
      <c r="J34" t="inlineStr">
        <is>
          <t>Pencabutan</t>
        </is>
      </c>
      <c r="K34" t="n">
        <v>60</v>
      </c>
      <c r="L34" t="inlineStr">
        <is>
          <t>9 November 2026</t>
        </is>
      </c>
      <c r="M34" t="inlineStr">
        <is>
          <t>Bangunan Sipil Jembatan, Jalan Layang, Fly Over, dan Underpass</t>
        </is>
      </c>
      <c r="N34" t="inlineStr">
        <is>
          <t>K</t>
        </is>
      </c>
      <c r="O34" t="inlineStr">
        <is>
          <t>20231110</t>
        </is>
      </c>
      <c r="P34" t="inlineStr">
        <is>
          <t>Sulawesi Tengah</t>
        </is>
      </c>
      <c r="Q34" t="inlineStr"/>
    </row>
    <row r="35">
      <c r="A35" t="inlineStr">
        <is>
          <t>CAHAYA TARIM</t>
        </is>
      </c>
      <c r="B35" t="inlineStr">
        <is>
          <t>Kab. Balangan</t>
        </is>
      </c>
      <c r="C35" t="inlineStr">
        <is>
          <t>081255589094</t>
        </is>
      </c>
      <c r="D35" t="inlineStr">
        <is>
          <t>cahayatarim88@gmail.com</t>
        </is>
      </c>
      <c r="E35" t="inlineStr">
        <is>
          <t>https://lpjk.pu.go.id/search-badan-usaha-detail/M2V6dUxCZmo1NmVnN1M4WmIxTElkQT09</t>
        </is>
      </c>
      <c r="F35" t="n">
        <v>5</v>
      </c>
      <c r="G35" t="inlineStr">
        <is>
          <t>BG009, BS001, BS002, BS004, BS010</t>
        </is>
      </c>
      <c r="H35" t="inlineStr">
        <is>
          <t>6 Mei 2010</t>
        </is>
      </c>
      <c r="I35" s="2" t="n">
        <v>46335</v>
      </c>
      <c r="J35" t="inlineStr">
        <is>
          <t>Disetujui, Pencabutan</t>
        </is>
      </c>
      <c r="K35" t="n">
        <v>60</v>
      </c>
      <c r="L35" t="inlineStr">
        <is>
          <t>9 November 2026</t>
        </is>
      </c>
      <c r="M35" t="inlineStr">
        <is>
          <t>Bangunan Sipil Jembatan, Jalan Layang, Fly Over, dan Underpass, Konstruksi Bangunan Prasarana Sumber Daya Air, Konstruksi Bangunan Sipil Jalan, Konstruksi Gedung Lainnya, Konstruksi Jaringan Irigasi dan Drainase</t>
        </is>
      </c>
      <c r="N35" t="inlineStr">
        <is>
          <t>K</t>
        </is>
      </c>
      <c r="O35" t="inlineStr">
        <is>
          <t>20231026, 20231107</t>
        </is>
      </c>
      <c r="P35" t="inlineStr">
        <is>
          <t>Kalimantan Selatan</t>
        </is>
      </c>
      <c r="Q35" t="inlineStr"/>
    </row>
    <row r="36">
      <c r="A36" t="inlineStr">
        <is>
          <t>CAHAYA TEKNIK PUTRA NUSANTARA</t>
        </is>
      </c>
      <c r="B36" t="inlineStr">
        <is>
          <t>Kab. Garut</t>
        </is>
      </c>
      <c r="C36" t="inlineStr">
        <is>
          <t>081214295653</t>
        </is>
      </c>
      <c r="D36" t="inlineStr">
        <is>
          <t>sales@ctpn.co.id</t>
        </is>
      </c>
      <c r="E36" t="inlineStr">
        <is>
          <t>https://lpjk.pu.go.id/search-badan-usaha-detail/bHA3RDh1ODZDZktpMTEyNXJ0N0RzUT09</t>
        </is>
      </c>
      <c r="F36" t="n">
        <v>1</v>
      </c>
      <c r="G36" t="inlineStr">
        <is>
          <t>BG009</t>
        </is>
      </c>
      <c r="H36" t="inlineStr">
        <is>
          <t>23 November 2016</t>
        </is>
      </c>
      <c r="I36" s="2" t="n">
        <v>46335</v>
      </c>
      <c r="J36" t="inlineStr">
        <is>
          <t>Pencabutan</t>
        </is>
      </c>
      <c r="K36" t="n">
        <v>60</v>
      </c>
      <c r="L36" t="inlineStr">
        <is>
          <t>9 November 2026</t>
        </is>
      </c>
      <c r="M36" t="inlineStr">
        <is>
          <t>Konstruksi Gedung Lainnya</t>
        </is>
      </c>
      <c r="N36" t="inlineStr">
        <is>
          <t>M</t>
        </is>
      </c>
      <c r="O36" t="inlineStr">
        <is>
          <t>20231107</t>
        </is>
      </c>
      <c r="P36" t="inlineStr">
        <is>
          <t>Jawa Barat</t>
        </is>
      </c>
      <c r="Q36" t="inlineStr"/>
    </row>
    <row r="37">
      <c r="A37" t="inlineStr">
        <is>
          <t>CEMPAKA JAYANINDO</t>
        </is>
      </c>
      <c r="B37" t="inlineStr">
        <is>
          <t>Kota Adm. Jakarta Selatan</t>
        </is>
      </c>
      <c r="C37" t="inlineStr">
        <is>
          <t>02183786076</t>
        </is>
      </c>
      <c r="D37" t="inlineStr">
        <is>
          <t>cempaka_jayanindo@hotmail.com</t>
        </is>
      </c>
      <c r="E37" t="inlineStr">
        <is>
          <t>https://lpjk.pu.go.id/search-badan-usaha-detail/SjQ5WnphRzdhM1VBSGJXL3pYMjBOQT09</t>
        </is>
      </c>
      <c r="F37" t="n">
        <v>1</v>
      </c>
      <c r="G37" t="inlineStr">
        <is>
          <t>BS001</t>
        </is>
      </c>
      <c r="H37" t="inlineStr">
        <is>
          <t>23 Januari 2006</t>
        </is>
      </c>
      <c r="I37" s="2" t="n">
        <v>46335</v>
      </c>
      <c r="J37" t="inlineStr">
        <is>
          <t>Disetujui</t>
        </is>
      </c>
      <c r="K37" t="n">
        <v>60</v>
      </c>
      <c r="L37" t="inlineStr">
        <is>
          <t>9 November 2026</t>
        </is>
      </c>
      <c r="M37" t="inlineStr">
        <is>
          <t>Konstruksi Bangunan Sipil Jalan</t>
        </is>
      </c>
      <c r="N37" t="inlineStr">
        <is>
          <t>K</t>
        </is>
      </c>
      <c r="O37" t="inlineStr">
        <is>
          <t>20231025</t>
        </is>
      </c>
      <c r="P37" t="inlineStr">
        <is>
          <t>DKI Jakarta</t>
        </is>
      </c>
      <c r="Q37" t="inlineStr"/>
    </row>
    <row r="38">
      <c r="A38" t="inlineStr">
        <is>
          <t>CHANDRA MITRA STRUKTURINDO</t>
        </is>
      </c>
      <c r="B38" t="inlineStr">
        <is>
          <t>Kota Adm. Jakarta Utara</t>
        </is>
      </c>
      <c r="C38" t="inlineStr">
        <is>
          <t>08158788859</t>
        </is>
      </c>
      <c r="D38" t="inlineStr">
        <is>
          <t>chandra.mitra.strukturindo@gmail.com</t>
        </is>
      </c>
      <c r="E38" t="inlineStr">
        <is>
          <t>https://lpjk.pu.go.id/search-badan-usaha-detail/T0JaUU1ENHVjQVpudjluRXhYd3dvQT09</t>
        </is>
      </c>
      <c r="F38" t="n">
        <v>1</v>
      </c>
      <c r="G38" t="inlineStr">
        <is>
          <t>BG008</t>
        </is>
      </c>
      <c r="H38" t="inlineStr">
        <is>
          <t>23 Februari 2022</t>
        </is>
      </c>
      <c r="I38" s="2" t="n">
        <v>46335</v>
      </c>
      <c r="J38" t="inlineStr">
        <is>
          <t>Disetujui</t>
        </is>
      </c>
      <c r="K38" t="n">
        <v>60</v>
      </c>
      <c r="L38" t="inlineStr">
        <is>
          <t>9 November 2026</t>
        </is>
      </c>
      <c r="M38" t="inlineStr">
        <is>
          <t>Konstruksi Gedung Tempat Hiburan dan Olahraga</t>
        </is>
      </c>
      <c r="N38" t="inlineStr">
        <is>
          <t>K</t>
        </is>
      </c>
      <c r="O38" t="inlineStr">
        <is>
          <t>20231107</t>
        </is>
      </c>
      <c r="P38" t="inlineStr">
        <is>
          <t>DKI Jakarta</t>
        </is>
      </c>
      <c r="Q38" t="inlineStr"/>
    </row>
    <row r="39">
      <c r="A39" t="inlineStr">
        <is>
          <t>CIPTA ADI GRAHA</t>
        </is>
      </c>
      <c r="B39" t="inlineStr">
        <is>
          <t>Kota Pekanbaru</t>
        </is>
      </c>
      <c r="C39" t="inlineStr">
        <is>
          <t>081378754298</t>
        </is>
      </c>
      <c r="D39" t="inlineStr">
        <is>
          <t>ciptadigrha@yahoo.co.id</t>
        </is>
      </c>
      <c r="E39" t="inlineStr">
        <is>
          <t>https://lpjk.pu.go.id/search-badan-usaha-detail/WnI1ejJqTnBlNFhvbXZ4aE9pOXZHdz09</t>
        </is>
      </c>
      <c r="F39" t="n">
        <v>2</v>
      </c>
      <c r="G39" t="inlineStr">
        <is>
          <t>BS001</t>
        </is>
      </c>
      <c r="H39" t="inlineStr">
        <is>
          <t>24 Juni 2013</t>
        </is>
      </c>
      <c r="I39" s="2" t="n">
        <v>46335</v>
      </c>
      <c r="J39" t="inlineStr">
        <is>
          <t>Pencabutan</t>
        </is>
      </c>
      <c r="K39" t="n">
        <v>60</v>
      </c>
      <c r="L39" t="inlineStr">
        <is>
          <t>9 November 2026</t>
        </is>
      </c>
      <c r="M39" t="inlineStr">
        <is>
          <t>Konstruksi Bangunan Sipil Jalan</t>
        </is>
      </c>
      <c r="N39" t="inlineStr">
        <is>
          <t>K</t>
        </is>
      </c>
      <c r="O39" t="inlineStr">
        <is>
          <t>20231110</t>
        </is>
      </c>
      <c r="P39" t="inlineStr">
        <is>
          <t>Riau</t>
        </is>
      </c>
      <c r="Q39" t="inlineStr"/>
    </row>
    <row r="40">
      <c r="A40" t="inlineStr">
        <is>
          <t>CITRA PUTERA LATERANG</t>
        </is>
      </c>
      <c r="B40" t="inlineStr">
        <is>
          <t>Kota Makassar</t>
        </is>
      </c>
      <c r="C40" t="inlineStr">
        <is>
          <t>0811419156</t>
        </is>
      </c>
      <c r="D40" t="inlineStr">
        <is>
          <t>laterang@yahoo.co.id</t>
        </is>
      </c>
      <c r="E40" t="inlineStr">
        <is>
          <t>https://lpjk.pu.go.id/search-badan-usaha-detail/VHlQR3hpbUR5c2Y3V2RNMUtXQXFFUT09</t>
        </is>
      </c>
      <c r="F40" t="n">
        <v>2</v>
      </c>
      <c r="G40" t="inlineStr">
        <is>
          <t>BG004, BS004</t>
        </is>
      </c>
      <c r="H40" t="inlineStr">
        <is>
          <t>22 Mei 1999</t>
        </is>
      </c>
      <c r="I40" s="2" t="n">
        <v>46335</v>
      </c>
      <c r="J40" t="inlineStr">
        <is>
          <t>Pembekuan, Pencabutan</t>
        </is>
      </c>
      <c r="K40" t="n">
        <v>60</v>
      </c>
      <c r="L40" t="inlineStr">
        <is>
          <t>9 November 2026</t>
        </is>
      </c>
      <c r="M40" t="inlineStr">
        <is>
          <t>Konstruksi Gedung Perbelanjaan, Konstruksi Jaringan Irigasi dan Drainase</t>
        </is>
      </c>
      <c r="N40" t="inlineStr">
        <is>
          <t>M</t>
        </is>
      </c>
      <c r="O40" t="inlineStr">
        <is>
          <t>20231018</t>
        </is>
      </c>
      <c r="P40" t="inlineStr">
        <is>
          <t>Sulawesi Selatan</t>
        </is>
      </c>
      <c r="Q40" t="inlineStr"/>
    </row>
    <row r="41">
      <c r="A41" t="inlineStr">
        <is>
          <t>DUTA CAHAYA DESIGN</t>
        </is>
      </c>
      <c r="B41" t="inlineStr">
        <is>
          <t>Kab. Blora</t>
        </is>
      </c>
      <c r="C41" t="inlineStr">
        <is>
          <t>085145718253</t>
        </is>
      </c>
      <c r="D41" t="inlineStr">
        <is>
          <t>dutacahayadesign117@gmail.com</t>
        </is>
      </c>
      <c r="E41" t="inlineStr">
        <is>
          <t>https://lpjk.pu.go.id/search-badan-usaha-detail/RXJZRTdmV2UzS0RLVFR4UXdKTlNLZz09</t>
        </is>
      </c>
      <c r="F41" t="n">
        <v>1</v>
      </c>
      <c r="G41" t="inlineStr">
        <is>
          <t>RK002</t>
        </is>
      </c>
      <c r="H41" t="inlineStr">
        <is>
          <t>30 Maret 2020</t>
        </is>
      </c>
      <c r="I41" s="2" t="n">
        <v>46335</v>
      </c>
      <c r="J41" t="inlineStr">
        <is>
          <t>Disetujui</t>
        </is>
      </c>
      <c r="K41" t="n">
        <v>60</v>
      </c>
      <c r="L41" t="inlineStr">
        <is>
          <t>9 November 2026</t>
        </is>
      </c>
      <c r="M41" t="inlineStr">
        <is>
          <t>Jasa Rekayasa Pekerjaan Teknik Sipil Sumber Daya Air</t>
        </is>
      </c>
      <c r="N41" t="inlineStr">
        <is>
          <t>K</t>
        </is>
      </c>
      <c r="O41" t="inlineStr">
        <is>
          <t>20231102</t>
        </is>
      </c>
      <c r="P41" t="inlineStr">
        <is>
          <t>Jawa Tengah</t>
        </is>
      </c>
      <c r="Q41" t="inlineStr"/>
    </row>
    <row r="42">
      <c r="A42" t="inlineStr">
        <is>
          <t>EMPAT SAUDARA</t>
        </is>
      </c>
      <c r="B42" t="inlineStr">
        <is>
          <t>Kab. Indramayu</t>
        </is>
      </c>
      <c r="C42" t="inlineStr">
        <is>
          <t>081312364443</t>
        </is>
      </c>
      <c r="D42" t="inlineStr">
        <is>
          <t>cvempatsaudara413@gmail.com</t>
        </is>
      </c>
      <c r="E42" t="inlineStr">
        <is>
          <t>https://lpjk.pu.go.id/search-badan-usaha-detail/dHNlZ2t2MmlVd0hKRGt0N3Z5bTZRZz09</t>
        </is>
      </c>
      <c r="F42" t="n">
        <v>3</v>
      </c>
      <c r="G42" t="inlineStr">
        <is>
          <t>BG005, BG006, BG009</t>
        </is>
      </c>
      <c r="H42" t="inlineStr">
        <is>
          <t>6 Desember 2001</t>
        </is>
      </c>
      <c r="I42" s="2" t="n">
        <v>46335</v>
      </c>
      <c r="J42" t="inlineStr">
        <is>
          <t>Disetujui</t>
        </is>
      </c>
      <c r="K42" t="n">
        <v>60</v>
      </c>
      <c r="L42" t="inlineStr">
        <is>
          <t>9 November 2026</t>
        </is>
      </c>
      <c r="M42" t="inlineStr">
        <is>
          <t>Konstruksi Gedung Kesehatan, Konstruksi Gedung Lainnya, Konstruksi Gedung Pendidikan</t>
        </is>
      </c>
      <c r="N42" t="inlineStr">
        <is>
          <t>K</t>
        </is>
      </c>
      <c r="O42" t="inlineStr">
        <is>
          <t>20231106</t>
        </is>
      </c>
      <c r="P42" t="inlineStr">
        <is>
          <t>Jawa Barat</t>
        </is>
      </c>
      <c r="Q42" t="inlineStr"/>
    </row>
    <row r="43">
      <c r="A43" t="inlineStr">
        <is>
          <t>ENAM SATU ENAM GEMILANG</t>
        </is>
      </c>
      <c r="B43" t="inlineStr">
        <is>
          <t>Kab. Tanah Bumbu</t>
        </is>
      </c>
      <c r="C43" t="inlineStr">
        <is>
          <t>082251863867</t>
        </is>
      </c>
      <c r="D43" t="inlineStr">
        <is>
          <t>cv616gemilang.btl@gmail.com</t>
        </is>
      </c>
      <c r="E43" t="inlineStr">
        <is>
          <t>https://lpjk.pu.go.id/search-badan-usaha-detail/OWJGc2lXZzZVR3hFaHRrOTc2L1NXUT09</t>
        </is>
      </c>
      <c r="F43" t="n">
        <v>1</v>
      </c>
      <c r="G43" t="inlineStr">
        <is>
          <t>BS001</t>
        </is>
      </c>
      <c r="H43" t="inlineStr">
        <is>
          <t>29 Oktober 2021</t>
        </is>
      </c>
      <c r="I43" s="2" t="n">
        <v>46335</v>
      </c>
      <c r="J43" t="inlineStr">
        <is>
          <t>Disetujui</t>
        </is>
      </c>
      <c r="K43" t="n">
        <v>60</v>
      </c>
      <c r="L43" t="inlineStr">
        <is>
          <t>9 November 2026</t>
        </is>
      </c>
      <c r="M43" t="inlineStr">
        <is>
          <t>Konstruksi Bangunan Sipil Jalan</t>
        </is>
      </c>
      <c r="N43" t="inlineStr">
        <is>
          <t>K</t>
        </is>
      </c>
      <c r="O43" t="inlineStr">
        <is>
          <t>20231110</t>
        </is>
      </c>
      <c r="P43" t="inlineStr">
        <is>
          <t>Kalimantan Selatan</t>
        </is>
      </c>
      <c r="Q43" t="inlineStr"/>
    </row>
    <row r="44">
      <c r="A44" t="inlineStr">
        <is>
          <t>FADHILLAH</t>
        </is>
      </c>
      <c r="B44" t="inlineStr">
        <is>
          <t>Kab. Sukabumi</t>
        </is>
      </c>
      <c r="C44" t="inlineStr">
        <is>
          <t>085885736897</t>
        </is>
      </c>
      <c r="D44" t="inlineStr">
        <is>
          <t>fadhillah123@gmail.com</t>
        </is>
      </c>
      <c r="E44" t="inlineStr">
        <is>
          <t>https://lpjk.pu.go.id/search-badan-usaha-detail/Zk9vQ3FwSEJ3V1BmZUp5a1V1MUJvZz09</t>
        </is>
      </c>
      <c r="F44" t="n">
        <v>3</v>
      </c>
      <c r="G44" t="inlineStr">
        <is>
          <t>BG009</t>
        </is>
      </c>
      <c r="H44" t="inlineStr">
        <is>
          <t>3 Juni 2010</t>
        </is>
      </c>
      <c r="I44" s="2" t="n">
        <v>46335</v>
      </c>
      <c r="J44" t="inlineStr">
        <is>
          <t>Disetujui</t>
        </is>
      </c>
      <c r="K44" t="n">
        <v>60</v>
      </c>
      <c r="L44" t="inlineStr">
        <is>
          <t>9 November 2026</t>
        </is>
      </c>
      <c r="M44" t="inlineStr">
        <is>
          <t>Konstruksi Gedung Lainnya</t>
        </is>
      </c>
      <c r="N44" t="inlineStr">
        <is>
          <t>K</t>
        </is>
      </c>
      <c r="O44" t="inlineStr">
        <is>
          <t>20231110</t>
        </is>
      </c>
      <c r="P44" t="inlineStr">
        <is>
          <t>Jawa Barat</t>
        </is>
      </c>
      <c r="Q44" t="inlineStr"/>
    </row>
    <row r="45">
      <c r="A45" t="inlineStr">
        <is>
          <t>FAJAR</t>
        </is>
      </c>
      <c r="B45" t="inlineStr">
        <is>
          <t>Kab. Semarang</t>
        </is>
      </c>
      <c r="C45" t="inlineStr">
        <is>
          <t>081329662524</t>
        </is>
      </c>
      <c r="D45" t="inlineStr">
        <is>
          <t>komedifj@yahoo.co.id</t>
        </is>
      </c>
      <c r="E45" t="inlineStr">
        <is>
          <t>https://lpjk.pu.go.id/search-badan-usaha-detail/cWhLUlBHL1pCdXNoMGtNMmpHc2I1QT09</t>
        </is>
      </c>
      <c r="F45" t="n">
        <v>4</v>
      </c>
      <c r="G45" t="inlineStr">
        <is>
          <t>BG009, BS001, BS004, BS005</t>
        </is>
      </c>
      <c r="H45" t="inlineStr">
        <is>
          <t>13 Agustus 1999</t>
        </is>
      </c>
      <c r="I45" s="2" t="n">
        <v>46335</v>
      </c>
      <c r="J45" t="inlineStr">
        <is>
          <t>Disetujui</t>
        </is>
      </c>
      <c r="K45" t="n">
        <v>60</v>
      </c>
      <c r="L45" t="inlineStr">
        <is>
          <t>9 November 2026</t>
        </is>
      </c>
      <c r="M45" t="inlineStr">
        <is>
          <t>Konstruksi Bangunan Sipil Jalan, Konstruksi Bangunan Sipil Pengolahan Air Bersih, Konstruksi Gedung Lainnya, Konstruksi Jaringan Irigasi dan Drainase</t>
        </is>
      </c>
      <c r="N45" t="inlineStr">
        <is>
          <t>K</t>
        </is>
      </c>
      <c r="O45" t="inlineStr">
        <is>
          <t>20231107</t>
        </is>
      </c>
      <c r="P45" t="inlineStr">
        <is>
          <t>Jawa Tengah</t>
        </is>
      </c>
      <c r="Q45" t="inlineStr"/>
    </row>
    <row r="46">
      <c r="A46" t="inlineStr">
        <is>
          <t>FAJAR MULIA</t>
        </is>
      </c>
      <c r="B46" t="inlineStr">
        <is>
          <t>Kab. Jombang</t>
        </is>
      </c>
      <c r="C46" t="inlineStr">
        <is>
          <t>085706800952</t>
        </is>
      </c>
      <c r="D46" t="inlineStr">
        <is>
          <t>cvfajarmulia007@gmail.com</t>
        </is>
      </c>
      <c r="E46" t="inlineStr">
        <is>
          <t>https://lpjk.pu.go.id/search-badan-usaha-detail/eTVOZ2dCVTJDUGR3YWxxSHNJbkduQT09</t>
        </is>
      </c>
      <c r="F46" t="n">
        <v>4</v>
      </c>
      <c r="G46" t="inlineStr">
        <is>
          <t>BG001, BG002, BG005, BG009</t>
        </is>
      </c>
      <c r="H46" t="inlineStr">
        <is>
          <t>19 April 2011</t>
        </is>
      </c>
      <c r="I46" s="2" t="n">
        <v>46335</v>
      </c>
      <c r="J46" t="inlineStr">
        <is>
          <t>Disetujui</t>
        </is>
      </c>
      <c r="K46" t="n">
        <v>60</v>
      </c>
      <c r="L46" t="inlineStr">
        <is>
          <t>9 November 2026</t>
        </is>
      </c>
      <c r="M46" t="inlineStr">
        <is>
          <t>Konstruksi Gedung Hunian, Konstruksi Gedung Kesehatan, Konstruksi Gedung Lainnya, Konstruksi Gedung Perkantoran</t>
        </is>
      </c>
      <c r="N46" t="inlineStr">
        <is>
          <t>K</t>
        </is>
      </c>
      <c r="O46" t="inlineStr">
        <is>
          <t>20231024, 20231027</t>
        </is>
      </c>
      <c r="P46" t="inlineStr">
        <is>
          <t>Jawa Timur</t>
        </is>
      </c>
      <c r="Q46" t="inlineStr"/>
    </row>
    <row r="47">
      <c r="A47" t="inlineStr">
        <is>
          <t>FAMILY KONTRAKTOR</t>
        </is>
      </c>
      <c r="B47" t="inlineStr">
        <is>
          <t>Kota Payakumbuh</t>
        </is>
      </c>
      <c r="C47" t="inlineStr">
        <is>
          <t>085263522300</t>
        </is>
      </c>
      <c r="D47" t="inlineStr">
        <is>
          <t>cv.familykontraktor@yahoo.com</t>
        </is>
      </c>
      <c r="E47" t="inlineStr">
        <is>
          <t>https://lpjk.pu.go.id/search-badan-usaha-detail/cTUxT3NpdEgzbmhkZnQwUU9BWFAzUT09</t>
        </is>
      </c>
      <c r="F47" t="n">
        <v>5</v>
      </c>
      <c r="G47" t="inlineStr">
        <is>
          <t>BG005, BG006, BG009, BS001, BS004</t>
        </is>
      </c>
      <c r="H47" t="inlineStr">
        <is>
          <t>18 April 2017</t>
        </is>
      </c>
      <c r="I47" s="2" t="n">
        <v>46335</v>
      </c>
      <c r="J47" t="inlineStr">
        <is>
          <t>Disetujui, Pencabutan</t>
        </is>
      </c>
      <c r="K47" t="n">
        <v>60</v>
      </c>
      <c r="L47" t="inlineStr">
        <is>
          <t>9 November 2026</t>
        </is>
      </c>
      <c r="M47" t="inlineStr">
        <is>
          <t>Konstruksi Bangunan Sipil Jalan, Konstruksi Gedung Kesehatan, Konstruksi Gedung Lainnya, Konstruksi Gedung Pendidikan, Konstruksi Jaringan Irigasi dan Drainase</t>
        </is>
      </c>
      <c r="N47" t="inlineStr">
        <is>
          <t>K</t>
        </is>
      </c>
      <c r="O47" t="inlineStr">
        <is>
          <t>20231110, 20231111</t>
        </is>
      </c>
      <c r="P47" t="inlineStr">
        <is>
          <t>Sumatera Barat</t>
        </is>
      </c>
      <c r="Q47" t="inlineStr"/>
    </row>
    <row r="48">
      <c r="A48" t="inlineStr">
        <is>
          <t>GAJAH BERSAUDARA</t>
        </is>
      </c>
      <c r="B48" t="inlineStr">
        <is>
          <t>Kab. Banyuwangi</t>
        </is>
      </c>
      <c r="C48" t="inlineStr">
        <is>
          <t>081913914998</t>
        </is>
      </c>
      <c r="D48" t="inlineStr">
        <is>
          <t>gajahbersama@gmail.com</t>
        </is>
      </c>
      <c r="E48" t="inlineStr">
        <is>
          <t>https://lpjk.pu.go.id/search-badan-usaha-detail/NXN4TUVrSEpHQUxvMlM2M1dWVlVqUT09</t>
        </is>
      </c>
      <c r="F48" t="n">
        <v>4</v>
      </c>
      <c r="G48" t="inlineStr">
        <is>
          <t>BG005, BG006, BG009, BS002</t>
        </is>
      </c>
      <c r="H48" t="inlineStr">
        <is>
          <t>4 Februari 2012</t>
        </is>
      </c>
      <c r="I48" s="2" t="n">
        <v>46335</v>
      </c>
      <c r="J48" t="inlineStr">
        <is>
          <t>Disetujui</t>
        </is>
      </c>
      <c r="K48" t="n">
        <v>60</v>
      </c>
      <c r="L48" t="inlineStr">
        <is>
          <t>9 November 2026</t>
        </is>
      </c>
      <c r="M48" t="inlineStr">
        <is>
          <t>Bangunan Sipil Jembatan, Jalan Layang, Fly Over, dan Underpass, Konstruksi Gedung Kesehatan, Konstruksi Gedung Lainnya, Konstruksi Gedung Pendidikan</t>
        </is>
      </c>
      <c r="N48" t="inlineStr">
        <is>
          <t>K</t>
        </is>
      </c>
      <c r="O48" t="inlineStr">
        <is>
          <t>20231106, 20231113</t>
        </is>
      </c>
      <c r="P48" t="inlineStr">
        <is>
          <t>Jawa Timur</t>
        </is>
      </c>
      <c r="Q48" t="inlineStr"/>
    </row>
    <row r="49">
      <c r="A49" t="inlineStr">
        <is>
          <t>GIENDA PUTRA</t>
        </is>
      </c>
      <c r="B49" t="inlineStr">
        <is>
          <t>Kab. Bandung</t>
        </is>
      </c>
      <c r="C49" t="inlineStr">
        <is>
          <t>02287823075</t>
        </is>
      </c>
      <c r="D49" t="inlineStr">
        <is>
          <t>pt.giendaputra@gmail.com</t>
        </is>
      </c>
      <c r="E49" t="inlineStr">
        <is>
          <t>https://lpjk.pu.go.id/search-badan-usaha-detail/UXQwRkNIQW9mYzVKcHVUUnpEWTRRZz09</t>
        </is>
      </c>
      <c r="F49" t="n">
        <v>1</v>
      </c>
      <c r="G49" t="inlineStr">
        <is>
          <t>BS001</t>
        </is>
      </c>
      <c r="H49" t="inlineStr">
        <is>
          <t>22 Mei 2010</t>
        </is>
      </c>
      <c r="I49" s="2" t="n">
        <v>46335</v>
      </c>
      <c r="J49" t="inlineStr">
        <is>
          <t>Pencabutan</t>
        </is>
      </c>
      <c r="K49" t="n">
        <v>60</v>
      </c>
      <c r="L49" t="inlineStr">
        <is>
          <t>9 November 2026</t>
        </is>
      </c>
      <c r="M49" t="inlineStr">
        <is>
          <t>Konstruksi Bangunan Sipil Jalan</t>
        </is>
      </c>
      <c r="N49" t="inlineStr">
        <is>
          <t>B</t>
        </is>
      </c>
      <c r="O49" t="inlineStr">
        <is>
          <t>20231102</t>
        </is>
      </c>
      <c r="P49" t="inlineStr">
        <is>
          <t>Jawa Barat</t>
        </is>
      </c>
      <c r="Q49" t="inlineStr"/>
    </row>
    <row r="50">
      <c r="A50" t="inlineStr">
        <is>
          <t>GITO BANGUN MANDIRI</t>
        </is>
      </c>
      <c r="B50" t="inlineStr">
        <is>
          <t>Kab. Karawang</t>
        </is>
      </c>
      <c r="C50" t="inlineStr">
        <is>
          <t>08211441864</t>
        </is>
      </c>
      <c r="D50" t="inlineStr">
        <is>
          <t>Gitobangunmandiri@gmail.com</t>
        </is>
      </c>
      <c r="E50" t="inlineStr">
        <is>
          <t>https://lpjk.pu.go.id/search-badan-usaha-detail/THBhcVVwL3Zac0Rpc00wWDBGUDIzdz09</t>
        </is>
      </c>
      <c r="F50" t="n">
        <v>1</v>
      </c>
      <c r="G50" t="inlineStr">
        <is>
          <t>BG003</t>
        </is>
      </c>
      <c r="H50" t="inlineStr">
        <is>
          <t>18 Agustus 2015</t>
        </is>
      </c>
      <c r="I50" s="2" t="n">
        <v>46335</v>
      </c>
      <c r="J50" t="inlineStr">
        <is>
          <t>Pencabutan</t>
        </is>
      </c>
      <c r="K50" t="n">
        <v>60</v>
      </c>
      <c r="L50" t="inlineStr">
        <is>
          <t>9 November 2026</t>
        </is>
      </c>
      <c r="M50" t="inlineStr">
        <is>
          <t>Konstruksi Gedung Industri</t>
        </is>
      </c>
      <c r="N50" t="inlineStr">
        <is>
          <t>K</t>
        </is>
      </c>
      <c r="O50" t="inlineStr">
        <is>
          <t>20231031</t>
        </is>
      </c>
      <c r="P50" t="inlineStr">
        <is>
          <t>Jawa Barat</t>
        </is>
      </c>
      <c r="Q50" t="inlineStr"/>
    </row>
    <row r="51">
      <c r="A51" t="inlineStr">
        <is>
          <t>GUNUNG SAHID</t>
        </is>
      </c>
      <c r="B51" t="inlineStr">
        <is>
          <t>Kota Adm. Jakarta Pusat</t>
        </is>
      </c>
      <c r="C51" t="inlineStr">
        <is>
          <t>02142882459</t>
        </is>
      </c>
      <c r="D51" t="inlineStr">
        <is>
          <t>gunungsahid@yahoo.co.id</t>
        </is>
      </c>
      <c r="E51" t="inlineStr">
        <is>
          <t>https://lpjk.pu.go.id/search-badan-usaha-detail/UjF6SUEyZHlDYUY1bUViajY2RHM3Zz09</t>
        </is>
      </c>
      <c r="F51" t="n">
        <v>1</v>
      </c>
      <c r="G51" t="inlineStr">
        <is>
          <t>BG001</t>
        </is>
      </c>
      <c r="H51" t="inlineStr">
        <is>
          <t>30 Januari 2003</t>
        </is>
      </c>
      <c r="I51" s="2" t="n">
        <v>46335</v>
      </c>
      <c r="J51" t="inlineStr">
        <is>
          <t>Disetujui</t>
        </is>
      </c>
      <c r="K51" t="n">
        <v>60</v>
      </c>
      <c r="L51" t="inlineStr">
        <is>
          <t>9 November 2026</t>
        </is>
      </c>
      <c r="M51" t="inlineStr">
        <is>
          <t>Konstruksi Gedung Hunian</t>
        </is>
      </c>
      <c r="N51" t="inlineStr">
        <is>
          <t>K</t>
        </is>
      </c>
      <c r="O51" t="inlineStr">
        <is>
          <t>20231106</t>
        </is>
      </c>
      <c r="P51" t="inlineStr">
        <is>
          <t>DKI Jakarta</t>
        </is>
      </c>
      <c r="Q51" t="inlineStr"/>
    </row>
    <row r="52">
      <c r="A52" t="inlineStr">
        <is>
          <t>HALIMAH BERKAH AMANAH</t>
        </is>
      </c>
      <c r="B52" t="inlineStr">
        <is>
          <t>Kota Pekanbaru</t>
        </is>
      </c>
      <c r="C52" t="inlineStr">
        <is>
          <t>085271244838</t>
        </is>
      </c>
      <c r="D52" t="inlineStr">
        <is>
          <t>halimahba23@gmail.com</t>
        </is>
      </c>
      <c r="E52" t="inlineStr">
        <is>
          <t>https://lpjk.pu.go.id/search-badan-usaha-detail/WW0yN3VRRVFhWGVObjBYdGR0RlAvQT09</t>
        </is>
      </c>
      <c r="F52" t="n">
        <v>3</v>
      </c>
      <c r="G52" t="inlineStr">
        <is>
          <t>BG006, BG009, BS001</t>
        </is>
      </c>
      <c r="H52" t="inlineStr">
        <is>
          <t>7 November 2023</t>
        </is>
      </c>
      <c r="I52" s="2" t="n">
        <v>46335</v>
      </c>
      <c r="J52" t="inlineStr">
        <is>
          <t>Disetujui</t>
        </is>
      </c>
      <c r="K52" t="n">
        <v>60</v>
      </c>
      <c r="L52" t="inlineStr">
        <is>
          <t>9 November 2026</t>
        </is>
      </c>
      <c r="M52" t="inlineStr">
        <is>
          <t>Konstruksi Bangunan Sipil Jalan, Konstruksi Gedung Lainnya, Konstruksi Gedung Pendidikan</t>
        </is>
      </c>
      <c r="N52" t="inlineStr">
        <is>
          <t>K</t>
        </is>
      </c>
      <c r="O52" t="inlineStr">
        <is>
          <t>20231103, 20231106</t>
        </is>
      </c>
      <c r="P52" t="inlineStr">
        <is>
          <t>Riau</t>
        </is>
      </c>
      <c r="Q52" t="inlineStr"/>
    </row>
    <row r="53">
      <c r="A53" t="inlineStr">
        <is>
          <t>HIKMAH ESHAN</t>
        </is>
      </c>
      <c r="B53" t="inlineStr">
        <is>
          <t>Kab. Subang</t>
        </is>
      </c>
      <c r="C53" t="inlineStr">
        <is>
          <t>081310102135</t>
        </is>
      </c>
      <c r="D53" t="inlineStr">
        <is>
          <t>hikmaheshan.cv@gmail.com</t>
        </is>
      </c>
      <c r="E53" t="inlineStr">
        <is>
          <t>https://lpjk.pu.go.id/search-badan-usaha-detail/NlpZR3FYRzQzTzVzUnRxS3JtU0dYQT09</t>
        </is>
      </c>
      <c r="F53" t="n">
        <v>1</v>
      </c>
      <c r="G53" t="inlineStr">
        <is>
          <t>BS004</t>
        </is>
      </c>
      <c r="H53" t="inlineStr">
        <is>
          <t>15 Oktober 2019</t>
        </is>
      </c>
      <c r="I53" s="2" t="n">
        <v>46335</v>
      </c>
      <c r="J53" t="inlineStr">
        <is>
          <t>Disetujui</t>
        </is>
      </c>
      <c r="K53" t="n">
        <v>60</v>
      </c>
      <c r="L53" t="inlineStr">
        <is>
          <t>9 November 2026</t>
        </is>
      </c>
      <c r="M53" t="inlineStr">
        <is>
          <t>Konstruksi Jaringan Irigasi dan Drainase</t>
        </is>
      </c>
      <c r="N53" t="inlineStr">
        <is>
          <t>K</t>
        </is>
      </c>
      <c r="O53" t="inlineStr">
        <is>
          <t>20231110</t>
        </is>
      </c>
      <c r="P53" t="inlineStr">
        <is>
          <t>Jawa Barat</t>
        </is>
      </c>
      <c r="Q53" t="inlineStr"/>
    </row>
    <row r="54">
      <c r="A54" t="inlineStr">
        <is>
          <t>INTIM BANGUNAN</t>
        </is>
      </c>
      <c r="B54" t="inlineStr">
        <is>
          <t>Kab. Maluku Tengah</t>
        </is>
      </c>
      <c r="C54" t="inlineStr">
        <is>
          <t>081343100960</t>
        </is>
      </c>
      <c r="D54" t="inlineStr">
        <is>
          <t>intimbangun@yahoo.co.id</t>
        </is>
      </c>
      <c r="E54" t="inlineStr">
        <is>
          <t>https://lpjk.pu.go.id/search-badan-usaha-detail/clFKRno3MGgvNnNadllOeVFUeVU5UT09</t>
        </is>
      </c>
      <c r="F54" t="n">
        <v>2</v>
      </c>
      <c r="G54" t="inlineStr">
        <is>
          <t>BG002, BG006</t>
        </is>
      </c>
      <c r="H54" t="inlineStr">
        <is>
          <t>6 Juni 2001</t>
        </is>
      </c>
      <c r="I54" s="2" t="n">
        <v>46335</v>
      </c>
      <c r="J54" t="inlineStr">
        <is>
          <t>Disetujui</t>
        </is>
      </c>
      <c r="K54" t="n">
        <v>60</v>
      </c>
      <c r="L54" t="inlineStr">
        <is>
          <t>9 November 2026</t>
        </is>
      </c>
      <c r="M54" t="inlineStr">
        <is>
          <t>Konstruksi Gedung Pendidikan, Konstruksi Gedung Perkantoran</t>
        </is>
      </c>
      <c r="N54" t="inlineStr">
        <is>
          <t>K</t>
        </is>
      </c>
      <c r="O54" t="inlineStr">
        <is>
          <t>20231110</t>
        </is>
      </c>
      <c r="P54" t="inlineStr">
        <is>
          <t>Maluku</t>
        </is>
      </c>
      <c r="Q54" t="inlineStr"/>
    </row>
    <row r="55">
      <c r="A55" t="inlineStr">
        <is>
          <t>IRMA YUNIKA</t>
        </is>
      </c>
      <c r="B55" t="inlineStr">
        <is>
          <t>Kab. Pahuwato</t>
        </is>
      </c>
      <c r="C55" t="inlineStr">
        <is>
          <t>085395999722</t>
        </is>
      </c>
      <c r="D55" t="inlineStr">
        <is>
          <t>irmayunika6@gmail.com</t>
        </is>
      </c>
      <c r="E55" t="inlineStr">
        <is>
          <t>https://lpjk.pu.go.id/search-badan-usaha-detail/M0lkR1UxUGJjQkVJblZWSm04WU9OQT09</t>
        </is>
      </c>
      <c r="F55" t="n">
        <v>2</v>
      </c>
      <c r="G55" t="inlineStr">
        <is>
          <t>BG006</t>
        </is>
      </c>
      <c r="H55" t="inlineStr">
        <is>
          <t>9 Agustus 2006</t>
        </is>
      </c>
      <c r="I55" s="2" t="n">
        <v>46335</v>
      </c>
      <c r="J55" t="inlineStr">
        <is>
          <t>Disetujui</t>
        </is>
      </c>
      <c r="K55" t="n">
        <v>60</v>
      </c>
      <c r="L55" t="inlineStr">
        <is>
          <t>9 November 2026</t>
        </is>
      </c>
      <c r="M55" t="inlineStr">
        <is>
          <t>Konstruksi Gedung Pendidikan</t>
        </is>
      </c>
      <c r="N55" t="inlineStr">
        <is>
          <t>K</t>
        </is>
      </c>
      <c r="O55" t="inlineStr">
        <is>
          <t>20231024</t>
        </is>
      </c>
      <c r="P55" t="inlineStr">
        <is>
          <t>Gorontalo</t>
        </is>
      </c>
      <c r="Q55" t="inlineStr"/>
    </row>
    <row r="56">
      <c r="A56" t="inlineStr">
        <is>
          <t>JAVA OF BUILDING</t>
        </is>
      </c>
      <c r="B56" t="inlineStr">
        <is>
          <t>Kab. Tulungagung</t>
        </is>
      </c>
      <c r="C56" t="inlineStr">
        <is>
          <t>081336801268</t>
        </is>
      </c>
      <c r="D56" t="inlineStr">
        <is>
          <t>cv.javaofbuilding@gmail.com</t>
        </is>
      </c>
      <c r="E56" t="inlineStr">
        <is>
          <t>https://lpjk.pu.go.id/search-badan-usaha-detail/d2RqdEZWWU4vd0N3bXdGYXo0R0pvUT09</t>
        </is>
      </c>
      <c r="F56" t="n">
        <v>1</v>
      </c>
      <c r="G56" t="inlineStr">
        <is>
          <t>RK003</t>
        </is>
      </c>
      <c r="H56" t="inlineStr">
        <is>
          <t>30 Mei 2022</t>
        </is>
      </c>
      <c r="I56" s="2" t="n">
        <v>46335</v>
      </c>
      <c r="J56" t="inlineStr">
        <is>
          <t>Disetujui</t>
        </is>
      </c>
      <c r="K56" t="n">
        <v>60</v>
      </c>
      <c r="L56" t="inlineStr">
        <is>
          <t>9 November 2026</t>
        </is>
      </c>
      <c r="M56" t="inlineStr">
        <is>
          <t>Jasa Rekayasa Pekerjaan Teknik Sipil Transportasi</t>
        </is>
      </c>
      <c r="N56" t="inlineStr">
        <is>
          <t>K</t>
        </is>
      </c>
      <c r="O56" t="inlineStr">
        <is>
          <t>20231102</t>
        </is>
      </c>
      <c r="P56" t="inlineStr">
        <is>
          <t>Jawa Timur</t>
        </is>
      </c>
      <c r="Q56" t="inlineStr"/>
    </row>
    <row r="57">
      <c r="A57" t="inlineStr">
        <is>
          <t>JAWALAND REALTY</t>
        </is>
      </c>
      <c r="B57" t="inlineStr">
        <is>
          <t>Kota Semarang</t>
        </is>
      </c>
      <c r="C57" t="inlineStr">
        <is>
          <t>08122836923</t>
        </is>
      </c>
      <c r="D57" t="inlineStr">
        <is>
          <t>jawalandrealty@gmail.com</t>
        </is>
      </c>
      <c r="E57" t="inlineStr">
        <is>
          <t>https://lpjk.pu.go.id/search-badan-usaha-detail/WFkxWVN5bnhNYk12VEI4aDdGaGo0dz09</t>
        </is>
      </c>
      <c r="F57" t="n">
        <v>3</v>
      </c>
      <c r="G57" t="inlineStr">
        <is>
          <t>AR001, AR002, AR003</t>
        </is>
      </c>
      <c r="H57" t="inlineStr">
        <is>
          <t>1 Agustus 2009</t>
        </is>
      </c>
      <c r="I57" s="2" t="n">
        <v>46335</v>
      </c>
      <c r="J57" t="inlineStr">
        <is>
          <t>Disetujui</t>
        </is>
      </c>
      <c r="K57" t="n">
        <v>60</v>
      </c>
      <c r="L57" t="inlineStr">
        <is>
          <t>9 November 2026</t>
        </is>
      </c>
      <c r="M57" t="inlineStr">
        <is>
          <t>Jasa Arsitektural Bangunan Gedung Hunian dan Non Hunian, Jasa Arsitektural Lainnya, Jasa Desain Interior pada Bangunan Gedung dan Bangunan Sipil</t>
        </is>
      </c>
      <c r="N57" t="inlineStr">
        <is>
          <t>K</t>
        </is>
      </c>
      <c r="O57" t="inlineStr">
        <is>
          <t>20231025</t>
        </is>
      </c>
      <c r="P57" t="inlineStr">
        <is>
          <t>Jawa Tengah</t>
        </is>
      </c>
      <c r="Q57" t="inlineStr"/>
    </row>
    <row r="58">
      <c r="A58" t="inlineStr">
        <is>
          <t>JIHAN ANUGERAH JAYA</t>
        </is>
      </c>
      <c r="B58" t="inlineStr">
        <is>
          <t>Kota Balikpapan</t>
        </is>
      </c>
      <c r="C58" t="inlineStr">
        <is>
          <t>081347859707</t>
        </is>
      </c>
      <c r="D58" t="inlineStr">
        <is>
          <t>jihananugerahjaya@gmail.com</t>
        </is>
      </c>
      <c r="E58" t="inlineStr">
        <is>
          <t>https://lpjk.pu.go.id/search-badan-usaha-detail/RTJPTkxUa2NmWG1WS3pqNVcyWE00Zz09</t>
        </is>
      </c>
      <c r="F58" t="n">
        <v>4</v>
      </c>
      <c r="G58" t="inlineStr">
        <is>
          <t>BG002, BG009, BS001, BS004</t>
        </is>
      </c>
      <c r="H58" t="inlineStr">
        <is>
          <t>22 Juli 2019</t>
        </is>
      </c>
      <c r="I58" s="2" t="n">
        <v>46335</v>
      </c>
      <c r="J58" t="inlineStr">
        <is>
          <t>Disetujui</t>
        </is>
      </c>
      <c r="K58" t="n">
        <v>60</v>
      </c>
      <c r="L58" t="inlineStr">
        <is>
          <t>9 November 2026</t>
        </is>
      </c>
      <c r="M58" t="inlineStr">
        <is>
          <t>Konstruksi Bangunan Sipil Jalan, Konstruksi Gedung Lainnya, Konstruksi Gedung Perkantoran, Konstruksi Jaringan Irigasi dan Drainase</t>
        </is>
      </c>
      <c r="N58" t="inlineStr">
        <is>
          <t>K</t>
        </is>
      </c>
      <c r="O58" t="inlineStr">
        <is>
          <t>20231110</t>
        </is>
      </c>
      <c r="P58" t="inlineStr">
        <is>
          <t>Kalimantan Timur</t>
        </is>
      </c>
      <c r="Q58" t="inlineStr"/>
    </row>
    <row r="59">
      <c r="A59" t="inlineStr">
        <is>
          <t>KARSA INSAN MANDIRI</t>
        </is>
      </c>
      <c r="B59" t="inlineStr">
        <is>
          <t>Kota Tarakan</t>
        </is>
      </c>
      <c r="C59" t="inlineStr">
        <is>
          <t>085234068888</t>
        </is>
      </c>
      <c r="D59" t="inlineStr">
        <is>
          <t>karsainsanmandiri@yahoo.co.id</t>
        </is>
      </c>
      <c r="E59" t="inlineStr">
        <is>
          <t>https://lpjk.pu.go.id/search-badan-usaha-detail/MS9BVGhDenNxeStUTTFBMFVIT0tHUT09</t>
        </is>
      </c>
      <c r="F59" t="n">
        <v>4</v>
      </c>
      <c r="G59" t="inlineStr">
        <is>
          <t>BG001, BG002, BG006, BG009</t>
        </is>
      </c>
      <c r="H59" t="inlineStr">
        <is>
          <t>31 Maret 2006</t>
        </is>
      </c>
      <c r="I59" s="2" t="n">
        <v>46335</v>
      </c>
      <c r="J59" t="inlineStr">
        <is>
          <t>Disetujui</t>
        </is>
      </c>
      <c r="K59" t="n">
        <v>60</v>
      </c>
      <c r="L59" t="inlineStr">
        <is>
          <t>9 November 2026</t>
        </is>
      </c>
      <c r="M59" t="inlineStr">
        <is>
          <t>Konstruksi Gedung Hunian, Konstruksi Gedung Lainnya, Konstruksi Gedung Pendidikan, Konstruksi Gedung Perkantoran</t>
        </is>
      </c>
      <c r="N59" t="inlineStr">
        <is>
          <t>K</t>
        </is>
      </c>
      <c r="O59" t="inlineStr">
        <is>
          <t>20231028, 20231103, 20231106, 20231108</t>
        </is>
      </c>
      <c r="P59" t="inlineStr">
        <is>
          <t>Kalimantan Utara</t>
        </is>
      </c>
      <c r="Q59" t="inlineStr"/>
    </row>
    <row r="60">
      <c r="A60" t="inlineStr">
        <is>
          <t>KARYA ARTHA BAROKAH</t>
        </is>
      </c>
      <c r="B60" t="inlineStr">
        <is>
          <t>Kota Surabaya</t>
        </is>
      </c>
      <c r="C60" t="inlineStr">
        <is>
          <t>082147222682</t>
        </is>
      </c>
      <c r="D60" t="inlineStr">
        <is>
          <t>karthabarokah@gmail.com</t>
        </is>
      </c>
      <c r="E60" t="inlineStr">
        <is>
          <t>https://lpjk.pu.go.id/search-badan-usaha-detail/NW5NdlhqbUJEU253NW9XOUxCelI0dz09</t>
        </is>
      </c>
      <c r="F60" t="n">
        <v>1</v>
      </c>
      <c r="G60" t="inlineStr">
        <is>
          <t>BS001</t>
        </is>
      </c>
      <c r="H60" t="inlineStr">
        <is>
          <t>23 November 2006</t>
        </is>
      </c>
      <c r="I60" s="2" t="n">
        <v>46335</v>
      </c>
      <c r="J60" t="inlineStr">
        <is>
          <t>Pembekuan</t>
        </is>
      </c>
      <c r="K60" t="n">
        <v>60</v>
      </c>
      <c r="L60" t="inlineStr">
        <is>
          <t>9 November 2026</t>
        </is>
      </c>
      <c r="M60" t="inlineStr">
        <is>
          <t>Konstruksi Bangunan Sipil Jalan</t>
        </is>
      </c>
      <c r="N60" t="inlineStr">
        <is>
          <t>M</t>
        </is>
      </c>
      <c r="O60" t="inlineStr">
        <is>
          <t>20231110</t>
        </is>
      </c>
      <c r="P60" t="inlineStr">
        <is>
          <t>Jawa Timur</t>
        </is>
      </c>
      <c r="Q60" t="inlineStr"/>
    </row>
    <row r="61">
      <c r="A61" t="inlineStr">
        <is>
          <t>KARYA BERSAUDARA</t>
        </is>
      </c>
      <c r="B61" t="inlineStr">
        <is>
          <t>Kab. Tabalong</t>
        </is>
      </c>
      <c r="C61" t="inlineStr">
        <is>
          <t>081347344241</t>
        </is>
      </c>
      <c r="D61" t="inlineStr">
        <is>
          <t>cvkaryabersaudara1@gmail.com</t>
        </is>
      </c>
      <c r="E61" t="inlineStr">
        <is>
          <t>https://lpjk.pu.go.id/search-badan-usaha-detail/QU1rd0hvU2ViYjBYRHJNMENZTndlUT09</t>
        </is>
      </c>
      <c r="F61" t="n">
        <v>1</v>
      </c>
      <c r="G61" t="inlineStr">
        <is>
          <t>BG006</t>
        </is>
      </c>
      <c r="H61" t="inlineStr">
        <is>
          <t>25 Januari 2017</t>
        </is>
      </c>
      <c r="I61" s="2" t="n">
        <v>46335</v>
      </c>
      <c r="J61" t="inlineStr">
        <is>
          <t>Pencabutan</t>
        </is>
      </c>
      <c r="K61" t="n">
        <v>60</v>
      </c>
      <c r="L61" t="inlineStr">
        <is>
          <t>9 November 2026</t>
        </is>
      </c>
      <c r="M61" t="inlineStr">
        <is>
          <t>Konstruksi Gedung Pendidikan</t>
        </is>
      </c>
      <c r="N61" t="inlineStr">
        <is>
          <t>K</t>
        </is>
      </c>
      <c r="O61" t="inlineStr">
        <is>
          <t>20231110</t>
        </is>
      </c>
      <c r="P61" t="inlineStr">
        <is>
          <t>Kalimantan Selatan</t>
        </is>
      </c>
      <c r="Q61" t="inlineStr"/>
    </row>
    <row r="62">
      <c r="A62" t="inlineStr">
        <is>
          <t>KARYA MANDIRI</t>
        </is>
      </c>
      <c r="B62" t="inlineStr">
        <is>
          <t>Kab. Buleleng</t>
        </is>
      </c>
      <c r="C62" t="inlineStr">
        <is>
          <t>083117521777</t>
        </is>
      </c>
      <c r="D62" t="inlineStr">
        <is>
          <t>cv.karyamandiri_1013@yahoo.co.id</t>
        </is>
      </c>
      <c r="E62" t="inlineStr">
        <is>
          <t>https://lpjk.pu.go.id/search-badan-usaha-detail/cXlCd0Z5Q1psQno1YVg3K1lKc0dpQT09</t>
        </is>
      </c>
      <c r="F62" t="n">
        <v>1</v>
      </c>
      <c r="G62" t="inlineStr">
        <is>
          <t>BG002</t>
        </is>
      </c>
      <c r="H62" t="inlineStr">
        <is>
          <t>22 April 2022</t>
        </is>
      </c>
      <c r="I62" s="2" t="n">
        <v>46335</v>
      </c>
      <c r="J62" t="inlineStr">
        <is>
          <t>Disetujui</t>
        </is>
      </c>
      <c r="K62" t="n">
        <v>60</v>
      </c>
      <c r="L62" t="inlineStr">
        <is>
          <t>9 November 2026</t>
        </is>
      </c>
      <c r="M62" t="inlineStr">
        <is>
          <t>Konstruksi Gedung Perkantoran</t>
        </is>
      </c>
      <c r="N62" t="inlineStr">
        <is>
          <t>K</t>
        </is>
      </c>
      <c r="O62" t="inlineStr">
        <is>
          <t>20231102</t>
        </is>
      </c>
      <c r="P62" t="inlineStr">
        <is>
          <t>Bali</t>
        </is>
      </c>
      <c r="Q62" t="inlineStr"/>
    </row>
    <row r="63">
      <c r="A63" t="inlineStr">
        <is>
          <t>KASIH BUDI MULIA</t>
        </is>
      </c>
      <c r="B63" t="inlineStr">
        <is>
          <t>Kota Kupang</t>
        </is>
      </c>
      <c r="C63" t="inlineStr">
        <is>
          <t>081353011888</t>
        </is>
      </c>
      <c r="D63" t="inlineStr">
        <is>
          <t>cv_kasihbudimulya@yahoo.co.id</t>
        </is>
      </c>
      <c r="E63" t="inlineStr">
        <is>
          <t>https://lpjk.pu.go.id/search-badan-usaha-detail/YlRGVHljUHVITUN6SzZVeUV1RmFQUT09</t>
        </is>
      </c>
      <c r="F63" t="n">
        <v>1</v>
      </c>
      <c r="G63" t="inlineStr">
        <is>
          <t>PL005</t>
        </is>
      </c>
      <c r="H63" t="inlineStr">
        <is>
          <t>18 September 2014</t>
        </is>
      </c>
      <c r="I63" s="2" t="n">
        <v>46335</v>
      </c>
      <c r="J63" t="inlineStr">
        <is>
          <t>Pencabutan</t>
        </is>
      </c>
      <c r="K63" t="n">
        <v>60</v>
      </c>
      <c r="L63" t="inlineStr">
        <is>
          <t>9 November 2026</t>
        </is>
      </c>
      <c r="M63" t="inlineStr">
        <is>
          <t>Pembuatan/Pengeboran Sumur Air Tanah</t>
        </is>
      </c>
      <c r="N63" t="inlineStr">
        <is>
          <t>Spesialis</t>
        </is>
      </c>
      <c r="O63" t="inlineStr">
        <is>
          <t>20230417</t>
        </is>
      </c>
      <c r="P63" t="inlineStr">
        <is>
          <t>Nusa Tenggara Timur</t>
        </is>
      </c>
      <c r="Q63" t="inlineStr"/>
    </row>
    <row r="64">
      <c r="A64" t="inlineStr">
        <is>
          <t>KEMBAR GROUP</t>
        </is>
      </c>
      <c r="B64" t="inlineStr">
        <is>
          <t>Kab. Brebes</t>
        </is>
      </c>
      <c r="C64" t="inlineStr">
        <is>
          <t>085700007638</t>
        </is>
      </c>
      <c r="D64" t="inlineStr">
        <is>
          <t>cv.kembargroup27@gmail.com</t>
        </is>
      </c>
      <c r="E64" t="inlineStr">
        <is>
          <t>https://lpjk.pu.go.id/search-badan-usaha-detail/bENCSk40bFp3d1FHbk9KZlZyeFpFdz09</t>
        </is>
      </c>
      <c r="F64" t="n">
        <v>4</v>
      </c>
      <c r="G64" t="inlineStr">
        <is>
          <t>BG006, BS001, BS004, BS005</t>
        </is>
      </c>
      <c r="H64" t="inlineStr">
        <is>
          <t>8 Mei 2015</t>
        </is>
      </c>
      <c r="I64" s="2" t="n">
        <v>46335</v>
      </c>
      <c r="J64" t="inlineStr">
        <is>
          <t>Disetujui</t>
        </is>
      </c>
      <c r="K64" t="n">
        <v>60</v>
      </c>
      <c r="L64" t="inlineStr">
        <is>
          <t>9 November 2026</t>
        </is>
      </c>
      <c r="M64" t="inlineStr">
        <is>
          <t>Konstruksi Bangunan Sipil Jalan, Konstruksi Bangunan Sipil Pengolahan Air Bersih, Konstruksi Gedung Pendidikan, Konstruksi Jaringan Irigasi dan Drainase</t>
        </is>
      </c>
      <c r="N64" t="inlineStr">
        <is>
          <t>K</t>
        </is>
      </c>
      <c r="O64" t="inlineStr">
        <is>
          <t>20231110, 20231115</t>
        </is>
      </c>
      <c r="P64" t="inlineStr">
        <is>
          <t>Jawa Tengah</t>
        </is>
      </c>
      <c r="Q64" t="inlineStr"/>
    </row>
    <row r="65">
      <c r="A65" t="inlineStr">
        <is>
          <t>MAJU JAYA</t>
        </is>
      </c>
      <c r="B65" t="inlineStr">
        <is>
          <t>Kota Medan</t>
        </is>
      </c>
      <c r="C65" t="inlineStr">
        <is>
          <t>081264787782</t>
        </is>
      </c>
      <c r="D65" t="inlineStr">
        <is>
          <t>cv.majujaya56@gmail.com</t>
        </is>
      </c>
      <c r="E65" t="inlineStr">
        <is>
          <t>https://lpjk.pu.go.id/search-badan-usaha-detail/bWJDdHpxbTZpa0p3bVJweWltbTNOQT09</t>
        </is>
      </c>
      <c r="F65" t="n">
        <v>1</v>
      </c>
      <c r="G65" t="inlineStr">
        <is>
          <t>IN004</t>
        </is>
      </c>
      <c r="H65" t="inlineStr">
        <is>
          <t>25 November 2009</t>
        </is>
      </c>
      <c r="I65" s="2" t="n">
        <v>46335</v>
      </c>
      <c r="J65" t="inlineStr">
        <is>
          <t>Disetujui</t>
        </is>
      </c>
      <c r="K65" t="n">
        <v>60</v>
      </c>
      <c r="L65" t="inlineStr">
        <is>
          <t>9 November 2026</t>
        </is>
      </c>
      <c r="M65" t="inlineStr">
        <is>
          <t>Instalasi Minyak dan Gas</t>
        </is>
      </c>
      <c r="N65" t="inlineStr">
        <is>
          <t>Spesialis</t>
        </is>
      </c>
      <c r="O65" t="inlineStr">
        <is>
          <t>20231025</t>
        </is>
      </c>
      <c r="P65" t="inlineStr">
        <is>
          <t>Sumatera Utara</t>
        </is>
      </c>
      <c r="Q65" t="inlineStr"/>
    </row>
    <row r="66">
      <c r="A66" t="inlineStr">
        <is>
          <t>MANDIRI UTAMA BANDAR TENGAH</t>
        </is>
      </c>
      <c r="B66" t="inlineStr">
        <is>
          <t>Kab. Serdang Bedagai</t>
        </is>
      </c>
      <c r="C66" t="inlineStr">
        <is>
          <t>08126957399</t>
        </is>
      </c>
      <c r="D66" t="inlineStr">
        <is>
          <t>cvmandiriutamabandartengah@gmail.com</t>
        </is>
      </c>
      <c r="E66" t="inlineStr">
        <is>
          <t>https://lpjk.pu.go.id/search-badan-usaha-detail/N3FXWkR0U29vZDRRM1paVjR2WWJNQT09</t>
        </is>
      </c>
      <c r="F66" t="n">
        <v>2</v>
      </c>
      <c r="G66" t="inlineStr">
        <is>
          <t>BG009, BS002</t>
        </is>
      </c>
      <c r="H66" t="inlineStr">
        <is>
          <t>7 September 2012</t>
        </is>
      </c>
      <c r="I66" s="2" t="n">
        <v>46335</v>
      </c>
      <c r="J66" t="inlineStr">
        <is>
          <t>Disetujui</t>
        </is>
      </c>
      <c r="K66" t="n">
        <v>60</v>
      </c>
      <c r="L66" t="inlineStr">
        <is>
          <t>9 November 2026</t>
        </is>
      </c>
      <c r="M66" t="inlineStr">
        <is>
          <t>Bangunan Sipil Jembatan, Jalan Layang, Fly Over, dan Underpass, Konstruksi Gedung Lainnya</t>
        </is>
      </c>
      <c r="N66" t="inlineStr">
        <is>
          <t>K</t>
        </is>
      </c>
      <c r="O66" t="inlineStr">
        <is>
          <t>20231110, 20231113</t>
        </is>
      </c>
      <c r="P66" t="inlineStr">
        <is>
          <t>Sumatera Utara</t>
        </is>
      </c>
      <c r="Q66" t="inlineStr"/>
    </row>
    <row r="67">
      <c r="A67" t="inlineStr">
        <is>
          <t>MEDALE KONSULTAN</t>
        </is>
      </c>
      <c r="B67" t="inlineStr">
        <is>
          <t>Kota Kendari</t>
        </is>
      </c>
      <c r="C67" t="inlineStr">
        <is>
          <t>082266040091</t>
        </is>
      </c>
      <c r="D67" t="inlineStr">
        <is>
          <t>konsultanmedale@gmail.com</t>
        </is>
      </c>
      <c r="E67" t="inlineStr">
        <is>
          <t>https://lpjk.pu.go.id/search-badan-usaha-detail/UmZ5eEFSdi9aUDA0NkNXQk4vbm4rZz09</t>
        </is>
      </c>
      <c r="F67" t="n">
        <v>3</v>
      </c>
      <c r="G67" t="inlineStr">
        <is>
          <t>RK001, RK003, RK005</t>
        </is>
      </c>
      <c r="H67" t="inlineStr">
        <is>
          <t>27 Februari 2012</t>
        </is>
      </c>
      <c r="I67" s="2" t="n">
        <v>46335</v>
      </c>
      <c r="J67" t="inlineStr">
        <is>
          <t>Disetujui</t>
        </is>
      </c>
      <c r="K67" t="n">
        <v>60</v>
      </c>
      <c r="L67" t="inlineStr">
        <is>
          <t>9 November 2026</t>
        </is>
      </c>
      <c r="M67" t="inlineStr">
        <is>
          <t>Jasa Rekayasa Konstruksi Bangunan Gedung Hunian dan Non Hunian, Jasa Rekayasa Lainnya, Jasa Rekayasa Pekerjaan Teknik Sipil Transportasi</t>
        </is>
      </c>
      <c r="N67" t="inlineStr">
        <is>
          <t>K</t>
        </is>
      </c>
      <c r="O67" t="inlineStr">
        <is>
          <t>20230911, 20231106</t>
        </is>
      </c>
      <c r="P67" t="inlineStr">
        <is>
          <t>Sulawesi Tenggara</t>
        </is>
      </c>
      <c r="Q67" t="inlineStr"/>
    </row>
    <row r="68">
      <c r="A68" t="inlineStr">
        <is>
          <t>MEGA KREASI KONSTRUKSI</t>
        </is>
      </c>
      <c r="B68" t="inlineStr">
        <is>
          <t>Kota Batam</t>
        </is>
      </c>
      <c r="C68" t="inlineStr">
        <is>
          <t>081276666200</t>
        </is>
      </c>
      <c r="D68" t="inlineStr">
        <is>
          <t>ptmegakreasikonstruksi@gmail.com</t>
        </is>
      </c>
      <c r="E68" t="inlineStr">
        <is>
          <t>https://lpjk.pu.go.id/search-badan-usaha-detail/b1JjVURQR0lJdXFGZ1oyRHZoVVVodz09</t>
        </is>
      </c>
      <c r="F68" t="n">
        <v>2</v>
      </c>
      <c r="G68" t="inlineStr">
        <is>
          <t>BG003, BG009</t>
        </is>
      </c>
      <c r="H68" t="inlineStr">
        <is>
          <t>2 November 2023</t>
        </is>
      </c>
      <c r="I68" s="2" t="n">
        <v>46335</v>
      </c>
      <c r="J68" t="inlineStr">
        <is>
          <t>Disetujui</t>
        </is>
      </c>
      <c r="K68" t="n">
        <v>60</v>
      </c>
      <c r="L68" t="inlineStr">
        <is>
          <t>9 November 2026</t>
        </is>
      </c>
      <c r="M68" t="inlineStr">
        <is>
          <t>Konstruksi Gedung Industri, Konstruksi Gedung Lainnya</t>
        </is>
      </c>
      <c r="N68" t="inlineStr">
        <is>
          <t>K</t>
        </is>
      </c>
      <c r="O68" t="inlineStr">
        <is>
          <t>20231109</t>
        </is>
      </c>
      <c r="P68" t="inlineStr">
        <is>
          <t>Kepulauan Riau</t>
        </is>
      </c>
      <c r="Q68" t="inlineStr"/>
    </row>
    <row r="69">
      <c r="A69" t="inlineStr">
        <is>
          <t>MEGA SEMPURNA HANDAL KONSTRUKSI</t>
        </is>
      </c>
      <c r="B69" t="inlineStr">
        <is>
          <t>Kota Tangerang Selatan</t>
        </is>
      </c>
      <c r="C69" t="inlineStr">
        <is>
          <t>0542760533</t>
        </is>
      </c>
      <c r="D69" t="inlineStr">
        <is>
          <t>pt.mshk@gmail.com</t>
        </is>
      </c>
      <c r="E69" t="inlineStr">
        <is>
          <t>https://lpjk.pu.go.id/search-badan-usaha-detail/OUpuN2J1QUZFUnJJcXBKYXpTR0dSdz09</t>
        </is>
      </c>
      <c r="F69" t="n">
        <v>1</v>
      </c>
      <c r="G69" t="inlineStr">
        <is>
          <t>BG003</t>
        </is>
      </c>
      <c r="H69" t="inlineStr">
        <is>
          <t>11 Maret 2009</t>
        </is>
      </c>
      <c r="I69" s="2" t="n">
        <v>46335</v>
      </c>
      <c r="J69" t="inlineStr">
        <is>
          <t>Disetujui</t>
        </is>
      </c>
      <c r="K69" t="n">
        <v>60</v>
      </c>
      <c r="L69" t="inlineStr">
        <is>
          <t>9 November 2026</t>
        </is>
      </c>
      <c r="M69" t="inlineStr">
        <is>
          <t>Konstruksi Gedung Industri</t>
        </is>
      </c>
      <c r="N69" t="inlineStr">
        <is>
          <t>B</t>
        </is>
      </c>
      <c r="O69" t="inlineStr">
        <is>
          <t>20231109</t>
        </is>
      </c>
      <c r="P69" t="inlineStr">
        <is>
          <t>Banten</t>
        </is>
      </c>
      <c r="Q69" t="inlineStr"/>
    </row>
    <row r="70">
      <c r="A70" t="inlineStr">
        <is>
          <t>MIRAI NO DEZIGN</t>
        </is>
      </c>
      <c r="B70" t="inlineStr">
        <is>
          <t>Kota Palu</t>
        </is>
      </c>
      <c r="C70" t="inlineStr">
        <is>
          <t>082296760160</t>
        </is>
      </c>
      <c r="D70" t="inlineStr">
        <is>
          <t>mirainodezign07@gmail.com</t>
        </is>
      </c>
      <c r="E70" t="inlineStr">
        <is>
          <t>https://lpjk.pu.go.id/search-badan-usaha-detail/eE9MZERKY3VWYW96TGV4UDhnS3Bidz09</t>
        </is>
      </c>
      <c r="F70" t="n">
        <v>4</v>
      </c>
      <c r="G70" t="inlineStr">
        <is>
          <t>AR001, AR002</t>
        </is>
      </c>
      <c r="H70" t="inlineStr">
        <is>
          <t>26 September 2023</t>
        </is>
      </c>
      <c r="I70" s="2" t="n">
        <v>46335</v>
      </c>
      <c r="J70" t="inlineStr">
        <is>
          <t>Disetujui</t>
        </is>
      </c>
      <c r="K70" t="n">
        <v>60</v>
      </c>
      <c r="L70" t="inlineStr">
        <is>
          <t>9 November 2026</t>
        </is>
      </c>
      <c r="M70" t="inlineStr">
        <is>
          <t>Jasa Arsitektural Bangunan Gedung Hunian dan Non Hunian, Jasa Arsitektural Lainnya</t>
        </is>
      </c>
      <c r="N70" t="inlineStr">
        <is>
          <t>K</t>
        </is>
      </c>
      <c r="O70" t="inlineStr">
        <is>
          <t>20231101</t>
        </is>
      </c>
      <c r="P70" t="inlineStr">
        <is>
          <t>Sulawesi Tengah</t>
        </is>
      </c>
      <c r="Q70" t="inlineStr"/>
    </row>
    <row r="71">
      <c r="A71" t="inlineStr">
        <is>
          <t>MITRA CEKATAN SOLUSINDO</t>
        </is>
      </c>
      <c r="B71" t="inlineStr">
        <is>
          <t>Kota Salatiga</t>
        </is>
      </c>
      <c r="C71" t="inlineStr">
        <is>
          <t>082322226084</t>
        </is>
      </c>
      <c r="D71" t="inlineStr">
        <is>
          <t>mitracekatansolusindo@gmail.com</t>
        </is>
      </c>
      <c r="E71" t="inlineStr">
        <is>
          <t>https://lpjk.pu.go.id/search-badan-usaha-detail/VUFYcnNvZlVmU0UydkZOVXlOWU9wQT09</t>
        </is>
      </c>
      <c r="F71" t="n">
        <v>1</v>
      </c>
      <c r="G71" t="inlineStr">
        <is>
          <t>BS001</t>
        </is>
      </c>
      <c r="H71" t="inlineStr">
        <is>
          <t>18 Juli 2023</t>
        </is>
      </c>
      <c r="I71" s="2" t="n">
        <v>46335</v>
      </c>
      <c r="J71" t="inlineStr">
        <is>
          <t>Disetujui</t>
        </is>
      </c>
      <c r="K71" t="n">
        <v>60</v>
      </c>
      <c r="L71" t="inlineStr">
        <is>
          <t>9 November 2026</t>
        </is>
      </c>
      <c r="M71" t="inlineStr">
        <is>
          <t>Konstruksi Bangunan Sipil Jalan</t>
        </is>
      </c>
      <c r="N71" t="inlineStr">
        <is>
          <t>K</t>
        </is>
      </c>
      <c r="O71" t="inlineStr">
        <is>
          <t>20231106</t>
        </is>
      </c>
      <c r="P71" t="inlineStr">
        <is>
          <t>Jawa Tengah</t>
        </is>
      </c>
      <c r="Q71" t="inlineStr"/>
    </row>
    <row r="72">
      <c r="A72" t="inlineStr">
        <is>
          <t>MITRA SOLUSI BERKAH</t>
        </is>
      </c>
      <c r="B72" t="inlineStr">
        <is>
          <t>Kota Surabaya</t>
        </is>
      </c>
      <c r="C72" t="inlineStr">
        <is>
          <t>082336238805</t>
        </is>
      </c>
      <c r="D72" t="inlineStr">
        <is>
          <t>cv.mitrasolusiberkah@gmail.com</t>
        </is>
      </c>
      <c r="E72" t="inlineStr">
        <is>
          <t>https://lpjk.pu.go.id/search-badan-usaha-detail/UkY4ZkhURHJDQ0RGRGtPKzNLYXJRZz09</t>
        </is>
      </c>
      <c r="F72" t="n">
        <v>3</v>
      </c>
      <c r="G72" t="inlineStr">
        <is>
          <t>AR001, RK001, RK004</t>
        </is>
      </c>
      <c r="H72" t="inlineStr">
        <is>
          <t>27 Juli 2016</t>
        </is>
      </c>
      <c r="I72" s="2" t="n">
        <v>46335</v>
      </c>
      <c r="J72" t="inlineStr">
        <is>
          <t>Disetujui</t>
        </is>
      </c>
      <c r="K72" t="n">
        <v>60</v>
      </c>
      <c r="L72" t="inlineStr">
        <is>
          <t>9 November 2026</t>
        </is>
      </c>
      <c r="M72" t="inlineStr">
        <is>
          <t>Jasa Arsitektural Bangunan Gedung Hunian dan Non Hunian, Jasa Rekayasa Konstruksi Bangunan Gedung Hunian dan Non Hunian, Jasa Rekayasa Pekerjaan Mekanikal Dalam Bangunan</t>
        </is>
      </c>
      <c r="N72" t="inlineStr">
        <is>
          <t>K</t>
        </is>
      </c>
      <c r="O72" t="inlineStr">
        <is>
          <t>20231102</t>
        </is>
      </c>
      <c r="P72" t="inlineStr">
        <is>
          <t>Jawa Timur</t>
        </is>
      </c>
      <c r="Q72" t="inlineStr"/>
    </row>
    <row r="73">
      <c r="A73" t="inlineStr">
        <is>
          <t>MITRA TIRTA RAYA</t>
        </is>
      </c>
      <c r="B73" t="inlineStr">
        <is>
          <t>Kota Makassar</t>
        </is>
      </c>
      <c r="C73" t="inlineStr">
        <is>
          <t>081222487287</t>
        </is>
      </c>
      <c r="D73" t="inlineStr">
        <is>
          <t>mitratirtaraya@gmail.com</t>
        </is>
      </c>
      <c r="E73" t="inlineStr">
        <is>
          <t>https://lpjk.pu.go.id/search-badan-usaha-detail/SVkyY3lSaFk5TStQcFdKUUdkQUZvQT09</t>
        </is>
      </c>
      <c r="F73" t="n">
        <v>1</v>
      </c>
      <c r="G73" t="inlineStr">
        <is>
          <t>BS011</t>
        </is>
      </c>
      <c r="H73" t="inlineStr">
        <is>
          <t>27 Oktober 2020</t>
        </is>
      </c>
      <c r="I73" s="2" t="n">
        <v>46335</v>
      </c>
      <c r="J73" t="inlineStr">
        <is>
          <t>Pembekuan</t>
        </is>
      </c>
      <c r="K73" t="n">
        <v>60</v>
      </c>
      <c r="L73" t="inlineStr">
        <is>
          <t>9 November 2026</t>
        </is>
      </c>
      <c r="M73" t="inlineStr">
        <is>
          <t>Konstruksi Bangunan Pelabuhan Bukan Perikanan</t>
        </is>
      </c>
      <c r="N73" t="inlineStr">
        <is>
          <t>M</t>
        </is>
      </c>
      <c r="O73" t="inlineStr">
        <is>
          <t>20231102</t>
        </is>
      </c>
      <c r="P73" t="inlineStr">
        <is>
          <t>Sulawesi Selatan</t>
        </is>
      </c>
      <c r="Q73" t="inlineStr"/>
    </row>
    <row r="74">
      <c r="A74" t="inlineStr">
        <is>
          <t>MUTIARA NAGA</t>
        </is>
      </c>
      <c r="B74" t="inlineStr">
        <is>
          <t>Kab. Tangerang</t>
        </is>
      </c>
      <c r="C74" t="inlineStr">
        <is>
          <t>085882935015</t>
        </is>
      </c>
      <c r="D74" t="inlineStr">
        <is>
          <t>cv.mutiaranaga@hotmail.com</t>
        </is>
      </c>
      <c r="E74" t="inlineStr">
        <is>
          <t>https://lpjk.pu.go.id/search-badan-usaha-detail/Q2wyc1U2eTcvNlVickREenByWHNrQT09</t>
        </is>
      </c>
      <c r="F74" t="n">
        <v>2</v>
      </c>
      <c r="G74" t="inlineStr">
        <is>
          <t>BS010</t>
        </is>
      </c>
      <c r="H74" t="inlineStr">
        <is>
          <t>15 Desember 2014</t>
        </is>
      </c>
      <c r="I74" s="2" t="n">
        <v>46335</v>
      </c>
      <c r="J74" t="inlineStr">
        <is>
          <t>Disetujui</t>
        </is>
      </c>
      <c r="K74" t="n">
        <v>60</v>
      </c>
      <c r="L74" t="inlineStr">
        <is>
          <t>9 November 2026</t>
        </is>
      </c>
      <c r="M74" t="inlineStr">
        <is>
          <t>Konstruksi Bangunan Prasarana Sumber Daya Air</t>
        </is>
      </c>
      <c r="N74" t="inlineStr">
        <is>
          <t>K</t>
        </is>
      </c>
      <c r="O74" t="inlineStr">
        <is>
          <t>20231109</t>
        </is>
      </c>
      <c r="P74" t="inlineStr">
        <is>
          <t>Banten</t>
        </is>
      </c>
      <c r="Q74" t="inlineStr"/>
    </row>
    <row r="75">
      <c r="A75" t="inlineStr">
        <is>
          <t>NUR TIGA UTAMA</t>
        </is>
      </c>
      <c r="B75" t="inlineStr">
        <is>
          <t>Kab. Kotawaringin Barat</t>
        </is>
      </c>
      <c r="C75" t="inlineStr">
        <is>
          <t>082140971711</t>
        </is>
      </c>
      <c r="D75" t="inlineStr">
        <is>
          <t>cvnurtigautama@gmail.com</t>
        </is>
      </c>
      <c r="E75" t="inlineStr">
        <is>
          <t>https://lpjk.pu.go.id/search-badan-usaha-detail/SGVzL1hLOS9aSzRSU1JDMmlJNUlxUT09</t>
        </is>
      </c>
      <c r="F75" t="n">
        <v>1</v>
      </c>
      <c r="G75" t="inlineStr">
        <is>
          <t>BS005</t>
        </is>
      </c>
      <c r="H75" t="inlineStr">
        <is>
          <t>12 Januari 2023</t>
        </is>
      </c>
      <c r="I75" s="2" t="n">
        <v>46335</v>
      </c>
      <c r="J75" t="inlineStr">
        <is>
          <t>Disetujui</t>
        </is>
      </c>
      <c r="K75" t="n">
        <v>60</v>
      </c>
      <c r="L75" t="inlineStr">
        <is>
          <t>9 November 2026</t>
        </is>
      </c>
      <c r="M75" t="inlineStr">
        <is>
          <t>Konstruksi Bangunan Sipil Pengolahan Air Bersih</t>
        </is>
      </c>
      <c r="N75" t="inlineStr">
        <is>
          <t>K</t>
        </is>
      </c>
      <c r="O75" t="inlineStr">
        <is>
          <t>20231109</t>
        </is>
      </c>
      <c r="P75" t="inlineStr">
        <is>
          <t>Kalimantan Tengah</t>
        </is>
      </c>
      <c r="Q75" t="inlineStr"/>
    </row>
    <row r="76">
      <c r="A76" t="inlineStr">
        <is>
          <t>NURULILLAH</t>
        </is>
      </c>
      <c r="B76" t="inlineStr">
        <is>
          <t>Kab. Hulu Sungai Selatan</t>
        </is>
      </c>
      <c r="C76" t="inlineStr">
        <is>
          <t>085348376170</t>
        </is>
      </c>
      <c r="D76" t="inlineStr">
        <is>
          <t>nurulillah2023@gmail.com</t>
        </is>
      </c>
      <c r="E76" t="inlineStr">
        <is>
          <t>https://lpjk.pu.go.id/search-badan-usaha-detail/Mkd5QmFGMkxMSnJyU1RlMDBheWFMZz09</t>
        </is>
      </c>
      <c r="F76" t="n">
        <v>6</v>
      </c>
      <c r="G76" t="inlineStr">
        <is>
          <t>BG005, BG006, BG009, BS001, BS002, BS004</t>
        </is>
      </c>
      <c r="H76" t="inlineStr">
        <is>
          <t>23 Oktober 2023</t>
        </is>
      </c>
      <c r="I76" s="2" t="n">
        <v>46335</v>
      </c>
      <c r="J76" t="inlineStr">
        <is>
          <t>Disetujui</t>
        </is>
      </c>
      <c r="K76" t="n">
        <v>60</v>
      </c>
      <c r="L76" t="inlineStr">
        <is>
          <t>9 November 2026</t>
        </is>
      </c>
      <c r="M76" t="inlineStr">
        <is>
          <t>Bangunan Sipil Jembatan, Jalan Layang, Fly Over, dan Underpass, Konstruksi Bangunan Sipil Jalan, Konstruksi Gedung Kesehatan, Konstruksi Gedung Lainnya, Konstruksi Gedung Pendidikan, Konstruksi Jaringan Irigasi dan Drainase</t>
        </is>
      </c>
      <c r="N76" t="inlineStr">
        <is>
          <t>K</t>
        </is>
      </c>
      <c r="O76" t="inlineStr">
        <is>
          <t>20231031, 20231101</t>
        </is>
      </c>
      <c r="P76" t="inlineStr">
        <is>
          <t>Kalimantan Selatan</t>
        </is>
      </c>
      <c r="Q76" t="inlineStr"/>
    </row>
    <row r="77">
      <c r="A77" t="inlineStr">
        <is>
          <t>ONAIDEA CIPTA KREASI</t>
        </is>
      </c>
      <c r="B77" t="inlineStr">
        <is>
          <t>Kota Surabaya</t>
        </is>
      </c>
      <c r="C77" t="inlineStr">
        <is>
          <t>0811370247</t>
        </is>
      </c>
      <c r="D77" t="inlineStr">
        <is>
          <t>onaideack@gmail.com</t>
        </is>
      </c>
      <c r="E77" t="inlineStr">
        <is>
          <t>https://lpjk.pu.go.id/search-badan-usaha-detail/M1MxMUtLU1NUWjBkSHlTQVRiMUZtUT09</t>
        </is>
      </c>
      <c r="F77" t="n">
        <v>5</v>
      </c>
      <c r="G77" t="inlineStr">
        <is>
          <t>BG001, BG002, BG005, BG006, BG009</t>
        </is>
      </c>
      <c r="H77" t="inlineStr">
        <is>
          <t>13 Juni 2020</t>
        </is>
      </c>
      <c r="I77" s="2" t="n">
        <v>46335</v>
      </c>
      <c r="J77" t="inlineStr">
        <is>
          <t>Disetujui</t>
        </is>
      </c>
      <c r="K77" t="n">
        <v>60</v>
      </c>
      <c r="L77" t="inlineStr">
        <is>
          <t>9 November 2026</t>
        </is>
      </c>
      <c r="M77" t="inlineStr">
        <is>
          <t>Konstruksi Gedung Hunian, Konstruksi Gedung Kesehatan, Konstruksi Gedung Lainnya, Konstruksi Gedung Pendidikan, Konstruksi Gedung Perkantoran</t>
        </is>
      </c>
      <c r="N77" t="inlineStr">
        <is>
          <t>K</t>
        </is>
      </c>
      <c r="O77" t="inlineStr">
        <is>
          <t>20230710, 20231103, 20231107</t>
        </is>
      </c>
      <c r="P77" t="inlineStr">
        <is>
          <t>Jawa Timur</t>
        </is>
      </c>
      <c r="Q77" t="inlineStr"/>
    </row>
    <row r="78">
      <c r="A78" t="inlineStr">
        <is>
          <t>OSA KARYA MANDIRI</t>
        </is>
      </c>
      <c r="B78" t="inlineStr">
        <is>
          <t>Kota Denpasar</t>
        </is>
      </c>
      <c r="C78" t="inlineStr">
        <is>
          <t>08179559911</t>
        </is>
      </c>
      <c r="D78" t="inlineStr">
        <is>
          <t>osakaryamandiri@gmail.com</t>
        </is>
      </c>
      <c r="E78" t="inlineStr">
        <is>
          <t>https://lpjk.pu.go.id/search-badan-usaha-detail/VHN1aTlLcjBtZVcvaEhVd1JaM0RqZz09</t>
        </is>
      </c>
      <c r="F78" t="n">
        <v>1</v>
      </c>
      <c r="G78" t="inlineStr">
        <is>
          <t>RK001</t>
        </is>
      </c>
      <c r="H78" t="inlineStr">
        <is>
          <t>8 Juli 2019</t>
        </is>
      </c>
      <c r="I78" s="2" t="n">
        <v>46335</v>
      </c>
      <c r="J78" t="inlineStr">
        <is>
          <t>Disetujui</t>
        </is>
      </c>
      <c r="K78" t="n">
        <v>60</v>
      </c>
      <c r="L78" t="inlineStr">
        <is>
          <t>9 November 2026</t>
        </is>
      </c>
      <c r="M78" t="inlineStr">
        <is>
          <t>Jasa Rekayasa Konstruksi Bangunan Gedung Hunian dan Non Hunian</t>
        </is>
      </c>
      <c r="N78" t="inlineStr">
        <is>
          <t>K</t>
        </is>
      </c>
      <c r="O78" t="inlineStr">
        <is>
          <t>20231106</t>
        </is>
      </c>
      <c r="P78" t="inlineStr">
        <is>
          <t>Bali</t>
        </is>
      </c>
      <c r="Q78" t="inlineStr"/>
    </row>
    <row r="79">
      <c r="A79" t="inlineStr">
        <is>
          <t>PANCA PRIMA PAPUA</t>
        </is>
      </c>
      <c r="B79" t="inlineStr">
        <is>
          <t>Kota Sorong</t>
        </is>
      </c>
      <c r="C79" t="inlineStr">
        <is>
          <t>08114877767</t>
        </is>
      </c>
      <c r="D79" t="inlineStr">
        <is>
          <t>cvpancaprimapapua@gmail.com</t>
        </is>
      </c>
      <c r="E79" t="inlineStr">
        <is>
          <t>https://lpjk.pu.go.id/search-badan-usaha-detail/czJLZ2xJWDFqMVBjcE5YZnBtbDVwQT09</t>
        </is>
      </c>
      <c r="F79" t="n">
        <v>5</v>
      </c>
      <c r="G79" t="inlineStr">
        <is>
          <t>BG002, BG005, BG006, BG009, BS001</t>
        </is>
      </c>
      <c r="H79" t="inlineStr">
        <is>
          <t>18 Februari 2016</t>
        </is>
      </c>
      <c r="I79" s="2" t="n">
        <v>46335</v>
      </c>
      <c r="J79" t="inlineStr">
        <is>
          <t>Disetujui, Pencabutan</t>
        </is>
      </c>
      <c r="K79" t="n">
        <v>60</v>
      </c>
      <c r="L79" t="inlineStr">
        <is>
          <t>9 November 2026</t>
        </is>
      </c>
      <c r="M79" t="inlineStr">
        <is>
          <t>Konstruksi Bangunan Sipil Jalan, Konstruksi Gedung Kesehatan, Konstruksi Gedung Lainnya, Konstruksi Gedung Pendidikan, Konstruksi Gedung Perkantoran</t>
        </is>
      </c>
      <c r="N79" t="inlineStr">
        <is>
          <t>K</t>
        </is>
      </c>
      <c r="O79" t="inlineStr">
        <is>
          <t>20231110</t>
        </is>
      </c>
      <c r="P79" t="inlineStr">
        <is>
          <t>Papua Barat Daya</t>
        </is>
      </c>
      <c r="Q79" t="inlineStr"/>
    </row>
    <row r="80">
      <c r="A80" t="inlineStr">
        <is>
          <t>PELANGI KUTIM SEJAHTERA</t>
        </is>
      </c>
      <c r="B80" t="inlineStr">
        <is>
          <t>Kab. Kutai Timur</t>
        </is>
      </c>
      <c r="C80" t="inlineStr">
        <is>
          <t>082110009358</t>
        </is>
      </c>
      <c r="D80" t="inlineStr">
        <is>
          <t>cvpelangikutimsejahtera@gmail.com</t>
        </is>
      </c>
      <c r="E80" t="inlineStr">
        <is>
          <t>https://lpjk.pu.go.id/search-badan-usaha-detail/MVZ2bzFtMDVWQlc1OEFzd1RBcnc2dz09</t>
        </is>
      </c>
      <c r="F80" t="n">
        <v>2</v>
      </c>
      <c r="G80" t="inlineStr">
        <is>
          <t>BS001, BS004</t>
        </is>
      </c>
      <c r="H80" t="inlineStr">
        <is>
          <t>26 Januari 2023</t>
        </is>
      </c>
      <c r="I80" s="2" t="n">
        <v>46335</v>
      </c>
      <c r="J80" t="inlineStr">
        <is>
          <t>Disetujui</t>
        </is>
      </c>
      <c r="K80" t="n">
        <v>60</v>
      </c>
      <c r="L80" t="inlineStr">
        <is>
          <t>9 November 2026</t>
        </is>
      </c>
      <c r="M80" t="inlineStr">
        <is>
          <t>Konstruksi Bangunan Sipil Jalan, Konstruksi Jaringan Irigasi dan Drainase</t>
        </is>
      </c>
      <c r="N80" t="inlineStr">
        <is>
          <t>K</t>
        </is>
      </c>
      <c r="O80" t="inlineStr">
        <is>
          <t>20231107</t>
        </is>
      </c>
      <c r="P80" t="inlineStr">
        <is>
          <t>Kalimantan Timur</t>
        </is>
      </c>
      <c r="Q80" t="inlineStr"/>
    </row>
    <row r="81">
      <c r="A81" t="inlineStr">
        <is>
          <t>PERDANA CIPTA ANDALAN</t>
        </is>
      </c>
      <c r="B81" t="inlineStr">
        <is>
          <t>Kab. Pelalawan</t>
        </is>
      </c>
      <c r="C81" t="inlineStr">
        <is>
          <t>082386548889</t>
        </is>
      </c>
      <c r="D81" t="inlineStr">
        <is>
          <t>perdanaciptaandalan@gmail.com</t>
        </is>
      </c>
      <c r="E81" t="inlineStr">
        <is>
          <t>https://lpjk.pu.go.id/search-badan-usaha-detail/bUY1SFJCU0FnZitQSStpL1RINE9YQT09</t>
        </is>
      </c>
      <c r="F81" t="n">
        <v>1</v>
      </c>
      <c r="G81" t="inlineStr">
        <is>
          <t>BG001</t>
        </is>
      </c>
      <c r="H81" t="inlineStr">
        <is>
          <t>2 Maret 2016</t>
        </is>
      </c>
      <c r="I81" s="2" t="n">
        <v>46335</v>
      </c>
      <c r="J81" t="inlineStr">
        <is>
          <t>Disetujui</t>
        </is>
      </c>
      <c r="K81" t="n">
        <v>60</v>
      </c>
      <c r="L81" t="inlineStr">
        <is>
          <t>9 November 2026</t>
        </is>
      </c>
      <c r="M81" t="inlineStr">
        <is>
          <t>Konstruksi Gedung Hunian</t>
        </is>
      </c>
      <c r="N81" t="inlineStr">
        <is>
          <t>K</t>
        </is>
      </c>
      <c r="O81" t="inlineStr">
        <is>
          <t>20231027</t>
        </is>
      </c>
      <c r="P81" t="inlineStr">
        <is>
          <t>Riau</t>
        </is>
      </c>
      <c r="Q81" t="inlineStr"/>
    </row>
    <row r="82">
      <c r="A82" t="inlineStr">
        <is>
          <t>PERISAI LENTERA KONSULTAN</t>
        </is>
      </c>
      <c r="B82" t="inlineStr">
        <is>
          <t>Kab. Kampar</t>
        </is>
      </c>
      <c r="C82" t="inlineStr">
        <is>
          <t>081376977710</t>
        </is>
      </c>
      <c r="D82" t="inlineStr">
        <is>
          <t>ptperisailenterakonsultan@gmail.com</t>
        </is>
      </c>
      <c r="E82" t="inlineStr">
        <is>
          <t>https://lpjk.pu.go.id/search-badan-usaha-detail/MEFWZUpsWWlFeUJXaWFiYjlMNU0vdz09</t>
        </is>
      </c>
      <c r="F82" t="n">
        <v>4</v>
      </c>
      <c r="G82" t="inlineStr">
        <is>
          <t>RK001, RK002, RK003, RK005</t>
        </is>
      </c>
      <c r="H82" t="inlineStr">
        <is>
          <t>6 September 2023</t>
        </is>
      </c>
      <c r="I82" s="2" t="n">
        <v>46335</v>
      </c>
      <c r="J82" t="inlineStr">
        <is>
          <t>Disetujui, Pencabutan</t>
        </is>
      </c>
      <c r="K82" t="n">
        <v>60</v>
      </c>
      <c r="L82" t="inlineStr">
        <is>
          <t>9 November 2026</t>
        </is>
      </c>
      <c r="M82" t="inlineStr">
        <is>
          <t>Jasa Rekayasa Konstruksi Bangunan Gedung Hunian dan Non Hunian, Jasa Rekayasa Lainnya, Jasa Rekayasa Pekerjaan Teknik Sipil Sumber Daya Air, Jasa Rekayasa Pekerjaan Teknik Sipil Transportasi</t>
        </is>
      </c>
      <c r="N82" t="inlineStr">
        <is>
          <t>K</t>
        </is>
      </c>
      <c r="O82" t="inlineStr">
        <is>
          <t>20231101</t>
        </is>
      </c>
      <c r="P82" t="inlineStr">
        <is>
          <t>Riau</t>
        </is>
      </c>
      <c r="Q82" t="inlineStr"/>
    </row>
    <row r="83">
      <c r="A83" t="inlineStr">
        <is>
          <t>PERMATA KARYA TANBROTHERS</t>
        </is>
      </c>
      <c r="B83" t="inlineStr">
        <is>
          <t>Kota Jambi</t>
        </is>
      </c>
      <c r="C83" t="inlineStr">
        <is>
          <t>081369209941</t>
        </is>
      </c>
      <c r="D83" t="inlineStr">
        <is>
          <t>Pakart47@gmail.com</t>
        </is>
      </c>
      <c r="E83" t="inlineStr">
        <is>
          <t>https://lpjk.pu.go.id/search-badan-usaha-detail/SFQ1bTN6S2pjL0R6M0xJWDB0OEI5UT09</t>
        </is>
      </c>
      <c r="F83" t="n">
        <v>5</v>
      </c>
      <c r="G83" t="inlineStr">
        <is>
          <t>BG001, BG002, BG005, BG006, BG008</t>
        </is>
      </c>
      <c r="H83" t="inlineStr">
        <is>
          <t>4 Februari 2022</t>
        </is>
      </c>
      <c r="I83" s="2" t="n">
        <v>46335</v>
      </c>
      <c r="J83" t="inlineStr">
        <is>
          <t>Disetujui</t>
        </is>
      </c>
      <c r="K83" t="n">
        <v>60</v>
      </c>
      <c r="L83" t="inlineStr">
        <is>
          <t>9 November 2026</t>
        </is>
      </c>
      <c r="M83" t="inlineStr">
        <is>
          <t>Konstruksi Gedung Hunian, Konstruksi Gedung Kesehatan, Konstruksi Gedung Pendidikan, Konstruksi Gedung Perkantoran, Konstruksi Gedung Tempat Hiburan dan Olahraga</t>
        </is>
      </c>
      <c r="N83" t="inlineStr">
        <is>
          <t>K</t>
        </is>
      </c>
      <c r="O83" t="inlineStr">
        <is>
          <t>20231107</t>
        </is>
      </c>
      <c r="P83" t="inlineStr">
        <is>
          <t>Jambi</t>
        </is>
      </c>
      <c r="Q83" t="inlineStr"/>
    </row>
    <row r="84">
      <c r="A84" t="inlineStr">
        <is>
          <t>PILAR UTAMA EKOLOGI MABBARAKKA</t>
        </is>
      </c>
      <c r="B84" t="inlineStr">
        <is>
          <t>Kota Batam</t>
        </is>
      </c>
      <c r="C84" t="inlineStr">
        <is>
          <t>08117777397</t>
        </is>
      </c>
      <c r="D84" t="inlineStr">
        <is>
          <t>pilarutamaekologi@gmail.com</t>
        </is>
      </c>
      <c r="E84" t="inlineStr">
        <is>
          <t>https://lpjk.pu.go.id/search-badan-usaha-detail/L0dnVy9zVkR0Vnh3RWhLTlg5Y2NvUT09</t>
        </is>
      </c>
      <c r="F84" t="n">
        <v>3</v>
      </c>
      <c r="G84" t="inlineStr">
        <is>
          <t>RK002, RK003, RK005</t>
        </is>
      </c>
      <c r="H84" t="inlineStr">
        <is>
          <t>6 April 2018</t>
        </is>
      </c>
      <c r="I84" s="2" t="n">
        <v>46335</v>
      </c>
      <c r="J84" t="inlineStr">
        <is>
          <t>Disetujui</t>
        </is>
      </c>
      <c r="K84" t="n">
        <v>60</v>
      </c>
      <c r="L84" t="inlineStr">
        <is>
          <t>9 November 2026</t>
        </is>
      </c>
      <c r="M84" t="inlineStr">
        <is>
          <t>Jasa Rekayasa Lainnya, Jasa Rekayasa Pekerjaan Teknik Sipil Sumber Daya Air, Jasa Rekayasa Pekerjaan Teknik Sipil Transportasi</t>
        </is>
      </c>
      <c r="N84" t="inlineStr">
        <is>
          <t>K</t>
        </is>
      </c>
      <c r="O84" t="inlineStr">
        <is>
          <t>20231024</t>
        </is>
      </c>
      <c r="P84" t="inlineStr">
        <is>
          <t>Kepulauan Riau</t>
        </is>
      </c>
      <c r="Q84" t="inlineStr"/>
    </row>
    <row r="85">
      <c r="A85" t="inlineStr">
        <is>
          <t>PRAYOGA ENGINEERING CONTRACTORS</t>
        </is>
      </c>
      <c r="B85" t="inlineStr">
        <is>
          <t>Kab. Cianjur</t>
        </is>
      </c>
      <c r="C85" t="inlineStr">
        <is>
          <t>085795842602</t>
        </is>
      </c>
      <c r="D85" t="inlineStr">
        <is>
          <t>prayogaec@gmail.com</t>
        </is>
      </c>
      <c r="E85" t="inlineStr">
        <is>
          <t>https://lpjk.pu.go.id/search-badan-usaha-detail/Y2d4dkgwcXFlQzBIVTBNam5yODNJZz09</t>
        </is>
      </c>
      <c r="F85" t="n">
        <v>3</v>
      </c>
      <c r="G85" t="inlineStr">
        <is>
          <t>BG005, BG006, BG009</t>
        </is>
      </c>
      <c r="H85" t="inlineStr">
        <is>
          <t>27 Desember 2002</t>
        </is>
      </c>
      <c r="I85" s="2" t="n">
        <v>46335</v>
      </c>
      <c r="J85" t="inlineStr">
        <is>
          <t>Disetujui</t>
        </is>
      </c>
      <c r="K85" t="n">
        <v>60</v>
      </c>
      <c r="L85" t="inlineStr">
        <is>
          <t>9 November 2026</t>
        </is>
      </c>
      <c r="M85" t="inlineStr">
        <is>
          <t>Konstruksi Gedung Kesehatan, Konstruksi Gedung Lainnya, Konstruksi Gedung Pendidikan</t>
        </is>
      </c>
      <c r="N85" t="inlineStr">
        <is>
          <t>K</t>
        </is>
      </c>
      <c r="O85" t="inlineStr">
        <is>
          <t>20231110</t>
        </is>
      </c>
      <c r="P85" t="inlineStr">
        <is>
          <t>Jawa Barat</t>
        </is>
      </c>
      <c r="Q85" t="inlineStr"/>
    </row>
    <row r="86">
      <c r="A86" t="inlineStr">
        <is>
          <t>PRIMA MEGAH IRSA</t>
        </is>
      </c>
      <c r="B86" t="inlineStr">
        <is>
          <t>Kab. Gresik</t>
        </is>
      </c>
      <c r="C86" t="inlineStr">
        <is>
          <t>0811125585</t>
        </is>
      </c>
      <c r="D86" t="inlineStr">
        <is>
          <t>makhrudy@yahoo.com</t>
        </is>
      </c>
      <c r="E86" t="inlineStr">
        <is>
          <t>https://lpjk.pu.go.id/search-badan-usaha-detail/VkFUdXhMSVY4R2VyVk43SUhzbkFoUT09</t>
        </is>
      </c>
      <c r="F86" t="n">
        <v>1</v>
      </c>
      <c r="G86" t="inlineStr">
        <is>
          <t>BS001</t>
        </is>
      </c>
      <c r="H86" t="inlineStr">
        <is>
          <t>13 Maret 2010</t>
        </is>
      </c>
      <c r="I86" s="2" t="n">
        <v>46335</v>
      </c>
      <c r="J86" t="inlineStr">
        <is>
          <t>Disetujui</t>
        </is>
      </c>
      <c r="K86" t="n">
        <v>60</v>
      </c>
      <c r="L86" t="inlineStr">
        <is>
          <t>9 November 2026</t>
        </is>
      </c>
      <c r="M86" t="inlineStr">
        <is>
          <t>Konstruksi Bangunan Sipil Jalan</t>
        </is>
      </c>
      <c r="N86" t="inlineStr">
        <is>
          <t>K</t>
        </is>
      </c>
      <c r="O86" t="inlineStr">
        <is>
          <t>20231103</t>
        </is>
      </c>
      <c r="P86" t="inlineStr">
        <is>
          <t>Jawa Timur</t>
        </is>
      </c>
      <c r="Q86" t="inlineStr"/>
    </row>
    <row r="87">
      <c r="A87" t="inlineStr">
        <is>
          <t>PUNCAK ANDALAS</t>
        </is>
      </c>
      <c r="B87" t="inlineStr">
        <is>
          <t>Kab. Kerinci</t>
        </is>
      </c>
      <c r="C87" t="inlineStr">
        <is>
          <t>082318227404</t>
        </is>
      </c>
      <c r="D87" t="inlineStr">
        <is>
          <t>frandatoninoval@gmail.com</t>
        </is>
      </c>
      <c r="E87" t="inlineStr">
        <is>
          <t>https://lpjk.pu.go.id/search-badan-usaha-detail/ZDhIVElsb25jUHd6OExQYVZ6YkRDZz09</t>
        </is>
      </c>
      <c r="F87" t="n">
        <v>1</v>
      </c>
      <c r="G87" t="inlineStr">
        <is>
          <t>BS004</t>
        </is>
      </c>
      <c r="H87" t="inlineStr">
        <is>
          <t>3 November 2012</t>
        </is>
      </c>
      <c r="I87" s="2" t="n">
        <v>46335</v>
      </c>
      <c r="J87" t="inlineStr">
        <is>
          <t>Disetujui</t>
        </is>
      </c>
      <c r="K87" t="n">
        <v>60</v>
      </c>
      <c r="L87" t="inlineStr">
        <is>
          <t>9 November 2026</t>
        </is>
      </c>
      <c r="M87" t="inlineStr">
        <is>
          <t>Konstruksi Jaringan Irigasi dan Drainase</t>
        </is>
      </c>
      <c r="N87" t="inlineStr">
        <is>
          <t>K</t>
        </is>
      </c>
      <c r="O87" t="inlineStr">
        <is>
          <t>20231110</t>
        </is>
      </c>
      <c r="P87" t="inlineStr">
        <is>
          <t>Jambi</t>
        </is>
      </c>
      <c r="Q87" t="inlineStr"/>
    </row>
    <row r="88">
      <c r="A88" t="inlineStr">
        <is>
          <t>PURNAMA BORNEO JAYA</t>
        </is>
      </c>
      <c r="B88" t="inlineStr">
        <is>
          <t>Kab. Seruyan</t>
        </is>
      </c>
      <c r="C88" t="inlineStr">
        <is>
          <t>082357919191</t>
        </is>
      </c>
      <c r="D88" t="inlineStr">
        <is>
          <t>cvpurnamaborneojaya@gmail.com</t>
        </is>
      </c>
      <c r="E88" t="inlineStr">
        <is>
          <t>https://lpjk.pu.go.id/search-badan-usaha-detail/R1BhOU0yMlhtUmhFQUNXT1F0VWpUQT09</t>
        </is>
      </c>
      <c r="F88" t="n">
        <v>2</v>
      </c>
      <c r="G88" t="inlineStr">
        <is>
          <t>BS001</t>
        </is>
      </c>
      <c r="H88" t="inlineStr">
        <is>
          <t>12 Oktober 2023</t>
        </is>
      </c>
      <c r="I88" s="2" t="n">
        <v>46335</v>
      </c>
      <c r="J88" t="inlineStr">
        <is>
          <t>Disetujui</t>
        </is>
      </c>
      <c r="K88" t="n">
        <v>60</v>
      </c>
      <c r="L88" t="inlineStr">
        <is>
          <t>9 November 2026</t>
        </is>
      </c>
      <c r="M88" t="inlineStr">
        <is>
          <t>Konstruksi Bangunan Sipil Jalan</t>
        </is>
      </c>
      <c r="N88" t="inlineStr">
        <is>
          <t>K</t>
        </is>
      </c>
      <c r="O88" t="inlineStr">
        <is>
          <t>20231109</t>
        </is>
      </c>
      <c r="P88" t="inlineStr">
        <is>
          <t>Kalimantan Tengah</t>
        </is>
      </c>
      <c r="Q88" t="inlineStr"/>
    </row>
    <row r="89">
      <c r="A89" t="inlineStr">
        <is>
          <t>PUTRA LEBUNG MANDIRI</t>
        </is>
      </c>
      <c r="B89" t="inlineStr">
        <is>
          <t>Kab. Banyuasin</t>
        </is>
      </c>
      <c r="C89" t="inlineStr">
        <is>
          <t>082371931845</t>
        </is>
      </c>
      <c r="D89" t="inlineStr">
        <is>
          <t>cvputralebungmandiri@gmail.com</t>
        </is>
      </c>
      <c r="E89" t="inlineStr">
        <is>
          <t>https://lpjk.pu.go.id/search-badan-usaha-detail/bHB4bGRKUkYvcGora3MwZmh0WnV3UT09</t>
        </is>
      </c>
      <c r="F89" t="n">
        <v>1</v>
      </c>
      <c r="G89" t="inlineStr">
        <is>
          <t>BS001</t>
        </is>
      </c>
      <c r="H89" t="inlineStr">
        <is>
          <t>29 Juni 2020</t>
        </is>
      </c>
      <c r="I89" s="2" t="n">
        <v>46335</v>
      </c>
      <c r="J89" t="inlineStr">
        <is>
          <t>Disetujui</t>
        </is>
      </c>
      <c r="K89" t="n">
        <v>60</v>
      </c>
      <c r="L89" t="inlineStr">
        <is>
          <t>9 November 2026</t>
        </is>
      </c>
      <c r="M89" t="inlineStr">
        <is>
          <t>Konstruksi Bangunan Sipil Jalan</t>
        </is>
      </c>
      <c r="N89" t="inlineStr">
        <is>
          <t>K</t>
        </is>
      </c>
      <c r="O89" t="inlineStr">
        <is>
          <t>20231027</t>
        </is>
      </c>
      <c r="P89" t="inlineStr">
        <is>
          <t>Sumatera Selatan</t>
        </is>
      </c>
      <c r="Q89" t="inlineStr"/>
    </row>
    <row r="90">
      <c r="A90" t="inlineStr">
        <is>
          <t>PUTRI KEPATIHAN ABADI</t>
        </is>
      </c>
      <c r="B90" t="inlineStr">
        <is>
          <t>Kab. Gresik</t>
        </is>
      </c>
      <c r="C90" t="inlineStr">
        <is>
          <t>081259669240</t>
        </is>
      </c>
      <c r="D90" t="inlineStr">
        <is>
          <t>putrikepatihanabadi@gmail.com</t>
        </is>
      </c>
      <c r="E90" t="inlineStr">
        <is>
          <t>https://lpjk.pu.go.id/search-badan-usaha-detail/QjlENkRTWFVRMXhscC80U1A0cXdaUT09</t>
        </is>
      </c>
      <c r="F90" t="n">
        <v>1</v>
      </c>
      <c r="G90" t="inlineStr">
        <is>
          <t>BS005</t>
        </is>
      </c>
      <c r="H90" t="inlineStr">
        <is>
          <t>6 April 2023</t>
        </is>
      </c>
      <c r="I90" s="2" t="n">
        <v>46335</v>
      </c>
      <c r="J90" t="inlineStr">
        <is>
          <t>Disetujui</t>
        </is>
      </c>
      <c r="K90" t="n">
        <v>60</v>
      </c>
      <c r="L90" t="inlineStr">
        <is>
          <t>9 November 2026</t>
        </is>
      </c>
      <c r="M90" t="inlineStr">
        <is>
          <t>Konstruksi Bangunan Sipil Pengolahan Air Bersih</t>
        </is>
      </c>
      <c r="N90" t="inlineStr">
        <is>
          <t>K</t>
        </is>
      </c>
      <c r="O90" t="inlineStr">
        <is>
          <t>20230926</t>
        </is>
      </c>
      <c r="P90" t="inlineStr">
        <is>
          <t>Jawa Timur</t>
        </is>
      </c>
      <c r="Q90" t="inlineStr"/>
    </row>
    <row r="91">
      <c r="A91" t="inlineStr">
        <is>
          <t>RAHMAT</t>
        </is>
      </c>
      <c r="B91" t="inlineStr">
        <is>
          <t>Kota Bau Bau</t>
        </is>
      </c>
      <c r="C91" t="inlineStr">
        <is>
          <t>082211404005</t>
        </is>
      </c>
      <c r="D91" t="inlineStr">
        <is>
          <t>rahmatcv02@gmail.com</t>
        </is>
      </c>
      <c r="E91" t="inlineStr">
        <is>
          <t>https://lpjk.pu.go.id/search-badan-usaha-detail/TC9KcFVRcjhXbW9JRmJ6RnNNSlFLQT09</t>
        </is>
      </c>
      <c r="F91" t="n">
        <v>8</v>
      </c>
      <c r="G91" t="inlineStr">
        <is>
          <t>BG002, BG005, BG006, BG009</t>
        </is>
      </c>
      <c r="H91" t="inlineStr">
        <is>
          <t>28 Mei 2011</t>
        </is>
      </c>
      <c r="I91" s="2" t="n">
        <v>46335</v>
      </c>
      <c r="J91" t="inlineStr">
        <is>
          <t>Disetujui</t>
        </is>
      </c>
      <c r="K91" t="n">
        <v>60</v>
      </c>
      <c r="L91" t="inlineStr">
        <is>
          <t>9 November 2026</t>
        </is>
      </c>
      <c r="M91" t="inlineStr">
        <is>
          <t>Konstruksi Gedung Kesehatan, Konstruksi Gedung Lainnya, Konstruksi Gedung Pendidikan, Konstruksi Gedung Perkantoran</t>
        </is>
      </c>
      <c r="N91" t="inlineStr">
        <is>
          <t>K</t>
        </is>
      </c>
      <c r="O91" t="inlineStr">
        <is>
          <t>20231101, 20231106</t>
        </is>
      </c>
      <c r="P91" t="inlineStr">
        <is>
          <t>Sulawesi Tenggara</t>
        </is>
      </c>
      <c r="Q91" t="inlineStr"/>
    </row>
    <row r="92">
      <c r="A92" t="inlineStr">
        <is>
          <t>RANDUSARI RAYA</t>
        </is>
      </c>
      <c r="B92" t="inlineStr">
        <is>
          <t>Kota Bandung</t>
        </is>
      </c>
      <c r="C92" t="inlineStr">
        <is>
          <t>081394620014</t>
        </is>
      </c>
      <c r="D92" t="inlineStr">
        <is>
          <t>cv.randusariraya@gmail.com</t>
        </is>
      </c>
      <c r="E92" t="inlineStr">
        <is>
          <t>https://lpjk.pu.go.id/search-badan-usaha-detail/MWNXQjgrMUl0bGJJcGc1ZFdaZjBVdz09</t>
        </is>
      </c>
      <c r="F92" t="n">
        <v>1</v>
      </c>
      <c r="G92" t="inlineStr">
        <is>
          <t>BS005</t>
        </is>
      </c>
      <c r="H92" t="inlineStr">
        <is>
          <t>26 April 2004</t>
        </is>
      </c>
      <c r="I92" s="2" t="n">
        <v>46335</v>
      </c>
      <c r="J92" t="inlineStr">
        <is>
          <t>Disetujui</t>
        </is>
      </c>
      <c r="K92" t="n">
        <v>60</v>
      </c>
      <c r="L92" t="inlineStr">
        <is>
          <t>9 November 2026</t>
        </is>
      </c>
      <c r="M92" t="inlineStr">
        <is>
          <t>Konstruksi Bangunan Sipil Pengolahan Air Bersih</t>
        </is>
      </c>
      <c r="N92" t="inlineStr">
        <is>
          <t>K</t>
        </is>
      </c>
      <c r="O92" t="inlineStr">
        <is>
          <t>20231109</t>
        </is>
      </c>
      <c r="P92" t="inlineStr">
        <is>
          <t>Jawa Barat</t>
        </is>
      </c>
      <c r="Q92" t="inlineStr"/>
    </row>
    <row r="93">
      <c r="A93" t="inlineStr">
        <is>
          <t>REDJOMULYO</t>
        </is>
      </c>
      <c r="B93" t="inlineStr">
        <is>
          <t>Kab. Kediri</t>
        </is>
      </c>
      <c r="C93" t="inlineStr">
        <is>
          <t>82131849867</t>
        </is>
      </c>
      <c r="D93" t="inlineStr">
        <is>
          <t>cvredjomulyo2023@gmail.com</t>
        </is>
      </c>
      <c r="E93" t="inlineStr">
        <is>
          <t>https://lpjk.pu.go.id/search-badan-usaha-detail/MWh1OFZPN2ZuWmtEMlFadWU3bS80QT09</t>
        </is>
      </c>
      <c r="F93" t="n">
        <v>4</v>
      </c>
      <c r="G93" t="inlineStr">
        <is>
          <t>BG002, BG005, BG006, BS001</t>
        </is>
      </c>
      <c r="H93" t="inlineStr">
        <is>
          <t>16 Juni 2023</t>
        </is>
      </c>
      <c r="I93" s="2" t="n">
        <v>46335</v>
      </c>
      <c r="J93" t="inlineStr">
        <is>
          <t>Pencabutan</t>
        </is>
      </c>
      <c r="K93" t="n">
        <v>60</v>
      </c>
      <c r="L93" t="inlineStr">
        <is>
          <t>9 November 2026</t>
        </is>
      </c>
      <c r="M93" t="inlineStr">
        <is>
          <t>Konstruksi Bangunan Sipil Jalan, Konstruksi Gedung Kesehatan, Konstruksi Gedung Pendidikan, Konstruksi Gedung Perkantoran</t>
        </is>
      </c>
      <c r="N93" t="inlineStr">
        <is>
          <t>K</t>
        </is>
      </c>
      <c r="O93" t="inlineStr">
        <is>
          <t>20231110</t>
        </is>
      </c>
      <c r="P93" t="inlineStr">
        <is>
          <t>Jawa Timur</t>
        </is>
      </c>
      <c r="Q93" t="inlineStr"/>
    </row>
    <row r="94">
      <c r="A94" t="inlineStr">
        <is>
          <t>RIFQI PRATAMA</t>
        </is>
      </c>
      <c r="B94" t="inlineStr">
        <is>
          <t>Kab. Tanjung Jabung Barat</t>
        </is>
      </c>
      <c r="C94" t="inlineStr">
        <is>
          <t>085384153005</t>
        </is>
      </c>
      <c r="D94" t="inlineStr">
        <is>
          <t>rifqi.pratama2020@gmail.com</t>
        </is>
      </c>
      <c r="E94" t="inlineStr">
        <is>
          <t>https://lpjk.pu.go.id/search-badan-usaha-detail/cFh3M3FxLy9wNmhSaDJjclQzRXQ0UT09</t>
        </is>
      </c>
      <c r="F94" t="n">
        <v>1</v>
      </c>
      <c r="G94" t="inlineStr">
        <is>
          <t>BS007</t>
        </is>
      </c>
      <c r="H94" t="inlineStr">
        <is>
          <t>13 Januari 2020</t>
        </is>
      </c>
      <c r="I94" s="2" t="n">
        <v>46335</v>
      </c>
      <c r="J94" t="inlineStr">
        <is>
          <t>Disetujui</t>
        </is>
      </c>
      <c r="K94" t="n">
        <v>60</v>
      </c>
      <c r="L94" t="inlineStr">
        <is>
          <t>9 November 2026</t>
        </is>
      </c>
      <c r="M94" t="inlineStr">
        <is>
          <t>Konstruksi Bangunan Sipil Elektrikal</t>
        </is>
      </c>
      <c r="N94" t="inlineStr">
        <is>
          <t>K</t>
        </is>
      </c>
      <c r="O94" t="inlineStr">
        <is>
          <t>20231106</t>
        </is>
      </c>
      <c r="P94" t="inlineStr">
        <is>
          <t>Jambi</t>
        </is>
      </c>
      <c r="Q94" t="inlineStr"/>
    </row>
    <row r="95">
      <c r="A95" t="inlineStr">
        <is>
          <t>SAFAR SINERGI MADANI</t>
        </is>
      </c>
      <c r="B95" t="inlineStr">
        <is>
          <t>Kota Tangerang</t>
        </is>
      </c>
      <c r="C95" t="inlineStr">
        <is>
          <t>082234031215</t>
        </is>
      </c>
      <c r="D95" t="inlineStr">
        <is>
          <t>safarsinergimadani@gmail.com</t>
        </is>
      </c>
      <c r="E95" t="inlineStr">
        <is>
          <t>https://lpjk.pu.go.id/search-badan-usaha-detail/eEk5ZWE4UHZSc1JyMk5tNTJSZnB1Zz09</t>
        </is>
      </c>
      <c r="F95" t="n">
        <v>2</v>
      </c>
      <c r="G95" t="inlineStr">
        <is>
          <t>BS001, BS004</t>
        </is>
      </c>
      <c r="H95" t="inlineStr">
        <is>
          <t>25 Oktober 2024</t>
        </is>
      </c>
      <c r="I95" s="2" t="n">
        <v>46335</v>
      </c>
      <c r="J95" t="inlineStr">
        <is>
          <t>Disetujui</t>
        </is>
      </c>
      <c r="K95" t="n">
        <v>60</v>
      </c>
      <c r="L95" t="inlineStr">
        <is>
          <t>9 November 2026</t>
        </is>
      </c>
      <c r="M95" t="inlineStr">
        <is>
          <t>Konstruksi Bangunan Sipil Jalan, Konstruksi Jaringan Irigasi dan Drainase</t>
        </is>
      </c>
      <c r="N95" t="inlineStr">
        <is>
          <t>K</t>
        </is>
      </c>
      <c r="O95" t="inlineStr">
        <is>
          <t>20231106, 20231113</t>
        </is>
      </c>
      <c r="P95" t="inlineStr">
        <is>
          <t>Banten</t>
        </is>
      </c>
      <c r="Q95" t="inlineStr"/>
    </row>
    <row r="96">
      <c r="A96" t="inlineStr">
        <is>
          <t>SAMI JAYA SADULUR</t>
        </is>
      </c>
      <c r="B96" t="inlineStr">
        <is>
          <t>Kab. Serang</t>
        </is>
      </c>
      <c r="C96" t="inlineStr">
        <is>
          <t>081574862308</t>
        </is>
      </c>
      <c r="D96" t="inlineStr">
        <is>
          <t>cv.samijayasadulur@gmail.com</t>
        </is>
      </c>
      <c r="E96" t="inlineStr">
        <is>
          <t>https://lpjk.pu.go.id/search-badan-usaha-detail/WTRyaHVYTHFvbSt6cXpLeUJoR0ZBUT09</t>
        </is>
      </c>
      <c r="F96" t="n">
        <v>1</v>
      </c>
      <c r="G96" t="inlineStr">
        <is>
          <t>BS001</t>
        </is>
      </c>
      <c r="H96" t="inlineStr">
        <is>
          <t>28 Januari 2019</t>
        </is>
      </c>
      <c r="I96" s="2" t="n">
        <v>46335</v>
      </c>
      <c r="J96" t="inlineStr">
        <is>
          <t>Pencabutan</t>
        </is>
      </c>
      <c r="K96" t="n">
        <v>60</v>
      </c>
      <c r="L96" t="inlineStr">
        <is>
          <t>9 November 2026</t>
        </is>
      </c>
      <c r="M96" t="inlineStr">
        <is>
          <t>Konstruksi Bangunan Sipil Jalan</t>
        </is>
      </c>
      <c r="N96" t="inlineStr">
        <is>
          <t>K</t>
        </is>
      </c>
      <c r="O96" t="inlineStr">
        <is>
          <t>20231030</t>
        </is>
      </c>
      <c r="P96" t="inlineStr">
        <is>
          <t>Banten</t>
        </is>
      </c>
      <c r="Q96" t="inlineStr"/>
    </row>
    <row r="97">
      <c r="A97" t="inlineStr">
        <is>
          <t>SAMUDERA ARTHA RAYA</t>
        </is>
      </c>
      <c r="B97" t="inlineStr">
        <is>
          <t>Kab. Jombang</t>
        </is>
      </c>
      <c r="C97" t="inlineStr">
        <is>
          <t>082230559599</t>
        </is>
      </c>
      <c r="D97" t="inlineStr">
        <is>
          <t>ptsamuderaartharaya@gmail.com</t>
        </is>
      </c>
      <c r="E97" t="inlineStr">
        <is>
          <t>https://lpjk.pu.go.id/search-badan-usaha-detail/b2kzRE1sY05YdW5Vd3lrUjBKeU1Ydz09</t>
        </is>
      </c>
      <c r="F97" t="n">
        <v>1</v>
      </c>
      <c r="G97" t="inlineStr">
        <is>
          <t>IN001</t>
        </is>
      </c>
      <c r="H97" t="inlineStr">
        <is>
          <t>23 Mei 2022</t>
        </is>
      </c>
      <c r="I97" s="2" t="n">
        <v>46335</v>
      </c>
      <c r="J97" t="inlineStr">
        <is>
          <t>Pembekuan</t>
        </is>
      </c>
      <c r="K97" t="n">
        <v>60</v>
      </c>
      <c r="L97" t="inlineStr">
        <is>
          <t>9 November 2026</t>
        </is>
      </c>
      <c r="M97" t="inlineStr">
        <is>
          <t>Instalasi Mekanikal</t>
        </is>
      </c>
      <c r="N97" t="inlineStr">
        <is>
          <t>Spesialis</t>
        </is>
      </c>
      <c r="O97" t="inlineStr">
        <is>
          <t>20231109</t>
        </is>
      </c>
      <c r="P97" t="inlineStr">
        <is>
          <t>Jawa Timur</t>
        </is>
      </c>
      <c r="Q97" t="inlineStr"/>
    </row>
    <row r="98">
      <c r="A98" t="inlineStr">
        <is>
          <t>SEGI TIGA KUBUS</t>
        </is>
      </c>
      <c r="B98" t="inlineStr">
        <is>
          <t>Kab. Serdang Bedagai</t>
        </is>
      </c>
      <c r="C98" t="inlineStr">
        <is>
          <t>085297940888</t>
        </is>
      </c>
      <c r="D98" t="inlineStr">
        <is>
          <t>cv.segitigakubus@gmail.com</t>
        </is>
      </c>
      <c r="E98" t="inlineStr">
        <is>
          <t>https://lpjk.pu.go.id/search-badan-usaha-detail/TktYUkt1aFg2elI3VlpMbDNIV2I2QT09</t>
        </is>
      </c>
      <c r="F98" t="n">
        <v>3</v>
      </c>
      <c r="G98" t="inlineStr">
        <is>
          <t>BG005, BG006, BG009</t>
        </is>
      </c>
      <c r="H98" t="inlineStr">
        <is>
          <t>18 Maret 2021</t>
        </is>
      </c>
      <c r="I98" s="2" t="n">
        <v>46335</v>
      </c>
      <c r="J98" t="inlineStr">
        <is>
          <t>Disetujui</t>
        </is>
      </c>
      <c r="K98" t="n">
        <v>60</v>
      </c>
      <c r="L98" t="inlineStr">
        <is>
          <t>9 November 2026</t>
        </is>
      </c>
      <c r="M98" t="inlineStr">
        <is>
          <t>Konstruksi Gedung Kesehatan, Konstruksi Gedung Lainnya, Konstruksi Gedung Pendidikan</t>
        </is>
      </c>
      <c r="N98" t="inlineStr">
        <is>
          <t>K</t>
        </is>
      </c>
      <c r="O98" t="inlineStr">
        <is>
          <t>20231106</t>
        </is>
      </c>
      <c r="P98" t="inlineStr">
        <is>
          <t>Sumatera Utara</t>
        </is>
      </c>
      <c r="Q98" t="inlineStr"/>
    </row>
    <row r="99">
      <c r="A99" t="inlineStr">
        <is>
          <t>SEMBILAN BERSAUDARA</t>
        </is>
      </c>
      <c r="B99" t="inlineStr">
        <is>
          <t>Kab. Kutai Timur</t>
        </is>
      </c>
      <c r="C99" t="inlineStr">
        <is>
          <t>081347648668</t>
        </is>
      </c>
      <c r="D99" t="inlineStr">
        <is>
          <t>sembilanbersaudaracv7@gmail.com</t>
        </is>
      </c>
      <c r="E99" t="inlineStr">
        <is>
          <t>https://lpjk.pu.go.id/search-badan-usaha-detail/SCtTbmorSkllaWFERldxODd5cVlLUT09</t>
        </is>
      </c>
      <c r="F99" t="n">
        <v>2</v>
      </c>
      <c r="G99" t="inlineStr">
        <is>
          <t>BS001, BS004</t>
        </is>
      </c>
      <c r="H99" t="inlineStr">
        <is>
          <t>9 Mei 2016</t>
        </is>
      </c>
      <c r="I99" s="2" t="n">
        <v>46335</v>
      </c>
      <c r="J99" t="inlineStr">
        <is>
          <t>Disetujui</t>
        </is>
      </c>
      <c r="K99" t="n">
        <v>60</v>
      </c>
      <c r="L99" t="inlineStr">
        <is>
          <t>9 November 2026</t>
        </is>
      </c>
      <c r="M99" t="inlineStr">
        <is>
          <t>Konstruksi Bangunan Sipil Jalan, Konstruksi Jaringan Irigasi dan Drainase</t>
        </is>
      </c>
      <c r="N99" t="inlineStr">
        <is>
          <t>K</t>
        </is>
      </c>
      <c r="O99" t="inlineStr">
        <is>
          <t>20231103</t>
        </is>
      </c>
      <c r="P99" t="inlineStr">
        <is>
          <t>Kalimantan Timur</t>
        </is>
      </c>
      <c r="Q99" t="inlineStr"/>
    </row>
    <row r="100">
      <c r="A100" t="inlineStr">
        <is>
          <t>SENTOSA KARYA TEKNIK</t>
        </is>
      </c>
      <c r="B100" t="inlineStr">
        <is>
          <t>Kab. Tulungagung</t>
        </is>
      </c>
      <c r="C100" t="inlineStr">
        <is>
          <t>085646990871</t>
        </is>
      </c>
      <c r="D100" t="inlineStr">
        <is>
          <t>skt.cv.ta@gmail.com</t>
        </is>
      </c>
      <c r="E100" t="inlineStr">
        <is>
          <t>https://lpjk.pu.go.id/search-badan-usaha-detail/TTd1RzdPRnZaTlJnODVoK0phT0l4dz09</t>
        </is>
      </c>
      <c r="F100" t="n">
        <v>1</v>
      </c>
      <c r="G100" t="inlineStr">
        <is>
          <t>RK002</t>
        </is>
      </c>
      <c r="H100" t="inlineStr">
        <is>
          <t>23 Februari 2017</t>
        </is>
      </c>
      <c r="I100" s="2" t="n">
        <v>46335</v>
      </c>
      <c r="J100" t="inlineStr">
        <is>
          <t>Disetujui</t>
        </is>
      </c>
      <c r="K100" t="n">
        <v>60</v>
      </c>
      <c r="L100" t="inlineStr">
        <is>
          <t>9 November 2026</t>
        </is>
      </c>
      <c r="M100" t="inlineStr">
        <is>
          <t>Jasa Rekayasa Pekerjaan Teknik Sipil Sumber Daya Air</t>
        </is>
      </c>
      <c r="N100" t="inlineStr">
        <is>
          <t>K</t>
        </is>
      </c>
      <c r="O100" t="inlineStr">
        <is>
          <t>20230920</t>
        </is>
      </c>
      <c r="P100" t="inlineStr">
        <is>
          <t>Jawa Timur</t>
        </is>
      </c>
      <c r="Q100" t="inlineStr"/>
    </row>
    <row r="101">
      <c r="A101" t="inlineStr">
        <is>
          <t>SENTRA CININTYA INDONESIA</t>
        </is>
      </c>
      <c r="B101" t="inlineStr">
        <is>
          <t>Kota Padang</t>
        </is>
      </c>
      <c r="C101" t="inlineStr">
        <is>
          <t>0811662649</t>
        </is>
      </c>
      <c r="D101" t="inlineStr">
        <is>
          <t>pt.cinintya@gmail.com</t>
        </is>
      </c>
      <c r="E101" t="inlineStr">
        <is>
          <t>https://lpjk.pu.go.id/search-badan-usaha-detail/amVpdDhydEErUnVqb3NpUTg5U09DQT09</t>
        </is>
      </c>
      <c r="F101" t="n">
        <v>1</v>
      </c>
      <c r="G101" t="inlineStr">
        <is>
          <t>BS004</t>
        </is>
      </c>
      <c r="H101" t="inlineStr">
        <is>
          <t>25 Juni 2009</t>
        </is>
      </c>
      <c r="I101" s="2" t="n">
        <v>46335</v>
      </c>
      <c r="J101" t="inlineStr">
        <is>
          <t>Disetujui</t>
        </is>
      </c>
      <c r="K101" t="n">
        <v>60</v>
      </c>
      <c r="L101" t="inlineStr">
        <is>
          <t>9 November 2026</t>
        </is>
      </c>
      <c r="M101" t="inlineStr">
        <is>
          <t>Konstruksi Jaringan Irigasi dan Drainase</t>
        </is>
      </c>
      <c r="N101" t="inlineStr">
        <is>
          <t>K</t>
        </is>
      </c>
      <c r="O101" t="inlineStr">
        <is>
          <t>20230808</t>
        </is>
      </c>
      <c r="P101" t="inlineStr">
        <is>
          <t>Sumatera Barat</t>
        </is>
      </c>
      <c r="Q101" t="inlineStr"/>
    </row>
    <row r="102">
      <c r="A102" t="inlineStr">
        <is>
          <t>SINAR ANUGRAH MULIA</t>
        </is>
      </c>
      <c r="B102" t="inlineStr">
        <is>
          <t>Kab. Tanah Bumbu</t>
        </is>
      </c>
      <c r="C102" t="inlineStr">
        <is>
          <t>082251863867</t>
        </is>
      </c>
      <c r="D102" t="inlineStr">
        <is>
          <t>sinaranugrah.919@gmail.com</t>
        </is>
      </c>
      <c r="E102" t="inlineStr">
        <is>
          <t>https://lpjk.pu.go.id/search-badan-usaha-detail/RVJReFhMREc5d3dwM3Z5V2RSQkNNQT09</t>
        </is>
      </c>
      <c r="F102" t="n">
        <v>5</v>
      </c>
      <c r="G102" t="inlineStr">
        <is>
          <t>BG002, BG005, BG006, BG008, BG009</t>
        </is>
      </c>
      <c r="H102" t="inlineStr">
        <is>
          <t>21 Januari 2016</t>
        </is>
      </c>
      <c r="I102" s="2" t="n">
        <v>46335</v>
      </c>
      <c r="J102" t="inlineStr">
        <is>
          <t>Disetujui</t>
        </is>
      </c>
      <c r="K102" t="n">
        <v>60</v>
      </c>
      <c r="L102" t="inlineStr">
        <is>
          <t>9 November 2026</t>
        </is>
      </c>
      <c r="M102" t="inlineStr">
        <is>
          <t>Konstruksi Gedung Kesehatan, Konstruksi Gedung Lainnya, Konstruksi Gedung Pendidikan, Konstruksi Gedung Perkantoran, Konstruksi Gedung Tempat Hiburan dan Olahraga</t>
        </is>
      </c>
      <c r="N102" t="inlineStr">
        <is>
          <t>K</t>
        </is>
      </c>
      <c r="O102" t="inlineStr">
        <is>
          <t>20231110</t>
        </is>
      </c>
      <c r="P102" t="inlineStr">
        <is>
          <t>Kalimantan Selatan</t>
        </is>
      </c>
      <c r="Q102" t="inlineStr"/>
    </row>
    <row r="103">
      <c r="A103" t="inlineStr">
        <is>
          <t>SIRAS KARYA BAKTI</t>
        </is>
      </c>
      <c r="B103" t="inlineStr">
        <is>
          <t>Kab. Gowa</t>
        </is>
      </c>
      <c r="C103" t="inlineStr">
        <is>
          <t>081355806640</t>
        </is>
      </c>
      <c r="D103" t="inlineStr">
        <is>
          <t>siraskarya@gmail.com</t>
        </is>
      </c>
      <c r="E103" t="inlineStr">
        <is>
          <t>https://lpjk.pu.go.id/search-badan-usaha-detail/T2R6S3J0UWZUNU1XRUdaVnpWbzNVQT09</t>
        </is>
      </c>
      <c r="F103" t="n">
        <v>3</v>
      </c>
      <c r="G103" t="inlineStr">
        <is>
          <t>BG005, BG006, BG009</t>
        </is>
      </c>
      <c r="H103" t="inlineStr">
        <is>
          <t>29 Maret 2023</t>
        </is>
      </c>
      <c r="I103" s="2" t="n">
        <v>46335</v>
      </c>
      <c r="J103" t="inlineStr">
        <is>
          <t>Disetujui</t>
        </is>
      </c>
      <c r="K103" t="n">
        <v>60</v>
      </c>
      <c r="L103" t="inlineStr">
        <is>
          <t>9 November 2026</t>
        </is>
      </c>
      <c r="M103" t="inlineStr">
        <is>
          <t>Konstruksi Gedung Kesehatan, Konstruksi Gedung Lainnya, Konstruksi Gedung Pendidikan</t>
        </is>
      </c>
      <c r="N103" t="inlineStr">
        <is>
          <t>K</t>
        </is>
      </c>
      <c r="O103" t="inlineStr">
        <is>
          <t>20231107</t>
        </is>
      </c>
      <c r="P103" t="inlineStr">
        <is>
          <t>Sulawesi Selatan</t>
        </is>
      </c>
      <c r="Q103" t="inlineStr"/>
    </row>
    <row r="104">
      <c r="A104" t="inlineStr">
        <is>
          <t>SURYA BALI</t>
        </is>
      </c>
      <c r="B104" t="inlineStr">
        <is>
          <t>Kota Denpasar</t>
        </is>
      </c>
      <c r="C104" t="inlineStr">
        <is>
          <t>0361420668</t>
        </is>
      </c>
      <c r="D104" t="inlineStr">
        <is>
          <t>suryabali_denpasar@yahoo.co.id</t>
        </is>
      </c>
      <c r="E104" t="inlineStr">
        <is>
          <t>https://lpjk.pu.go.id/search-badan-usaha-detail/UEVSdFgvUkI5aStVUzlRZzYxcEtBQT09</t>
        </is>
      </c>
      <c r="F104" t="n">
        <v>1</v>
      </c>
      <c r="G104" t="inlineStr">
        <is>
          <t>BS001</t>
        </is>
      </c>
      <c r="H104" t="inlineStr">
        <is>
          <t>27 Maret 1975</t>
        </is>
      </c>
      <c r="I104" s="2" t="n">
        <v>46335</v>
      </c>
      <c r="J104" t="inlineStr">
        <is>
          <t>Disetujui</t>
        </is>
      </c>
      <c r="K104" t="n">
        <v>60</v>
      </c>
      <c r="L104" t="inlineStr">
        <is>
          <t>9 November 2026</t>
        </is>
      </c>
      <c r="M104" t="inlineStr">
        <is>
          <t>Konstruksi Bangunan Sipil Jalan</t>
        </is>
      </c>
      <c r="N104" t="inlineStr">
        <is>
          <t>K</t>
        </is>
      </c>
      <c r="O104" t="inlineStr">
        <is>
          <t>20231107</t>
        </is>
      </c>
      <c r="P104" t="inlineStr">
        <is>
          <t>Bali</t>
        </is>
      </c>
      <c r="Q104" t="inlineStr"/>
    </row>
    <row r="105">
      <c r="A105" t="inlineStr">
        <is>
          <t>SURYO PLANINDO</t>
        </is>
      </c>
      <c r="B105" t="inlineStr">
        <is>
          <t>Kota Bandung</t>
        </is>
      </c>
      <c r="C105" t="inlineStr">
        <is>
          <t>02230500198</t>
        </is>
      </c>
      <c r="D105" t="inlineStr">
        <is>
          <t>suryo.planindo@gmail.com</t>
        </is>
      </c>
      <c r="E105" t="inlineStr">
        <is>
          <t>https://lpjk.pu.go.id/search-badan-usaha-detail/blZDaDdibVhndzRsTU93MEtvWkZwQT09</t>
        </is>
      </c>
      <c r="F105" t="n">
        <v>2</v>
      </c>
      <c r="G105" t="inlineStr">
        <is>
          <t>IT003, RK001</t>
        </is>
      </c>
      <c r="H105" t="inlineStr">
        <is>
          <t>24 Desember 2012</t>
        </is>
      </c>
      <c r="I105" s="2" t="n">
        <v>46335</v>
      </c>
      <c r="J105" t="inlineStr">
        <is>
          <t>Disetujui</t>
        </is>
      </c>
      <c r="K105" t="n">
        <v>60</v>
      </c>
      <c r="L105" t="inlineStr">
        <is>
          <t>9 November 2026</t>
        </is>
      </c>
      <c r="M105" t="inlineStr">
        <is>
          <t>Jasa Konsultansi Ilmiah dan Teknis Permukaan Tanah dan Pembuatan Peta, Jasa Rekayasa Konstruksi Bangunan Gedung Hunian dan Non Hunian</t>
        </is>
      </c>
      <c r="N105" t="inlineStr">
        <is>
          <t>K, Spesialis</t>
        </is>
      </c>
      <c r="O105" t="inlineStr">
        <is>
          <t>20231018</t>
        </is>
      </c>
      <c r="P105" t="inlineStr">
        <is>
          <t>Jawa Barat</t>
        </is>
      </c>
      <c r="Q105" t="inlineStr"/>
    </row>
    <row r="106">
      <c r="A106" t="inlineStr">
        <is>
          <t>THREE ZEE CONSULTANT</t>
        </is>
      </c>
      <c r="B106" t="inlineStr">
        <is>
          <t>Kota Serang</t>
        </is>
      </c>
      <c r="C106" t="inlineStr">
        <is>
          <t>087887205949</t>
        </is>
      </c>
      <c r="D106" t="inlineStr">
        <is>
          <t>three.zee.consultant@gmail.com</t>
        </is>
      </c>
      <c r="E106" t="inlineStr">
        <is>
          <t>https://lpjk.pu.go.id/search-badan-usaha-detail/UkhSZlBEYWFjVVhQSS9OS0dleXMrdz09</t>
        </is>
      </c>
      <c r="F106" t="n">
        <v>3</v>
      </c>
      <c r="G106" t="inlineStr">
        <is>
          <t>RK001, RK002, RK003</t>
        </is>
      </c>
      <c r="H106" t="inlineStr">
        <is>
          <t>16 Desember 2020</t>
        </is>
      </c>
      <c r="I106" s="2" t="n">
        <v>46335</v>
      </c>
      <c r="J106" t="inlineStr">
        <is>
          <t>Disetujui</t>
        </is>
      </c>
      <c r="K106" t="n">
        <v>60</v>
      </c>
      <c r="L106" t="inlineStr">
        <is>
          <t>9 November 2026</t>
        </is>
      </c>
      <c r="M106" t="inlineStr">
        <is>
          <t>Jasa Rekayasa Konstruksi Bangunan Gedung Hunian dan Non Hunian, Jasa Rekayasa Pekerjaan Teknik Sipil Sumber Daya Air, Jasa Rekayasa Pekerjaan Teknik Sipil Transportasi</t>
        </is>
      </c>
      <c r="N106" t="inlineStr">
        <is>
          <t>K</t>
        </is>
      </c>
      <c r="O106" t="inlineStr">
        <is>
          <t>20231023</t>
        </is>
      </c>
      <c r="P106" t="inlineStr">
        <is>
          <t>Banten</t>
        </is>
      </c>
      <c r="Q106" t="inlineStr"/>
    </row>
    <row r="107">
      <c r="A107" t="inlineStr">
        <is>
          <t>TIRTA MAGELANG</t>
        </is>
      </c>
      <c r="B107" t="inlineStr">
        <is>
          <t>Kota Surabaya</t>
        </is>
      </c>
      <c r="C107" t="inlineStr">
        <is>
          <t>0318283500</t>
        </is>
      </c>
      <c r="D107" t="inlineStr">
        <is>
          <t>pttirtamagelang@gmail.com</t>
        </is>
      </c>
      <c r="E107" t="inlineStr">
        <is>
          <t>https://lpjk.pu.go.id/search-badan-usaha-detail/MTE0ckhYd0U3SjNyZjZGczNTWG45UT09</t>
        </is>
      </c>
      <c r="F107" t="n">
        <v>1</v>
      </c>
      <c r="G107" t="inlineStr">
        <is>
          <t>BS010</t>
        </is>
      </c>
      <c r="H107" t="inlineStr">
        <is>
          <t>6 September 2006</t>
        </is>
      </c>
      <c r="I107" s="2" t="n">
        <v>46335</v>
      </c>
      <c r="J107" t="inlineStr">
        <is>
          <t>Disetujui</t>
        </is>
      </c>
      <c r="K107" t="n">
        <v>60</v>
      </c>
      <c r="L107" t="inlineStr">
        <is>
          <t>9 November 2026</t>
        </is>
      </c>
      <c r="M107" t="inlineStr">
        <is>
          <t>Konstruksi Bangunan Prasarana Sumber Daya Air</t>
        </is>
      </c>
      <c r="N107" t="inlineStr">
        <is>
          <t>M</t>
        </is>
      </c>
      <c r="O107" t="inlineStr">
        <is>
          <t>20231108</t>
        </is>
      </c>
      <c r="P107" t="inlineStr">
        <is>
          <t>Jawa Timur</t>
        </is>
      </c>
      <c r="Q107" t="inlineStr"/>
    </row>
    <row r="108">
      <c r="A108" t="inlineStr">
        <is>
          <t>TRI JAYA SAUDARA</t>
        </is>
      </c>
      <c r="B108" t="inlineStr">
        <is>
          <t>Kab. Simalungun</t>
        </is>
      </c>
      <c r="C108" t="inlineStr">
        <is>
          <t>08126566333</t>
        </is>
      </c>
      <c r="D108" t="inlineStr">
        <is>
          <t>CV.Trijayasaudara2019@gmail.com</t>
        </is>
      </c>
      <c r="E108" t="inlineStr">
        <is>
          <t>https://lpjk.pu.go.id/search-badan-usaha-detail/M09ndFpwaG9WK29lUUpFdlFtbEw5Zz09</t>
        </is>
      </c>
      <c r="F108" t="n">
        <v>1</v>
      </c>
      <c r="G108" t="inlineStr">
        <is>
          <t>IN004</t>
        </is>
      </c>
      <c r="H108" t="inlineStr">
        <is>
          <t>12 Juni 2006</t>
        </is>
      </c>
      <c r="I108" s="2" t="n">
        <v>46335</v>
      </c>
      <c r="J108" t="inlineStr">
        <is>
          <t>Pencabutan</t>
        </is>
      </c>
      <c r="K108" t="n">
        <v>60</v>
      </c>
      <c r="L108" t="inlineStr">
        <is>
          <t>9 November 2026</t>
        </is>
      </c>
      <c r="M108" t="inlineStr">
        <is>
          <t>Instalasi Minyak dan Gas</t>
        </is>
      </c>
      <c r="N108" t="inlineStr">
        <is>
          <t>Spesialis</t>
        </is>
      </c>
      <c r="O108" t="inlineStr">
        <is>
          <t>20231109</t>
        </is>
      </c>
      <c r="P108" t="inlineStr">
        <is>
          <t>Sumatera Utara</t>
        </is>
      </c>
      <c r="Q108" t="inlineStr"/>
    </row>
    <row r="109">
      <c r="A109" t="inlineStr">
        <is>
          <t>USAHA TANI SUBUR</t>
        </is>
      </c>
      <c r="B109" t="inlineStr">
        <is>
          <t>Kab. Simalungun</t>
        </is>
      </c>
      <c r="C109" t="inlineStr">
        <is>
          <t>081264413333</t>
        </is>
      </c>
      <c r="D109" t="inlineStr">
        <is>
          <t>usahatanisubur@gmail.com</t>
        </is>
      </c>
      <c r="E109" t="inlineStr">
        <is>
          <t>https://lpjk.pu.go.id/search-badan-usaha-detail/M1RHOE8vb0gwNUZRc3I2dWxkSXkxZz09</t>
        </is>
      </c>
      <c r="F109" t="n">
        <v>2</v>
      </c>
      <c r="G109" t="inlineStr">
        <is>
          <t>BG006, BS004</t>
        </is>
      </c>
      <c r="H109" t="inlineStr">
        <is>
          <t>14 September 2021</t>
        </is>
      </c>
      <c r="I109" s="2" t="n">
        <v>46335</v>
      </c>
      <c r="J109" t="inlineStr">
        <is>
          <t>Disetujui</t>
        </is>
      </c>
      <c r="K109" t="n">
        <v>60</v>
      </c>
      <c r="L109" t="inlineStr">
        <is>
          <t>9 November 2026</t>
        </is>
      </c>
      <c r="M109" t="inlineStr">
        <is>
          <t>Konstruksi Gedung Pendidikan, Konstruksi Jaringan Irigasi dan Drainase</t>
        </is>
      </c>
      <c r="N109" t="inlineStr">
        <is>
          <t>K</t>
        </is>
      </c>
      <c r="O109" t="inlineStr">
        <is>
          <t>20231106</t>
        </is>
      </c>
      <c r="P109" t="inlineStr">
        <is>
          <t>Sumatera Utara</t>
        </is>
      </c>
      <c r="Q109" t="inlineStr"/>
    </row>
    <row r="110">
      <c r="A110" t="inlineStr">
        <is>
          <t>WIRAJAYA ABADI KONSULTAN</t>
        </is>
      </c>
      <c r="B110" t="inlineStr">
        <is>
          <t>Kota Padang</t>
        </is>
      </c>
      <c r="C110" t="inlineStr">
        <is>
          <t>081267949570</t>
        </is>
      </c>
      <c r="D110" t="inlineStr">
        <is>
          <t>wrj.abadi@gmail.com</t>
        </is>
      </c>
      <c r="E110" t="inlineStr">
        <is>
          <t>https://lpjk.pu.go.id/search-badan-usaha-detail/YStMOE13M3NIV2hpaVgyckovR3ZvZz09</t>
        </is>
      </c>
      <c r="F110" t="n">
        <v>2</v>
      </c>
      <c r="G110" t="inlineStr">
        <is>
          <t>RK001, RK002</t>
        </is>
      </c>
      <c r="H110" t="inlineStr">
        <is>
          <t>31 Oktober 2023</t>
        </is>
      </c>
      <c r="I110" s="2" t="n">
        <v>46335</v>
      </c>
      <c r="J110" t="inlineStr">
        <is>
          <t>Disetujui</t>
        </is>
      </c>
      <c r="K110" t="n">
        <v>60</v>
      </c>
      <c r="L110" t="inlineStr">
        <is>
          <t>9 November 2026</t>
        </is>
      </c>
      <c r="M110" t="inlineStr">
        <is>
          <t>Jasa Rekayasa Konstruksi Bangunan Gedung Hunian dan Non Hunian, Jasa Rekayasa Pekerjaan Teknik Sipil Sumber Daya Air</t>
        </is>
      </c>
      <c r="N110" t="inlineStr">
        <is>
          <t>K</t>
        </is>
      </c>
      <c r="O110" t="inlineStr">
        <is>
          <t>20231103</t>
        </is>
      </c>
      <c r="P110" t="inlineStr">
        <is>
          <t>Sumatera Barat</t>
        </is>
      </c>
      <c r="Q110" t="inlineStr"/>
    </row>
    <row r="111">
      <c r="A111" t="inlineStr">
        <is>
          <t>YASTIRA MULIA KONTRINDO</t>
        </is>
      </c>
      <c r="B111" t="inlineStr">
        <is>
          <t>Kota Tidore Kepulauan</t>
        </is>
      </c>
      <c r="C111" t="inlineStr">
        <is>
          <t>085310001723</t>
        </is>
      </c>
      <c r="D111" t="inlineStr">
        <is>
          <t>ptyastiramuliakontrindo@gmail.com</t>
        </is>
      </c>
      <c r="E111" t="inlineStr">
        <is>
          <t>https://lpjk.pu.go.id/search-badan-usaha-detail/dTBHZHNvdjY2SHJUYlFmTXlXSENEUT09</t>
        </is>
      </c>
      <c r="F111" t="n">
        <v>2</v>
      </c>
      <c r="G111" t="inlineStr">
        <is>
          <t>BG005</t>
        </is>
      </c>
      <c r="H111" t="inlineStr">
        <is>
          <t>24 Februari 2016</t>
        </is>
      </c>
      <c r="I111" s="2" t="n">
        <v>46335</v>
      </c>
      <c r="J111" t="inlineStr">
        <is>
          <t>Disetujui</t>
        </is>
      </c>
      <c r="K111" t="n">
        <v>60</v>
      </c>
      <c r="L111" t="inlineStr">
        <is>
          <t>9 November 2026</t>
        </is>
      </c>
      <c r="M111" t="inlineStr">
        <is>
          <t>Konstruksi Gedung Kesehatan</t>
        </is>
      </c>
      <c r="N111" t="inlineStr">
        <is>
          <t>M</t>
        </is>
      </c>
      <c r="O111" t="inlineStr">
        <is>
          <t>20231102</t>
        </is>
      </c>
      <c r="P111" t="inlineStr">
        <is>
          <t>Maluku Utara</t>
        </is>
      </c>
      <c r="Q1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4"/>
  <sheetViews>
    <sheetView workbookViewId="0">
      <selection activeCell="A1" sqref="A1"/>
    </sheetView>
  </sheetViews>
  <sheetFormatPr baseColWidth="8" defaultRowHeight="15"/>
  <cols>
    <col width="50"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AGIL FARHAH PRATAMA</t>
        </is>
      </c>
      <c r="B2" t="inlineStr">
        <is>
          <t>Kab. Bekasi</t>
        </is>
      </c>
      <c r="C2" t="inlineStr">
        <is>
          <t>082125128009</t>
        </is>
      </c>
      <c r="D2" t="inlineStr">
        <is>
          <t>agilfarhahpratama@gmail.com</t>
        </is>
      </c>
      <c r="E2" t="inlineStr">
        <is>
          <t>https://lpjk.pu.go.id/search-badan-usaha-detail/OHF1Q3NteFRaQ3V3UU5ReU91RkpHUT09</t>
        </is>
      </c>
      <c r="F2" t="n">
        <v>2</v>
      </c>
      <c r="G2" t="inlineStr">
        <is>
          <t>BG005, BG008</t>
        </is>
      </c>
      <c r="H2" t="inlineStr">
        <is>
          <t>2 Januari 2006</t>
        </is>
      </c>
      <c r="I2" s="2" t="n">
        <v>46305</v>
      </c>
      <c r="J2" t="inlineStr">
        <is>
          <t>Disetujui</t>
        </is>
      </c>
      <c r="K2" t="n">
        <v>30</v>
      </c>
      <c r="L2" t="inlineStr">
        <is>
          <t>10 Oktober 2026</t>
        </is>
      </c>
      <c r="M2" t="inlineStr">
        <is>
          <t>Konstruksi Gedung Kesehatan, Konstruksi Gedung Tempat Hiburan dan Olahraga</t>
        </is>
      </c>
      <c r="N2" t="inlineStr">
        <is>
          <t>K</t>
        </is>
      </c>
      <c r="O2" t="inlineStr">
        <is>
          <t>20231005, 20231017</t>
        </is>
      </c>
      <c r="P2" t="inlineStr">
        <is>
          <t>Jawa Barat</t>
        </is>
      </c>
      <c r="Q2" s="3">
        <f>HYPERLINK("https://wa.me/6282125128009?text=*[Pengingat Masa Berlaku SBU AGIL FARHAH PRATAMA]*%0A%0AYth. Pimpinan AGIL FARHAH PRATAMA,%0AMohon izin menginformasikan status SBU Anda:%0A%0A📄 SBU: BG005, BG008%0A📅 Expired: 10 Oktober 2026 (30 Hari Lagi)%0A%0AKami tim PT. ESDEA Assistance Management siap men-support proses perpanjangan segera agar administrasi proyek tidak terhambat%0A%0AApakah boleh saya bantu siapkan estimasi biaya dan waktu pengerjaannya?.", "Hubungi")</f>
        <v/>
      </c>
    </row>
    <row r="3">
      <c r="A3" t="inlineStr">
        <is>
          <t>ARGA KARYA MANDIRI</t>
        </is>
      </c>
      <c r="B3" t="inlineStr">
        <is>
          <t>Kota Depok</t>
        </is>
      </c>
      <c r="C3" t="inlineStr">
        <is>
          <t>082113440536</t>
        </is>
      </c>
      <c r="D3" t="inlineStr">
        <is>
          <t>argakarya.mandiri@gmail.com</t>
        </is>
      </c>
      <c r="E3" t="inlineStr">
        <is>
          <t>https://lpjk.pu.go.id/search-badan-usaha-detail/R2dBRmFJazEyTWtVWmZuN20xNXFkZz09</t>
        </is>
      </c>
      <c r="F3" t="n">
        <v>1</v>
      </c>
      <c r="G3" t="inlineStr">
        <is>
          <t>BS002</t>
        </is>
      </c>
      <c r="H3" t="inlineStr">
        <is>
          <t>25 April 2016</t>
        </is>
      </c>
      <c r="I3" s="2" t="n">
        <v>46305</v>
      </c>
      <c r="J3" t="inlineStr">
        <is>
          <t>Disetujui</t>
        </is>
      </c>
      <c r="K3" t="n">
        <v>30</v>
      </c>
      <c r="L3" t="inlineStr">
        <is>
          <t>10 Oktober 2026</t>
        </is>
      </c>
      <c r="M3" t="inlineStr">
        <is>
          <t>Bangunan Sipil Jembatan, Jalan Layang, Fly Over, dan Underpass</t>
        </is>
      </c>
      <c r="N3" t="inlineStr">
        <is>
          <t>K</t>
        </is>
      </c>
      <c r="O3" t="inlineStr">
        <is>
          <t>20231005</t>
        </is>
      </c>
      <c r="P3" t="inlineStr">
        <is>
          <t>Jawa Barat</t>
        </is>
      </c>
      <c r="Q3" s="3">
        <f>HYPERLINK("https://wa.me/6282113440536?text=*[Pengingat Masa Berlaku SBU ARGA KARYA MANDIRI]*%0A%0AYth. Pimpinan ARGA KARYA MANDIRI,%0AMohon izin menginformasikan status SBU Anda:%0A%0A📄 SBU: BS002%0A📅 Expired: 10 Oktober 2026 (30 Hari Lagi)%0A%0AKami tim PT. ESDEA Assistance Management siap men-support proses perpanjangan segera agar administrasi proyek tidak terhambat%0A%0AApakah boleh saya bantu siapkan estimasi biaya dan waktu pengerjaannya?.", "Hubungi")</f>
        <v/>
      </c>
    </row>
    <row r="4">
      <c r="A4" t="inlineStr">
        <is>
          <t>DAYA CIPTA ANUGERAH MANDIRI</t>
        </is>
      </c>
      <c r="B4" t="inlineStr">
        <is>
          <t>Kota Adm. Jakarta Timur</t>
        </is>
      </c>
      <c r="C4" t="inlineStr">
        <is>
          <t>0218518276</t>
        </is>
      </c>
      <c r="D4" t="inlineStr">
        <is>
          <t>accounting@anugerahgoc.com</t>
        </is>
      </c>
      <c r="E4" t="inlineStr">
        <is>
          <t>https://lpjk.pu.go.id/search-badan-usaha-detail/R0pTSlhUSTBxUW5rdHY5M0J5Q01Rdz09</t>
        </is>
      </c>
      <c r="F4" t="n">
        <v>1</v>
      </c>
      <c r="G4" t="inlineStr">
        <is>
          <t>IN008</t>
        </is>
      </c>
      <c r="H4" t="inlineStr">
        <is>
          <t>29 Juli 2008</t>
        </is>
      </c>
      <c r="I4" s="2" t="n">
        <v>46305</v>
      </c>
      <c r="J4" t="inlineStr">
        <is>
          <t>Disetujui</t>
        </is>
      </c>
      <c r="K4" t="n">
        <v>30</v>
      </c>
      <c r="L4" t="inlineStr">
        <is>
          <t>10 Oktober 2026</t>
        </is>
      </c>
      <c r="M4" t="inlineStr">
        <is>
          <t>Instalasi Pendingin Dan Ventilasi Udara</t>
        </is>
      </c>
      <c r="N4" t="inlineStr">
        <is>
          <t>Spesialis</t>
        </is>
      </c>
      <c r="O4" t="inlineStr">
        <is>
          <t>20230914</t>
        </is>
      </c>
      <c r="P4" t="inlineStr">
        <is>
          <t>DKI Jakarta</t>
        </is>
      </c>
      <c r="Q4" t="inlineStr"/>
    </row>
    <row r="5">
      <c r="A5" t="inlineStr">
        <is>
          <t>GOSYEN CEMERLANG ABADI</t>
        </is>
      </c>
      <c r="B5" t="inlineStr">
        <is>
          <t>Kab. Bogor</t>
        </is>
      </c>
      <c r="C5" t="inlineStr">
        <is>
          <t>085867846628</t>
        </is>
      </c>
      <c r="D5" t="inlineStr">
        <is>
          <t>sun.consultantid@gmail.com</t>
        </is>
      </c>
      <c r="E5" t="inlineStr">
        <is>
          <t>https://lpjk.pu.go.id/search-badan-usaha-detail/M1JQeHhiSHNjWTdJQS9NQ2dvYjIzdz09</t>
        </is>
      </c>
      <c r="F5" t="n">
        <v>4</v>
      </c>
      <c r="G5" t="inlineStr">
        <is>
          <t>BG005, BG006, BG009, BS001</t>
        </is>
      </c>
      <c r="H5" t="inlineStr">
        <is>
          <t>11 Oktober 2022</t>
        </is>
      </c>
      <c r="I5" s="2" t="n">
        <v>46305</v>
      </c>
      <c r="J5" t="inlineStr">
        <is>
          <t>Pencabutan</t>
        </is>
      </c>
      <c r="K5" t="n">
        <v>30</v>
      </c>
      <c r="L5" t="inlineStr">
        <is>
          <t>10 Oktober 2026</t>
        </is>
      </c>
      <c r="M5" t="inlineStr">
        <is>
          <t>Konstruksi Bangunan Sipil Jalan, Konstruksi Gedung Kesehatan, Konstruksi Gedung Lainnya, Konstruksi Gedung Pendidikan</t>
        </is>
      </c>
      <c r="N5" t="inlineStr">
        <is>
          <t>K</t>
        </is>
      </c>
      <c r="O5" t="inlineStr">
        <is>
          <t>20231006, 20231007</t>
        </is>
      </c>
      <c r="P5" t="inlineStr">
        <is>
          <t>Jawa Barat</t>
        </is>
      </c>
      <c r="Q5" s="3">
        <f>HYPERLINK("https://wa.me/6285867846628?text=*[Pengingat Masa Berlaku SBU GOSYEN CEMERLANG ABADI]*%0A%0AYth. Pimpinan GOSYEN CEMERLANG ABADI,%0AMohon izin menginformasikan status SBU Anda:%0A%0A📄 SBU: BG005, BG006, BG009, BS001%0A📅 Expired: 10 Oktober 2026 (30 Hari Lagi)%0A%0AKami tim PT. ESDEA Assistance Management siap men-support proses perpanjangan segera agar administrasi proyek tidak terhambat%0A%0AApakah boleh saya bantu siapkan estimasi biaya dan waktu pengerjaannya?.", "Hubungi")</f>
        <v/>
      </c>
    </row>
    <row r="6">
      <c r="A6" t="inlineStr">
        <is>
          <t>INDAH BANGUN SARANA</t>
        </is>
      </c>
      <c r="B6" t="inlineStr">
        <is>
          <t>Kab. Bogor</t>
        </is>
      </c>
      <c r="C6" t="inlineStr">
        <is>
          <t>081270701116</t>
        </is>
      </c>
      <c r="D6" t="inlineStr">
        <is>
          <t>ibscv@ymail.com</t>
        </is>
      </c>
      <c r="E6" t="inlineStr">
        <is>
          <t>https://lpjk.pu.go.id/search-badan-usaha-detail/RlBxOVhNZzZYeDdTQW9weVpaNU1Ndz09</t>
        </is>
      </c>
      <c r="F6" t="n">
        <v>3</v>
      </c>
      <c r="G6" t="inlineStr">
        <is>
          <t>BG001, BG002, BG009</t>
        </is>
      </c>
      <c r="H6" t="inlineStr">
        <is>
          <t>17 Mei 2003</t>
        </is>
      </c>
      <c r="I6" s="2" t="n">
        <v>46305</v>
      </c>
      <c r="J6" t="inlineStr">
        <is>
          <t>Disetujui</t>
        </is>
      </c>
      <c r="K6" t="n">
        <v>30</v>
      </c>
      <c r="L6" t="inlineStr">
        <is>
          <t>10 Oktober 2026</t>
        </is>
      </c>
      <c r="M6" t="inlineStr">
        <is>
          <t>Konstruksi Gedung Hunian, Konstruksi Gedung Lainnya, Konstruksi Gedung Perkantoran</t>
        </is>
      </c>
      <c r="N6" t="inlineStr">
        <is>
          <t>K</t>
        </is>
      </c>
      <c r="O6" t="inlineStr">
        <is>
          <t>20231010</t>
        </is>
      </c>
      <c r="P6" t="inlineStr">
        <is>
          <t>Jawa Barat</t>
        </is>
      </c>
      <c r="Q6" s="3">
        <f>HYPERLINK("https://wa.me/6281270701116?text=*[Pengingat Masa Berlaku SBU INDAH BANGUN SARANA]*%0A%0AYth. Pimpinan INDAH BANGUN SARANA,%0AMohon izin menginformasikan status SBU Anda:%0A%0A📄 SBU: BG001, BG002, BG009%0A📅 Expired: 10 Oktober 2026 (30 Hari Lagi)%0A%0AKami tim PT. ESDEA Assistance Management siap men-support proses perpanjangan segera agar administrasi proyek tidak terhambat%0A%0AApakah boleh saya bantu siapkan estimasi biaya dan waktu pengerjaannya?.", "Hubungi")</f>
        <v/>
      </c>
    </row>
    <row r="7">
      <c r="A7" t="inlineStr">
        <is>
          <t>JAPRES HIKMAT</t>
        </is>
      </c>
      <c r="B7" t="inlineStr">
        <is>
          <t>Kota Bekasi</t>
        </is>
      </c>
      <c r="C7" t="inlineStr">
        <is>
          <t>0218860333</t>
        </is>
      </c>
      <c r="D7" t="inlineStr">
        <is>
          <t>japreshikmat@gmail.com</t>
        </is>
      </c>
      <c r="E7" t="inlineStr">
        <is>
          <t>https://lpjk.pu.go.id/search-badan-usaha-detail/aHAyVWpqR05YOXNxeFlGbmdDKzZpdz09</t>
        </is>
      </c>
      <c r="F7" t="n">
        <v>1</v>
      </c>
      <c r="G7" t="inlineStr">
        <is>
          <t>BG009</t>
        </is>
      </c>
      <c r="H7" t="inlineStr">
        <is>
          <t>4 April 1986</t>
        </is>
      </c>
      <c r="I7" s="2" t="n">
        <v>46305</v>
      </c>
      <c r="J7" t="inlineStr">
        <is>
          <t>Pencabutan</t>
        </is>
      </c>
      <c r="K7" t="n">
        <v>30</v>
      </c>
      <c r="L7" t="inlineStr">
        <is>
          <t>10 Oktober 2026</t>
        </is>
      </c>
      <c r="M7" t="inlineStr">
        <is>
          <t>Konstruksi Gedung Lainnya</t>
        </is>
      </c>
      <c r="N7" t="inlineStr">
        <is>
          <t>K</t>
        </is>
      </c>
      <c r="O7" t="inlineStr">
        <is>
          <t>20231010</t>
        </is>
      </c>
      <c r="P7" t="inlineStr">
        <is>
          <t>Jawa Barat</t>
        </is>
      </c>
      <c r="Q7" t="inlineStr"/>
    </row>
    <row r="8">
      <c r="A8" t="inlineStr">
        <is>
          <t>KAHAYA ASABAMA</t>
        </is>
      </c>
      <c r="B8" t="inlineStr">
        <is>
          <t>Kota Bekasi</t>
        </is>
      </c>
      <c r="C8" t="inlineStr">
        <is>
          <t>081311110879</t>
        </is>
      </c>
      <c r="D8" t="inlineStr">
        <is>
          <t>kahayaasabama.pt@gmail.com</t>
        </is>
      </c>
      <c r="E8" t="inlineStr">
        <is>
          <t>https://lpjk.pu.go.id/search-badan-usaha-detail/ZkV2anlUbEVMVDdUTXM1V0FlVmIzdz09</t>
        </is>
      </c>
      <c r="F8" t="n">
        <v>1</v>
      </c>
      <c r="G8" t="inlineStr">
        <is>
          <t>BG001</t>
        </is>
      </c>
      <c r="H8" t="inlineStr">
        <is>
          <t>7 April 2011</t>
        </is>
      </c>
      <c r="I8" s="2" t="n">
        <v>46305</v>
      </c>
      <c r="J8" t="inlineStr">
        <is>
          <t>Disetujui</t>
        </is>
      </c>
      <c r="K8" t="n">
        <v>30</v>
      </c>
      <c r="L8" t="inlineStr">
        <is>
          <t>10 Oktober 2026</t>
        </is>
      </c>
      <c r="M8" t="inlineStr">
        <is>
          <t>Konstruksi Gedung Hunian</t>
        </is>
      </c>
      <c r="N8" t="inlineStr">
        <is>
          <t>K</t>
        </is>
      </c>
      <c r="O8" t="inlineStr">
        <is>
          <t>20231004</t>
        </is>
      </c>
      <c r="P8" t="inlineStr">
        <is>
          <t>Jawa Barat</t>
        </is>
      </c>
      <c r="Q8" s="3">
        <f>HYPERLINK("https://wa.me/6281311110879?text=*[Pengingat Masa Berlaku SBU KAHAYA ASABAMA]*%0A%0AYth. Pimpinan KAHAYA ASABAMA,%0AMohon izin menginformasikan status SBU Anda:%0A%0A📄 SBU: BG001%0A📅 Expired: 10 Oktober 2026 (30 Hari Lagi)%0A%0AKami tim PT. ESDEA Assistance Management siap men-support proses perpanjangan segera agar administrasi proyek tidak terhambat%0A%0AApakah boleh saya bantu siapkan estimasi biaya dan waktu pengerjaannya?.", "Hubungi")</f>
        <v/>
      </c>
    </row>
    <row r="9">
      <c r="A9" t="inlineStr">
        <is>
          <t>MEGAH GELORA UTAMA</t>
        </is>
      </c>
      <c r="B9" t="inlineStr">
        <is>
          <t>Kota Bekasi</t>
        </is>
      </c>
      <c r="C9" t="inlineStr">
        <is>
          <t>081310066673</t>
        </is>
      </c>
      <c r="D9" t="inlineStr">
        <is>
          <t>megah.gelora.utama@gmail.com</t>
        </is>
      </c>
      <c r="E9" t="inlineStr">
        <is>
          <t>https://lpjk.pu.go.id/search-badan-usaha-detail/VzhSWWl4QjFkN1pMci9WTGdzcUVJZz09</t>
        </is>
      </c>
      <c r="F9" t="n">
        <v>2</v>
      </c>
      <c r="G9" t="inlineStr">
        <is>
          <t>BG002</t>
        </is>
      </c>
      <c r="H9" t="inlineStr">
        <is>
          <t>22 September 2014</t>
        </is>
      </c>
      <c r="I9" s="2" t="n">
        <v>46305</v>
      </c>
      <c r="J9" t="inlineStr">
        <is>
          <t>Pembekuan</t>
        </is>
      </c>
      <c r="K9" t="n">
        <v>30</v>
      </c>
      <c r="L9" t="inlineStr">
        <is>
          <t>10 Oktober 2026</t>
        </is>
      </c>
      <c r="M9" t="inlineStr">
        <is>
          <t>Konstruksi Gedung Perkantoran</t>
        </is>
      </c>
      <c r="N9" t="inlineStr">
        <is>
          <t>M</t>
        </is>
      </c>
      <c r="O9" t="inlineStr">
        <is>
          <t>20231006</t>
        </is>
      </c>
      <c r="P9" t="inlineStr">
        <is>
          <t>Jawa Barat</t>
        </is>
      </c>
      <c r="Q9" s="3">
        <f>HYPERLINK("https://wa.me/6281310066673?text=*[Pengingat Masa Berlaku SBU MEGAH GELORA UTAMA]*%0A%0AYth. Pimpinan MEGAH GELORA UTAMA,%0AMohon izin menginformasikan status SBU Anda:%0A%0A📄 SBU: BG002%0A📅 Expired: 10 Oktober 2026 (30 Hari Lagi)%0A%0AKami tim PT. ESDEA Assistance Management siap men-support proses perpanjangan segera agar administrasi proyek tidak terhambat%0A%0AApakah boleh saya bantu siapkan estimasi biaya dan waktu pengerjaannya?.", "Hubungi")</f>
        <v/>
      </c>
    </row>
    <row r="10">
      <c r="A10" t="inlineStr">
        <is>
          <t>MONDILLA BERSAUDARA</t>
        </is>
      </c>
      <c r="B10" t="inlineStr">
        <is>
          <t>Kota Bekasi</t>
        </is>
      </c>
      <c r="C10" t="inlineStr">
        <is>
          <t>0218452622</t>
        </is>
      </c>
      <c r="D10" t="inlineStr">
        <is>
          <t>mondillabersaudara@gmail.com</t>
        </is>
      </c>
      <c r="E10" t="inlineStr">
        <is>
          <t>https://lpjk.pu.go.id/search-badan-usaha-detail/bDNwOUY3cXF1TSt6NENISnFEKzk5QT09</t>
        </is>
      </c>
      <c r="F10" t="n">
        <v>4</v>
      </c>
      <c r="G10" t="inlineStr">
        <is>
          <t>BG002, BG009</t>
        </is>
      </c>
      <c r="H10" t="inlineStr">
        <is>
          <t>11 Mei 1999</t>
        </is>
      </c>
      <c r="I10" s="2" t="n">
        <v>46305</v>
      </c>
      <c r="J10" t="inlineStr">
        <is>
          <t>Disetujui</t>
        </is>
      </c>
      <c r="K10" t="n">
        <v>30</v>
      </c>
      <c r="L10" t="inlineStr">
        <is>
          <t>10 Oktober 2026</t>
        </is>
      </c>
      <c r="M10" t="inlineStr">
        <is>
          <t>Konstruksi Gedung Lainnya, Konstruksi Gedung Perkantoran</t>
        </is>
      </c>
      <c r="N10" t="inlineStr">
        <is>
          <t>K</t>
        </is>
      </c>
      <c r="O10" t="inlineStr">
        <is>
          <t>20231005</t>
        </is>
      </c>
      <c r="P10" t="inlineStr">
        <is>
          <t>Jawa Barat</t>
        </is>
      </c>
      <c r="Q10" t="inlineStr"/>
    </row>
    <row r="11">
      <c r="A11" t="inlineStr">
        <is>
          <t>NAMORA ABADI WIJAYA</t>
        </is>
      </c>
      <c r="B11" t="inlineStr">
        <is>
          <t>Kota Adm. Jakarta Timur</t>
        </is>
      </c>
      <c r="C11" t="inlineStr">
        <is>
          <t>081297908254</t>
        </is>
      </c>
      <c r="D11" t="inlineStr">
        <is>
          <t>namoraabadiwijaya@gmail.com</t>
        </is>
      </c>
      <c r="E11" t="inlineStr">
        <is>
          <t>https://lpjk.pu.go.id/search-badan-usaha-detail/MHBQZlJBemhWTmJEdmloS2hWQ3ZxQT09</t>
        </is>
      </c>
      <c r="F11" t="n">
        <v>1</v>
      </c>
      <c r="G11" t="inlineStr">
        <is>
          <t>BS002</t>
        </is>
      </c>
      <c r="H11" t="inlineStr">
        <is>
          <t>29 Mei 2023</t>
        </is>
      </c>
      <c r="I11" s="2" t="n">
        <v>46305</v>
      </c>
      <c r="J11" t="inlineStr">
        <is>
          <t>Disetujui</t>
        </is>
      </c>
      <c r="K11" t="n">
        <v>30</v>
      </c>
      <c r="L11" t="inlineStr">
        <is>
          <t>10 Oktober 2026</t>
        </is>
      </c>
      <c r="M11" t="inlineStr">
        <is>
          <t>Bangunan Sipil Jembatan, Jalan Layang, Fly Over, dan Underpass</t>
        </is>
      </c>
      <c r="N11" t="inlineStr">
        <is>
          <t>K</t>
        </is>
      </c>
      <c r="O11" t="inlineStr">
        <is>
          <t>20231010</t>
        </is>
      </c>
      <c r="P11" t="inlineStr">
        <is>
          <t>DKI Jakarta</t>
        </is>
      </c>
      <c r="Q11" s="3">
        <f>HYPERLINK("https://wa.me/6281297908254?text=*[Pengingat Masa Berlaku SBU NAMORA ABADI WIJAYA]*%0A%0AYth. Pimpinan NAMORA ABADI WIJAYA,%0AMohon izin menginformasikan status SBU Anda:%0A%0A📄 SBU: BS002%0A📅 Expired: 10 Oktober 2026 (30 Hari Lagi)%0A%0AKami tim PT. ESDEA Assistance Management siap men-support proses perpanjangan segera agar administrasi proyek tidak terhambat%0A%0AApakah boleh saya bantu siapkan estimasi biaya dan waktu pengerjaannya?.", "Hubungi")</f>
        <v/>
      </c>
    </row>
    <row r="12">
      <c r="A12" t="inlineStr">
        <is>
          <t>PERUSAHAAN PERSEROAN (PERSERO) PT AGRINAS PALMA NUSANTARA</t>
        </is>
      </c>
      <c r="B12" t="inlineStr">
        <is>
          <t>Kota Adm. Jakarta Timur</t>
        </is>
      </c>
      <c r="C12" t="inlineStr">
        <is>
          <t>0218192636</t>
        </is>
      </c>
      <c r="D12" t="inlineStr">
        <is>
          <t>direktorat.legal@agrinaspalma.id</t>
        </is>
      </c>
      <c r="E12" t="inlineStr">
        <is>
          <t>https://lpjk.pu.go.id/search-badan-usaha-detail/bGtOS2NjREttcDFMSEhGVmJGTnd1Tm0vVGNBdDIzTGEwbEhCMHdYZXJuWT0</t>
        </is>
      </c>
      <c r="F12" t="n">
        <v>3</v>
      </c>
      <c r="G12" t="inlineStr">
        <is>
          <t>IT001, IT002, IT003</t>
        </is>
      </c>
      <c r="H12" t="inlineStr">
        <is>
          <t>27 Maret 2025</t>
        </is>
      </c>
      <c r="I12" s="2" t="n">
        <v>46305</v>
      </c>
      <c r="J12" t="inlineStr">
        <is>
          <t>Disetujui</t>
        </is>
      </c>
      <c r="K12" t="n">
        <v>30</v>
      </c>
      <c r="L12" t="inlineStr">
        <is>
          <t>10 Oktober 2026</t>
        </is>
      </c>
      <c r="M12" t="inlineStr">
        <is>
          <t>Jasa Konsultansi Ilmiah dan Teknis Bawah Tanah, Jasa Konsultansi Ilmiah dan Teknis Permukaan Tanah dan Pembuatan Peta, Jasa Pembuatan Prospektus Geologi dan Geofisika</t>
        </is>
      </c>
      <c r="N12" t="inlineStr">
        <is>
          <t>Spesialis</t>
        </is>
      </c>
      <c r="O12" t="inlineStr">
        <is>
          <t>20231002</t>
        </is>
      </c>
      <c r="P12" t="inlineStr">
        <is>
          <t>DKI Jakarta</t>
        </is>
      </c>
      <c r="Q12" t="inlineStr"/>
    </row>
    <row r="13">
      <c r="A13" t="inlineStr">
        <is>
          <t>RAMADHAN PRATAMA MANDIRI</t>
        </is>
      </c>
      <c r="B13" t="inlineStr">
        <is>
          <t>Kota Bogor</t>
        </is>
      </c>
      <c r="C13" t="inlineStr">
        <is>
          <t>087770136774</t>
        </is>
      </c>
      <c r="D13" t="inlineStr">
        <is>
          <t>ramadhanpratamamandiri@gmail.com</t>
        </is>
      </c>
      <c r="E13" t="inlineStr">
        <is>
          <t>https://lpjk.pu.go.id/search-badan-usaha-detail/RGdOQmJUaHpJSDE1V09JR1duZk85Zz09</t>
        </is>
      </c>
      <c r="F13" t="n">
        <v>8</v>
      </c>
      <c r="G13" t="inlineStr">
        <is>
          <t>BG005, BG009, BS001, BS004</t>
        </is>
      </c>
      <c r="H13" t="inlineStr">
        <is>
          <t>16 Juli 2013</t>
        </is>
      </c>
      <c r="I13" s="2" t="n">
        <v>46305</v>
      </c>
      <c r="J13" t="inlineStr">
        <is>
          <t>Pencabutan</t>
        </is>
      </c>
      <c r="K13" t="n">
        <v>30</v>
      </c>
      <c r="L13" t="inlineStr">
        <is>
          <t>10 Oktober 2026</t>
        </is>
      </c>
      <c r="M13" t="inlineStr">
        <is>
          <t>Konstruksi Bangunan Sipil Jalan, Konstruksi Gedung Kesehatan, Konstruksi Gedung Lainnya, Konstruksi Jaringan Irigasi dan Drainase</t>
        </is>
      </c>
      <c r="N13" t="inlineStr">
        <is>
          <t>K</t>
        </is>
      </c>
      <c r="O13" t="inlineStr">
        <is>
          <t>20231009</t>
        </is>
      </c>
      <c r="P13" t="inlineStr">
        <is>
          <t>Jawa Barat</t>
        </is>
      </c>
      <c r="Q13" s="3">
        <f>HYPERLINK("https://wa.me/6287770136774?text=*[Pengingat Masa Berlaku SBU RAMADHAN PRATAMA MANDIRI]*%0A%0AYth. Pimpinan RAMADHAN PRATAMA MANDIRI,%0AMohon izin menginformasikan status SBU Anda:%0A%0A📄 SBU: BG005, BG009, BS001, BS004%0A📅 Expired: 10 Oktober 2026 (30 Hari Lagi)%0A%0AKami tim PT. ESDEA Assistance Management siap men-support proses perpanjangan segera agar administrasi proyek tidak terhambat%0A%0AApakah boleh saya bantu siapkan estimasi biaya dan waktu pengerjaannya?.", "Hubungi")</f>
        <v/>
      </c>
    </row>
    <row r="14">
      <c r="A14" t="inlineStr">
        <is>
          <t>TAPAK BIMO ROSO</t>
        </is>
      </c>
      <c r="B14" t="inlineStr">
        <is>
          <t>Kota Bekasi</t>
        </is>
      </c>
      <c r="C14" t="inlineStr">
        <is>
          <t>02189453368</t>
        </is>
      </c>
      <c r="D14" t="inlineStr">
        <is>
          <t>tapakbimoroso@gmail.com</t>
        </is>
      </c>
      <c r="E14" t="inlineStr">
        <is>
          <t>https://lpjk.pu.go.id/search-badan-usaha-detail/MU04cnZncW1yZiswVnYzWEJTVUpkdz09</t>
        </is>
      </c>
      <c r="F14" t="n">
        <v>1</v>
      </c>
      <c r="G14" t="inlineStr">
        <is>
          <t>BG003</t>
        </is>
      </c>
      <c r="H14" t="inlineStr">
        <is>
          <t>11 Juni 2015</t>
        </is>
      </c>
      <c r="I14" s="2" t="n">
        <v>46305</v>
      </c>
      <c r="J14" t="inlineStr">
        <is>
          <t>Disetujui</t>
        </is>
      </c>
      <c r="K14" t="n">
        <v>30</v>
      </c>
      <c r="L14" t="inlineStr">
        <is>
          <t>10 Oktober 2026</t>
        </is>
      </c>
      <c r="M14" t="inlineStr">
        <is>
          <t>Konstruksi Gedung Industri</t>
        </is>
      </c>
      <c r="N14" t="inlineStr">
        <is>
          <t>K</t>
        </is>
      </c>
      <c r="O14" t="inlineStr">
        <is>
          <t>20231006</t>
        </is>
      </c>
      <c r="P14" t="inlineStr">
        <is>
          <t>Jawa Barat</t>
        </is>
      </c>
      <c r="Q14" t="inlineStr"/>
    </row>
    <row r="15">
      <c r="A15" t="inlineStr">
        <is>
          <t>TRI PUTRA MARANGGI</t>
        </is>
      </c>
      <c r="B15" t="inlineStr">
        <is>
          <t>Kab. Bekasi</t>
        </is>
      </c>
      <c r="C15" t="inlineStr">
        <is>
          <t>02188366934</t>
        </is>
      </c>
      <c r="D15" t="inlineStr">
        <is>
          <t>triputramaranggi@gmail.com</t>
        </is>
      </c>
      <c r="E15" t="inlineStr">
        <is>
          <t>https://lpjk.pu.go.id/search-badan-usaha-detail/K1FweEpLOGoybjlaWXhwR3dibjlhZz09</t>
        </is>
      </c>
      <c r="F15" t="n">
        <v>1</v>
      </c>
      <c r="G15" t="inlineStr">
        <is>
          <t>BS004</t>
        </is>
      </c>
      <c r="H15" t="inlineStr">
        <is>
          <t>12 April 2012</t>
        </is>
      </c>
      <c r="I15" s="2" t="n">
        <v>46305</v>
      </c>
      <c r="J15" t="inlineStr">
        <is>
          <t>Disetujui</t>
        </is>
      </c>
      <c r="K15" t="n">
        <v>30</v>
      </c>
      <c r="L15" t="inlineStr">
        <is>
          <t>10 Oktober 2026</t>
        </is>
      </c>
      <c r="M15" t="inlineStr">
        <is>
          <t>Konstruksi Jaringan Irigasi dan Drainase</t>
        </is>
      </c>
      <c r="N15" t="inlineStr">
        <is>
          <t>K</t>
        </is>
      </c>
      <c r="O15" t="inlineStr">
        <is>
          <t>20231006</t>
        </is>
      </c>
      <c r="P15" t="inlineStr">
        <is>
          <t>Jawa Barat</t>
        </is>
      </c>
      <c r="Q15" t="inlineStr"/>
    </row>
    <row r="16">
      <c r="A16" t="inlineStr">
        <is>
          <t>ADHIE JAYA MUKTI</t>
        </is>
      </c>
      <c r="B16" t="inlineStr">
        <is>
          <t>Kab. Jepara</t>
        </is>
      </c>
      <c r="C16" t="inlineStr">
        <is>
          <t>082328208453</t>
        </is>
      </c>
      <c r="D16" t="inlineStr">
        <is>
          <t>adhiejayamukti@gmail.com</t>
        </is>
      </c>
      <c r="E16" t="inlineStr">
        <is>
          <t>https://lpjk.pu.go.id/search-badan-usaha-detail/Nk8xM2FWMWt0TXN1Mjd6R2VzN1B6V1pLNzVXQXBJVnRtQmpDOEdvaGhCUT0</t>
        </is>
      </c>
      <c r="F16" t="n">
        <v>1</v>
      </c>
      <c r="G16" t="inlineStr">
        <is>
          <t>BS020</t>
        </is>
      </c>
      <c r="H16" t="inlineStr">
        <is>
          <t>18 November 2025</t>
        </is>
      </c>
      <c r="I16" s="2" t="n">
        <v>46305</v>
      </c>
      <c r="J16" t="inlineStr">
        <is>
          <t>Disetujui</t>
        </is>
      </c>
      <c r="K16" t="n">
        <v>30</v>
      </c>
      <c r="L16" t="inlineStr">
        <is>
          <t>10 Oktober 2026</t>
        </is>
      </c>
      <c r="M16" t="inlineStr">
        <is>
          <t>Konstruksi Jaringan Irigasi, Komunikasi, dan Limbah Lainnya</t>
        </is>
      </c>
      <c r="N16" t="inlineStr">
        <is>
          <t>K</t>
        </is>
      </c>
      <c r="O16" t="inlineStr">
        <is>
          <t>20231004</t>
        </is>
      </c>
      <c r="P16" t="inlineStr">
        <is>
          <t>Jawa Tengah</t>
        </is>
      </c>
      <c r="Q16" t="inlineStr"/>
    </row>
    <row r="17">
      <c r="A17" t="inlineStr">
        <is>
          <t>ADHIGANA JAYA SENTOSA</t>
        </is>
      </c>
      <c r="B17" t="inlineStr">
        <is>
          <t>Kota Tangerang Selatan</t>
        </is>
      </c>
      <c r="C17" t="inlineStr">
        <is>
          <t>02129030548</t>
        </is>
      </c>
      <c r="D17" t="inlineStr">
        <is>
          <t>adhigana.jaya.sentosa@gmail.com</t>
        </is>
      </c>
      <c r="E17" t="inlineStr">
        <is>
          <t>https://lpjk.pu.go.id/search-badan-usaha-detail/M01KWTREOGQvaEhGbHU5elkwaTZuQT09</t>
        </is>
      </c>
      <c r="F17" t="n">
        <v>2</v>
      </c>
      <c r="G17" t="inlineStr">
        <is>
          <t>BG006</t>
        </is>
      </c>
      <c r="H17" t="inlineStr">
        <is>
          <t>8 Desember 2014</t>
        </is>
      </c>
      <c r="I17" s="2" t="n">
        <v>46305</v>
      </c>
      <c r="J17" t="inlineStr">
        <is>
          <t>Disetujui</t>
        </is>
      </c>
      <c r="K17" t="n">
        <v>30</v>
      </c>
      <c r="L17" t="inlineStr">
        <is>
          <t>10 Oktober 2026</t>
        </is>
      </c>
      <c r="M17" t="inlineStr">
        <is>
          <t>Konstruksi Gedung Pendidikan</t>
        </is>
      </c>
      <c r="N17" t="inlineStr">
        <is>
          <t>K</t>
        </is>
      </c>
      <c r="O17" t="inlineStr">
        <is>
          <t>20231010</t>
        </is>
      </c>
      <c r="P17" t="inlineStr">
        <is>
          <t>Banten</t>
        </is>
      </c>
      <c r="Q17" t="inlineStr"/>
    </row>
    <row r="18">
      <c r="A18" t="inlineStr">
        <is>
          <t>AGUNG ADHI MANGGALA</t>
        </is>
      </c>
      <c r="B18" t="inlineStr">
        <is>
          <t>Kota Cilegon</t>
        </is>
      </c>
      <c r="C18" t="inlineStr">
        <is>
          <t>085216962403</t>
        </is>
      </c>
      <c r="D18" t="inlineStr">
        <is>
          <t>agungadhimanggala28@gmail.com</t>
        </is>
      </c>
      <c r="E18" t="inlineStr">
        <is>
          <t>https://lpjk.pu.go.id/search-badan-usaha-detail/bnYySFpyWmN5WTNFMTUxMGJvUEk2Zz09</t>
        </is>
      </c>
      <c r="F18" t="n">
        <v>2</v>
      </c>
      <c r="G18" t="inlineStr">
        <is>
          <t>BG002</t>
        </is>
      </c>
      <c r="H18" t="inlineStr">
        <is>
          <t>27 Maret 2023</t>
        </is>
      </c>
      <c r="I18" s="2" t="n">
        <v>46305</v>
      </c>
      <c r="J18" t="inlineStr">
        <is>
          <t>Disetujui</t>
        </is>
      </c>
      <c r="K18" t="n">
        <v>30</v>
      </c>
      <c r="L18" t="inlineStr">
        <is>
          <t>10 Oktober 2026</t>
        </is>
      </c>
      <c r="M18" t="inlineStr">
        <is>
          <t>Konstruksi Gedung Perkantoran</t>
        </is>
      </c>
      <c r="N18" t="inlineStr">
        <is>
          <t>K</t>
        </is>
      </c>
      <c r="O18" t="inlineStr">
        <is>
          <t>20231010</t>
        </is>
      </c>
      <c r="P18" t="inlineStr">
        <is>
          <t>Banten</t>
        </is>
      </c>
      <c r="Q18" t="inlineStr"/>
    </row>
    <row r="19">
      <c r="A19" t="inlineStr">
        <is>
          <t>ALOCITA MANDIRI</t>
        </is>
      </c>
      <c r="B19" t="inlineStr">
        <is>
          <t>Kota Bandung</t>
        </is>
      </c>
      <c r="C19" t="inlineStr">
        <is>
          <t>022 87307478</t>
        </is>
      </c>
      <c r="D19" t="inlineStr">
        <is>
          <t>alocitamandiri19@gmail.com</t>
        </is>
      </c>
      <c r="E19" t="inlineStr">
        <is>
          <t>https://lpjk.pu.go.id/search-badan-usaha-detail/STV6eW1oSCtuYUhuL21MbVV2MXB1UT09</t>
        </is>
      </c>
      <c r="F19" t="n">
        <v>12</v>
      </c>
      <c r="G19" t="inlineStr">
        <is>
          <t>AL004, AR002, RK001, RK002, RK003, RK004</t>
        </is>
      </c>
      <c r="H19" t="inlineStr">
        <is>
          <t>2 Maret 1992</t>
        </is>
      </c>
      <c r="I19" s="2" t="n">
        <v>46305</v>
      </c>
      <c r="J19" t="inlineStr">
        <is>
          <t>Disetujui</t>
        </is>
      </c>
      <c r="K19" t="n">
        <v>30</v>
      </c>
      <c r="L19" t="inlineStr">
        <is>
          <t>10 Oktober 2026</t>
        </is>
      </c>
      <c r="M19" t="inlineStr">
        <is>
          <t>Jasa Arsitektural Lainnya, Jasa Pengembangan Lingkungan Bangunan dan Lanskap, Jasa Rekayasa Konstruksi Bangunan Gedung Hunian dan Non Hunian, Jasa Rekayasa Pekerjaan Mekanikal Dalam Bangunan, Jasa Rekayasa Pekerjaan Teknik Sipil Sumber Daya Air, Jasa Rekayasa Pekerjaan Teknik Sipil Transportasi</t>
        </is>
      </c>
      <c r="N19" t="inlineStr">
        <is>
          <t>K</t>
        </is>
      </c>
      <c r="O19" t="inlineStr">
        <is>
          <t>20220726, 20230927, 20230929</t>
        </is>
      </c>
      <c r="P19" t="inlineStr">
        <is>
          <t>Jawa Barat</t>
        </is>
      </c>
      <c r="Q19" t="inlineStr"/>
    </row>
    <row r="20">
      <c r="A20" t="inlineStr">
        <is>
          <t>AMANAH MUTIARA MAHAKAM</t>
        </is>
      </c>
      <c r="B20" t="inlineStr">
        <is>
          <t>Kab. Kutai Kartanegara</t>
        </is>
      </c>
      <c r="C20" t="inlineStr">
        <is>
          <t>085246283726</t>
        </is>
      </c>
      <c r="D20" t="inlineStr">
        <is>
          <t>amanahkoperasikonsumen@gmail.com</t>
        </is>
      </c>
      <c r="E20" t="inlineStr">
        <is>
          <t>https://lpjk.pu.go.id/search-badan-usaha-detail/UTJobHk1MDd2bkdxM2MycGFKbXluQT09</t>
        </is>
      </c>
      <c r="F20" t="n">
        <v>6</v>
      </c>
      <c r="G20" t="inlineStr">
        <is>
          <t>BS001, BS004</t>
        </is>
      </c>
      <c r="H20" t="inlineStr">
        <is>
          <t>31 Agustus 2021</t>
        </is>
      </c>
      <c r="I20" s="2" t="n">
        <v>46305</v>
      </c>
      <c r="J20" t="inlineStr">
        <is>
          <t>Disetujui</t>
        </is>
      </c>
      <c r="K20" t="n">
        <v>30</v>
      </c>
      <c r="L20" t="inlineStr">
        <is>
          <t>10 Oktober 2026</t>
        </is>
      </c>
      <c r="M20" t="inlineStr">
        <is>
          <t>Konstruksi Bangunan Sipil Jalan, Konstruksi Jaringan Irigasi dan Drainase</t>
        </is>
      </c>
      <c r="N20" t="inlineStr">
        <is>
          <t>K</t>
        </is>
      </c>
      <c r="O20" t="inlineStr">
        <is>
          <t>20231009</t>
        </is>
      </c>
      <c r="P20" t="inlineStr">
        <is>
          <t>Kalimantan Timur</t>
        </is>
      </c>
      <c r="Q20" t="inlineStr"/>
    </row>
    <row r="21">
      <c r="A21" t="inlineStr">
        <is>
          <t>AMANJIVA GUNUNG PERKASA</t>
        </is>
      </c>
      <c r="B21" t="inlineStr">
        <is>
          <t>Kota Adm. Jakarta Utara</t>
        </is>
      </c>
      <c r="C21" t="inlineStr">
        <is>
          <t>02129451638</t>
        </is>
      </c>
      <c r="D21" t="inlineStr">
        <is>
          <t>dandungsukmawan2000@gmail.com</t>
        </is>
      </c>
      <c r="E21" t="inlineStr">
        <is>
          <t>https://lpjk.pu.go.id/search-badan-usaha-detail/OU01S3RxLzBTSGVQbWpEM2JCekM4dz09</t>
        </is>
      </c>
      <c r="F21" t="n">
        <v>1</v>
      </c>
      <c r="G21" t="inlineStr">
        <is>
          <t>BG003</t>
        </is>
      </c>
      <c r="H21" t="inlineStr">
        <is>
          <t>4 September 2023</t>
        </is>
      </c>
      <c r="I21" s="2" t="n">
        <v>46305</v>
      </c>
      <c r="J21" t="inlineStr">
        <is>
          <t>Disetujui</t>
        </is>
      </c>
      <c r="K21" t="n">
        <v>30</v>
      </c>
      <c r="L21" t="inlineStr">
        <is>
          <t>10 Oktober 2026</t>
        </is>
      </c>
      <c r="M21" t="inlineStr">
        <is>
          <t>Konstruksi Gedung Industri</t>
        </is>
      </c>
      <c r="N21" t="inlineStr">
        <is>
          <t>K</t>
        </is>
      </c>
      <c r="O21" t="inlineStr">
        <is>
          <t>20231009</t>
        </is>
      </c>
      <c r="P21" t="inlineStr">
        <is>
          <t>DKI Jakarta</t>
        </is>
      </c>
      <c r="Q21" t="inlineStr"/>
    </row>
    <row r="22">
      <c r="A22" t="inlineStr">
        <is>
          <t>ANDINI ABADI</t>
        </is>
      </c>
      <c r="B22" t="inlineStr">
        <is>
          <t>Kab. Banyuwangi</t>
        </is>
      </c>
      <c r="C22" t="inlineStr">
        <is>
          <t>081334944863</t>
        </is>
      </c>
      <c r="D22" t="inlineStr">
        <is>
          <t>andiniabadi.cv@gmail.com</t>
        </is>
      </c>
      <c r="E22" t="inlineStr">
        <is>
          <t>https://lpjk.pu.go.id/search-badan-usaha-detail/TDQ0cU1MWnNVUjRxcXBMZFBTZUJ1UT09</t>
        </is>
      </c>
      <c r="F22" t="n">
        <v>4</v>
      </c>
      <c r="G22" t="inlineStr">
        <is>
          <t>BG006, BG009</t>
        </is>
      </c>
      <c r="H22" t="inlineStr">
        <is>
          <t>5 Desember 2019</t>
        </is>
      </c>
      <c r="I22" s="2" t="n">
        <v>46305</v>
      </c>
      <c r="J22" t="inlineStr">
        <is>
          <t>Disetujui</t>
        </is>
      </c>
      <c r="K22" t="n">
        <v>30</v>
      </c>
      <c r="L22" t="inlineStr">
        <is>
          <t>10 Oktober 2026</t>
        </is>
      </c>
      <c r="M22" t="inlineStr">
        <is>
          <t>Konstruksi Gedung Lainnya, Konstruksi Gedung Pendidikan</t>
        </is>
      </c>
      <c r="N22" t="inlineStr">
        <is>
          <t>K</t>
        </is>
      </c>
      <c r="O22" t="inlineStr">
        <is>
          <t>20231011</t>
        </is>
      </c>
      <c r="P22" t="inlineStr">
        <is>
          <t>Jawa Timur</t>
        </is>
      </c>
      <c r="Q22" t="inlineStr"/>
    </row>
    <row r="23">
      <c r="A23" t="inlineStr">
        <is>
          <t>ANUGERAH ABADI</t>
        </is>
      </c>
      <c r="B23" t="inlineStr">
        <is>
          <t>Kab. Mamuju</t>
        </is>
      </c>
      <c r="C23" t="inlineStr">
        <is>
          <t>082290899992</t>
        </is>
      </c>
      <c r="D23" t="inlineStr">
        <is>
          <t>cvanugrahabadi009@gmail.com</t>
        </is>
      </c>
      <c r="E23" t="inlineStr">
        <is>
          <t>https://lpjk.pu.go.id/search-badan-usaha-detail/cXFSdGF0ZWd5bUx4QmxpNWJ6TStHZz09</t>
        </is>
      </c>
      <c r="F23" t="n">
        <v>1</v>
      </c>
      <c r="G23" t="inlineStr">
        <is>
          <t>BS004</t>
        </is>
      </c>
      <c r="H23" t="inlineStr">
        <is>
          <t>8 Maret 2013</t>
        </is>
      </c>
      <c r="I23" s="2" t="n">
        <v>46305</v>
      </c>
      <c r="J23" t="inlineStr">
        <is>
          <t>Pencabutan</t>
        </is>
      </c>
      <c r="K23" t="n">
        <v>30</v>
      </c>
      <c r="L23" t="inlineStr">
        <is>
          <t>10 Oktober 2026</t>
        </is>
      </c>
      <c r="M23" t="inlineStr">
        <is>
          <t>Konstruksi Jaringan Irigasi dan Drainase</t>
        </is>
      </c>
      <c r="N23" t="inlineStr">
        <is>
          <t>K</t>
        </is>
      </c>
      <c r="O23" t="inlineStr">
        <is>
          <t>20231008</t>
        </is>
      </c>
      <c r="P23" t="inlineStr">
        <is>
          <t>Sulawesi Barat</t>
        </is>
      </c>
      <c r="Q23" t="inlineStr"/>
    </row>
    <row r="24">
      <c r="A24" t="inlineStr">
        <is>
          <t>APICK SEJAHTERA ABADI</t>
        </is>
      </c>
      <c r="B24" t="inlineStr">
        <is>
          <t>Kab. Mempawah</t>
        </is>
      </c>
      <c r="C24" t="inlineStr">
        <is>
          <t>081250102728</t>
        </is>
      </c>
      <c r="D24" t="inlineStr">
        <is>
          <t>apicksejahteraabadi@gmail.com</t>
        </is>
      </c>
      <c r="E24" t="inlineStr">
        <is>
          <t>https://lpjk.pu.go.id/search-badan-usaha-detail/Q3VFUGtoWHM3c3gzRE5veGdrWTNlQT09</t>
        </is>
      </c>
      <c r="F24" t="n">
        <v>2</v>
      </c>
      <c r="G24" t="inlineStr">
        <is>
          <t>BS001, BS004</t>
        </is>
      </c>
      <c r="H24" t="inlineStr">
        <is>
          <t>1 Juli 2013</t>
        </is>
      </c>
      <c r="I24" s="2" t="n">
        <v>46305</v>
      </c>
      <c r="J24" t="inlineStr">
        <is>
          <t>Disetujui</t>
        </is>
      </c>
      <c r="K24" t="n">
        <v>30</v>
      </c>
      <c r="L24" t="inlineStr">
        <is>
          <t>10 Oktober 2026</t>
        </is>
      </c>
      <c r="M24" t="inlineStr">
        <is>
          <t>Konstruksi Bangunan Sipil Jalan, Konstruksi Jaringan Irigasi dan Drainase</t>
        </is>
      </c>
      <c r="N24" t="inlineStr">
        <is>
          <t>K</t>
        </is>
      </c>
      <c r="O24" t="inlineStr">
        <is>
          <t>20231011, 20231017</t>
        </is>
      </c>
      <c r="P24" t="inlineStr">
        <is>
          <t>Kalimantan Barat</t>
        </is>
      </c>
      <c r="Q24" t="inlineStr"/>
    </row>
    <row r="25">
      <c r="A25" t="inlineStr">
        <is>
          <t>ARI MUSTIKA</t>
        </is>
      </c>
      <c r="B25" t="inlineStr">
        <is>
          <t>Kab. Tabanan</t>
        </is>
      </c>
      <c r="C25" t="inlineStr">
        <is>
          <t>087849709517</t>
        </is>
      </c>
      <c r="D25" t="inlineStr">
        <is>
          <t>cvarimustika@gmail.com</t>
        </is>
      </c>
      <c r="E25" t="inlineStr">
        <is>
          <t>https://lpjk.pu.go.id/search-badan-usaha-detail/OTlQSWUwZmlRejdnWDQxSDF3Z2Vsdz09</t>
        </is>
      </c>
      <c r="F25" t="n">
        <v>3</v>
      </c>
      <c r="G25" t="inlineStr">
        <is>
          <t>BG009, BS001, BS004</t>
        </is>
      </c>
      <c r="H25" t="inlineStr">
        <is>
          <t>26 September 2023</t>
        </is>
      </c>
      <c r="I25" s="2" t="n">
        <v>46305</v>
      </c>
      <c r="J25" t="inlineStr">
        <is>
          <t>Disetujui</t>
        </is>
      </c>
      <c r="K25" t="n">
        <v>30</v>
      </c>
      <c r="L25" t="inlineStr">
        <is>
          <t>10 Oktober 2026</t>
        </is>
      </c>
      <c r="M25" t="inlineStr">
        <is>
          <t>Konstruksi Bangunan Sipil Jalan, Konstruksi Gedung Lainnya, Konstruksi Jaringan Irigasi dan Drainase</t>
        </is>
      </c>
      <c r="N25" t="inlineStr">
        <is>
          <t>K</t>
        </is>
      </c>
      <c r="O25" t="inlineStr">
        <is>
          <t>20231010, 20231011</t>
        </is>
      </c>
      <c r="P25" t="inlineStr">
        <is>
          <t>Bali</t>
        </is>
      </c>
      <c r="Q25" t="inlineStr"/>
    </row>
    <row r="26">
      <c r="A26" t="inlineStr">
        <is>
          <t>ARKANANTA PILAR UTAMA</t>
        </is>
      </c>
      <c r="B26" t="inlineStr">
        <is>
          <t>Kab. Sidoarjo</t>
        </is>
      </c>
      <c r="C26" t="inlineStr">
        <is>
          <t>03185584547</t>
        </is>
      </c>
      <c r="D26" t="inlineStr">
        <is>
          <t>arkananta.pilar.utama@gmail.com</t>
        </is>
      </c>
      <c r="E26" t="inlineStr">
        <is>
          <t>https://lpjk.pu.go.id/search-badan-usaha-detail/dndGQjd2NDl0dTZhV2xhdjJkdEhWUT09</t>
        </is>
      </c>
      <c r="F26" t="n">
        <v>4</v>
      </c>
      <c r="G26" t="inlineStr">
        <is>
          <t>BG001</t>
        </is>
      </c>
      <c r="H26" t="inlineStr">
        <is>
          <t>12 September 2013</t>
        </is>
      </c>
      <c r="I26" s="2" t="n">
        <v>46305</v>
      </c>
      <c r="J26" t="inlineStr">
        <is>
          <t>Disetujui</t>
        </is>
      </c>
      <c r="K26" t="n">
        <v>30</v>
      </c>
      <c r="L26" t="inlineStr">
        <is>
          <t>10 Oktober 2026</t>
        </is>
      </c>
      <c r="M26" t="inlineStr">
        <is>
          <t>Konstruksi Gedung Hunian</t>
        </is>
      </c>
      <c r="N26" t="inlineStr">
        <is>
          <t>K</t>
        </is>
      </c>
      <c r="O26" t="inlineStr">
        <is>
          <t>20230925</t>
        </is>
      </c>
      <c r="P26" t="inlineStr">
        <is>
          <t>Jawa Timur</t>
        </is>
      </c>
      <c r="Q26" t="inlineStr"/>
    </row>
    <row r="27">
      <c r="A27" t="inlineStr">
        <is>
          <t>ARTA 678</t>
        </is>
      </c>
      <c r="B27" t="inlineStr">
        <is>
          <t>Kab. Tanah Bumbu</t>
        </is>
      </c>
      <c r="C27" t="inlineStr">
        <is>
          <t>082187927916</t>
        </is>
      </c>
      <c r="D27" t="inlineStr">
        <is>
          <t>cvartaenam78@gmail.com</t>
        </is>
      </c>
      <c r="E27" t="inlineStr">
        <is>
          <t>https://lpjk.pu.go.id/search-badan-usaha-detail/Wlc2VWFQWGpzZC9FbEtZRHQ0Zk9Pdz09</t>
        </is>
      </c>
      <c r="F27" t="n">
        <v>1</v>
      </c>
      <c r="G27" t="inlineStr">
        <is>
          <t>BS004</t>
        </is>
      </c>
      <c r="H27" t="inlineStr">
        <is>
          <t>10 Agustus 2023</t>
        </is>
      </c>
      <c r="I27" s="2" t="n">
        <v>46305</v>
      </c>
      <c r="J27" t="inlineStr">
        <is>
          <t>Disetujui</t>
        </is>
      </c>
      <c r="K27" t="n">
        <v>30</v>
      </c>
      <c r="L27" t="inlineStr">
        <is>
          <t>10 Oktober 2026</t>
        </is>
      </c>
      <c r="M27" t="inlineStr">
        <is>
          <t>Konstruksi Jaringan Irigasi dan Drainase</t>
        </is>
      </c>
      <c r="N27" t="inlineStr">
        <is>
          <t>K</t>
        </is>
      </c>
      <c r="O27" t="inlineStr">
        <is>
          <t>20231009</t>
        </is>
      </c>
      <c r="P27" t="inlineStr">
        <is>
          <t>Kalimantan Selatan</t>
        </is>
      </c>
      <c r="Q27" t="inlineStr"/>
    </row>
    <row r="28">
      <c r="A28" t="inlineStr">
        <is>
          <t>ARTA PERMATA PARE</t>
        </is>
      </c>
      <c r="B28" t="inlineStr">
        <is>
          <t>Kota Samarinda</t>
        </is>
      </c>
      <c r="C28" t="inlineStr">
        <is>
          <t>082277664419</t>
        </is>
      </c>
      <c r="D28" t="inlineStr">
        <is>
          <t>artapermatapare.cv@gmail.com</t>
        </is>
      </c>
      <c r="E28" t="inlineStr">
        <is>
          <t>https://lpjk.pu.go.id/search-badan-usaha-detail/UXY3aFZ4Mk1BSnRFWXBZQ2RGRjl4QT09</t>
        </is>
      </c>
      <c r="F28" t="n">
        <v>5</v>
      </c>
      <c r="G28" t="inlineStr">
        <is>
          <t>BG004, BG005, BG006, BG008, BG009</t>
        </is>
      </c>
      <c r="H28" t="inlineStr">
        <is>
          <t>20 Februari 2023</t>
        </is>
      </c>
      <c r="I28" s="2" t="n">
        <v>46305</v>
      </c>
      <c r="J28" t="inlineStr">
        <is>
          <t>Disetujui</t>
        </is>
      </c>
      <c r="K28" t="n">
        <v>30</v>
      </c>
      <c r="L28" t="inlineStr">
        <is>
          <t>10 Oktober 2026</t>
        </is>
      </c>
      <c r="M28" t="inlineStr">
        <is>
          <t>Konstruksi Gedung Kesehatan, Konstruksi Gedung Lainnya, Konstruksi Gedung Pendidikan, Konstruksi Gedung Perbelanjaan, Konstruksi Gedung Tempat Hiburan dan Olahraga</t>
        </is>
      </c>
      <c r="N28" t="inlineStr">
        <is>
          <t>K</t>
        </is>
      </c>
      <c r="O28" t="inlineStr">
        <is>
          <t>20231009, 20231012</t>
        </is>
      </c>
      <c r="P28" t="inlineStr">
        <is>
          <t>Kalimantan Timur</t>
        </is>
      </c>
      <c r="Q28" t="inlineStr"/>
    </row>
    <row r="29">
      <c r="A29" t="inlineStr">
        <is>
          <t>ARTDECO KARYA SEJAHTERA</t>
        </is>
      </c>
      <c r="B29" t="inlineStr">
        <is>
          <t>Kota Bandung</t>
        </is>
      </c>
      <c r="C29" t="inlineStr">
        <is>
          <t>0224262004</t>
        </is>
      </c>
      <c r="D29" t="inlineStr">
        <is>
          <t>artdecokaryasejahtera@artdeco.co.id</t>
        </is>
      </c>
      <c r="E29" t="inlineStr">
        <is>
          <t>https://lpjk.pu.go.id/search-badan-usaha-detail/S0xCNDFTcHByOWRpcWNUUmdKbCtqUT09</t>
        </is>
      </c>
      <c r="F29" t="n">
        <v>2</v>
      </c>
      <c r="G29" t="inlineStr">
        <is>
          <t>BG002, BG009</t>
        </is>
      </c>
      <c r="H29" t="inlineStr">
        <is>
          <t>31 Mei 2021</t>
        </is>
      </c>
      <c r="I29" s="2" t="n">
        <v>46305</v>
      </c>
      <c r="J29" t="inlineStr">
        <is>
          <t>Disetujui</t>
        </is>
      </c>
      <c r="K29" t="n">
        <v>30</v>
      </c>
      <c r="L29" t="inlineStr">
        <is>
          <t>10 Oktober 2026</t>
        </is>
      </c>
      <c r="M29" t="inlineStr">
        <is>
          <t>Konstruksi Gedung Lainnya, Konstruksi Gedung Perkantoran</t>
        </is>
      </c>
      <c r="N29" t="inlineStr">
        <is>
          <t>K</t>
        </is>
      </c>
      <c r="O29" t="inlineStr">
        <is>
          <t>20231004</t>
        </is>
      </c>
      <c r="P29" t="inlineStr">
        <is>
          <t>Jawa Barat</t>
        </is>
      </c>
      <c r="Q29" t="inlineStr"/>
    </row>
    <row r="30">
      <c r="A30" t="inlineStr">
        <is>
          <t>ARTHA ASIA SOLUSINDO</t>
        </is>
      </c>
      <c r="B30" t="inlineStr">
        <is>
          <t>Kota Adm. Jakarta Barat</t>
        </is>
      </c>
      <c r="C30" t="inlineStr">
        <is>
          <t>0215823821</t>
        </is>
      </c>
      <c r="D30" t="inlineStr">
        <is>
          <t>contact@arthasiasolusindo.com</t>
        </is>
      </c>
      <c r="E30" t="inlineStr">
        <is>
          <t>https://lpjk.pu.go.id/search-badan-usaha-detail/bjJLUlljMGFFY2txbEtUWlZONlNoUT09</t>
        </is>
      </c>
      <c r="F30" t="n">
        <v>1</v>
      </c>
      <c r="G30" t="inlineStr">
        <is>
          <t>IN004</t>
        </is>
      </c>
      <c r="H30" t="inlineStr">
        <is>
          <t>9 Mei 2023</t>
        </is>
      </c>
      <c r="I30" s="2" t="n">
        <v>46305</v>
      </c>
      <c r="J30" t="inlineStr">
        <is>
          <t>Disetujui</t>
        </is>
      </c>
      <c r="K30" t="n">
        <v>30</v>
      </c>
      <c r="L30" t="inlineStr">
        <is>
          <t>10 Oktober 2026</t>
        </is>
      </c>
      <c r="M30" t="inlineStr">
        <is>
          <t>Instalasi Minyak dan Gas</t>
        </is>
      </c>
      <c r="N30" t="inlineStr">
        <is>
          <t>Spesialis</t>
        </is>
      </c>
      <c r="O30" t="inlineStr">
        <is>
          <t>20230929</t>
        </is>
      </c>
      <c r="P30" t="inlineStr">
        <is>
          <t>DKI Jakarta</t>
        </is>
      </c>
      <c r="Q30" t="inlineStr"/>
    </row>
    <row r="31">
      <c r="A31" t="inlineStr">
        <is>
          <t>ASA KONSTRUKSI SERVICE</t>
        </is>
      </c>
      <c r="B31" t="inlineStr">
        <is>
          <t>Kota Semarang</t>
        </is>
      </c>
      <c r="C31" t="inlineStr">
        <is>
          <t>081215475048</t>
        </is>
      </c>
      <c r="D31" t="inlineStr">
        <is>
          <t>asakonstruksiservice@gmail.com</t>
        </is>
      </c>
      <c r="E31" t="inlineStr">
        <is>
          <t>https://lpjk.pu.go.id/search-badan-usaha-detail/VEh6ZmlzS2hlZmdQaERxTVc2MFd1Zz09</t>
        </is>
      </c>
      <c r="F31" t="n">
        <v>2</v>
      </c>
      <c r="G31" t="inlineStr">
        <is>
          <t>BG001, BG002</t>
        </is>
      </c>
      <c r="H31" t="inlineStr">
        <is>
          <t>21 Juli 2023</t>
        </is>
      </c>
      <c r="I31" s="2" t="n">
        <v>46305</v>
      </c>
      <c r="J31" t="inlineStr">
        <is>
          <t>Disetujui</t>
        </is>
      </c>
      <c r="K31" t="n">
        <v>30</v>
      </c>
      <c r="L31" t="inlineStr">
        <is>
          <t>10 Oktober 2026</t>
        </is>
      </c>
      <c r="M31" t="inlineStr">
        <is>
          <t>Konstruksi Gedung Hunian, Konstruksi Gedung Perkantoran</t>
        </is>
      </c>
      <c r="N31" t="inlineStr">
        <is>
          <t>K</t>
        </is>
      </c>
      <c r="O31" t="inlineStr">
        <is>
          <t>20230915, 20231010</t>
        </is>
      </c>
      <c r="P31" t="inlineStr">
        <is>
          <t>Jawa Tengah</t>
        </is>
      </c>
      <c r="Q31" t="inlineStr"/>
    </row>
    <row r="32">
      <c r="A32" t="inlineStr">
        <is>
          <t>BAMA PERKASA</t>
        </is>
      </c>
      <c r="B32" t="inlineStr">
        <is>
          <t>Kab. Magetan</t>
        </is>
      </c>
      <c r="C32" t="inlineStr">
        <is>
          <t>08983441169</t>
        </is>
      </c>
      <c r="D32" t="inlineStr">
        <is>
          <t>bama_perkasa@yahoo.com</t>
        </is>
      </c>
      <c r="E32" t="inlineStr">
        <is>
          <t>https://lpjk.pu.go.id/search-badan-usaha-detail/eExhUmFrajdwMndnZ0liT2lucENhUT09</t>
        </is>
      </c>
      <c r="F32" t="n">
        <v>4</v>
      </c>
      <c r="G32" t="inlineStr">
        <is>
          <t>BG002, BG006</t>
        </is>
      </c>
      <c r="H32" t="inlineStr">
        <is>
          <t>11 Juni 1997</t>
        </is>
      </c>
      <c r="I32" s="2" t="n">
        <v>46305</v>
      </c>
      <c r="J32" t="inlineStr">
        <is>
          <t>Disetujui</t>
        </is>
      </c>
      <c r="K32" t="n">
        <v>30</v>
      </c>
      <c r="L32" t="inlineStr">
        <is>
          <t>10 Oktober 2026</t>
        </is>
      </c>
      <c r="M32" t="inlineStr">
        <is>
          <t>Konstruksi Gedung Pendidikan, Konstruksi Gedung Perkantoran</t>
        </is>
      </c>
      <c r="N32" t="inlineStr">
        <is>
          <t>K</t>
        </is>
      </c>
      <c r="O32" t="inlineStr">
        <is>
          <t>20231005, 20231006</t>
        </is>
      </c>
      <c r="P32" t="inlineStr">
        <is>
          <t>Jawa Timur</t>
        </is>
      </c>
      <c r="Q32" t="inlineStr"/>
    </row>
    <row r="33">
      <c r="A33" t="inlineStr">
        <is>
          <t>BANGKIT SENTOSA JAYA</t>
        </is>
      </c>
      <c r="B33" t="inlineStr">
        <is>
          <t>Kab. Bojonegoro</t>
        </is>
      </c>
      <c r="C33" t="inlineStr">
        <is>
          <t>081335271338</t>
        </is>
      </c>
      <c r="D33" t="inlineStr">
        <is>
          <t>cvbangkitsetosajaya@gmail.com</t>
        </is>
      </c>
      <c r="E33" t="inlineStr">
        <is>
          <t>https://lpjk.pu.go.id/search-badan-usaha-detail/S3ZHNTNOcWRjSUtzRVhla2Z6THNJZz09</t>
        </is>
      </c>
      <c r="F33" t="n">
        <v>1</v>
      </c>
      <c r="G33" t="inlineStr">
        <is>
          <t>BS001</t>
        </is>
      </c>
      <c r="H33" t="inlineStr">
        <is>
          <t>4 September 2023</t>
        </is>
      </c>
      <c r="I33" s="2" t="n">
        <v>46305</v>
      </c>
      <c r="J33" t="inlineStr">
        <is>
          <t>Disetujui</t>
        </is>
      </c>
      <c r="K33" t="n">
        <v>30</v>
      </c>
      <c r="L33" t="inlineStr">
        <is>
          <t>10 Oktober 2026</t>
        </is>
      </c>
      <c r="M33" t="inlineStr">
        <is>
          <t>Konstruksi Bangunan Sipil Jalan</t>
        </is>
      </c>
      <c r="N33" t="inlineStr">
        <is>
          <t>K</t>
        </is>
      </c>
      <c r="O33" t="inlineStr">
        <is>
          <t>20230914</t>
        </is>
      </c>
      <c r="P33" t="inlineStr">
        <is>
          <t>Jawa Timur</t>
        </is>
      </c>
      <c r="Q33" t="inlineStr"/>
    </row>
    <row r="34">
      <c r="A34" t="inlineStr">
        <is>
          <t>BANGUN KARYA MAKASSAR</t>
        </is>
      </c>
      <c r="B34" t="inlineStr">
        <is>
          <t>Kota Makassar</t>
        </is>
      </c>
      <c r="C34" t="inlineStr">
        <is>
          <t>085255961166</t>
        </is>
      </c>
      <c r="D34" t="inlineStr">
        <is>
          <t>bangunkarya.mks@yahoo.com</t>
        </is>
      </c>
      <c r="E34" t="inlineStr">
        <is>
          <t>https://lpjk.pu.go.id/search-badan-usaha-detail/QVpuVzNYZjI4R3lTZzJBMzFSQURCdz09</t>
        </is>
      </c>
      <c r="F34" t="n">
        <v>2</v>
      </c>
      <c r="G34" t="inlineStr">
        <is>
          <t>BG001, BS001</t>
        </is>
      </c>
      <c r="H34" t="inlineStr">
        <is>
          <t>18 November 2014</t>
        </is>
      </c>
      <c r="I34" s="2" t="n">
        <v>46305</v>
      </c>
      <c r="J34" t="inlineStr">
        <is>
          <t>Disetujui</t>
        </is>
      </c>
      <c r="K34" t="n">
        <v>30</v>
      </c>
      <c r="L34" t="inlineStr">
        <is>
          <t>10 Oktober 2026</t>
        </is>
      </c>
      <c r="M34" t="inlineStr">
        <is>
          <t>Konstruksi Bangunan Sipil Jalan, Konstruksi Gedung Hunian</t>
        </is>
      </c>
      <c r="N34" t="inlineStr">
        <is>
          <t>K</t>
        </is>
      </c>
      <c r="O34" t="inlineStr">
        <is>
          <t>20231010</t>
        </is>
      </c>
      <c r="P34" t="inlineStr">
        <is>
          <t>Sulawesi Selatan</t>
        </is>
      </c>
      <c r="Q34" t="inlineStr"/>
    </row>
    <row r="35">
      <c r="A35" t="inlineStr">
        <is>
          <t>BAROKAH SUBUR CONSTRUCTIONS</t>
        </is>
      </c>
      <c r="B35" t="inlineStr">
        <is>
          <t>Kota Surabaya</t>
        </is>
      </c>
      <c r="C35" t="inlineStr">
        <is>
          <t>081357110099</t>
        </is>
      </c>
      <c r="D35" t="inlineStr">
        <is>
          <t>cvbarokahsuburconstructions@gmail.com</t>
        </is>
      </c>
      <c r="E35" t="inlineStr">
        <is>
          <t>https://lpjk.pu.go.id/search-badan-usaha-detail/NTFKVkFOcmZ3eGhjaFNuQWVLQTJMUT09</t>
        </is>
      </c>
      <c r="F35" t="n">
        <v>10</v>
      </c>
      <c r="G35" t="inlineStr">
        <is>
          <t>BG001, BG002, BG005, BG006, BG009</t>
        </is>
      </c>
      <c r="H35" t="inlineStr">
        <is>
          <t>29 September 2020</t>
        </is>
      </c>
      <c r="I35" s="2" t="n">
        <v>46305</v>
      </c>
      <c r="J35" t="inlineStr">
        <is>
          <t>Disetujui</t>
        </is>
      </c>
      <c r="K35" t="n">
        <v>30</v>
      </c>
      <c r="L35" t="inlineStr">
        <is>
          <t>10 Oktober 2026</t>
        </is>
      </c>
      <c r="M35" t="inlineStr">
        <is>
          <t>Konstruksi Gedung Hunian, Konstruksi Gedung Kesehatan, Konstruksi Gedung Lainnya, Konstruksi Gedung Pendidikan, Konstruksi Gedung Perkantoran</t>
        </is>
      </c>
      <c r="N35" t="inlineStr">
        <is>
          <t>K</t>
        </is>
      </c>
      <c r="O35" t="inlineStr">
        <is>
          <t>20231009</t>
        </is>
      </c>
      <c r="P35" t="inlineStr">
        <is>
          <t>Jawa Timur</t>
        </is>
      </c>
      <c r="Q35" t="inlineStr"/>
    </row>
    <row r="36">
      <c r="A36" t="inlineStr">
        <is>
          <t>BEJANA UTAMA</t>
        </is>
      </c>
      <c r="B36" t="inlineStr">
        <is>
          <t>Kota Bandung</t>
        </is>
      </c>
      <c r="C36" t="inlineStr">
        <is>
          <t>02230000607</t>
        </is>
      </c>
      <c r="D36" t="inlineStr">
        <is>
          <t>bejanautamacon@gmail.com</t>
        </is>
      </c>
      <c r="E36" t="inlineStr">
        <is>
          <t>https://lpjk.pu.go.id/search-badan-usaha-detail/YzlZVWN5UEcwT2hPMHA1QW5KSVR5QT09</t>
        </is>
      </c>
      <c r="F36" t="n">
        <v>2</v>
      </c>
      <c r="G36" t="inlineStr">
        <is>
          <t>BG006</t>
        </is>
      </c>
      <c r="H36" t="inlineStr">
        <is>
          <t>8 Januari 2021</t>
        </is>
      </c>
      <c r="I36" s="2" t="n">
        <v>46305</v>
      </c>
      <c r="J36" t="inlineStr">
        <is>
          <t>Disetujui</t>
        </is>
      </c>
      <c r="K36" t="n">
        <v>30</v>
      </c>
      <c r="L36" t="inlineStr">
        <is>
          <t>10 Oktober 2026</t>
        </is>
      </c>
      <c r="M36" t="inlineStr">
        <is>
          <t>Konstruksi Gedung Pendidikan</t>
        </is>
      </c>
      <c r="N36" t="inlineStr">
        <is>
          <t>K</t>
        </is>
      </c>
      <c r="O36" t="inlineStr">
        <is>
          <t>20231010</t>
        </is>
      </c>
      <c r="P36" t="inlineStr">
        <is>
          <t>Jawa Barat</t>
        </is>
      </c>
      <c r="Q36" t="inlineStr"/>
    </row>
    <row r="37">
      <c r="A37" t="inlineStr">
        <is>
          <t>BENTO JAYA</t>
        </is>
      </c>
      <c r="B37" t="inlineStr">
        <is>
          <t>Kab. Langkat</t>
        </is>
      </c>
      <c r="C37" t="inlineStr">
        <is>
          <t>085261569611</t>
        </is>
      </c>
      <c r="D37" t="inlineStr">
        <is>
          <t>bentojaya2023@gmail.com</t>
        </is>
      </c>
      <c r="E37" t="inlineStr">
        <is>
          <t>https://lpjk.pu.go.id/search-badan-usaha-detail/UW51NG5PcU42NkVUZXVPSitZUzlRdz09</t>
        </is>
      </c>
      <c r="F37" t="n">
        <v>1</v>
      </c>
      <c r="G37" t="inlineStr">
        <is>
          <t>BS001</t>
        </is>
      </c>
      <c r="H37" t="inlineStr">
        <is>
          <t>7 September 2023</t>
        </is>
      </c>
      <c r="I37" s="2" t="n">
        <v>46305</v>
      </c>
      <c r="J37" t="inlineStr">
        <is>
          <t>Disetujui</t>
        </is>
      </c>
      <c r="K37" t="n">
        <v>30</v>
      </c>
      <c r="L37" t="inlineStr">
        <is>
          <t>10 Oktober 2026</t>
        </is>
      </c>
      <c r="M37" t="inlineStr">
        <is>
          <t>Konstruksi Bangunan Sipil Jalan</t>
        </is>
      </c>
      <c r="N37" t="inlineStr">
        <is>
          <t>K</t>
        </is>
      </c>
      <c r="O37" t="inlineStr">
        <is>
          <t>20231005</t>
        </is>
      </c>
      <c r="P37" t="inlineStr">
        <is>
          <t>Sumatera Utara</t>
        </is>
      </c>
      <c r="Q37" t="inlineStr"/>
    </row>
    <row r="38">
      <c r="A38" t="inlineStr">
        <is>
          <t>BERLIAN ABADI</t>
        </is>
      </c>
      <c r="B38" t="inlineStr">
        <is>
          <t>Kab. Minahasa</t>
        </is>
      </c>
      <c r="C38" t="inlineStr">
        <is>
          <t>085256006464</t>
        </is>
      </c>
      <c r="D38" t="inlineStr">
        <is>
          <t>cv.berlianabadi2023@gmail.com</t>
        </is>
      </c>
      <c r="E38" t="inlineStr">
        <is>
          <t>https://lpjk.pu.go.id/search-badan-usaha-detail/OGx0RzBOZ3Y5QUxQdjd5dUNLcE9YUT09</t>
        </is>
      </c>
      <c r="F38" t="n">
        <v>3</v>
      </c>
      <c r="G38" t="inlineStr">
        <is>
          <t>BG006, BG009, BS001</t>
        </is>
      </c>
      <c r="H38" t="inlineStr">
        <is>
          <t>21 April 2003</t>
        </is>
      </c>
      <c r="I38" s="2" t="n">
        <v>46305</v>
      </c>
      <c r="J38" t="inlineStr">
        <is>
          <t>Disetujui</t>
        </is>
      </c>
      <c r="K38" t="n">
        <v>30</v>
      </c>
      <c r="L38" t="inlineStr">
        <is>
          <t>10 Oktober 2026</t>
        </is>
      </c>
      <c r="M38" t="inlineStr">
        <is>
          <t>Konstruksi Bangunan Sipil Jalan, Konstruksi Gedung Lainnya, Konstruksi Gedung Pendidikan</t>
        </is>
      </c>
      <c r="N38" t="inlineStr">
        <is>
          <t>K</t>
        </is>
      </c>
      <c r="O38" t="inlineStr">
        <is>
          <t>20231006, 20231009</t>
        </is>
      </c>
      <c r="P38" t="inlineStr">
        <is>
          <t>Sulawesi Utara</t>
        </is>
      </c>
      <c r="Q38" t="inlineStr"/>
    </row>
    <row r="39">
      <c r="A39" t="inlineStr">
        <is>
          <t>BHUMI PALA</t>
        </is>
      </c>
      <c r="B39" t="inlineStr">
        <is>
          <t>Kab. Banjarnegara</t>
        </is>
      </c>
      <c r="C39" t="inlineStr">
        <is>
          <t>085299350563</t>
        </is>
      </c>
      <c r="D39" t="inlineStr">
        <is>
          <t>bhumipala1@gmail.com</t>
        </is>
      </c>
      <c r="E39" t="inlineStr">
        <is>
          <t>https://lpjk.pu.go.id/search-badan-usaha-detail/a0lZLy9RbENrMG1sNVBsSGJSRmF5dz09</t>
        </is>
      </c>
      <c r="F39" t="n">
        <v>6</v>
      </c>
      <c r="G39" t="inlineStr">
        <is>
          <t>BG003, BG005, BG006, BG009, BS001</t>
        </is>
      </c>
      <c r="H39" t="inlineStr">
        <is>
          <t>4 April 2002</t>
        </is>
      </c>
      <c r="I39" s="2" t="n">
        <v>46305</v>
      </c>
      <c r="J39" t="inlineStr">
        <is>
          <t>Disetujui, Pencabutan</t>
        </is>
      </c>
      <c r="K39" t="n">
        <v>30</v>
      </c>
      <c r="L39" t="inlineStr">
        <is>
          <t>10 Oktober 2026</t>
        </is>
      </c>
      <c r="M39" t="inlineStr">
        <is>
          <t>Konstruksi Bangunan Sipil Jalan, Konstruksi Gedung Industri, Konstruksi Gedung Kesehatan, Konstruksi Gedung Lainnya, Konstruksi Gedung Pendidikan</t>
        </is>
      </c>
      <c r="N39" t="inlineStr">
        <is>
          <t>K</t>
        </is>
      </c>
      <c r="O39" t="inlineStr">
        <is>
          <t>20230912, 20231005, 20231010</t>
        </is>
      </c>
      <c r="P39" t="inlineStr">
        <is>
          <t>Jawa Tengah</t>
        </is>
      </c>
      <c r="Q39" t="inlineStr"/>
    </row>
    <row r="40">
      <c r="A40" t="inlineStr">
        <is>
          <t>BINA WADA UTAMA</t>
        </is>
      </c>
      <c r="B40" t="inlineStr">
        <is>
          <t>Kab. Halmahera Selatan</t>
        </is>
      </c>
      <c r="C40" t="inlineStr">
        <is>
          <t>082297975479</t>
        </is>
      </c>
      <c r="D40" t="inlineStr">
        <is>
          <t>binawadautama@gmail.com</t>
        </is>
      </c>
      <c r="E40" t="inlineStr">
        <is>
          <t>https://lpjk.pu.go.id/search-badan-usaha-detail/dHcxa05VQm5VeTVtMUZlZGFZU1ZtZz09</t>
        </is>
      </c>
      <c r="F40" t="n">
        <v>3</v>
      </c>
      <c r="G40" t="inlineStr">
        <is>
          <t>BG005, BG006, BG009</t>
        </is>
      </c>
      <c r="H40" t="inlineStr">
        <is>
          <t>9 Januari 2020</t>
        </is>
      </c>
      <c r="I40" s="2" t="n">
        <v>46305</v>
      </c>
      <c r="J40" t="inlineStr">
        <is>
          <t>Disetujui</t>
        </is>
      </c>
      <c r="K40" t="n">
        <v>30</v>
      </c>
      <c r="L40" t="inlineStr">
        <is>
          <t>10 Oktober 2026</t>
        </is>
      </c>
      <c r="M40" t="inlineStr">
        <is>
          <t>Konstruksi Gedung Kesehatan, Konstruksi Gedung Lainnya, Konstruksi Gedung Pendidikan</t>
        </is>
      </c>
      <c r="N40" t="inlineStr">
        <is>
          <t>K</t>
        </is>
      </c>
      <c r="O40" t="inlineStr">
        <is>
          <t>20231007</t>
        </is>
      </c>
      <c r="P40" t="inlineStr">
        <is>
          <t>Maluku Utara</t>
        </is>
      </c>
      <c r="Q40" t="inlineStr"/>
    </row>
    <row r="41">
      <c r="A41" t="inlineStr">
        <is>
          <t>BINTANG NUSANTARA</t>
        </is>
      </c>
      <c r="B41" t="inlineStr">
        <is>
          <t>Kab. Mempawah</t>
        </is>
      </c>
      <c r="C41" t="inlineStr">
        <is>
          <t>085245916963</t>
        </is>
      </c>
      <c r="D41" t="inlineStr">
        <is>
          <t>bintang_tiga88@yahoo.co.id</t>
        </is>
      </c>
      <c r="E41" t="inlineStr">
        <is>
          <t>https://lpjk.pu.go.id/search-badan-usaha-detail/QW45ekVIeVphLzJiTDVubjlyZk9SUT09</t>
        </is>
      </c>
      <c r="F41" t="n">
        <v>2</v>
      </c>
      <c r="G41" t="inlineStr">
        <is>
          <t>BS001</t>
        </is>
      </c>
      <c r="H41" t="inlineStr">
        <is>
          <t>17 Desember 2012</t>
        </is>
      </c>
      <c r="I41" s="2" t="n">
        <v>46305</v>
      </c>
      <c r="J41" t="inlineStr">
        <is>
          <t>Disetujui</t>
        </is>
      </c>
      <c r="K41" t="n">
        <v>30</v>
      </c>
      <c r="L41" t="inlineStr">
        <is>
          <t>10 Oktober 2026</t>
        </is>
      </c>
      <c r="M41" t="inlineStr">
        <is>
          <t>Konstruksi Bangunan Sipil Jalan</t>
        </is>
      </c>
      <c r="N41" t="inlineStr">
        <is>
          <t>K</t>
        </is>
      </c>
      <c r="O41" t="inlineStr">
        <is>
          <t>20230929</t>
        </is>
      </c>
      <c r="P41" t="inlineStr">
        <is>
          <t>Kalimantan Barat</t>
        </is>
      </c>
      <c r="Q41" t="inlineStr"/>
    </row>
    <row r="42">
      <c r="A42" t="inlineStr">
        <is>
          <t>BUDI MULIA</t>
        </is>
      </c>
      <c r="B42" t="inlineStr">
        <is>
          <t>Kab. Merangin</t>
        </is>
      </c>
      <c r="C42" t="inlineStr">
        <is>
          <t>085320700049</t>
        </is>
      </c>
      <c r="D42" t="inlineStr">
        <is>
          <t>sehsamad1@gmail.com</t>
        </is>
      </c>
      <c r="E42" t="inlineStr">
        <is>
          <t>https://lpjk.pu.go.id/search-badan-usaha-detail/K1hiajhPTzRYTFNnZ2c3ZlNzckRUZz09</t>
        </is>
      </c>
      <c r="F42" t="n">
        <v>1</v>
      </c>
      <c r="G42" t="inlineStr">
        <is>
          <t>BG006</t>
        </is>
      </c>
      <c r="H42" t="inlineStr">
        <is>
          <t>30 Juni 2001</t>
        </is>
      </c>
      <c r="I42" s="2" t="n">
        <v>46305</v>
      </c>
      <c r="J42" t="inlineStr">
        <is>
          <t>Disetujui</t>
        </is>
      </c>
      <c r="K42" t="n">
        <v>30</v>
      </c>
      <c r="L42" t="inlineStr">
        <is>
          <t>10 Oktober 2026</t>
        </is>
      </c>
      <c r="M42" t="inlineStr">
        <is>
          <t>Konstruksi Gedung Pendidikan</t>
        </is>
      </c>
      <c r="N42" t="inlineStr">
        <is>
          <t>K</t>
        </is>
      </c>
      <c r="O42" t="inlineStr">
        <is>
          <t>20231006</t>
        </is>
      </c>
      <c r="P42" t="inlineStr">
        <is>
          <t>Jambi</t>
        </is>
      </c>
      <c r="Q42" t="inlineStr"/>
    </row>
    <row r="43">
      <c r="A43" t="inlineStr">
        <is>
          <t>BUMI MUDA SEDIA</t>
        </is>
      </c>
      <c r="B43" t="inlineStr">
        <is>
          <t>Kab. Muaro Jambi</t>
        </is>
      </c>
      <c r="C43" t="inlineStr">
        <is>
          <t>082281317915</t>
        </is>
      </c>
      <c r="D43" t="inlineStr">
        <is>
          <t>bms.cv2023@gmail.com</t>
        </is>
      </c>
      <c r="E43" t="inlineStr">
        <is>
          <t>https://lpjk.pu.go.id/search-badan-usaha-detail/YnJLUXR0WHZjUXBHc0xjaGpONE9XZz09</t>
        </is>
      </c>
      <c r="F43" t="n">
        <v>2</v>
      </c>
      <c r="G43" t="inlineStr">
        <is>
          <t>BG009, BS001</t>
        </is>
      </c>
      <c r="H43" t="inlineStr">
        <is>
          <t>24 Juli 2023</t>
        </is>
      </c>
      <c r="I43" s="2" t="n">
        <v>46305</v>
      </c>
      <c r="J43" t="inlineStr">
        <is>
          <t>Disetujui</t>
        </is>
      </c>
      <c r="K43" t="n">
        <v>30</v>
      </c>
      <c r="L43" t="inlineStr">
        <is>
          <t>10 Oktober 2026</t>
        </is>
      </c>
      <c r="M43" t="inlineStr">
        <is>
          <t>Konstruksi Bangunan Sipil Jalan, Konstruksi Gedung Lainnya</t>
        </is>
      </c>
      <c r="N43" t="inlineStr">
        <is>
          <t>K</t>
        </is>
      </c>
      <c r="O43" t="inlineStr">
        <is>
          <t>20231009, 20231010</t>
        </is>
      </c>
      <c r="P43" t="inlineStr">
        <is>
          <t>Jambi</t>
        </is>
      </c>
      <c r="Q43" t="inlineStr"/>
    </row>
    <row r="44">
      <c r="A44" t="inlineStr">
        <is>
          <t>BUMI PADJAJARAN</t>
        </is>
      </c>
      <c r="B44" t="inlineStr">
        <is>
          <t>Kota Sukabumi</t>
        </is>
      </c>
      <c r="C44" t="inlineStr">
        <is>
          <t>082262161985</t>
        </is>
      </c>
      <c r="D44" t="inlineStr">
        <is>
          <t>padjajaran.cv@gmail.com</t>
        </is>
      </c>
      <c r="E44" t="inlineStr">
        <is>
          <t>https://lpjk.pu.go.id/search-badan-usaha-detail/bFhXTjBBcWc2Q3BZSlJRKzY0VjF3dz09</t>
        </is>
      </c>
      <c r="F44" t="n">
        <v>1</v>
      </c>
      <c r="G44" t="inlineStr">
        <is>
          <t>BG006</t>
        </is>
      </c>
      <c r="H44" t="inlineStr">
        <is>
          <t>13 Februari 2014</t>
        </is>
      </c>
      <c r="I44" s="2" t="n">
        <v>46305</v>
      </c>
      <c r="J44" t="inlineStr">
        <is>
          <t>Disetujui</t>
        </is>
      </c>
      <c r="K44" t="n">
        <v>30</v>
      </c>
      <c r="L44" t="inlineStr">
        <is>
          <t>10 Oktober 2026</t>
        </is>
      </c>
      <c r="M44" t="inlineStr">
        <is>
          <t>Konstruksi Gedung Pendidikan</t>
        </is>
      </c>
      <c r="N44" t="inlineStr">
        <is>
          <t>K</t>
        </is>
      </c>
      <c r="O44" t="inlineStr">
        <is>
          <t>20230807</t>
        </is>
      </c>
      <c r="P44" t="inlineStr">
        <is>
          <t>Jawa Barat</t>
        </is>
      </c>
      <c r="Q44" t="inlineStr"/>
    </row>
    <row r="45">
      <c r="A45" t="inlineStr">
        <is>
          <t>CAHAYA ALAM JAYA MAKMUR</t>
        </is>
      </c>
      <c r="B45" t="inlineStr">
        <is>
          <t>Kota Bandar Lampung</t>
        </is>
      </c>
      <c r="C45" t="inlineStr">
        <is>
          <t>081369168686</t>
        </is>
      </c>
      <c r="D45" t="inlineStr">
        <is>
          <t>cvcahayaalamjayamakmur@gmail.com</t>
        </is>
      </c>
      <c r="E45" t="inlineStr">
        <is>
          <t>https://lpjk.pu.go.id/search-badan-usaha-detail/RGcxa3JyUGpVaGZmcmwrUDIyT3Jrdz09</t>
        </is>
      </c>
      <c r="F45" t="n">
        <v>2</v>
      </c>
      <c r="G45" t="inlineStr">
        <is>
          <t>BG009, BS002</t>
        </is>
      </c>
      <c r="H45" t="inlineStr">
        <is>
          <t>18 September 2023</t>
        </is>
      </c>
      <c r="I45" s="2" t="n">
        <v>46305</v>
      </c>
      <c r="J45" t="inlineStr">
        <is>
          <t>Disetujui</t>
        </is>
      </c>
      <c r="K45" t="n">
        <v>30</v>
      </c>
      <c r="L45" t="inlineStr">
        <is>
          <t>10 Oktober 2026</t>
        </is>
      </c>
      <c r="M45" t="inlineStr">
        <is>
          <t>Bangunan Sipil Jembatan, Jalan Layang, Fly Over, dan Underpass, Konstruksi Gedung Lainnya</t>
        </is>
      </c>
      <c r="N45" t="inlineStr">
        <is>
          <t>K</t>
        </is>
      </c>
      <c r="O45" t="inlineStr">
        <is>
          <t>20230930, 20231002</t>
        </is>
      </c>
      <c r="P45" t="inlineStr">
        <is>
          <t>Lampung</t>
        </is>
      </c>
      <c r="Q45" t="inlineStr"/>
    </row>
    <row r="46">
      <c r="A46" t="inlineStr">
        <is>
          <t>CAHAYA PILAR</t>
        </is>
      </c>
      <c r="B46" t="inlineStr">
        <is>
          <t>Kota Serang</t>
        </is>
      </c>
      <c r="C46" t="inlineStr">
        <is>
          <t>085960260504</t>
        </is>
      </c>
      <c r="D46" t="inlineStr">
        <is>
          <t>cahayapilar1206@gmail.com</t>
        </is>
      </c>
      <c r="E46" t="inlineStr">
        <is>
          <t>https://lpjk.pu.go.id/search-badan-usaha-detail/azdhVnZQaFFOQ0ROdDZUaVlOaDQ5Zz09</t>
        </is>
      </c>
      <c r="F46" t="n">
        <v>1</v>
      </c>
      <c r="G46" t="inlineStr">
        <is>
          <t>BS001</t>
        </is>
      </c>
      <c r="H46" t="inlineStr">
        <is>
          <t>12 Juni 2023</t>
        </is>
      </c>
      <c r="I46" s="2" t="n">
        <v>46305</v>
      </c>
      <c r="J46" t="inlineStr">
        <is>
          <t>Disetujui</t>
        </is>
      </c>
      <c r="K46" t="n">
        <v>30</v>
      </c>
      <c r="L46" t="inlineStr">
        <is>
          <t>10 Oktober 2026</t>
        </is>
      </c>
      <c r="M46" t="inlineStr">
        <is>
          <t>Konstruksi Bangunan Sipil Jalan</t>
        </is>
      </c>
      <c r="N46" t="inlineStr">
        <is>
          <t>K</t>
        </is>
      </c>
      <c r="O46" t="inlineStr">
        <is>
          <t>20231010</t>
        </is>
      </c>
      <c r="P46" t="inlineStr">
        <is>
          <t>Banten</t>
        </is>
      </c>
      <c r="Q46" t="inlineStr"/>
    </row>
    <row r="47">
      <c r="A47" t="inlineStr">
        <is>
          <t>CIPTA KARYA SENI</t>
        </is>
      </c>
      <c r="B47" t="inlineStr">
        <is>
          <t>Kota Adm. Jakarta Barat</t>
        </is>
      </c>
      <c r="C47" t="inlineStr">
        <is>
          <t>085719847337</t>
        </is>
      </c>
      <c r="D47" t="inlineStr">
        <is>
          <t>aos.architects88@gmail.com</t>
        </is>
      </c>
      <c r="E47" t="inlineStr">
        <is>
          <t>https://lpjk.pu.go.id/search-badan-usaha-detail/cmIyNDYxcytJaWljK2tXaEdVcTI2dz09</t>
        </is>
      </c>
      <c r="F47" t="n">
        <v>4</v>
      </c>
      <c r="G47" t="inlineStr">
        <is>
          <t>PB003, PB004</t>
        </is>
      </c>
      <c r="H47" t="inlineStr">
        <is>
          <t>12 Januari 2021</t>
        </is>
      </c>
      <c r="I47" s="2" t="n">
        <v>46305</v>
      </c>
      <c r="J47" t="inlineStr">
        <is>
          <t>Pembekuan</t>
        </is>
      </c>
      <c r="K47" t="n">
        <v>30</v>
      </c>
      <c r="L47" t="inlineStr">
        <is>
          <t>10 Oktober 2026</t>
        </is>
      </c>
      <c r="M47" t="inlineStr">
        <is>
          <t>Dekorasi Interior, Pengerjaan Lantai, Dinding, Peralatan Saniter dan Plafon</t>
        </is>
      </c>
      <c r="N47" t="inlineStr">
        <is>
          <t>Spesialis</t>
        </is>
      </c>
      <c r="O47" t="inlineStr">
        <is>
          <t>20231010</t>
        </is>
      </c>
      <c r="P47" t="inlineStr">
        <is>
          <t>DKI Jakarta</t>
        </is>
      </c>
      <c r="Q47" t="inlineStr"/>
    </row>
    <row r="48">
      <c r="A48" t="inlineStr">
        <is>
          <t>CIPTA MANDIRI</t>
        </is>
      </c>
      <c r="B48" t="inlineStr">
        <is>
          <t>Kota Medan</t>
        </is>
      </c>
      <c r="C48" t="inlineStr">
        <is>
          <t>0617320322</t>
        </is>
      </c>
      <c r="D48" t="inlineStr">
        <is>
          <t>cv.ciptamandiri@rocketmail.com</t>
        </is>
      </c>
      <c r="E48" t="inlineStr">
        <is>
          <t>https://lpjk.pu.go.id/search-badan-usaha-detail/SEwzYldHYjNZOTVzdEJqNEkraFFDUT09</t>
        </is>
      </c>
      <c r="F48" t="n">
        <v>10</v>
      </c>
      <c r="G48" t="inlineStr">
        <is>
          <t>BG001, BG003, BG004, BG008, BG009</t>
        </is>
      </c>
      <c r="H48" t="inlineStr">
        <is>
          <t>22 Desember 2003</t>
        </is>
      </c>
      <c r="I48" s="2" t="n">
        <v>46305</v>
      </c>
      <c r="J48" t="inlineStr">
        <is>
          <t>Pencabutan</t>
        </is>
      </c>
      <c r="K48" t="n">
        <v>30</v>
      </c>
      <c r="L48" t="inlineStr">
        <is>
          <t>10 Oktober 2026</t>
        </is>
      </c>
      <c r="M48" t="inlineStr">
        <is>
          <t>Konstruksi Gedung Hunian, Konstruksi Gedung Industri, Konstruksi Gedung Lainnya, Konstruksi Gedung Perbelanjaan, Konstruksi Gedung Tempat Hiburan dan Olahraga</t>
        </is>
      </c>
      <c r="N48" t="inlineStr">
        <is>
          <t>K</t>
        </is>
      </c>
      <c r="O48" t="inlineStr">
        <is>
          <t>20231009</t>
        </is>
      </c>
      <c r="P48" t="inlineStr">
        <is>
          <t>Sumatera Utara</t>
        </is>
      </c>
      <c r="Q48" t="inlineStr"/>
    </row>
    <row r="49">
      <c r="A49" t="inlineStr">
        <is>
          <t>CITRA BUDIMAN SEJAHTERA</t>
        </is>
      </c>
      <c r="B49" t="inlineStr">
        <is>
          <t>Kota Banjarbaru</t>
        </is>
      </c>
      <c r="C49" t="inlineStr">
        <is>
          <t>082146977717</t>
        </is>
      </c>
      <c r="D49" t="inlineStr">
        <is>
          <t>ptcitrabudimansejahtera@gmail.com</t>
        </is>
      </c>
      <c r="E49" t="inlineStr">
        <is>
          <t>https://lpjk.pu.go.id/search-badan-usaha-detail/cnh0WGtSWS9LenQvNEZDSytrRGZSZz09</t>
        </is>
      </c>
      <c r="F49" t="n">
        <v>2</v>
      </c>
      <c r="G49" t="inlineStr">
        <is>
          <t>BG001, BS001</t>
        </is>
      </c>
      <c r="H49" t="inlineStr">
        <is>
          <t>5 Oktober 2023</t>
        </is>
      </c>
      <c r="I49" s="2" t="n">
        <v>46305</v>
      </c>
      <c r="J49" t="inlineStr">
        <is>
          <t>Disetujui</t>
        </is>
      </c>
      <c r="K49" t="n">
        <v>30</v>
      </c>
      <c r="L49" t="inlineStr">
        <is>
          <t>10 Oktober 2026</t>
        </is>
      </c>
      <c r="M49" t="inlineStr">
        <is>
          <t>Konstruksi Bangunan Sipil Jalan, Konstruksi Gedung Hunian</t>
        </is>
      </c>
      <c r="N49" t="inlineStr">
        <is>
          <t>K</t>
        </is>
      </c>
      <c r="O49" t="inlineStr">
        <is>
          <t>20231010</t>
        </is>
      </c>
      <c r="P49" t="inlineStr">
        <is>
          <t>Kalimantan Selatan</t>
        </is>
      </c>
      <c r="Q49" t="inlineStr"/>
    </row>
    <row r="50">
      <c r="A50" t="inlineStr">
        <is>
          <t>DARA NARAYA</t>
        </is>
      </c>
      <c r="B50" t="inlineStr">
        <is>
          <t>Kab. Nagan Raya</t>
        </is>
      </c>
      <c r="C50" t="inlineStr">
        <is>
          <t>082163630006</t>
        </is>
      </c>
      <c r="D50" t="inlineStr">
        <is>
          <t>cvnaraya09@gmail.com</t>
        </is>
      </c>
      <c r="E50" t="inlineStr">
        <is>
          <t>https://lpjk.pu.go.id/search-badan-usaha-detail/anFjK0ZjL2dGaDg5Q21lamdldC9Cdz09</t>
        </is>
      </c>
      <c r="F50" t="n">
        <v>5</v>
      </c>
      <c r="G50" t="inlineStr">
        <is>
          <t>BG001, BG002, BG005, BG008, BG009</t>
        </is>
      </c>
      <c r="H50" t="inlineStr">
        <is>
          <t>21 Juni 2023</t>
        </is>
      </c>
      <c r="I50" s="2" t="n">
        <v>46305</v>
      </c>
      <c r="J50" t="inlineStr">
        <is>
          <t>Disetujui</t>
        </is>
      </c>
      <c r="K50" t="n">
        <v>30</v>
      </c>
      <c r="L50" t="inlineStr">
        <is>
          <t>10 Oktober 2026</t>
        </is>
      </c>
      <c r="M50" t="inlineStr">
        <is>
          <t>Konstruksi Gedung Hunian, Konstruksi Gedung Kesehatan, Konstruksi Gedung Lainnya, Konstruksi Gedung Perkantoran, Konstruksi Gedung Tempat Hiburan dan Olahraga</t>
        </is>
      </c>
      <c r="N50" t="inlineStr">
        <is>
          <t>K</t>
        </is>
      </c>
      <c r="O50" t="inlineStr">
        <is>
          <t>20231005, 20231006, 20231007</t>
        </is>
      </c>
      <c r="P50" t="inlineStr">
        <is>
          <t>Aceh</t>
        </is>
      </c>
      <c r="Q50" t="inlineStr"/>
    </row>
    <row r="51">
      <c r="A51" t="inlineStr">
        <is>
          <t>DEWI ANDAYANI</t>
        </is>
      </c>
      <c r="B51" t="inlineStr">
        <is>
          <t>Kab. Lombok Timur</t>
        </is>
      </c>
      <c r="C51" t="inlineStr">
        <is>
          <t>081997885601</t>
        </is>
      </c>
      <c r="D51" t="inlineStr">
        <is>
          <t>dewiandayanicv@gmail.com</t>
        </is>
      </c>
      <c r="E51" t="inlineStr">
        <is>
          <t>https://lpjk.pu.go.id/search-badan-usaha-detail/RnpZOVU5STdpdFVqRG9Pdk9WV3g0Zz09</t>
        </is>
      </c>
      <c r="F51" t="n">
        <v>1</v>
      </c>
      <c r="G51" t="inlineStr">
        <is>
          <t>BS001</t>
        </is>
      </c>
      <c r="H51" t="inlineStr">
        <is>
          <t>18 Juli 2001</t>
        </is>
      </c>
      <c r="I51" s="2" t="n">
        <v>46305</v>
      </c>
      <c r="J51" t="inlineStr">
        <is>
          <t>Disetujui</t>
        </is>
      </c>
      <c r="K51" t="n">
        <v>30</v>
      </c>
      <c r="L51" t="inlineStr">
        <is>
          <t>10 Oktober 2026</t>
        </is>
      </c>
      <c r="M51" t="inlineStr">
        <is>
          <t>Konstruksi Bangunan Sipil Jalan</t>
        </is>
      </c>
      <c r="N51" t="inlineStr">
        <is>
          <t>K</t>
        </is>
      </c>
      <c r="O51" t="inlineStr">
        <is>
          <t>20231008</t>
        </is>
      </c>
      <c r="P51" t="inlineStr">
        <is>
          <t>Nusa Tenggara Barat</t>
        </is>
      </c>
      <c r="Q51" t="inlineStr"/>
    </row>
    <row r="52">
      <c r="A52" t="inlineStr">
        <is>
          <t>DHARMA CITRA LESTARI</t>
        </is>
      </c>
      <c r="B52" t="inlineStr">
        <is>
          <t>Kota Samarinda</t>
        </is>
      </c>
      <c r="C52" t="inlineStr">
        <is>
          <t>082153408550</t>
        </is>
      </c>
      <c r="D52" t="inlineStr">
        <is>
          <t>dharmacitralestari56@gmail.com</t>
        </is>
      </c>
      <c r="E52" t="inlineStr">
        <is>
          <t>https://lpjk.pu.go.id/search-badan-usaha-detail/MzNYTytRYmtlOXl1NittcThldTRqdz09</t>
        </is>
      </c>
      <c r="F52" t="n">
        <v>2</v>
      </c>
      <c r="G52" t="inlineStr">
        <is>
          <t>BG002, BG006</t>
        </is>
      </c>
      <c r="H52" t="inlineStr">
        <is>
          <t>29 Agustus 2023</t>
        </is>
      </c>
      <c r="I52" s="2" t="n">
        <v>46305</v>
      </c>
      <c r="J52" t="inlineStr">
        <is>
          <t>Pencabutan</t>
        </is>
      </c>
      <c r="K52" t="n">
        <v>30</v>
      </c>
      <c r="L52" t="inlineStr">
        <is>
          <t>10 Oktober 2026</t>
        </is>
      </c>
      <c r="M52" t="inlineStr">
        <is>
          <t>Konstruksi Gedung Pendidikan, Konstruksi Gedung Perkantoran</t>
        </is>
      </c>
      <c r="N52" t="inlineStr">
        <is>
          <t>K</t>
        </is>
      </c>
      <c r="O52" t="inlineStr">
        <is>
          <t>20231006</t>
        </is>
      </c>
      <c r="P52" t="inlineStr">
        <is>
          <t>Kalimantan Timur</t>
        </is>
      </c>
      <c r="Q52" t="inlineStr"/>
    </row>
    <row r="53">
      <c r="A53" t="inlineStr">
        <is>
          <t>DUTA KARTIKA</t>
        </is>
      </c>
      <c r="B53" t="inlineStr">
        <is>
          <t>Kab. Sidoarjo</t>
        </is>
      </c>
      <c r="C53" t="inlineStr">
        <is>
          <t>0318964839</t>
        </is>
      </c>
      <c r="D53" t="inlineStr">
        <is>
          <t>dutakartika_cv@yahoo.co.id</t>
        </is>
      </c>
      <c r="E53" t="inlineStr">
        <is>
          <t>https://lpjk.pu.go.id/search-badan-usaha-detail/dnRqT1ErU3lIbWxhcGx1UlBZemlDZz09</t>
        </is>
      </c>
      <c r="F53" t="n">
        <v>3</v>
      </c>
      <c r="G53" t="inlineStr">
        <is>
          <t>BS001, BS002, BS005</t>
        </is>
      </c>
      <c r="H53" t="inlineStr">
        <is>
          <t>29 April 1992</t>
        </is>
      </c>
      <c r="I53" s="2" t="n">
        <v>46305</v>
      </c>
      <c r="J53" t="inlineStr">
        <is>
          <t>Disetujui</t>
        </is>
      </c>
      <c r="K53" t="n">
        <v>30</v>
      </c>
      <c r="L53" t="inlineStr">
        <is>
          <t>10 Oktober 2026</t>
        </is>
      </c>
      <c r="M53" t="inlineStr">
        <is>
          <t>Bangunan Sipil Jembatan, Jalan Layang, Fly Over, dan Underpass, Konstruksi Bangunan Sipil Jalan, Konstruksi Bangunan Sipil Pengolahan Air Bersih</t>
        </is>
      </c>
      <c r="N53" t="inlineStr">
        <is>
          <t>K</t>
        </is>
      </c>
      <c r="O53" t="inlineStr">
        <is>
          <t>20231010</t>
        </is>
      </c>
      <c r="P53" t="inlineStr">
        <is>
          <t>Jawa Timur</t>
        </is>
      </c>
      <c r="Q53" t="inlineStr"/>
    </row>
    <row r="54">
      <c r="A54" t="inlineStr">
        <is>
          <t>DUTA MEGA KUPITAN</t>
        </is>
      </c>
      <c r="B54" t="inlineStr">
        <is>
          <t>Kab. Sijunjung</t>
        </is>
      </c>
      <c r="C54" t="inlineStr">
        <is>
          <t>082391093829</t>
        </is>
      </c>
      <c r="D54" t="inlineStr">
        <is>
          <t>dutamegakupitan@gmail.com</t>
        </is>
      </c>
      <c r="E54" t="inlineStr">
        <is>
          <t>https://lpjk.pu.go.id/search-badan-usaha-detail/MWtiNU41TXFTbjdQWmVjeFhOZStkdz09</t>
        </is>
      </c>
      <c r="F54" t="n">
        <v>1</v>
      </c>
      <c r="G54" t="inlineStr">
        <is>
          <t>BS001</t>
        </is>
      </c>
      <c r="H54" t="inlineStr">
        <is>
          <t>3 Februari 2023</t>
        </is>
      </c>
      <c r="I54" s="2" t="n">
        <v>46305</v>
      </c>
      <c r="J54" t="inlineStr">
        <is>
          <t>Disetujui</t>
        </is>
      </c>
      <c r="K54" t="n">
        <v>30</v>
      </c>
      <c r="L54" t="inlineStr">
        <is>
          <t>10 Oktober 2026</t>
        </is>
      </c>
      <c r="M54" t="inlineStr">
        <is>
          <t>Konstruksi Bangunan Sipil Jalan</t>
        </is>
      </c>
      <c r="N54" t="inlineStr">
        <is>
          <t>K</t>
        </is>
      </c>
      <c r="O54" t="inlineStr">
        <is>
          <t>20231009</t>
        </is>
      </c>
      <c r="P54" t="inlineStr">
        <is>
          <t>Sumatera Barat</t>
        </is>
      </c>
      <c r="Q54" t="inlineStr"/>
    </row>
    <row r="55">
      <c r="A55" t="inlineStr">
        <is>
          <t>FAJAR MULIA</t>
        </is>
      </c>
      <c r="B55" t="inlineStr">
        <is>
          <t>Kab. Tuban</t>
        </is>
      </c>
      <c r="C55" t="inlineStr">
        <is>
          <t>082234222576</t>
        </is>
      </c>
      <c r="D55" t="inlineStr">
        <is>
          <t>fajarmuliatbn.baru@gmail.com</t>
        </is>
      </c>
      <c r="E55" t="inlineStr">
        <is>
          <t>https://lpjk.pu.go.id/search-badan-usaha-detail/WmxMMGJ3RysrUlBkRkllUGNRUlhvZz09</t>
        </is>
      </c>
      <c r="F55" t="n">
        <v>1</v>
      </c>
      <c r="G55" t="inlineStr">
        <is>
          <t>BG006</t>
        </is>
      </c>
      <c r="H55" t="inlineStr">
        <is>
          <t>2 Februari 2012</t>
        </is>
      </c>
      <c r="I55" s="2" t="n">
        <v>46305</v>
      </c>
      <c r="J55" t="inlineStr">
        <is>
          <t>Pencabutan</t>
        </is>
      </c>
      <c r="K55" t="n">
        <v>30</v>
      </c>
      <c r="L55" t="inlineStr">
        <is>
          <t>10 Oktober 2026</t>
        </is>
      </c>
      <c r="M55" t="inlineStr">
        <is>
          <t>Konstruksi Gedung Pendidikan</t>
        </is>
      </c>
      <c r="N55" t="inlineStr">
        <is>
          <t>K</t>
        </is>
      </c>
      <c r="O55" t="inlineStr">
        <is>
          <t>20231009</t>
        </is>
      </c>
      <c r="P55" t="inlineStr">
        <is>
          <t>Jawa Timur</t>
        </is>
      </c>
      <c r="Q55" t="inlineStr"/>
    </row>
    <row r="56">
      <c r="A56" t="inlineStr">
        <is>
          <t>GEMILANG INDAH MANDIRI</t>
        </is>
      </c>
      <c r="B56" t="inlineStr">
        <is>
          <t>Kota Jambi</t>
        </is>
      </c>
      <c r="C56" t="inlineStr">
        <is>
          <t>085273204077</t>
        </is>
      </c>
      <c r="D56" t="inlineStr">
        <is>
          <t>cv.gemilangindahmandiri@gmail.com</t>
        </is>
      </c>
      <c r="E56" t="inlineStr">
        <is>
          <t>https://lpjk.pu.go.id/search-badan-usaha-detail/eHgvdWJmU3A0c0E3SFBDYU5odFA5Zz09</t>
        </is>
      </c>
      <c r="F56" t="n">
        <v>1</v>
      </c>
      <c r="G56" t="inlineStr">
        <is>
          <t>BG005</t>
        </is>
      </c>
      <c r="H56" t="inlineStr">
        <is>
          <t>11 April 2017</t>
        </is>
      </c>
      <c r="I56" s="2" t="n">
        <v>46305</v>
      </c>
      <c r="J56" t="inlineStr">
        <is>
          <t>Disetujui</t>
        </is>
      </c>
      <c r="K56" t="n">
        <v>30</v>
      </c>
      <c r="L56" t="inlineStr">
        <is>
          <t>10 Oktober 2026</t>
        </is>
      </c>
      <c r="M56" t="inlineStr">
        <is>
          <t>Konstruksi Gedung Kesehatan</t>
        </is>
      </c>
      <c r="N56" t="inlineStr">
        <is>
          <t>K</t>
        </is>
      </c>
      <c r="O56" t="inlineStr">
        <is>
          <t>20231009</t>
        </is>
      </c>
      <c r="P56" t="inlineStr">
        <is>
          <t>Jambi</t>
        </is>
      </c>
      <c r="Q56" t="inlineStr"/>
    </row>
    <row r="57">
      <c r="A57" t="inlineStr">
        <is>
          <t>GENTA MALAYA 09</t>
        </is>
      </c>
      <c r="B57" t="inlineStr">
        <is>
          <t>Kab. Kotawaringin Timur</t>
        </is>
      </c>
      <c r="C57" t="inlineStr">
        <is>
          <t>08125088466</t>
        </is>
      </c>
      <c r="D57" t="inlineStr">
        <is>
          <t>Gentamalaya09spt@gmail.com</t>
        </is>
      </c>
      <c r="E57" t="inlineStr">
        <is>
          <t>https://lpjk.pu.go.id/search-badan-usaha-detail/d1g0dDJoVHJMRTBISU8wRGVqelBrUT09</t>
        </is>
      </c>
      <c r="F57" t="n">
        <v>5</v>
      </c>
      <c r="G57" t="inlineStr">
        <is>
          <t>BG003, BG005, BG006, BG009, BS001</t>
        </is>
      </c>
      <c r="H57" t="inlineStr">
        <is>
          <t>5 Maret 2009</t>
        </is>
      </c>
      <c r="I57" s="2" t="n">
        <v>46305</v>
      </c>
      <c r="J57" t="inlineStr">
        <is>
          <t>Disetujui</t>
        </is>
      </c>
      <c r="K57" t="n">
        <v>30</v>
      </c>
      <c r="L57" t="inlineStr">
        <is>
          <t>10 Oktober 2026</t>
        </is>
      </c>
      <c r="M57" t="inlineStr">
        <is>
          <t>Konstruksi Bangunan Sipil Jalan, Konstruksi Gedung Industri, Konstruksi Gedung Kesehatan, Konstruksi Gedung Lainnya, Konstruksi Gedung Pendidikan</t>
        </is>
      </c>
      <c r="N57" t="inlineStr">
        <is>
          <t>K</t>
        </is>
      </c>
      <c r="O57" t="inlineStr">
        <is>
          <t>20231011</t>
        </is>
      </c>
      <c r="P57" t="inlineStr">
        <is>
          <t>Kalimantan Tengah</t>
        </is>
      </c>
      <c r="Q57" t="inlineStr"/>
    </row>
    <row r="58">
      <c r="A58" t="inlineStr">
        <is>
          <t>GIRI PUTRI SEJATI</t>
        </is>
      </c>
      <c r="B58" t="inlineStr">
        <is>
          <t>Kota Kendari</t>
        </is>
      </c>
      <c r="C58" t="inlineStr">
        <is>
          <t>085299446705</t>
        </is>
      </c>
      <c r="D58" t="inlineStr">
        <is>
          <t>cv.giri@yahoo.com</t>
        </is>
      </c>
      <c r="E58" t="inlineStr">
        <is>
          <t>https://lpjk.pu.go.id/search-badan-usaha-detail/MnRESEIxM0UvYXFzOVhnQkhXNXpkdz09</t>
        </is>
      </c>
      <c r="F58" t="n">
        <v>1</v>
      </c>
      <c r="G58" t="inlineStr">
        <is>
          <t>BG009</t>
        </is>
      </c>
      <c r="H58" t="inlineStr">
        <is>
          <t>1 Juli 2000</t>
        </is>
      </c>
      <c r="I58" s="2" t="n">
        <v>46305</v>
      </c>
      <c r="J58" t="inlineStr">
        <is>
          <t>Disetujui</t>
        </is>
      </c>
      <c r="K58" t="n">
        <v>30</v>
      </c>
      <c r="L58" t="inlineStr">
        <is>
          <t>10 Oktober 2026</t>
        </is>
      </c>
      <c r="M58" t="inlineStr">
        <is>
          <t>Konstruksi Gedung Lainnya</t>
        </is>
      </c>
      <c r="N58" t="inlineStr">
        <is>
          <t>K</t>
        </is>
      </c>
      <c r="O58" t="inlineStr">
        <is>
          <t>20231007</t>
        </is>
      </c>
      <c r="P58" t="inlineStr">
        <is>
          <t>Sulawesi Tenggara</t>
        </is>
      </c>
      <c r="Q58" t="inlineStr"/>
    </row>
    <row r="59">
      <c r="A59" t="inlineStr">
        <is>
          <t>GITA GUMILANG</t>
        </is>
      </c>
      <c r="B59" t="inlineStr">
        <is>
          <t>Kab. Melawi</t>
        </is>
      </c>
      <c r="C59" t="inlineStr">
        <is>
          <t>085393598622</t>
        </is>
      </c>
      <c r="D59" t="inlineStr">
        <is>
          <t>gitagumilang@yahoo.com</t>
        </is>
      </c>
      <c r="E59" t="inlineStr">
        <is>
          <t>https://lpjk.pu.go.id/search-badan-usaha-detail/RmtqdUlCUGlObXhkY3E4L3h5bDllZz09</t>
        </is>
      </c>
      <c r="F59" t="n">
        <v>3</v>
      </c>
      <c r="G59" t="inlineStr">
        <is>
          <t>BG009, BS001, BS002</t>
        </is>
      </c>
      <c r="H59" t="inlineStr">
        <is>
          <t>6 Maret 2020</t>
        </is>
      </c>
      <c r="I59" s="2" t="n">
        <v>46305</v>
      </c>
      <c r="J59" t="inlineStr">
        <is>
          <t>Pencabutan</t>
        </is>
      </c>
      <c r="K59" t="n">
        <v>30</v>
      </c>
      <c r="L59" t="inlineStr">
        <is>
          <t>10 Oktober 2026</t>
        </is>
      </c>
      <c r="M59" t="inlineStr">
        <is>
          <t>Bangunan Sipil Jembatan, Jalan Layang, Fly Over, dan Underpass, Konstruksi Bangunan Sipil Jalan, Konstruksi Gedung Lainnya</t>
        </is>
      </c>
      <c r="N59" t="inlineStr">
        <is>
          <t>K</t>
        </is>
      </c>
      <c r="O59" t="inlineStr">
        <is>
          <t>20231011</t>
        </is>
      </c>
      <c r="P59" t="inlineStr">
        <is>
          <t>Kalimantan Barat</t>
        </is>
      </c>
      <c r="Q59" t="inlineStr"/>
    </row>
    <row r="60">
      <c r="A60" t="inlineStr">
        <is>
          <t>GLOBAL 09</t>
        </is>
      </c>
      <c r="B60" t="inlineStr">
        <is>
          <t>Kab. Kutai Kartanegara</t>
        </is>
      </c>
      <c r="C60" t="inlineStr">
        <is>
          <t>085393344867</t>
        </is>
      </c>
      <c r="D60" t="inlineStr">
        <is>
          <t>helda.purnamasari2012@gmail.com</t>
        </is>
      </c>
      <c r="E60" t="inlineStr">
        <is>
          <t>https://lpjk.pu.go.id/search-badan-usaha-detail/MG55UWlvcVNGUzhzS0k3dFV1K3BiQT09</t>
        </is>
      </c>
      <c r="F60" t="n">
        <v>3</v>
      </c>
      <c r="G60" t="inlineStr">
        <is>
          <t>BG006, BG009, BS001</t>
        </is>
      </c>
      <c r="H60" t="inlineStr">
        <is>
          <t>21 Februari 2012</t>
        </is>
      </c>
      <c r="I60" s="2" t="n">
        <v>46305</v>
      </c>
      <c r="J60" t="inlineStr">
        <is>
          <t>Disetujui</t>
        </is>
      </c>
      <c r="K60" t="n">
        <v>30</v>
      </c>
      <c r="L60" t="inlineStr">
        <is>
          <t>10 Oktober 2026</t>
        </is>
      </c>
      <c r="M60" t="inlineStr">
        <is>
          <t>Konstruksi Bangunan Sipil Jalan, Konstruksi Gedung Lainnya, Konstruksi Gedung Pendidikan</t>
        </is>
      </c>
      <c r="N60" t="inlineStr">
        <is>
          <t>K</t>
        </is>
      </c>
      <c r="O60" t="inlineStr">
        <is>
          <t>20231006, 20231010</t>
        </is>
      </c>
      <c r="P60" t="inlineStr">
        <is>
          <t>Kalimantan Timur</t>
        </is>
      </c>
      <c r="Q60" t="inlineStr"/>
    </row>
    <row r="61">
      <c r="A61" t="inlineStr">
        <is>
          <t>GOLDEN CONSULTANT</t>
        </is>
      </c>
      <c r="B61" t="inlineStr">
        <is>
          <t>Kab. Kepulauan Anambas</t>
        </is>
      </c>
      <c r="C61" t="inlineStr">
        <is>
          <t>082285476893</t>
        </is>
      </c>
      <c r="D61" t="inlineStr">
        <is>
          <t>goldenconsultant27@gmail.com</t>
        </is>
      </c>
      <c r="E61" t="inlineStr">
        <is>
          <t>https://lpjk.pu.go.id/search-badan-usaha-detail/R2s5emMrNnRUSTZ2Wk02QndjOU9IZz09</t>
        </is>
      </c>
      <c r="F61" t="n">
        <v>4</v>
      </c>
      <c r="G61" t="inlineStr">
        <is>
          <t>RK001, RK002</t>
        </is>
      </c>
      <c r="H61" t="inlineStr">
        <is>
          <t>6 November 2019</t>
        </is>
      </c>
      <c r="I61" s="2" t="n">
        <v>46305</v>
      </c>
      <c r="J61" t="inlineStr">
        <is>
          <t>Disetujui</t>
        </is>
      </c>
      <c r="K61" t="n">
        <v>30</v>
      </c>
      <c r="L61" t="inlineStr">
        <is>
          <t>10 Oktober 2026</t>
        </is>
      </c>
      <c r="M61" t="inlineStr">
        <is>
          <t>Jasa Rekayasa Konstruksi Bangunan Gedung Hunian dan Non Hunian, Jasa Rekayasa Pekerjaan Teknik Sipil Sumber Daya Air</t>
        </is>
      </c>
      <c r="N61" t="inlineStr">
        <is>
          <t>K</t>
        </is>
      </c>
      <c r="O61" t="inlineStr">
        <is>
          <t>20230705</t>
        </is>
      </c>
      <c r="P61" t="inlineStr">
        <is>
          <t>Kepulauan Riau</t>
        </is>
      </c>
      <c r="Q61" t="inlineStr"/>
    </row>
    <row r="62">
      <c r="A62" t="inlineStr">
        <is>
          <t>GRASIA PRIMA UTAMA</t>
        </is>
      </c>
      <c r="B62" t="inlineStr">
        <is>
          <t>Kab. Kutai Timur</t>
        </is>
      </c>
      <c r="C62" t="inlineStr">
        <is>
          <t>081346377931</t>
        </is>
      </c>
      <c r="D62" t="inlineStr">
        <is>
          <t>grasia_gpu@yahoo.com</t>
        </is>
      </c>
      <c r="E62" t="inlineStr">
        <is>
          <t>https://lpjk.pu.go.id/search-badan-usaha-detail/Njh4ek9KWjdWcUVBU3NSNWJmNjkyZz09</t>
        </is>
      </c>
      <c r="F62" t="n">
        <v>6</v>
      </c>
      <c r="G62" t="inlineStr">
        <is>
          <t>BG001, BG002, BG003, BG005, BG009, BS001</t>
        </is>
      </c>
      <c r="H62" t="inlineStr">
        <is>
          <t>2 Oktober 2023</t>
        </is>
      </c>
      <c r="I62" s="2" t="n">
        <v>46305</v>
      </c>
      <c r="J62" t="inlineStr">
        <is>
          <t>Disetujui</t>
        </is>
      </c>
      <c r="K62" t="n">
        <v>30</v>
      </c>
      <c r="L62" t="inlineStr">
        <is>
          <t>10 Oktober 2026</t>
        </is>
      </c>
      <c r="M62" t="inlineStr">
        <is>
          <t>Konstruksi Bangunan Sipil Jalan, Konstruksi Gedung Hunian, Konstruksi Gedung Industri, Konstruksi Gedung Kesehatan, Konstruksi Gedung Lainnya, Konstruksi Gedung Perkantoran</t>
        </is>
      </c>
      <c r="N62" t="inlineStr">
        <is>
          <t>K</t>
        </is>
      </c>
      <c r="O62" t="inlineStr">
        <is>
          <t>20231009, 20231012</t>
        </is>
      </c>
      <c r="P62" t="inlineStr">
        <is>
          <t>Kalimantan Timur</t>
        </is>
      </c>
      <c r="Q62" t="inlineStr"/>
    </row>
    <row r="63">
      <c r="A63" t="inlineStr">
        <is>
          <t>GUNA ANUGRAH TEKNIK</t>
        </is>
      </c>
      <c r="B63" t="inlineStr">
        <is>
          <t>Kota Tangerang Selatan</t>
        </is>
      </c>
      <c r="C63" t="inlineStr">
        <is>
          <t>08788766312</t>
        </is>
      </c>
      <c r="D63" t="inlineStr">
        <is>
          <t>ptgunaanugrahteknik@yopmail.com</t>
        </is>
      </c>
      <c r="E63" t="inlineStr">
        <is>
          <t>https://lpjk.pu.go.id/search-badan-usaha-detail/bmFMZHJhM3hGa1phZGc0cDNGQnI3QT09</t>
        </is>
      </c>
      <c r="F63" t="n">
        <v>1</v>
      </c>
      <c r="G63" t="inlineStr">
        <is>
          <t>BG002</t>
        </is>
      </c>
      <c r="H63" t="inlineStr">
        <is>
          <t>10 Februari 2022</t>
        </is>
      </c>
      <c r="I63" s="2" t="n">
        <v>46305</v>
      </c>
      <c r="J63" t="inlineStr">
        <is>
          <t>Disetujui</t>
        </is>
      </c>
      <c r="K63" t="n">
        <v>30</v>
      </c>
      <c r="L63" t="inlineStr">
        <is>
          <t>10 Oktober 2026</t>
        </is>
      </c>
      <c r="M63" t="inlineStr">
        <is>
          <t>Konstruksi Gedung Perkantoran</t>
        </is>
      </c>
      <c r="N63" t="inlineStr">
        <is>
          <t>K</t>
        </is>
      </c>
      <c r="O63" t="inlineStr">
        <is>
          <t>20230918</t>
        </is>
      </c>
      <c r="P63" t="inlineStr">
        <is>
          <t>Banten</t>
        </is>
      </c>
      <c r="Q63" t="inlineStr"/>
    </row>
    <row r="64">
      <c r="A64" t="inlineStr">
        <is>
          <t>HALMAHERA</t>
        </is>
      </c>
      <c r="B64" t="inlineStr">
        <is>
          <t>Kota Bandung</t>
        </is>
      </c>
      <c r="C64" t="inlineStr">
        <is>
          <t>082115343797</t>
        </is>
      </c>
      <c r="D64" t="inlineStr">
        <is>
          <t>cv.halmahera8@gmail.com</t>
        </is>
      </c>
      <c r="E64" t="inlineStr">
        <is>
          <t>https://lpjk.pu.go.id/search-badan-usaha-detail/Y0cxSTE0K1NITmVwVHRnWTVMZGYrdz09</t>
        </is>
      </c>
      <c r="F64" t="n">
        <v>1</v>
      </c>
      <c r="G64" t="inlineStr">
        <is>
          <t>BG009</t>
        </is>
      </c>
      <c r="H64" t="inlineStr">
        <is>
          <t>15 Januari 1987</t>
        </is>
      </c>
      <c r="I64" s="2" t="n">
        <v>46305</v>
      </c>
      <c r="J64" t="inlineStr">
        <is>
          <t>Disetujui</t>
        </is>
      </c>
      <c r="K64" t="n">
        <v>30</v>
      </c>
      <c r="L64" t="inlineStr">
        <is>
          <t>10 Oktober 2026</t>
        </is>
      </c>
      <c r="M64" t="inlineStr">
        <is>
          <t>Konstruksi Gedung Lainnya</t>
        </is>
      </c>
      <c r="N64" t="inlineStr">
        <is>
          <t>K</t>
        </is>
      </c>
      <c r="O64" t="inlineStr">
        <is>
          <t>20231006</t>
        </is>
      </c>
      <c r="P64" t="inlineStr">
        <is>
          <t>Jawa Barat</t>
        </is>
      </c>
      <c r="Q64" t="inlineStr"/>
    </row>
    <row r="65">
      <c r="A65" t="inlineStr">
        <is>
          <t>HARAPAN KITA</t>
        </is>
      </c>
      <c r="B65" t="inlineStr">
        <is>
          <t>Kab. Tangerang</t>
        </is>
      </c>
      <c r="C65" t="inlineStr">
        <is>
          <t>081295730716</t>
        </is>
      </c>
      <c r="D65" t="inlineStr">
        <is>
          <t>harapankita213@gmail.com</t>
        </is>
      </c>
      <c r="E65" t="inlineStr">
        <is>
          <t>https://lpjk.pu.go.id/search-badan-usaha-detail/M01WYlhXZ2NCUDVmcU9aRDhRL0QzUT09</t>
        </is>
      </c>
      <c r="F65" t="n">
        <v>3</v>
      </c>
      <c r="G65" t="inlineStr">
        <is>
          <t>BG009, BS001, BS004</t>
        </is>
      </c>
      <c r="H65" t="inlineStr">
        <is>
          <t>14 Februari 2013</t>
        </is>
      </c>
      <c r="I65" s="2" t="n">
        <v>46305</v>
      </c>
      <c r="J65" t="inlineStr">
        <is>
          <t>Disetujui</t>
        </is>
      </c>
      <c r="K65" t="n">
        <v>30</v>
      </c>
      <c r="L65" t="inlineStr">
        <is>
          <t>10 Oktober 2026</t>
        </is>
      </c>
      <c r="M65" t="inlineStr">
        <is>
          <t>Konstruksi Bangunan Sipil Jalan, Konstruksi Gedung Lainnya, Konstruksi Jaringan Irigasi dan Drainase</t>
        </is>
      </c>
      <c r="N65" t="inlineStr">
        <is>
          <t>K</t>
        </is>
      </c>
      <c r="O65" t="inlineStr">
        <is>
          <t>20231010</t>
        </is>
      </c>
      <c r="P65" t="inlineStr">
        <is>
          <t>Banten</t>
        </is>
      </c>
      <c r="Q65" t="inlineStr"/>
    </row>
    <row r="66">
      <c r="A66" t="inlineStr">
        <is>
          <t>HENDRATAMA CITRA PERSADA</t>
        </is>
      </c>
      <c r="B66" t="inlineStr">
        <is>
          <t>Kab. Bantul</t>
        </is>
      </c>
      <c r="C66" t="inlineStr">
        <is>
          <t>087719061450</t>
        </is>
      </c>
      <c r="D66" t="inlineStr">
        <is>
          <t>cvhcpbantul@yahoo.co.id</t>
        </is>
      </c>
      <c r="E66" t="inlineStr">
        <is>
          <t>https://lpjk.pu.go.id/search-badan-usaha-detail/dkpHOFhGMitnTVRLOHNPRUVtM213dz09</t>
        </is>
      </c>
      <c r="F66" t="n">
        <v>2</v>
      </c>
      <c r="G66" t="inlineStr">
        <is>
          <t>BG006, BG008</t>
        </is>
      </c>
      <c r="H66" t="inlineStr">
        <is>
          <t>9 Oktober 2004</t>
        </is>
      </c>
      <c r="I66" s="2" t="n">
        <v>46305</v>
      </c>
      <c r="J66" t="inlineStr">
        <is>
          <t>Disetujui</t>
        </is>
      </c>
      <c r="K66" t="n">
        <v>30</v>
      </c>
      <c r="L66" t="inlineStr">
        <is>
          <t>10 Oktober 2026</t>
        </is>
      </c>
      <c r="M66" t="inlineStr">
        <is>
          <t>Konstruksi Gedung Pendidikan, Konstruksi Gedung Tempat Hiburan dan Olahraga</t>
        </is>
      </c>
      <c r="N66" t="inlineStr">
        <is>
          <t>K</t>
        </is>
      </c>
      <c r="O66" t="inlineStr">
        <is>
          <t>20231008</t>
        </is>
      </c>
      <c r="P66" t="inlineStr">
        <is>
          <t>DI Yogyakarta</t>
        </is>
      </c>
      <c r="Q66" t="inlineStr"/>
    </row>
    <row r="67">
      <c r="A67" t="inlineStr">
        <is>
          <t>INA PAPUA JAYA</t>
        </is>
      </c>
      <c r="B67" t="inlineStr">
        <is>
          <t>Kab. Nabire</t>
        </is>
      </c>
      <c r="C67" t="inlineStr">
        <is>
          <t>081250517399</t>
        </is>
      </c>
      <c r="D67" t="inlineStr">
        <is>
          <t>inajayap@gmail.com</t>
        </is>
      </c>
      <c r="E67" t="inlineStr">
        <is>
          <t>https://lpjk.pu.go.id/search-badan-usaha-detail/R05LMkRuTXBmOWZCVmJQVGJIdHVuUT09</t>
        </is>
      </c>
      <c r="F67" t="n">
        <v>2</v>
      </c>
      <c r="G67" t="inlineStr">
        <is>
          <t>BG005, BG006</t>
        </is>
      </c>
      <c r="H67" t="inlineStr">
        <is>
          <t>12 Januari 2023</t>
        </is>
      </c>
      <c r="I67" s="2" t="n">
        <v>46305</v>
      </c>
      <c r="J67" t="inlineStr">
        <is>
          <t>Disetujui</t>
        </is>
      </c>
      <c r="K67" t="n">
        <v>30</v>
      </c>
      <c r="L67" t="inlineStr">
        <is>
          <t>10 Oktober 2026</t>
        </is>
      </c>
      <c r="M67" t="inlineStr">
        <is>
          <t>Konstruksi Gedung Kesehatan, Konstruksi Gedung Pendidikan</t>
        </is>
      </c>
      <c r="N67" t="inlineStr">
        <is>
          <t>K</t>
        </is>
      </c>
      <c r="O67" t="inlineStr">
        <is>
          <t>20231005</t>
        </is>
      </c>
      <c r="P67" t="inlineStr">
        <is>
          <t>Papua</t>
        </is>
      </c>
      <c r="Q67" t="inlineStr"/>
    </row>
    <row r="68">
      <c r="A68" t="inlineStr">
        <is>
          <t>INDO PRATAMA</t>
        </is>
      </c>
      <c r="B68" t="inlineStr">
        <is>
          <t>Kab. Pasaman</t>
        </is>
      </c>
      <c r="C68" t="inlineStr">
        <is>
          <t>081277785025</t>
        </is>
      </c>
      <c r="D68" t="inlineStr">
        <is>
          <t>rezkihsb@gmail.com</t>
        </is>
      </c>
      <c r="E68" t="inlineStr">
        <is>
          <t>https://lpjk.pu.go.id/search-badan-usaha-detail/T3hieGszaFZ5YXh1ODFBNi9XRkFJUT09</t>
        </is>
      </c>
      <c r="F68" t="n">
        <v>5</v>
      </c>
      <c r="G68" t="inlineStr">
        <is>
          <t>BG005, BG006, BG009, BS001, BS004</t>
        </is>
      </c>
      <c r="H68" t="inlineStr">
        <is>
          <t>4 April 2012</t>
        </is>
      </c>
      <c r="I68" s="2" t="n">
        <v>46305</v>
      </c>
      <c r="J68" t="inlineStr">
        <is>
          <t>Disetujui</t>
        </is>
      </c>
      <c r="K68" t="n">
        <v>30</v>
      </c>
      <c r="L68" t="inlineStr">
        <is>
          <t>10 Oktober 2026</t>
        </is>
      </c>
      <c r="M68" t="inlineStr">
        <is>
          <t>Konstruksi Bangunan Sipil Jalan, Konstruksi Gedung Kesehatan, Konstruksi Gedung Lainnya, Konstruksi Gedung Pendidikan, Konstruksi Jaringan Irigasi dan Drainase</t>
        </is>
      </c>
      <c r="N68" t="inlineStr">
        <is>
          <t>K</t>
        </is>
      </c>
      <c r="O68" t="inlineStr">
        <is>
          <t>20231010, 20231011, 20231012, 20231013</t>
        </is>
      </c>
      <c r="P68" t="inlineStr">
        <is>
          <t>Sumatera Barat</t>
        </is>
      </c>
      <c r="Q68" t="inlineStr"/>
    </row>
    <row r="69">
      <c r="A69" t="inlineStr">
        <is>
          <t>INDRI PUTRI BADA</t>
        </is>
      </c>
      <c r="B69" t="inlineStr">
        <is>
          <t>Kab. Dompu</t>
        </is>
      </c>
      <c r="C69" t="inlineStr">
        <is>
          <t>085338707199</t>
        </is>
      </c>
      <c r="D69" t="inlineStr">
        <is>
          <t>cvindriputribada1965@gmail.com</t>
        </is>
      </c>
      <c r="E69" t="inlineStr">
        <is>
          <t>https://lpjk.pu.go.id/search-badan-usaha-detail/UVNibmZFS1ZJWGNPWkppUzRaR0Rudz09</t>
        </is>
      </c>
      <c r="F69" t="n">
        <v>1</v>
      </c>
      <c r="G69" t="inlineStr">
        <is>
          <t>BG009</t>
        </is>
      </c>
      <c r="H69" t="inlineStr">
        <is>
          <t>19 Maret 2012</t>
        </is>
      </c>
      <c r="I69" s="2" t="n">
        <v>46305</v>
      </c>
      <c r="J69" t="inlineStr">
        <is>
          <t>Disetujui</t>
        </is>
      </c>
      <c r="K69" t="n">
        <v>30</v>
      </c>
      <c r="L69" t="inlineStr">
        <is>
          <t>10 Oktober 2026</t>
        </is>
      </c>
      <c r="M69" t="inlineStr">
        <is>
          <t>Konstruksi Gedung Lainnya</t>
        </is>
      </c>
      <c r="N69" t="inlineStr">
        <is>
          <t>K</t>
        </is>
      </c>
      <c r="O69" t="inlineStr">
        <is>
          <t>20230921</t>
        </is>
      </c>
      <c r="P69" t="inlineStr">
        <is>
          <t>Nusa Tenggara Barat</t>
        </is>
      </c>
      <c r="Q69" t="inlineStr"/>
    </row>
    <row r="70">
      <c r="A70" t="inlineStr">
        <is>
          <t>INTAN TIGA BRILLIANT</t>
        </is>
      </c>
      <c r="B70" t="inlineStr">
        <is>
          <t>Kab. Cilacap</t>
        </is>
      </c>
      <c r="C70" t="inlineStr">
        <is>
          <t>0873461333</t>
        </is>
      </c>
      <c r="D70" t="inlineStr">
        <is>
          <t>intantigabrilliant@gmail.com</t>
        </is>
      </c>
      <c r="E70" t="inlineStr">
        <is>
          <t>https://lpjk.pu.go.id/search-badan-usaha-detail/WFJBcFVKYlFxMkUrK0M2ZTYwUHpodz09</t>
        </is>
      </c>
      <c r="F70" t="n">
        <v>1</v>
      </c>
      <c r="G70" t="inlineStr">
        <is>
          <t>BS005</t>
        </is>
      </c>
      <c r="H70" t="inlineStr">
        <is>
          <t>12 April 2016</t>
        </is>
      </c>
      <c r="I70" s="2" t="n">
        <v>46305</v>
      </c>
      <c r="J70" t="inlineStr">
        <is>
          <t>Disetujui</t>
        </is>
      </c>
      <c r="K70" t="n">
        <v>30</v>
      </c>
      <c r="L70" t="inlineStr">
        <is>
          <t>10 Oktober 2026</t>
        </is>
      </c>
      <c r="M70" t="inlineStr">
        <is>
          <t>Konstruksi Bangunan Sipil Pengolahan Air Bersih</t>
        </is>
      </c>
      <c r="N70" t="inlineStr">
        <is>
          <t>K</t>
        </is>
      </c>
      <c r="O70" t="inlineStr">
        <is>
          <t>20231005</t>
        </is>
      </c>
      <c r="P70" t="inlineStr">
        <is>
          <t>Jawa Tengah</t>
        </is>
      </c>
      <c r="Q70" t="inlineStr"/>
    </row>
    <row r="71">
      <c r="A71" t="inlineStr">
        <is>
          <t>JATI BARU</t>
        </is>
      </c>
      <c r="B71" t="inlineStr">
        <is>
          <t>Kab. Banjar</t>
        </is>
      </c>
      <c r="C71" t="inlineStr">
        <is>
          <t>05114720155</t>
        </is>
      </c>
      <c r="D71" t="inlineStr">
        <is>
          <t>ptjatibaru37@gmail.com</t>
        </is>
      </c>
      <c r="E71" t="inlineStr">
        <is>
          <t>https://lpjk.pu.go.id/search-badan-usaha-detail/YWpGb0R0Z3BVNy92R1puQTkwUFpCZz09</t>
        </is>
      </c>
      <c r="F71" t="n">
        <v>2</v>
      </c>
      <c r="G71" t="inlineStr">
        <is>
          <t>BS001, BS002</t>
        </is>
      </c>
      <c r="H71" t="inlineStr">
        <is>
          <t>15 Agustus 1985</t>
        </is>
      </c>
      <c r="I71" s="2" t="n">
        <v>46305</v>
      </c>
      <c r="J71" t="inlineStr">
        <is>
          <t>Disetujui</t>
        </is>
      </c>
      <c r="K71" t="n">
        <v>30</v>
      </c>
      <c r="L71" t="inlineStr">
        <is>
          <t>10 Oktober 2026</t>
        </is>
      </c>
      <c r="M71" t="inlineStr">
        <is>
          <t>Bangunan Sipil Jembatan, Jalan Layang, Fly Over, dan Underpass, Konstruksi Bangunan Sipil Jalan</t>
        </is>
      </c>
      <c r="N71" t="inlineStr">
        <is>
          <t>M</t>
        </is>
      </c>
      <c r="O71" t="inlineStr">
        <is>
          <t>20230921, 20231010</t>
        </is>
      </c>
      <c r="P71" t="inlineStr">
        <is>
          <t>Kalimantan Selatan</t>
        </is>
      </c>
      <c r="Q71" t="inlineStr"/>
    </row>
    <row r="72">
      <c r="A72" t="inlineStr">
        <is>
          <t>JAYA MANDIRI</t>
        </is>
      </c>
      <c r="B72" t="inlineStr">
        <is>
          <t>Kota Pekanbaru</t>
        </is>
      </c>
      <c r="C72" t="inlineStr">
        <is>
          <t>085274525798</t>
        </is>
      </c>
      <c r="D72" t="inlineStr">
        <is>
          <t>po.herman5798@gmail.com</t>
        </is>
      </c>
      <c r="E72" t="inlineStr">
        <is>
          <t>https://lpjk.pu.go.id/search-badan-usaha-detail/Q2FDRUNTaHZrVTZQNTBUdHFMdGFoZz09</t>
        </is>
      </c>
      <c r="F72" t="n">
        <v>1</v>
      </c>
      <c r="G72" t="inlineStr">
        <is>
          <t>BG001</t>
        </is>
      </c>
      <c r="H72" t="inlineStr">
        <is>
          <t>22 Juni 2012</t>
        </is>
      </c>
      <c r="I72" s="2" t="n">
        <v>46305</v>
      </c>
      <c r="J72" t="inlineStr">
        <is>
          <t>Disetujui</t>
        </is>
      </c>
      <c r="K72" t="n">
        <v>30</v>
      </c>
      <c r="L72" t="inlineStr">
        <is>
          <t>10 Oktober 2026</t>
        </is>
      </c>
      <c r="M72" t="inlineStr">
        <is>
          <t>Konstruksi Gedung Hunian</t>
        </is>
      </c>
      <c r="N72" t="inlineStr">
        <is>
          <t>K</t>
        </is>
      </c>
      <c r="O72" t="inlineStr">
        <is>
          <t>20231010</t>
        </is>
      </c>
      <c r="P72" t="inlineStr">
        <is>
          <t>Riau</t>
        </is>
      </c>
      <c r="Q72" t="inlineStr"/>
    </row>
    <row r="73">
      <c r="A73" t="inlineStr">
        <is>
          <t>JILIN MEGA KREASI</t>
        </is>
      </c>
      <c r="B73" t="inlineStr">
        <is>
          <t>Kab. Cirebon</t>
        </is>
      </c>
      <c r="C73" t="inlineStr">
        <is>
          <t>081313040438</t>
        </is>
      </c>
      <c r="D73" t="inlineStr">
        <is>
          <t>jilinmegakreasi@gmail.com</t>
        </is>
      </c>
      <c r="E73" t="inlineStr">
        <is>
          <t>https://lpjk.pu.go.id/search-badan-usaha-detail/WUxPclNqZWRQRk0wNUp0dVEwdUdGZz09</t>
        </is>
      </c>
      <c r="F73" t="n">
        <v>3</v>
      </c>
      <c r="G73" t="inlineStr">
        <is>
          <t>BG005, BG006, BG009</t>
        </is>
      </c>
      <c r="H73" t="inlineStr">
        <is>
          <t>25 Februari 2021</t>
        </is>
      </c>
      <c r="I73" s="2" t="n">
        <v>46305</v>
      </c>
      <c r="J73" t="inlineStr">
        <is>
          <t>Disetujui</t>
        </is>
      </c>
      <c r="K73" t="n">
        <v>30</v>
      </c>
      <c r="L73" t="inlineStr">
        <is>
          <t>10 Oktober 2026</t>
        </is>
      </c>
      <c r="M73" t="inlineStr">
        <is>
          <t>Konstruksi Gedung Kesehatan, Konstruksi Gedung Lainnya, Konstruksi Gedung Pendidikan</t>
        </is>
      </c>
      <c r="N73" t="inlineStr">
        <is>
          <t>K</t>
        </is>
      </c>
      <c r="O73" t="inlineStr">
        <is>
          <t>20230929, 20231009</t>
        </is>
      </c>
      <c r="P73" t="inlineStr">
        <is>
          <t>Jawa Barat</t>
        </is>
      </c>
      <c r="Q73" t="inlineStr"/>
    </row>
    <row r="74">
      <c r="A74" t="inlineStr">
        <is>
          <t>KALIMANTAN AGUNG PERKASA</t>
        </is>
      </c>
      <c r="B74" t="inlineStr">
        <is>
          <t>Kota Bontang</t>
        </is>
      </c>
      <c r="C74" t="inlineStr">
        <is>
          <t>0811580797</t>
        </is>
      </c>
      <c r="D74" t="inlineStr">
        <is>
          <t>cvkalimantanintiteknik@gmail.com</t>
        </is>
      </c>
      <c r="E74" t="inlineStr">
        <is>
          <t>https://lpjk.pu.go.id/search-badan-usaha-detail/WllOaUtsbmdEaGQwcFgzNEx4RU5Ddz09</t>
        </is>
      </c>
      <c r="F74" t="n">
        <v>4</v>
      </c>
      <c r="G74" t="inlineStr">
        <is>
          <t>BG003, BS004</t>
        </is>
      </c>
      <c r="H74" t="inlineStr">
        <is>
          <t>21 September 2006</t>
        </is>
      </c>
      <c r="I74" s="2" t="n">
        <v>46305</v>
      </c>
      <c r="J74" t="inlineStr">
        <is>
          <t>Disetujui</t>
        </is>
      </c>
      <c r="K74" t="n">
        <v>30</v>
      </c>
      <c r="L74" t="inlineStr">
        <is>
          <t>10 Oktober 2026</t>
        </is>
      </c>
      <c r="M74" t="inlineStr">
        <is>
          <t>Konstruksi Gedung Industri, Konstruksi Jaringan Irigasi dan Drainase</t>
        </is>
      </c>
      <c r="N74" t="inlineStr">
        <is>
          <t>K</t>
        </is>
      </c>
      <c r="O74" t="inlineStr">
        <is>
          <t>20231005</t>
        </is>
      </c>
      <c r="P74" t="inlineStr">
        <is>
          <t>Kalimantan Timur</t>
        </is>
      </c>
      <c r="Q74" t="inlineStr"/>
    </row>
    <row r="75">
      <c r="A75" t="inlineStr">
        <is>
          <t>KARYA KONSTRUKSI</t>
        </is>
      </c>
      <c r="B75" t="inlineStr">
        <is>
          <t>Kota Padang</t>
        </is>
      </c>
      <c r="C75" t="inlineStr">
        <is>
          <t>081364775228</t>
        </is>
      </c>
      <c r="D75" t="inlineStr">
        <is>
          <t>cvkaryakonstruksi1@gmail.com</t>
        </is>
      </c>
      <c r="E75" t="inlineStr">
        <is>
          <t>https://lpjk.pu.go.id/search-badan-usaha-detail/OE4vSmUwSzQzSTdJWHBPZ1NJOUxMZz09</t>
        </is>
      </c>
      <c r="F75" t="n">
        <v>1</v>
      </c>
      <c r="G75" t="inlineStr">
        <is>
          <t>BG002</t>
        </is>
      </c>
      <c r="H75" t="inlineStr">
        <is>
          <t>26 November 1985</t>
        </is>
      </c>
      <c r="I75" s="2" t="n">
        <v>46305</v>
      </c>
      <c r="J75" t="inlineStr">
        <is>
          <t>Disetujui</t>
        </is>
      </c>
      <c r="K75" t="n">
        <v>30</v>
      </c>
      <c r="L75" t="inlineStr">
        <is>
          <t>10 Oktober 2026</t>
        </is>
      </c>
      <c r="M75" t="inlineStr">
        <is>
          <t>Konstruksi Gedung Perkantoran</t>
        </is>
      </c>
      <c r="N75" t="inlineStr">
        <is>
          <t>K</t>
        </is>
      </c>
      <c r="O75" t="inlineStr">
        <is>
          <t>20231009</t>
        </is>
      </c>
      <c r="P75" t="inlineStr">
        <is>
          <t>Sumatera Barat</t>
        </is>
      </c>
      <c r="Q75" t="inlineStr"/>
    </row>
    <row r="76">
      <c r="A76" t="inlineStr">
        <is>
          <t>KARYA PRIBUMI</t>
        </is>
      </c>
      <c r="B76" t="inlineStr">
        <is>
          <t>Kab. Pinrang</t>
        </is>
      </c>
      <c r="C76" t="inlineStr">
        <is>
          <t>0852 5082 2177</t>
        </is>
      </c>
      <c r="D76" t="inlineStr">
        <is>
          <t>karyapribumi14@gmail.com</t>
        </is>
      </c>
      <c r="E76" t="inlineStr">
        <is>
          <t>https://lpjk.pu.go.id/search-badan-usaha-detail/dDJBbUNkNC9wL0k1VE1UN0lxR0QwQT09</t>
        </is>
      </c>
      <c r="F76" t="n">
        <v>2</v>
      </c>
      <c r="G76" t="inlineStr">
        <is>
          <t>BG002, BG006</t>
        </is>
      </c>
      <c r="H76" t="inlineStr">
        <is>
          <t>14 April 2014</t>
        </is>
      </c>
      <c r="I76" s="2" t="n">
        <v>46305</v>
      </c>
      <c r="J76" t="inlineStr">
        <is>
          <t>Disetujui</t>
        </is>
      </c>
      <c r="K76" t="n">
        <v>30</v>
      </c>
      <c r="L76" t="inlineStr">
        <is>
          <t>10 Oktober 2026</t>
        </is>
      </c>
      <c r="M76" t="inlineStr">
        <is>
          <t>Konstruksi Gedung Pendidikan, Konstruksi Gedung Perkantoran</t>
        </is>
      </c>
      <c r="N76" t="inlineStr">
        <is>
          <t>K</t>
        </is>
      </c>
      <c r="O76" t="inlineStr">
        <is>
          <t>20231006</t>
        </is>
      </c>
      <c r="P76" t="inlineStr">
        <is>
          <t>Sulawesi Selatan</t>
        </is>
      </c>
      <c r="Q76" t="inlineStr"/>
    </row>
    <row r="77">
      <c r="A77" t="inlineStr">
        <is>
          <t>KARYA SOSOR PASIFIK</t>
        </is>
      </c>
      <c r="B77" t="inlineStr">
        <is>
          <t>Kota Batam</t>
        </is>
      </c>
      <c r="C77" t="inlineStr">
        <is>
          <t>081277888663</t>
        </is>
      </c>
      <c r="D77" t="inlineStr">
        <is>
          <t>karyasosorpasifik@hotmail.com</t>
        </is>
      </c>
      <c r="E77" t="inlineStr">
        <is>
          <t>https://lpjk.pu.go.id/search-badan-usaha-detail/OGZOUUc1K3pjOGVPdGFDUWQ0T21nZz09</t>
        </is>
      </c>
      <c r="F77" t="n">
        <v>1</v>
      </c>
      <c r="G77" t="inlineStr">
        <is>
          <t>BG004</t>
        </is>
      </c>
      <c r="H77" t="inlineStr">
        <is>
          <t>15 Agustus 2017</t>
        </is>
      </c>
      <c r="I77" s="2" t="n">
        <v>46305</v>
      </c>
      <c r="J77" t="inlineStr">
        <is>
          <t>Disetujui</t>
        </is>
      </c>
      <c r="K77" t="n">
        <v>30</v>
      </c>
      <c r="L77" t="inlineStr">
        <is>
          <t>10 Oktober 2026</t>
        </is>
      </c>
      <c r="M77" t="inlineStr">
        <is>
          <t>Konstruksi Gedung Perbelanjaan</t>
        </is>
      </c>
      <c r="N77" t="inlineStr">
        <is>
          <t>K</t>
        </is>
      </c>
      <c r="O77" t="inlineStr">
        <is>
          <t>20231010</t>
        </is>
      </c>
      <c r="P77" t="inlineStr">
        <is>
          <t>Kepulauan Riau</t>
        </is>
      </c>
      <c r="Q77" t="inlineStr"/>
    </row>
    <row r="78">
      <c r="A78" t="inlineStr">
        <is>
          <t>KEVIN MANDIRI</t>
        </is>
      </c>
      <c r="B78" t="inlineStr">
        <is>
          <t>Kab. Pegunungan Arfak</t>
        </is>
      </c>
      <c r="C78" t="inlineStr">
        <is>
          <t>081344949549</t>
        </is>
      </c>
      <c r="D78" t="inlineStr">
        <is>
          <t>cv.kevinmandiri2020@gmail.com</t>
        </is>
      </c>
      <c r="E78" t="inlineStr">
        <is>
          <t>https://lpjk.pu.go.id/search-badan-usaha-detail/UUl4Q05RVEY5eHZnSHhoVU4xbFk2dz09</t>
        </is>
      </c>
      <c r="F78" t="n">
        <v>1</v>
      </c>
      <c r="G78" t="inlineStr">
        <is>
          <t>BG006</t>
        </is>
      </c>
      <c r="H78" t="inlineStr">
        <is>
          <t>4 Juni 2020</t>
        </is>
      </c>
      <c r="I78" s="2" t="n">
        <v>46305</v>
      </c>
      <c r="J78" t="inlineStr">
        <is>
          <t>Pembekuan</t>
        </is>
      </c>
      <c r="K78" t="n">
        <v>30</v>
      </c>
      <c r="L78" t="inlineStr">
        <is>
          <t>10 Oktober 2026</t>
        </is>
      </c>
      <c r="M78" t="inlineStr">
        <is>
          <t>Konstruksi Gedung Pendidikan</t>
        </is>
      </c>
      <c r="N78" t="inlineStr">
        <is>
          <t>K</t>
        </is>
      </c>
      <c r="O78" t="inlineStr">
        <is>
          <t>20230928</t>
        </is>
      </c>
      <c r="P78" t="inlineStr">
        <is>
          <t>Papua Barat</t>
        </is>
      </c>
      <c r="Q78" t="inlineStr"/>
    </row>
    <row r="79">
      <c r="A79" t="inlineStr">
        <is>
          <t>KHARISMA JAYA</t>
        </is>
      </c>
      <c r="B79" t="inlineStr">
        <is>
          <t>Kab. Bondowoso</t>
        </is>
      </c>
      <c r="C79" t="inlineStr">
        <is>
          <t>085258029511</t>
        </is>
      </c>
      <c r="D79" t="inlineStr">
        <is>
          <t>Kharismajaya_cv@yahoo.com</t>
        </is>
      </c>
      <c r="E79" t="inlineStr">
        <is>
          <t>https://lpjk.pu.go.id/search-badan-usaha-detail/NU96WWU0Ykd1MklSWFkwcUk2Q3pEdz09</t>
        </is>
      </c>
      <c r="F79" t="n">
        <v>2</v>
      </c>
      <c r="G79" t="inlineStr">
        <is>
          <t>BS001</t>
        </is>
      </c>
      <c r="H79" t="inlineStr">
        <is>
          <t>27 November 2002</t>
        </is>
      </c>
      <c r="I79" s="2" t="n">
        <v>46305</v>
      </c>
      <c r="J79" t="inlineStr">
        <is>
          <t>Disetujui</t>
        </is>
      </c>
      <c r="K79" t="n">
        <v>30</v>
      </c>
      <c r="L79" t="inlineStr">
        <is>
          <t>10 Oktober 2026</t>
        </is>
      </c>
      <c r="M79" t="inlineStr">
        <is>
          <t>Konstruksi Bangunan Sipil Jalan</t>
        </is>
      </c>
      <c r="N79" t="inlineStr">
        <is>
          <t>K</t>
        </is>
      </c>
      <c r="O79" t="inlineStr">
        <is>
          <t>20230914</t>
        </is>
      </c>
      <c r="P79" t="inlineStr">
        <is>
          <t>Jawa Timur</t>
        </is>
      </c>
      <c r="Q79" t="inlineStr"/>
    </row>
    <row r="80">
      <c r="A80" t="inlineStr">
        <is>
          <t>KMJ MANDIRI</t>
        </is>
      </c>
      <c r="B80" t="inlineStr">
        <is>
          <t>Kab. Garut</t>
        </is>
      </c>
      <c r="C80" t="inlineStr">
        <is>
          <t>085559485026</t>
        </is>
      </c>
      <c r="D80" t="inlineStr">
        <is>
          <t>cvkmjmandiri@gmail.com</t>
        </is>
      </c>
      <c r="E80" t="inlineStr">
        <is>
          <t>https://lpjk.pu.go.id/search-badan-usaha-detail/NjVIMmRWMnlETUIzRU5QU2dmTzJwQT09</t>
        </is>
      </c>
      <c r="F80" t="n">
        <v>2</v>
      </c>
      <c r="G80" t="inlineStr">
        <is>
          <t>BG005, BG009</t>
        </is>
      </c>
      <c r="H80" t="inlineStr">
        <is>
          <t>10 Januari 2020</t>
        </is>
      </c>
      <c r="I80" s="2" t="n">
        <v>46305</v>
      </c>
      <c r="J80" t="inlineStr">
        <is>
          <t>Disetujui</t>
        </is>
      </c>
      <c r="K80" t="n">
        <v>30</v>
      </c>
      <c r="L80" t="inlineStr">
        <is>
          <t>10 Oktober 2026</t>
        </is>
      </c>
      <c r="M80" t="inlineStr">
        <is>
          <t>Konstruksi Gedung Kesehatan, Konstruksi Gedung Lainnya</t>
        </is>
      </c>
      <c r="N80" t="inlineStr">
        <is>
          <t>K</t>
        </is>
      </c>
      <c r="O80" t="inlineStr">
        <is>
          <t>20231009</t>
        </is>
      </c>
      <c r="P80" t="inlineStr">
        <is>
          <t>Jawa Barat</t>
        </is>
      </c>
      <c r="Q80" t="inlineStr"/>
    </row>
    <row r="81">
      <c r="A81" t="inlineStr">
        <is>
          <t>KREASINDO MANDIRI SEJAHTERA</t>
        </is>
      </c>
      <c r="B81" t="inlineStr">
        <is>
          <t>Kota Tangerang Selatan</t>
        </is>
      </c>
      <c r="C81" t="inlineStr">
        <is>
          <t>081295766868</t>
        </is>
      </c>
      <c r="D81" t="inlineStr">
        <is>
          <t>yayat.kms7@gmail.com</t>
        </is>
      </c>
      <c r="E81" t="inlineStr">
        <is>
          <t>https://lpjk.pu.go.id/search-badan-usaha-detail/d3pQYjkxYUhZeURpSEZoaVpLUU1DQT09</t>
        </is>
      </c>
      <c r="F81" t="n">
        <v>6</v>
      </c>
      <c r="G81" t="inlineStr">
        <is>
          <t>BG001, BG002, BG004</t>
        </is>
      </c>
      <c r="H81" t="inlineStr">
        <is>
          <t>27 September 2023</t>
        </is>
      </c>
      <c r="I81" s="2" t="n">
        <v>46305</v>
      </c>
      <c r="J81" t="inlineStr">
        <is>
          <t>Disetujui</t>
        </is>
      </c>
      <c r="K81" t="n">
        <v>30</v>
      </c>
      <c r="L81" t="inlineStr">
        <is>
          <t>10 Oktober 2026</t>
        </is>
      </c>
      <c r="M81" t="inlineStr">
        <is>
          <t>Konstruksi Gedung Hunian, Konstruksi Gedung Perbelanjaan, Konstruksi Gedung Perkantoran</t>
        </is>
      </c>
      <c r="N81" t="inlineStr">
        <is>
          <t>K</t>
        </is>
      </c>
      <c r="O81" t="inlineStr">
        <is>
          <t>20231010</t>
        </is>
      </c>
      <c r="P81" t="inlineStr">
        <is>
          <t>Banten</t>
        </is>
      </c>
      <c r="Q81" t="inlineStr"/>
    </row>
    <row r="82">
      <c r="A82" t="inlineStr">
        <is>
          <t>KURNIA JAYA</t>
        </is>
      </c>
      <c r="B82" t="inlineStr">
        <is>
          <t>Kota Mojokerto</t>
        </is>
      </c>
      <c r="C82" t="inlineStr">
        <is>
          <t>081332210988</t>
        </is>
      </c>
      <c r="D82" t="inlineStr">
        <is>
          <t>kurniajaya152@yahoo.com</t>
        </is>
      </c>
      <c r="E82" t="inlineStr">
        <is>
          <t>https://lpjk.pu.go.id/search-badan-usaha-detail/MWIrdnpKbWE0VnhVMHB5UmZzRkMzQT09</t>
        </is>
      </c>
      <c r="F82" t="n">
        <v>1</v>
      </c>
      <c r="G82" t="inlineStr">
        <is>
          <t>BS001</t>
        </is>
      </c>
      <c r="H82" t="inlineStr">
        <is>
          <t>12 Desember 2007</t>
        </is>
      </c>
      <c r="I82" s="2" t="n">
        <v>46305</v>
      </c>
      <c r="J82" t="inlineStr">
        <is>
          <t>Disetujui</t>
        </is>
      </c>
      <c r="K82" t="n">
        <v>30</v>
      </c>
      <c r="L82" t="inlineStr">
        <is>
          <t>10 Oktober 2026</t>
        </is>
      </c>
      <c r="M82" t="inlineStr">
        <is>
          <t>Konstruksi Bangunan Sipil Jalan</t>
        </is>
      </c>
      <c r="N82" t="inlineStr">
        <is>
          <t>K</t>
        </is>
      </c>
      <c r="O82" t="inlineStr">
        <is>
          <t>20231006</t>
        </is>
      </c>
      <c r="P82" t="inlineStr">
        <is>
          <t>Jawa Timur</t>
        </is>
      </c>
      <c r="Q82" t="inlineStr"/>
    </row>
    <row r="83">
      <c r="A83" t="inlineStr">
        <is>
          <t>LABOYA GROUP</t>
        </is>
      </c>
      <c r="B83" t="inlineStr">
        <is>
          <t>Kab. Malang</t>
        </is>
      </c>
      <c r="C83" t="inlineStr">
        <is>
          <t>081233036153</t>
        </is>
      </c>
      <c r="D83" t="inlineStr">
        <is>
          <t>laboya.group@gmail.com</t>
        </is>
      </c>
      <c r="E83" t="inlineStr">
        <is>
          <t>https://lpjk.pu.go.id/search-badan-usaha-detail/bjB5NkxrVXNpZHpNSlordkV2QVVSdz09</t>
        </is>
      </c>
      <c r="F83" t="n">
        <v>2</v>
      </c>
      <c r="G83" t="inlineStr">
        <is>
          <t>BG006, BG009</t>
        </is>
      </c>
      <c r="H83" t="inlineStr">
        <is>
          <t>8 Januari 2020</t>
        </is>
      </c>
      <c r="I83" s="2" t="n">
        <v>46305</v>
      </c>
      <c r="J83" t="inlineStr">
        <is>
          <t>Disetujui</t>
        </is>
      </c>
      <c r="K83" t="n">
        <v>30</v>
      </c>
      <c r="L83" t="inlineStr">
        <is>
          <t>10 Oktober 2026</t>
        </is>
      </c>
      <c r="M83" t="inlineStr">
        <is>
          <t>Konstruksi Gedung Lainnya, Konstruksi Gedung Pendidikan</t>
        </is>
      </c>
      <c r="N83" t="inlineStr">
        <is>
          <t>K</t>
        </is>
      </c>
      <c r="O83" t="inlineStr">
        <is>
          <t>20231011</t>
        </is>
      </c>
      <c r="P83" t="inlineStr">
        <is>
          <t>Jawa Timur</t>
        </is>
      </c>
      <c r="Q83" t="inlineStr"/>
    </row>
    <row r="84">
      <c r="A84" t="inlineStr">
        <is>
          <t>LAUT BIRU INTI</t>
        </is>
      </c>
      <c r="B84" t="inlineStr">
        <is>
          <t>Kota Banda Aceh</t>
        </is>
      </c>
      <c r="C84" t="inlineStr">
        <is>
          <t>082227040204</t>
        </is>
      </c>
      <c r="D84" t="inlineStr">
        <is>
          <t>ptlautbiruinti@gmail.com</t>
        </is>
      </c>
      <c r="E84" t="inlineStr">
        <is>
          <t>https://lpjk.pu.go.id/search-badan-usaha-detail/Vmx5UWlJTTlsVUhLdWNSa3BPMkppQT09</t>
        </is>
      </c>
      <c r="F84" t="n">
        <v>5</v>
      </c>
      <c r="G84" t="inlineStr">
        <is>
          <t>BG001, BG002, BG003, BG004, BG005</t>
        </is>
      </c>
      <c r="H84" t="inlineStr">
        <is>
          <t>4 April 2018</t>
        </is>
      </c>
      <c r="I84" s="2" t="n">
        <v>46305</v>
      </c>
      <c r="J84" t="inlineStr">
        <is>
          <t>Pencabutan</t>
        </is>
      </c>
      <c r="K84" t="n">
        <v>30</v>
      </c>
      <c r="L84" t="inlineStr">
        <is>
          <t>10 Oktober 2026</t>
        </is>
      </c>
      <c r="M84" t="inlineStr">
        <is>
          <t>Konstruksi Gedung Hunian, Konstruksi Gedung Industri, Konstruksi Gedung Kesehatan, Konstruksi Gedung Perbelanjaan, Konstruksi Gedung Perkantoran</t>
        </is>
      </c>
      <c r="N84" t="inlineStr">
        <is>
          <t>K</t>
        </is>
      </c>
      <c r="O84" t="inlineStr">
        <is>
          <t>20231009, 20231010</t>
        </is>
      </c>
      <c r="P84" t="inlineStr">
        <is>
          <t>Aceh</t>
        </is>
      </c>
      <c r="Q84" t="inlineStr"/>
    </row>
    <row r="85">
      <c r="A85" t="inlineStr">
        <is>
          <t>LINK AMERTA</t>
        </is>
      </c>
      <c r="B85" t="inlineStr">
        <is>
          <t>Kota Kendari</t>
        </is>
      </c>
      <c r="C85" t="inlineStr">
        <is>
          <t>082117375596</t>
        </is>
      </c>
      <c r="D85" t="inlineStr">
        <is>
          <t>linkamerta1@gmail.com</t>
        </is>
      </c>
      <c r="E85" t="inlineStr">
        <is>
          <t>https://lpjk.pu.go.id/search-badan-usaha-detail/T2prSXpuWExUM0c3SFJRUDU2KzFCUT09</t>
        </is>
      </c>
      <c r="F85" t="n">
        <v>5</v>
      </c>
      <c r="G85" t="inlineStr">
        <is>
          <t>BG006, BG009, BS001, BS004, BS005</t>
        </is>
      </c>
      <c r="H85" t="inlineStr">
        <is>
          <t>31 Agustus 2023</t>
        </is>
      </c>
      <c r="I85" s="2" t="n">
        <v>46305</v>
      </c>
      <c r="J85" t="inlineStr">
        <is>
          <t>Disetujui</t>
        </is>
      </c>
      <c r="K85" t="n">
        <v>30</v>
      </c>
      <c r="L85" t="inlineStr">
        <is>
          <t>10 Oktober 2026</t>
        </is>
      </c>
      <c r="M85" t="inlineStr">
        <is>
          <t>Konstruksi Bangunan Sipil Jalan, Konstruksi Bangunan Sipil Pengolahan Air Bersih, Konstruksi Gedung Lainnya, Konstruksi Gedung Pendidikan, Konstruksi Jaringan Irigasi dan Drainase</t>
        </is>
      </c>
      <c r="N85" t="inlineStr">
        <is>
          <t>K</t>
        </is>
      </c>
      <c r="O85" t="inlineStr">
        <is>
          <t>20230923, 20230927, 20231007</t>
        </is>
      </c>
      <c r="P85" t="inlineStr">
        <is>
          <t>Sulawesi Tenggara</t>
        </is>
      </c>
      <c r="Q85" t="inlineStr"/>
    </row>
    <row r="86">
      <c r="A86" t="inlineStr">
        <is>
          <t>MALABAR INTI KONSTRUKSI</t>
        </is>
      </c>
      <c r="B86" t="inlineStr">
        <is>
          <t>Kota Bandar Lampung</t>
        </is>
      </c>
      <c r="C86" t="inlineStr">
        <is>
          <t>085384227288</t>
        </is>
      </c>
      <c r="D86" t="inlineStr">
        <is>
          <t>konstruksimalabarinti@gmail.com</t>
        </is>
      </c>
      <c r="E86" t="inlineStr">
        <is>
          <t>https://lpjk.pu.go.id/search-badan-usaha-detail/YnA2enBzVWlFOVR1dktuK21ob2h2Zz09</t>
        </is>
      </c>
      <c r="F86" t="n">
        <v>2</v>
      </c>
      <c r="G86" t="inlineStr">
        <is>
          <t>BG006, BG009</t>
        </is>
      </c>
      <c r="H86" t="inlineStr">
        <is>
          <t>31 Desember 2018</t>
        </is>
      </c>
      <c r="I86" s="2" t="n">
        <v>46305</v>
      </c>
      <c r="J86" t="inlineStr">
        <is>
          <t>Disetujui</t>
        </is>
      </c>
      <c r="K86" t="n">
        <v>30</v>
      </c>
      <c r="L86" t="inlineStr">
        <is>
          <t>10 Oktober 2026</t>
        </is>
      </c>
      <c r="M86" t="inlineStr">
        <is>
          <t>Konstruksi Gedung Lainnya, Konstruksi Gedung Pendidikan</t>
        </is>
      </c>
      <c r="N86" t="inlineStr">
        <is>
          <t>K</t>
        </is>
      </c>
      <c r="O86" t="inlineStr">
        <is>
          <t>20231009, 20231013</t>
        </is>
      </c>
      <c r="P86" t="inlineStr">
        <is>
          <t>Lampung</t>
        </is>
      </c>
      <c r="Q86" t="inlineStr"/>
    </row>
    <row r="87">
      <c r="A87" t="inlineStr">
        <is>
          <t>MARGAHAYU SAKTI JAYA</t>
        </is>
      </c>
      <c r="B87" t="inlineStr">
        <is>
          <t>Kab. Subang</t>
        </is>
      </c>
      <c r="C87" t="inlineStr">
        <is>
          <t>085321523222</t>
        </is>
      </c>
      <c r="D87" t="inlineStr">
        <is>
          <t>margahayusaktijaya@gmail.com</t>
        </is>
      </c>
      <c r="E87" t="inlineStr">
        <is>
          <t>https://lpjk.pu.go.id/search-badan-usaha-detail/SXRhMHJuYlQ5aU11SFRlaGlab3dOQT09</t>
        </is>
      </c>
      <c r="F87" t="n">
        <v>2</v>
      </c>
      <c r="G87" t="inlineStr">
        <is>
          <t>BS004</t>
        </is>
      </c>
      <c r="H87" t="inlineStr">
        <is>
          <t>8 Januari 2020</t>
        </is>
      </c>
      <c r="I87" s="2" t="n">
        <v>46305</v>
      </c>
      <c r="J87" t="inlineStr">
        <is>
          <t>Disetujui</t>
        </is>
      </c>
      <c r="K87" t="n">
        <v>30</v>
      </c>
      <c r="L87" t="inlineStr">
        <is>
          <t>10 Oktober 2026</t>
        </is>
      </c>
      <c r="M87" t="inlineStr">
        <is>
          <t>Konstruksi Jaringan Irigasi dan Drainase</t>
        </is>
      </c>
      <c r="N87" t="inlineStr">
        <is>
          <t>K</t>
        </is>
      </c>
      <c r="O87" t="inlineStr">
        <is>
          <t>20231009</t>
        </is>
      </c>
      <c r="P87" t="inlineStr">
        <is>
          <t>Jawa Barat</t>
        </is>
      </c>
      <c r="Q87" t="inlineStr"/>
    </row>
    <row r="88">
      <c r="A88" t="inlineStr">
        <is>
          <t>MITRA DINAMIS</t>
        </is>
      </c>
      <c r="B88" t="inlineStr">
        <is>
          <t>Kota Batam</t>
        </is>
      </c>
      <c r="C88" t="inlineStr">
        <is>
          <t>082277513388</t>
        </is>
      </c>
      <c r="D88" t="inlineStr">
        <is>
          <t>berthaprananda48@gmail.com</t>
        </is>
      </c>
      <c r="E88" t="inlineStr">
        <is>
          <t>https://lpjk.pu.go.id/search-badan-usaha-detail/aHd2MkRCaGRzSGlTQWNVNXFrNzZlQT09</t>
        </is>
      </c>
      <c r="F88" t="n">
        <v>1</v>
      </c>
      <c r="G88" t="inlineStr">
        <is>
          <t>IN001</t>
        </is>
      </c>
      <c r="H88" t="inlineStr">
        <is>
          <t>18 November 1995</t>
        </is>
      </c>
      <c r="I88" s="2" t="n">
        <v>46305</v>
      </c>
      <c r="J88" t="inlineStr">
        <is>
          <t>Disetujui</t>
        </is>
      </c>
      <c r="K88" t="n">
        <v>30</v>
      </c>
      <c r="L88" t="inlineStr">
        <is>
          <t>10 Oktober 2026</t>
        </is>
      </c>
      <c r="M88" t="inlineStr">
        <is>
          <t>Instalasi Mekanikal</t>
        </is>
      </c>
      <c r="N88" t="inlineStr">
        <is>
          <t>Spesialis</t>
        </is>
      </c>
      <c r="O88" t="inlineStr">
        <is>
          <t>20230829</t>
        </is>
      </c>
      <c r="P88" t="inlineStr">
        <is>
          <t>Kepulauan Riau</t>
        </is>
      </c>
      <c r="Q88" t="inlineStr"/>
    </row>
    <row r="89">
      <c r="A89" t="inlineStr">
        <is>
          <t>MITRA SEJAHTERA</t>
        </is>
      </c>
      <c r="B89" t="inlineStr">
        <is>
          <t>Kota Medan</t>
        </is>
      </c>
      <c r="C89" t="inlineStr">
        <is>
          <t>082168819722</t>
        </is>
      </c>
      <c r="D89" t="inlineStr">
        <is>
          <t>amita.margaret@yahoo.com</t>
        </is>
      </c>
      <c r="E89" t="inlineStr">
        <is>
          <t>https://lpjk.pu.go.id/search-badan-usaha-detail/ODFtU1E5MTZPYnFqTFpiRVFHMnc3dz09</t>
        </is>
      </c>
      <c r="F89" t="n">
        <v>1</v>
      </c>
      <c r="G89" t="inlineStr">
        <is>
          <t>BG001</t>
        </is>
      </c>
      <c r="H89" t="inlineStr">
        <is>
          <t>13 September 2011</t>
        </is>
      </c>
      <c r="I89" s="2" t="n">
        <v>46305</v>
      </c>
      <c r="J89" t="inlineStr">
        <is>
          <t>Disetujui</t>
        </is>
      </c>
      <c r="K89" t="n">
        <v>30</v>
      </c>
      <c r="L89" t="inlineStr">
        <is>
          <t>10 Oktober 2026</t>
        </is>
      </c>
      <c r="M89" t="inlineStr">
        <is>
          <t>Konstruksi Gedung Hunian</t>
        </is>
      </c>
      <c r="N89" t="inlineStr">
        <is>
          <t>K</t>
        </is>
      </c>
      <c r="O89" t="inlineStr">
        <is>
          <t>20230914</t>
        </is>
      </c>
      <c r="P89" t="inlineStr">
        <is>
          <t>Sumatera Utara</t>
        </is>
      </c>
      <c r="Q89" t="inlineStr"/>
    </row>
    <row r="90">
      <c r="A90" t="inlineStr">
        <is>
          <t>MUKTI ADHI SEJAHTERA</t>
        </is>
      </c>
      <c r="B90" t="inlineStr">
        <is>
          <t>Kota Surabaya</t>
        </is>
      </c>
      <c r="C90" t="inlineStr">
        <is>
          <t>0318477805</t>
        </is>
      </c>
      <c r="D90" t="inlineStr">
        <is>
          <t>muktiadhi.sejahtera@gmail.com</t>
        </is>
      </c>
      <c r="E90" t="inlineStr">
        <is>
          <t>https://lpjk.pu.go.id/search-badan-usaha-detail/VG5YNjYwZm1Ra3VScUhmZ0htb3Y5QT09</t>
        </is>
      </c>
      <c r="F90" t="n">
        <v>1</v>
      </c>
      <c r="G90" t="inlineStr">
        <is>
          <t>BG009</t>
        </is>
      </c>
      <c r="H90" t="inlineStr">
        <is>
          <t>9 September 2008</t>
        </is>
      </c>
      <c r="I90" s="2" t="n">
        <v>46305</v>
      </c>
      <c r="J90" t="inlineStr">
        <is>
          <t>Pencabutan</t>
        </is>
      </c>
      <c r="K90" t="n">
        <v>30</v>
      </c>
      <c r="L90" t="inlineStr">
        <is>
          <t>10 Oktober 2026</t>
        </is>
      </c>
      <c r="M90" t="inlineStr">
        <is>
          <t>Konstruksi Gedung Lainnya</t>
        </is>
      </c>
      <c r="N90" t="inlineStr">
        <is>
          <t>M</t>
        </is>
      </c>
      <c r="O90" t="inlineStr">
        <is>
          <t>20231006</t>
        </is>
      </c>
      <c r="P90" t="inlineStr">
        <is>
          <t>Jawa Timur</t>
        </is>
      </c>
      <c r="Q90" t="inlineStr"/>
    </row>
    <row r="91">
      <c r="A91" t="inlineStr">
        <is>
          <t>MULTAZAMI</t>
        </is>
      </c>
      <c r="B91" t="inlineStr">
        <is>
          <t>Kab. Bulungan</t>
        </is>
      </c>
      <c r="C91" t="inlineStr">
        <is>
          <t>082126748715</t>
        </is>
      </c>
      <c r="D91" t="inlineStr">
        <is>
          <t>multazamibulungan81@gmail.com</t>
        </is>
      </c>
      <c r="E91" t="inlineStr">
        <is>
          <t>https://lpjk.pu.go.id/search-badan-usaha-detail/amlRR2lSeHQ1ekJJZDQyL1FCNmlDUT09</t>
        </is>
      </c>
      <c r="F91" t="n">
        <v>3</v>
      </c>
      <c r="G91" t="inlineStr">
        <is>
          <t>BG002, BG004, BG009</t>
        </is>
      </c>
      <c r="H91" t="inlineStr">
        <is>
          <t>4 Februari 2025</t>
        </is>
      </c>
      <c r="I91" s="2" t="n">
        <v>46305</v>
      </c>
      <c r="J91" t="inlineStr">
        <is>
          <t>Disetujui</t>
        </is>
      </c>
      <c r="K91" t="n">
        <v>30</v>
      </c>
      <c r="L91" t="inlineStr">
        <is>
          <t>10 Oktober 2026</t>
        </is>
      </c>
      <c r="M91" t="inlineStr">
        <is>
          <t>Konstruksi Gedung Lainnya, Konstruksi Gedung Perbelanjaan, Konstruksi Gedung Perkantoran</t>
        </is>
      </c>
      <c r="N91" t="inlineStr">
        <is>
          <t>K</t>
        </is>
      </c>
      <c r="O91" t="inlineStr">
        <is>
          <t>20231005</t>
        </is>
      </c>
      <c r="P91" t="inlineStr">
        <is>
          <t>Kalimantan Utara</t>
        </is>
      </c>
      <c r="Q91" t="inlineStr"/>
    </row>
    <row r="92">
      <c r="A92" t="inlineStr">
        <is>
          <t>MULTI N</t>
        </is>
      </c>
      <c r="B92" t="inlineStr">
        <is>
          <t>Kota Balikpapan</t>
        </is>
      </c>
      <c r="C92" t="inlineStr">
        <is>
          <t>082152300200</t>
        </is>
      </c>
      <c r="D92" t="inlineStr">
        <is>
          <t>nnn.multi@gmail.com</t>
        </is>
      </c>
      <c r="E92" t="inlineStr">
        <is>
          <t>https://lpjk.pu.go.id/search-badan-usaha-detail/S1EzVXVZZG5RSlZ6Zkx4emRZdHh3QT09</t>
        </is>
      </c>
      <c r="F92" t="n">
        <v>5</v>
      </c>
      <c r="G92" t="inlineStr">
        <is>
          <t>BG001, BG002, BG004, BG006, BG007</t>
        </is>
      </c>
      <c r="H92" t="inlineStr">
        <is>
          <t>12 September 2019</t>
        </is>
      </c>
      <c r="I92" s="2" t="n">
        <v>46305</v>
      </c>
      <c r="J92" t="inlineStr">
        <is>
          <t>Disetujui</t>
        </is>
      </c>
      <c r="K92" t="n">
        <v>30</v>
      </c>
      <c r="L92" t="inlineStr">
        <is>
          <t>10 Oktober 2026</t>
        </is>
      </c>
      <c r="M92" t="inlineStr">
        <is>
          <t>Konstruksi Gedung Hunian, Konstruksi Gedung Pendidikan, Konstruksi Gedung Penginapan, Konstruksi Gedung Perbelanjaan, Konstruksi Gedung Perkantoran</t>
        </is>
      </c>
      <c r="N92" t="inlineStr">
        <is>
          <t>K</t>
        </is>
      </c>
      <c r="O92" t="inlineStr">
        <is>
          <t>20231011</t>
        </is>
      </c>
      <c r="P92" t="inlineStr">
        <is>
          <t>Kalimantan Timur</t>
        </is>
      </c>
      <c r="Q92" t="inlineStr"/>
    </row>
    <row r="93">
      <c r="A93" t="inlineStr">
        <is>
          <t>MUTIARA AGUNG</t>
        </is>
      </c>
      <c r="B93" t="inlineStr">
        <is>
          <t>Kota Madiun</t>
        </is>
      </c>
      <c r="C93" t="inlineStr">
        <is>
          <t>081234027841</t>
        </is>
      </c>
      <c r="D93" t="inlineStr">
        <is>
          <t>cvmutiaraagung456@gmail.com</t>
        </is>
      </c>
      <c r="E93" t="inlineStr">
        <is>
          <t>https://lpjk.pu.go.id/search-badan-usaha-detail/SGZnbm1rT0pvcjA4clRZMExsQ3RiUT09</t>
        </is>
      </c>
      <c r="F93" t="n">
        <v>4</v>
      </c>
      <c r="G93" t="inlineStr">
        <is>
          <t>BG002, BG004</t>
        </is>
      </c>
      <c r="H93" t="inlineStr">
        <is>
          <t>14 Januari 2003</t>
        </is>
      </c>
      <c r="I93" s="2" t="n">
        <v>46305</v>
      </c>
      <c r="J93" t="inlineStr">
        <is>
          <t>Disetujui</t>
        </is>
      </c>
      <c r="K93" t="n">
        <v>30</v>
      </c>
      <c r="L93" t="inlineStr">
        <is>
          <t>10 Oktober 2026</t>
        </is>
      </c>
      <c r="M93" t="inlineStr">
        <is>
          <t>Konstruksi Gedung Perbelanjaan, Konstruksi Gedung Perkantoran</t>
        </is>
      </c>
      <c r="N93" t="inlineStr">
        <is>
          <t>K</t>
        </is>
      </c>
      <c r="O93" t="inlineStr">
        <is>
          <t>20231010</t>
        </is>
      </c>
      <c r="P93" t="inlineStr">
        <is>
          <t>Jawa Timur</t>
        </is>
      </c>
      <c r="Q93" t="inlineStr"/>
    </row>
    <row r="94">
      <c r="A94" t="inlineStr">
        <is>
          <t>NADIA PUTRI</t>
        </is>
      </c>
      <c r="B94" t="inlineStr">
        <is>
          <t>Kota Palembang</t>
        </is>
      </c>
      <c r="C94" t="inlineStr">
        <is>
          <t>081368676176</t>
        </is>
      </c>
      <c r="D94" t="inlineStr">
        <is>
          <t>nidia_putri_cv@yahoo.com</t>
        </is>
      </c>
      <c r="E94" t="inlineStr">
        <is>
          <t>https://lpjk.pu.go.id/search-badan-usaha-detail/NEdBOFAyYk1XdzBISUsweklFWmRPQT09</t>
        </is>
      </c>
      <c r="F94" t="n">
        <v>1</v>
      </c>
      <c r="G94" t="inlineStr">
        <is>
          <t>BS001</t>
        </is>
      </c>
      <c r="H94" t="inlineStr">
        <is>
          <t>25 April 2006</t>
        </is>
      </c>
      <c r="I94" s="2" t="n">
        <v>46305</v>
      </c>
      <c r="J94" t="inlineStr">
        <is>
          <t>Disetujui</t>
        </is>
      </c>
      <c r="K94" t="n">
        <v>30</v>
      </c>
      <c r="L94" t="inlineStr">
        <is>
          <t>10 Oktober 2026</t>
        </is>
      </c>
      <c r="M94" t="inlineStr">
        <is>
          <t>Konstruksi Bangunan Sipil Jalan</t>
        </is>
      </c>
      <c r="N94" t="inlineStr">
        <is>
          <t>K</t>
        </is>
      </c>
      <c r="O94" t="inlineStr">
        <is>
          <t>20231005</t>
        </is>
      </c>
      <c r="P94" t="inlineStr">
        <is>
          <t>Sumatera Selatan</t>
        </is>
      </c>
      <c r="Q94" t="inlineStr"/>
    </row>
    <row r="95">
      <c r="A95" t="inlineStr">
        <is>
          <t>NAYANA ENGINERING</t>
        </is>
      </c>
      <c r="B95" t="inlineStr">
        <is>
          <t>Kota Denpasar</t>
        </is>
      </c>
      <c r="C95" t="inlineStr">
        <is>
          <t>081916510963</t>
        </is>
      </c>
      <c r="D95" t="inlineStr">
        <is>
          <t>mep.nayana@gmail.com</t>
        </is>
      </c>
      <c r="E95" t="inlineStr">
        <is>
          <t>https://lpjk.pu.go.id/search-badan-usaha-detail/eGZGWXlFTEVQQnVIVjlUZWRzeWFnUT09</t>
        </is>
      </c>
      <c r="F95" t="n">
        <v>2</v>
      </c>
      <c r="G95" t="inlineStr">
        <is>
          <t>BG002, BG004</t>
        </is>
      </c>
      <c r="H95" t="inlineStr">
        <is>
          <t>5 November 2011</t>
        </is>
      </c>
      <c r="I95" s="2" t="n">
        <v>46305</v>
      </c>
      <c r="J95" t="inlineStr">
        <is>
          <t>Disetujui</t>
        </is>
      </c>
      <c r="K95" t="n">
        <v>30</v>
      </c>
      <c r="L95" t="inlineStr">
        <is>
          <t>10 Oktober 2026</t>
        </is>
      </c>
      <c r="M95" t="inlineStr">
        <is>
          <t>Konstruksi Gedung Perbelanjaan, Konstruksi Gedung Perkantoran</t>
        </is>
      </c>
      <c r="N95" t="inlineStr">
        <is>
          <t>K</t>
        </is>
      </c>
      <c r="O95" t="inlineStr">
        <is>
          <t>20231009</t>
        </is>
      </c>
      <c r="P95" t="inlineStr">
        <is>
          <t>Bali</t>
        </is>
      </c>
      <c r="Q95" t="inlineStr"/>
    </row>
    <row r="96">
      <c r="A96" t="inlineStr">
        <is>
          <t>NIRMALA</t>
        </is>
      </c>
      <c r="B96" t="inlineStr">
        <is>
          <t>Kota Samarinda</t>
        </is>
      </c>
      <c r="C96" t="inlineStr">
        <is>
          <t>085387118888</t>
        </is>
      </c>
      <c r="D96" t="inlineStr">
        <is>
          <t>cv.nirmala911@gmail.com</t>
        </is>
      </c>
      <c r="E96" t="inlineStr">
        <is>
          <t>https://lpjk.pu.go.id/search-badan-usaha-detail/NlJuUWp4L1h3UElxc1ZFMlpGU2JiUT09</t>
        </is>
      </c>
      <c r="F96" t="n">
        <v>4</v>
      </c>
      <c r="G96" t="inlineStr">
        <is>
          <t>BG009, BS001, BS002, BS004</t>
        </is>
      </c>
      <c r="H96" t="inlineStr">
        <is>
          <t>23 September 2014</t>
        </is>
      </c>
      <c r="I96" s="2" t="n">
        <v>46305</v>
      </c>
      <c r="J96" t="inlineStr">
        <is>
          <t>Disetujui</t>
        </is>
      </c>
      <c r="K96" t="n">
        <v>30</v>
      </c>
      <c r="L96" t="inlineStr">
        <is>
          <t>10 Oktober 2026</t>
        </is>
      </c>
      <c r="M96" t="inlineStr">
        <is>
          <t>Bangunan Sipil Jembatan, Jalan Layang, Fly Over, dan Underpass, Konstruksi Bangunan Sipil Jalan, Konstruksi Gedung Lainnya, Konstruksi Jaringan Irigasi dan Drainase</t>
        </is>
      </c>
      <c r="N96" t="inlineStr">
        <is>
          <t>K</t>
        </is>
      </c>
      <c r="O96" t="inlineStr">
        <is>
          <t>20231007</t>
        </is>
      </c>
      <c r="P96" t="inlineStr">
        <is>
          <t>Kalimantan Timur</t>
        </is>
      </c>
      <c r="Q96" t="inlineStr"/>
    </row>
    <row r="97">
      <c r="A97" t="inlineStr">
        <is>
          <t>NUMAYA</t>
        </is>
      </c>
      <c r="B97" t="inlineStr">
        <is>
          <t>Kota Banjar</t>
        </is>
      </c>
      <c r="C97" t="inlineStr">
        <is>
          <t>082115124928</t>
        </is>
      </c>
      <c r="D97" t="inlineStr">
        <is>
          <t>cv.numaya@gmail.com</t>
        </is>
      </c>
      <c r="E97" t="inlineStr">
        <is>
          <t>https://lpjk.pu.go.id/search-badan-usaha-detail/ekw2dmRDK1lKUGNlMER0RzRhaE9pUT09</t>
        </is>
      </c>
      <c r="F97" t="n">
        <v>1</v>
      </c>
      <c r="G97" t="inlineStr">
        <is>
          <t>BS010</t>
        </is>
      </c>
      <c r="H97" t="inlineStr">
        <is>
          <t>23 Desember 2015</t>
        </is>
      </c>
      <c r="I97" s="2" t="n">
        <v>46305</v>
      </c>
      <c r="J97" t="inlineStr">
        <is>
          <t>Disetujui</t>
        </is>
      </c>
      <c r="K97" t="n">
        <v>30</v>
      </c>
      <c r="L97" t="inlineStr">
        <is>
          <t>10 Oktober 2026</t>
        </is>
      </c>
      <c r="M97" t="inlineStr">
        <is>
          <t>Konstruksi Bangunan Prasarana Sumber Daya Air</t>
        </is>
      </c>
      <c r="N97" t="inlineStr">
        <is>
          <t>K</t>
        </is>
      </c>
      <c r="O97" t="inlineStr">
        <is>
          <t>20230804</t>
        </is>
      </c>
      <c r="P97" t="inlineStr">
        <is>
          <t>Jawa Barat</t>
        </is>
      </c>
      <c r="Q97" t="inlineStr"/>
    </row>
    <row r="98">
      <c r="A98" t="inlineStr">
        <is>
          <t>NUR AVATAR PUTRA</t>
        </is>
      </c>
      <c r="B98" t="inlineStr">
        <is>
          <t>Kab. Muna</t>
        </is>
      </c>
      <c r="C98" t="inlineStr">
        <is>
          <t>082291983339</t>
        </is>
      </c>
      <c r="D98" t="inlineStr">
        <is>
          <t>nur.avatar2023@gmail.com</t>
        </is>
      </c>
      <c r="E98" t="inlineStr">
        <is>
          <t>https://lpjk.pu.go.id/search-badan-usaha-detail/RXAvbm9wcUp4Z2xNWGJad1NxeVJ6dz09</t>
        </is>
      </c>
      <c r="F98" t="n">
        <v>3</v>
      </c>
      <c r="G98" t="inlineStr">
        <is>
          <t>BG004, BG005, BS001</t>
        </is>
      </c>
      <c r="H98" t="inlineStr">
        <is>
          <t>13 Januari 2023</t>
        </is>
      </c>
      <c r="I98" s="2" t="n">
        <v>46305</v>
      </c>
      <c r="J98" t="inlineStr">
        <is>
          <t>Disetujui</t>
        </is>
      </c>
      <c r="K98" t="n">
        <v>30</v>
      </c>
      <c r="L98" t="inlineStr">
        <is>
          <t>10 Oktober 2026</t>
        </is>
      </c>
      <c r="M98" t="inlineStr">
        <is>
          <t>Konstruksi Bangunan Sipil Jalan, Konstruksi Gedung Kesehatan, Konstruksi Gedung Perbelanjaan</t>
        </is>
      </c>
      <c r="N98" t="inlineStr">
        <is>
          <t>K</t>
        </is>
      </c>
      <c r="O98" t="inlineStr">
        <is>
          <t>20231009</t>
        </is>
      </c>
      <c r="P98" t="inlineStr">
        <is>
          <t>Sulawesi Tenggara</t>
        </is>
      </c>
      <c r="Q98" t="inlineStr"/>
    </row>
    <row r="99">
      <c r="A99" t="inlineStr">
        <is>
          <t>NUSANTARA AGUNG</t>
        </is>
      </c>
      <c r="B99" t="inlineStr">
        <is>
          <t>Kota Palu</t>
        </is>
      </c>
      <c r="C99" t="inlineStr">
        <is>
          <t>081341225901</t>
        </is>
      </c>
      <c r="D99" t="inlineStr">
        <is>
          <t>ardiansjah1@gmail.com</t>
        </is>
      </c>
      <c r="E99" t="inlineStr">
        <is>
          <t>https://lpjk.pu.go.id/search-badan-usaha-detail/T1RyT3BCMEtqVjljT1JEeGJWVk9FUT09</t>
        </is>
      </c>
      <c r="F99" t="n">
        <v>3</v>
      </c>
      <c r="G99" t="inlineStr">
        <is>
          <t>BG006, BG009, BS001</t>
        </is>
      </c>
      <c r="H99" t="inlineStr">
        <is>
          <t>14 Maret 1983</t>
        </is>
      </c>
      <c r="I99" s="2" t="n">
        <v>46305</v>
      </c>
      <c r="J99" t="inlineStr">
        <is>
          <t>Disetujui</t>
        </is>
      </c>
      <c r="K99" t="n">
        <v>30</v>
      </c>
      <c r="L99" t="inlineStr">
        <is>
          <t>10 Oktober 2026</t>
        </is>
      </c>
      <c r="M99" t="inlineStr">
        <is>
          <t>Konstruksi Bangunan Sipil Jalan, Konstruksi Gedung Lainnya, Konstruksi Gedung Pendidikan</t>
        </is>
      </c>
      <c r="N99" t="inlineStr">
        <is>
          <t>K</t>
        </is>
      </c>
      <c r="O99" t="inlineStr">
        <is>
          <t>20231011</t>
        </is>
      </c>
      <c r="P99" t="inlineStr">
        <is>
          <t>Sulawesi Tengah</t>
        </is>
      </c>
      <c r="Q99" t="inlineStr"/>
    </row>
    <row r="100">
      <c r="A100" t="inlineStr">
        <is>
          <t>PERDANA</t>
        </is>
      </c>
      <c r="B100" t="inlineStr">
        <is>
          <t>Kab. Bojonegoro</t>
        </is>
      </c>
      <c r="C100" t="inlineStr">
        <is>
          <t>082234869197</t>
        </is>
      </c>
      <c r="D100" t="inlineStr">
        <is>
          <t>cv.perdana50@yahoo.co.id</t>
        </is>
      </c>
      <c r="E100" t="inlineStr">
        <is>
          <t>https://lpjk.pu.go.id/search-badan-usaha-detail/L0kzdmxJTGNSWTJXT25jK1dNMUNFUT09</t>
        </is>
      </c>
      <c r="F100" t="n">
        <v>1</v>
      </c>
      <c r="G100" t="inlineStr">
        <is>
          <t>BG005</t>
        </is>
      </c>
      <c r="H100" t="inlineStr">
        <is>
          <t>22 September 1986</t>
        </is>
      </c>
      <c r="I100" s="2" t="n">
        <v>46305</v>
      </c>
      <c r="J100" t="inlineStr">
        <is>
          <t>Disetujui</t>
        </is>
      </c>
      <c r="K100" t="n">
        <v>30</v>
      </c>
      <c r="L100" t="inlineStr">
        <is>
          <t>10 Oktober 2026</t>
        </is>
      </c>
      <c r="M100" t="inlineStr">
        <is>
          <t>Konstruksi Gedung Kesehatan</t>
        </is>
      </c>
      <c r="N100" t="inlineStr">
        <is>
          <t>K</t>
        </is>
      </c>
      <c r="O100" t="inlineStr">
        <is>
          <t>20231006</t>
        </is>
      </c>
      <c r="P100" t="inlineStr">
        <is>
          <t>Jawa Timur</t>
        </is>
      </c>
      <c r="Q100" t="inlineStr"/>
    </row>
    <row r="101">
      <c r="A101" t="inlineStr">
        <is>
          <t>PILAR JAYA KONSTRUKSI</t>
        </is>
      </c>
      <c r="B101" t="inlineStr">
        <is>
          <t>Kab. Tabalong</t>
        </is>
      </c>
      <c r="C101" t="inlineStr">
        <is>
          <t>081257058447</t>
        </is>
      </c>
      <c r="D101" t="inlineStr">
        <is>
          <t>pilar_jk@yahoo.co.id</t>
        </is>
      </c>
      <c r="E101" t="inlineStr">
        <is>
          <t>https://lpjk.pu.go.id/search-badan-usaha-detail/L01aTzVNNTYrVS9LcEM5K2g0WGxLQT09</t>
        </is>
      </c>
      <c r="F101" t="n">
        <v>2</v>
      </c>
      <c r="G101" t="inlineStr">
        <is>
          <t>BS001, BS002</t>
        </is>
      </c>
      <c r="H101" t="inlineStr">
        <is>
          <t>19 Januari 2005</t>
        </is>
      </c>
      <c r="I101" s="2" t="n">
        <v>46305</v>
      </c>
      <c r="J101" t="inlineStr">
        <is>
          <t>Disetujui</t>
        </is>
      </c>
      <c r="K101" t="n">
        <v>30</v>
      </c>
      <c r="L101" t="inlineStr">
        <is>
          <t>10 Oktober 2026</t>
        </is>
      </c>
      <c r="M101" t="inlineStr">
        <is>
          <t>Bangunan Sipil Jembatan, Jalan Layang, Fly Over, dan Underpass, Konstruksi Bangunan Sipil Jalan</t>
        </is>
      </c>
      <c r="N101" t="inlineStr">
        <is>
          <t>M</t>
        </is>
      </c>
      <c r="O101" t="inlineStr">
        <is>
          <t>20231006, 20231007</t>
        </is>
      </c>
      <c r="P101" t="inlineStr">
        <is>
          <t>Kalimantan Selatan</t>
        </is>
      </c>
      <c r="Q101" t="inlineStr"/>
    </row>
    <row r="102">
      <c r="A102" t="inlineStr">
        <is>
          <t>PRAKARSA CIPTA CONSULINDO</t>
        </is>
      </c>
      <c r="B102" t="inlineStr">
        <is>
          <t>Kota Samarinda</t>
        </is>
      </c>
      <c r="C102" t="inlineStr">
        <is>
          <t>082234313371</t>
        </is>
      </c>
      <c r="D102" t="inlineStr">
        <is>
          <t>prakarsa.cipta.consulindo@gmail.com</t>
        </is>
      </c>
      <c r="E102" t="inlineStr">
        <is>
          <t>https://lpjk.pu.go.id/search-badan-usaha-detail/dTh6RU5uLzZ5ZjJnLzd6K3A1aGVOdz09</t>
        </is>
      </c>
      <c r="F102" t="n">
        <v>8</v>
      </c>
      <c r="G102" t="inlineStr">
        <is>
          <t>AR001, AR002, AR003, RK001, RK002, RK003, RK005</t>
        </is>
      </c>
      <c r="H102" t="inlineStr">
        <is>
          <t>2 Februari 2021</t>
        </is>
      </c>
      <c r="I102" s="2" t="n">
        <v>46305</v>
      </c>
      <c r="J102" t="inlineStr">
        <is>
          <t>Disetujui</t>
        </is>
      </c>
      <c r="K102" t="n">
        <v>30</v>
      </c>
      <c r="L102" t="inlineStr">
        <is>
          <t>10 Oktober 2026</t>
        </is>
      </c>
      <c r="M102" t="inlineStr">
        <is>
          <t>Jasa Arsitektural Bangunan Gedung Hunian dan Non Hunian, Jasa Arsitektural Lainnya, Jasa Desain Interior pada Bangunan Gedung dan Bangunan Sipil, Jasa Rekayasa Konstruksi Bangunan Gedung Hunian dan Non Hunian, Jasa Rekayasa Lainnya, Jasa Rekayasa Pekerjaan Teknik Sipil Sumber Daya Air, Jasa Rekayasa Pekerjaan Teknik Sipil Transportasi</t>
        </is>
      </c>
      <c r="N102" t="inlineStr">
        <is>
          <t>K</t>
        </is>
      </c>
      <c r="O102" t="inlineStr">
        <is>
          <t>20230929, 20231002</t>
        </is>
      </c>
      <c r="P102" t="inlineStr">
        <is>
          <t>Kalimantan Timur</t>
        </is>
      </c>
      <c r="Q102" t="inlineStr"/>
    </row>
    <row r="103">
      <c r="A103" t="inlineStr">
        <is>
          <t>PRIMA HUNI PERSADA</t>
        </is>
      </c>
      <c r="B103" t="inlineStr">
        <is>
          <t>Kota Jambi</t>
        </is>
      </c>
      <c r="C103" t="inlineStr">
        <is>
          <t>07415913585</t>
        </is>
      </c>
      <c r="D103" t="inlineStr">
        <is>
          <t>primahunipersada@gmail.com</t>
        </is>
      </c>
      <c r="E103" t="inlineStr">
        <is>
          <t>https://lpjk.pu.go.id/search-badan-usaha-detail/UGxsMTYvUk5yTVY1ZzluWUFSODl2QT09</t>
        </is>
      </c>
      <c r="F103" t="n">
        <v>3</v>
      </c>
      <c r="G103" t="inlineStr">
        <is>
          <t>BG001, BG002, BG009</t>
        </is>
      </c>
      <c r="H103" t="inlineStr">
        <is>
          <t>7 Oktober 2014</t>
        </is>
      </c>
      <c r="I103" s="2" t="n">
        <v>46305</v>
      </c>
      <c r="J103" t="inlineStr">
        <is>
          <t>Disetujui</t>
        </is>
      </c>
      <c r="K103" t="n">
        <v>30</v>
      </c>
      <c r="L103" t="inlineStr">
        <is>
          <t>10 Oktober 2026</t>
        </is>
      </c>
      <c r="M103" t="inlineStr">
        <is>
          <t>Konstruksi Gedung Hunian, Konstruksi Gedung Lainnya, Konstruksi Gedung Perkantoran</t>
        </is>
      </c>
      <c r="N103" t="inlineStr">
        <is>
          <t>K</t>
        </is>
      </c>
      <c r="O103" t="inlineStr">
        <is>
          <t>20231006, 20231009</t>
        </is>
      </c>
      <c r="P103" t="inlineStr">
        <is>
          <t>Jambi</t>
        </is>
      </c>
      <c r="Q103" t="inlineStr"/>
    </row>
    <row r="104">
      <c r="A104" t="inlineStr">
        <is>
          <t>PRIMA NUSANTARA TEKINDO</t>
        </is>
      </c>
      <c r="B104" t="inlineStr">
        <is>
          <t>Kab. Indragiri Hulu</t>
        </is>
      </c>
      <c r="C104" t="inlineStr">
        <is>
          <t>085363218328</t>
        </is>
      </c>
      <c r="D104" t="inlineStr">
        <is>
          <t>primanusantara.tekindo@gmail.com</t>
        </is>
      </c>
      <c r="E104" t="inlineStr">
        <is>
          <t>https://lpjk.pu.go.id/search-badan-usaha-detail/RDZlSEJXakU0OGNScDc1Y2dOVzhnUT09</t>
        </is>
      </c>
      <c r="F104" t="n">
        <v>5</v>
      </c>
      <c r="G104" t="inlineStr">
        <is>
          <t>BG001, BG002, BG003, BG005, BG009</t>
        </is>
      </c>
      <c r="H104" t="inlineStr">
        <is>
          <t>21 September 2023</t>
        </is>
      </c>
      <c r="I104" s="2" t="n">
        <v>46305</v>
      </c>
      <c r="J104" t="inlineStr">
        <is>
          <t>Disetujui</t>
        </is>
      </c>
      <c r="K104" t="n">
        <v>30</v>
      </c>
      <c r="L104" t="inlineStr">
        <is>
          <t>10 Oktober 2026</t>
        </is>
      </c>
      <c r="M104" t="inlineStr">
        <is>
          <t>Konstruksi Gedung Hunian, Konstruksi Gedung Industri, Konstruksi Gedung Kesehatan, Konstruksi Gedung Lainnya, Konstruksi Gedung Perkantoran</t>
        </is>
      </c>
      <c r="N104" t="inlineStr">
        <is>
          <t>K</t>
        </is>
      </c>
      <c r="O104" t="inlineStr">
        <is>
          <t>20231009, 20231011</t>
        </is>
      </c>
      <c r="P104" t="inlineStr">
        <is>
          <t>Riau</t>
        </is>
      </c>
      <c r="Q104" t="inlineStr"/>
    </row>
    <row r="105">
      <c r="A105" t="inlineStr">
        <is>
          <t>PRIMADONA PUTRA</t>
        </is>
      </c>
      <c r="B105" t="inlineStr">
        <is>
          <t>Kab. Trenggalek</t>
        </is>
      </c>
      <c r="C105" t="inlineStr">
        <is>
          <t>081359250925</t>
        </is>
      </c>
      <c r="D105" t="inlineStr">
        <is>
          <t>cvprimadonaputra1980@gmail.com</t>
        </is>
      </c>
      <c r="E105" t="inlineStr">
        <is>
          <t>https://lpjk.pu.go.id/search-badan-usaha-detail/SnBXanpjaVM4VWhMczhEMmdWWWRpdz09</t>
        </is>
      </c>
      <c r="F105" t="n">
        <v>6</v>
      </c>
      <c r="G105" t="inlineStr">
        <is>
          <t>BG006, BG009, BS001</t>
        </is>
      </c>
      <c r="H105" t="inlineStr">
        <is>
          <t>21 Januari 2009</t>
        </is>
      </c>
      <c r="I105" s="2" t="n">
        <v>46305</v>
      </c>
      <c r="J105" t="inlineStr">
        <is>
          <t>Disetujui</t>
        </is>
      </c>
      <c r="K105" t="n">
        <v>30</v>
      </c>
      <c r="L105" t="inlineStr">
        <is>
          <t>10 Oktober 2026</t>
        </is>
      </c>
      <c r="M105" t="inlineStr">
        <is>
          <t>Konstruksi Bangunan Sipil Jalan, Konstruksi Gedung Lainnya, Konstruksi Gedung Pendidikan</t>
        </is>
      </c>
      <c r="N105" t="inlineStr">
        <is>
          <t>K</t>
        </is>
      </c>
      <c r="O105" t="inlineStr">
        <is>
          <t>20230920, 20231011</t>
        </is>
      </c>
      <c r="P105" t="inlineStr">
        <is>
          <t>Jawa Timur</t>
        </is>
      </c>
      <c r="Q105" t="inlineStr"/>
    </row>
    <row r="106">
      <c r="A106" t="inlineStr">
        <is>
          <t>PURNAMA RAYA</t>
        </is>
      </c>
      <c r="B106" t="inlineStr">
        <is>
          <t>Kab. Sumbawa</t>
        </is>
      </c>
      <c r="C106" t="inlineStr">
        <is>
          <t>082341241280</t>
        </is>
      </c>
      <c r="D106" t="inlineStr">
        <is>
          <t>purnamaraya.cv@yahoo.com</t>
        </is>
      </c>
      <c r="E106" t="inlineStr">
        <is>
          <t>https://lpjk.pu.go.id/search-badan-usaha-detail/clVUVWN2aVRobGpnUHl6aWN2YjBvUT09</t>
        </is>
      </c>
      <c r="F106" t="n">
        <v>10</v>
      </c>
      <c r="G106" t="inlineStr">
        <is>
          <t>BG005, BG006, BS001, BS004, BS005</t>
        </is>
      </c>
      <c r="H106" t="inlineStr">
        <is>
          <t>1 Desember 2014</t>
        </is>
      </c>
      <c r="I106" s="2" t="n">
        <v>46305</v>
      </c>
      <c r="J106" t="inlineStr">
        <is>
          <t>Disetujui</t>
        </is>
      </c>
      <c r="K106" t="n">
        <v>30</v>
      </c>
      <c r="L106" t="inlineStr">
        <is>
          <t>10 Oktober 2026</t>
        </is>
      </c>
      <c r="M106" t="inlineStr">
        <is>
          <t>Konstruksi Bangunan Sipil Jalan, Konstruksi Bangunan Sipil Pengolahan Air Bersih, Konstruksi Gedung Kesehatan, Konstruksi Gedung Pendidikan, Konstruksi Jaringan Irigasi dan Drainase</t>
        </is>
      </c>
      <c r="N106" t="inlineStr">
        <is>
          <t>K</t>
        </is>
      </c>
      <c r="O106" t="inlineStr">
        <is>
          <t>20231005, 20231011, 20231012</t>
        </is>
      </c>
      <c r="P106" t="inlineStr">
        <is>
          <t>Nusa Tenggara Barat</t>
        </is>
      </c>
      <c r="Q106" t="inlineStr"/>
    </row>
    <row r="107">
      <c r="A107" t="inlineStr">
        <is>
          <t>PUSAKA BATARA KARANG</t>
        </is>
      </c>
      <c r="B107" t="inlineStr">
        <is>
          <t>Kota Tangerang</t>
        </is>
      </c>
      <c r="C107" t="inlineStr">
        <is>
          <t>087774812898</t>
        </is>
      </c>
      <c r="D107" t="inlineStr">
        <is>
          <t>usahabatarapusaka@gmail.com</t>
        </is>
      </c>
      <c r="E107" t="inlineStr">
        <is>
          <t>https://lpjk.pu.go.id/search-badan-usaha-detail/REFmQzQ3OXNFSHpTRkdVaWFwenltUT09</t>
        </is>
      </c>
      <c r="F107" t="n">
        <v>1</v>
      </c>
      <c r="G107" t="inlineStr">
        <is>
          <t>BG005</t>
        </is>
      </c>
      <c r="H107" t="inlineStr">
        <is>
          <t>25 Januari 2023</t>
        </is>
      </c>
      <c r="I107" s="2" t="n">
        <v>46305</v>
      </c>
      <c r="J107" t="inlineStr">
        <is>
          <t>Disetujui</t>
        </is>
      </c>
      <c r="K107" t="n">
        <v>30</v>
      </c>
      <c r="L107" t="inlineStr">
        <is>
          <t>10 Oktober 2026</t>
        </is>
      </c>
      <c r="M107" t="inlineStr">
        <is>
          <t>Konstruksi Gedung Kesehatan</t>
        </is>
      </c>
      <c r="N107" t="inlineStr">
        <is>
          <t>K</t>
        </is>
      </c>
      <c r="O107" t="inlineStr">
        <is>
          <t>20231008</t>
        </is>
      </c>
      <c r="P107" t="inlineStr">
        <is>
          <t>Banten</t>
        </is>
      </c>
      <c r="Q107" t="inlineStr"/>
    </row>
    <row r="108">
      <c r="A108" t="inlineStr">
        <is>
          <t>PUTRA AGUNG</t>
        </is>
      </c>
      <c r="B108" t="inlineStr">
        <is>
          <t>Kab. Subang</t>
        </is>
      </c>
      <c r="C108" t="inlineStr">
        <is>
          <t>081394815809</t>
        </is>
      </c>
      <c r="D108" t="inlineStr">
        <is>
          <t>putraagungcv51@gmail.com</t>
        </is>
      </c>
      <c r="E108" t="inlineStr">
        <is>
          <t>https://lpjk.pu.go.id/search-badan-usaha-detail/TGR5ekdBd0VoTEp2Q2RoOVdWTlVVQT09</t>
        </is>
      </c>
      <c r="F108" t="n">
        <v>1</v>
      </c>
      <c r="G108" t="inlineStr">
        <is>
          <t>BG009</t>
        </is>
      </c>
      <c r="H108" t="inlineStr">
        <is>
          <t>1 Juni 1979</t>
        </is>
      </c>
      <c r="I108" s="2" t="n">
        <v>46305</v>
      </c>
      <c r="J108" t="inlineStr">
        <is>
          <t>Disetujui</t>
        </is>
      </c>
      <c r="K108" t="n">
        <v>30</v>
      </c>
      <c r="L108" t="inlineStr">
        <is>
          <t>10 Oktober 2026</t>
        </is>
      </c>
      <c r="M108" t="inlineStr">
        <is>
          <t>Konstruksi Gedung Lainnya</t>
        </is>
      </c>
      <c r="N108" t="inlineStr">
        <is>
          <t>K</t>
        </is>
      </c>
      <c r="O108" t="inlineStr">
        <is>
          <t>20231006</t>
        </is>
      </c>
      <c r="P108" t="inlineStr">
        <is>
          <t>Jawa Barat</t>
        </is>
      </c>
      <c r="Q108" t="inlineStr"/>
    </row>
    <row r="109">
      <c r="A109" t="inlineStr">
        <is>
          <t>PUTRA DIVRADJA</t>
        </is>
      </c>
      <c r="B109" t="inlineStr">
        <is>
          <t>Kab. Garut</t>
        </is>
      </c>
      <c r="C109" t="inlineStr">
        <is>
          <t>0262</t>
        </is>
      </c>
      <c r="D109" t="inlineStr">
        <is>
          <t>divradja_cv@yahoo.com</t>
        </is>
      </c>
      <c r="E109" t="inlineStr">
        <is>
          <t>https://lpjk.pu.go.id/search-badan-usaha-detail/bG9DZjF5dnF2cHlaa1VYcVhHTFFNQT09</t>
        </is>
      </c>
      <c r="F109" t="n">
        <v>3</v>
      </c>
      <c r="G109" t="inlineStr">
        <is>
          <t>BG005, BG006, BS001</t>
        </is>
      </c>
      <c r="H109" t="inlineStr">
        <is>
          <t>18 Desember 2012</t>
        </is>
      </c>
      <c r="I109" s="2" t="n">
        <v>46305</v>
      </c>
      <c r="J109" t="inlineStr">
        <is>
          <t>Disetujui</t>
        </is>
      </c>
      <c r="K109" t="n">
        <v>30</v>
      </c>
      <c r="L109" t="inlineStr">
        <is>
          <t>10 Oktober 2026</t>
        </is>
      </c>
      <c r="M109" t="inlineStr">
        <is>
          <t>Konstruksi Bangunan Sipil Jalan, Konstruksi Gedung Kesehatan, Konstruksi Gedung Pendidikan</t>
        </is>
      </c>
      <c r="N109" t="inlineStr">
        <is>
          <t>K</t>
        </is>
      </c>
      <c r="O109" t="inlineStr">
        <is>
          <t>20231007, 20231010, 20231014</t>
        </is>
      </c>
      <c r="P109" t="inlineStr">
        <is>
          <t>Jawa Barat</t>
        </is>
      </c>
      <c r="Q109" t="inlineStr"/>
    </row>
    <row r="110">
      <c r="A110" t="inlineStr">
        <is>
          <t>PUTRA SEMBUWAK MANDIRI</t>
        </is>
      </c>
      <c r="B110" t="inlineStr">
        <is>
          <t>Kab. Malinau</t>
        </is>
      </c>
      <c r="C110" t="inlineStr">
        <is>
          <t>081227758702</t>
        </is>
      </c>
      <c r="D110" t="inlineStr">
        <is>
          <t>putrasembuwakmandiri@gmail.com</t>
        </is>
      </c>
      <c r="E110" t="inlineStr">
        <is>
          <t>https://lpjk.pu.go.id/search-badan-usaha-detail/b0lrQmQxTkdNaWRFY2dDbUFBR1J2UT09</t>
        </is>
      </c>
      <c r="F110" t="n">
        <v>1</v>
      </c>
      <c r="G110" t="inlineStr">
        <is>
          <t>BG005</t>
        </is>
      </c>
      <c r="H110" t="inlineStr">
        <is>
          <t>20 September 2023</t>
        </is>
      </c>
      <c r="I110" s="2" t="n">
        <v>46305</v>
      </c>
      <c r="J110" t="inlineStr">
        <is>
          <t>Disetujui</t>
        </is>
      </c>
      <c r="K110" t="n">
        <v>30</v>
      </c>
      <c r="L110" t="inlineStr">
        <is>
          <t>10 Oktober 2026</t>
        </is>
      </c>
      <c r="M110" t="inlineStr">
        <is>
          <t>Konstruksi Gedung Kesehatan</t>
        </is>
      </c>
      <c r="N110" t="inlineStr">
        <is>
          <t>K</t>
        </is>
      </c>
      <c r="O110" t="inlineStr">
        <is>
          <t>20231011</t>
        </is>
      </c>
      <c r="P110" t="inlineStr">
        <is>
          <t>Kalimantan Utara</t>
        </is>
      </c>
      <c r="Q110" t="inlineStr"/>
    </row>
    <row r="111">
      <c r="A111" t="inlineStr">
        <is>
          <t>PUTRA WIJAYA</t>
        </is>
      </c>
      <c r="B111" t="inlineStr">
        <is>
          <t>Kab. Brebes</t>
        </is>
      </c>
      <c r="C111" t="inlineStr">
        <is>
          <t>085786915099</t>
        </is>
      </c>
      <c r="D111" t="inlineStr">
        <is>
          <t>cvputrawijaya.28@gmail.com</t>
        </is>
      </c>
      <c r="E111" t="inlineStr">
        <is>
          <t>https://lpjk.pu.go.id/search-badan-usaha-detail/QnVIWTlzL3YxbWlRZ3Fta0JqYkJsUT09</t>
        </is>
      </c>
      <c r="F111" t="n">
        <v>2</v>
      </c>
      <c r="G111" t="inlineStr">
        <is>
          <t>BS001, BS004</t>
        </is>
      </c>
      <c r="H111" t="inlineStr">
        <is>
          <t>28 Desember 2014</t>
        </is>
      </c>
      <c r="I111" s="2" t="n">
        <v>46305</v>
      </c>
      <c r="J111" t="inlineStr">
        <is>
          <t>Disetujui</t>
        </is>
      </c>
      <c r="K111" t="n">
        <v>30</v>
      </c>
      <c r="L111" t="inlineStr">
        <is>
          <t>10 Oktober 2026</t>
        </is>
      </c>
      <c r="M111" t="inlineStr">
        <is>
          <t>Konstruksi Bangunan Sipil Jalan, Konstruksi Jaringan Irigasi dan Drainase</t>
        </is>
      </c>
      <c r="N111" t="inlineStr">
        <is>
          <t>K</t>
        </is>
      </c>
      <c r="O111" t="inlineStr">
        <is>
          <t>20231009</t>
        </is>
      </c>
      <c r="P111" t="inlineStr">
        <is>
          <t>Jawa Tengah</t>
        </is>
      </c>
      <c r="Q111" t="inlineStr"/>
    </row>
    <row r="112">
      <c r="A112" t="inlineStr">
        <is>
          <t>PUTRI JAYA LESTARI</t>
        </is>
      </c>
      <c r="B112" t="inlineStr">
        <is>
          <t>Kota Tangerang Selatan</t>
        </is>
      </c>
      <c r="C112" t="inlineStr">
        <is>
          <t>081281861118</t>
        </is>
      </c>
      <c r="D112" t="inlineStr">
        <is>
          <t>putrijayalestari84@yahoo.com</t>
        </is>
      </c>
      <c r="E112" t="inlineStr">
        <is>
          <t>https://lpjk.pu.go.id/search-badan-usaha-detail/cVpRWjYyMkpFeG9ad1Nsc3hvVXNaQT09</t>
        </is>
      </c>
      <c r="F112" t="n">
        <v>1</v>
      </c>
      <c r="G112" t="inlineStr">
        <is>
          <t>BG006</t>
        </is>
      </c>
      <c r="H112" t="inlineStr">
        <is>
          <t>26 Oktober 2020</t>
        </is>
      </c>
      <c r="I112" s="2" t="n">
        <v>46305</v>
      </c>
      <c r="J112" t="inlineStr">
        <is>
          <t>Disetujui</t>
        </is>
      </c>
      <c r="K112" t="n">
        <v>30</v>
      </c>
      <c r="L112" t="inlineStr">
        <is>
          <t>10 Oktober 2026</t>
        </is>
      </c>
      <c r="M112" t="inlineStr">
        <is>
          <t>Konstruksi Gedung Pendidikan</t>
        </is>
      </c>
      <c r="N112" t="inlineStr">
        <is>
          <t>K</t>
        </is>
      </c>
      <c r="O112" t="inlineStr">
        <is>
          <t>20231011</t>
        </is>
      </c>
      <c r="P112" t="inlineStr">
        <is>
          <t>Banten</t>
        </is>
      </c>
      <c r="Q112" t="inlineStr"/>
    </row>
    <row r="113">
      <c r="A113" t="inlineStr">
        <is>
          <t>PUTRI TUNGGAL PERKASA</t>
        </is>
      </c>
      <c r="B113" t="inlineStr">
        <is>
          <t>-</t>
        </is>
      </c>
      <c r="C113" t="inlineStr">
        <is>
          <t>085356525251</t>
        </is>
      </c>
      <c r="D113" t="inlineStr">
        <is>
          <t>putritunggalperkasa79@gmail.com</t>
        </is>
      </c>
      <c r="E113" t="inlineStr">
        <is>
          <t>https://lpjk.pu.go.id/search-badan-usaha-detail/MmlSOXdiZ2lacjV2eTlWNzFnTHd4QT09</t>
        </is>
      </c>
      <c r="F113" t="n">
        <v>2</v>
      </c>
      <c r="G113" t="inlineStr">
        <is>
          <t>BG006, BG009</t>
        </is>
      </c>
      <c r="H113" t="inlineStr">
        <is>
          <t>7 Oktober 2009</t>
        </is>
      </c>
      <c r="I113" s="2" t="n">
        <v>46305</v>
      </c>
      <c r="J113" t="inlineStr">
        <is>
          <t>Disetujui</t>
        </is>
      </c>
      <c r="K113" t="n">
        <v>30</v>
      </c>
      <c r="L113" t="inlineStr">
        <is>
          <t>10 Oktober 2026</t>
        </is>
      </c>
      <c r="M113" t="inlineStr">
        <is>
          <t>Konstruksi Gedung Lainnya, Konstruksi Gedung Pendidikan</t>
        </is>
      </c>
      <c r="N113" t="inlineStr">
        <is>
          <t>K</t>
        </is>
      </c>
      <c r="O113" t="inlineStr">
        <is>
          <t>20231010</t>
        </is>
      </c>
      <c r="P113" t="inlineStr">
        <is>
          <t>Riau</t>
        </is>
      </c>
      <c r="Q113" t="inlineStr"/>
    </row>
    <row r="114">
      <c r="A114" t="inlineStr">
        <is>
          <t>QALIAN</t>
        </is>
      </c>
      <c r="B114" t="inlineStr">
        <is>
          <t>Kab. Subang</t>
        </is>
      </c>
      <c r="C114" t="inlineStr">
        <is>
          <t>082315339328</t>
        </is>
      </c>
      <c r="D114" t="inlineStr">
        <is>
          <t>cvqalian@gmail.com</t>
        </is>
      </c>
      <c r="E114" t="inlineStr">
        <is>
          <t>https://lpjk.pu.go.id/search-badan-usaha-detail/SkhlajdWNlQ4YjNRb0lBT0FJN3EvUT09</t>
        </is>
      </c>
      <c r="F114" t="n">
        <v>5</v>
      </c>
      <c r="G114" t="inlineStr">
        <is>
          <t>BG002, BG009, BS001, BS004, BS005</t>
        </is>
      </c>
      <c r="H114" t="inlineStr">
        <is>
          <t>12 Februari 2020</t>
        </is>
      </c>
      <c r="I114" s="2" t="n">
        <v>46305</v>
      </c>
      <c r="J114" t="inlineStr">
        <is>
          <t>Disetujui</t>
        </is>
      </c>
      <c r="K114" t="n">
        <v>30</v>
      </c>
      <c r="L114" t="inlineStr">
        <is>
          <t>10 Oktober 2026</t>
        </is>
      </c>
      <c r="M114" t="inlineStr">
        <is>
          <t>Konstruksi Bangunan Sipil Jalan, Konstruksi Bangunan Sipil Pengolahan Air Bersih, Konstruksi Gedung Lainnya, Konstruksi Gedung Perkantoran, Konstruksi Jaringan Irigasi dan Drainase</t>
        </is>
      </c>
      <c r="N114" t="inlineStr">
        <is>
          <t>K</t>
        </is>
      </c>
      <c r="O114" t="inlineStr">
        <is>
          <t>20231011, 20231012, 20231013</t>
        </is>
      </c>
      <c r="P114" t="inlineStr">
        <is>
          <t>Jawa Barat</t>
        </is>
      </c>
      <c r="Q114" t="inlineStr"/>
    </row>
    <row r="115">
      <c r="A115" t="inlineStr">
        <is>
          <t>RAFAREZEL KONSTRUKSI</t>
        </is>
      </c>
      <c r="B115" t="inlineStr">
        <is>
          <t>Kab. Muaro Jambi</t>
        </is>
      </c>
      <c r="C115" t="inlineStr">
        <is>
          <t>082179919104</t>
        </is>
      </c>
      <c r="D115" t="inlineStr">
        <is>
          <t>rafarezelkonstruksijbi@gmail.com</t>
        </is>
      </c>
      <c r="E115" t="inlineStr">
        <is>
          <t>https://lpjk.pu.go.id/search-badan-usaha-detail/aVR6RzhzY3FQYjN1WS8xZ0s3VlJJdz09</t>
        </is>
      </c>
      <c r="F115" t="n">
        <v>4</v>
      </c>
      <c r="G115" t="inlineStr">
        <is>
          <t>BG002, BG008, BG009, BS004</t>
        </is>
      </c>
      <c r="H115" t="inlineStr">
        <is>
          <t>20 Juli 2023</t>
        </is>
      </c>
      <c r="I115" s="2" t="n">
        <v>46305</v>
      </c>
      <c r="J115" t="inlineStr">
        <is>
          <t>Disetujui</t>
        </is>
      </c>
      <c r="K115" t="n">
        <v>30</v>
      </c>
      <c r="L115" t="inlineStr">
        <is>
          <t>10 Oktober 2026</t>
        </is>
      </c>
      <c r="M115" t="inlineStr">
        <is>
          <t>Konstruksi Gedung Lainnya, Konstruksi Gedung Perkantoran, Konstruksi Gedung Tempat Hiburan dan Olahraga, Konstruksi Jaringan Irigasi dan Drainase</t>
        </is>
      </c>
      <c r="N115" t="inlineStr">
        <is>
          <t>K</t>
        </is>
      </c>
      <c r="O115" t="inlineStr">
        <is>
          <t>20231004, 20231005, 20231007, 20231010</t>
        </is>
      </c>
      <c r="P115" t="inlineStr">
        <is>
          <t>Jambi</t>
        </is>
      </c>
      <c r="Q115" t="inlineStr"/>
    </row>
    <row r="116">
      <c r="A116" t="inlineStr">
        <is>
          <t>RAGASA</t>
        </is>
      </c>
      <c r="B116" t="inlineStr">
        <is>
          <t>Kab. Bojonegoro</t>
        </is>
      </c>
      <c r="C116" t="inlineStr">
        <is>
          <t>081335635010</t>
        </is>
      </c>
      <c r="D116" t="inlineStr">
        <is>
          <t>cv.ragasabjn97@gmail.com</t>
        </is>
      </c>
      <c r="E116" t="inlineStr">
        <is>
          <t>https://lpjk.pu.go.id/search-badan-usaha-detail/Mi9BaFJPRTc1cFVja2dHNmM0anF6UT09</t>
        </is>
      </c>
      <c r="F116" t="n">
        <v>5</v>
      </c>
      <c r="G116" t="inlineStr">
        <is>
          <t>BG001, BG002, BG005, BG006, BG009</t>
        </is>
      </c>
      <c r="H116" t="inlineStr">
        <is>
          <t>5 Mei 2009</t>
        </is>
      </c>
      <c r="I116" s="2" t="n">
        <v>46305</v>
      </c>
      <c r="J116" t="inlineStr">
        <is>
          <t>Disetujui</t>
        </is>
      </c>
      <c r="K116" t="n">
        <v>30</v>
      </c>
      <c r="L116" t="inlineStr">
        <is>
          <t>10 Oktober 2026</t>
        </is>
      </c>
      <c r="M116" t="inlineStr">
        <is>
          <t>Konstruksi Gedung Hunian, Konstruksi Gedung Kesehatan, Konstruksi Gedung Lainnya, Konstruksi Gedung Pendidikan, Konstruksi Gedung Perkantoran</t>
        </is>
      </c>
      <c r="N116" t="inlineStr">
        <is>
          <t>K</t>
        </is>
      </c>
      <c r="O116" t="inlineStr">
        <is>
          <t>20231011</t>
        </is>
      </c>
      <c r="P116" t="inlineStr">
        <is>
          <t>Jawa Timur</t>
        </is>
      </c>
      <c r="Q116" t="inlineStr"/>
    </row>
    <row r="117">
      <c r="A117" t="inlineStr">
        <is>
          <t>RAGIL JAYA MANDIRI</t>
        </is>
      </c>
      <c r="B117" t="inlineStr">
        <is>
          <t>Kab. Tulungagung</t>
        </is>
      </c>
      <c r="C117" t="inlineStr">
        <is>
          <t>082139986788</t>
        </is>
      </c>
      <c r="D117" t="inlineStr">
        <is>
          <t>ragiljayamandiri.cv@gmail.com</t>
        </is>
      </c>
      <c r="E117" t="inlineStr">
        <is>
          <t>https://lpjk.pu.go.id/search-badan-usaha-detail/RDV4dEx6akJvN1BzVEtDa3hWSVdMdz09</t>
        </is>
      </c>
      <c r="F117" t="n">
        <v>5</v>
      </c>
      <c r="G117" t="inlineStr">
        <is>
          <t>BG002, BG004, BG005, BG006, BG009</t>
        </is>
      </c>
      <c r="H117" t="inlineStr">
        <is>
          <t>2 Juni 2017</t>
        </is>
      </c>
      <c r="I117" s="2" t="n">
        <v>46305</v>
      </c>
      <c r="J117" t="inlineStr">
        <is>
          <t>Disetujui</t>
        </is>
      </c>
      <c r="K117" t="n">
        <v>30</v>
      </c>
      <c r="L117" t="inlineStr">
        <is>
          <t>10 Oktober 2026</t>
        </is>
      </c>
      <c r="M117" t="inlineStr">
        <is>
          <t>Konstruksi Gedung Kesehatan, Konstruksi Gedung Lainnya, Konstruksi Gedung Pendidikan, Konstruksi Gedung Perbelanjaan, Konstruksi Gedung Perkantoran</t>
        </is>
      </c>
      <c r="N117" t="inlineStr">
        <is>
          <t>K</t>
        </is>
      </c>
      <c r="O117" t="inlineStr">
        <is>
          <t>20231008</t>
        </is>
      </c>
      <c r="P117" t="inlineStr">
        <is>
          <t>Jawa Timur</t>
        </is>
      </c>
      <c r="Q117" t="inlineStr"/>
    </row>
    <row r="118">
      <c r="A118" t="inlineStr">
        <is>
          <t>RATU SUMBER MAKMUR</t>
        </is>
      </c>
      <c r="B118" t="inlineStr">
        <is>
          <t>Kota Bandar Lampung</t>
        </is>
      </c>
      <c r="C118" t="inlineStr">
        <is>
          <t>082281337001</t>
        </is>
      </c>
      <c r="D118" t="inlineStr">
        <is>
          <t>makmurptratusumber@gmail.com</t>
        </is>
      </c>
      <c r="E118" t="inlineStr">
        <is>
          <t>https://lpjk.pu.go.id/search-badan-usaha-detail/eEEvbEd5MHNQK2ttaGo3TVdpZDZVdz09</t>
        </is>
      </c>
      <c r="F118" t="n">
        <v>1</v>
      </c>
      <c r="G118" t="inlineStr">
        <is>
          <t>BG009</t>
        </is>
      </c>
      <c r="H118" t="inlineStr">
        <is>
          <t>23 September 2023</t>
        </is>
      </c>
      <c r="I118" s="2" t="n">
        <v>46305</v>
      </c>
      <c r="J118" t="inlineStr">
        <is>
          <t>Disetujui</t>
        </is>
      </c>
      <c r="K118" t="n">
        <v>30</v>
      </c>
      <c r="L118" t="inlineStr">
        <is>
          <t>10 Oktober 2026</t>
        </is>
      </c>
      <c r="M118" t="inlineStr">
        <is>
          <t>Konstruksi Gedung Lainnya</t>
        </is>
      </c>
      <c r="N118" t="inlineStr">
        <is>
          <t>K</t>
        </is>
      </c>
      <c r="O118" t="inlineStr">
        <is>
          <t>20231011</t>
        </is>
      </c>
      <c r="P118" t="inlineStr">
        <is>
          <t>Lampung</t>
        </is>
      </c>
      <c r="Q118" t="inlineStr"/>
    </row>
    <row r="119">
      <c r="A119" t="inlineStr">
        <is>
          <t>RAYHAN</t>
        </is>
      </c>
      <c r="B119" t="inlineStr">
        <is>
          <t>Kota Padang Sidempuan</t>
        </is>
      </c>
      <c r="C119" t="inlineStr">
        <is>
          <t>081376381245</t>
        </is>
      </c>
      <c r="D119" t="inlineStr">
        <is>
          <t>khaidir_batubara@yahoo.com</t>
        </is>
      </c>
      <c r="E119" t="inlineStr">
        <is>
          <t>https://lpjk.pu.go.id/search-badan-usaha-detail/NmFEWTVsUk95blo1Qml0bUg5bTNmZz09</t>
        </is>
      </c>
      <c r="F119" t="n">
        <v>1</v>
      </c>
      <c r="G119" t="inlineStr">
        <is>
          <t>BG002</t>
        </is>
      </c>
      <c r="H119" t="inlineStr">
        <is>
          <t>15 November 2014</t>
        </is>
      </c>
      <c r="I119" s="2" t="n">
        <v>46305</v>
      </c>
      <c r="J119" t="inlineStr">
        <is>
          <t>Disetujui</t>
        </is>
      </c>
      <c r="K119" t="n">
        <v>30</v>
      </c>
      <c r="L119" t="inlineStr">
        <is>
          <t>10 Oktober 2026</t>
        </is>
      </c>
      <c r="M119" t="inlineStr">
        <is>
          <t>Konstruksi Gedung Perkantoran</t>
        </is>
      </c>
      <c r="N119" t="inlineStr">
        <is>
          <t>K</t>
        </is>
      </c>
      <c r="O119" t="inlineStr">
        <is>
          <t>20231011</t>
        </is>
      </c>
      <c r="P119" t="inlineStr">
        <is>
          <t>Sumatera Utara</t>
        </is>
      </c>
      <c r="Q119" t="inlineStr"/>
    </row>
    <row r="120">
      <c r="A120" t="inlineStr">
        <is>
          <t>REVA PUTRA</t>
        </is>
      </c>
      <c r="B120" t="inlineStr">
        <is>
          <t>Kota Pekanbaru</t>
        </is>
      </c>
      <c r="C120" t="inlineStr">
        <is>
          <t>081365532977</t>
        </is>
      </c>
      <c r="D120" t="inlineStr">
        <is>
          <t>riau_satu@live.com</t>
        </is>
      </c>
      <c r="E120" t="inlineStr">
        <is>
          <t>https://lpjk.pu.go.id/search-badan-usaha-detail/NVpNdTMydzlqR0p3dHFXbkRqam5adz09</t>
        </is>
      </c>
      <c r="F120" t="n">
        <v>1</v>
      </c>
      <c r="G120" t="inlineStr">
        <is>
          <t>BS004</t>
        </is>
      </c>
      <c r="H120" t="inlineStr">
        <is>
          <t>7 Januari 2015</t>
        </is>
      </c>
      <c r="I120" s="2" t="n">
        <v>46305</v>
      </c>
      <c r="J120" t="inlineStr">
        <is>
          <t>Pencabutan</t>
        </is>
      </c>
      <c r="K120" t="n">
        <v>30</v>
      </c>
      <c r="L120" t="inlineStr">
        <is>
          <t>10 Oktober 2026</t>
        </is>
      </c>
      <c r="M120" t="inlineStr">
        <is>
          <t>Konstruksi Jaringan Irigasi dan Drainase</t>
        </is>
      </c>
      <c r="N120" t="inlineStr">
        <is>
          <t>K</t>
        </is>
      </c>
      <c r="O120" t="inlineStr">
        <is>
          <t>20231010</t>
        </is>
      </c>
      <c r="P120" t="inlineStr">
        <is>
          <t>Riau</t>
        </is>
      </c>
      <c r="Q120" t="inlineStr"/>
    </row>
    <row r="121">
      <c r="A121" t="inlineStr">
        <is>
          <t>REYHAN PUTRA PERKASA</t>
        </is>
      </c>
      <c r="B121" t="inlineStr">
        <is>
          <t>Kota Banjarmasin</t>
        </is>
      </c>
      <c r="C121" t="inlineStr">
        <is>
          <t>085251622999</t>
        </is>
      </c>
      <c r="D121" t="inlineStr">
        <is>
          <t>cvreyhanputrap@gmail.com</t>
        </is>
      </c>
      <c r="E121" t="inlineStr">
        <is>
          <t>https://lpjk.pu.go.id/search-badan-usaha-detail/dXlOSTZuNXZWU2lNWlJlY0xEVldJZz09</t>
        </is>
      </c>
      <c r="F121" t="n">
        <v>3</v>
      </c>
      <c r="G121" t="inlineStr">
        <is>
          <t>BG009, BS001, BS002</t>
        </is>
      </c>
      <c r="H121" t="inlineStr">
        <is>
          <t>23 Oktober 2021</t>
        </is>
      </c>
      <c r="I121" s="2" t="n">
        <v>46305</v>
      </c>
      <c r="J121" t="inlineStr">
        <is>
          <t>Disetujui</t>
        </is>
      </c>
      <c r="K121" t="n">
        <v>30</v>
      </c>
      <c r="L121" t="inlineStr">
        <is>
          <t>10 Oktober 2026</t>
        </is>
      </c>
      <c r="M121" t="inlineStr">
        <is>
          <t>Bangunan Sipil Jembatan, Jalan Layang, Fly Over, dan Underpass, Konstruksi Bangunan Sipil Jalan, Konstruksi Gedung Lainnya</t>
        </is>
      </c>
      <c r="N121" t="inlineStr">
        <is>
          <t>K</t>
        </is>
      </c>
      <c r="O121" t="inlineStr">
        <is>
          <t>20231011, 20231012</t>
        </is>
      </c>
      <c r="P121" t="inlineStr">
        <is>
          <t>Kalimantan Selatan</t>
        </is>
      </c>
      <c r="Q121" t="inlineStr"/>
    </row>
    <row r="122">
      <c r="A122" t="inlineStr">
        <is>
          <t>RIDHO MAJU BERSAMA</t>
        </is>
      </c>
      <c r="B122" t="inlineStr">
        <is>
          <t>Kota Bandar Lampung</t>
        </is>
      </c>
      <c r="C122" t="inlineStr">
        <is>
          <t>082371715276</t>
        </is>
      </c>
      <c r="D122" t="inlineStr">
        <is>
          <t>ridhomajubersamakita@gmail.com</t>
        </is>
      </c>
      <c r="E122" t="inlineStr">
        <is>
          <t>https://lpjk.pu.go.id/search-badan-usaha-detail/SE02anhtS3hGU0x1OVRZM1psK1hRQT09</t>
        </is>
      </c>
      <c r="F122" t="n">
        <v>2</v>
      </c>
      <c r="G122" t="inlineStr">
        <is>
          <t>BG002, BS001</t>
        </is>
      </c>
      <c r="H122" t="inlineStr">
        <is>
          <t>1 Januari 2018</t>
        </is>
      </c>
      <c r="I122" s="2" t="n">
        <v>46305</v>
      </c>
      <c r="J122" t="inlineStr">
        <is>
          <t>Disetujui, Pencabutan</t>
        </is>
      </c>
      <c r="K122" t="n">
        <v>30</v>
      </c>
      <c r="L122" t="inlineStr">
        <is>
          <t>10 Oktober 2026</t>
        </is>
      </c>
      <c r="M122" t="inlineStr">
        <is>
          <t>Konstruksi Bangunan Sipil Jalan, Konstruksi Gedung Perkantoran</t>
        </is>
      </c>
      <c r="N122" t="inlineStr">
        <is>
          <t>K</t>
        </is>
      </c>
      <c r="O122" t="inlineStr">
        <is>
          <t>20231009, 20231010</t>
        </is>
      </c>
      <c r="P122" t="inlineStr">
        <is>
          <t>Lampung</t>
        </is>
      </c>
      <c r="Q122" t="inlineStr"/>
    </row>
    <row r="123">
      <c r="A123" t="inlineStr">
        <is>
          <t>RIFKI JAYA KONTRAKTOR</t>
        </is>
      </c>
      <c r="B123" t="inlineStr">
        <is>
          <t>Kab. Lombok Timur</t>
        </is>
      </c>
      <c r="C123" t="inlineStr">
        <is>
          <t>081239390098</t>
        </is>
      </c>
      <c r="D123" t="inlineStr">
        <is>
          <t>jayacvrifki@gmail.com</t>
        </is>
      </c>
      <c r="E123" t="inlineStr">
        <is>
          <t>https://lpjk.pu.go.id/search-badan-usaha-detail/NEYra1V3K2hYdExLeWk3ZkQzZGlqZz09</t>
        </is>
      </c>
      <c r="F123" t="n">
        <v>2</v>
      </c>
      <c r="G123" t="inlineStr">
        <is>
          <t>BS001, BS004</t>
        </is>
      </c>
      <c r="H123" t="inlineStr">
        <is>
          <t>7 Januari 2020</t>
        </is>
      </c>
      <c r="I123" s="2" t="n">
        <v>46305</v>
      </c>
      <c r="J123" t="inlineStr">
        <is>
          <t>Disetujui</t>
        </is>
      </c>
      <c r="K123" t="n">
        <v>30</v>
      </c>
      <c r="L123" t="inlineStr">
        <is>
          <t>10 Oktober 2026</t>
        </is>
      </c>
      <c r="M123" t="inlineStr">
        <is>
          <t>Konstruksi Bangunan Sipil Jalan, Konstruksi Jaringan Irigasi dan Drainase</t>
        </is>
      </c>
      <c r="N123" t="inlineStr">
        <is>
          <t>K</t>
        </is>
      </c>
      <c r="O123" t="inlineStr">
        <is>
          <t>20231005</t>
        </is>
      </c>
      <c r="P123" t="inlineStr">
        <is>
          <t>Nusa Tenggara Barat</t>
        </is>
      </c>
      <c r="Q123" t="inlineStr"/>
    </row>
    <row r="124">
      <c r="A124" t="inlineStr">
        <is>
          <t>SANGKAROPI MANDIRI</t>
        </is>
      </c>
      <c r="B124" t="inlineStr">
        <is>
          <t>Kota Kendari</t>
        </is>
      </c>
      <c r="C124" t="inlineStr">
        <is>
          <t>085340427609</t>
        </is>
      </c>
      <c r="D124" t="inlineStr">
        <is>
          <t>sangkaropimandiri@gmail.com</t>
        </is>
      </c>
      <c r="E124" t="inlineStr">
        <is>
          <t>https://lpjk.pu.go.id/search-badan-usaha-detail/WWFGeG5iMkFLZzg4L1VLR3lYMGppdz09</t>
        </is>
      </c>
      <c r="F124" t="n">
        <v>1</v>
      </c>
      <c r="G124" t="inlineStr">
        <is>
          <t>BS001</t>
        </is>
      </c>
      <c r="H124" t="inlineStr">
        <is>
          <t>16 Agustus 2021</t>
        </is>
      </c>
      <c r="I124" s="2" t="n">
        <v>46305</v>
      </c>
      <c r="J124" t="inlineStr">
        <is>
          <t>Disetujui</t>
        </is>
      </c>
      <c r="K124" t="n">
        <v>30</v>
      </c>
      <c r="L124" t="inlineStr">
        <is>
          <t>10 Oktober 2026</t>
        </is>
      </c>
      <c r="M124" t="inlineStr">
        <is>
          <t>Konstruksi Bangunan Sipil Jalan</t>
        </is>
      </c>
      <c r="N124" t="inlineStr">
        <is>
          <t>K</t>
        </is>
      </c>
      <c r="O124" t="inlineStr">
        <is>
          <t>20231003</t>
        </is>
      </c>
      <c r="P124" t="inlineStr">
        <is>
          <t>Sulawesi Tenggara</t>
        </is>
      </c>
      <c r="Q124" t="inlineStr"/>
    </row>
    <row r="125">
      <c r="A125" t="inlineStr">
        <is>
          <t>SATRIA PRATAMA PERKASA</t>
        </is>
      </c>
      <c r="B125" t="inlineStr">
        <is>
          <t>Kab. Musi Rawas</t>
        </is>
      </c>
      <c r="C125" t="inlineStr">
        <is>
          <t>082179479823</t>
        </is>
      </c>
      <c r="D125" t="inlineStr">
        <is>
          <t>cv.satriapratamaperkasa@yahoo.com</t>
        </is>
      </c>
      <c r="E125" t="inlineStr">
        <is>
          <t>https://lpjk.pu.go.id/search-badan-usaha-detail/S045bmJyWWVERTJlVlZPdCtNOFNEdz09</t>
        </is>
      </c>
      <c r="F125" t="n">
        <v>1</v>
      </c>
      <c r="G125" t="inlineStr">
        <is>
          <t>BS001</t>
        </is>
      </c>
      <c r="H125" t="inlineStr">
        <is>
          <t>28 Agustus 2023</t>
        </is>
      </c>
      <c r="I125" s="2" t="n">
        <v>46305</v>
      </c>
      <c r="J125" t="inlineStr">
        <is>
          <t>Disetujui</t>
        </is>
      </c>
      <c r="K125" t="n">
        <v>30</v>
      </c>
      <c r="L125" t="inlineStr">
        <is>
          <t>10 Oktober 2026</t>
        </is>
      </c>
      <c r="M125" t="inlineStr">
        <is>
          <t>Konstruksi Bangunan Sipil Jalan</t>
        </is>
      </c>
      <c r="N125" t="inlineStr">
        <is>
          <t>K</t>
        </is>
      </c>
      <c r="O125" t="inlineStr">
        <is>
          <t>20231010</t>
        </is>
      </c>
      <c r="P125" t="inlineStr">
        <is>
          <t>Sumatera Selatan</t>
        </is>
      </c>
      <c r="Q125" t="inlineStr"/>
    </row>
    <row r="126">
      <c r="A126" t="inlineStr">
        <is>
          <t>SATU KATA KONSTRUKSI</t>
        </is>
      </c>
      <c r="B126" t="inlineStr">
        <is>
          <t>Kota Adm. Jakarta Barat</t>
        </is>
      </c>
      <c r="C126" t="inlineStr">
        <is>
          <t>082285940668</t>
        </is>
      </c>
      <c r="D126" t="inlineStr">
        <is>
          <t>1katakonstruksi@gmail.com</t>
        </is>
      </c>
      <c r="E126" t="inlineStr">
        <is>
          <t>https://lpjk.pu.go.id/search-badan-usaha-detail/eGw4bEdQaHRQeHlxUHBUeGZIUThJQT09</t>
        </is>
      </c>
      <c r="F126" t="n">
        <v>1</v>
      </c>
      <c r="G126" t="inlineStr">
        <is>
          <t>BG009</t>
        </is>
      </c>
      <c r="H126" t="inlineStr">
        <is>
          <t>13 Oktober 2021</t>
        </is>
      </c>
      <c r="I126" s="2" t="n">
        <v>46305</v>
      </c>
      <c r="J126" t="inlineStr">
        <is>
          <t>Disetujui</t>
        </is>
      </c>
      <c r="K126" t="n">
        <v>30</v>
      </c>
      <c r="L126" t="inlineStr">
        <is>
          <t>10 Oktober 2026</t>
        </is>
      </c>
      <c r="M126" t="inlineStr">
        <is>
          <t>Konstruksi Gedung Lainnya</t>
        </is>
      </c>
      <c r="N126" t="inlineStr">
        <is>
          <t>K</t>
        </is>
      </c>
      <c r="O126" t="inlineStr">
        <is>
          <t>20231004</t>
        </is>
      </c>
      <c r="P126" t="inlineStr">
        <is>
          <t>DKI Jakarta</t>
        </is>
      </c>
      <c r="Q126" t="inlineStr"/>
    </row>
    <row r="127">
      <c r="A127" t="inlineStr">
        <is>
          <t>SEGI TIGA PRESISI</t>
        </is>
      </c>
      <c r="B127" t="inlineStr">
        <is>
          <t>Kab. Sigi</t>
        </is>
      </c>
      <c r="C127" t="inlineStr">
        <is>
          <t>085394132223</t>
        </is>
      </c>
      <c r="D127" t="inlineStr">
        <is>
          <t>segitiga.presisi3@gmail.com</t>
        </is>
      </c>
      <c r="E127" t="inlineStr">
        <is>
          <t>https://lpjk.pu.go.id/search-badan-usaha-detail/VGtZNnRXRk8rSVVRa1JoVkdqLzJiQT09</t>
        </is>
      </c>
      <c r="F127" t="n">
        <v>5</v>
      </c>
      <c r="G127" t="inlineStr">
        <is>
          <t>BG001, BG002, BG004, BG009, BS010</t>
        </is>
      </c>
      <c r="H127" t="inlineStr">
        <is>
          <t>16 Juli 2020</t>
        </is>
      </c>
      <c r="I127" s="2" t="n">
        <v>46305</v>
      </c>
      <c r="J127" t="inlineStr">
        <is>
          <t>Disetujui</t>
        </is>
      </c>
      <c r="K127" t="n">
        <v>30</v>
      </c>
      <c r="L127" t="inlineStr">
        <is>
          <t>10 Oktober 2026</t>
        </is>
      </c>
      <c r="M127" t="inlineStr">
        <is>
          <t>Konstruksi Bangunan Prasarana Sumber Daya Air, Konstruksi Gedung Hunian, Konstruksi Gedung Lainnya, Konstruksi Gedung Perbelanjaan, Konstruksi Gedung Perkantoran</t>
        </is>
      </c>
      <c r="N127" t="inlineStr">
        <is>
          <t>K</t>
        </is>
      </c>
      <c r="O127" t="inlineStr">
        <is>
          <t>20231011, 20231012</t>
        </is>
      </c>
      <c r="P127" t="inlineStr">
        <is>
          <t>Sulawesi Tengah</t>
        </is>
      </c>
      <c r="Q127" t="inlineStr"/>
    </row>
    <row r="128">
      <c r="A128" t="inlineStr">
        <is>
          <t>SIGMA SENTRA KONSTRUKSI</t>
        </is>
      </c>
      <c r="B128" t="inlineStr">
        <is>
          <t>Kab. Ciamis</t>
        </is>
      </c>
      <c r="C128" t="inlineStr">
        <is>
          <t>087765631252</t>
        </is>
      </c>
      <c r="D128" t="inlineStr">
        <is>
          <t>sigmateamwork90@gmail.com</t>
        </is>
      </c>
      <c r="E128" t="inlineStr">
        <is>
          <t>https://lpjk.pu.go.id/search-badan-usaha-detail/VVNDSmp0b2hwcFIxcEREWnlzVkp5dz09</t>
        </is>
      </c>
      <c r="F128" t="n">
        <v>6</v>
      </c>
      <c r="G128" t="inlineStr">
        <is>
          <t>BG002, BG008, BS001</t>
        </is>
      </c>
      <c r="H128" t="inlineStr">
        <is>
          <t>5 September 2023</t>
        </is>
      </c>
      <c r="I128" s="2" t="n">
        <v>46305</v>
      </c>
      <c r="J128" t="inlineStr">
        <is>
          <t>Disetujui</t>
        </is>
      </c>
      <c r="K128" t="n">
        <v>30</v>
      </c>
      <c r="L128" t="inlineStr">
        <is>
          <t>10 Oktober 2026</t>
        </is>
      </c>
      <c r="M128" t="inlineStr">
        <is>
          <t>Konstruksi Bangunan Sipil Jalan, Konstruksi Gedung Perkantoran, Konstruksi Gedung Tempat Hiburan dan Olahraga</t>
        </is>
      </c>
      <c r="N128" t="inlineStr">
        <is>
          <t>K</t>
        </is>
      </c>
      <c r="O128" t="inlineStr">
        <is>
          <t>20231011</t>
        </is>
      </c>
      <c r="P128" t="inlineStr">
        <is>
          <t>Jawa Barat</t>
        </is>
      </c>
      <c r="Q128" t="inlineStr"/>
    </row>
    <row r="129">
      <c r="A129" t="inlineStr">
        <is>
          <t>SINGA ABADI JAYA</t>
        </is>
      </c>
      <c r="B129" t="inlineStr">
        <is>
          <t>Kab. Indramayu</t>
        </is>
      </c>
      <c r="C129" t="inlineStr">
        <is>
          <t>082240413289</t>
        </is>
      </c>
      <c r="D129" t="inlineStr">
        <is>
          <t>cvsingaabadijaya@gmail.com</t>
        </is>
      </c>
      <c r="E129" t="inlineStr">
        <is>
          <t>https://lpjk.pu.go.id/search-badan-usaha-detail/NENzZTZLSjBidHlhTEZHYVdlbGdDUT09</t>
        </is>
      </c>
      <c r="F129" t="n">
        <v>5</v>
      </c>
      <c r="G129" t="inlineStr">
        <is>
          <t>BG002, BG005, BG006, BS001, BS004</t>
        </is>
      </c>
      <c r="H129" t="inlineStr">
        <is>
          <t>6 Juni 2023</t>
        </is>
      </c>
      <c r="I129" s="2" t="n">
        <v>46305</v>
      </c>
      <c r="J129" t="inlineStr">
        <is>
          <t>Disetujui</t>
        </is>
      </c>
      <c r="K129" t="n">
        <v>30</v>
      </c>
      <c r="L129" t="inlineStr">
        <is>
          <t>10 Oktober 2026</t>
        </is>
      </c>
      <c r="M129" t="inlineStr">
        <is>
          <t>Konstruksi Bangunan Sipil Jalan, Konstruksi Gedung Kesehatan, Konstruksi Gedung Pendidikan, Konstruksi Gedung Perkantoran, Konstruksi Jaringan Irigasi dan Drainase</t>
        </is>
      </c>
      <c r="N129" t="inlineStr">
        <is>
          <t>K</t>
        </is>
      </c>
      <c r="O129" t="inlineStr">
        <is>
          <t>20230728, 20230909, 20230910</t>
        </is>
      </c>
      <c r="P129" t="inlineStr">
        <is>
          <t>Jawa Barat</t>
        </is>
      </c>
      <c r="Q129" t="inlineStr"/>
    </row>
    <row r="130">
      <c r="A130" t="inlineStr">
        <is>
          <t>SULTAN HN</t>
        </is>
      </c>
      <c r="B130" t="inlineStr">
        <is>
          <t>Kab. Kutai Timur</t>
        </is>
      </c>
      <c r="C130" t="inlineStr">
        <is>
          <t>085345227604</t>
        </is>
      </c>
      <c r="D130" t="inlineStr">
        <is>
          <t>cv.sultanhn@gmail.com</t>
        </is>
      </c>
      <c r="E130" t="inlineStr">
        <is>
          <t>https://lpjk.pu.go.id/search-badan-usaha-detail/Y3hPN0RJdDBIUVd6bEdSQk1ReVpKUT09</t>
        </is>
      </c>
      <c r="F130" t="n">
        <v>2</v>
      </c>
      <c r="G130" t="inlineStr">
        <is>
          <t>BS001, BS004</t>
        </is>
      </c>
      <c r="H130" t="inlineStr">
        <is>
          <t>11 Januari 2023</t>
        </is>
      </c>
      <c r="I130" s="2" t="n">
        <v>46305</v>
      </c>
      <c r="J130" t="inlineStr">
        <is>
          <t>Disetujui</t>
        </is>
      </c>
      <c r="K130" t="n">
        <v>30</v>
      </c>
      <c r="L130" t="inlineStr">
        <is>
          <t>10 Oktober 2026</t>
        </is>
      </c>
      <c r="M130" t="inlineStr">
        <is>
          <t>Konstruksi Bangunan Sipil Jalan, Konstruksi Jaringan Irigasi dan Drainase</t>
        </is>
      </c>
      <c r="N130" t="inlineStr">
        <is>
          <t>K</t>
        </is>
      </c>
      <c r="O130" t="inlineStr">
        <is>
          <t>20231008</t>
        </is>
      </c>
      <c r="P130" t="inlineStr">
        <is>
          <t>Kalimantan Timur</t>
        </is>
      </c>
      <c r="Q130" t="inlineStr"/>
    </row>
    <row r="131">
      <c r="A131" t="inlineStr">
        <is>
          <t>SUMA TRISAKA KREATIKA</t>
        </is>
      </c>
      <c r="B131" t="inlineStr">
        <is>
          <t>Kota Pontianak</t>
        </is>
      </c>
      <c r="C131" t="inlineStr">
        <is>
          <t>08125719627</t>
        </is>
      </c>
      <c r="D131" t="inlineStr">
        <is>
          <t>trisaka03@gmail.com</t>
        </is>
      </c>
      <c r="E131" t="inlineStr">
        <is>
          <t>https://lpjk.pu.go.id/search-badan-usaha-detail/V2Y5OExZV0dmcUhSa0tKNXFaVkxHQT09</t>
        </is>
      </c>
      <c r="F131" t="n">
        <v>1</v>
      </c>
      <c r="G131" t="inlineStr">
        <is>
          <t>RK002</t>
        </is>
      </c>
      <c r="H131" t="inlineStr">
        <is>
          <t>26 Juni 2012</t>
        </is>
      </c>
      <c r="I131" s="2" t="n">
        <v>46305</v>
      </c>
      <c r="J131" t="inlineStr">
        <is>
          <t>Disetujui</t>
        </is>
      </c>
      <c r="K131" t="n">
        <v>30</v>
      </c>
      <c r="L131" t="inlineStr">
        <is>
          <t>10 Oktober 2026</t>
        </is>
      </c>
      <c r="M131" t="inlineStr">
        <is>
          <t>Jasa Rekayasa Pekerjaan Teknik Sipil Sumber Daya Air</t>
        </is>
      </c>
      <c r="N131" t="inlineStr">
        <is>
          <t>K</t>
        </is>
      </c>
      <c r="O131" t="inlineStr">
        <is>
          <t>20230926</t>
        </is>
      </c>
      <c r="P131" t="inlineStr">
        <is>
          <t>Kalimantan Barat</t>
        </is>
      </c>
      <c r="Q131" t="inlineStr"/>
    </row>
    <row r="132">
      <c r="A132" t="inlineStr">
        <is>
          <t>SUMBER BAROKAH</t>
        </is>
      </c>
      <c r="B132" t="inlineStr">
        <is>
          <t>Kab. Grobogan</t>
        </is>
      </c>
      <c r="C132" t="inlineStr">
        <is>
          <t>082133663456</t>
        </is>
      </c>
      <c r="D132" t="inlineStr">
        <is>
          <t>anysa.rc@gmail.com</t>
        </is>
      </c>
      <c r="E132" t="inlineStr">
        <is>
          <t>https://lpjk.pu.go.id/search-badan-usaha-detail/Z1p0U0hwVGhXS0U0MHU0SnpPOXIrQT09</t>
        </is>
      </c>
      <c r="F132" t="n">
        <v>2</v>
      </c>
      <c r="G132" t="inlineStr">
        <is>
          <t>BG002, BG004</t>
        </is>
      </c>
      <c r="H132" t="inlineStr">
        <is>
          <t>9 Februari 2016</t>
        </is>
      </c>
      <c r="I132" s="2" t="n">
        <v>46305</v>
      </c>
      <c r="J132" t="inlineStr">
        <is>
          <t>Disetujui</t>
        </is>
      </c>
      <c r="K132" t="n">
        <v>30</v>
      </c>
      <c r="L132" t="inlineStr">
        <is>
          <t>10 Oktober 2026</t>
        </is>
      </c>
      <c r="M132" t="inlineStr">
        <is>
          <t>Konstruksi Gedung Perbelanjaan, Konstruksi Gedung Perkantoran</t>
        </is>
      </c>
      <c r="N132" t="inlineStr">
        <is>
          <t>K</t>
        </is>
      </c>
      <c r="O132" t="inlineStr">
        <is>
          <t>20230918, 20231009</t>
        </is>
      </c>
      <c r="P132" t="inlineStr">
        <is>
          <t>Jawa Tengah</t>
        </is>
      </c>
      <c r="Q132" t="inlineStr"/>
    </row>
    <row r="133">
      <c r="A133" t="inlineStr">
        <is>
          <t>SWADAYA CIPTA</t>
        </is>
      </c>
      <c r="B133" t="inlineStr">
        <is>
          <t>Kab. Gresik</t>
        </is>
      </c>
      <c r="C133" t="inlineStr">
        <is>
          <t>03139923700</t>
        </is>
      </c>
      <c r="D133" t="inlineStr">
        <is>
          <t>admin@swadayacipta.com</t>
        </is>
      </c>
      <c r="E133" t="inlineStr">
        <is>
          <t>https://lpjk.pu.go.id/search-badan-usaha-detail/OWUxYkJ0MnZPVHJ2bFdKSjR5N24vQT09</t>
        </is>
      </c>
      <c r="F133" t="n">
        <v>1</v>
      </c>
      <c r="G133" t="inlineStr">
        <is>
          <t>BS010</t>
        </is>
      </c>
      <c r="H133" t="inlineStr">
        <is>
          <t>23 Agustus 2005</t>
        </is>
      </c>
      <c r="I133" s="2" t="n">
        <v>46305</v>
      </c>
      <c r="J133" t="inlineStr">
        <is>
          <t>Disetujui</t>
        </is>
      </c>
      <c r="K133" t="n">
        <v>30</v>
      </c>
      <c r="L133" t="inlineStr">
        <is>
          <t>10 Oktober 2026</t>
        </is>
      </c>
      <c r="M133" t="inlineStr">
        <is>
          <t>Konstruksi Bangunan Prasarana Sumber Daya Air</t>
        </is>
      </c>
      <c r="N133" t="inlineStr">
        <is>
          <t>M</t>
        </is>
      </c>
      <c r="O133" t="inlineStr">
        <is>
          <t>20230926</t>
        </is>
      </c>
      <c r="P133" t="inlineStr">
        <is>
          <t>Jawa Timur</t>
        </is>
      </c>
      <c r="Q133" t="inlineStr"/>
    </row>
    <row r="134">
      <c r="A134" t="inlineStr">
        <is>
          <t>SYAMIRA ENGINEERING CONSTRUCTION</t>
        </is>
      </c>
      <c r="B134" t="inlineStr">
        <is>
          <t>Kota Jambi</t>
        </is>
      </c>
      <c r="C134" t="inlineStr">
        <is>
          <t>082182982685</t>
        </is>
      </c>
      <c r="D134" t="inlineStr">
        <is>
          <t>cv.syamira.engineering@gmail.com</t>
        </is>
      </c>
      <c r="E134" t="inlineStr">
        <is>
          <t>https://lpjk.pu.go.id/search-badan-usaha-detail/ZWkzSDNUZ3BkOFhxeiszVVoxLzliQT09</t>
        </is>
      </c>
      <c r="F134" t="n">
        <v>1</v>
      </c>
      <c r="G134" t="inlineStr">
        <is>
          <t>BS001</t>
        </is>
      </c>
      <c r="H134" t="inlineStr">
        <is>
          <t>18 Juni 2020</t>
        </is>
      </c>
      <c r="I134" s="2" t="n">
        <v>46305</v>
      </c>
      <c r="J134" t="inlineStr">
        <is>
          <t>Disetujui</t>
        </is>
      </c>
      <c r="K134" t="n">
        <v>30</v>
      </c>
      <c r="L134" t="inlineStr">
        <is>
          <t>10 Oktober 2026</t>
        </is>
      </c>
      <c r="M134" t="inlineStr">
        <is>
          <t>Konstruksi Bangunan Sipil Jalan</t>
        </is>
      </c>
      <c r="N134" t="inlineStr">
        <is>
          <t>K</t>
        </is>
      </c>
      <c r="O134" t="inlineStr">
        <is>
          <t>20231005</t>
        </is>
      </c>
      <c r="P134" t="inlineStr">
        <is>
          <t>Jambi</t>
        </is>
      </c>
      <c r="Q134" t="inlineStr"/>
    </row>
    <row r="135">
      <c r="A135" t="inlineStr">
        <is>
          <t>TANI HARAPAN</t>
        </is>
      </c>
      <c r="B135" t="inlineStr">
        <is>
          <t>Kab. Langkat</t>
        </is>
      </c>
      <c r="C135" t="inlineStr">
        <is>
          <t>081263097766</t>
        </is>
      </c>
      <c r="D135" t="inlineStr">
        <is>
          <t>cv.taniharapan@yahoo.com</t>
        </is>
      </c>
      <c r="E135" t="inlineStr">
        <is>
          <t>https://lpjk.pu.go.id/search-badan-usaha-detail/N05TaDNxSjF2UFkxWC9RcEpQa2x6dz09</t>
        </is>
      </c>
      <c r="F135" t="n">
        <v>2</v>
      </c>
      <c r="G135" t="inlineStr">
        <is>
          <t>BG005, BG006</t>
        </is>
      </c>
      <c r="H135" t="inlineStr">
        <is>
          <t>27 Juni 2007</t>
        </is>
      </c>
      <c r="I135" s="2" t="n">
        <v>46305</v>
      </c>
      <c r="J135" t="inlineStr">
        <is>
          <t>Disetujui</t>
        </is>
      </c>
      <c r="K135" t="n">
        <v>30</v>
      </c>
      <c r="L135" t="inlineStr">
        <is>
          <t>10 Oktober 2026</t>
        </is>
      </c>
      <c r="M135" t="inlineStr">
        <is>
          <t>Konstruksi Gedung Kesehatan, Konstruksi Gedung Pendidikan</t>
        </is>
      </c>
      <c r="N135" t="inlineStr">
        <is>
          <t>K</t>
        </is>
      </c>
      <c r="O135" t="inlineStr">
        <is>
          <t>20231011</t>
        </is>
      </c>
      <c r="P135" t="inlineStr">
        <is>
          <t>Sumatera Utara</t>
        </is>
      </c>
      <c r="Q135" t="inlineStr"/>
    </row>
    <row r="136">
      <c r="A136" t="inlineStr">
        <is>
          <t>TIANG SEBATANG</t>
        </is>
      </c>
      <c r="B136" t="inlineStr">
        <is>
          <t>Kab. Tanjung Jabung Barat</t>
        </is>
      </c>
      <c r="C136" t="inlineStr">
        <is>
          <t>1210000332422</t>
        </is>
      </c>
      <c r="D136" t="inlineStr">
        <is>
          <t>nusi1507@gmail.com</t>
        </is>
      </c>
      <c r="E136" t="inlineStr">
        <is>
          <t>https://lpjk.pu.go.id/search-badan-usaha-detail/a2VrOU1NTzNaQzFSa3ZxcU5Jb1FEUT09</t>
        </is>
      </c>
      <c r="F136" t="n">
        <v>1</v>
      </c>
      <c r="G136" t="inlineStr">
        <is>
          <t>BS001</t>
        </is>
      </c>
      <c r="H136" t="inlineStr">
        <is>
          <t>8 Januari 2013</t>
        </is>
      </c>
      <c r="I136" s="2" t="n">
        <v>46305</v>
      </c>
      <c r="J136" t="inlineStr">
        <is>
          <t>Disetujui</t>
        </is>
      </c>
      <c r="K136" t="n">
        <v>30</v>
      </c>
      <c r="L136" t="inlineStr">
        <is>
          <t>10 Oktober 2026</t>
        </is>
      </c>
      <c r="M136" t="inlineStr">
        <is>
          <t>Konstruksi Bangunan Sipil Jalan</t>
        </is>
      </c>
      <c r="N136" t="inlineStr">
        <is>
          <t>K</t>
        </is>
      </c>
      <c r="O136" t="inlineStr">
        <is>
          <t>20230926</t>
        </is>
      </c>
      <c r="P136" t="inlineStr">
        <is>
          <t>Jambi</t>
        </is>
      </c>
      <c r="Q136" t="inlineStr"/>
    </row>
    <row r="137">
      <c r="A137" t="inlineStr">
        <is>
          <t>TIGA JAYA KENCANA</t>
        </is>
      </c>
      <c r="B137" t="inlineStr">
        <is>
          <t>Kota Bandar Lampung</t>
        </is>
      </c>
      <c r="C137" t="inlineStr">
        <is>
          <t>081377922228</t>
        </is>
      </c>
      <c r="D137" t="inlineStr">
        <is>
          <t>tigajayakencana2015@gmail.com</t>
        </is>
      </c>
      <c r="E137" t="inlineStr">
        <is>
          <t>https://lpjk.pu.go.id/search-badan-usaha-detail/NEtJa0xxYWlxTkpRTEJOTXdrU1o5QT09</t>
        </is>
      </c>
      <c r="F137" t="n">
        <v>1</v>
      </c>
      <c r="G137" t="inlineStr">
        <is>
          <t>BG004</t>
        </is>
      </c>
      <c r="H137" t="inlineStr">
        <is>
          <t>22 Juni 2012</t>
        </is>
      </c>
      <c r="I137" s="2" t="n">
        <v>46305</v>
      </c>
      <c r="J137" t="inlineStr">
        <is>
          <t>Disetujui</t>
        </is>
      </c>
      <c r="K137" t="n">
        <v>30</v>
      </c>
      <c r="L137" t="inlineStr">
        <is>
          <t>10 Oktober 2026</t>
        </is>
      </c>
      <c r="M137" t="inlineStr">
        <is>
          <t>Konstruksi Gedung Perbelanjaan</t>
        </is>
      </c>
      <c r="N137" t="inlineStr">
        <is>
          <t>M</t>
        </is>
      </c>
      <c r="O137" t="inlineStr">
        <is>
          <t>20231009</t>
        </is>
      </c>
      <c r="P137" t="inlineStr">
        <is>
          <t>Lampung</t>
        </is>
      </c>
      <c r="Q137" t="inlineStr"/>
    </row>
    <row r="138">
      <c r="A138" t="inlineStr">
        <is>
          <t>TIGAMITRA ADHI PERKASA</t>
        </is>
      </c>
      <c r="B138" t="inlineStr">
        <is>
          <t>Kota Tangerang</t>
        </is>
      </c>
      <c r="C138" t="inlineStr">
        <is>
          <t>081295343195</t>
        </is>
      </c>
      <c r="D138" t="inlineStr">
        <is>
          <t>edward.prakarsaa@gmail.com</t>
        </is>
      </c>
      <c r="E138" t="inlineStr">
        <is>
          <t>https://lpjk.pu.go.id/search-badan-usaha-detail/U2FGR2dkeVArZDhaQ3M0ekVZRkFXQT09</t>
        </is>
      </c>
      <c r="F138" t="n">
        <v>4</v>
      </c>
      <c r="G138" t="inlineStr">
        <is>
          <t>BG001, BG002, BG003, BG004</t>
        </is>
      </c>
      <c r="H138" t="inlineStr">
        <is>
          <t>8 Mei 2020</t>
        </is>
      </c>
      <c r="I138" s="2" t="n">
        <v>46305</v>
      </c>
      <c r="J138" t="inlineStr">
        <is>
          <t>Disetujui</t>
        </is>
      </c>
      <c r="K138" t="n">
        <v>30</v>
      </c>
      <c r="L138" t="inlineStr">
        <is>
          <t>10 Oktober 2026</t>
        </is>
      </c>
      <c r="M138" t="inlineStr">
        <is>
          <t>Konstruksi Gedung Hunian, Konstruksi Gedung Industri, Konstruksi Gedung Perbelanjaan, Konstruksi Gedung Perkantoran</t>
        </is>
      </c>
      <c r="N138" t="inlineStr">
        <is>
          <t>K</t>
        </is>
      </c>
      <c r="O138" t="inlineStr">
        <is>
          <t>20230919</t>
        </is>
      </c>
      <c r="P138" t="inlineStr">
        <is>
          <t>Banten</t>
        </is>
      </c>
      <c r="Q138" t="inlineStr"/>
    </row>
    <row r="139">
      <c r="A139" t="inlineStr">
        <is>
          <t>TRIE MUKTY PERTAMA PUTRA</t>
        </is>
      </c>
      <c r="B139" t="inlineStr">
        <is>
          <t>Kota Tasikmalaya</t>
        </is>
      </c>
      <c r="C139" t="inlineStr">
        <is>
          <t>(0265) 5301387</t>
        </is>
      </c>
      <c r="D139" t="inlineStr">
        <is>
          <t>tmpp_group@yahoo.com</t>
        </is>
      </c>
      <c r="E139" t="inlineStr">
        <is>
          <t>https://lpjk.pu.go.id/search-badan-usaha-detail/MS9IN0RjVVpmSkdtSnpEOTZZMFoyUT09</t>
        </is>
      </c>
      <c r="F139" t="n">
        <v>2</v>
      </c>
      <c r="G139" t="inlineStr">
        <is>
          <t>BS002</t>
        </is>
      </c>
      <c r="H139" t="inlineStr">
        <is>
          <t>15 Oktober 1996</t>
        </is>
      </c>
      <c r="I139" s="2" t="n">
        <v>46305</v>
      </c>
      <c r="J139" t="inlineStr">
        <is>
          <t>Disetujui</t>
        </is>
      </c>
      <c r="K139" t="n">
        <v>30</v>
      </c>
      <c r="L139" t="inlineStr">
        <is>
          <t>10 Oktober 2026</t>
        </is>
      </c>
      <c r="M139" t="inlineStr">
        <is>
          <t>Bangunan Sipil Jembatan, Jalan Layang, Fly Over, dan Underpass</t>
        </is>
      </c>
      <c r="N139" t="inlineStr">
        <is>
          <t>B</t>
        </is>
      </c>
      <c r="O139" t="inlineStr">
        <is>
          <t>20230922</t>
        </is>
      </c>
      <c r="P139" t="inlineStr">
        <is>
          <t>Jawa Barat</t>
        </is>
      </c>
      <c r="Q139" t="inlineStr"/>
    </row>
    <row r="140">
      <c r="A140" t="inlineStr">
        <is>
          <t>TUAN RUMA HAPAL</t>
        </is>
      </c>
      <c r="B140" t="inlineStr">
        <is>
          <t>Kota Pematangsiantar</t>
        </is>
      </c>
      <c r="C140" t="inlineStr">
        <is>
          <t>085361619593</t>
        </is>
      </c>
      <c r="D140" t="inlineStr">
        <is>
          <t>tuanrumahapal@gmail.com</t>
        </is>
      </c>
      <c r="E140" t="inlineStr">
        <is>
          <t>https://lpjk.pu.go.id/search-badan-usaha-detail/d2I1THYydDB1WTZTUmFKSXlsTEg4Zz09</t>
        </is>
      </c>
      <c r="F140" t="n">
        <v>2</v>
      </c>
      <c r="G140" t="inlineStr">
        <is>
          <t>BS004</t>
        </is>
      </c>
      <c r="H140" t="inlineStr">
        <is>
          <t>7 Januari 2022</t>
        </is>
      </c>
      <c r="I140" s="2" t="n">
        <v>46305</v>
      </c>
      <c r="J140" t="inlineStr">
        <is>
          <t>Disetujui</t>
        </is>
      </c>
      <c r="K140" t="n">
        <v>30</v>
      </c>
      <c r="L140" t="inlineStr">
        <is>
          <t>10 Oktober 2026</t>
        </is>
      </c>
      <c r="M140" t="inlineStr">
        <is>
          <t>Konstruksi Jaringan Irigasi dan Drainase</t>
        </is>
      </c>
      <c r="N140" t="inlineStr">
        <is>
          <t>K</t>
        </is>
      </c>
      <c r="O140" t="inlineStr">
        <is>
          <t>20231005</t>
        </is>
      </c>
      <c r="P140" t="inlineStr">
        <is>
          <t>Sumatera Utara</t>
        </is>
      </c>
      <c r="Q140" t="inlineStr"/>
    </row>
    <row r="141">
      <c r="A141" t="inlineStr">
        <is>
          <t>TUNAS BAROKAH RIZKY</t>
        </is>
      </c>
      <c r="B141" t="inlineStr">
        <is>
          <t>Kab. Lombok Tengah</t>
        </is>
      </c>
      <c r="C141" t="inlineStr">
        <is>
          <t>081999349268</t>
        </is>
      </c>
      <c r="D141" t="inlineStr">
        <is>
          <t>tunasbarokahrzky@gmail.com</t>
        </is>
      </c>
      <c r="E141" t="inlineStr">
        <is>
          <t>https://lpjk.pu.go.id/search-badan-usaha-detail/MDNaU2svRkJPTVJaRU9BeG1NYVl6Zz09</t>
        </is>
      </c>
      <c r="F141" t="n">
        <v>4</v>
      </c>
      <c r="G141" t="inlineStr">
        <is>
          <t>BG001, BG005, BG006, BS001</t>
        </is>
      </c>
      <c r="H141" t="inlineStr">
        <is>
          <t>13 Desember 2021</t>
        </is>
      </c>
      <c r="I141" s="2" t="n">
        <v>46305</v>
      </c>
      <c r="J141" t="inlineStr">
        <is>
          <t>Pencabutan</t>
        </is>
      </c>
      <c r="K141" t="n">
        <v>30</v>
      </c>
      <c r="L141" t="inlineStr">
        <is>
          <t>10 Oktober 2026</t>
        </is>
      </c>
      <c r="M141" t="inlineStr">
        <is>
          <t>Konstruksi Bangunan Sipil Jalan, Konstruksi Gedung Hunian, Konstruksi Gedung Kesehatan, Konstruksi Gedung Pendidikan</t>
        </is>
      </c>
      <c r="N141" t="inlineStr">
        <is>
          <t>K</t>
        </is>
      </c>
      <c r="O141" t="inlineStr">
        <is>
          <t>20231003, 20231005, 20231009</t>
        </is>
      </c>
      <c r="P141" t="inlineStr">
        <is>
          <t>Nusa Tenggara Barat</t>
        </is>
      </c>
      <c r="Q141" t="inlineStr"/>
    </row>
    <row r="142">
      <c r="A142" t="inlineStr">
        <is>
          <t>UTAMA JAYA KONSTRUKSI</t>
        </is>
      </c>
      <c r="B142" t="inlineStr">
        <is>
          <t>Kota Banjarmasin</t>
        </is>
      </c>
      <c r="C142" t="inlineStr">
        <is>
          <t>085249318777</t>
        </is>
      </c>
      <c r="D142" t="inlineStr">
        <is>
          <t>cvutamajayakonstruksi@gmail.com</t>
        </is>
      </c>
      <c r="E142" t="inlineStr">
        <is>
          <t>https://lpjk.pu.go.id/search-badan-usaha-detail/cjlSbWs0MHpsa3U4OHFIeDU3Q05CQT09</t>
        </is>
      </c>
      <c r="F142" t="n">
        <v>1</v>
      </c>
      <c r="G142" t="inlineStr">
        <is>
          <t>KK001</t>
        </is>
      </c>
      <c r="H142" t="inlineStr">
        <is>
          <t>10 November 2012</t>
        </is>
      </c>
      <c r="I142" s="2" t="n">
        <v>46305</v>
      </c>
      <c r="J142" t="inlineStr">
        <is>
          <t>Disetujui</t>
        </is>
      </c>
      <c r="K142" t="n">
        <v>30</v>
      </c>
      <c r="L142" t="inlineStr">
        <is>
          <t>10 Oktober 2026</t>
        </is>
      </c>
      <c r="M142" t="inlineStr">
        <is>
          <t>Pondasi Konstruksi</t>
        </is>
      </c>
      <c r="N142" t="inlineStr">
        <is>
          <t>Spesialis</t>
        </is>
      </c>
      <c r="O142" t="inlineStr">
        <is>
          <t>20230104</t>
        </is>
      </c>
      <c r="P142" t="inlineStr">
        <is>
          <t>Kalimantan Selatan</t>
        </is>
      </c>
      <c r="Q142" t="inlineStr"/>
    </row>
    <row r="143">
      <c r="A143" t="inlineStr">
        <is>
          <t>VISI BERKARYA</t>
        </is>
      </c>
      <c r="B143" t="inlineStr">
        <is>
          <t>Kota Ternate</t>
        </is>
      </c>
      <c r="C143" t="inlineStr">
        <is>
          <t>081347149696</t>
        </is>
      </c>
      <c r="D143" t="inlineStr">
        <is>
          <t>cv.visiberkarya@gmail.com</t>
        </is>
      </c>
      <c r="E143" t="inlineStr">
        <is>
          <t>https://lpjk.pu.go.id/search-badan-usaha-detail/d0RFbUg3dCt5VHR1SkhTRUtydWJFZz09</t>
        </is>
      </c>
      <c r="F143" t="n">
        <v>2</v>
      </c>
      <c r="G143" t="inlineStr">
        <is>
          <t>BG002, BG009</t>
        </is>
      </c>
      <c r="H143" t="inlineStr">
        <is>
          <t>21 Februari 2023</t>
        </is>
      </c>
      <c r="I143" s="2" t="n">
        <v>46305</v>
      </c>
      <c r="J143" t="inlineStr">
        <is>
          <t>Disetujui</t>
        </is>
      </c>
      <c r="K143" t="n">
        <v>30</v>
      </c>
      <c r="L143" t="inlineStr">
        <is>
          <t>10 Oktober 2026</t>
        </is>
      </c>
      <c r="M143" t="inlineStr">
        <is>
          <t>Konstruksi Gedung Lainnya, Konstruksi Gedung Perkantoran</t>
        </is>
      </c>
      <c r="N143" t="inlineStr">
        <is>
          <t>K</t>
        </is>
      </c>
      <c r="O143" t="inlineStr">
        <is>
          <t>20231003</t>
        </is>
      </c>
      <c r="P143" t="inlineStr">
        <is>
          <t>Maluku Utara</t>
        </is>
      </c>
      <c r="Q143" t="inlineStr"/>
    </row>
    <row r="144">
      <c r="A144" t="inlineStr">
        <is>
          <t>YASA KURNIA UTAMA</t>
        </is>
      </c>
      <c r="B144" t="inlineStr">
        <is>
          <t>Kab. Murung Raya</t>
        </is>
      </c>
      <c r="C144" t="inlineStr">
        <is>
          <t>081258328682</t>
        </is>
      </c>
      <c r="D144" t="inlineStr">
        <is>
          <t>cv.yasakurniautama@gmail.com</t>
        </is>
      </c>
      <c r="E144" t="inlineStr">
        <is>
          <t>https://lpjk.pu.go.id/search-badan-usaha-detail/UXo0NnRqQ21EYjFkZ3dpTVZrODJudz09</t>
        </is>
      </c>
      <c r="F144" t="n">
        <v>1</v>
      </c>
      <c r="G144" t="inlineStr">
        <is>
          <t>BG006</t>
        </is>
      </c>
      <c r="H144" t="inlineStr">
        <is>
          <t>7 September 2023</t>
        </is>
      </c>
      <c r="I144" s="2" t="n">
        <v>46305</v>
      </c>
      <c r="J144" t="inlineStr">
        <is>
          <t>Disetujui</t>
        </is>
      </c>
      <c r="K144" t="n">
        <v>30</v>
      </c>
      <c r="L144" t="inlineStr">
        <is>
          <t>10 Oktober 2026</t>
        </is>
      </c>
      <c r="M144" t="inlineStr">
        <is>
          <t>Konstruksi Gedung Pendidikan</t>
        </is>
      </c>
      <c r="N144" t="inlineStr">
        <is>
          <t>K</t>
        </is>
      </c>
      <c r="O144" t="inlineStr">
        <is>
          <t>20231009</t>
        </is>
      </c>
      <c r="P144" t="inlineStr">
        <is>
          <t>Kalimantan Tengah</t>
        </is>
      </c>
      <c r="Q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2026-09-10T02:19:43Z</dcterms:created>
  <dcterms:modified xsi:type="dcterms:W3CDTF">2026-09-10T02:19:43Z</dcterms:modified>
</cp:coreProperties>
</file>