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90_Hari_Expired" sheetId="1" state="visible" r:id="rId1"/>
    <sheet name="60_Hari_Expired" sheetId="2" state="visible" r:id="rId2"/>
    <sheet name="30_Hari_Expired" sheetId="3" state="visible" r:id="rId3"/>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color rgb="00FFFFFF"/>
    </font>
    <font>
      <color rgb="000000FF"/>
      <u val="single"/>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164"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
  <sheetViews>
    <sheetView workbookViewId="0">
      <selection activeCell="A1" sqref="A1"/>
    </sheetView>
  </sheetViews>
  <sheetFormatPr baseColWidth="8" defaultRowHeight="15"/>
  <cols>
    <col width="18" customWidth="1" min="1" max="1"/>
    <col width="20" customWidth="1" min="2" max="2"/>
    <col width="14" customWidth="1" min="3" max="3"/>
    <col width="28" customWidth="1" min="4" max="4"/>
    <col width="50" customWidth="1" min="5" max="5"/>
    <col width="18" customWidth="1" min="6" max="6"/>
    <col width="21" customWidth="1" min="7" max="7"/>
    <col width="20" customWidth="1" min="8" max="8"/>
    <col width="28" customWidth="1" min="9" max="9"/>
    <col width="12" customWidth="1" min="10" max="10"/>
    <col width="11" customWidth="1" min="11" max="11"/>
    <col width="19" customWidth="1" min="12" max="12"/>
    <col width="50" customWidth="1" min="13" max="13"/>
    <col width="13" customWidth="1" min="14" max="14"/>
    <col width="19" customWidth="1" min="15" max="15"/>
    <col width="18" customWidth="1" min="16" max="16"/>
    <col width="15"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BUMI PUNDI KARSA</t>
        </is>
      </c>
      <c r="B2" t="inlineStr">
        <is>
          <t>Kab. Gowa</t>
        </is>
      </c>
      <c r="C2" t="inlineStr">
        <is>
          <t>081242215789</t>
        </is>
      </c>
      <c r="D2" t="inlineStr">
        <is>
          <t>bumipundikarsa1@gmail.com</t>
        </is>
      </c>
      <c r="E2" t="inlineStr">
        <is>
          <t>https://lpjk.pu.go.id/search-badan-usaha-detail/ekk1ZUNWNW1WMCt2M2p4NXQwTWV5Zz09</t>
        </is>
      </c>
      <c r="F2" t="n">
        <v>1</v>
      </c>
      <c r="G2" t="inlineStr">
        <is>
          <t>BS001</t>
        </is>
      </c>
      <c r="H2" t="inlineStr">
        <is>
          <t>28 Maret 2022</t>
        </is>
      </c>
      <c r="I2" s="2" t="n">
        <v>46287</v>
      </c>
      <c r="J2" t="inlineStr">
        <is>
          <t>Disetujui</t>
        </is>
      </c>
      <c r="K2" t="n">
        <v>90</v>
      </c>
      <c r="L2" t="inlineStr">
        <is>
          <t>22 September 2026</t>
        </is>
      </c>
      <c r="M2" t="inlineStr">
        <is>
          <t>Konstruksi Bangunan Sipil Jalan</t>
        </is>
      </c>
      <c r="N2" t="inlineStr">
        <is>
          <t>K</t>
        </is>
      </c>
      <c r="O2" t="inlineStr">
        <is>
          <t>20230906</t>
        </is>
      </c>
      <c r="P2" t="inlineStr">
        <is>
          <t>Sulawesi Selatan</t>
        </is>
      </c>
      <c r="Q2" t="inlineStr"/>
    </row>
    <row r="3">
      <c r="A3" t="inlineStr">
        <is>
          <t>SAPTA TRI JAYA</t>
        </is>
      </c>
      <c r="B3" t="inlineStr">
        <is>
          <t>Kab. Malang</t>
        </is>
      </c>
      <c r="C3" t="inlineStr">
        <is>
          <t>087773182543</t>
        </is>
      </c>
      <c r="D3" t="inlineStr">
        <is>
          <t>cv.saptatrijaya@gmail.com</t>
        </is>
      </c>
      <c r="E3" t="inlineStr">
        <is>
          <t>https://lpjk.pu.go.id/search-badan-usaha-detail/OHFJd092SDJUU1hiTVZudy9YV2tXZz09</t>
        </is>
      </c>
      <c r="F3" t="n">
        <v>1</v>
      </c>
      <c r="G3" t="inlineStr">
        <is>
          <t>BG001</t>
        </is>
      </c>
      <c r="H3" t="inlineStr">
        <is>
          <t>10 Desember 2020</t>
        </is>
      </c>
      <c r="I3" s="2" t="n">
        <v>46287</v>
      </c>
      <c r="J3" t="inlineStr">
        <is>
          <t>Pencabutan</t>
        </is>
      </c>
      <c r="K3" t="n">
        <v>90</v>
      </c>
      <c r="L3" t="inlineStr">
        <is>
          <t>22 September 2026</t>
        </is>
      </c>
      <c r="M3" t="inlineStr">
        <is>
          <t>Konstruksi Gedung Hunian</t>
        </is>
      </c>
      <c r="N3" t="inlineStr">
        <is>
          <t>K</t>
        </is>
      </c>
      <c r="O3" t="inlineStr">
        <is>
          <t>20230920</t>
        </is>
      </c>
      <c r="P3" t="inlineStr">
        <is>
          <t>Jawa Timur</t>
        </is>
      </c>
      <c r="Q3" t="inlineStr"/>
    </row>
    <row r="4">
      <c r="A4" t="inlineStr">
        <is>
          <t>TATA HIJAU ASRI</t>
        </is>
      </c>
      <c r="B4" t="inlineStr">
        <is>
          <t>Kab. Bandung Barat</t>
        </is>
      </c>
      <c r="C4" t="inlineStr">
        <is>
          <t>02287801334</t>
        </is>
      </c>
      <c r="D4" t="inlineStr">
        <is>
          <t>tatahijaufinance@gmail.com</t>
        </is>
      </c>
      <c r="E4" t="inlineStr">
        <is>
          <t>https://lpjk.pu.go.id/search-badan-usaha-detail/ZkV3cHE0b3loNnVDNnhnK1VMSTRCcWtaRG5rQ0syTkppazl3b3lsTnFYZz0</t>
        </is>
      </c>
      <c r="F4" t="n">
        <v>1</v>
      </c>
      <c r="G4" t="inlineStr">
        <is>
          <t>PB010</t>
        </is>
      </c>
      <c r="H4" t="inlineStr">
        <is>
          <t>16 Mei 2018</t>
        </is>
      </c>
      <c r="I4" s="2" t="n">
        <v>46287</v>
      </c>
      <c r="J4" t="inlineStr">
        <is>
          <t>Disetujui</t>
        </is>
      </c>
      <c r="K4" t="n">
        <v>90</v>
      </c>
      <c r="L4" t="inlineStr">
        <is>
          <t>22 September 2026</t>
        </is>
      </c>
      <c r="M4" t="inlineStr">
        <is>
          <t>Pekerjaan Lanskap, Pertamanan, dan Penanaman Vegetasi</t>
        </is>
      </c>
      <c r="N4" t="inlineStr">
        <is>
          <t>Spesialis</t>
        </is>
      </c>
      <c r="O4" t="inlineStr">
        <is>
          <t>20230922</t>
        </is>
      </c>
      <c r="P4" t="inlineStr">
        <is>
          <t>Jawa Barat</t>
        </is>
      </c>
      <c r="Q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21"/>
  <sheetViews>
    <sheetView workbookViewId="0">
      <selection activeCell="A1" sqref="A1"/>
    </sheetView>
  </sheetViews>
  <sheetFormatPr baseColWidth="8" defaultRowHeight="15"/>
  <cols>
    <col width="31" customWidth="1" min="1" max="1"/>
    <col width="27" customWidth="1" min="2" max="2"/>
    <col width="16" customWidth="1" min="3" max="3"/>
    <col width="42" customWidth="1" min="4" max="4"/>
    <col width="50" customWidth="1" min="5" max="5"/>
    <col width="18" customWidth="1" min="6" max="6"/>
    <col width="42" customWidth="1" min="7" max="7"/>
    <col width="20" customWidth="1" min="8" max="8"/>
    <col width="28" customWidth="1" min="9" max="9"/>
    <col width="23" customWidth="1" min="10" max="10"/>
    <col width="11" customWidth="1" min="11" max="11"/>
    <col width="17" customWidth="1" min="12" max="12"/>
    <col width="50" customWidth="1" min="13" max="13"/>
    <col width="14" customWidth="1" min="14" max="14"/>
    <col width="30" customWidth="1" min="15" max="15"/>
    <col width="21"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BANJAR SAGU-SAGU</t>
        </is>
      </c>
      <c r="B2" t="inlineStr">
        <is>
          <t>Kota Bekasi</t>
        </is>
      </c>
      <c r="C2" t="inlineStr">
        <is>
          <t>02182428634</t>
        </is>
      </c>
      <c r="D2" t="inlineStr">
        <is>
          <t>banjar.sagusagu@yahoo.com</t>
        </is>
      </c>
      <c r="E2" t="inlineStr">
        <is>
          <t>https://lpjk.pu.go.id/search-badan-usaha-detail/V0Z6WVIyTUhHTHhOblc1V0I5b1lJUT09</t>
        </is>
      </c>
      <c r="F2" t="n">
        <v>1</v>
      </c>
      <c r="G2" t="inlineStr">
        <is>
          <t>BG009</t>
        </is>
      </c>
      <c r="H2" t="inlineStr">
        <is>
          <t>8 Januari 2015</t>
        </is>
      </c>
      <c r="I2" s="2" t="n">
        <v>46257</v>
      </c>
      <c r="J2" t="inlineStr">
        <is>
          <t>Disetujui</t>
        </is>
      </c>
      <c r="K2" t="n">
        <v>60</v>
      </c>
      <c r="L2" t="inlineStr">
        <is>
          <t>23 Agustus 2026</t>
        </is>
      </c>
      <c r="M2" t="inlineStr">
        <is>
          <t>Konstruksi Gedung Lainnya</t>
        </is>
      </c>
      <c r="N2" t="inlineStr">
        <is>
          <t>K</t>
        </is>
      </c>
      <c r="O2" t="inlineStr">
        <is>
          <t>20230822</t>
        </is>
      </c>
      <c r="P2" t="inlineStr">
        <is>
          <t>Jawa Barat</t>
        </is>
      </c>
      <c r="Q2" t="inlineStr"/>
    </row>
    <row r="3">
      <c r="A3" t="inlineStr">
        <is>
          <t>DARMAGA II</t>
        </is>
      </c>
      <c r="B3" t="inlineStr">
        <is>
          <t>Kab. Bogor</t>
        </is>
      </c>
      <c r="C3" t="inlineStr">
        <is>
          <t>02518423850</t>
        </is>
      </c>
      <c r="D3" t="inlineStr">
        <is>
          <t>darmaga2_cv@yahoo.com</t>
        </is>
      </c>
      <c r="E3" t="inlineStr">
        <is>
          <t>https://lpjk.pu.go.id/search-badan-usaha-detail/bTVLSWxwU0ZQNEplanJlNnhCYUVJdz09</t>
        </is>
      </c>
      <c r="F3" t="n">
        <v>10</v>
      </c>
      <c r="G3" t="inlineStr">
        <is>
          <t>BG001, BG002, BG004, BG009, BS001</t>
        </is>
      </c>
      <c r="H3" t="inlineStr">
        <is>
          <t>9 November 1974</t>
        </is>
      </c>
      <c r="I3" s="2" t="n">
        <v>46257</v>
      </c>
      <c r="J3" t="inlineStr">
        <is>
          <t>Disetujui</t>
        </is>
      </c>
      <c r="K3" t="n">
        <v>60</v>
      </c>
      <c r="L3" t="inlineStr">
        <is>
          <t>23 Agustus 2026</t>
        </is>
      </c>
      <c r="M3" t="inlineStr">
        <is>
          <t>Konstruksi Bangunan Sipil Jalan, Konstruksi Gedung Hunian, Konstruksi Gedung Lainnya, Konstruksi Gedung Perbelanjaan, Konstruksi Gedung Perkantoran</t>
        </is>
      </c>
      <c r="N3" t="inlineStr">
        <is>
          <t>K</t>
        </is>
      </c>
      <c r="O3" t="inlineStr">
        <is>
          <t>20230421, 20230510, 20230612</t>
        </is>
      </c>
      <c r="P3" t="inlineStr">
        <is>
          <t>Jawa Barat</t>
        </is>
      </c>
      <c r="Q3" s="3">
        <f>HYPERLINK("https://wa.me/622518423850?text=*[PENGINGAT MASA BERLAKU SBU DARMAGA II]*%0A%0AYth. Pimpinan DARMAGA II,%0AMohon izin menginformasikan status SBU Anda di sistem LPJK:%0A%0A📄 SBU: BG001, BG002, BG004, BG009, BS001%0A📅 Expired: 23 Agustus 2026 (60 Hari Lagi)%0A%0AKami tim PT. ESDEA Assistance Management siap men-support proses perpanjangan segera agar administrasi proyek tidak terhambat%0A%0AApakah boleh saya bantu siapkan estimasi biaya dan waktu pengerjaannya?.", "Hubungi")</f>
        <v/>
      </c>
    </row>
    <row r="4">
      <c r="A4" t="inlineStr">
        <is>
          <t>DHIRAJA FATH</t>
        </is>
      </c>
      <c r="B4" t="inlineStr">
        <is>
          <t>Kab. Bogor</t>
        </is>
      </c>
      <c r="C4" t="inlineStr">
        <is>
          <t>08111113725</t>
        </is>
      </c>
      <c r="D4" t="inlineStr">
        <is>
          <t>cv.dhirajafath@yahoo.co.id</t>
        </is>
      </c>
      <c r="E4" t="inlineStr">
        <is>
          <t>https://lpjk.pu.go.id/search-badan-usaha-detail/Q2poSG1jTm8vWEJwdytxa0xaSTQvUT09</t>
        </is>
      </c>
      <c r="F4" t="n">
        <v>2</v>
      </c>
      <c r="G4" t="inlineStr">
        <is>
          <t>BG001</t>
        </is>
      </c>
      <c r="H4" t="inlineStr">
        <is>
          <t>1 April 1998</t>
        </is>
      </c>
      <c r="I4" s="2" t="n">
        <v>46257</v>
      </c>
      <c r="J4" t="inlineStr">
        <is>
          <t>Disetujui</t>
        </is>
      </c>
      <c r="K4" t="n">
        <v>60</v>
      </c>
      <c r="L4" t="inlineStr">
        <is>
          <t>23 Agustus 2026</t>
        </is>
      </c>
      <c r="M4" t="inlineStr">
        <is>
          <t>Konstruksi Gedung Hunian</t>
        </is>
      </c>
      <c r="N4" t="inlineStr">
        <is>
          <t>K</t>
        </is>
      </c>
      <c r="O4" t="inlineStr">
        <is>
          <t>20230819</t>
        </is>
      </c>
      <c r="P4" t="inlineStr">
        <is>
          <t>Jawa Barat</t>
        </is>
      </c>
      <c r="Q4" s="3">
        <f>HYPERLINK("https://wa.me/628111113725?text=*[PENGINGAT MASA BERLAKU SBU DHIRAJA FATH]*%0A%0AYth. Pimpinan DHIRAJA FATH,%0AMohon izin menginformasikan status SBU Anda di sistem LPJK:%0A%0A📄 SBU: BG001%0A📅 Expired: 23 Agustus 2026 (60 Hari Lagi)%0A%0AKami tim PT. ESDEA Assistance Management siap men-support proses perpanjangan segera agar administrasi proyek tidak terhambat%0A%0AApakah boleh saya bantu siapkan estimasi biaya dan waktu pengerjaannya?.", "Hubungi")</f>
        <v/>
      </c>
    </row>
    <row r="5">
      <c r="A5" t="inlineStr">
        <is>
          <t>DINGSHIN INDO BANGUN</t>
        </is>
      </c>
      <c r="B5" t="inlineStr">
        <is>
          <t>Kota Bekasi</t>
        </is>
      </c>
      <c r="C5" t="inlineStr">
        <is>
          <t>081367897760</t>
        </is>
      </c>
      <c r="D5" t="inlineStr">
        <is>
          <t>ptdingshin@gmail.com</t>
        </is>
      </c>
      <c r="E5" t="inlineStr">
        <is>
          <t>https://lpjk.pu.go.id/search-badan-usaha-detail/Q2V0eGJUQXNZdjRDNUFpcUplU3pnUT09</t>
        </is>
      </c>
      <c r="F5" t="n">
        <v>2</v>
      </c>
      <c r="G5" t="inlineStr">
        <is>
          <t>BG003, BG009</t>
        </is>
      </c>
      <c r="H5" t="inlineStr">
        <is>
          <t>20 Desember 2019</t>
        </is>
      </c>
      <c r="I5" s="2" t="n">
        <v>46257</v>
      </c>
      <c r="J5" t="inlineStr">
        <is>
          <t>Disetujui</t>
        </is>
      </c>
      <c r="K5" t="n">
        <v>60</v>
      </c>
      <c r="L5" t="inlineStr">
        <is>
          <t>23 Agustus 2026</t>
        </is>
      </c>
      <c r="M5" t="inlineStr">
        <is>
          <t>Konstruksi Gedung Industri, Konstruksi Gedung Lainnya</t>
        </is>
      </c>
      <c r="N5" t="inlineStr">
        <is>
          <t>M</t>
        </is>
      </c>
      <c r="O5" t="inlineStr">
        <is>
          <t>20230725</t>
        </is>
      </c>
      <c r="P5" t="inlineStr">
        <is>
          <t>Jawa Barat</t>
        </is>
      </c>
      <c r="Q5" s="3">
        <f>HYPERLINK("https://wa.me/6281367897760?text=*[PENGINGAT MASA BERLAKU SBU DINGSHIN INDO BANGUN]*%0A%0AYth. Pimpinan DINGSHIN INDO BANGUN,%0AMohon izin menginformasikan status SBU Anda di sistem LPJK:%0A%0A📄 SBU: BG003, BG009%0A📅 Expired: 23 Agustus 2026 (60 Hari Lagi)%0A%0AKami tim PT. ESDEA Assistance Management siap men-support proses perpanjangan segera agar administrasi proyek tidak terhambat%0A%0AApakah boleh saya bantu siapkan estimasi biaya dan waktu pengerjaannya?.", "Hubungi")</f>
        <v/>
      </c>
    </row>
    <row r="6">
      <c r="A6" t="inlineStr">
        <is>
          <t>DIVAINTAN PUTRIPRATAMA</t>
        </is>
      </c>
      <c r="B6" t="inlineStr">
        <is>
          <t>Kota Bekasi</t>
        </is>
      </c>
      <c r="C6" t="inlineStr">
        <is>
          <t>0218843504</t>
        </is>
      </c>
      <c r="D6" t="inlineStr">
        <is>
          <t>intan_adv@yahoo.com</t>
        </is>
      </c>
      <c r="E6" t="inlineStr">
        <is>
          <t>https://lpjk.pu.go.id/search-badan-usaha-detail/M1AzMlhOeW10TGlpYStGMVMwRFdEdz09</t>
        </is>
      </c>
      <c r="F6" t="n">
        <v>2</v>
      </c>
      <c r="G6" t="inlineStr">
        <is>
          <t>BS001</t>
        </is>
      </c>
      <c r="H6" t="inlineStr">
        <is>
          <t>4 Oktober 1996</t>
        </is>
      </c>
      <c r="I6" s="2" t="n">
        <v>46257</v>
      </c>
      <c r="J6" t="inlineStr">
        <is>
          <t>Disetujui</t>
        </is>
      </c>
      <c r="K6" t="n">
        <v>60</v>
      </c>
      <c r="L6" t="inlineStr">
        <is>
          <t>23 Agustus 2026</t>
        </is>
      </c>
      <c r="M6" t="inlineStr">
        <is>
          <t>Konstruksi Bangunan Sipil Jalan</t>
        </is>
      </c>
      <c r="N6" t="inlineStr">
        <is>
          <t>K</t>
        </is>
      </c>
      <c r="O6" t="inlineStr">
        <is>
          <t>20230816</t>
        </is>
      </c>
      <c r="P6" t="inlineStr">
        <is>
          <t>Jawa Barat</t>
        </is>
      </c>
      <c r="Q6" t="inlineStr"/>
    </row>
    <row r="7">
      <c r="A7" t="inlineStr">
        <is>
          <t>DRIATAMA KENCANA GLOBAL</t>
        </is>
      </c>
      <c r="B7" t="inlineStr">
        <is>
          <t>Kota Bekasi</t>
        </is>
      </c>
      <c r="C7" t="inlineStr">
        <is>
          <t>087868531107</t>
        </is>
      </c>
      <c r="D7" t="inlineStr">
        <is>
          <t>driatamakencanaglobal@gmail.com</t>
        </is>
      </c>
      <c r="E7" t="inlineStr">
        <is>
          <t>https://lpjk.pu.go.id/search-badan-usaha-detail/RTRlNWpjblVOcXNES2piSHRaUUtHdz09</t>
        </is>
      </c>
      <c r="F7" t="n">
        <v>10</v>
      </c>
      <c r="G7" t="inlineStr">
        <is>
          <t>BG001, BG002, BG003, BG008, BG009</t>
        </is>
      </c>
      <c r="H7" t="inlineStr">
        <is>
          <t>26 Juni 2023</t>
        </is>
      </c>
      <c r="I7" s="2" t="n">
        <v>46257</v>
      </c>
      <c r="J7" t="inlineStr">
        <is>
          <t>Disetujui</t>
        </is>
      </c>
      <c r="K7" t="n">
        <v>60</v>
      </c>
      <c r="L7" t="inlineStr">
        <is>
          <t>23 Agustus 2026</t>
        </is>
      </c>
      <c r="M7" t="inlineStr">
        <is>
          <t>Konstruksi Gedung Hunian, Konstruksi Gedung Industri, Konstruksi Gedung Lainnya, Konstruksi Gedung Perkantoran, Konstruksi Gedung Tempat Hiburan dan Olahraga</t>
        </is>
      </c>
      <c r="N7" t="inlineStr">
        <is>
          <t>K</t>
        </is>
      </c>
      <c r="O7" t="inlineStr">
        <is>
          <t>20230818</t>
        </is>
      </c>
      <c r="P7" t="inlineStr">
        <is>
          <t>Jawa Barat</t>
        </is>
      </c>
      <c r="Q7" s="3">
        <f>HYPERLINK("https://wa.me/6287868531107?text=*[PENGINGAT MASA BERLAKU SBU DRIATAMA KENCANA GLOBAL]*%0A%0AYth. Pimpinan DRIATAMA KENCANA GLOBAL,%0AMohon izin menginformasikan status SBU Anda di sistem LPJK:%0A%0A📄 SBU: BG001, BG002, BG003, BG008, BG009%0A📅 Expired: 23 Agustus 2026 (60 Hari Lagi)%0A%0AKami tim PT. ESDEA Assistance Management siap men-support proses perpanjangan segera agar administrasi proyek tidak terhambat%0A%0AApakah boleh saya bantu siapkan estimasi biaya dan waktu pengerjaannya?.", "Hubungi")</f>
        <v/>
      </c>
    </row>
    <row r="8">
      <c r="A8" t="inlineStr">
        <is>
          <t>ELANG CIPTA PERSADA</t>
        </is>
      </c>
      <c r="B8" t="inlineStr">
        <is>
          <t>Kab. Bogor</t>
        </is>
      </c>
      <c r="C8" t="inlineStr">
        <is>
          <t>081213970989</t>
        </is>
      </c>
      <c r="D8" t="inlineStr">
        <is>
          <t>pt.elangciptapersada22@gmail.com</t>
        </is>
      </c>
      <c r="E8" t="inlineStr">
        <is>
          <t>https://lpjk.pu.go.id/search-badan-usaha-detail/OUVHayszdWZKVEdKc3o0V0kxUXZjdz09</t>
        </is>
      </c>
      <c r="F8" t="n">
        <v>2</v>
      </c>
      <c r="G8" t="inlineStr">
        <is>
          <t>BG004</t>
        </is>
      </c>
      <c r="H8" t="inlineStr">
        <is>
          <t>2 Agustus 2022</t>
        </is>
      </c>
      <c r="I8" s="2" t="n">
        <v>46257</v>
      </c>
      <c r="J8" t="inlineStr">
        <is>
          <t>Disetujui</t>
        </is>
      </c>
      <c r="K8" t="n">
        <v>60</v>
      </c>
      <c r="L8" t="inlineStr">
        <is>
          <t>23 Agustus 2026</t>
        </is>
      </c>
      <c r="M8" t="inlineStr">
        <is>
          <t>Konstruksi Gedung Perbelanjaan</t>
        </is>
      </c>
      <c r="N8" t="inlineStr">
        <is>
          <t>K</t>
        </is>
      </c>
      <c r="O8" t="inlineStr">
        <is>
          <t>20230824</t>
        </is>
      </c>
      <c r="P8" t="inlineStr">
        <is>
          <t>Jawa Barat</t>
        </is>
      </c>
      <c r="Q8" s="3">
        <f>HYPERLINK("https://wa.me/6281213970989?text=*[PENGINGAT MASA BERLAKU SBU ELANG CIPTA PERSADA]*%0A%0AYth. Pimpinan ELANG CIPTA PERSADA,%0AMohon izin menginformasikan status SBU Anda di sistem LPJK:%0A%0A📄 SBU: BG004%0A📅 Expired: 23 Agustus 2026 (60 Hari Lagi)%0A%0AKami tim PT. ESDEA Assistance Management siap men-support proses perpanjangan segera agar administrasi proyek tidak terhambat%0A%0AApakah boleh saya bantu siapkan estimasi biaya dan waktu pengerjaannya?.", "Hubungi")</f>
        <v/>
      </c>
    </row>
    <row r="9">
      <c r="A9" t="inlineStr">
        <is>
          <t>FURAMA</t>
        </is>
      </c>
      <c r="B9" t="inlineStr">
        <is>
          <t>Kota Bekasi</t>
        </is>
      </c>
      <c r="C9" t="inlineStr">
        <is>
          <t>02182671123</t>
        </is>
      </c>
      <c r="D9" t="inlineStr">
        <is>
          <t>furama_ciknus@yahoo.com</t>
        </is>
      </c>
      <c r="E9" t="inlineStr">
        <is>
          <t>https://lpjk.pu.go.id/search-badan-usaha-detail/V2VVV3FCRDUza2M5ZnZjclR0aU5zQT09</t>
        </is>
      </c>
      <c r="F9" t="n">
        <v>1</v>
      </c>
      <c r="G9" t="inlineStr">
        <is>
          <t>BG003</t>
        </is>
      </c>
      <c r="H9" t="inlineStr">
        <is>
          <t>12 November 2009</t>
        </is>
      </c>
      <c r="I9" s="2" t="n">
        <v>46257</v>
      </c>
      <c r="J9" t="inlineStr">
        <is>
          <t>Disetujui</t>
        </is>
      </c>
      <c r="K9" t="n">
        <v>60</v>
      </c>
      <c r="L9" t="inlineStr">
        <is>
          <t>23 Agustus 2026</t>
        </is>
      </c>
      <c r="M9" t="inlineStr">
        <is>
          <t>Konstruksi Gedung Industri</t>
        </is>
      </c>
      <c r="N9" t="inlineStr">
        <is>
          <t>K</t>
        </is>
      </c>
      <c r="O9" t="inlineStr">
        <is>
          <t>20230818</t>
        </is>
      </c>
      <c r="P9" t="inlineStr">
        <is>
          <t>Jawa Barat</t>
        </is>
      </c>
      <c r="Q9" t="inlineStr"/>
    </row>
    <row r="10">
      <c r="A10" t="inlineStr">
        <is>
          <t>MITRA SETYA UTAMA</t>
        </is>
      </c>
      <c r="B10" t="inlineStr">
        <is>
          <t>Kota Bekasi</t>
        </is>
      </c>
      <c r="C10" t="inlineStr">
        <is>
          <t>02184341935</t>
        </is>
      </c>
      <c r="D10" t="inlineStr">
        <is>
          <t>mitrasetyautama@yahoo.co.id</t>
        </is>
      </c>
      <c r="E10" t="inlineStr">
        <is>
          <t>https://lpjk.pu.go.id/search-badan-usaha-detail/ZEdXajBtRzF4dFlzS1J2YWwydU9NQT09</t>
        </is>
      </c>
      <c r="F10" t="n">
        <v>1</v>
      </c>
      <c r="G10" t="inlineStr">
        <is>
          <t>BS001</t>
        </is>
      </c>
      <c r="H10" t="inlineStr">
        <is>
          <t>31 Januari 2004</t>
        </is>
      </c>
      <c r="I10" s="2" t="n">
        <v>46257</v>
      </c>
      <c r="J10" t="inlineStr">
        <is>
          <t>Pencabutan</t>
        </is>
      </c>
      <c r="K10" t="n">
        <v>60</v>
      </c>
      <c r="L10" t="inlineStr">
        <is>
          <t>23 Agustus 2026</t>
        </is>
      </c>
      <c r="M10" t="inlineStr">
        <is>
          <t>Konstruksi Bangunan Sipil Jalan</t>
        </is>
      </c>
      <c r="N10" t="inlineStr">
        <is>
          <t>M</t>
        </is>
      </c>
      <c r="O10" t="inlineStr">
        <is>
          <t>20230609</t>
        </is>
      </c>
      <c r="P10" t="inlineStr">
        <is>
          <t>Jawa Barat</t>
        </is>
      </c>
      <c r="Q10" t="inlineStr"/>
    </row>
    <row r="11">
      <c r="A11" t="inlineStr">
        <is>
          <t>MUTIARA ASIA MAKMUR</t>
        </is>
      </c>
      <c r="B11" t="inlineStr">
        <is>
          <t>Kota Adm. Jakarta Timur</t>
        </is>
      </c>
      <c r="C11" t="inlineStr">
        <is>
          <t>0811938230</t>
        </is>
      </c>
      <c r="D11" t="inlineStr">
        <is>
          <t>yonathan.h@mutiara-mam.com</t>
        </is>
      </c>
      <c r="E11" t="inlineStr">
        <is>
          <t>https://lpjk.pu.go.id/search-badan-usaha-detail/eEVqQWdtb2ZhNHRJSmNJMUF4K0xvUT09</t>
        </is>
      </c>
      <c r="F11" t="n">
        <v>1</v>
      </c>
      <c r="G11" t="inlineStr">
        <is>
          <t>BG009</t>
        </is>
      </c>
      <c r="H11" t="inlineStr">
        <is>
          <t>18 Juli 2022</t>
        </is>
      </c>
      <c r="I11" s="2" t="n">
        <v>46257</v>
      </c>
      <c r="J11" t="inlineStr">
        <is>
          <t>Disetujui</t>
        </is>
      </c>
      <c r="K11" t="n">
        <v>60</v>
      </c>
      <c r="L11" t="inlineStr">
        <is>
          <t>23 Agustus 2026</t>
        </is>
      </c>
      <c r="M11" t="inlineStr">
        <is>
          <t>Konstruksi Gedung Lainnya</t>
        </is>
      </c>
      <c r="N11" t="inlineStr">
        <is>
          <t>K</t>
        </is>
      </c>
      <c r="O11" t="inlineStr">
        <is>
          <t>20230823</t>
        </is>
      </c>
      <c r="P11" t="inlineStr">
        <is>
          <t>DKI Jakarta</t>
        </is>
      </c>
      <c r="Q11" s="3">
        <f>HYPERLINK("https://wa.me/62811938230?text=*[PENGINGAT MASA BERLAKU SBU MUTIARA ASIA MAKMUR]*%0A%0AYth. Pimpinan MUTIARA ASIA MAKMUR,%0AMohon izin menginformasikan status SBU Anda di sistem LPJK:%0A%0A📄 SBU: BG009%0A📅 Expired: 23 Agustus 2026 (60 Hari Lagi)%0A%0AKami tim PT. ESDEA Assistance Management siap men-support proses perpanjangan segera agar administrasi proyek tidak terhambat%0A%0AApakah boleh saya bantu siapkan estimasi biaya dan waktu pengerjaannya?.", "Hubungi")</f>
        <v/>
      </c>
    </row>
    <row r="12">
      <c r="A12" t="inlineStr">
        <is>
          <t>NURUL KARYA MANDIRI</t>
        </is>
      </c>
      <c r="B12" t="inlineStr">
        <is>
          <t>Kota Adm. Jakarta Timur</t>
        </is>
      </c>
      <c r="C12" t="inlineStr">
        <is>
          <t>0218661675</t>
        </is>
      </c>
      <c r="D12" t="inlineStr">
        <is>
          <t>nurulkaryamandiri@gmail.com</t>
        </is>
      </c>
      <c r="E12" t="inlineStr">
        <is>
          <t>https://lpjk.pu.go.id/search-badan-usaha-detail/NUxnbU5GV3paWGVxeVcyTDN5bUcrUT09</t>
        </is>
      </c>
      <c r="F12" t="n">
        <v>1</v>
      </c>
      <c r="G12" t="inlineStr">
        <is>
          <t>PB004</t>
        </is>
      </c>
      <c r="H12" t="inlineStr">
        <is>
          <t>7 Januari 1997</t>
        </is>
      </c>
      <c r="I12" s="2" t="n">
        <v>46257</v>
      </c>
      <c r="J12" t="inlineStr">
        <is>
          <t>Disetujui</t>
        </is>
      </c>
      <c r="K12" t="n">
        <v>60</v>
      </c>
      <c r="L12" t="inlineStr">
        <is>
          <t>23 Agustus 2026</t>
        </is>
      </c>
      <c r="M12" t="inlineStr">
        <is>
          <t>Dekorasi Interior</t>
        </is>
      </c>
      <c r="N12" t="inlineStr">
        <is>
          <t>Spesialis</t>
        </is>
      </c>
      <c r="O12" t="inlineStr">
        <is>
          <t>20230814</t>
        </is>
      </c>
      <c r="P12" t="inlineStr">
        <is>
          <t>DKI Jakarta</t>
        </is>
      </c>
      <c r="Q12" t="inlineStr"/>
    </row>
    <row r="13">
      <c r="A13" t="inlineStr">
        <is>
          <t>ORIGINAL KARYA KONSTRUKSI</t>
        </is>
      </c>
      <c r="B13" t="inlineStr">
        <is>
          <t>Kota Bekasi</t>
        </is>
      </c>
      <c r="C13" t="inlineStr">
        <is>
          <t>02189453949</t>
        </is>
      </c>
      <c r="D13" t="inlineStr">
        <is>
          <t>originalkaryakonstruksi12@gmail.com</t>
        </is>
      </c>
      <c r="E13" t="inlineStr">
        <is>
          <t>https://lpjk.pu.go.id/search-badan-usaha-detail/a20wb2g2SUQ4WlNSWUFjNXc2TGpTZz09</t>
        </is>
      </c>
      <c r="F13" t="n">
        <v>1</v>
      </c>
      <c r="G13" t="inlineStr">
        <is>
          <t>BS004</t>
        </is>
      </c>
      <c r="H13" t="inlineStr">
        <is>
          <t>3 September 2018</t>
        </is>
      </c>
      <c r="I13" s="2" t="n">
        <v>46257</v>
      </c>
      <c r="J13" t="inlineStr">
        <is>
          <t>Disetujui</t>
        </is>
      </c>
      <c r="K13" t="n">
        <v>60</v>
      </c>
      <c r="L13" t="inlineStr">
        <is>
          <t>23 Agustus 2026</t>
        </is>
      </c>
      <c r="M13" t="inlineStr">
        <is>
          <t>Konstruksi Jaringan Irigasi dan Drainase</t>
        </is>
      </c>
      <c r="N13" t="inlineStr">
        <is>
          <t>K</t>
        </is>
      </c>
      <c r="O13" t="inlineStr">
        <is>
          <t>20230822</t>
        </is>
      </c>
      <c r="P13" t="inlineStr">
        <is>
          <t>Jawa Barat</t>
        </is>
      </c>
      <c r="Q13" t="inlineStr"/>
    </row>
    <row r="14">
      <c r="A14" t="inlineStr">
        <is>
          <t>OSVALDO ALPHA KREATIF</t>
        </is>
      </c>
      <c r="B14" t="inlineStr">
        <is>
          <t>Kota Bekasi</t>
        </is>
      </c>
      <c r="C14" t="inlineStr">
        <is>
          <t>02185519188</t>
        </is>
      </c>
      <c r="D14" t="inlineStr">
        <is>
          <t>osvaldoalphakreatif@gmail.com</t>
        </is>
      </c>
      <c r="E14" t="inlineStr">
        <is>
          <t>https://lpjk.pu.go.id/search-badan-usaha-detail/MHRhWTcrRjdUQkRXMUk2dE1aNDRQUT09</t>
        </is>
      </c>
      <c r="F14" t="n">
        <v>3</v>
      </c>
      <c r="G14" t="inlineStr">
        <is>
          <t>BG002, BG005, BG006</t>
        </is>
      </c>
      <c r="H14" t="inlineStr">
        <is>
          <t>3 Juli 2020</t>
        </is>
      </c>
      <c r="I14" s="2" t="n">
        <v>46257</v>
      </c>
      <c r="J14" t="inlineStr">
        <is>
          <t>Disetujui</t>
        </is>
      </c>
      <c r="K14" t="n">
        <v>60</v>
      </c>
      <c r="L14" t="inlineStr">
        <is>
          <t>23 Agustus 2026</t>
        </is>
      </c>
      <c r="M14" t="inlineStr">
        <is>
          <t>Konstruksi Gedung Kesehatan, Konstruksi Gedung Pendidikan, Konstruksi Gedung Perkantoran</t>
        </is>
      </c>
      <c r="N14" t="inlineStr">
        <is>
          <t>K</t>
        </is>
      </c>
      <c r="O14" t="inlineStr">
        <is>
          <t>20230821, 20230823</t>
        </is>
      </c>
      <c r="P14" t="inlineStr">
        <is>
          <t>Jawa Barat</t>
        </is>
      </c>
      <c r="Q14" t="inlineStr"/>
    </row>
    <row r="15">
      <c r="A15" t="inlineStr">
        <is>
          <t>PUTRANTARA SEMBADA</t>
        </is>
      </c>
      <c r="B15" t="inlineStr">
        <is>
          <t>Kota Adm. Jakarta Timur</t>
        </is>
      </c>
      <c r="C15" t="inlineStr">
        <is>
          <t>02129825428</t>
        </is>
      </c>
      <c r="D15" t="inlineStr">
        <is>
          <t>putrantarasembada@ymail.com</t>
        </is>
      </c>
      <c r="E15" t="inlineStr">
        <is>
          <t>https://lpjk.pu.go.id/search-badan-usaha-detail/N3dKU21FK3A0U3gzeVFZRlNUKzhGZz09</t>
        </is>
      </c>
      <c r="F15" t="n">
        <v>2</v>
      </c>
      <c r="G15" t="inlineStr">
        <is>
          <t>BG003, BG009</t>
        </is>
      </c>
      <c r="H15" t="inlineStr">
        <is>
          <t>11 Desember 1991</t>
        </is>
      </c>
      <c r="I15" s="2" t="n">
        <v>46257</v>
      </c>
      <c r="J15" t="inlineStr">
        <is>
          <t>Disetujui</t>
        </is>
      </c>
      <c r="K15" t="n">
        <v>60</v>
      </c>
      <c r="L15" t="inlineStr">
        <is>
          <t>23 Agustus 2026</t>
        </is>
      </c>
      <c r="M15" t="inlineStr">
        <is>
          <t>Konstruksi Gedung Industri, Konstruksi Gedung Lainnya</t>
        </is>
      </c>
      <c r="N15" t="inlineStr">
        <is>
          <t>K</t>
        </is>
      </c>
      <c r="O15" t="inlineStr">
        <is>
          <t>20230818, 20230823</t>
        </is>
      </c>
      <c r="P15" t="inlineStr">
        <is>
          <t>DKI Jakarta</t>
        </is>
      </c>
      <c r="Q15" t="inlineStr"/>
    </row>
    <row r="16">
      <c r="A16" t="inlineStr">
        <is>
          <t>RIA LESTARI</t>
        </is>
      </c>
      <c r="B16" t="inlineStr">
        <is>
          <t>Kab. Bogor</t>
        </is>
      </c>
      <c r="C16" t="inlineStr">
        <is>
          <t>08128434011</t>
        </is>
      </c>
      <c r="D16" t="inlineStr">
        <is>
          <t>cvrialestari@gmail.com</t>
        </is>
      </c>
      <c r="E16" t="inlineStr">
        <is>
          <t>https://lpjk.pu.go.id/search-badan-usaha-detail/TEUvVmc5bG5jTCtLUUFkSm9icUNMUT09</t>
        </is>
      </c>
      <c r="F16" t="n">
        <v>2</v>
      </c>
      <c r="G16" t="inlineStr">
        <is>
          <t>BG006, BS004</t>
        </is>
      </c>
      <c r="H16" t="inlineStr">
        <is>
          <t>19 Desember 2016</t>
        </is>
      </c>
      <c r="I16" s="2" t="n">
        <v>46257</v>
      </c>
      <c r="J16" t="inlineStr">
        <is>
          <t>Disetujui</t>
        </is>
      </c>
      <c r="K16" t="n">
        <v>60</v>
      </c>
      <c r="L16" t="inlineStr">
        <is>
          <t>23 Agustus 2026</t>
        </is>
      </c>
      <c r="M16" t="inlineStr">
        <is>
          <t>Konstruksi Gedung Pendidikan, Konstruksi Jaringan Irigasi dan Drainase</t>
        </is>
      </c>
      <c r="N16" t="inlineStr">
        <is>
          <t>K</t>
        </is>
      </c>
      <c r="O16" t="inlineStr">
        <is>
          <t>20230818</t>
        </is>
      </c>
      <c r="P16" t="inlineStr">
        <is>
          <t>Jawa Barat</t>
        </is>
      </c>
      <c r="Q16" s="3">
        <f>HYPERLINK("https://wa.me/628128434011?text=*[PENGINGAT MASA BERLAKU SBU RIA LESTARI]*%0A%0AYth. Pimpinan RIA LESTARI,%0AMohon izin menginformasikan status SBU Anda di sistem LPJK:%0A%0A📄 SBU: BG006, BS004%0A📅 Expired: 23 Agustus 2026 (60 Hari Lagi)%0A%0AKami tim PT. ESDEA Assistance Management siap men-support proses perpanjangan segera agar administrasi proyek tidak terhambat%0A%0AApakah boleh saya bantu siapkan estimasi biaya dan waktu pengerjaannya?.", "Hubungi")</f>
        <v/>
      </c>
    </row>
    <row r="17">
      <c r="A17" t="inlineStr">
        <is>
          <t>RISKA PUTRI SULUNG</t>
        </is>
      </c>
      <c r="B17" t="inlineStr">
        <is>
          <t>Kota Depok</t>
        </is>
      </c>
      <c r="C17" t="inlineStr">
        <is>
          <t>085296848435</t>
        </is>
      </c>
      <c r="D17" t="inlineStr">
        <is>
          <t>ptriskaputrisulung@yahoo.com</t>
        </is>
      </c>
      <c r="E17" t="inlineStr">
        <is>
          <t>https://lpjk.pu.go.id/search-badan-usaha-detail/bkVkRlBxcGZLbHk0S01GRUYrVGNmdz09</t>
        </is>
      </c>
      <c r="F17" t="n">
        <v>1</v>
      </c>
      <c r="G17" t="inlineStr">
        <is>
          <t>BS004</t>
        </is>
      </c>
      <c r="H17" t="inlineStr">
        <is>
          <t>25 Juli 2022</t>
        </is>
      </c>
      <c r="I17" s="2" t="n">
        <v>46257</v>
      </c>
      <c r="J17" t="inlineStr">
        <is>
          <t>Disetujui</t>
        </is>
      </c>
      <c r="K17" t="n">
        <v>60</v>
      </c>
      <c r="L17" t="inlineStr">
        <is>
          <t>23 Agustus 2026</t>
        </is>
      </c>
      <c r="M17" t="inlineStr">
        <is>
          <t>Konstruksi Jaringan Irigasi dan Drainase</t>
        </is>
      </c>
      <c r="N17" t="inlineStr">
        <is>
          <t>K</t>
        </is>
      </c>
      <c r="O17" t="inlineStr">
        <is>
          <t>20230607</t>
        </is>
      </c>
      <c r="P17" t="inlineStr">
        <is>
          <t>Jawa Barat</t>
        </is>
      </c>
      <c r="Q17" s="3">
        <f>HYPERLINK("https://wa.me/6285296848435?text=*[PENGINGAT MASA BERLAKU SBU RISKA PUTRI SULUNG]*%0A%0AYth. Pimpinan RISKA PUTRI SULUNG,%0AMohon izin menginformasikan status SBU Anda di sistem LPJK:%0A%0A📄 SBU: BS004%0A📅 Expired: 23 Agustus 2026 (60 Hari Lagi)%0A%0AKami tim PT. ESDEA Assistance Management siap men-support proses perpanjangan segera agar administrasi proyek tidak terhambat%0A%0AApakah boleh saya bantu siapkan estimasi biaya dan waktu pengerjaannya?.", "Hubungi")</f>
        <v/>
      </c>
    </row>
    <row r="18">
      <c r="A18" t="inlineStr">
        <is>
          <t>TRINERGI DUTA INDONESIA</t>
        </is>
      </c>
      <c r="B18" t="inlineStr">
        <is>
          <t>Kota Bekasi</t>
        </is>
      </c>
      <c r="C18" t="inlineStr">
        <is>
          <t>02185511301</t>
        </is>
      </c>
      <c r="D18" t="inlineStr">
        <is>
          <t>admin@trinergidutaindonesia.com</t>
        </is>
      </c>
      <c r="E18" t="inlineStr">
        <is>
          <t>https://lpjk.pu.go.id/search-badan-usaha-detail/L0dmZURaMkk4WUQ1aVE1V1BHRVhmZz09</t>
        </is>
      </c>
      <c r="F18" t="n">
        <v>2</v>
      </c>
      <c r="G18" t="inlineStr">
        <is>
          <t>BG009, BS006</t>
        </is>
      </c>
      <c r="H18" t="inlineStr">
        <is>
          <t>11 Juli 2022</t>
        </is>
      </c>
      <c r="I18" s="2" t="n">
        <v>46257</v>
      </c>
      <c r="J18" t="inlineStr">
        <is>
          <t>Disetujui</t>
        </is>
      </c>
      <c r="K18" t="n">
        <v>60</v>
      </c>
      <c r="L18" t="inlineStr">
        <is>
          <t>23 Agustus 2026</t>
        </is>
      </c>
      <c r="M18" t="inlineStr">
        <is>
          <t>Konstruksi Bangunan Sipil Prasarana dan Sarana Sistem Pengolahan Limbah Padat, Cair, dan Gas, Konstruksi Gedung Lainnya</t>
        </is>
      </c>
      <c r="N18" t="inlineStr">
        <is>
          <t>K</t>
        </is>
      </c>
      <c r="O18" t="inlineStr">
        <is>
          <t>20230823</t>
        </is>
      </c>
      <c r="P18" t="inlineStr">
        <is>
          <t>Jawa Barat</t>
        </is>
      </c>
      <c r="Q18" t="inlineStr"/>
    </row>
    <row r="19">
      <c r="A19" t="inlineStr">
        <is>
          <t>UPAYABUMI GRAHASEJAHTERA</t>
        </is>
      </c>
      <c r="B19" t="inlineStr">
        <is>
          <t>Kota Bekasi</t>
        </is>
      </c>
      <c r="C19" t="inlineStr">
        <is>
          <t>0218464407</t>
        </is>
      </c>
      <c r="D19" t="inlineStr">
        <is>
          <t>ptubgs@gmail.com</t>
        </is>
      </c>
      <c r="E19" t="inlineStr">
        <is>
          <t>https://lpjk.pu.go.id/search-badan-usaha-detail/c0ZCSWxkc05ZMm9BbHNUUzdTbUdxZz09</t>
        </is>
      </c>
      <c r="F19" t="n">
        <v>2</v>
      </c>
      <c r="G19" t="inlineStr">
        <is>
          <t>BG002</t>
        </is>
      </c>
      <c r="H19" t="inlineStr">
        <is>
          <t>4 Juni 1992</t>
        </is>
      </c>
      <c r="I19" s="2" t="n">
        <v>46257</v>
      </c>
      <c r="J19" t="inlineStr">
        <is>
          <t>Disetujui</t>
        </is>
      </c>
      <c r="K19" t="n">
        <v>60</v>
      </c>
      <c r="L19" t="inlineStr">
        <is>
          <t>23 Agustus 2026</t>
        </is>
      </c>
      <c r="M19" t="inlineStr">
        <is>
          <t>Konstruksi Gedung Perkantoran</t>
        </is>
      </c>
      <c r="N19" t="inlineStr">
        <is>
          <t>K</t>
        </is>
      </c>
      <c r="O19" t="inlineStr">
        <is>
          <t>20230814</t>
        </is>
      </c>
      <c r="P19" t="inlineStr">
        <is>
          <t>Jawa Barat</t>
        </is>
      </c>
      <c r="Q19" t="inlineStr"/>
    </row>
    <row r="20">
      <c r="A20" t="inlineStr">
        <is>
          <t>ABDI JAYA UTAMA</t>
        </is>
      </c>
      <c r="B20" t="inlineStr">
        <is>
          <t>Kab. Lebak</t>
        </is>
      </c>
      <c r="C20" t="inlineStr">
        <is>
          <t>083125321190</t>
        </is>
      </c>
      <c r="D20" t="inlineStr">
        <is>
          <t>abdijayautama2020@gmail.com</t>
        </is>
      </c>
      <c r="E20" t="inlineStr">
        <is>
          <t>https://lpjk.pu.go.id/search-badan-usaha-detail/dG1mT0xBdWtlZW5oSlhaTlNRdzlOQT09</t>
        </is>
      </c>
      <c r="F20" t="n">
        <v>1</v>
      </c>
      <c r="G20" t="inlineStr">
        <is>
          <t>BG009</t>
        </is>
      </c>
      <c r="H20" t="inlineStr">
        <is>
          <t>9 Maret 2020</t>
        </is>
      </c>
      <c r="I20" s="2" t="n">
        <v>46257</v>
      </c>
      <c r="J20" t="inlineStr">
        <is>
          <t>Disetujui</t>
        </is>
      </c>
      <c r="K20" t="n">
        <v>60</v>
      </c>
      <c r="L20" t="inlineStr">
        <is>
          <t>23 Agustus 2026</t>
        </is>
      </c>
      <c r="M20" t="inlineStr">
        <is>
          <t>Konstruksi Gedung Lainnya</t>
        </is>
      </c>
      <c r="N20" t="inlineStr">
        <is>
          <t>K</t>
        </is>
      </c>
      <c r="O20" t="inlineStr">
        <is>
          <t>20230816</t>
        </is>
      </c>
      <c r="P20" t="inlineStr">
        <is>
          <t>Banten</t>
        </is>
      </c>
      <c r="Q20" t="inlineStr"/>
    </row>
    <row r="21">
      <c r="A21" t="inlineStr">
        <is>
          <t>ABDI NUSA KREASI</t>
        </is>
      </c>
      <c r="B21" t="inlineStr">
        <is>
          <t>Kota Adm. Jakarta Selatan</t>
        </is>
      </c>
      <c r="C21" t="inlineStr">
        <is>
          <t>02122001116</t>
        </is>
      </c>
      <c r="D21" t="inlineStr">
        <is>
          <t>abdinusakreasi.1@gmail.com</t>
        </is>
      </c>
      <c r="E21" t="inlineStr">
        <is>
          <t>https://lpjk.pu.go.id/search-badan-usaha-detail/RW1VR2tEbHNKdFNnTmpNSmVyaG80Zz09</t>
        </is>
      </c>
      <c r="F21" t="n">
        <v>2</v>
      </c>
      <c r="G21" t="inlineStr">
        <is>
          <t>AR001, AR002</t>
        </is>
      </c>
      <c r="H21" t="inlineStr">
        <is>
          <t>31 Desember 2003</t>
        </is>
      </c>
      <c r="I21" s="2" t="n">
        <v>46257</v>
      </c>
      <c r="J21" t="inlineStr">
        <is>
          <t>Pencabutan</t>
        </is>
      </c>
      <c r="K21" t="n">
        <v>60</v>
      </c>
      <c r="L21" t="inlineStr">
        <is>
          <t>23 Agustus 2026</t>
        </is>
      </c>
      <c r="M21" t="inlineStr">
        <is>
          <t>Jasa Arsitektural Bangunan Gedung Hunian dan Non Hunian, Jasa Arsitektural Lainnya</t>
        </is>
      </c>
      <c r="N21" t="inlineStr">
        <is>
          <t>K</t>
        </is>
      </c>
      <c r="O21" t="inlineStr">
        <is>
          <t>20230808</t>
        </is>
      </c>
      <c r="P21" t="inlineStr">
        <is>
          <t>DKI Jakarta</t>
        </is>
      </c>
      <c r="Q21" t="inlineStr"/>
    </row>
    <row r="22">
      <c r="A22" t="inlineStr">
        <is>
          <t>ADHI CIPTA SEJAHTERA</t>
        </is>
      </c>
      <c r="B22" t="inlineStr">
        <is>
          <t>Kab. Pandeglang</t>
        </is>
      </c>
      <c r="C22" t="inlineStr">
        <is>
          <t>087772846911</t>
        </is>
      </c>
      <c r="D22" t="inlineStr">
        <is>
          <t>cvadhiciptasejahtera@gmail.com</t>
        </is>
      </c>
      <c r="E22" t="inlineStr">
        <is>
          <t>https://lpjk.pu.go.id/search-badan-usaha-detail/NnJzZUZzUEVqdDZBdUpaREJNN24yUT09</t>
        </is>
      </c>
      <c r="F22" t="n">
        <v>4</v>
      </c>
      <c r="G22" t="inlineStr">
        <is>
          <t>BG006, BG009</t>
        </is>
      </c>
      <c r="H22" t="inlineStr">
        <is>
          <t>20 Januari 2017</t>
        </is>
      </c>
      <c r="I22" s="2" t="n">
        <v>46257</v>
      </c>
      <c r="J22" t="inlineStr">
        <is>
          <t>Disetujui</t>
        </is>
      </c>
      <c r="K22" t="n">
        <v>60</v>
      </c>
      <c r="L22" t="inlineStr">
        <is>
          <t>23 Agustus 2026</t>
        </is>
      </c>
      <c r="M22" t="inlineStr">
        <is>
          <t>Konstruksi Gedung Lainnya, Konstruksi Gedung Pendidikan</t>
        </is>
      </c>
      <c r="N22" t="inlineStr">
        <is>
          <t>K</t>
        </is>
      </c>
      <c r="O22" t="inlineStr">
        <is>
          <t>20230821, 20230823</t>
        </is>
      </c>
      <c r="P22" t="inlineStr">
        <is>
          <t>Banten</t>
        </is>
      </c>
      <c r="Q22" t="inlineStr"/>
    </row>
    <row r="23">
      <c r="A23" t="inlineStr">
        <is>
          <t>ADI LAKSANA MANDIRI</t>
        </is>
      </c>
      <c r="B23" t="inlineStr">
        <is>
          <t>Kab. Boyolali</t>
        </is>
      </c>
      <c r="C23" t="inlineStr">
        <is>
          <t>081393699774</t>
        </is>
      </c>
      <c r="D23" t="inlineStr">
        <is>
          <t>adi.laksana.mandiri@gmail.com</t>
        </is>
      </c>
      <c r="E23" t="inlineStr">
        <is>
          <t>https://lpjk.pu.go.id/search-badan-usaha-detail/Q2t5MXA0enBPS0c0WEI5SnhlaS9Qdz09</t>
        </is>
      </c>
      <c r="F23" t="n">
        <v>2</v>
      </c>
      <c r="G23" t="inlineStr">
        <is>
          <t>BG008, BS004</t>
        </is>
      </c>
      <c r="H23" t="inlineStr">
        <is>
          <t>24 Juli 2020</t>
        </is>
      </c>
      <c r="I23" s="2" t="n">
        <v>46257</v>
      </c>
      <c r="J23" t="inlineStr">
        <is>
          <t>Disetujui</t>
        </is>
      </c>
      <c r="K23" t="n">
        <v>60</v>
      </c>
      <c r="L23" t="inlineStr">
        <is>
          <t>23 Agustus 2026</t>
        </is>
      </c>
      <c r="M23" t="inlineStr">
        <is>
          <t>Konstruksi Gedung Tempat Hiburan dan Olahraga, Konstruksi Jaringan Irigasi dan Drainase</t>
        </is>
      </c>
      <c r="N23" t="inlineStr">
        <is>
          <t>K</t>
        </is>
      </c>
      <c r="O23" t="inlineStr">
        <is>
          <t>20230824</t>
        </is>
      </c>
      <c r="P23" t="inlineStr">
        <is>
          <t>Jawa Tengah</t>
        </is>
      </c>
      <c r="Q23" t="inlineStr"/>
    </row>
    <row r="24">
      <c r="A24" t="inlineStr">
        <is>
          <t>ADIDAYA TANGGUH</t>
        </is>
      </c>
      <c r="B24" t="inlineStr">
        <is>
          <t>Kota Salatiga</t>
        </is>
      </c>
      <c r="C24" t="inlineStr">
        <is>
          <t>085800643998</t>
        </is>
      </c>
      <c r="D24" t="inlineStr">
        <is>
          <t>add.tangguh@gmail.com</t>
        </is>
      </c>
      <c r="E24" t="inlineStr">
        <is>
          <t>https://lpjk.pu.go.id/search-badan-usaha-detail/YXZWNXkyWFBkZlprS2ZMUnVsNnJ3UT09</t>
        </is>
      </c>
      <c r="F24" t="n">
        <v>2</v>
      </c>
      <c r="G24" t="inlineStr">
        <is>
          <t>BS001, BS004</t>
        </is>
      </c>
      <c r="H24" t="inlineStr">
        <is>
          <t>6 Agustus 2018</t>
        </is>
      </c>
      <c r="I24" s="2" t="n">
        <v>46257</v>
      </c>
      <c r="J24" t="inlineStr">
        <is>
          <t>Disetujui</t>
        </is>
      </c>
      <c r="K24" t="n">
        <v>60</v>
      </c>
      <c r="L24" t="inlineStr">
        <is>
          <t>23 Agustus 2026</t>
        </is>
      </c>
      <c r="M24" t="inlineStr">
        <is>
          <t>Konstruksi Bangunan Sipil Jalan, Konstruksi Jaringan Irigasi dan Drainase</t>
        </is>
      </c>
      <c r="N24" t="inlineStr">
        <is>
          <t>K</t>
        </is>
      </c>
      <c r="O24" t="inlineStr">
        <is>
          <t>20230811, 20230812</t>
        </is>
      </c>
      <c r="P24" t="inlineStr">
        <is>
          <t>Jawa Tengah</t>
        </is>
      </c>
      <c r="Q24" t="inlineStr"/>
    </row>
    <row r="25">
      <c r="A25" t="inlineStr">
        <is>
          <t>ADJIE KARYA SEJAHTERA</t>
        </is>
      </c>
      <c r="B25" t="inlineStr">
        <is>
          <t>Kota Surakarta</t>
        </is>
      </c>
      <c r="C25" t="inlineStr">
        <is>
          <t>082323188902</t>
        </is>
      </c>
      <c r="D25" t="inlineStr">
        <is>
          <t>adjiekaryasejahtera112@gmail.com</t>
        </is>
      </c>
      <c r="E25" t="inlineStr">
        <is>
          <t>https://lpjk.pu.go.id/search-badan-usaha-detail/Sy83dlhwMElnS3NwVHFLSjZiQnRXZz09</t>
        </is>
      </c>
      <c r="F25" t="n">
        <v>1</v>
      </c>
      <c r="G25" t="inlineStr">
        <is>
          <t>BG009</t>
        </is>
      </c>
      <c r="H25" t="inlineStr">
        <is>
          <t>4 Mei 2023</t>
        </is>
      </c>
      <c r="I25" s="2" t="n">
        <v>46257</v>
      </c>
      <c r="J25" t="inlineStr">
        <is>
          <t>Disetujui</t>
        </is>
      </c>
      <c r="K25" t="n">
        <v>60</v>
      </c>
      <c r="L25" t="inlineStr">
        <is>
          <t>23 Agustus 2026</t>
        </is>
      </c>
      <c r="M25" t="inlineStr">
        <is>
          <t>Konstruksi Gedung Lainnya</t>
        </is>
      </c>
      <c r="N25" t="inlineStr">
        <is>
          <t>K</t>
        </is>
      </c>
      <c r="O25" t="inlineStr">
        <is>
          <t>20230818</t>
        </is>
      </c>
      <c r="P25" t="inlineStr">
        <is>
          <t>Jawa Tengah</t>
        </is>
      </c>
      <c r="Q25" t="inlineStr"/>
    </row>
    <row r="26">
      <c r="A26" t="inlineStr">
        <is>
          <t>AEMCO PERSADA NUSANTARA</t>
        </is>
      </c>
      <c r="B26" t="inlineStr">
        <is>
          <t>Kota Bandung</t>
        </is>
      </c>
      <c r="C26" t="inlineStr">
        <is>
          <t>081931248110</t>
        </is>
      </c>
      <c r="D26" t="inlineStr">
        <is>
          <t>murtiharjono@gmail.com</t>
        </is>
      </c>
      <c r="E26" t="inlineStr">
        <is>
          <t>https://lpjk.pu.go.id/search-badan-usaha-detail/MkkvSm9yd2dENzJWNEl4WTNQOHNTUT09</t>
        </is>
      </c>
      <c r="F26" t="n">
        <v>1</v>
      </c>
      <c r="G26" t="inlineStr">
        <is>
          <t>IN001</t>
        </is>
      </c>
      <c r="H26" t="inlineStr">
        <is>
          <t>21 Desember 2011</t>
        </is>
      </c>
      <c r="I26" s="2" t="n">
        <v>46257</v>
      </c>
      <c r="J26" t="inlineStr">
        <is>
          <t>Disetujui</t>
        </is>
      </c>
      <c r="K26" t="n">
        <v>60</v>
      </c>
      <c r="L26" t="inlineStr">
        <is>
          <t>23 Agustus 2026</t>
        </is>
      </c>
      <c r="M26" t="inlineStr">
        <is>
          <t>Instalasi Mekanikal</t>
        </is>
      </c>
      <c r="N26" t="inlineStr">
        <is>
          <t>Spesialis</t>
        </is>
      </c>
      <c r="O26" t="inlineStr">
        <is>
          <t>20230818</t>
        </is>
      </c>
      <c r="P26" t="inlineStr">
        <is>
          <t>Jawa Barat</t>
        </is>
      </c>
      <c r="Q26" t="inlineStr"/>
    </row>
    <row r="27">
      <c r="A27" t="inlineStr">
        <is>
          <t>AGUNG JAYA</t>
        </is>
      </c>
      <c r="B27" t="inlineStr">
        <is>
          <t>Kota Surabaya</t>
        </is>
      </c>
      <c r="C27" t="inlineStr">
        <is>
          <t>0315673912</t>
        </is>
      </c>
      <c r="D27" t="inlineStr">
        <is>
          <t>cvagungjaya.23@gmail.com</t>
        </is>
      </c>
      <c r="E27" t="inlineStr">
        <is>
          <t>https://lpjk.pu.go.id/search-badan-usaha-detail/bHJFRjV0S2laTU82RVhLS2VNUjh5Zz09</t>
        </is>
      </c>
      <c r="F27" t="n">
        <v>4</v>
      </c>
      <c r="G27" t="inlineStr">
        <is>
          <t>BS001, BS004</t>
        </is>
      </c>
      <c r="H27" t="inlineStr">
        <is>
          <t>9 Desember 2003</t>
        </is>
      </c>
      <c r="I27" s="2" t="n">
        <v>46257</v>
      </c>
      <c r="J27" t="inlineStr">
        <is>
          <t>Disetujui</t>
        </is>
      </c>
      <c r="K27" t="n">
        <v>60</v>
      </c>
      <c r="L27" t="inlineStr">
        <is>
          <t>23 Agustus 2026</t>
        </is>
      </c>
      <c r="M27" t="inlineStr">
        <is>
          <t>Konstruksi Bangunan Sipil Jalan, Konstruksi Jaringan Irigasi dan Drainase</t>
        </is>
      </c>
      <c r="N27" t="inlineStr">
        <is>
          <t>K</t>
        </is>
      </c>
      <c r="O27" t="inlineStr">
        <is>
          <t>20230725, 20230809</t>
        </is>
      </c>
      <c r="P27" t="inlineStr">
        <is>
          <t>Jawa Timur</t>
        </is>
      </c>
      <c r="Q27" t="inlineStr"/>
    </row>
    <row r="28">
      <c r="A28" t="inlineStr">
        <is>
          <t>AHSANI CIPTA CENDANA</t>
        </is>
      </c>
      <c r="B28" t="inlineStr">
        <is>
          <t>Kota Bengkulu</t>
        </is>
      </c>
      <c r="C28" t="inlineStr">
        <is>
          <t>085267278510</t>
        </is>
      </c>
      <c r="D28" t="inlineStr">
        <is>
          <t>ahsaniciptacendana@gmail.com</t>
        </is>
      </c>
      <c r="E28" t="inlineStr">
        <is>
          <t>https://lpjk.pu.go.id/search-badan-usaha-detail/WW1DTHJpSm5GaXNUYzlacmtHMm83QT09</t>
        </is>
      </c>
      <c r="F28" t="n">
        <v>1</v>
      </c>
      <c r="G28" t="inlineStr">
        <is>
          <t>BG001</t>
        </is>
      </c>
      <c r="H28" t="inlineStr">
        <is>
          <t>30 Desember 2022</t>
        </is>
      </c>
      <c r="I28" s="2" t="n">
        <v>46257</v>
      </c>
      <c r="J28" t="inlineStr">
        <is>
          <t>Disetujui</t>
        </is>
      </c>
      <c r="K28" t="n">
        <v>60</v>
      </c>
      <c r="L28" t="inlineStr">
        <is>
          <t>23 Agustus 2026</t>
        </is>
      </c>
      <c r="M28" t="inlineStr">
        <is>
          <t>Konstruksi Gedung Hunian</t>
        </is>
      </c>
      <c r="N28" t="inlineStr">
        <is>
          <t>K</t>
        </is>
      </c>
      <c r="O28" t="inlineStr">
        <is>
          <t>20230818</t>
        </is>
      </c>
      <c r="P28" t="inlineStr">
        <is>
          <t>Bengkulu</t>
        </is>
      </c>
      <c r="Q28" t="inlineStr"/>
    </row>
    <row r="29">
      <c r="A29" t="inlineStr">
        <is>
          <t>AHZAN DWI PERKASA</t>
        </is>
      </c>
      <c r="B29" t="inlineStr">
        <is>
          <t>Kab. Ketapang</t>
        </is>
      </c>
      <c r="C29" t="inlineStr">
        <is>
          <t>085245278940</t>
        </is>
      </c>
      <c r="D29" t="inlineStr">
        <is>
          <t>cv.ahzandwip@gmail.com</t>
        </is>
      </c>
      <c r="E29" t="inlineStr">
        <is>
          <t>https://lpjk.pu.go.id/search-badan-usaha-detail/KzZGeW5wRTUwSVlJbEtRalVQM1AyUT09</t>
        </is>
      </c>
      <c r="F29" t="n">
        <v>1</v>
      </c>
      <c r="G29" t="inlineStr">
        <is>
          <t>BS001</t>
        </is>
      </c>
      <c r="H29" t="inlineStr">
        <is>
          <t>26 Juni 2023</t>
        </is>
      </c>
      <c r="I29" s="2" t="n">
        <v>46257</v>
      </c>
      <c r="J29" t="inlineStr">
        <is>
          <t>Pencabutan</t>
        </is>
      </c>
      <c r="K29" t="n">
        <v>60</v>
      </c>
      <c r="L29" t="inlineStr">
        <is>
          <t>23 Agustus 2026</t>
        </is>
      </c>
      <c r="M29" t="inlineStr">
        <is>
          <t>Konstruksi Bangunan Sipil Jalan</t>
        </is>
      </c>
      <c r="N29" t="inlineStr">
        <is>
          <t>K</t>
        </is>
      </c>
      <c r="O29" t="inlineStr">
        <is>
          <t>20230823</t>
        </is>
      </c>
      <c r="P29" t="inlineStr">
        <is>
          <t>Kalimantan Barat</t>
        </is>
      </c>
      <c r="Q29" t="inlineStr"/>
    </row>
    <row r="30">
      <c r="A30" t="inlineStr">
        <is>
          <t>AKMAL IKHWAN JAYA</t>
        </is>
      </c>
      <c r="B30" t="inlineStr">
        <is>
          <t>Kab. Kepulauan Selayar</t>
        </is>
      </c>
      <c r="C30" t="inlineStr">
        <is>
          <t>085824522852</t>
        </is>
      </c>
      <c r="D30" t="inlineStr">
        <is>
          <t>zulfikarwanri1993@gmail.com</t>
        </is>
      </c>
      <c r="E30" t="inlineStr">
        <is>
          <t>https://lpjk.pu.go.id/search-badan-usaha-detail/eHBWZFl6UHl1T29ybnhTR3YxWGdOUT09</t>
        </is>
      </c>
      <c r="F30" t="n">
        <v>1</v>
      </c>
      <c r="G30" t="inlineStr">
        <is>
          <t>BS004</t>
        </is>
      </c>
      <c r="H30" t="inlineStr">
        <is>
          <t>29 Agustus 2019</t>
        </is>
      </c>
      <c r="I30" s="2" t="n">
        <v>46257</v>
      </c>
      <c r="J30" t="inlineStr">
        <is>
          <t>Disetujui</t>
        </is>
      </c>
      <c r="K30" t="n">
        <v>60</v>
      </c>
      <c r="L30" t="inlineStr">
        <is>
          <t>23 Agustus 2026</t>
        </is>
      </c>
      <c r="M30" t="inlineStr">
        <is>
          <t>Konstruksi Jaringan Irigasi dan Drainase</t>
        </is>
      </c>
      <c r="N30" t="inlineStr">
        <is>
          <t>K</t>
        </is>
      </c>
      <c r="O30" t="inlineStr">
        <is>
          <t>20230824</t>
        </is>
      </c>
      <c r="P30" t="inlineStr">
        <is>
          <t>Sulawesi Selatan</t>
        </is>
      </c>
      <c r="Q30" t="inlineStr"/>
    </row>
    <row r="31">
      <c r="A31" t="inlineStr">
        <is>
          <t>ALAM ARTA WIJAYA</t>
        </is>
      </c>
      <c r="B31" t="inlineStr">
        <is>
          <t>Kota Tangerang Selatan</t>
        </is>
      </c>
      <c r="C31" t="inlineStr">
        <is>
          <t>081314776633</t>
        </is>
      </c>
      <c r="D31" t="inlineStr">
        <is>
          <t>alamartawijaya@yahoo.com</t>
        </is>
      </c>
      <c r="E31" t="inlineStr">
        <is>
          <t>https://lpjk.pu.go.id/search-badan-usaha-detail/TTd0RTVPRmhJR1NNMnJVNTBOUWZGUT09</t>
        </is>
      </c>
      <c r="F31" t="n">
        <v>1</v>
      </c>
      <c r="G31" t="inlineStr">
        <is>
          <t>BG009</t>
        </is>
      </c>
      <c r="H31" t="inlineStr">
        <is>
          <t>5 Desember 2019</t>
        </is>
      </c>
      <c r="I31" s="2" t="n">
        <v>46257</v>
      </c>
      <c r="J31" t="inlineStr">
        <is>
          <t>Disetujui</t>
        </is>
      </c>
      <c r="K31" t="n">
        <v>60</v>
      </c>
      <c r="L31" t="inlineStr">
        <is>
          <t>23 Agustus 2026</t>
        </is>
      </c>
      <c r="M31" t="inlineStr">
        <is>
          <t>Konstruksi Gedung Lainnya</t>
        </is>
      </c>
      <c r="N31" t="inlineStr">
        <is>
          <t>K</t>
        </is>
      </c>
      <c r="O31" t="inlineStr">
        <is>
          <t>20230816</t>
        </is>
      </c>
      <c r="P31" t="inlineStr">
        <is>
          <t>Banten</t>
        </is>
      </c>
      <c r="Q31" t="inlineStr"/>
    </row>
    <row r="32">
      <c r="A32" t="inlineStr">
        <is>
          <t>ALDILA SEJAHTERA ABADI</t>
        </is>
      </c>
      <c r="B32" t="inlineStr">
        <is>
          <t>Kab. Bandung</t>
        </is>
      </c>
      <c r="C32" t="inlineStr">
        <is>
          <t>0881022346492</t>
        </is>
      </c>
      <c r="D32" t="inlineStr">
        <is>
          <t>cvaldilasejahtera@gmail.com</t>
        </is>
      </c>
      <c r="E32" t="inlineStr">
        <is>
          <t>https://lpjk.pu.go.id/search-badan-usaha-detail/QjRyS3NmN0ExZzZiR1A0M084WTZuZz09</t>
        </is>
      </c>
      <c r="F32" t="n">
        <v>4</v>
      </c>
      <c r="G32" t="inlineStr">
        <is>
          <t>BG002, BG005, BG006, BG008</t>
        </is>
      </c>
      <c r="H32" t="inlineStr">
        <is>
          <t>20 Desember 2022</t>
        </is>
      </c>
      <c r="I32" s="2" t="n">
        <v>46257</v>
      </c>
      <c r="J32" t="inlineStr">
        <is>
          <t>Disetujui</t>
        </is>
      </c>
      <c r="K32" t="n">
        <v>60</v>
      </c>
      <c r="L32" t="inlineStr">
        <is>
          <t>23 Agustus 2026</t>
        </is>
      </c>
      <c r="M32" t="inlineStr">
        <is>
          <t>Konstruksi Gedung Kesehatan, Konstruksi Gedung Pendidikan, Konstruksi Gedung Perkantoran, Konstruksi Gedung Tempat Hiburan dan Olahraga</t>
        </is>
      </c>
      <c r="N32" t="inlineStr">
        <is>
          <t>K</t>
        </is>
      </c>
      <c r="O32" t="inlineStr">
        <is>
          <t>20230823, 20230824</t>
        </is>
      </c>
      <c r="P32" t="inlineStr">
        <is>
          <t>Jawa Barat</t>
        </is>
      </c>
      <c r="Q32" t="inlineStr"/>
    </row>
    <row r="33">
      <c r="A33" t="inlineStr">
        <is>
          <t>ALFARIZZI</t>
        </is>
      </c>
      <c r="B33" t="inlineStr">
        <is>
          <t>Kota Banda Aceh</t>
        </is>
      </c>
      <c r="C33" t="inlineStr">
        <is>
          <t>081269188223</t>
        </is>
      </c>
      <c r="D33" t="inlineStr">
        <is>
          <t>cv.alfarizzi@gmail.com</t>
        </is>
      </c>
      <c r="E33" t="inlineStr">
        <is>
          <t>https://lpjk.pu.go.id/search-badan-usaha-detail/bWpFVzRYbXBxUTBhd3U1TS9XclVPQT09</t>
        </is>
      </c>
      <c r="F33" t="n">
        <v>2</v>
      </c>
      <c r="G33" t="inlineStr">
        <is>
          <t>BG001</t>
        </is>
      </c>
      <c r="H33" t="inlineStr">
        <is>
          <t>22 Juni 2012</t>
        </is>
      </c>
      <c r="I33" s="2" t="n">
        <v>46257</v>
      </c>
      <c r="J33" t="inlineStr">
        <is>
          <t>Disetujui</t>
        </is>
      </c>
      <c r="K33" t="n">
        <v>60</v>
      </c>
      <c r="L33" t="inlineStr">
        <is>
          <t>23 Agustus 2026</t>
        </is>
      </c>
      <c r="M33" t="inlineStr">
        <is>
          <t>Konstruksi Gedung Hunian</t>
        </is>
      </c>
      <c r="N33" t="inlineStr">
        <is>
          <t>K</t>
        </is>
      </c>
      <c r="O33" t="inlineStr">
        <is>
          <t>20230810</t>
        </is>
      </c>
      <c r="P33" t="inlineStr">
        <is>
          <t>Aceh</t>
        </is>
      </c>
      <c r="Q33" t="inlineStr"/>
    </row>
    <row r="34">
      <c r="A34" t="inlineStr">
        <is>
          <t>ALFATIH MANDIRI</t>
        </is>
      </c>
      <c r="B34" t="inlineStr">
        <is>
          <t>Kab. Buru Selatan</t>
        </is>
      </c>
      <c r="C34" t="inlineStr">
        <is>
          <t>082238971545</t>
        </is>
      </c>
      <c r="D34" t="inlineStr">
        <is>
          <t>alfatihmandiri_cv@yahoo.com</t>
        </is>
      </c>
      <c r="E34" t="inlineStr">
        <is>
          <t>https://lpjk.pu.go.id/search-badan-usaha-detail/RGtLcGQ5eHQ3K2ViMXdDOVFnL1ZKQT09</t>
        </is>
      </c>
      <c r="F34" t="n">
        <v>3</v>
      </c>
      <c r="G34" t="inlineStr">
        <is>
          <t>BG002</t>
        </is>
      </c>
      <c r="H34" t="inlineStr">
        <is>
          <t>23 September 2019</t>
        </is>
      </c>
      <c r="I34" s="2" t="n">
        <v>46257</v>
      </c>
      <c r="J34" t="inlineStr">
        <is>
          <t>Disetujui</t>
        </is>
      </c>
      <c r="K34" t="n">
        <v>60</v>
      </c>
      <c r="L34" t="inlineStr">
        <is>
          <t>23 Agustus 2026</t>
        </is>
      </c>
      <c r="M34" t="inlineStr">
        <is>
          <t>Konstruksi Gedung Perkantoran</t>
        </is>
      </c>
      <c r="N34" t="inlineStr">
        <is>
          <t>K</t>
        </is>
      </c>
      <c r="O34" t="inlineStr">
        <is>
          <t>20230822</t>
        </is>
      </c>
      <c r="P34" t="inlineStr">
        <is>
          <t>Maluku</t>
        </is>
      </c>
      <c r="Q34" t="inlineStr"/>
    </row>
    <row r="35">
      <c r="A35" t="inlineStr">
        <is>
          <t>ALIFYA ANUGERAH ABADI</t>
        </is>
      </c>
      <c r="B35" t="inlineStr">
        <is>
          <t>Kota Bontang</t>
        </is>
      </c>
      <c r="C35" t="inlineStr">
        <is>
          <t>085246841451</t>
        </is>
      </c>
      <c r="D35" t="inlineStr">
        <is>
          <t>pt.alifyaanugerahabadi@gmail.com</t>
        </is>
      </c>
      <c r="E35" t="inlineStr">
        <is>
          <t>https://lpjk.pu.go.id/search-badan-usaha-detail/dkg3VGV2SDhqZS9MTUFPWGJyc2ZlUT09</t>
        </is>
      </c>
      <c r="F35" t="n">
        <v>1</v>
      </c>
      <c r="G35" t="inlineStr">
        <is>
          <t>BS001</t>
        </is>
      </c>
      <c r="H35" t="inlineStr">
        <is>
          <t>17 Maret 2022</t>
        </is>
      </c>
      <c r="I35" s="2" t="n">
        <v>46257</v>
      </c>
      <c r="J35" t="inlineStr">
        <is>
          <t>Pencabutan</t>
        </is>
      </c>
      <c r="K35" t="n">
        <v>60</v>
      </c>
      <c r="L35" t="inlineStr">
        <is>
          <t>23 Agustus 2026</t>
        </is>
      </c>
      <c r="M35" t="inlineStr">
        <is>
          <t>Konstruksi Bangunan Sipil Jalan</t>
        </is>
      </c>
      <c r="N35" t="inlineStr">
        <is>
          <t>K</t>
        </is>
      </c>
      <c r="O35" t="inlineStr">
        <is>
          <t>20230818</t>
        </is>
      </c>
      <c r="P35" t="inlineStr">
        <is>
          <t>Kalimantan Timur</t>
        </is>
      </c>
      <c r="Q35" t="inlineStr"/>
    </row>
    <row r="36">
      <c r="A36" t="inlineStr">
        <is>
          <t>ANA AMPA PERKASA</t>
        </is>
      </c>
      <c r="B36" t="inlineStr">
        <is>
          <t>Kota Jayapura</t>
        </is>
      </c>
      <c r="C36" t="inlineStr">
        <is>
          <t>081218181975</t>
        </is>
      </c>
      <c r="D36" t="inlineStr">
        <is>
          <t>cv_anaampaperkasa@yahoo.com</t>
        </is>
      </c>
      <c r="E36" t="inlineStr">
        <is>
          <t>https://lpjk.pu.go.id/search-badan-usaha-detail/Y3NqVXMxUkRBcndyWDhFL0pkQUJWdz09</t>
        </is>
      </c>
      <c r="F36" t="n">
        <v>5</v>
      </c>
      <c r="G36" t="inlineStr">
        <is>
          <t>BG001, BG002, BG005, BG006, BG009</t>
        </is>
      </c>
      <c r="H36" t="inlineStr">
        <is>
          <t>4 Juni 2018</t>
        </is>
      </c>
      <c r="I36" s="2" t="n">
        <v>46257</v>
      </c>
      <c r="J36" t="inlineStr">
        <is>
          <t>Disetujui</t>
        </is>
      </c>
      <c r="K36" t="n">
        <v>60</v>
      </c>
      <c r="L36" t="inlineStr">
        <is>
          <t>23 Agustus 2026</t>
        </is>
      </c>
      <c r="M36" t="inlineStr">
        <is>
          <t>Konstruksi Gedung Hunian, Konstruksi Gedung Kesehatan, Konstruksi Gedung Lainnya, Konstruksi Gedung Pendidikan, Konstruksi Gedung Perkantoran</t>
        </is>
      </c>
      <c r="N36" t="inlineStr">
        <is>
          <t>K</t>
        </is>
      </c>
      <c r="O36" t="inlineStr">
        <is>
          <t>20230728</t>
        </is>
      </c>
      <c r="P36" t="inlineStr">
        <is>
          <t>Papua</t>
        </is>
      </c>
      <c r="Q36" t="inlineStr"/>
    </row>
    <row r="37">
      <c r="A37" t="inlineStr">
        <is>
          <t>ANA CENDRAWASIH PERMAI</t>
        </is>
      </c>
      <c r="B37" t="inlineStr">
        <is>
          <t>Kab. Kaimana</t>
        </is>
      </c>
      <c r="C37" t="inlineStr">
        <is>
          <t>085213055840</t>
        </is>
      </c>
      <c r="D37" t="inlineStr">
        <is>
          <t>anacendrawasihpermai@gmail.com</t>
        </is>
      </c>
      <c r="E37" t="inlineStr">
        <is>
          <t>https://lpjk.pu.go.id/search-badan-usaha-detail/QXBnNzBMbTFsQXIvanlrWUtIbHIyUT09</t>
        </is>
      </c>
      <c r="F37" t="n">
        <v>1</v>
      </c>
      <c r="G37" t="inlineStr">
        <is>
          <t>BG009</t>
        </is>
      </c>
      <c r="H37" t="inlineStr">
        <is>
          <t>7 November 2016</t>
        </is>
      </c>
      <c r="I37" s="2" t="n">
        <v>46257</v>
      </c>
      <c r="J37" t="inlineStr">
        <is>
          <t>Disetujui</t>
        </is>
      </c>
      <c r="K37" t="n">
        <v>60</v>
      </c>
      <c r="L37" t="inlineStr">
        <is>
          <t>23 Agustus 2026</t>
        </is>
      </c>
      <c r="M37" t="inlineStr">
        <is>
          <t>Konstruksi Gedung Lainnya</t>
        </is>
      </c>
      <c r="N37" t="inlineStr">
        <is>
          <t>M</t>
        </is>
      </c>
      <c r="O37" t="inlineStr">
        <is>
          <t>20230816</t>
        </is>
      </c>
      <c r="P37" t="inlineStr">
        <is>
          <t>Papua Barat</t>
        </is>
      </c>
      <c r="Q37" t="inlineStr"/>
    </row>
    <row r="38">
      <c r="A38" t="inlineStr">
        <is>
          <t>ANA KARYA JAYA</t>
        </is>
      </c>
      <c r="B38" t="inlineStr">
        <is>
          <t>Kab. Asahan</t>
        </is>
      </c>
      <c r="C38" t="inlineStr">
        <is>
          <t>081268401300</t>
        </is>
      </c>
      <c r="D38" t="inlineStr">
        <is>
          <t>pt.anakaryajaya@yahoo.com</t>
        </is>
      </c>
      <c r="E38" t="inlineStr">
        <is>
          <t>https://lpjk.pu.go.id/search-badan-usaha-detail/Y0t4Zll6alJNWnBJWlFYVzF2QUUydz09</t>
        </is>
      </c>
      <c r="F38" t="n">
        <v>1</v>
      </c>
      <c r="G38" t="inlineStr">
        <is>
          <t>BG009</t>
        </is>
      </c>
      <c r="H38" t="inlineStr">
        <is>
          <t>28 April 2003</t>
        </is>
      </c>
      <c r="I38" s="2" t="n">
        <v>46257</v>
      </c>
      <c r="J38" t="inlineStr">
        <is>
          <t>Disetujui</t>
        </is>
      </c>
      <c r="K38" t="n">
        <v>60</v>
      </c>
      <c r="L38" t="inlineStr">
        <is>
          <t>23 Agustus 2026</t>
        </is>
      </c>
      <c r="M38" t="inlineStr">
        <is>
          <t>Konstruksi Gedung Lainnya</t>
        </is>
      </c>
      <c r="N38" t="inlineStr">
        <is>
          <t>M</t>
        </is>
      </c>
      <c r="O38" t="inlineStr">
        <is>
          <t>20230824</t>
        </is>
      </c>
      <c r="P38" t="inlineStr">
        <is>
          <t>Sumatera Utara</t>
        </is>
      </c>
      <c r="Q38" t="inlineStr"/>
    </row>
    <row r="39">
      <c r="A39" t="inlineStr">
        <is>
          <t>ANAKING INTI ANUGRAH</t>
        </is>
      </c>
      <c r="B39" t="inlineStr">
        <is>
          <t>Kab. Sukabumi</t>
        </is>
      </c>
      <c r="C39" t="inlineStr">
        <is>
          <t>089516819847</t>
        </is>
      </c>
      <c r="D39" t="inlineStr">
        <is>
          <t>anaking1220@gmail.com</t>
        </is>
      </c>
      <c r="E39" t="inlineStr">
        <is>
          <t>https://lpjk.pu.go.id/search-badan-usaha-detail/WWRmRXowaExnUStlN0R1TGRVblVrQT09</t>
        </is>
      </c>
      <c r="F39" t="n">
        <v>4</v>
      </c>
      <c r="G39" t="inlineStr">
        <is>
          <t>BG009, BS001</t>
        </is>
      </c>
      <c r="H39" t="inlineStr">
        <is>
          <t>8 September 2022</t>
        </is>
      </c>
      <c r="I39" s="2" t="n">
        <v>46257</v>
      </c>
      <c r="J39" t="inlineStr">
        <is>
          <t>Disetujui</t>
        </is>
      </c>
      <c r="K39" t="n">
        <v>60</v>
      </c>
      <c r="L39" t="inlineStr">
        <is>
          <t>23 Agustus 2026</t>
        </is>
      </c>
      <c r="M39" t="inlineStr">
        <is>
          <t>Konstruksi Bangunan Sipil Jalan, Konstruksi Gedung Lainnya</t>
        </is>
      </c>
      <c r="N39" t="inlineStr">
        <is>
          <t>K</t>
        </is>
      </c>
      <c r="O39" t="inlineStr">
        <is>
          <t>20230823</t>
        </is>
      </c>
      <c r="P39" t="inlineStr">
        <is>
          <t>Jawa Barat</t>
        </is>
      </c>
      <c r="Q39" t="inlineStr"/>
    </row>
    <row r="40">
      <c r="A40" t="inlineStr">
        <is>
          <t>ANDHIKA MANDIRI SEJAHTERA</t>
        </is>
      </c>
      <c r="B40" t="inlineStr">
        <is>
          <t>Kota Tarakan</t>
        </is>
      </c>
      <c r="C40" t="inlineStr">
        <is>
          <t>085247200918</t>
        </is>
      </c>
      <c r="D40" t="inlineStr">
        <is>
          <t>cv.andhika.mandiri.sejahtera@gmail.com</t>
        </is>
      </c>
      <c r="E40" t="inlineStr">
        <is>
          <t>https://lpjk.pu.go.id/search-badan-usaha-detail/RkRhaHpWZFNMbE5yWWhseXlsd0ZJZz09</t>
        </is>
      </c>
      <c r="F40" t="n">
        <v>1</v>
      </c>
      <c r="G40" t="inlineStr">
        <is>
          <t>BS004</t>
        </is>
      </c>
      <c r="H40" t="inlineStr">
        <is>
          <t>23 Desember 2009</t>
        </is>
      </c>
      <c r="I40" s="2" t="n">
        <v>46257</v>
      </c>
      <c r="J40" t="inlineStr">
        <is>
          <t>Disetujui</t>
        </is>
      </c>
      <c r="K40" t="n">
        <v>60</v>
      </c>
      <c r="L40" t="inlineStr">
        <is>
          <t>23 Agustus 2026</t>
        </is>
      </c>
      <c r="M40" t="inlineStr">
        <is>
          <t>Konstruksi Jaringan Irigasi dan Drainase</t>
        </is>
      </c>
      <c r="N40" t="inlineStr">
        <is>
          <t>K</t>
        </is>
      </c>
      <c r="O40" t="inlineStr">
        <is>
          <t>20230815</t>
        </is>
      </c>
      <c r="P40" t="inlineStr">
        <is>
          <t>Kalimantan Utara</t>
        </is>
      </c>
      <c r="Q40" t="inlineStr"/>
    </row>
    <row r="41">
      <c r="A41" t="inlineStr">
        <is>
          <t>ANEUK GALONG HISTORY</t>
        </is>
      </c>
      <c r="B41" t="inlineStr">
        <is>
          <t>Kab. Aceh Besar</t>
        </is>
      </c>
      <c r="C41" t="inlineStr">
        <is>
          <t>08126915940</t>
        </is>
      </c>
      <c r="D41" t="inlineStr">
        <is>
          <t>aneukgalonghistorycv@gmail.com</t>
        </is>
      </c>
      <c r="E41" t="inlineStr">
        <is>
          <t>https://lpjk.pu.go.id/search-badan-usaha-detail/NWhLbSs5YWFxT040WDVhRy9MRExyZz09</t>
        </is>
      </c>
      <c r="F41" t="n">
        <v>1</v>
      </c>
      <c r="G41" t="inlineStr">
        <is>
          <t>BS010</t>
        </is>
      </c>
      <c r="H41" t="inlineStr">
        <is>
          <t>13 Januari 2015</t>
        </is>
      </c>
      <c r="I41" s="2" t="n">
        <v>46257</v>
      </c>
      <c r="J41" t="inlineStr">
        <is>
          <t>Disetujui</t>
        </is>
      </c>
      <c r="K41" t="n">
        <v>60</v>
      </c>
      <c r="L41" t="inlineStr">
        <is>
          <t>23 Agustus 2026</t>
        </is>
      </c>
      <c r="M41" t="inlineStr">
        <is>
          <t>Konstruksi Bangunan Prasarana Sumber Daya Air</t>
        </is>
      </c>
      <c r="N41" t="inlineStr">
        <is>
          <t>K</t>
        </is>
      </c>
      <c r="O41" t="inlineStr">
        <is>
          <t>20230824</t>
        </is>
      </c>
      <c r="P41" t="inlineStr">
        <is>
          <t>Aceh</t>
        </is>
      </c>
      <c r="Q41" t="inlineStr"/>
    </row>
    <row r="42">
      <c r="A42" t="inlineStr">
        <is>
          <t>ANGKASA SURYA LAKSANA</t>
        </is>
      </c>
      <c r="B42" t="inlineStr">
        <is>
          <t>Kab. Jepara</t>
        </is>
      </c>
      <c r="C42" t="inlineStr">
        <is>
          <t>02914299702</t>
        </is>
      </c>
      <c r="D42" t="inlineStr">
        <is>
          <t>ptangkasasuryalaksana@gmail.com</t>
        </is>
      </c>
      <c r="E42" t="inlineStr">
        <is>
          <t>https://lpjk.pu.go.id/search-badan-usaha-detail/NE5OWmw4UXJTVHpwczF3cU9HUDlvQT09</t>
        </is>
      </c>
      <c r="F42" t="n">
        <v>4</v>
      </c>
      <c r="G42" t="inlineStr">
        <is>
          <t>AR001, AR002</t>
        </is>
      </c>
      <c r="H42" t="inlineStr">
        <is>
          <t>6 Juli 2023</t>
        </is>
      </c>
      <c r="I42" s="2" t="n">
        <v>46257</v>
      </c>
      <c r="J42" t="inlineStr">
        <is>
          <t>Disetujui</t>
        </is>
      </c>
      <c r="K42" t="n">
        <v>60</v>
      </c>
      <c r="L42" t="inlineStr">
        <is>
          <t>23 Agustus 2026</t>
        </is>
      </c>
      <c r="M42" t="inlineStr">
        <is>
          <t>Jasa Arsitektural Bangunan Gedung Hunian dan Non Hunian, Jasa Arsitektural Lainnya</t>
        </is>
      </c>
      <c r="N42" t="inlineStr">
        <is>
          <t>K</t>
        </is>
      </c>
      <c r="O42" t="inlineStr">
        <is>
          <t>20230816</t>
        </is>
      </c>
      <c r="P42" t="inlineStr">
        <is>
          <t>Jawa Tengah</t>
        </is>
      </c>
      <c r="Q42" t="inlineStr"/>
    </row>
    <row r="43">
      <c r="A43" t="inlineStr">
        <is>
          <t>ANISA GEMILANG NUSANTARA</t>
        </is>
      </c>
      <c r="B43" t="inlineStr">
        <is>
          <t>Kab. Penajam Paser Utara</t>
        </is>
      </c>
      <c r="C43" t="inlineStr">
        <is>
          <t>085845498533</t>
        </is>
      </c>
      <c r="D43" t="inlineStr">
        <is>
          <t>anisagemilangnusantara@gmail.com</t>
        </is>
      </c>
      <c r="E43" t="inlineStr">
        <is>
          <t>https://lpjk.pu.go.id/search-badan-usaha-detail/NlZIL2ZDZlh5OE1DUjlvODhMRzhJUT09</t>
        </is>
      </c>
      <c r="F43" t="n">
        <v>2</v>
      </c>
      <c r="G43" t="inlineStr">
        <is>
          <t>BG005</t>
        </is>
      </c>
      <c r="H43" t="inlineStr">
        <is>
          <t>30 Maret 2023</t>
        </is>
      </c>
      <c r="I43" s="2" t="n">
        <v>46257</v>
      </c>
      <c r="J43" t="inlineStr">
        <is>
          <t>Disetujui</t>
        </is>
      </c>
      <c r="K43" t="n">
        <v>60</v>
      </c>
      <c r="L43" t="inlineStr">
        <is>
          <t>23 Agustus 2026</t>
        </is>
      </c>
      <c r="M43" t="inlineStr">
        <is>
          <t>Konstruksi Gedung Kesehatan</t>
        </is>
      </c>
      <c r="N43" t="inlineStr">
        <is>
          <t>K</t>
        </is>
      </c>
      <c r="O43" t="inlineStr">
        <is>
          <t>20230821</t>
        </is>
      </c>
      <c r="P43" t="inlineStr">
        <is>
          <t>Kalimantan Timur</t>
        </is>
      </c>
      <c r="Q43" t="inlineStr"/>
    </row>
    <row r="44">
      <c r="A44" t="inlineStr">
        <is>
          <t>ANUGERAH BERDIKARI MAKMUR</t>
        </is>
      </c>
      <c r="B44" t="inlineStr">
        <is>
          <t>Kota Medan</t>
        </is>
      </c>
      <c r="C44" t="inlineStr">
        <is>
          <t>082276065234</t>
        </is>
      </c>
      <c r="D44" t="inlineStr">
        <is>
          <t>anugerahberdikarimakmur19@gmail.com</t>
        </is>
      </c>
      <c r="E44" t="inlineStr">
        <is>
          <t>https://lpjk.pu.go.id/search-badan-usaha-detail/TkplMDRmTzJlcStUVXFYLzdJbEFkZz09</t>
        </is>
      </c>
      <c r="F44" t="n">
        <v>1</v>
      </c>
      <c r="G44" t="inlineStr">
        <is>
          <t>BS004</t>
        </is>
      </c>
      <c r="H44" t="inlineStr">
        <is>
          <t>15 Maret 2016</t>
        </is>
      </c>
      <c r="I44" s="2" t="n">
        <v>46257</v>
      </c>
      <c r="J44" t="inlineStr">
        <is>
          <t>Disetujui</t>
        </is>
      </c>
      <c r="K44" t="n">
        <v>60</v>
      </c>
      <c r="L44" t="inlineStr">
        <is>
          <t>23 Agustus 2026</t>
        </is>
      </c>
      <c r="M44" t="inlineStr">
        <is>
          <t>Konstruksi Jaringan Irigasi dan Drainase</t>
        </is>
      </c>
      <c r="N44" t="inlineStr">
        <is>
          <t>K</t>
        </is>
      </c>
      <c r="O44" t="inlineStr">
        <is>
          <t>20230721</t>
        </is>
      </c>
      <c r="P44" t="inlineStr">
        <is>
          <t>Sumatera Utara</t>
        </is>
      </c>
      <c r="Q44" t="inlineStr"/>
    </row>
    <row r="45">
      <c r="A45" t="inlineStr">
        <is>
          <t>ANUGERAH GEMILANG</t>
        </is>
      </c>
      <c r="B45" t="inlineStr">
        <is>
          <t>Kota Padang Sidempuan</t>
        </is>
      </c>
      <c r="C45" t="inlineStr">
        <is>
          <t>081269698383</t>
        </is>
      </c>
      <c r="D45" t="inlineStr">
        <is>
          <t>cvanugrahgemilang92@gmail.com</t>
        </is>
      </c>
      <c r="E45" t="inlineStr">
        <is>
          <t>https://lpjk.pu.go.id/search-badan-usaha-detail/R3RGeTlyTXhQK3FQSTNidm1SVkFhZz09</t>
        </is>
      </c>
      <c r="F45" t="n">
        <v>1</v>
      </c>
      <c r="G45" t="inlineStr">
        <is>
          <t>BG006</t>
        </is>
      </c>
      <c r="H45" t="inlineStr">
        <is>
          <t>10 Oktober 2017</t>
        </is>
      </c>
      <c r="I45" s="2" t="n">
        <v>46257</v>
      </c>
      <c r="J45" t="inlineStr">
        <is>
          <t>Disetujui</t>
        </is>
      </c>
      <c r="K45" t="n">
        <v>60</v>
      </c>
      <c r="L45" t="inlineStr">
        <is>
          <t>23 Agustus 2026</t>
        </is>
      </c>
      <c r="M45" t="inlineStr">
        <is>
          <t>Konstruksi Gedung Pendidikan</t>
        </is>
      </c>
      <c r="N45" t="inlineStr">
        <is>
          <t>K</t>
        </is>
      </c>
      <c r="O45" t="inlineStr">
        <is>
          <t>20230808</t>
        </is>
      </c>
      <c r="P45" t="inlineStr">
        <is>
          <t>Sumatera Utara</t>
        </is>
      </c>
      <c r="Q45" t="inlineStr"/>
    </row>
    <row r="46">
      <c r="A46" t="inlineStr">
        <is>
          <t>ANUGERAH MUTIARA MULIA</t>
        </is>
      </c>
      <c r="B46" t="inlineStr">
        <is>
          <t>Kota Ternate</t>
        </is>
      </c>
      <c r="C46" t="inlineStr">
        <is>
          <t>082195578647</t>
        </is>
      </c>
      <c r="D46" t="inlineStr">
        <is>
          <t>cv.anugerahmutiaramulia@gmail.com</t>
        </is>
      </c>
      <c r="E46" t="inlineStr">
        <is>
          <t>https://lpjk.pu.go.id/search-badan-usaha-detail/dXhtTGNwVGVRd0JMUkFxOWhUcEZWUT09</t>
        </is>
      </c>
      <c r="F46" t="n">
        <v>3</v>
      </c>
      <c r="G46" t="inlineStr">
        <is>
          <t>BG009, BS001, BS010</t>
        </is>
      </c>
      <c r="H46" t="inlineStr">
        <is>
          <t>19 Mei 2022</t>
        </is>
      </c>
      <c r="I46" s="2" t="n">
        <v>46257</v>
      </c>
      <c r="J46" t="inlineStr">
        <is>
          <t>Disetujui</t>
        </is>
      </c>
      <c r="K46" t="n">
        <v>60</v>
      </c>
      <c r="L46" t="inlineStr">
        <is>
          <t>23 Agustus 2026</t>
        </is>
      </c>
      <c r="M46" t="inlineStr">
        <is>
          <t>Konstruksi Bangunan Prasarana Sumber Daya Air, Konstruksi Bangunan Sipil Jalan, Konstruksi Gedung Lainnya</t>
        </is>
      </c>
      <c r="N46" t="inlineStr">
        <is>
          <t>K</t>
        </is>
      </c>
      <c r="O46" t="inlineStr">
        <is>
          <t>20230816</t>
        </is>
      </c>
      <c r="P46" t="inlineStr">
        <is>
          <t>Maluku Utara</t>
        </is>
      </c>
      <c r="Q46" t="inlineStr"/>
    </row>
    <row r="47">
      <c r="A47" t="inlineStr">
        <is>
          <t>ANUGRAH EZZY PERKASA</t>
        </is>
      </c>
      <c r="B47" t="inlineStr">
        <is>
          <t>Kota Bandung</t>
        </is>
      </c>
      <c r="C47" t="inlineStr">
        <is>
          <t>081321318186</t>
        </is>
      </c>
      <c r="D47" t="inlineStr">
        <is>
          <t>ezzyperkasabandung@gmail.com</t>
        </is>
      </c>
      <c r="E47" t="inlineStr">
        <is>
          <t>https://lpjk.pu.go.id/search-badan-usaha-detail/WFRkZzh0QWhRUUYxT05PTUpTRFJpQT09</t>
        </is>
      </c>
      <c r="F47" t="n">
        <v>4</v>
      </c>
      <c r="G47" t="inlineStr">
        <is>
          <t>RK002, RK005</t>
        </is>
      </c>
      <c r="H47" t="inlineStr">
        <is>
          <t>14 Oktober 2014</t>
        </is>
      </c>
      <c r="I47" s="2" t="n">
        <v>46257</v>
      </c>
      <c r="J47" t="inlineStr">
        <is>
          <t>Disetujui</t>
        </is>
      </c>
      <c r="K47" t="n">
        <v>60</v>
      </c>
      <c r="L47" t="inlineStr">
        <is>
          <t>23 Agustus 2026</t>
        </is>
      </c>
      <c r="M47" t="inlineStr">
        <is>
          <t>Jasa Rekayasa Lainnya, Jasa Rekayasa Pekerjaan Teknik Sipil Sumber Daya Air</t>
        </is>
      </c>
      <c r="N47" t="inlineStr">
        <is>
          <t>K</t>
        </is>
      </c>
      <c r="O47" t="inlineStr">
        <is>
          <t>20230803</t>
        </is>
      </c>
      <c r="P47" t="inlineStr">
        <is>
          <t>Jawa Barat</t>
        </is>
      </c>
      <c r="Q47" t="inlineStr"/>
    </row>
    <row r="48">
      <c r="A48" t="inlineStr">
        <is>
          <t>ARGANTA PRATAMA</t>
        </is>
      </c>
      <c r="B48" t="inlineStr">
        <is>
          <t>Kota Medan</t>
        </is>
      </c>
      <c r="C48" t="inlineStr">
        <is>
          <t>082163942207</t>
        </is>
      </c>
      <c r="D48" t="inlineStr">
        <is>
          <t>cvargantapratama@gmail.com</t>
        </is>
      </c>
      <c r="E48" t="inlineStr">
        <is>
          <t>https://lpjk.pu.go.id/search-badan-usaha-detail/SkxBWmJtV0lEOGF6UTBHUVpvd1Vtdz09</t>
        </is>
      </c>
      <c r="F48" t="n">
        <v>2</v>
      </c>
      <c r="G48" t="inlineStr">
        <is>
          <t>BG006, BG009</t>
        </is>
      </c>
      <c r="H48" t="inlineStr">
        <is>
          <t>23 Desember 2022</t>
        </is>
      </c>
      <c r="I48" s="2" t="n">
        <v>46257</v>
      </c>
      <c r="J48" t="inlineStr">
        <is>
          <t>Disetujui</t>
        </is>
      </c>
      <c r="K48" t="n">
        <v>60</v>
      </c>
      <c r="L48" t="inlineStr">
        <is>
          <t>23 Agustus 2026</t>
        </is>
      </c>
      <c r="M48" t="inlineStr">
        <is>
          <t>Konstruksi Gedung Lainnya, Konstruksi Gedung Pendidikan</t>
        </is>
      </c>
      <c r="N48" t="inlineStr">
        <is>
          <t>K</t>
        </is>
      </c>
      <c r="O48" t="inlineStr">
        <is>
          <t>20230823</t>
        </is>
      </c>
      <c r="P48" t="inlineStr">
        <is>
          <t>Sumatera Utara</t>
        </is>
      </c>
      <c r="Q48" t="inlineStr"/>
    </row>
    <row r="49">
      <c r="A49" t="inlineStr">
        <is>
          <t>ARSIKON KARYA PERSADA</t>
        </is>
      </c>
      <c r="B49" t="inlineStr">
        <is>
          <t>Kab. Natuna</t>
        </is>
      </c>
      <c r="C49" t="inlineStr">
        <is>
          <t>08117788986</t>
        </is>
      </c>
      <c r="D49" t="inlineStr">
        <is>
          <t>arsikonkaryapersada@gmail.com</t>
        </is>
      </c>
      <c r="E49" t="inlineStr">
        <is>
          <t>https://lpjk.pu.go.id/search-badan-usaha-detail/NW9welU5QjlaWlpwT0w5T25wUEd6dz09</t>
        </is>
      </c>
      <c r="F49" t="n">
        <v>2</v>
      </c>
      <c r="G49" t="inlineStr">
        <is>
          <t>BS001, BS004</t>
        </is>
      </c>
      <c r="H49" t="inlineStr">
        <is>
          <t>27 Mei 2023</t>
        </is>
      </c>
      <c r="I49" s="2" t="n">
        <v>46257</v>
      </c>
      <c r="J49" t="inlineStr">
        <is>
          <t>Disetujui, Pencabutan</t>
        </is>
      </c>
      <c r="K49" t="n">
        <v>60</v>
      </c>
      <c r="L49" t="inlineStr">
        <is>
          <t>23 Agustus 2026</t>
        </is>
      </c>
      <c r="M49" t="inlineStr">
        <is>
          <t>Konstruksi Bangunan Sipil Jalan, Konstruksi Jaringan Irigasi dan Drainase</t>
        </is>
      </c>
      <c r="N49" t="inlineStr">
        <is>
          <t>K</t>
        </is>
      </c>
      <c r="O49" t="inlineStr">
        <is>
          <t>20230823</t>
        </is>
      </c>
      <c r="P49" t="inlineStr">
        <is>
          <t>Kepulauan Riau</t>
        </is>
      </c>
      <c r="Q49" t="inlineStr"/>
    </row>
    <row r="50">
      <c r="A50" t="inlineStr">
        <is>
          <t>ASTA JAYA</t>
        </is>
      </c>
      <c r="B50" t="inlineStr">
        <is>
          <t>Kota Medan</t>
        </is>
      </c>
      <c r="C50" t="inlineStr">
        <is>
          <t>085360195453</t>
        </is>
      </c>
      <c r="D50" t="inlineStr">
        <is>
          <t>astajayacv@gmail.com</t>
        </is>
      </c>
      <c r="E50" t="inlineStr">
        <is>
          <t>https://lpjk.pu.go.id/search-badan-usaha-detail/K2tYQmRMbFozaTJrSTRnTFJtYnJtUT09</t>
        </is>
      </c>
      <c r="F50" t="n">
        <v>1</v>
      </c>
      <c r="G50" t="inlineStr">
        <is>
          <t>RK005</t>
        </is>
      </c>
      <c r="H50" t="inlineStr">
        <is>
          <t>25 Maret 2015</t>
        </is>
      </c>
      <c r="I50" s="2" t="n">
        <v>46257</v>
      </c>
      <c r="J50" t="inlineStr">
        <is>
          <t>Disetujui</t>
        </is>
      </c>
      <c r="K50" t="n">
        <v>60</v>
      </c>
      <c r="L50" t="inlineStr">
        <is>
          <t>23 Agustus 2026</t>
        </is>
      </c>
      <c r="M50" t="inlineStr">
        <is>
          <t>Jasa Rekayasa Lainnya</t>
        </is>
      </c>
      <c r="N50" t="inlineStr">
        <is>
          <t>K</t>
        </is>
      </c>
      <c r="O50" t="inlineStr">
        <is>
          <t>20230809</t>
        </is>
      </c>
      <c r="P50" t="inlineStr">
        <is>
          <t>Sumatera Utara</t>
        </is>
      </c>
      <c r="Q50" t="inlineStr"/>
    </row>
    <row r="51">
      <c r="A51" t="inlineStr">
        <is>
          <t>AUDI DAYA PERKASA</t>
        </is>
      </c>
      <c r="B51" t="inlineStr">
        <is>
          <t>Kab. Bengkayang</t>
        </is>
      </c>
      <c r="C51" t="inlineStr">
        <is>
          <t>081348794973</t>
        </is>
      </c>
      <c r="D51" t="inlineStr">
        <is>
          <t>audidayaperkasa@gmail.com</t>
        </is>
      </c>
      <c r="E51" t="inlineStr">
        <is>
          <t>https://lpjk.pu.go.id/search-badan-usaha-detail/NVpCa21JWjVYd3pnYk5VQTVoQ3ZUdz09</t>
        </is>
      </c>
      <c r="F51" t="n">
        <v>1</v>
      </c>
      <c r="G51" t="inlineStr">
        <is>
          <t>BG006</t>
        </is>
      </c>
      <c r="H51" t="inlineStr">
        <is>
          <t>28 Juni 2022</t>
        </is>
      </c>
      <c r="I51" s="2" t="n">
        <v>46257</v>
      </c>
      <c r="J51" t="inlineStr">
        <is>
          <t>Disetujui</t>
        </is>
      </c>
      <c r="K51" t="n">
        <v>60</v>
      </c>
      <c r="L51" t="inlineStr">
        <is>
          <t>23 Agustus 2026</t>
        </is>
      </c>
      <c r="M51" t="inlineStr">
        <is>
          <t>Konstruksi Gedung Pendidikan</t>
        </is>
      </c>
      <c r="N51" t="inlineStr">
        <is>
          <t>K</t>
        </is>
      </c>
      <c r="O51" t="inlineStr">
        <is>
          <t>20230824</t>
        </is>
      </c>
      <c r="P51" t="inlineStr">
        <is>
          <t>Kalimantan Barat</t>
        </is>
      </c>
      <c r="Q51" t="inlineStr"/>
    </row>
    <row r="52">
      <c r="A52" t="inlineStr">
        <is>
          <t>AZKA ARTHA GEMILANG</t>
        </is>
      </c>
      <c r="B52" t="inlineStr">
        <is>
          <t>Kab. Pasuruan</t>
        </is>
      </c>
      <c r="C52" t="inlineStr">
        <is>
          <t>082266009261</t>
        </is>
      </c>
      <c r="D52" t="inlineStr">
        <is>
          <t>azkaarthagemilang@gmail.com</t>
        </is>
      </c>
      <c r="E52" t="inlineStr">
        <is>
          <t>https://lpjk.pu.go.id/search-badan-usaha-detail/Vk1TeE5wSjFMb29OazMvWXQ5QmJaZz09</t>
        </is>
      </c>
      <c r="F52" t="n">
        <v>1</v>
      </c>
      <c r="G52" t="inlineStr">
        <is>
          <t>BG004</t>
        </is>
      </c>
      <c r="H52" t="inlineStr">
        <is>
          <t>10 Juni 2023</t>
        </is>
      </c>
      <c r="I52" s="2" t="n">
        <v>46257</v>
      </c>
      <c r="J52" t="inlineStr">
        <is>
          <t>Disetujui</t>
        </is>
      </c>
      <c r="K52" t="n">
        <v>60</v>
      </c>
      <c r="L52" t="inlineStr">
        <is>
          <t>23 Agustus 2026</t>
        </is>
      </c>
      <c r="M52" t="inlineStr">
        <is>
          <t>Konstruksi Gedung Perbelanjaan</t>
        </is>
      </c>
      <c r="N52" t="inlineStr">
        <is>
          <t>K</t>
        </is>
      </c>
      <c r="O52" t="inlineStr">
        <is>
          <t>20230821</t>
        </is>
      </c>
      <c r="P52" t="inlineStr">
        <is>
          <t>Jawa Timur</t>
        </is>
      </c>
      <c r="Q52" t="inlineStr"/>
    </row>
    <row r="53">
      <c r="A53" t="inlineStr">
        <is>
          <t>BAGJA PUTRA KONSTRUKSI</t>
        </is>
      </c>
      <c r="B53" t="inlineStr">
        <is>
          <t>Kab. Sukabumi</t>
        </is>
      </c>
      <c r="C53" t="inlineStr">
        <is>
          <t>085860433938</t>
        </is>
      </c>
      <c r="D53" t="inlineStr">
        <is>
          <t>xmoellah@gmail.com</t>
        </is>
      </c>
      <c r="E53" t="inlineStr">
        <is>
          <t>https://lpjk.pu.go.id/search-badan-usaha-detail/c2lhMlpzWTVUWS9KTkxKTXZ1WDhPdz09</t>
        </is>
      </c>
      <c r="F53" t="n">
        <v>1</v>
      </c>
      <c r="G53" t="inlineStr">
        <is>
          <t>BS001</t>
        </is>
      </c>
      <c r="H53" t="inlineStr">
        <is>
          <t>14 Maret 2012</t>
        </is>
      </c>
      <c r="I53" s="2" t="n">
        <v>46257</v>
      </c>
      <c r="J53" t="inlineStr">
        <is>
          <t>Disetujui</t>
        </is>
      </c>
      <c r="K53" t="n">
        <v>60</v>
      </c>
      <c r="L53" t="inlineStr">
        <is>
          <t>23 Agustus 2026</t>
        </is>
      </c>
      <c r="M53" t="inlineStr">
        <is>
          <t>Konstruksi Bangunan Sipil Jalan</t>
        </is>
      </c>
      <c r="N53" t="inlineStr">
        <is>
          <t>K</t>
        </is>
      </c>
      <c r="O53" t="inlineStr">
        <is>
          <t>20230812</t>
        </is>
      </c>
      <c r="P53" t="inlineStr">
        <is>
          <t>Jawa Barat</t>
        </is>
      </c>
      <c r="Q53" t="inlineStr"/>
    </row>
    <row r="54">
      <c r="A54" t="inlineStr">
        <is>
          <t>BANGUN SARANA PAPUA</t>
        </is>
      </c>
      <c r="B54" t="inlineStr">
        <is>
          <t>Kab. Boven Digoel</t>
        </is>
      </c>
      <c r="C54" t="inlineStr">
        <is>
          <t>081294363911</t>
        </is>
      </c>
      <c r="D54" t="inlineStr">
        <is>
          <t>cv.bangunsaranapapua@gmail.com</t>
        </is>
      </c>
      <c r="E54" t="inlineStr">
        <is>
          <t>https://lpjk.pu.go.id/search-badan-usaha-detail/Mi9PeGVseGVwaE1zRnBrdWhVQ1dSdz09</t>
        </is>
      </c>
      <c r="F54" t="n">
        <v>1</v>
      </c>
      <c r="G54" t="inlineStr">
        <is>
          <t>BS001</t>
        </is>
      </c>
      <c r="H54" t="inlineStr">
        <is>
          <t>8 Juli 2022</t>
        </is>
      </c>
      <c r="I54" s="2" t="n">
        <v>46257</v>
      </c>
      <c r="J54" t="inlineStr">
        <is>
          <t>Disetujui</t>
        </is>
      </c>
      <c r="K54" t="n">
        <v>60</v>
      </c>
      <c r="L54" t="inlineStr">
        <is>
          <t>23 Agustus 2026</t>
        </is>
      </c>
      <c r="M54" t="inlineStr">
        <is>
          <t>Konstruksi Bangunan Sipil Jalan</t>
        </is>
      </c>
      <c r="N54" t="inlineStr">
        <is>
          <t>K</t>
        </is>
      </c>
      <c r="O54" t="inlineStr">
        <is>
          <t>20230824</t>
        </is>
      </c>
      <c r="P54" t="inlineStr">
        <is>
          <t>Papua Selatan</t>
        </is>
      </c>
      <c r="Q54" t="inlineStr"/>
    </row>
    <row r="55">
      <c r="A55" t="inlineStr">
        <is>
          <t>BANGUNAN TEKNIK GRUP</t>
        </is>
      </c>
      <c r="B55" t="inlineStr">
        <is>
          <t>Kota Adm. Jakarta Utara</t>
        </is>
      </c>
      <c r="C55" t="inlineStr">
        <is>
          <t>0216614253</t>
        </is>
      </c>
      <c r="D55" t="inlineStr">
        <is>
          <t>csrelationcare@gmail.com</t>
        </is>
      </c>
      <c r="E55" t="inlineStr">
        <is>
          <t>https://lpjk.pu.go.id/search-badan-usaha-detail/MmRGVy80dzVNTk1la3B1Z0JRRFVqZz09</t>
        </is>
      </c>
      <c r="F55" t="n">
        <v>3</v>
      </c>
      <c r="G55" t="inlineStr">
        <is>
          <t>BG004, BG008, BG009</t>
        </is>
      </c>
      <c r="H55" t="inlineStr">
        <is>
          <t>9 Oktober 2017</t>
        </is>
      </c>
      <c r="I55" s="2" t="n">
        <v>46257</v>
      </c>
      <c r="J55" t="inlineStr">
        <is>
          <t>Disetujui</t>
        </is>
      </c>
      <c r="K55" t="n">
        <v>60</v>
      </c>
      <c r="L55" t="inlineStr">
        <is>
          <t>23 Agustus 2026</t>
        </is>
      </c>
      <c r="M55" t="inlineStr">
        <is>
          <t>Konstruksi Gedung Lainnya, Konstruksi Gedung Perbelanjaan, Konstruksi Gedung Tempat Hiburan dan Olahraga</t>
        </is>
      </c>
      <c r="N55" t="inlineStr">
        <is>
          <t>K</t>
        </is>
      </c>
      <c r="O55" t="inlineStr">
        <is>
          <t>20230804</t>
        </is>
      </c>
      <c r="P55" t="inlineStr">
        <is>
          <t>DKI Jakarta</t>
        </is>
      </c>
      <c r="Q55" t="inlineStr"/>
    </row>
    <row r="56">
      <c r="A56" t="inlineStr">
        <is>
          <t>BAROKAH</t>
        </is>
      </c>
      <c r="B56" t="inlineStr">
        <is>
          <t>Kab. Nagan Raya</t>
        </is>
      </c>
      <c r="C56" t="inlineStr">
        <is>
          <t>081360491691</t>
        </is>
      </c>
      <c r="D56" t="inlineStr">
        <is>
          <t>barokah.musliadi@gmail.com</t>
        </is>
      </c>
      <c r="E56" t="inlineStr">
        <is>
          <t>https://lpjk.pu.go.id/search-badan-usaha-detail/bk9ST2hlZTJOWGIwQk9hRVFtSkhYUT09</t>
        </is>
      </c>
      <c r="F56" t="n">
        <v>4</v>
      </c>
      <c r="G56" t="inlineStr">
        <is>
          <t>BS002, BS004</t>
        </is>
      </c>
      <c r="H56" t="inlineStr">
        <is>
          <t>10 Juli 2014</t>
        </is>
      </c>
      <c r="I56" s="2" t="n">
        <v>46257</v>
      </c>
      <c r="J56" t="inlineStr">
        <is>
          <t>Disetujui</t>
        </is>
      </c>
      <c r="K56" t="n">
        <v>60</v>
      </c>
      <c r="L56" t="inlineStr">
        <is>
          <t>23 Agustus 2026</t>
        </is>
      </c>
      <c r="M56" t="inlineStr">
        <is>
          <t>Bangunan Sipil Jembatan, Jalan Layang, Fly Over, dan Underpass, Konstruksi Jaringan Irigasi dan Drainase</t>
        </is>
      </c>
      <c r="N56" t="inlineStr">
        <is>
          <t>K</t>
        </is>
      </c>
      <c r="O56" t="inlineStr">
        <is>
          <t>20230818</t>
        </is>
      </c>
      <c r="P56" t="inlineStr">
        <is>
          <t>Aceh</t>
        </is>
      </c>
      <c r="Q56" t="inlineStr"/>
    </row>
    <row r="57">
      <c r="A57" t="inlineStr">
        <is>
          <t>BEN PUTRA JAYA</t>
        </is>
      </c>
      <c r="B57" t="inlineStr">
        <is>
          <t>Kota Ambon</t>
        </is>
      </c>
      <c r="C57" t="inlineStr">
        <is>
          <t>081343221288</t>
        </is>
      </c>
      <c r="D57" t="inlineStr">
        <is>
          <t>benpuja_cv@yahoo.co.id</t>
        </is>
      </c>
      <c r="E57" t="inlineStr">
        <is>
          <t>https://lpjk.pu.go.id/search-badan-usaha-detail/b1M4VXA0ckFuYVVTNmpEUVBhZEVwQT09</t>
        </is>
      </c>
      <c r="F57" t="n">
        <v>3</v>
      </c>
      <c r="G57" t="inlineStr">
        <is>
          <t>BG002, BG005, BG006</t>
        </is>
      </c>
      <c r="H57" t="inlineStr">
        <is>
          <t>23 Januari 2009</t>
        </is>
      </c>
      <c r="I57" s="2" t="n">
        <v>46257</v>
      </c>
      <c r="J57" t="inlineStr">
        <is>
          <t>Disetujui</t>
        </is>
      </c>
      <c r="K57" t="n">
        <v>60</v>
      </c>
      <c r="L57" t="inlineStr">
        <is>
          <t>23 Agustus 2026</t>
        </is>
      </c>
      <c r="M57" t="inlineStr">
        <is>
          <t>Konstruksi Gedung Kesehatan, Konstruksi Gedung Pendidikan, Konstruksi Gedung Perkantoran</t>
        </is>
      </c>
      <c r="N57" t="inlineStr">
        <is>
          <t>K</t>
        </is>
      </c>
      <c r="O57" t="inlineStr">
        <is>
          <t>20230822</t>
        </is>
      </c>
      <c r="P57" t="inlineStr">
        <is>
          <t>Maluku</t>
        </is>
      </c>
      <c r="Q57" t="inlineStr"/>
    </row>
    <row r="58">
      <c r="A58" t="inlineStr">
        <is>
          <t>BENUA ISTANA RAYA</t>
        </is>
      </c>
      <c r="B58" t="inlineStr">
        <is>
          <t>Kab. Ketapang</t>
        </is>
      </c>
      <c r="C58" t="inlineStr">
        <is>
          <t>081258920438</t>
        </is>
      </c>
      <c r="D58" t="inlineStr">
        <is>
          <t>edisusanto04318@gmail.com</t>
        </is>
      </c>
      <c r="E58" t="inlineStr">
        <is>
          <t>https://lpjk.pu.go.id/search-badan-usaha-detail/UmdmOUd3dFNOa3RMUzVKWEhnM1pwdz09</t>
        </is>
      </c>
      <c r="F58" t="n">
        <v>1</v>
      </c>
      <c r="G58" t="inlineStr">
        <is>
          <t>BG001</t>
        </is>
      </c>
      <c r="H58" t="inlineStr">
        <is>
          <t>26 Maret 2013</t>
        </is>
      </c>
      <c r="I58" s="2" t="n">
        <v>46257</v>
      </c>
      <c r="J58" t="inlineStr">
        <is>
          <t>Disetujui</t>
        </is>
      </c>
      <c r="K58" t="n">
        <v>60</v>
      </c>
      <c r="L58" t="inlineStr">
        <is>
          <t>23 Agustus 2026</t>
        </is>
      </c>
      <c r="M58" t="inlineStr">
        <is>
          <t>Konstruksi Gedung Hunian</t>
        </is>
      </c>
      <c r="N58" t="inlineStr">
        <is>
          <t>K</t>
        </is>
      </c>
      <c r="O58" t="inlineStr">
        <is>
          <t>20230816</t>
        </is>
      </c>
      <c r="P58" t="inlineStr">
        <is>
          <t>Kalimantan Barat</t>
        </is>
      </c>
      <c r="Q58" t="inlineStr"/>
    </row>
    <row r="59">
      <c r="A59" t="inlineStr">
        <is>
          <t>BERKAH</t>
        </is>
      </c>
      <c r="B59" t="inlineStr">
        <is>
          <t>Kota Sorong</t>
        </is>
      </c>
      <c r="C59" t="inlineStr">
        <is>
          <t>085244154999</t>
        </is>
      </c>
      <c r="D59" t="inlineStr">
        <is>
          <t>berkah.sorong@yahoo.com</t>
        </is>
      </c>
      <c r="E59" t="inlineStr">
        <is>
          <t>https://lpjk.pu.go.id/search-badan-usaha-detail/OVdYTVc3cy9jdzk0b1NRdnV5aWNnUT09</t>
        </is>
      </c>
      <c r="F59" t="n">
        <v>2</v>
      </c>
      <c r="G59" t="inlineStr">
        <is>
          <t>BG009</t>
        </is>
      </c>
      <c r="H59" t="inlineStr">
        <is>
          <t>7 Mei 2007</t>
        </is>
      </c>
      <c r="I59" s="2" t="n">
        <v>46257</v>
      </c>
      <c r="J59" t="inlineStr">
        <is>
          <t>Pencabutan</t>
        </is>
      </c>
      <c r="K59" t="n">
        <v>60</v>
      </c>
      <c r="L59" t="inlineStr">
        <is>
          <t>23 Agustus 2026</t>
        </is>
      </c>
      <c r="M59" t="inlineStr">
        <is>
          <t>Konstruksi Gedung Lainnya</t>
        </is>
      </c>
      <c r="N59" t="inlineStr">
        <is>
          <t>K</t>
        </is>
      </c>
      <c r="O59" t="inlineStr">
        <is>
          <t>20230818</t>
        </is>
      </c>
      <c r="P59" t="inlineStr">
        <is>
          <t>Papua Barat</t>
        </is>
      </c>
      <c r="Q59" t="inlineStr"/>
    </row>
    <row r="60">
      <c r="A60" t="inlineStr">
        <is>
          <t>BERKAH REZEKI AZHAR</t>
        </is>
      </c>
      <c r="B60" t="inlineStr">
        <is>
          <t>Kab. Tanah Bumbu</t>
        </is>
      </c>
      <c r="C60" t="inlineStr">
        <is>
          <t>082255314060</t>
        </is>
      </c>
      <c r="D60" t="inlineStr">
        <is>
          <t>cv.berkahrezekiazhar@gmail.com</t>
        </is>
      </c>
      <c r="E60" t="inlineStr">
        <is>
          <t>https://lpjk.pu.go.id/search-badan-usaha-detail/RnNiamdYVjE0MGdxK01VcldzM3Rxdz09</t>
        </is>
      </c>
      <c r="F60" t="n">
        <v>4</v>
      </c>
      <c r="G60" t="inlineStr">
        <is>
          <t>BG006, BG009</t>
        </is>
      </c>
      <c r="H60" t="inlineStr">
        <is>
          <t>11 Mei 2023</t>
        </is>
      </c>
      <c r="I60" s="2" t="n">
        <v>46257</v>
      </c>
      <c r="J60" t="inlineStr">
        <is>
          <t>Disetujui</t>
        </is>
      </c>
      <c r="K60" t="n">
        <v>60</v>
      </c>
      <c r="L60" t="inlineStr">
        <is>
          <t>23 Agustus 2026</t>
        </is>
      </c>
      <c r="M60" t="inlineStr">
        <is>
          <t>Konstruksi Gedung Lainnya, Konstruksi Gedung Pendidikan</t>
        </is>
      </c>
      <c r="N60" t="inlineStr">
        <is>
          <t>K</t>
        </is>
      </c>
      <c r="O60" t="inlineStr">
        <is>
          <t>20230816</t>
        </is>
      </c>
      <c r="P60" t="inlineStr">
        <is>
          <t>Kalimantan Selatan</t>
        </is>
      </c>
      <c r="Q60" t="inlineStr"/>
    </row>
    <row r="61">
      <c r="A61" t="inlineStr">
        <is>
          <t>BERKAH ROBBIY</t>
        </is>
      </c>
      <c r="B61" t="inlineStr">
        <is>
          <t>Kab. Ketapang</t>
        </is>
      </c>
      <c r="C61" t="inlineStr">
        <is>
          <t>081251954151</t>
        </is>
      </c>
      <c r="D61" t="inlineStr">
        <is>
          <t>cvberkahrobbiy@gmail.com</t>
        </is>
      </c>
      <c r="E61" t="inlineStr">
        <is>
          <t>https://lpjk.pu.go.id/search-badan-usaha-detail/K0UwMG8xeERIZEJ4ckE0cUtsbFhtdz09</t>
        </is>
      </c>
      <c r="F61" t="n">
        <v>4</v>
      </c>
      <c r="G61" t="inlineStr">
        <is>
          <t>BG001, BS004</t>
        </is>
      </c>
      <c r="H61" t="inlineStr">
        <is>
          <t>18 Oktober 2021</t>
        </is>
      </c>
      <c r="I61" s="2" t="n">
        <v>46257</v>
      </c>
      <c r="J61" t="inlineStr">
        <is>
          <t>Pencabutan</t>
        </is>
      </c>
      <c r="K61" t="n">
        <v>60</v>
      </c>
      <c r="L61" t="inlineStr">
        <is>
          <t>23 Agustus 2026</t>
        </is>
      </c>
      <c r="M61" t="inlineStr">
        <is>
          <t>Konstruksi Gedung Hunian, Konstruksi Jaringan Irigasi dan Drainase</t>
        </is>
      </c>
      <c r="N61" t="inlineStr">
        <is>
          <t>K</t>
        </is>
      </c>
      <c r="O61" t="inlineStr">
        <is>
          <t>20230821, 20230823</t>
        </is>
      </c>
      <c r="P61" t="inlineStr">
        <is>
          <t>Kalimantan Barat</t>
        </is>
      </c>
      <c r="Q61" t="inlineStr"/>
    </row>
    <row r="62">
      <c r="A62" t="inlineStr">
        <is>
          <t>BERKAT MITRA SEJATI</t>
        </is>
      </c>
      <c r="B62" t="inlineStr">
        <is>
          <t>Kota Batam</t>
        </is>
      </c>
      <c r="C62" t="inlineStr">
        <is>
          <t>07787282467</t>
        </is>
      </c>
      <c r="D62" t="inlineStr">
        <is>
          <t>berkatmitrasejati2018@gmail.com</t>
        </is>
      </c>
      <c r="E62" t="inlineStr">
        <is>
          <t>https://lpjk.pu.go.id/search-badan-usaha-detail/UVdJTlY5bG5uWTZPUGhGbEgvYTUzZz09</t>
        </is>
      </c>
      <c r="F62" t="n">
        <v>2</v>
      </c>
      <c r="G62" t="inlineStr">
        <is>
          <t>BS001</t>
        </is>
      </c>
      <c r="H62" t="inlineStr">
        <is>
          <t>23 April 2014</t>
        </is>
      </c>
      <c r="I62" s="2" t="n">
        <v>46257</v>
      </c>
      <c r="J62" t="inlineStr">
        <is>
          <t>Pencabutan</t>
        </is>
      </c>
      <c r="K62" t="n">
        <v>60</v>
      </c>
      <c r="L62" t="inlineStr">
        <is>
          <t>23 Agustus 2026</t>
        </is>
      </c>
      <c r="M62" t="inlineStr">
        <is>
          <t>Konstruksi Bangunan Sipil Jalan</t>
        </is>
      </c>
      <c r="N62" t="inlineStr">
        <is>
          <t>K</t>
        </is>
      </c>
      <c r="O62" t="inlineStr">
        <is>
          <t>20230818</t>
        </is>
      </c>
      <c r="P62" t="inlineStr">
        <is>
          <t>Kepulauan Riau</t>
        </is>
      </c>
      <c r="Q62" t="inlineStr"/>
    </row>
    <row r="63">
      <c r="A63" t="inlineStr">
        <is>
          <t>BHAKTI JAYA 366</t>
        </is>
      </c>
      <c r="B63" t="inlineStr">
        <is>
          <t>Kota Medan</t>
        </is>
      </c>
      <c r="C63" t="inlineStr">
        <is>
          <t>082273168457</t>
        </is>
      </c>
      <c r="D63" t="inlineStr">
        <is>
          <t>bhaktijaya366@gmail.com</t>
        </is>
      </c>
      <c r="E63" t="inlineStr">
        <is>
          <t>https://lpjk.pu.go.id/search-badan-usaha-detail/cEQrTkJsN0E0dDFIbzNiUVhsSlI4dz09</t>
        </is>
      </c>
      <c r="F63" t="n">
        <v>1</v>
      </c>
      <c r="G63" t="inlineStr">
        <is>
          <t>BS001</t>
        </is>
      </c>
      <c r="H63" t="inlineStr">
        <is>
          <t>19 Februari 2021</t>
        </is>
      </c>
      <c r="I63" s="2" t="n">
        <v>46257</v>
      </c>
      <c r="J63" t="inlineStr">
        <is>
          <t>Disetujui</t>
        </is>
      </c>
      <c r="K63" t="n">
        <v>60</v>
      </c>
      <c r="L63" t="inlineStr">
        <is>
          <t>23 Agustus 2026</t>
        </is>
      </c>
      <c r="M63" t="inlineStr">
        <is>
          <t>Konstruksi Bangunan Sipil Jalan</t>
        </is>
      </c>
      <c r="N63" t="inlineStr">
        <is>
          <t>K</t>
        </is>
      </c>
      <c r="O63" t="inlineStr">
        <is>
          <t>20230818</t>
        </is>
      </c>
      <c r="P63" t="inlineStr">
        <is>
          <t>Sumatera Utara</t>
        </is>
      </c>
      <c r="Q63" t="inlineStr"/>
    </row>
    <row r="64">
      <c r="A64" t="inlineStr">
        <is>
          <t>BINA MULTIGRAHA SENTOSA</t>
        </is>
      </c>
      <c r="B64" t="inlineStr">
        <is>
          <t>Kab. Sleman</t>
        </is>
      </c>
      <c r="C64" t="inlineStr">
        <is>
          <t>08112790900</t>
        </is>
      </c>
      <c r="D64" t="inlineStr">
        <is>
          <t>pt.binamultigrahasentosa@gmail.com</t>
        </is>
      </c>
      <c r="E64" t="inlineStr">
        <is>
          <t>https://lpjk.pu.go.id/search-badan-usaha-detail/REo1SVQwOHpaRlZuTmNlOUhUV2ZKZz09</t>
        </is>
      </c>
      <c r="F64" t="n">
        <v>1</v>
      </c>
      <c r="G64" t="inlineStr">
        <is>
          <t>BG007</t>
        </is>
      </c>
      <c r="H64" t="inlineStr">
        <is>
          <t>21 Agustus 2018</t>
        </is>
      </c>
      <c r="I64" s="2" t="n">
        <v>46257</v>
      </c>
      <c r="J64" t="inlineStr">
        <is>
          <t>Disetujui</t>
        </is>
      </c>
      <c r="K64" t="n">
        <v>60</v>
      </c>
      <c r="L64" t="inlineStr">
        <is>
          <t>23 Agustus 2026</t>
        </is>
      </c>
      <c r="M64" t="inlineStr">
        <is>
          <t>Konstruksi Gedung Penginapan</t>
        </is>
      </c>
      <c r="N64" t="inlineStr">
        <is>
          <t>M</t>
        </is>
      </c>
      <c r="O64" t="inlineStr">
        <is>
          <t>20230811</t>
        </is>
      </c>
      <c r="P64" t="inlineStr">
        <is>
          <t>DI Yogyakarta</t>
        </is>
      </c>
      <c r="Q64" t="inlineStr"/>
    </row>
    <row r="65">
      <c r="A65" t="inlineStr">
        <is>
          <t>BINTAN SWAKARYA AGUNG</t>
        </is>
      </c>
      <c r="B65" t="inlineStr">
        <is>
          <t>Kota Adm. Jakarta Barat</t>
        </is>
      </c>
      <c r="C65" t="inlineStr">
        <is>
          <t>085369507777</t>
        </is>
      </c>
      <c r="D65" t="inlineStr">
        <is>
          <t>info.bintanswakaryaagung@gmail.com</t>
        </is>
      </c>
      <c r="E65" t="inlineStr">
        <is>
          <t>https://lpjk.pu.go.id/search-badan-usaha-detail/a3daQUIrRWxEdm5JZzV0KytxTWlFUT09</t>
        </is>
      </c>
      <c r="F65" t="n">
        <v>4</v>
      </c>
      <c r="G65" t="inlineStr">
        <is>
          <t>BS013, BS018, IN004</t>
        </is>
      </c>
      <c r="H65" t="inlineStr">
        <is>
          <t>30 Maret 2016</t>
        </is>
      </c>
      <c r="I65" s="2" t="n">
        <v>46257</v>
      </c>
      <c r="J65" t="inlineStr">
        <is>
          <t>Disetujui, Pencabutan</t>
        </is>
      </c>
      <c r="K65" t="n">
        <v>60</v>
      </c>
      <c r="L65" t="inlineStr">
        <is>
          <t>23 Agustus 2026</t>
        </is>
      </c>
      <c r="M65" t="inlineStr">
        <is>
          <t>Instalasi Minyak dan Gas, Konstruksi Bangunan Sipil Fasilitas Pengolahan Produk Kimia, Petrokimia, Farmasi, dan Industri Lainnya, Konstruksi Bangunan Sipil Minyak dan Gas Bumi</t>
        </is>
      </c>
      <c r="N65" t="inlineStr">
        <is>
          <t>M, Spesialis</t>
        </is>
      </c>
      <c r="O65" t="inlineStr">
        <is>
          <t>20230817</t>
        </is>
      </c>
      <c r="P65" t="inlineStr">
        <is>
          <t>DKI Jakarta</t>
        </is>
      </c>
      <c r="Q65" t="inlineStr"/>
    </row>
    <row r="66">
      <c r="A66" t="inlineStr">
        <is>
          <t>BINTANG BORNEO BROTHERS</t>
        </is>
      </c>
      <c r="B66" t="inlineStr">
        <is>
          <t>Kota Banjarmasin</t>
        </is>
      </c>
      <c r="C66" t="inlineStr">
        <is>
          <t>08125105488</t>
        </is>
      </c>
      <c r="D66" t="inlineStr">
        <is>
          <t>laskarbbb@gmail.com</t>
        </is>
      </c>
      <c r="E66" t="inlineStr">
        <is>
          <t>https://lpjk.pu.go.id/search-badan-usaha-detail/MkFxcUwrVlp5NGE2dVBxaGRicVljZz09</t>
        </is>
      </c>
      <c r="F66" t="n">
        <v>2</v>
      </c>
      <c r="G66" t="inlineStr">
        <is>
          <t>BS001</t>
        </is>
      </c>
      <c r="H66" t="inlineStr">
        <is>
          <t>4 Mei 2023</t>
        </is>
      </c>
      <c r="I66" s="2" t="n">
        <v>46257</v>
      </c>
      <c r="J66" t="inlineStr">
        <is>
          <t>Disetujui</t>
        </is>
      </c>
      <c r="K66" t="n">
        <v>60</v>
      </c>
      <c r="L66" t="inlineStr">
        <is>
          <t>23 Agustus 2026</t>
        </is>
      </c>
      <c r="M66" t="inlineStr">
        <is>
          <t>Konstruksi Bangunan Sipil Jalan</t>
        </is>
      </c>
      <c r="N66" t="inlineStr">
        <is>
          <t>K</t>
        </is>
      </c>
      <c r="O66" t="inlineStr">
        <is>
          <t>20230413</t>
        </is>
      </c>
      <c r="P66" t="inlineStr">
        <is>
          <t>Kalimantan Selatan</t>
        </is>
      </c>
      <c r="Q66" t="inlineStr"/>
    </row>
    <row r="67">
      <c r="A67" t="inlineStr">
        <is>
          <t>BINTANG INTI REKATAMA</t>
        </is>
      </c>
      <c r="B67" t="inlineStr">
        <is>
          <t>Kota Makassar</t>
        </is>
      </c>
      <c r="C67" t="inlineStr">
        <is>
          <t>0411832682</t>
        </is>
      </c>
      <c r="D67" t="inlineStr">
        <is>
          <t>bintang_inti@yahoo.com</t>
        </is>
      </c>
      <c r="E67" t="inlineStr">
        <is>
          <t>https://lpjk.pu.go.id/search-badan-usaha-detail/Y0ltRjByT3pON2hkTVNrOEU0MzBmUT09</t>
        </is>
      </c>
      <c r="F67" t="n">
        <v>2</v>
      </c>
      <c r="G67" t="inlineStr">
        <is>
          <t>RK003</t>
        </is>
      </c>
      <c r="H67" t="inlineStr">
        <is>
          <t>6 November 2002</t>
        </is>
      </c>
      <c r="I67" s="2" t="n">
        <v>46257</v>
      </c>
      <c r="J67" t="inlineStr">
        <is>
          <t>Disetujui</t>
        </is>
      </c>
      <c r="K67" t="n">
        <v>60</v>
      </c>
      <c r="L67" t="inlineStr">
        <is>
          <t>23 Agustus 2026</t>
        </is>
      </c>
      <c r="M67" t="inlineStr">
        <is>
          <t>Jasa Rekayasa Pekerjaan Teknik Sipil Transportasi</t>
        </is>
      </c>
      <c r="N67" t="inlineStr">
        <is>
          <t>M</t>
        </is>
      </c>
      <c r="O67" t="inlineStr">
        <is>
          <t>20230807</t>
        </is>
      </c>
      <c r="P67" t="inlineStr">
        <is>
          <t>Sulawesi Selatan</t>
        </is>
      </c>
      <c r="Q67" t="inlineStr"/>
    </row>
    <row r="68">
      <c r="A68" t="inlineStr">
        <is>
          <t>BINTANG JAMTAMA SEJAHTERA</t>
        </is>
      </c>
      <c r="B68" t="inlineStr">
        <is>
          <t>Kota Adm. Jakarta Pusat</t>
        </is>
      </c>
      <c r="C68" t="inlineStr">
        <is>
          <t>0216540335</t>
        </is>
      </c>
      <c r="D68" t="inlineStr">
        <is>
          <t>pt.bintangjamtamasejahtera@gmail.com</t>
        </is>
      </c>
      <c r="E68" t="inlineStr">
        <is>
          <t>https://lpjk.pu.go.id/search-badan-usaha-detail/S0IxS3JJb2NnRjkwNitPUVhpYlBPZz09</t>
        </is>
      </c>
      <c r="F68" t="n">
        <v>2</v>
      </c>
      <c r="G68" t="inlineStr">
        <is>
          <t>BG001</t>
        </is>
      </c>
      <c r="H68" t="inlineStr">
        <is>
          <t>9 Desember 2013</t>
        </is>
      </c>
      <c r="I68" s="2" t="n">
        <v>46257</v>
      </c>
      <c r="J68" t="inlineStr">
        <is>
          <t>Disetujui</t>
        </is>
      </c>
      <c r="K68" t="n">
        <v>60</v>
      </c>
      <c r="L68" t="inlineStr">
        <is>
          <t>23 Agustus 2026</t>
        </is>
      </c>
      <c r="M68" t="inlineStr">
        <is>
          <t>Konstruksi Gedung Hunian</t>
        </is>
      </c>
      <c r="N68" t="inlineStr">
        <is>
          <t>K</t>
        </is>
      </c>
      <c r="O68" t="inlineStr">
        <is>
          <t>20230809</t>
        </is>
      </c>
      <c r="P68" t="inlineStr">
        <is>
          <t>DKI Jakarta</t>
        </is>
      </c>
      <c r="Q68" t="inlineStr"/>
    </row>
    <row r="69">
      <c r="A69" t="inlineStr">
        <is>
          <t>BINTANG UTARA MANDIRI</t>
        </is>
      </c>
      <c r="B69" t="inlineStr">
        <is>
          <t>Kota Tarakan</t>
        </is>
      </c>
      <c r="C69" t="inlineStr">
        <is>
          <t>082250550899</t>
        </is>
      </c>
      <c r="D69" t="inlineStr">
        <is>
          <t>bintangutaramandiri007@gmail.com</t>
        </is>
      </c>
      <c r="E69" t="inlineStr">
        <is>
          <t>https://lpjk.pu.go.id/search-badan-usaha-detail/RFdvRXBsWTFoRWlqaHNLNzAwRXB2UT09</t>
        </is>
      </c>
      <c r="F69" t="n">
        <v>2</v>
      </c>
      <c r="G69" t="inlineStr">
        <is>
          <t>BG001</t>
        </is>
      </c>
      <c r="H69" t="inlineStr">
        <is>
          <t>4 September 2019</t>
        </is>
      </c>
      <c r="I69" s="2" t="n">
        <v>46257</v>
      </c>
      <c r="J69" t="inlineStr">
        <is>
          <t>Disetujui</t>
        </is>
      </c>
      <c r="K69" t="n">
        <v>60</v>
      </c>
      <c r="L69" t="inlineStr">
        <is>
          <t>23 Agustus 2026</t>
        </is>
      </c>
      <c r="M69" t="inlineStr">
        <is>
          <t>Konstruksi Gedung Hunian</t>
        </is>
      </c>
      <c r="N69" t="inlineStr">
        <is>
          <t>K</t>
        </is>
      </c>
      <c r="O69" t="inlineStr">
        <is>
          <t>20230817</t>
        </is>
      </c>
      <c r="P69" t="inlineStr">
        <is>
          <t>Kalimantan Utara</t>
        </is>
      </c>
      <c r="Q69" t="inlineStr"/>
    </row>
    <row r="70">
      <c r="A70" t="inlineStr">
        <is>
          <t>BORNEO TEHNIK UTAMA</t>
        </is>
      </c>
      <c r="B70" t="inlineStr">
        <is>
          <t>Kota Palangkaraya</t>
        </is>
      </c>
      <c r="C70" t="inlineStr">
        <is>
          <t>085349025163</t>
        </is>
      </c>
      <c r="D70" t="inlineStr">
        <is>
          <t>cv.borneotehnikutama@ymail.com</t>
        </is>
      </c>
      <c r="E70" t="inlineStr">
        <is>
          <t>https://lpjk.pu.go.id/search-badan-usaha-detail/QXB3YWFJRHRPOFdqYnRJMTZLVkxwUT09</t>
        </is>
      </c>
      <c r="F70" t="n">
        <v>1</v>
      </c>
      <c r="G70" t="inlineStr">
        <is>
          <t>RK003</t>
        </is>
      </c>
      <c r="H70" t="inlineStr">
        <is>
          <t>11 November 2011</t>
        </is>
      </c>
      <c r="I70" s="2" t="n">
        <v>46257</v>
      </c>
      <c r="J70" t="inlineStr">
        <is>
          <t>Disetujui</t>
        </is>
      </c>
      <c r="K70" t="n">
        <v>60</v>
      </c>
      <c r="L70" t="inlineStr">
        <is>
          <t>23 Agustus 2026</t>
        </is>
      </c>
      <c r="M70" t="inlineStr">
        <is>
          <t>Jasa Rekayasa Pekerjaan Teknik Sipil Transportasi</t>
        </is>
      </c>
      <c r="N70" t="inlineStr">
        <is>
          <t>K</t>
        </is>
      </c>
      <c r="O70" t="inlineStr">
        <is>
          <t>20230802</t>
        </is>
      </c>
      <c r="P70" t="inlineStr">
        <is>
          <t>Kalimantan Tengah</t>
        </is>
      </c>
      <c r="Q70" t="inlineStr"/>
    </row>
    <row r="71">
      <c r="A71" t="inlineStr">
        <is>
          <t>BUANA PERKASA</t>
        </is>
      </c>
      <c r="B71" t="inlineStr">
        <is>
          <t>Kab. Pasuruan</t>
        </is>
      </c>
      <c r="C71" t="inlineStr">
        <is>
          <t>081358689533</t>
        </is>
      </c>
      <c r="D71" t="inlineStr">
        <is>
          <t>cv_bp@yahoo.com</t>
        </is>
      </c>
      <c r="E71" t="inlineStr">
        <is>
          <t>https://lpjk.pu.go.id/search-badan-usaha-detail/ZzZteVVDZmNkZGpEQWthZVF0ZG9pdz09</t>
        </is>
      </c>
      <c r="F71" t="n">
        <v>1</v>
      </c>
      <c r="G71" t="inlineStr">
        <is>
          <t>BG005</t>
        </is>
      </c>
      <c r="H71" t="inlineStr">
        <is>
          <t>6 Oktober 2003</t>
        </is>
      </c>
      <c r="I71" s="2" t="n">
        <v>46257</v>
      </c>
      <c r="J71" t="inlineStr">
        <is>
          <t>Disetujui</t>
        </is>
      </c>
      <c r="K71" t="n">
        <v>60</v>
      </c>
      <c r="L71" t="inlineStr">
        <is>
          <t>23 Agustus 2026</t>
        </is>
      </c>
      <c r="M71" t="inlineStr">
        <is>
          <t>Konstruksi Gedung Kesehatan</t>
        </is>
      </c>
      <c r="N71" t="inlineStr">
        <is>
          <t>K</t>
        </is>
      </c>
      <c r="O71" t="inlineStr">
        <is>
          <t>20230815</t>
        </is>
      </c>
      <c r="P71" t="inlineStr">
        <is>
          <t>Jawa Timur</t>
        </is>
      </c>
      <c r="Q71" t="inlineStr"/>
    </row>
    <row r="72">
      <c r="A72" t="inlineStr">
        <is>
          <t>BUMI RANCANG</t>
        </is>
      </c>
      <c r="B72" t="inlineStr">
        <is>
          <t>Kab. Pemalang</t>
        </is>
      </c>
      <c r="C72" t="inlineStr">
        <is>
          <t>0818244614</t>
        </is>
      </c>
      <c r="D72" t="inlineStr">
        <is>
          <t>bumirancangcv@yahoo.com</t>
        </is>
      </c>
      <c r="E72" t="inlineStr">
        <is>
          <t>https://lpjk.pu.go.id/search-badan-usaha-detail/S3lhZ3diRGUraWFKNXp5dDZSMHRCdz09</t>
        </is>
      </c>
      <c r="F72" t="n">
        <v>1</v>
      </c>
      <c r="G72" t="inlineStr">
        <is>
          <t>BS001</t>
        </is>
      </c>
      <c r="H72" t="inlineStr">
        <is>
          <t>24 Agustus 2006</t>
        </is>
      </c>
      <c r="I72" s="2" t="n">
        <v>46257</v>
      </c>
      <c r="J72" t="inlineStr">
        <is>
          <t>Disetujui</t>
        </is>
      </c>
      <c r="K72" t="n">
        <v>60</v>
      </c>
      <c r="L72" t="inlineStr">
        <is>
          <t>23 Agustus 2026</t>
        </is>
      </c>
      <c r="M72" t="inlineStr">
        <is>
          <t>Konstruksi Bangunan Sipil Jalan</t>
        </is>
      </c>
      <c r="N72" t="inlineStr">
        <is>
          <t>K</t>
        </is>
      </c>
      <c r="O72" t="inlineStr">
        <is>
          <t>20230817</t>
        </is>
      </c>
      <c r="P72" t="inlineStr">
        <is>
          <t>Jawa Tengah</t>
        </is>
      </c>
      <c r="Q72" t="inlineStr"/>
    </row>
    <row r="73">
      <c r="A73" t="inlineStr">
        <is>
          <t>BUMI ULUNG MAS NUSANTARA</t>
        </is>
      </c>
      <c r="B73" t="inlineStr">
        <is>
          <t>Kab. Sidoarjo</t>
        </is>
      </c>
      <c r="C73" t="inlineStr">
        <is>
          <t>03151516770</t>
        </is>
      </c>
      <c r="D73" t="inlineStr">
        <is>
          <t>bumiulungmasnusantara@gmail.com</t>
        </is>
      </c>
      <c r="E73" t="inlineStr">
        <is>
          <t>https://lpjk.pu.go.id/search-badan-usaha-detail/cGhTK1Y3TnZWeFdrMWNMNzZvNXpZZz09</t>
        </is>
      </c>
      <c r="F73" t="n">
        <v>1</v>
      </c>
      <c r="G73" t="inlineStr">
        <is>
          <t>PL004</t>
        </is>
      </c>
      <c r="H73" t="inlineStr">
        <is>
          <t>2 April 2015</t>
        </is>
      </c>
      <c r="I73" s="2" t="n">
        <v>46257</v>
      </c>
      <c r="J73" t="inlineStr">
        <is>
          <t>Pembekuan</t>
        </is>
      </c>
      <c r="K73" t="n">
        <v>60</v>
      </c>
      <c r="L73" t="inlineStr">
        <is>
          <t>23 Agustus 2026</t>
        </is>
      </c>
      <c r="M73" t="inlineStr">
        <is>
          <t>Pekerjaan Tanah</t>
        </is>
      </c>
      <c r="N73" t="inlineStr">
        <is>
          <t>Spesialis</t>
        </is>
      </c>
      <c r="O73" t="inlineStr">
        <is>
          <t>20230814</t>
        </is>
      </c>
      <c r="P73" t="inlineStr">
        <is>
          <t>Jawa Timur</t>
        </is>
      </c>
      <c r="Q73" t="inlineStr"/>
    </row>
    <row r="74">
      <c r="A74" t="inlineStr">
        <is>
          <t>BUNGA KARYA KONTRAKTOR</t>
        </is>
      </c>
      <c r="B74" t="inlineStr">
        <is>
          <t>Kab. Badung</t>
        </is>
      </c>
      <c r="C74" t="inlineStr">
        <is>
          <t>081353300181</t>
        </is>
      </c>
      <c r="D74" t="inlineStr">
        <is>
          <t>bungakaryakontraktor@gmail.com</t>
        </is>
      </c>
      <c r="E74" t="inlineStr">
        <is>
          <t>https://lpjk.pu.go.id/search-badan-usaha-detail/ak5ibmg4NVlRMGIxRHBwb21FV0UyUT09</t>
        </is>
      </c>
      <c r="F74" t="n">
        <v>1</v>
      </c>
      <c r="G74" t="inlineStr">
        <is>
          <t>BG007</t>
        </is>
      </c>
      <c r="H74" t="inlineStr">
        <is>
          <t>30 Agustus 2022</t>
        </is>
      </c>
      <c r="I74" s="2" t="n">
        <v>46257</v>
      </c>
      <c r="J74" t="inlineStr">
        <is>
          <t>Disetujui</t>
        </is>
      </c>
      <c r="K74" t="n">
        <v>60</v>
      </c>
      <c r="L74" t="inlineStr">
        <is>
          <t>23 Agustus 2026</t>
        </is>
      </c>
      <c r="M74" t="inlineStr">
        <is>
          <t>Konstruksi Gedung Penginapan</t>
        </is>
      </c>
      <c r="N74" t="inlineStr">
        <is>
          <t>K</t>
        </is>
      </c>
      <c r="O74" t="inlineStr">
        <is>
          <t>20230815</t>
        </is>
      </c>
      <c r="P74" t="inlineStr">
        <is>
          <t>Bali</t>
        </is>
      </c>
      <c r="Q74" t="inlineStr"/>
    </row>
    <row r="75">
      <c r="A75" t="inlineStr">
        <is>
          <t>CAHAYA SALJU ABADI</t>
        </is>
      </c>
      <c r="B75" t="inlineStr">
        <is>
          <t>Kab. Mimika</t>
        </is>
      </c>
      <c r="C75" t="inlineStr">
        <is>
          <t>085231523527</t>
        </is>
      </c>
      <c r="D75" t="inlineStr">
        <is>
          <t>cahayasaljuabadi@gmail.com</t>
        </is>
      </c>
      <c r="E75" t="inlineStr">
        <is>
          <t>https://lpjk.pu.go.id/search-badan-usaha-detail/ZVNPMlBzWUoyRnRxeDF3c29RUzVoZz09</t>
        </is>
      </c>
      <c r="F75" t="n">
        <v>2</v>
      </c>
      <c r="G75" t="inlineStr">
        <is>
          <t>BG001, BG005</t>
        </is>
      </c>
      <c r="H75" t="inlineStr">
        <is>
          <t>23 September 2021</t>
        </is>
      </c>
      <c r="I75" s="2" t="n">
        <v>46257</v>
      </c>
      <c r="J75" t="inlineStr">
        <is>
          <t>Pencabutan</t>
        </is>
      </c>
      <c r="K75" t="n">
        <v>60</v>
      </c>
      <c r="L75" t="inlineStr">
        <is>
          <t>23 Agustus 2026</t>
        </is>
      </c>
      <c r="M75" t="inlineStr">
        <is>
          <t>Konstruksi Gedung Hunian, Konstruksi Gedung Kesehatan</t>
        </is>
      </c>
      <c r="N75" t="inlineStr">
        <is>
          <t>K</t>
        </is>
      </c>
      <c r="O75" t="inlineStr">
        <is>
          <t>20230818</t>
        </is>
      </c>
      <c r="P75" t="inlineStr">
        <is>
          <t>Papua</t>
        </is>
      </c>
      <c r="Q75" t="inlineStr"/>
    </row>
    <row r="76">
      <c r="A76" t="inlineStr">
        <is>
          <t>CAHAYAA AGUNG</t>
        </is>
      </c>
      <c r="B76" t="inlineStr">
        <is>
          <t>Kota Palembang</t>
        </is>
      </c>
      <c r="C76" t="inlineStr">
        <is>
          <t>0811786324</t>
        </is>
      </c>
      <c r="D76" t="inlineStr">
        <is>
          <t>bandarraja@yahoo.co.id</t>
        </is>
      </c>
      <c r="E76" t="inlineStr">
        <is>
          <t>https://lpjk.pu.go.id/search-badan-usaha-detail/NzhsOUxGazM3b3R4WkZycldxNWEwZz09</t>
        </is>
      </c>
      <c r="F76" t="n">
        <v>1</v>
      </c>
      <c r="G76" t="inlineStr">
        <is>
          <t>BG001</t>
        </is>
      </c>
      <c r="H76" t="inlineStr">
        <is>
          <t>8 April 2005</t>
        </is>
      </c>
      <c r="I76" s="2" t="n">
        <v>46257</v>
      </c>
      <c r="J76" t="inlineStr">
        <is>
          <t>Disetujui</t>
        </is>
      </c>
      <c r="K76" t="n">
        <v>60</v>
      </c>
      <c r="L76" t="inlineStr">
        <is>
          <t>23 Agustus 2026</t>
        </is>
      </c>
      <c r="M76" t="inlineStr">
        <is>
          <t>Konstruksi Gedung Hunian</t>
        </is>
      </c>
      <c r="N76" t="inlineStr">
        <is>
          <t>K</t>
        </is>
      </c>
      <c r="O76" t="inlineStr">
        <is>
          <t>20230821</t>
        </is>
      </c>
      <c r="P76" t="inlineStr">
        <is>
          <t>Sumatera Selatan</t>
        </is>
      </c>
      <c r="Q76" t="inlineStr"/>
    </row>
    <row r="77">
      <c r="A77" t="inlineStr">
        <is>
          <t>CAKRA KENCANA INDAH</t>
        </is>
      </c>
      <c r="B77" t="inlineStr">
        <is>
          <t>Kab. Sukabumi</t>
        </is>
      </c>
      <c r="C77" t="inlineStr">
        <is>
          <t>08111106636</t>
        </is>
      </c>
      <c r="D77" t="inlineStr">
        <is>
          <t>cakrakencanaiindah14@gmail.com</t>
        </is>
      </c>
      <c r="E77" t="inlineStr">
        <is>
          <t>https://lpjk.pu.go.id/search-badan-usaha-detail/ZlVCcmdNNnZaR0ZobkdDZXltR1F1UT09</t>
        </is>
      </c>
      <c r="F77" t="n">
        <v>1</v>
      </c>
      <c r="G77" t="inlineStr">
        <is>
          <t>BG003</t>
        </is>
      </c>
      <c r="H77" t="inlineStr">
        <is>
          <t>27 September 2013</t>
        </is>
      </c>
      <c r="I77" s="2" t="n">
        <v>46257</v>
      </c>
      <c r="J77" t="inlineStr">
        <is>
          <t>Pencabutan</t>
        </is>
      </c>
      <c r="K77" t="n">
        <v>60</v>
      </c>
      <c r="L77" t="inlineStr">
        <is>
          <t>23 Agustus 2026</t>
        </is>
      </c>
      <c r="M77" t="inlineStr">
        <is>
          <t>Konstruksi Gedung Industri</t>
        </is>
      </c>
      <c r="N77" t="inlineStr">
        <is>
          <t>B</t>
        </is>
      </c>
      <c r="O77" t="inlineStr">
        <is>
          <t>20230803</t>
        </is>
      </c>
      <c r="P77" t="inlineStr">
        <is>
          <t>Jawa Barat</t>
        </is>
      </c>
      <c r="Q77" t="inlineStr"/>
    </row>
    <row r="78">
      <c r="A78" t="inlineStr">
        <is>
          <t>CENDANA INDAH</t>
        </is>
      </c>
      <c r="B78" t="inlineStr">
        <is>
          <t>Kab. Sampang</t>
        </is>
      </c>
      <c r="C78" t="inlineStr">
        <is>
          <t>081949862346</t>
        </is>
      </c>
      <c r="D78" t="inlineStr">
        <is>
          <t>cendana.indah_cv@yahoo.com</t>
        </is>
      </c>
      <c r="E78" t="inlineStr">
        <is>
          <t>https://lpjk.pu.go.id/search-badan-usaha-detail/SDRHY2l0VDZLMXN0L1BNZUxXMWdpTENGM2x6Z0lEZXovblVzTmlDZFUxbz0</t>
        </is>
      </c>
      <c r="F78" t="n">
        <v>1</v>
      </c>
      <c r="G78" t="inlineStr">
        <is>
          <t>BS001</t>
        </is>
      </c>
      <c r="H78" t="inlineStr">
        <is>
          <t>2 April 2026</t>
        </is>
      </c>
      <c r="I78" s="2" t="n">
        <v>46257</v>
      </c>
      <c r="J78" t="inlineStr">
        <is>
          <t>Disetujui</t>
        </is>
      </c>
      <c r="K78" t="n">
        <v>60</v>
      </c>
      <c r="L78" t="inlineStr">
        <is>
          <t>23 Agustus 2026</t>
        </is>
      </c>
      <c r="M78" t="inlineStr">
        <is>
          <t>Konstruksi Bangunan Sipil Jalan</t>
        </is>
      </c>
      <c r="N78" t="inlineStr">
        <is>
          <t>K</t>
        </is>
      </c>
      <c r="O78" t="inlineStr">
        <is>
          <t>20230815</t>
        </is>
      </c>
      <c r="P78" t="inlineStr">
        <is>
          <t>Jawa Timur</t>
        </is>
      </c>
      <c r="Q78" t="inlineStr"/>
    </row>
    <row r="79">
      <c r="A79" t="inlineStr">
        <is>
          <t>CENTRAL ADITAMA</t>
        </is>
      </c>
      <c r="B79" t="inlineStr">
        <is>
          <t>Kota Semarang</t>
        </is>
      </c>
      <c r="C79" t="inlineStr">
        <is>
          <t>081390101798</t>
        </is>
      </c>
      <c r="D79" t="inlineStr">
        <is>
          <t>central_aditama69@yahoo.co.id</t>
        </is>
      </c>
      <c r="E79" t="inlineStr">
        <is>
          <t>https://lpjk.pu.go.id/search-badan-usaha-detail/alpldFZOME8yVS9WN2s3czU5MVpJdz09</t>
        </is>
      </c>
      <c r="F79" t="n">
        <v>2</v>
      </c>
      <c r="G79" t="inlineStr">
        <is>
          <t>BG002</t>
        </is>
      </c>
      <c r="H79" t="inlineStr">
        <is>
          <t>3 September 2022</t>
        </is>
      </c>
      <c r="I79" s="2" t="n">
        <v>46257</v>
      </c>
      <c r="J79" t="inlineStr">
        <is>
          <t>Disetujui</t>
        </is>
      </c>
      <c r="K79" t="n">
        <v>60</v>
      </c>
      <c r="L79" t="inlineStr">
        <is>
          <t>23 Agustus 2026</t>
        </is>
      </c>
      <c r="M79" t="inlineStr">
        <is>
          <t>Konstruksi Gedung Perkantoran</t>
        </is>
      </c>
      <c r="N79" t="inlineStr">
        <is>
          <t>K</t>
        </is>
      </c>
      <c r="O79" t="inlineStr">
        <is>
          <t>20230822</t>
        </is>
      </c>
      <c r="P79" t="inlineStr">
        <is>
          <t>Jawa Tengah</t>
        </is>
      </c>
      <c r="Q79" t="inlineStr"/>
    </row>
    <row r="80">
      <c r="A80" t="inlineStr">
        <is>
          <t>CITRA KENCANA PRIMA</t>
        </is>
      </c>
      <c r="B80" t="inlineStr">
        <is>
          <t>Kota Surabaya</t>
        </is>
      </c>
      <c r="C80" t="inlineStr">
        <is>
          <t>081334233358</t>
        </is>
      </c>
      <c r="D80" t="inlineStr">
        <is>
          <t>Citrakencanaprima@gmail.com</t>
        </is>
      </c>
      <c r="E80" t="inlineStr">
        <is>
          <t>https://lpjk.pu.go.id/search-badan-usaha-detail/MVY3RGsvTUJMcXhUbGlhdDd3SzE0dz09</t>
        </is>
      </c>
      <c r="F80" t="n">
        <v>1</v>
      </c>
      <c r="G80" t="inlineStr">
        <is>
          <t>BG009</t>
        </is>
      </c>
      <c r="H80" t="inlineStr">
        <is>
          <t>11 November 2022</t>
        </is>
      </c>
      <c r="I80" s="2" t="n">
        <v>46257</v>
      </c>
      <c r="J80" t="inlineStr">
        <is>
          <t>Disetujui</t>
        </is>
      </c>
      <c r="K80" t="n">
        <v>60</v>
      </c>
      <c r="L80" t="inlineStr">
        <is>
          <t>23 Agustus 2026</t>
        </is>
      </c>
      <c r="M80" t="inlineStr">
        <is>
          <t>Konstruksi Gedung Lainnya</t>
        </is>
      </c>
      <c r="N80" t="inlineStr">
        <is>
          <t>K</t>
        </is>
      </c>
      <c r="O80" t="inlineStr">
        <is>
          <t>20230822</t>
        </is>
      </c>
      <c r="P80" t="inlineStr">
        <is>
          <t>Jawa Timur</t>
        </is>
      </c>
      <c r="Q80" t="inlineStr"/>
    </row>
    <row r="81">
      <c r="A81" t="inlineStr">
        <is>
          <t>CITRA SURYA JAYA</t>
        </is>
      </c>
      <c r="B81" t="inlineStr">
        <is>
          <t>Kota Surabaya</t>
        </is>
      </c>
      <c r="C81" t="inlineStr">
        <is>
          <t>0313815302</t>
        </is>
      </c>
      <c r="D81" t="inlineStr">
        <is>
          <t>ptcitrasuryajaya@yahoo.com</t>
        </is>
      </c>
      <c r="E81" t="inlineStr">
        <is>
          <t>https://lpjk.pu.go.id/search-badan-usaha-detail/NVhrZ2ZuTm5jVXkyeCtvNEQ0L0ZqUT09</t>
        </is>
      </c>
      <c r="F81" t="n">
        <v>2</v>
      </c>
      <c r="G81" t="inlineStr">
        <is>
          <t>BS002, BS003</t>
        </is>
      </c>
      <c r="H81" t="inlineStr">
        <is>
          <t>24 Mei 2013</t>
        </is>
      </c>
      <c r="I81" s="2" t="n">
        <v>46257</v>
      </c>
      <c r="J81" t="inlineStr">
        <is>
          <t>Disetujui</t>
        </is>
      </c>
      <c r="K81" t="n">
        <v>60</v>
      </c>
      <c r="L81" t="inlineStr">
        <is>
          <t>23 Agustus 2026</t>
        </is>
      </c>
      <c r="M81" t="inlineStr">
        <is>
          <t>Bangunan Sipil Jembatan, Jalan Layang, Fly Over, dan Underpass, Konstruksi Jalan Rel</t>
        </is>
      </c>
      <c r="N81" t="inlineStr">
        <is>
          <t>K</t>
        </is>
      </c>
      <c r="O81" t="inlineStr">
        <is>
          <t>20230816, 20230817</t>
        </is>
      </c>
      <c r="P81" t="inlineStr">
        <is>
          <t>Jawa Timur</t>
        </is>
      </c>
      <c r="Q81" t="inlineStr"/>
    </row>
    <row r="82">
      <c r="A82" t="inlineStr">
        <is>
          <t>CV. MITRA KONSTRUKSI</t>
        </is>
      </c>
      <c r="B82" t="inlineStr">
        <is>
          <t>Kab. Kepulauan Sangihe</t>
        </is>
      </c>
      <c r="C82" t="inlineStr">
        <is>
          <t>082189667777</t>
        </is>
      </c>
      <c r="D82" t="inlineStr">
        <is>
          <t>mitrakonstruksi.cv@gmail.com</t>
        </is>
      </c>
      <c r="E82" t="inlineStr">
        <is>
          <t>https://lpjk.pu.go.id/search-badan-usaha-detail/QVhYLzNxdi9LNkU2QURIekhScHVRQT09</t>
        </is>
      </c>
      <c r="F82" t="n">
        <v>4</v>
      </c>
      <c r="G82" t="inlineStr">
        <is>
          <t>BG005, BS004</t>
        </is>
      </c>
      <c r="H82" t="inlineStr">
        <is>
          <t>14 Februari 2014</t>
        </is>
      </c>
      <c r="I82" s="2" t="n">
        <v>46257</v>
      </c>
      <c r="J82" t="inlineStr">
        <is>
          <t>Disetujui</t>
        </is>
      </c>
      <c r="K82" t="n">
        <v>60</v>
      </c>
      <c r="L82" t="inlineStr">
        <is>
          <t>23 Agustus 2026</t>
        </is>
      </c>
      <c r="M82" t="inlineStr">
        <is>
          <t>Konstruksi Gedung Kesehatan, Konstruksi Jaringan Irigasi dan Drainase</t>
        </is>
      </c>
      <c r="N82" t="inlineStr">
        <is>
          <t>K</t>
        </is>
      </c>
      <c r="O82" t="inlineStr">
        <is>
          <t>20230714, 20230717</t>
        </is>
      </c>
      <c r="P82" t="inlineStr">
        <is>
          <t>Sulawesi Utara</t>
        </is>
      </c>
      <c r="Q82" t="inlineStr"/>
    </row>
    <row r="83">
      <c r="A83" t="inlineStr">
        <is>
          <t>DAFFA NAZWA</t>
        </is>
      </c>
      <c r="B83" t="inlineStr">
        <is>
          <t>Kab. Sukabumi</t>
        </is>
      </c>
      <c r="C83" t="inlineStr">
        <is>
          <t>085864646182</t>
        </is>
      </c>
      <c r="D83" t="inlineStr">
        <is>
          <t>nazwadaffa731@gmail.com</t>
        </is>
      </c>
      <c r="E83" t="inlineStr">
        <is>
          <t>https://lpjk.pu.go.id/search-badan-usaha-detail/M1BIWlZCWnBqWmJDKzJPUWVEOWhiQT09</t>
        </is>
      </c>
      <c r="F83" t="n">
        <v>2</v>
      </c>
      <c r="G83" t="inlineStr">
        <is>
          <t>BG009</t>
        </is>
      </c>
      <c r="H83" t="inlineStr">
        <is>
          <t>6 Februari 2015</t>
        </is>
      </c>
      <c r="I83" s="2" t="n">
        <v>46257</v>
      </c>
      <c r="J83" t="inlineStr">
        <is>
          <t>Disetujui</t>
        </is>
      </c>
      <c r="K83" t="n">
        <v>60</v>
      </c>
      <c r="L83" t="inlineStr">
        <is>
          <t>23 Agustus 2026</t>
        </is>
      </c>
      <c r="M83" t="inlineStr">
        <is>
          <t>Konstruksi Gedung Lainnya</t>
        </is>
      </c>
      <c r="N83" t="inlineStr">
        <is>
          <t>K</t>
        </is>
      </c>
      <c r="O83" t="inlineStr">
        <is>
          <t>20230811</t>
        </is>
      </c>
      <c r="P83" t="inlineStr">
        <is>
          <t>Jawa Barat</t>
        </is>
      </c>
      <c r="Q83" t="inlineStr"/>
    </row>
    <row r="84">
      <c r="A84" t="inlineStr">
        <is>
          <t>DANABRATA KONSTRUKSI</t>
        </is>
      </c>
      <c r="B84" t="inlineStr">
        <is>
          <t>Kab. Tana Toraja</t>
        </is>
      </c>
      <c r="C84" t="inlineStr">
        <is>
          <t>081210345877</t>
        </is>
      </c>
      <c r="D84" t="inlineStr">
        <is>
          <t>danabratakonstruksi010@gmail.com</t>
        </is>
      </c>
      <c r="E84" t="inlineStr">
        <is>
          <t>https://lpjk.pu.go.id/search-badan-usaha-detail/UUU5akZnZG43VjZNMDJPM0pqQi9pdz09</t>
        </is>
      </c>
      <c r="F84" t="n">
        <v>1</v>
      </c>
      <c r="G84" t="inlineStr">
        <is>
          <t>BG007</t>
        </is>
      </c>
      <c r="H84" t="inlineStr">
        <is>
          <t>10 Februari 2020</t>
        </is>
      </c>
      <c r="I84" s="2" t="n">
        <v>46257</v>
      </c>
      <c r="J84" t="inlineStr">
        <is>
          <t>Disetujui</t>
        </is>
      </c>
      <c r="K84" t="n">
        <v>60</v>
      </c>
      <c r="L84" t="inlineStr">
        <is>
          <t>23 Agustus 2026</t>
        </is>
      </c>
      <c r="M84" t="inlineStr">
        <is>
          <t>Konstruksi Gedung Penginapan</t>
        </is>
      </c>
      <c r="N84" t="inlineStr">
        <is>
          <t>K</t>
        </is>
      </c>
      <c r="O84" t="inlineStr">
        <is>
          <t>20230823</t>
        </is>
      </c>
      <c r="P84" t="inlineStr">
        <is>
          <t>Sulawesi Selatan</t>
        </is>
      </c>
      <c r="Q84" t="inlineStr"/>
    </row>
    <row r="85">
      <c r="A85" t="inlineStr">
        <is>
          <t>DARAS ANICANA</t>
        </is>
      </c>
      <c r="B85" t="inlineStr">
        <is>
          <t>Kab. Landak</t>
        </is>
      </c>
      <c r="C85" t="inlineStr">
        <is>
          <t>082150592228</t>
        </is>
      </c>
      <c r="D85" t="inlineStr">
        <is>
          <t>cvdarasanicana@gmail.com</t>
        </is>
      </c>
      <c r="E85" t="inlineStr">
        <is>
          <t>https://lpjk.pu.go.id/search-badan-usaha-detail/bHlLVlgydDNTSm9kWnRTZHJoTGY0Zz09</t>
        </is>
      </c>
      <c r="F85" t="n">
        <v>1</v>
      </c>
      <c r="G85" t="inlineStr">
        <is>
          <t>BS001</t>
        </is>
      </c>
      <c r="H85" t="inlineStr">
        <is>
          <t>16 Juli 2007</t>
        </is>
      </c>
      <c r="I85" s="2" t="n">
        <v>46257</v>
      </c>
      <c r="J85" t="inlineStr">
        <is>
          <t>Pencabutan</t>
        </is>
      </c>
      <c r="K85" t="n">
        <v>60</v>
      </c>
      <c r="L85" t="inlineStr">
        <is>
          <t>23 Agustus 2026</t>
        </is>
      </c>
      <c r="M85" t="inlineStr">
        <is>
          <t>Konstruksi Bangunan Sipil Jalan</t>
        </is>
      </c>
      <c r="N85" t="inlineStr">
        <is>
          <t>K</t>
        </is>
      </c>
      <c r="O85" t="inlineStr">
        <is>
          <t>20230824</t>
        </is>
      </c>
      <c r="P85" t="inlineStr">
        <is>
          <t>Kalimantan Barat</t>
        </is>
      </c>
      <c r="Q85" t="inlineStr"/>
    </row>
    <row r="86">
      <c r="A86" t="inlineStr">
        <is>
          <t>DARMA EMPAT LIMA ABADI</t>
        </is>
      </c>
      <c r="B86" t="inlineStr">
        <is>
          <t>Kota Cirebon</t>
        </is>
      </c>
      <c r="C86" t="inlineStr">
        <is>
          <t>0231-245142</t>
        </is>
      </c>
      <c r="D86" t="inlineStr">
        <is>
          <t>darma45abadi@yahoo.co.id</t>
        </is>
      </c>
      <c r="E86" t="inlineStr">
        <is>
          <t>https://lpjk.pu.go.id/search-badan-usaha-detail/TGVPejBla2NnRU13UEMyWGwyeEdtQT09</t>
        </is>
      </c>
      <c r="F86" t="n">
        <v>2</v>
      </c>
      <c r="G86" t="inlineStr">
        <is>
          <t>BS001, PL003</t>
        </is>
      </c>
      <c r="H86" t="inlineStr">
        <is>
          <t>24 Agustus 1981</t>
        </is>
      </c>
      <c r="I86" s="2" t="n">
        <v>46257</v>
      </c>
      <c r="J86" t="inlineStr">
        <is>
          <t>Disetujui</t>
        </is>
      </c>
      <c r="K86" t="n">
        <v>60</v>
      </c>
      <c r="L86" t="inlineStr">
        <is>
          <t>23 Agustus 2026</t>
        </is>
      </c>
      <c r="M86" t="inlineStr">
        <is>
          <t>Konstruksi Bangunan Sipil Jalan, Penyiapan Lahan Konstruksi</t>
        </is>
      </c>
      <c r="N86" t="inlineStr">
        <is>
          <t>M, Spesialis</t>
        </is>
      </c>
      <c r="O86" t="inlineStr">
        <is>
          <t>20230804</t>
        </is>
      </c>
      <c r="P86" t="inlineStr">
        <is>
          <t>Jawa Barat</t>
        </is>
      </c>
      <c r="Q86" t="inlineStr"/>
    </row>
    <row r="87">
      <c r="A87" t="inlineStr">
        <is>
          <t>DEA PERTIWI</t>
        </is>
      </c>
      <c r="B87" t="inlineStr">
        <is>
          <t>Kota Pontianak</t>
        </is>
      </c>
      <c r="C87" t="inlineStr">
        <is>
          <t>081350287007</t>
        </is>
      </c>
      <c r="D87" t="inlineStr">
        <is>
          <t>deapertiwi216@yahoo.co.id</t>
        </is>
      </c>
      <c r="E87" t="inlineStr">
        <is>
          <t>https://lpjk.pu.go.id/search-badan-usaha-detail/c3BlZXkrb0x4V0diL1lkeVRSV0w5QT09</t>
        </is>
      </c>
      <c r="F87" t="n">
        <v>1</v>
      </c>
      <c r="G87" t="inlineStr">
        <is>
          <t>BS002</t>
        </is>
      </c>
      <c r="H87" t="inlineStr">
        <is>
          <t>21 April 2010</t>
        </is>
      </c>
      <c r="I87" s="2" t="n">
        <v>46257</v>
      </c>
      <c r="J87" t="inlineStr">
        <is>
          <t>Disetujui</t>
        </is>
      </c>
      <c r="K87" t="n">
        <v>60</v>
      </c>
      <c r="L87" t="inlineStr">
        <is>
          <t>23 Agustus 2026</t>
        </is>
      </c>
      <c r="M87" t="inlineStr">
        <is>
          <t>Bangunan Sipil Jembatan, Jalan Layang, Fly Over, dan Underpass</t>
        </is>
      </c>
      <c r="N87" t="inlineStr">
        <is>
          <t>K</t>
        </is>
      </c>
      <c r="O87" t="inlineStr">
        <is>
          <t>20230823</t>
        </is>
      </c>
      <c r="P87" t="inlineStr">
        <is>
          <t>Kalimantan Barat</t>
        </is>
      </c>
      <c r="Q87" t="inlineStr"/>
    </row>
    <row r="88">
      <c r="A88" t="inlineStr">
        <is>
          <t>DEKA MANDIRI</t>
        </is>
      </c>
      <c r="B88" t="inlineStr">
        <is>
          <t>Kab. Madiun</t>
        </is>
      </c>
      <c r="C88" t="inlineStr">
        <is>
          <t>082142118666</t>
        </is>
      </c>
      <c r="D88" t="inlineStr">
        <is>
          <t>cvdekamandiri@gmail.com</t>
        </is>
      </c>
      <c r="E88" t="inlineStr">
        <is>
          <t>https://lpjk.pu.go.id/search-badan-usaha-detail/S1ZtbXVsUzJTc3MvUGUvVU42TjFudz09</t>
        </is>
      </c>
      <c r="F88" t="n">
        <v>2</v>
      </c>
      <c r="G88" t="inlineStr">
        <is>
          <t>BG006, BG009</t>
        </is>
      </c>
      <c r="H88" t="inlineStr">
        <is>
          <t>10 September 2019</t>
        </is>
      </c>
      <c r="I88" s="2" t="n">
        <v>46257</v>
      </c>
      <c r="J88" t="inlineStr">
        <is>
          <t>Disetujui</t>
        </is>
      </c>
      <c r="K88" t="n">
        <v>60</v>
      </c>
      <c r="L88" t="inlineStr">
        <is>
          <t>23 Agustus 2026</t>
        </is>
      </c>
      <c r="M88" t="inlineStr">
        <is>
          <t>Konstruksi Gedung Lainnya, Konstruksi Gedung Pendidikan</t>
        </is>
      </c>
      <c r="N88" t="inlineStr">
        <is>
          <t>K</t>
        </is>
      </c>
      <c r="O88" t="inlineStr">
        <is>
          <t>20230822</t>
        </is>
      </c>
      <c r="P88" t="inlineStr">
        <is>
          <t>Jawa Timur</t>
        </is>
      </c>
      <c r="Q88" t="inlineStr"/>
    </row>
    <row r="89">
      <c r="A89" t="inlineStr">
        <is>
          <t>DEVINKO KARYA UTAMA</t>
        </is>
      </c>
      <c r="B89" t="inlineStr">
        <is>
          <t>Kab. Kutai Timur</t>
        </is>
      </c>
      <c r="C89" t="inlineStr">
        <is>
          <t>08125516137</t>
        </is>
      </c>
      <c r="D89" t="inlineStr">
        <is>
          <t>cv.devinkokaryautama08@gmail.com</t>
        </is>
      </c>
      <c r="E89" t="inlineStr">
        <is>
          <t>https://lpjk.pu.go.id/search-badan-usaha-detail/Q3diTlY5VGhCUytiT0xnRk9sdTk2UT09</t>
        </is>
      </c>
      <c r="F89" t="n">
        <v>2</v>
      </c>
      <c r="G89" t="inlineStr">
        <is>
          <t>BG005, BG006</t>
        </is>
      </c>
      <c r="H89" t="inlineStr">
        <is>
          <t>16 September 2006</t>
        </is>
      </c>
      <c r="I89" s="2" t="n">
        <v>46257</v>
      </c>
      <c r="J89" t="inlineStr">
        <is>
          <t>Disetujui</t>
        </is>
      </c>
      <c r="K89" t="n">
        <v>60</v>
      </c>
      <c r="L89" t="inlineStr">
        <is>
          <t>23 Agustus 2026</t>
        </is>
      </c>
      <c r="M89" t="inlineStr">
        <is>
          <t>Konstruksi Gedung Kesehatan, Konstruksi Gedung Pendidikan</t>
        </is>
      </c>
      <c r="N89" t="inlineStr">
        <is>
          <t>K</t>
        </is>
      </c>
      <c r="O89" t="inlineStr">
        <is>
          <t>20230824</t>
        </is>
      </c>
      <c r="P89" t="inlineStr">
        <is>
          <t>Kalimantan Timur</t>
        </is>
      </c>
      <c r="Q89" t="inlineStr"/>
    </row>
    <row r="90">
      <c r="A90" t="inlineStr">
        <is>
          <t>DEWANA KONSTRUKSI</t>
        </is>
      </c>
      <c r="B90" t="inlineStr">
        <is>
          <t>Kab. Sukabumi</t>
        </is>
      </c>
      <c r="C90" t="inlineStr">
        <is>
          <t>085719968541</t>
        </is>
      </c>
      <c r="D90" t="inlineStr">
        <is>
          <t>dewanakonstruksi@gmail.com</t>
        </is>
      </c>
      <c r="E90" t="inlineStr">
        <is>
          <t>https://lpjk.pu.go.id/search-badan-usaha-detail/TjVWNCtzYUs0b0FEaG5CcmgvNndPZz09</t>
        </is>
      </c>
      <c r="F90" t="n">
        <v>6</v>
      </c>
      <c r="G90" t="inlineStr">
        <is>
          <t>BG005, BG006, BG009</t>
        </is>
      </c>
      <c r="H90" t="inlineStr">
        <is>
          <t>7 Januari 2016</t>
        </is>
      </c>
      <c r="I90" s="2" t="n">
        <v>46257</v>
      </c>
      <c r="J90" t="inlineStr">
        <is>
          <t>Pencabutan</t>
        </is>
      </c>
      <c r="K90" t="n">
        <v>60</v>
      </c>
      <c r="L90" t="inlineStr">
        <is>
          <t>23 Agustus 2026</t>
        </is>
      </c>
      <c r="M90" t="inlineStr">
        <is>
          <t>Konstruksi Gedung Kesehatan, Konstruksi Gedung Lainnya, Konstruksi Gedung Pendidikan</t>
        </is>
      </c>
      <c r="N90" t="inlineStr">
        <is>
          <t>K</t>
        </is>
      </c>
      <c r="O90" t="inlineStr">
        <is>
          <t>20230724, 20230815</t>
        </is>
      </c>
      <c r="P90" t="inlineStr">
        <is>
          <t>Jawa Barat</t>
        </is>
      </c>
      <c r="Q90" t="inlineStr"/>
    </row>
    <row r="91">
      <c r="A91" t="inlineStr">
        <is>
          <t>DIAN GRAHA KONTRAKTOR</t>
        </is>
      </c>
      <c r="B91" t="inlineStr">
        <is>
          <t>Kota Bandung</t>
        </is>
      </c>
      <c r="C91" t="inlineStr">
        <is>
          <t>081463814700</t>
        </is>
      </c>
      <c r="D91" t="inlineStr">
        <is>
          <t>diangrahaf310@gmail.com</t>
        </is>
      </c>
      <c r="E91" t="inlineStr">
        <is>
          <t>https://lpjk.pu.go.id/search-badan-usaha-detail/WEN1SmMwZittOVZlTEJ6TTZDZmxFdz09</t>
        </is>
      </c>
      <c r="F91" t="n">
        <v>3</v>
      </c>
      <c r="G91" t="inlineStr">
        <is>
          <t>BG002, BG006, BG009</t>
        </is>
      </c>
      <c r="H91" t="inlineStr">
        <is>
          <t>18 Agustus 2011</t>
        </is>
      </c>
      <c r="I91" s="2" t="n">
        <v>46257</v>
      </c>
      <c r="J91" t="inlineStr">
        <is>
          <t>Disetujui</t>
        </is>
      </c>
      <c r="K91" t="n">
        <v>60</v>
      </c>
      <c r="L91" t="inlineStr">
        <is>
          <t>23 Agustus 2026</t>
        </is>
      </c>
      <c r="M91" t="inlineStr">
        <is>
          <t>Konstruksi Gedung Lainnya, Konstruksi Gedung Pendidikan, Konstruksi Gedung Perkantoran</t>
        </is>
      </c>
      <c r="N91" t="inlineStr">
        <is>
          <t>K</t>
        </is>
      </c>
      <c r="O91" t="inlineStr">
        <is>
          <t>20230823</t>
        </is>
      </c>
      <c r="P91" t="inlineStr">
        <is>
          <t>Jawa Barat</t>
        </is>
      </c>
      <c r="Q91" t="inlineStr"/>
    </row>
    <row r="92">
      <c r="A92" t="inlineStr">
        <is>
          <t>DIFARMIA</t>
        </is>
      </c>
      <c r="B92" t="inlineStr">
        <is>
          <t>Kab. Solok</t>
        </is>
      </c>
      <c r="C92" t="inlineStr">
        <is>
          <t>085374743796</t>
        </is>
      </c>
      <c r="D92" t="inlineStr">
        <is>
          <t>dila30570@gmail.com</t>
        </is>
      </c>
      <c r="E92" t="inlineStr">
        <is>
          <t>https://lpjk.pu.go.id/search-badan-usaha-detail/WUE1cjl4SDRGZU42R3JXK0RlZll4QT09</t>
        </is>
      </c>
      <c r="F92" t="n">
        <v>3</v>
      </c>
      <c r="G92" t="inlineStr">
        <is>
          <t>BG002, BG005, BG006</t>
        </is>
      </c>
      <c r="H92" t="inlineStr">
        <is>
          <t>14 Juli 1999</t>
        </is>
      </c>
      <c r="I92" s="2" t="n">
        <v>46257</v>
      </c>
      <c r="J92" t="inlineStr">
        <is>
          <t>Disetujui</t>
        </is>
      </c>
      <c r="K92" t="n">
        <v>60</v>
      </c>
      <c r="L92" t="inlineStr">
        <is>
          <t>23 Agustus 2026</t>
        </is>
      </c>
      <c r="M92" t="inlineStr">
        <is>
          <t>Konstruksi Gedung Kesehatan, Konstruksi Gedung Pendidikan, Konstruksi Gedung Perkantoran</t>
        </is>
      </c>
      <c r="N92" t="inlineStr">
        <is>
          <t>K</t>
        </is>
      </c>
      <c r="O92" t="inlineStr">
        <is>
          <t>20230818</t>
        </is>
      </c>
      <c r="P92" t="inlineStr">
        <is>
          <t>Sumatera Barat</t>
        </is>
      </c>
      <c r="Q92" t="inlineStr"/>
    </row>
    <row r="93">
      <c r="A93" t="inlineStr">
        <is>
          <t>DUA PUTRA PERKASA</t>
        </is>
      </c>
      <c r="B93" t="inlineStr">
        <is>
          <t>Kab. Majene</t>
        </is>
      </c>
      <c r="C93" t="inlineStr">
        <is>
          <t>085396957987</t>
        </is>
      </c>
      <c r="D93" t="inlineStr">
        <is>
          <t>putraperkasa283@gmail.com</t>
        </is>
      </c>
      <c r="E93" t="inlineStr">
        <is>
          <t>https://lpjk.pu.go.id/search-badan-usaha-detail/Y0Fzem8wWWVJcWRSQzV6VGdzWS9qdz09</t>
        </is>
      </c>
      <c r="F93" t="n">
        <v>1</v>
      </c>
      <c r="G93" t="inlineStr">
        <is>
          <t>BG009</t>
        </is>
      </c>
      <c r="H93" t="inlineStr">
        <is>
          <t>31 Desember 2002</t>
        </is>
      </c>
      <c r="I93" s="2" t="n">
        <v>46257</v>
      </c>
      <c r="J93" t="inlineStr">
        <is>
          <t>Pencabutan</t>
        </is>
      </c>
      <c r="K93" t="n">
        <v>60</v>
      </c>
      <c r="L93" t="inlineStr">
        <is>
          <t>23 Agustus 2026</t>
        </is>
      </c>
      <c r="M93" t="inlineStr">
        <is>
          <t>Konstruksi Gedung Lainnya</t>
        </is>
      </c>
      <c r="N93" t="inlineStr">
        <is>
          <t>K</t>
        </is>
      </c>
      <c r="O93" t="inlineStr">
        <is>
          <t>20230820</t>
        </is>
      </c>
      <c r="P93" t="inlineStr">
        <is>
          <t>Sulawesi Barat</t>
        </is>
      </c>
      <c r="Q93" t="inlineStr"/>
    </row>
    <row r="94">
      <c r="A94" t="inlineStr">
        <is>
          <t>DUNIA KONSTRUKSI</t>
        </is>
      </c>
      <c r="B94" t="inlineStr">
        <is>
          <t>Kab. Bireuen</t>
        </is>
      </c>
      <c r="C94" t="inlineStr">
        <is>
          <t>085277327632</t>
        </is>
      </c>
      <c r="D94" t="inlineStr">
        <is>
          <t>cvduniakonstruksi140723@gmail.com</t>
        </is>
      </c>
      <c r="E94" t="inlineStr">
        <is>
          <t>https://lpjk.pu.go.id/search-badan-usaha-detail/VDJzWHUySU1PRU82VGd5UTQ5NnlVUT09</t>
        </is>
      </c>
      <c r="F94" t="n">
        <v>2</v>
      </c>
      <c r="G94" t="inlineStr">
        <is>
          <t>BG005, BG006</t>
        </is>
      </c>
      <c r="H94" t="inlineStr">
        <is>
          <t>3 Januari 2014</t>
        </is>
      </c>
      <c r="I94" s="2" t="n">
        <v>46257</v>
      </c>
      <c r="J94" t="inlineStr">
        <is>
          <t>Disetujui</t>
        </is>
      </c>
      <c r="K94" t="n">
        <v>60</v>
      </c>
      <c r="L94" t="inlineStr">
        <is>
          <t>23 Agustus 2026</t>
        </is>
      </c>
      <c r="M94" t="inlineStr">
        <is>
          <t>Konstruksi Gedung Kesehatan, Konstruksi Gedung Pendidikan</t>
        </is>
      </c>
      <c r="N94" t="inlineStr">
        <is>
          <t>K</t>
        </is>
      </c>
      <c r="O94" t="inlineStr">
        <is>
          <t>20230824</t>
        </is>
      </c>
      <c r="P94" t="inlineStr">
        <is>
          <t>Aceh</t>
        </is>
      </c>
      <c r="Q94" t="inlineStr"/>
    </row>
    <row r="95">
      <c r="A95" t="inlineStr">
        <is>
          <t>ELANG PANTAI KONTRUKSI</t>
        </is>
      </c>
      <c r="B95" t="inlineStr">
        <is>
          <t>Kota Langsa</t>
        </is>
      </c>
      <c r="C95" t="inlineStr">
        <is>
          <t>081375782915</t>
        </is>
      </c>
      <c r="D95" t="inlineStr">
        <is>
          <t>elangpantaikonstruksi@gmail.com</t>
        </is>
      </c>
      <c r="E95" t="inlineStr">
        <is>
          <t>https://lpjk.pu.go.id/search-badan-usaha-detail/dVc0NWxoV2dTdkp1Rm5YdllScllrQT09</t>
        </is>
      </c>
      <c r="F95" t="n">
        <v>6</v>
      </c>
      <c r="G95" t="inlineStr">
        <is>
          <t>BG005, BG006, BS004</t>
        </is>
      </c>
      <c r="H95" t="inlineStr">
        <is>
          <t>24 Oktober 2001</t>
        </is>
      </c>
      <c r="I95" s="2" t="n">
        <v>46257</v>
      </c>
      <c r="J95" t="inlineStr">
        <is>
          <t>Disetujui</t>
        </is>
      </c>
      <c r="K95" t="n">
        <v>60</v>
      </c>
      <c r="L95" t="inlineStr">
        <is>
          <t>23 Agustus 2026</t>
        </is>
      </c>
      <c r="M95" t="inlineStr">
        <is>
          <t>Konstruksi Gedung Kesehatan, Konstruksi Gedung Pendidikan, Konstruksi Jaringan Irigasi dan Drainase</t>
        </is>
      </c>
      <c r="N95" t="inlineStr">
        <is>
          <t>K</t>
        </is>
      </c>
      <c r="O95" t="inlineStr">
        <is>
          <t>20230811</t>
        </is>
      </c>
      <c r="P95" t="inlineStr">
        <is>
          <t>Aceh</t>
        </is>
      </c>
      <c r="Q95" t="inlineStr"/>
    </row>
    <row r="96">
      <c r="A96" t="inlineStr">
        <is>
          <t>ERDEBE KONSTRUKSI</t>
        </is>
      </c>
      <c r="B96" t="inlineStr">
        <is>
          <t>Kota Singkawang</t>
        </is>
      </c>
      <c r="C96" t="inlineStr">
        <is>
          <t>085245554772</t>
        </is>
      </c>
      <c r="D96" t="inlineStr">
        <is>
          <t>erdebekonstruksi@yahoo.com</t>
        </is>
      </c>
      <c r="E96" t="inlineStr">
        <is>
          <t>https://lpjk.pu.go.id/search-badan-usaha-detail/b1lWYXM5OVZkQ1JDcUYzZTFZZmdadz09</t>
        </is>
      </c>
      <c r="F96" t="n">
        <v>5</v>
      </c>
      <c r="G96" t="inlineStr">
        <is>
          <t>BG001, BG002, BG005, BG006, BG009</t>
        </is>
      </c>
      <c r="H96" t="inlineStr">
        <is>
          <t>14 Maret 2023</t>
        </is>
      </c>
      <c r="I96" s="2" t="n">
        <v>46257</v>
      </c>
      <c r="J96" t="inlineStr">
        <is>
          <t>Disetujui</t>
        </is>
      </c>
      <c r="K96" t="n">
        <v>60</v>
      </c>
      <c r="L96" t="inlineStr">
        <is>
          <t>23 Agustus 2026</t>
        </is>
      </c>
      <c r="M96" t="inlineStr">
        <is>
          <t>Konstruksi Gedung Hunian, Konstruksi Gedung Kesehatan, Konstruksi Gedung Lainnya, Konstruksi Gedung Pendidikan, Konstruksi Gedung Perkantoran</t>
        </is>
      </c>
      <c r="N96" t="inlineStr">
        <is>
          <t>K</t>
        </is>
      </c>
      <c r="O96" t="inlineStr">
        <is>
          <t>20230429, 20230822, 20230823</t>
        </is>
      </c>
      <c r="P96" t="inlineStr">
        <is>
          <t>Kalimantan Barat</t>
        </is>
      </c>
      <c r="Q96" t="inlineStr"/>
    </row>
    <row r="97">
      <c r="A97" t="inlineStr">
        <is>
          <t>ESHA MANDIRI</t>
        </is>
      </c>
      <c r="B97" t="inlineStr">
        <is>
          <t>Kab. Majalengka</t>
        </is>
      </c>
      <c r="C97" t="inlineStr">
        <is>
          <t>085318510066</t>
        </is>
      </c>
      <c r="D97" t="inlineStr">
        <is>
          <t>Esha.mandiri@yahoo.co.id</t>
        </is>
      </c>
      <c r="E97" t="inlineStr">
        <is>
          <t>https://lpjk.pu.go.id/search-badan-usaha-detail/cFpFYndpb3EvcVFpKzZmUjVUODJwZz09</t>
        </is>
      </c>
      <c r="F97" t="n">
        <v>3</v>
      </c>
      <c r="G97" t="inlineStr">
        <is>
          <t>BG002, BG005, BS004</t>
        </is>
      </c>
      <c r="H97" t="inlineStr">
        <is>
          <t>26 Agustus 2015</t>
        </is>
      </c>
      <c r="I97" s="2" t="n">
        <v>46257</v>
      </c>
      <c r="J97" t="inlineStr">
        <is>
          <t>Disetujui</t>
        </is>
      </c>
      <c r="K97" t="n">
        <v>60</v>
      </c>
      <c r="L97" t="inlineStr">
        <is>
          <t>23 Agustus 2026</t>
        </is>
      </c>
      <c r="M97" t="inlineStr">
        <is>
          <t>Konstruksi Gedung Kesehatan, Konstruksi Gedung Perkantoran, Konstruksi Jaringan Irigasi dan Drainase</t>
        </is>
      </c>
      <c r="N97" t="inlineStr">
        <is>
          <t>K</t>
        </is>
      </c>
      <c r="O97" t="inlineStr">
        <is>
          <t>20230823</t>
        </is>
      </c>
      <c r="P97" t="inlineStr">
        <is>
          <t>Jawa Barat</t>
        </is>
      </c>
      <c r="Q97" t="inlineStr"/>
    </row>
    <row r="98">
      <c r="A98" t="inlineStr">
        <is>
          <t>FAJAR ARTA JAYA</t>
        </is>
      </c>
      <c r="B98" t="inlineStr">
        <is>
          <t>Kota Surakarta</t>
        </is>
      </c>
      <c r="C98" t="inlineStr">
        <is>
          <t>087736212706</t>
        </is>
      </c>
      <c r="D98" t="inlineStr">
        <is>
          <t>fajarartajaya@hotmail.com</t>
        </is>
      </c>
      <c r="E98" t="inlineStr">
        <is>
          <t>https://lpjk.pu.go.id/search-badan-usaha-detail/QTBWdlVxU01lZ3JQVnpwMXViQkh0dz09</t>
        </is>
      </c>
      <c r="F98" t="n">
        <v>1</v>
      </c>
      <c r="G98" t="inlineStr">
        <is>
          <t>BG009</t>
        </is>
      </c>
      <c r="H98" t="inlineStr">
        <is>
          <t>22 Juni 2012</t>
        </is>
      </c>
      <c r="I98" s="2" t="n">
        <v>46257</v>
      </c>
      <c r="J98" t="inlineStr">
        <is>
          <t>Disetujui</t>
        </is>
      </c>
      <c r="K98" t="n">
        <v>60</v>
      </c>
      <c r="L98" t="inlineStr">
        <is>
          <t>23 Agustus 2026</t>
        </is>
      </c>
      <c r="M98" t="inlineStr">
        <is>
          <t>Konstruksi Gedung Lainnya</t>
        </is>
      </c>
      <c r="N98" t="inlineStr">
        <is>
          <t>K</t>
        </is>
      </c>
      <c r="O98" t="inlineStr">
        <is>
          <t>20230822</t>
        </is>
      </c>
      <c r="P98" t="inlineStr">
        <is>
          <t>Jawa Tengah</t>
        </is>
      </c>
      <c r="Q98" t="inlineStr"/>
    </row>
    <row r="99">
      <c r="A99" t="inlineStr">
        <is>
          <t>FAZA KARYA PANGESTU</t>
        </is>
      </c>
      <c r="B99" t="inlineStr">
        <is>
          <t>Kab. Malang</t>
        </is>
      </c>
      <c r="C99" t="inlineStr">
        <is>
          <t>081233198072</t>
        </is>
      </c>
      <c r="D99" t="inlineStr">
        <is>
          <t>alfazakarya5@gmail.com</t>
        </is>
      </c>
      <c r="E99" t="inlineStr">
        <is>
          <t>https://lpjk.pu.go.id/search-badan-usaha-detail/TVdadTFNeUIxNGR4SmhRWitpWW1tUT09</t>
        </is>
      </c>
      <c r="F99" t="n">
        <v>1</v>
      </c>
      <c r="G99" t="inlineStr">
        <is>
          <t>BS002</t>
        </is>
      </c>
      <c r="H99" t="inlineStr">
        <is>
          <t>28 Februari 2023</t>
        </is>
      </c>
      <c r="I99" s="2" t="n">
        <v>46257</v>
      </c>
      <c r="J99" t="inlineStr">
        <is>
          <t>Disetujui</t>
        </is>
      </c>
      <c r="K99" t="n">
        <v>60</v>
      </c>
      <c r="L99" t="inlineStr">
        <is>
          <t>23 Agustus 2026</t>
        </is>
      </c>
      <c r="M99" t="inlineStr">
        <is>
          <t>Bangunan Sipil Jembatan, Jalan Layang, Fly Over, dan Underpass</t>
        </is>
      </c>
      <c r="N99" t="inlineStr">
        <is>
          <t>K</t>
        </is>
      </c>
      <c r="O99" t="inlineStr">
        <is>
          <t>20230823</t>
        </is>
      </c>
      <c r="P99" t="inlineStr">
        <is>
          <t>Jawa Timur</t>
        </is>
      </c>
      <c r="Q99" t="inlineStr"/>
    </row>
    <row r="100">
      <c r="A100" t="inlineStr">
        <is>
          <t>GIRIAWAS</t>
        </is>
      </c>
      <c r="B100" t="inlineStr">
        <is>
          <t>Kota Bandung</t>
        </is>
      </c>
      <c r="C100" t="inlineStr">
        <is>
          <t>0225206642</t>
        </is>
      </c>
      <c r="D100" t="inlineStr">
        <is>
          <t>g_awas@yahoo.com</t>
        </is>
      </c>
      <c r="E100" t="inlineStr">
        <is>
          <t>https://lpjk.pu.go.id/search-badan-usaha-detail/Q1gwR0hJV2NqUGVZNi9lalMyWmZLdz09</t>
        </is>
      </c>
      <c r="F100" t="n">
        <v>2</v>
      </c>
      <c r="G100" t="inlineStr">
        <is>
          <t>RK001</t>
        </is>
      </c>
      <c r="H100" t="inlineStr">
        <is>
          <t>20 Februari 1984</t>
        </is>
      </c>
      <c r="I100" s="2" t="n">
        <v>46257</v>
      </c>
      <c r="J100" t="inlineStr">
        <is>
          <t>Pencabutan</t>
        </is>
      </c>
      <c r="K100" t="n">
        <v>60</v>
      </c>
      <c r="L100" t="inlineStr">
        <is>
          <t>23 Agustus 2026</t>
        </is>
      </c>
      <c r="M100" t="inlineStr">
        <is>
          <t>Jasa Rekayasa Konstruksi Bangunan Gedung Hunian dan Non Hunian</t>
        </is>
      </c>
      <c r="N100" t="inlineStr">
        <is>
          <t>K</t>
        </is>
      </c>
      <c r="O100" t="inlineStr">
        <is>
          <t>20230802</t>
        </is>
      </c>
      <c r="P100" t="inlineStr">
        <is>
          <t>Jawa Barat</t>
        </is>
      </c>
      <c r="Q100" t="inlineStr"/>
    </row>
    <row r="101">
      <c r="A101" t="inlineStr">
        <is>
          <t>GITA MANDIRI</t>
        </is>
      </c>
      <c r="B101" t="inlineStr">
        <is>
          <t>Kota Bukittinggi</t>
        </is>
      </c>
      <c r="C101" t="inlineStr">
        <is>
          <t>085265755653</t>
        </is>
      </c>
      <c r="D101" t="inlineStr">
        <is>
          <t>cv.gita.mandiri011@gmail.com</t>
        </is>
      </c>
      <c r="E101" t="inlineStr">
        <is>
          <t>https://lpjk.pu.go.id/search-badan-usaha-detail/aWdsN21tT0RwUnBkdXZRR0tMdjJUZz09</t>
        </is>
      </c>
      <c r="F101" t="n">
        <v>1</v>
      </c>
      <c r="G101" t="inlineStr">
        <is>
          <t>BG005</t>
        </is>
      </c>
      <c r="H101" t="inlineStr">
        <is>
          <t>5 Februari 2011</t>
        </is>
      </c>
      <c r="I101" s="2" t="n">
        <v>46257</v>
      </c>
      <c r="J101" t="inlineStr">
        <is>
          <t>Disetujui</t>
        </is>
      </c>
      <c r="K101" t="n">
        <v>60</v>
      </c>
      <c r="L101" t="inlineStr">
        <is>
          <t>23 Agustus 2026</t>
        </is>
      </c>
      <c r="M101" t="inlineStr">
        <is>
          <t>Konstruksi Gedung Kesehatan</t>
        </is>
      </c>
      <c r="N101" t="inlineStr">
        <is>
          <t>K</t>
        </is>
      </c>
      <c r="O101" t="inlineStr">
        <is>
          <t>20230823</t>
        </is>
      </c>
      <c r="P101" t="inlineStr">
        <is>
          <t>Sumatera Barat</t>
        </is>
      </c>
      <c r="Q101" t="inlineStr"/>
    </row>
    <row r="102">
      <c r="A102" t="inlineStr">
        <is>
          <t>GOLDEN ROYAL TRANSINDO</t>
        </is>
      </c>
      <c r="B102" t="inlineStr">
        <is>
          <t>Kota Tangerang Selatan</t>
        </is>
      </c>
      <c r="C102" t="inlineStr">
        <is>
          <t>081289222123</t>
        </is>
      </c>
      <c r="D102" t="inlineStr">
        <is>
          <t>ptgoldenroyaltransindo@gmail.com</t>
        </is>
      </c>
      <c r="E102" t="inlineStr">
        <is>
          <t>https://lpjk.pu.go.id/search-badan-usaha-detail/U2FGM1VGZHdEejdsSmVZYmpVdG9XUT09</t>
        </is>
      </c>
      <c r="F102" t="n">
        <v>2</v>
      </c>
      <c r="G102" t="inlineStr">
        <is>
          <t>BS005</t>
        </is>
      </c>
      <c r="H102" t="inlineStr">
        <is>
          <t>22 November 2016</t>
        </is>
      </c>
      <c r="I102" s="2" t="n">
        <v>46257</v>
      </c>
      <c r="J102" t="inlineStr">
        <is>
          <t>Disetujui</t>
        </is>
      </c>
      <c r="K102" t="n">
        <v>60</v>
      </c>
      <c r="L102" t="inlineStr">
        <is>
          <t>23 Agustus 2026</t>
        </is>
      </c>
      <c r="M102" t="inlineStr">
        <is>
          <t>Konstruksi Bangunan Sipil Pengolahan Air Bersih</t>
        </is>
      </c>
      <c r="N102" t="inlineStr">
        <is>
          <t>K</t>
        </is>
      </c>
      <c r="O102" t="inlineStr">
        <is>
          <t>20230821</t>
        </is>
      </c>
      <c r="P102" t="inlineStr">
        <is>
          <t>Banten</t>
        </is>
      </c>
      <c r="Q102" t="inlineStr"/>
    </row>
    <row r="103">
      <c r="A103" t="inlineStr">
        <is>
          <t>GRAHA NUSANTARA GROUP</t>
        </is>
      </c>
      <c r="B103" t="inlineStr">
        <is>
          <t>Kab. Toli Toli</t>
        </is>
      </c>
      <c r="C103" t="inlineStr">
        <is>
          <t>081340309499</t>
        </is>
      </c>
      <c r="D103" t="inlineStr">
        <is>
          <t>graha_nusantara@yahoo.com</t>
        </is>
      </c>
      <c r="E103" t="inlineStr">
        <is>
          <t>https://lpjk.pu.go.id/search-badan-usaha-detail/dytMaXdKblZBNnFIdzJTVnI1a0V1QT09</t>
        </is>
      </c>
      <c r="F103" t="n">
        <v>1</v>
      </c>
      <c r="G103" t="inlineStr">
        <is>
          <t>BG005</t>
        </is>
      </c>
      <c r="H103" t="inlineStr">
        <is>
          <t>19 Januari 2015</t>
        </is>
      </c>
      <c r="I103" s="2" t="n">
        <v>46257</v>
      </c>
      <c r="J103" t="inlineStr">
        <is>
          <t>Disetujui</t>
        </is>
      </c>
      <c r="K103" t="n">
        <v>60</v>
      </c>
      <c r="L103" t="inlineStr">
        <is>
          <t>23 Agustus 2026</t>
        </is>
      </c>
      <c r="M103" t="inlineStr">
        <is>
          <t>Konstruksi Gedung Kesehatan</t>
        </is>
      </c>
      <c r="N103" t="inlineStr">
        <is>
          <t>K</t>
        </is>
      </c>
      <c r="O103" t="inlineStr">
        <is>
          <t>20230822</t>
        </is>
      </c>
      <c r="P103" t="inlineStr">
        <is>
          <t>Sulawesi Tengah</t>
        </is>
      </c>
      <c r="Q103" t="inlineStr"/>
    </row>
    <row r="104">
      <c r="A104" t="inlineStr">
        <is>
          <t>GRAHA PERKASA ABADI</t>
        </is>
      </c>
      <c r="B104" t="inlineStr">
        <is>
          <t>Kab. Dairi</t>
        </is>
      </c>
      <c r="C104" t="inlineStr">
        <is>
          <t>085376948999</t>
        </is>
      </c>
      <c r="D104" t="inlineStr">
        <is>
          <t>cvgrahaperkasa88@gmail.com</t>
        </is>
      </c>
      <c r="E104" t="inlineStr">
        <is>
          <t>https://lpjk.pu.go.id/search-badan-usaha-detail/T045akhqdXJRTnVkL2lReXJhQ09rQT09</t>
        </is>
      </c>
      <c r="F104" t="n">
        <v>2</v>
      </c>
      <c r="G104" t="inlineStr">
        <is>
          <t>BG005, BG009</t>
        </is>
      </c>
      <c r="H104" t="inlineStr">
        <is>
          <t>2 Februari 2023</t>
        </is>
      </c>
      <c r="I104" s="2" t="n">
        <v>46257</v>
      </c>
      <c r="J104" t="inlineStr">
        <is>
          <t>Disetujui</t>
        </is>
      </c>
      <c r="K104" t="n">
        <v>60</v>
      </c>
      <c r="L104" t="inlineStr">
        <is>
          <t>23 Agustus 2026</t>
        </is>
      </c>
      <c r="M104" t="inlineStr">
        <is>
          <t>Konstruksi Gedung Kesehatan, Konstruksi Gedung Lainnya</t>
        </is>
      </c>
      <c r="N104" t="inlineStr">
        <is>
          <t>K</t>
        </is>
      </c>
      <c r="O104" t="inlineStr">
        <is>
          <t>20230822, 20230823</t>
        </is>
      </c>
      <c r="P104" t="inlineStr">
        <is>
          <t>Sumatera Utara</t>
        </is>
      </c>
      <c r="Q104" t="inlineStr"/>
    </row>
    <row r="105">
      <c r="A105" t="inlineStr">
        <is>
          <t>GRAHA PRATAMA</t>
        </is>
      </c>
      <c r="B105" t="inlineStr">
        <is>
          <t>Kab. Tulungagung</t>
        </is>
      </c>
      <c r="C105" t="inlineStr">
        <is>
          <t>082334566300</t>
        </is>
      </c>
      <c r="D105" t="inlineStr">
        <is>
          <t>cvgrahapratama88@gmail.com</t>
        </is>
      </c>
      <c r="E105" t="inlineStr">
        <is>
          <t>https://lpjk.pu.go.id/search-badan-usaha-detail/Nm9LaDV6Q0JjOTJwTWVwZHl5R2U2Zz09</t>
        </is>
      </c>
      <c r="F105" t="n">
        <v>1</v>
      </c>
      <c r="G105" t="inlineStr">
        <is>
          <t>BS004</t>
        </is>
      </c>
      <c r="H105" t="inlineStr">
        <is>
          <t>8 Desember 2016</t>
        </is>
      </c>
      <c r="I105" s="2" t="n">
        <v>46257</v>
      </c>
      <c r="J105" t="inlineStr">
        <is>
          <t>Disetujui</t>
        </is>
      </c>
      <c r="K105" t="n">
        <v>60</v>
      </c>
      <c r="L105" t="inlineStr">
        <is>
          <t>23 Agustus 2026</t>
        </is>
      </c>
      <c r="M105" t="inlineStr">
        <is>
          <t>Konstruksi Jaringan Irigasi dan Drainase</t>
        </is>
      </c>
      <c r="N105" t="inlineStr">
        <is>
          <t>K</t>
        </is>
      </c>
      <c r="O105" t="inlineStr">
        <is>
          <t>20230821</t>
        </is>
      </c>
      <c r="P105" t="inlineStr">
        <is>
          <t>Jawa Timur</t>
        </is>
      </c>
      <c r="Q105" t="inlineStr"/>
    </row>
    <row r="106">
      <c r="A106" t="inlineStr">
        <is>
          <t>GRAHA RAHARJA</t>
        </is>
      </c>
      <c r="B106" t="inlineStr">
        <is>
          <t>Kab. Lamongan</t>
        </is>
      </c>
      <c r="C106" t="inlineStr">
        <is>
          <t>081339305098</t>
        </is>
      </c>
      <c r="D106" t="inlineStr">
        <is>
          <t>graharaharja10@gmail.com</t>
        </is>
      </c>
      <c r="E106" t="inlineStr">
        <is>
          <t>https://lpjk.pu.go.id/search-badan-usaha-detail/VUQzMkR5VXpqTkhQRVJndDJNcWVMUT09</t>
        </is>
      </c>
      <c r="F106" t="n">
        <v>1</v>
      </c>
      <c r="G106" t="inlineStr">
        <is>
          <t>BS010</t>
        </is>
      </c>
      <c r="H106" t="inlineStr">
        <is>
          <t>21 Maret 2016</t>
        </is>
      </c>
      <c r="I106" s="2" t="n">
        <v>46257</v>
      </c>
      <c r="J106" t="inlineStr">
        <is>
          <t>Disetujui</t>
        </is>
      </c>
      <c r="K106" t="n">
        <v>60</v>
      </c>
      <c r="L106" t="inlineStr">
        <is>
          <t>23 Agustus 2026</t>
        </is>
      </c>
      <c r="M106" t="inlineStr">
        <is>
          <t>Konstruksi Bangunan Prasarana Sumber Daya Air</t>
        </is>
      </c>
      <c r="N106" t="inlineStr">
        <is>
          <t>K</t>
        </is>
      </c>
      <c r="O106" t="inlineStr">
        <is>
          <t>20230810</t>
        </is>
      </c>
      <c r="P106" t="inlineStr">
        <is>
          <t>Jawa Timur</t>
        </is>
      </c>
      <c r="Q106" t="inlineStr"/>
    </row>
    <row r="107">
      <c r="A107" t="inlineStr">
        <is>
          <t>HAFIZH FARRAS</t>
        </is>
      </c>
      <c r="B107" t="inlineStr">
        <is>
          <t>Kota Padang</t>
        </is>
      </c>
      <c r="C107" t="inlineStr">
        <is>
          <t>082130311813</t>
        </is>
      </c>
      <c r="D107" t="inlineStr">
        <is>
          <t>cvhafizh.farras@gmail.com</t>
        </is>
      </c>
      <c r="E107" t="inlineStr">
        <is>
          <t>https://lpjk.pu.go.id/search-badan-usaha-detail/R1lSU2tMYVg2eWpGcUhPZmZTRTFYQkE0OENwdytPYmtRZkg5emZVUTkvOD0</t>
        </is>
      </c>
      <c r="F107" t="n">
        <v>2</v>
      </c>
      <c r="G107" t="inlineStr">
        <is>
          <t>BG002, BG004</t>
        </is>
      </c>
      <c r="H107" t="inlineStr">
        <is>
          <t>18 Desember 2020</t>
        </is>
      </c>
      <c r="I107" s="2" t="n">
        <v>46257</v>
      </c>
      <c r="J107" t="inlineStr">
        <is>
          <t>Disetujui</t>
        </is>
      </c>
      <c r="K107" t="n">
        <v>60</v>
      </c>
      <c r="L107" t="inlineStr">
        <is>
          <t>23 Agustus 2026</t>
        </is>
      </c>
      <c r="M107" t="inlineStr">
        <is>
          <t>Konstruksi Gedung Perbelanjaan, Konstruksi Gedung Perkantoran</t>
        </is>
      </c>
      <c r="N107" t="inlineStr">
        <is>
          <t>K</t>
        </is>
      </c>
      <c r="O107" t="inlineStr">
        <is>
          <t>20230823</t>
        </is>
      </c>
      <c r="P107" t="inlineStr">
        <is>
          <t>Sumatera Barat</t>
        </is>
      </c>
      <c r="Q107" t="inlineStr"/>
    </row>
    <row r="108">
      <c r="A108" t="inlineStr">
        <is>
          <t>HANAFA</t>
        </is>
      </c>
      <c r="B108" t="inlineStr">
        <is>
          <t>Kota Padang</t>
        </is>
      </c>
      <c r="C108" t="inlineStr">
        <is>
          <t>081267134436</t>
        </is>
      </c>
      <c r="D108" t="inlineStr">
        <is>
          <t>hanafa25@yahoo.com</t>
        </is>
      </c>
      <c r="E108" t="inlineStr">
        <is>
          <t>https://lpjk.pu.go.id/search-badan-usaha-detail/MW93aUQ3UnBJV3ZVSVdoYjlMWWoxQT09</t>
        </is>
      </c>
      <c r="F108" t="n">
        <v>1</v>
      </c>
      <c r="G108" t="inlineStr">
        <is>
          <t>BG006</t>
        </is>
      </c>
      <c r="H108" t="inlineStr">
        <is>
          <t>11 November 2019</t>
        </is>
      </c>
      <c r="I108" s="2" t="n">
        <v>46257</v>
      </c>
      <c r="J108" t="inlineStr">
        <is>
          <t>Disetujui</t>
        </is>
      </c>
      <c r="K108" t="n">
        <v>60</v>
      </c>
      <c r="L108" t="inlineStr">
        <is>
          <t>23 Agustus 2026</t>
        </is>
      </c>
      <c r="M108" t="inlineStr">
        <is>
          <t>Konstruksi Gedung Pendidikan</t>
        </is>
      </c>
      <c r="N108" t="inlineStr">
        <is>
          <t>K</t>
        </is>
      </c>
      <c r="O108" t="inlineStr">
        <is>
          <t>20230818</t>
        </is>
      </c>
      <c r="P108" t="inlineStr">
        <is>
          <t>Sumatera Barat</t>
        </is>
      </c>
      <c r="Q108" t="inlineStr"/>
    </row>
    <row r="109">
      <c r="A109" t="inlineStr">
        <is>
          <t>HARKON PERSADA</t>
        </is>
      </c>
      <c r="B109" t="inlineStr">
        <is>
          <t>Kab. Sukoharjo</t>
        </is>
      </c>
      <c r="C109" t="inlineStr">
        <is>
          <t>0271784693</t>
        </is>
      </c>
      <c r="D109" t="inlineStr">
        <is>
          <t>harkonpersada@yahoo.co.id</t>
        </is>
      </c>
      <c r="E109" t="inlineStr">
        <is>
          <t>https://lpjk.pu.go.id/search-badan-usaha-detail/MDVOT2V1ZUllNUI1MDhxMnQ3Z1VaQT09</t>
        </is>
      </c>
      <c r="F109" t="n">
        <v>5</v>
      </c>
      <c r="G109" t="inlineStr">
        <is>
          <t>BG006, BG009, BS001, BS004, BS010</t>
        </is>
      </c>
      <c r="H109" t="inlineStr">
        <is>
          <t>8 September 2006</t>
        </is>
      </c>
      <c r="I109" s="2" t="n">
        <v>46257</v>
      </c>
      <c r="J109" t="inlineStr">
        <is>
          <t>Disetujui</t>
        </is>
      </c>
      <c r="K109" t="n">
        <v>60</v>
      </c>
      <c r="L109" t="inlineStr">
        <is>
          <t>23 Agustus 2026</t>
        </is>
      </c>
      <c r="M109" t="inlineStr">
        <is>
          <t>Konstruksi Bangunan Prasarana Sumber Daya Air, Konstruksi Bangunan Sipil Jalan, Konstruksi Gedung Lainnya, Konstruksi Gedung Pendidikan, Konstruksi Jaringan Irigasi dan Drainase</t>
        </is>
      </c>
      <c r="N109" t="inlineStr">
        <is>
          <t>K</t>
        </is>
      </c>
      <c r="O109" t="inlineStr">
        <is>
          <t>20230721, 20230814</t>
        </is>
      </c>
      <c r="P109" t="inlineStr">
        <is>
          <t>Jawa Tengah</t>
        </is>
      </c>
      <c r="Q109" t="inlineStr"/>
    </row>
    <row r="110">
      <c r="A110" t="inlineStr">
        <is>
          <t>INDO CHANGHAI KONSTRUKSI</t>
        </is>
      </c>
      <c r="B110" t="inlineStr">
        <is>
          <t>Kota Adm. Jakarta Barat</t>
        </is>
      </c>
      <c r="C110" t="inlineStr">
        <is>
          <t>02154314557</t>
        </is>
      </c>
      <c r="D110" t="inlineStr">
        <is>
          <t>indochanghai.konstruksi25@gmail.com</t>
        </is>
      </c>
      <c r="E110" t="inlineStr">
        <is>
          <t>https://lpjk.pu.go.id/search-badan-usaha-detail/alBoc3BBSXlrTVBhLzdWbDcwei9PUT09</t>
        </is>
      </c>
      <c r="F110" t="n">
        <v>3</v>
      </c>
      <c r="G110" t="inlineStr">
        <is>
          <t>BG001, BG003, BG009</t>
        </is>
      </c>
      <c r="H110" t="inlineStr">
        <is>
          <t>29 Oktober 2015</t>
        </is>
      </c>
      <c r="I110" s="2" t="n">
        <v>46257</v>
      </c>
      <c r="J110" t="inlineStr">
        <is>
          <t>Disetujui</t>
        </is>
      </c>
      <c r="K110" t="n">
        <v>60</v>
      </c>
      <c r="L110" t="inlineStr">
        <is>
          <t>23 Agustus 2026</t>
        </is>
      </c>
      <c r="M110" t="inlineStr">
        <is>
          <t>Konstruksi Gedung Hunian, Konstruksi Gedung Industri, Konstruksi Gedung Lainnya</t>
        </is>
      </c>
      <c r="N110" t="inlineStr">
        <is>
          <t>B</t>
        </is>
      </c>
      <c r="O110" t="inlineStr">
        <is>
          <t>20230808</t>
        </is>
      </c>
      <c r="P110" t="inlineStr">
        <is>
          <t>DKI Jakarta</t>
        </is>
      </c>
      <c r="Q110" t="inlineStr"/>
    </row>
    <row r="111">
      <c r="A111" t="inlineStr">
        <is>
          <t>INDOTAMA GROUP</t>
        </is>
      </c>
      <c r="B111" t="inlineStr">
        <is>
          <t>Kab. Tulungagung</t>
        </is>
      </c>
      <c r="C111" t="inlineStr">
        <is>
          <t>082338929827</t>
        </is>
      </c>
      <c r="D111" t="inlineStr">
        <is>
          <t>cvindotamagroup@gmail.com</t>
        </is>
      </c>
      <c r="E111" t="inlineStr">
        <is>
          <t>https://lpjk.pu.go.id/search-badan-usaha-detail/dVJnVUxQWEV2bVlxRWsvUkVhSTRsQT09</t>
        </is>
      </c>
      <c r="F111" t="n">
        <v>2</v>
      </c>
      <c r="G111" t="inlineStr">
        <is>
          <t>BG002, BG006</t>
        </is>
      </c>
      <c r="H111" t="inlineStr">
        <is>
          <t>13 Oktober 2020</t>
        </is>
      </c>
      <c r="I111" s="2" t="n">
        <v>46257</v>
      </c>
      <c r="J111" t="inlineStr">
        <is>
          <t>Disetujui</t>
        </is>
      </c>
      <c r="K111" t="n">
        <v>60</v>
      </c>
      <c r="L111" t="inlineStr">
        <is>
          <t>23 Agustus 2026</t>
        </is>
      </c>
      <c r="M111" t="inlineStr">
        <is>
          <t>Konstruksi Gedung Pendidikan, Konstruksi Gedung Perkantoran</t>
        </is>
      </c>
      <c r="N111" t="inlineStr">
        <is>
          <t>K</t>
        </is>
      </c>
      <c r="O111" t="inlineStr">
        <is>
          <t>20230816, 20230823</t>
        </is>
      </c>
      <c r="P111" t="inlineStr">
        <is>
          <t>Jawa Timur</t>
        </is>
      </c>
      <c r="Q111" t="inlineStr"/>
    </row>
    <row r="112">
      <c r="A112" t="inlineStr">
        <is>
          <t>INDRA JAYA MANDIRI CONSULTANT</t>
        </is>
      </c>
      <c r="B112" t="inlineStr">
        <is>
          <t>Kota Balikpapan</t>
        </is>
      </c>
      <c r="C112" t="inlineStr">
        <is>
          <t>082157131335</t>
        </is>
      </c>
      <c r="D112" t="inlineStr">
        <is>
          <t>indrajayamandiri.consultant@gmail.com</t>
        </is>
      </c>
      <c r="E112" t="inlineStr">
        <is>
          <t>https://lpjk.pu.go.id/search-badan-usaha-detail/WUd3d2p5QkNlQXZpUDh1ZlI1WkVxdz09</t>
        </is>
      </c>
      <c r="F112" t="n">
        <v>3</v>
      </c>
      <c r="G112" t="inlineStr">
        <is>
          <t>AR001, AR002, RK003</t>
        </is>
      </c>
      <c r="H112" t="inlineStr">
        <is>
          <t>28 Desember 2019</t>
        </is>
      </c>
      <c r="I112" s="2" t="n">
        <v>46257</v>
      </c>
      <c r="J112" t="inlineStr">
        <is>
          <t>Disetujui</t>
        </is>
      </c>
      <c r="K112" t="n">
        <v>60</v>
      </c>
      <c r="L112" t="inlineStr">
        <is>
          <t>23 Agustus 2026</t>
        </is>
      </c>
      <c r="M112" t="inlineStr">
        <is>
          <t>Jasa Arsitektural Bangunan Gedung Hunian dan Non Hunian, Jasa Arsitektural Lainnya, Jasa Rekayasa Pekerjaan Teknik Sipil Transportasi</t>
        </is>
      </c>
      <c r="N112" t="inlineStr">
        <is>
          <t>K</t>
        </is>
      </c>
      <c r="O112" t="inlineStr">
        <is>
          <t>20230810</t>
        </is>
      </c>
      <c r="P112" t="inlineStr">
        <is>
          <t>Kalimantan Timur</t>
        </is>
      </c>
      <c r="Q112" t="inlineStr"/>
    </row>
    <row r="113">
      <c r="A113" t="inlineStr">
        <is>
          <t>INDRA PRIMA</t>
        </is>
      </c>
      <c r="B113" t="inlineStr">
        <is>
          <t>Kab. Garut</t>
        </is>
      </c>
      <c r="C113" t="inlineStr">
        <is>
          <t>082218009394</t>
        </is>
      </c>
      <c r="D113" t="inlineStr">
        <is>
          <t>cv.indraprima@gmail.com</t>
        </is>
      </c>
      <c r="E113" t="inlineStr">
        <is>
          <t>https://lpjk.pu.go.id/search-badan-usaha-detail/WERBb2pONFVaMVNuK3RkRitrck55Zz09</t>
        </is>
      </c>
      <c r="F113" t="n">
        <v>1</v>
      </c>
      <c r="G113" t="inlineStr">
        <is>
          <t>BG006</t>
        </is>
      </c>
      <c r="H113" t="inlineStr">
        <is>
          <t>10 November 2016</t>
        </is>
      </c>
      <c r="I113" s="2" t="n">
        <v>46257</v>
      </c>
      <c r="J113" t="inlineStr">
        <is>
          <t>Disetujui</t>
        </is>
      </c>
      <c r="K113" t="n">
        <v>60</v>
      </c>
      <c r="L113" t="inlineStr">
        <is>
          <t>23 Agustus 2026</t>
        </is>
      </c>
      <c r="M113" t="inlineStr">
        <is>
          <t>Konstruksi Gedung Pendidikan</t>
        </is>
      </c>
      <c r="N113" t="inlineStr">
        <is>
          <t>K</t>
        </is>
      </c>
      <c r="O113" t="inlineStr">
        <is>
          <t>20230824</t>
        </is>
      </c>
      <c r="P113" t="inlineStr">
        <is>
          <t>Jawa Barat</t>
        </is>
      </c>
      <c r="Q113" t="inlineStr"/>
    </row>
    <row r="114">
      <c r="A114" t="inlineStr">
        <is>
          <t>INTI</t>
        </is>
      </c>
      <c r="B114" t="inlineStr">
        <is>
          <t>Kab. Indramayu</t>
        </is>
      </c>
      <c r="C114" t="inlineStr">
        <is>
          <t>0817215580</t>
        </is>
      </c>
      <c r="D114" t="inlineStr">
        <is>
          <t>muhajir_purnama@yahoo.com</t>
        </is>
      </c>
      <c r="E114" t="inlineStr">
        <is>
          <t>https://lpjk.pu.go.id/search-badan-usaha-detail/NGZOUXh6YjQyOUpsZ3o4bzVHN2UvZz09</t>
        </is>
      </c>
      <c r="F114" t="n">
        <v>1</v>
      </c>
      <c r="G114" t="inlineStr">
        <is>
          <t>BS005</t>
        </is>
      </c>
      <c r="H114" t="inlineStr">
        <is>
          <t>7 Juni 2011</t>
        </is>
      </c>
      <c r="I114" s="2" t="n">
        <v>46257</v>
      </c>
      <c r="J114" t="inlineStr">
        <is>
          <t>Disetujui</t>
        </is>
      </c>
      <c r="K114" t="n">
        <v>60</v>
      </c>
      <c r="L114" t="inlineStr">
        <is>
          <t>23 Agustus 2026</t>
        </is>
      </c>
      <c r="M114" t="inlineStr">
        <is>
          <t>Konstruksi Bangunan Sipil Pengolahan Air Bersih</t>
        </is>
      </c>
      <c r="N114" t="inlineStr">
        <is>
          <t>K</t>
        </is>
      </c>
      <c r="O114" t="inlineStr">
        <is>
          <t>20230824</t>
        </is>
      </c>
      <c r="P114" t="inlineStr">
        <is>
          <t>Jawa Barat</t>
        </is>
      </c>
      <c r="Q114" t="inlineStr"/>
    </row>
    <row r="115">
      <c r="A115" t="inlineStr">
        <is>
          <t>INTINUSA CIPTA PERSADA</t>
        </is>
      </c>
      <c r="B115" t="inlineStr">
        <is>
          <t>Kab. Sukoharjo</t>
        </is>
      </c>
      <c r="C115" t="inlineStr">
        <is>
          <t>081326782091</t>
        </is>
      </c>
      <c r="D115" t="inlineStr">
        <is>
          <t>intinusacp@gmail.com</t>
        </is>
      </c>
      <c r="E115" t="inlineStr">
        <is>
          <t>https://lpjk.pu.go.id/search-badan-usaha-detail/SlFHVFh2a2FJT3ZKRTMzanVkTDdIZz09</t>
        </is>
      </c>
      <c r="F115" t="n">
        <v>4</v>
      </c>
      <c r="G115" t="inlineStr">
        <is>
          <t>BG002, BG003, BG005, BG007</t>
        </is>
      </c>
      <c r="H115" t="inlineStr">
        <is>
          <t>15 Oktober 2019</t>
        </is>
      </c>
      <c r="I115" s="2" t="n">
        <v>46257</v>
      </c>
      <c r="J115" t="inlineStr">
        <is>
          <t>Disetujui</t>
        </is>
      </c>
      <c r="K115" t="n">
        <v>60</v>
      </c>
      <c r="L115" t="inlineStr">
        <is>
          <t>23 Agustus 2026</t>
        </is>
      </c>
      <c r="M115" t="inlineStr">
        <is>
          <t>Konstruksi Gedung Industri, Konstruksi Gedung Kesehatan, Konstruksi Gedung Penginapan, Konstruksi Gedung Perkantoran</t>
        </is>
      </c>
      <c r="N115" t="inlineStr">
        <is>
          <t>K</t>
        </is>
      </c>
      <c r="O115" t="inlineStr">
        <is>
          <t>20230811, 20230823</t>
        </is>
      </c>
      <c r="P115" t="inlineStr">
        <is>
          <t>Jawa Tengah</t>
        </is>
      </c>
      <c r="Q115" t="inlineStr"/>
    </row>
    <row r="116">
      <c r="A116" t="inlineStr">
        <is>
          <t>IQBAL PRATAMA</t>
        </is>
      </c>
      <c r="B116" t="inlineStr">
        <is>
          <t>Kab. Pasangkayu</t>
        </is>
      </c>
      <c r="C116" t="inlineStr">
        <is>
          <t>085339081020</t>
        </is>
      </c>
      <c r="D116" t="inlineStr">
        <is>
          <t>cviqbalprtama@gmail.com</t>
        </is>
      </c>
      <c r="E116" t="inlineStr">
        <is>
          <t>https://lpjk.pu.go.id/search-badan-usaha-detail/MG5MT1NlK2d1YmZrSHpWMkRHOXBjQT09</t>
        </is>
      </c>
      <c r="F116" t="n">
        <v>1</v>
      </c>
      <c r="G116" t="inlineStr">
        <is>
          <t>BG009</t>
        </is>
      </c>
      <c r="H116" t="inlineStr">
        <is>
          <t>31 Oktober 2016</t>
        </is>
      </c>
      <c r="I116" s="2" t="n">
        <v>46257</v>
      </c>
      <c r="J116" t="inlineStr">
        <is>
          <t>Disetujui</t>
        </is>
      </c>
      <c r="K116" t="n">
        <v>60</v>
      </c>
      <c r="L116" t="inlineStr">
        <is>
          <t>23 Agustus 2026</t>
        </is>
      </c>
      <c r="M116" t="inlineStr">
        <is>
          <t>Konstruksi Gedung Lainnya</t>
        </is>
      </c>
      <c r="N116" t="inlineStr">
        <is>
          <t>K</t>
        </is>
      </c>
      <c r="O116" t="inlineStr">
        <is>
          <t>20230823</t>
        </is>
      </c>
      <c r="P116" t="inlineStr">
        <is>
          <t>Sulawesi Barat</t>
        </is>
      </c>
      <c r="Q116" t="inlineStr"/>
    </row>
    <row r="117">
      <c r="A117" t="inlineStr">
        <is>
          <t>IRMAN ONGA MANDIRI</t>
        </is>
      </c>
      <c r="B117" t="inlineStr">
        <is>
          <t>Kab. Kampar</t>
        </is>
      </c>
      <c r="C117" t="inlineStr">
        <is>
          <t>085274272015</t>
        </is>
      </c>
      <c r="D117" t="inlineStr">
        <is>
          <t>cvirmanongam@gmail.com</t>
        </is>
      </c>
      <c r="E117" t="inlineStr">
        <is>
          <t>https://lpjk.pu.go.id/search-badan-usaha-detail/OWdjK25PWXB2V2RrRW9Ud3lIWWVVUT09</t>
        </is>
      </c>
      <c r="F117" t="n">
        <v>6</v>
      </c>
      <c r="G117" t="inlineStr">
        <is>
          <t>BG006, BS001, BS004</t>
        </is>
      </c>
      <c r="H117" t="inlineStr">
        <is>
          <t>22 Juli 2023</t>
        </is>
      </c>
      <c r="I117" s="2" t="n">
        <v>46257</v>
      </c>
      <c r="J117" t="inlineStr">
        <is>
          <t>Disetujui</t>
        </is>
      </c>
      <c r="K117" t="n">
        <v>60</v>
      </c>
      <c r="L117" t="inlineStr">
        <is>
          <t>23 Agustus 2026</t>
        </is>
      </c>
      <c r="M117" t="inlineStr">
        <is>
          <t>Konstruksi Bangunan Sipil Jalan, Konstruksi Gedung Pendidikan, Konstruksi Jaringan Irigasi dan Drainase</t>
        </is>
      </c>
      <c r="N117" t="inlineStr">
        <is>
          <t>K</t>
        </is>
      </c>
      <c r="O117" t="inlineStr">
        <is>
          <t>20230816</t>
        </is>
      </c>
      <c r="P117" t="inlineStr">
        <is>
          <t>Riau</t>
        </is>
      </c>
      <c r="Q117" t="inlineStr"/>
    </row>
    <row r="118">
      <c r="A118" t="inlineStr">
        <is>
          <t>ISTIQOMAH</t>
        </is>
      </c>
      <c r="B118" t="inlineStr">
        <is>
          <t>Kab. Deli Serdang</t>
        </is>
      </c>
      <c r="C118" t="inlineStr">
        <is>
          <t>085345498800</t>
        </is>
      </c>
      <c r="D118" t="inlineStr">
        <is>
          <t>cvistiqomah0202@gmail.com</t>
        </is>
      </c>
      <c r="E118" t="inlineStr">
        <is>
          <t>https://lpjk.pu.go.id/search-badan-usaha-detail/WTdISnBFVUZMWDUyOHJnMlpzRjUydz09</t>
        </is>
      </c>
      <c r="F118" t="n">
        <v>2</v>
      </c>
      <c r="G118" t="inlineStr">
        <is>
          <t>BG006</t>
        </is>
      </c>
      <c r="H118" t="inlineStr">
        <is>
          <t>14 Februari 2017</t>
        </is>
      </c>
      <c r="I118" s="2" t="n">
        <v>46257</v>
      </c>
      <c r="J118" t="inlineStr">
        <is>
          <t>Pencabutan</t>
        </is>
      </c>
      <c r="K118" t="n">
        <v>60</v>
      </c>
      <c r="L118" t="inlineStr">
        <is>
          <t>23 Agustus 2026</t>
        </is>
      </c>
      <c r="M118" t="inlineStr">
        <is>
          <t>Konstruksi Gedung Pendidikan</t>
        </is>
      </c>
      <c r="N118" t="inlineStr">
        <is>
          <t>K</t>
        </is>
      </c>
      <c r="O118" t="inlineStr">
        <is>
          <t>20230801</t>
        </is>
      </c>
      <c r="P118" t="inlineStr">
        <is>
          <t>Sumatera Utara</t>
        </is>
      </c>
      <c r="Q118" t="inlineStr"/>
    </row>
    <row r="119">
      <c r="A119" t="inlineStr">
        <is>
          <t>JASA NIAGA</t>
        </is>
      </c>
      <c r="B119" t="inlineStr">
        <is>
          <t>Kab. Malang</t>
        </is>
      </c>
      <c r="C119" t="inlineStr">
        <is>
          <t>0341552257</t>
        </is>
      </c>
      <c r="D119" t="inlineStr">
        <is>
          <t>jasaniaga@ymail.com</t>
        </is>
      </c>
      <c r="E119" t="inlineStr">
        <is>
          <t>https://lpjk.pu.go.id/search-badan-usaha-detail/MW1wUnJuL040Uk41Q1UzMTQxNWkvZz09</t>
        </is>
      </c>
      <c r="F119" t="n">
        <v>3</v>
      </c>
      <c r="G119" t="inlineStr">
        <is>
          <t>BG004, BG009, BS001</t>
        </is>
      </c>
      <c r="H119" t="inlineStr">
        <is>
          <t>31 Maret 1986</t>
        </is>
      </c>
      <c r="I119" s="2" t="n">
        <v>46257</v>
      </c>
      <c r="J119" t="inlineStr">
        <is>
          <t>Disetujui</t>
        </is>
      </c>
      <c r="K119" t="n">
        <v>60</v>
      </c>
      <c r="L119" t="inlineStr">
        <is>
          <t>23 Agustus 2026</t>
        </is>
      </c>
      <c r="M119" t="inlineStr">
        <is>
          <t>Konstruksi Bangunan Sipil Jalan, Konstruksi Gedung Lainnya, Konstruksi Gedung Perbelanjaan</t>
        </is>
      </c>
      <c r="N119" t="inlineStr">
        <is>
          <t>K</t>
        </is>
      </c>
      <c r="O119" t="inlineStr">
        <is>
          <t>20230811, 20230818</t>
        </is>
      </c>
      <c r="P119" t="inlineStr">
        <is>
          <t>Jawa Timur</t>
        </is>
      </c>
      <c r="Q119" t="inlineStr"/>
    </row>
    <row r="120">
      <c r="A120" t="inlineStr">
        <is>
          <t>JAYA NUSANTARA</t>
        </is>
      </c>
      <c r="B120" t="inlineStr">
        <is>
          <t>Kota Tangerang</t>
        </is>
      </c>
      <c r="C120" t="inlineStr">
        <is>
          <t>085710795230</t>
        </is>
      </c>
      <c r="D120" t="inlineStr">
        <is>
          <t>jnusantara_cv@yahoo.co.id</t>
        </is>
      </c>
      <c r="E120" t="inlineStr">
        <is>
          <t>https://lpjk.pu.go.id/search-badan-usaha-detail/WU5nVTNISUVnMlRuSHU4TU5rb2NWQT09</t>
        </is>
      </c>
      <c r="F120" t="n">
        <v>2</v>
      </c>
      <c r="G120" t="inlineStr">
        <is>
          <t>BG003, BG006</t>
        </is>
      </c>
      <c r="H120" t="inlineStr">
        <is>
          <t>3 Juni 2008</t>
        </is>
      </c>
      <c r="I120" s="2" t="n">
        <v>46257</v>
      </c>
      <c r="J120" t="inlineStr">
        <is>
          <t>Disetujui</t>
        </is>
      </c>
      <c r="K120" t="n">
        <v>60</v>
      </c>
      <c r="L120" t="inlineStr">
        <is>
          <t>23 Agustus 2026</t>
        </is>
      </c>
      <c r="M120" t="inlineStr">
        <is>
          <t>Konstruksi Gedung Industri, Konstruksi Gedung Pendidikan</t>
        </is>
      </c>
      <c r="N120" t="inlineStr">
        <is>
          <t>K</t>
        </is>
      </c>
      <c r="O120" t="inlineStr">
        <is>
          <t>20230822</t>
        </is>
      </c>
      <c r="P120" t="inlineStr">
        <is>
          <t>Banten</t>
        </is>
      </c>
      <c r="Q120" t="inlineStr"/>
    </row>
    <row r="121">
      <c r="A121" t="inlineStr">
        <is>
          <t>KALAPA TILU MAKMUR</t>
        </is>
      </c>
      <c r="B121" t="inlineStr">
        <is>
          <t>Kab. Bandung</t>
        </is>
      </c>
      <c r="C121" t="inlineStr">
        <is>
          <t>082219070717</t>
        </is>
      </c>
      <c r="D121" t="inlineStr">
        <is>
          <t>cv.kalapatilumandiri@gmail.com</t>
        </is>
      </c>
      <c r="E121" t="inlineStr">
        <is>
          <t>https://lpjk.pu.go.id/search-badan-usaha-detail/Z3JDNEpldklISVltNlNXZlNyQVhxdz09</t>
        </is>
      </c>
      <c r="F121" t="n">
        <v>2</v>
      </c>
      <c r="G121" t="inlineStr">
        <is>
          <t>BS010</t>
        </is>
      </c>
      <c r="H121" t="inlineStr">
        <is>
          <t>25 Juli 2023</t>
        </is>
      </c>
      <c r="I121" s="2" t="n">
        <v>46257</v>
      </c>
      <c r="J121" t="inlineStr">
        <is>
          <t>Disetujui</t>
        </is>
      </c>
      <c r="K121" t="n">
        <v>60</v>
      </c>
      <c r="L121" t="inlineStr">
        <is>
          <t>23 Agustus 2026</t>
        </is>
      </c>
      <c r="M121" t="inlineStr">
        <is>
          <t>Konstruksi Bangunan Prasarana Sumber Daya Air</t>
        </is>
      </c>
      <c r="N121" t="inlineStr">
        <is>
          <t>K</t>
        </is>
      </c>
      <c r="O121" t="inlineStr">
        <is>
          <t>20230824</t>
        </is>
      </c>
      <c r="P121" t="inlineStr">
        <is>
          <t>Jawa Barat</t>
        </is>
      </c>
      <c r="Q121" t="inlineStr"/>
    </row>
    <row r="122">
      <c r="A122" t="inlineStr">
        <is>
          <t>KALIBRASI JAYA UTAMA</t>
        </is>
      </c>
      <c r="B122" t="inlineStr">
        <is>
          <t>Kab. Berau</t>
        </is>
      </c>
      <c r="C122" t="inlineStr">
        <is>
          <t>081250282628</t>
        </is>
      </c>
      <c r="D122" t="inlineStr">
        <is>
          <t>cvkalibrasijayautama@gmail.com</t>
        </is>
      </c>
      <c r="E122" t="inlineStr">
        <is>
          <t>https://lpjk.pu.go.id/search-badan-usaha-detail/cDhPMExGdWQ4YWU3K0NqcnVGNHZQdz09</t>
        </is>
      </c>
      <c r="F122" t="n">
        <v>3</v>
      </c>
      <c r="G122" t="inlineStr">
        <is>
          <t>BG001, BG006, BG009</t>
        </is>
      </c>
      <c r="H122" t="inlineStr">
        <is>
          <t>15 Agustus 2019</t>
        </is>
      </c>
      <c r="I122" s="2" t="n">
        <v>46257</v>
      </c>
      <c r="J122" t="inlineStr">
        <is>
          <t>Disetujui</t>
        </is>
      </c>
      <c r="K122" t="n">
        <v>60</v>
      </c>
      <c r="L122" t="inlineStr">
        <is>
          <t>23 Agustus 2026</t>
        </is>
      </c>
      <c r="M122" t="inlineStr">
        <is>
          <t>Konstruksi Gedung Hunian, Konstruksi Gedung Lainnya, Konstruksi Gedung Pendidikan</t>
        </is>
      </c>
      <c r="N122" t="inlineStr">
        <is>
          <t>K</t>
        </is>
      </c>
      <c r="O122" t="inlineStr">
        <is>
          <t>20230819</t>
        </is>
      </c>
      <c r="P122" t="inlineStr">
        <is>
          <t>Kalimantan Timur</t>
        </is>
      </c>
      <c r="Q122" t="inlineStr"/>
    </row>
    <row r="123">
      <c r="A123" t="inlineStr">
        <is>
          <t>KARYA ALAM JAYA</t>
        </is>
      </c>
      <c r="B123" t="inlineStr">
        <is>
          <t>Kab. Jember</t>
        </is>
      </c>
      <c r="C123" t="inlineStr">
        <is>
          <t>082334137958</t>
        </is>
      </c>
      <c r="D123" t="inlineStr">
        <is>
          <t>cv.karyaalamjaya.jember@gmail.com</t>
        </is>
      </c>
      <c r="E123" t="inlineStr">
        <is>
          <t>https://lpjk.pu.go.id/search-badan-usaha-detail/UFVjTzhCUFpGQnNNSWVPZHlyZlMrUT09</t>
        </is>
      </c>
      <c r="F123" t="n">
        <v>1</v>
      </c>
      <c r="G123" t="inlineStr">
        <is>
          <t>BS005</t>
        </is>
      </c>
      <c r="H123" t="inlineStr">
        <is>
          <t>23 November 2016</t>
        </is>
      </c>
      <c r="I123" s="2" t="n">
        <v>46257</v>
      </c>
      <c r="J123" t="inlineStr">
        <is>
          <t>Disetujui</t>
        </is>
      </c>
      <c r="K123" t="n">
        <v>60</v>
      </c>
      <c r="L123" t="inlineStr">
        <is>
          <t>23 Agustus 2026</t>
        </is>
      </c>
      <c r="M123" t="inlineStr">
        <is>
          <t>Konstruksi Bangunan Sipil Pengolahan Air Bersih</t>
        </is>
      </c>
      <c r="N123" t="inlineStr">
        <is>
          <t>K</t>
        </is>
      </c>
      <c r="O123" t="inlineStr">
        <is>
          <t>20230815</t>
        </is>
      </c>
      <c r="P123" t="inlineStr">
        <is>
          <t>Jawa Timur</t>
        </is>
      </c>
      <c r="Q123" t="inlineStr"/>
    </row>
    <row r="124">
      <c r="A124" t="inlineStr">
        <is>
          <t>KARYA KITA</t>
        </is>
      </c>
      <c r="B124" t="inlineStr">
        <is>
          <t>Kota Banda Aceh</t>
        </is>
      </c>
      <c r="C124" t="inlineStr">
        <is>
          <t>082288216008</t>
        </is>
      </c>
      <c r="D124" t="inlineStr">
        <is>
          <t>karyakitasbu@gmail.com</t>
        </is>
      </c>
      <c r="E124" t="inlineStr">
        <is>
          <t>https://lpjk.pu.go.id/search-badan-usaha-detail/aG0wMjEvZjR2Q3p6NWozUjVtRjV0Zz09</t>
        </is>
      </c>
      <c r="F124" t="n">
        <v>1</v>
      </c>
      <c r="G124" t="inlineStr">
        <is>
          <t>BG001</t>
        </is>
      </c>
      <c r="H124" t="inlineStr">
        <is>
          <t>1 Maret 2022</t>
        </is>
      </c>
      <c r="I124" s="2" t="n">
        <v>46257</v>
      </c>
      <c r="J124" t="inlineStr">
        <is>
          <t>Disetujui</t>
        </is>
      </c>
      <c r="K124" t="n">
        <v>60</v>
      </c>
      <c r="L124" t="inlineStr">
        <is>
          <t>23 Agustus 2026</t>
        </is>
      </c>
      <c r="M124" t="inlineStr">
        <is>
          <t>Konstruksi Gedung Hunian</t>
        </is>
      </c>
      <c r="N124" t="inlineStr">
        <is>
          <t>K</t>
        </is>
      </c>
      <c r="O124" t="inlineStr">
        <is>
          <t>20230823</t>
        </is>
      </c>
      <c r="P124" t="inlineStr">
        <is>
          <t>Aceh</t>
        </is>
      </c>
      <c r="Q124" t="inlineStr"/>
    </row>
    <row r="125">
      <c r="A125" t="inlineStr">
        <is>
          <t>KARYA MUDA BELIA UTAMA</t>
        </is>
      </c>
      <c r="B125" t="inlineStr">
        <is>
          <t>-</t>
        </is>
      </c>
      <c r="C125" t="inlineStr">
        <is>
          <t>085355251700</t>
        </is>
      </c>
      <c r="D125" t="inlineStr">
        <is>
          <t>kmbutama.dumai77@gmail.com</t>
        </is>
      </c>
      <c r="E125" t="inlineStr">
        <is>
          <t>https://lpjk.pu.go.id/search-badan-usaha-detail/V1l4RE0wTVpGMXZpWWNHNWZXeE5jdz09</t>
        </is>
      </c>
      <c r="F125" t="n">
        <v>2</v>
      </c>
      <c r="G125" t="inlineStr">
        <is>
          <t>BG002, BG008</t>
        </is>
      </c>
      <c r="H125" t="inlineStr">
        <is>
          <t>30 Agustus 2013</t>
        </is>
      </c>
      <c r="I125" s="2" t="n">
        <v>46257</v>
      </c>
      <c r="J125" t="inlineStr">
        <is>
          <t>Disetujui</t>
        </is>
      </c>
      <c r="K125" t="n">
        <v>60</v>
      </c>
      <c r="L125" t="inlineStr">
        <is>
          <t>23 Agustus 2026</t>
        </is>
      </c>
      <c r="M125" t="inlineStr">
        <is>
          <t>Konstruksi Gedung Perkantoran, Konstruksi Gedung Tempat Hiburan dan Olahraga</t>
        </is>
      </c>
      <c r="N125" t="inlineStr">
        <is>
          <t>K</t>
        </is>
      </c>
      <c r="O125" t="inlineStr">
        <is>
          <t>20230820, 20230822</t>
        </is>
      </c>
      <c r="P125" t="inlineStr">
        <is>
          <t>Riau</t>
        </is>
      </c>
      <c r="Q125" t="inlineStr"/>
    </row>
    <row r="126">
      <c r="A126" t="inlineStr">
        <is>
          <t>KARYA NUGRAHA</t>
        </is>
      </c>
      <c r="B126" t="inlineStr">
        <is>
          <t>Kab. Jepara</t>
        </is>
      </c>
      <c r="C126" t="inlineStr">
        <is>
          <t>082242391369</t>
        </is>
      </c>
      <c r="D126" t="inlineStr">
        <is>
          <t>cvkaryanugraha11@yahoo.com</t>
        </is>
      </c>
      <c r="E126" t="inlineStr">
        <is>
          <t>https://lpjk.pu.go.id/search-badan-usaha-detail/cW1FTi9BUHZGOGJ5S3FaUUhFNTNvZz09</t>
        </is>
      </c>
      <c r="F126" t="n">
        <v>1</v>
      </c>
      <c r="G126" t="inlineStr">
        <is>
          <t>BS001</t>
        </is>
      </c>
      <c r="H126" t="inlineStr">
        <is>
          <t>31 Januari 2017</t>
        </is>
      </c>
      <c r="I126" s="2" t="n">
        <v>46257</v>
      </c>
      <c r="J126" t="inlineStr">
        <is>
          <t>Disetujui</t>
        </is>
      </c>
      <c r="K126" t="n">
        <v>60</v>
      </c>
      <c r="L126" t="inlineStr">
        <is>
          <t>23 Agustus 2026</t>
        </is>
      </c>
      <c r="M126" t="inlineStr">
        <is>
          <t>Konstruksi Bangunan Sipil Jalan</t>
        </is>
      </c>
      <c r="N126" t="inlineStr">
        <is>
          <t>K</t>
        </is>
      </c>
      <c r="O126" t="inlineStr">
        <is>
          <t>20230824</t>
        </is>
      </c>
      <c r="P126" t="inlineStr">
        <is>
          <t>Jawa Tengah</t>
        </is>
      </c>
      <c r="Q126" t="inlineStr"/>
    </row>
    <row r="127">
      <c r="A127" t="inlineStr">
        <is>
          <t>KARYA PUGA</t>
        </is>
      </c>
      <c r="B127" t="inlineStr">
        <is>
          <t>Kota Banda Aceh</t>
        </is>
      </c>
      <c r="C127" t="inlineStr">
        <is>
          <t>085260797115</t>
        </is>
      </c>
      <c r="D127" t="inlineStr">
        <is>
          <t>karyapuga84@gmail.com</t>
        </is>
      </c>
      <c r="E127" t="inlineStr">
        <is>
          <t>https://lpjk.pu.go.id/search-badan-usaha-detail/ZmJ1TkVqdU16T2NlMnAvNTJ1NlJMdz09</t>
        </is>
      </c>
      <c r="F127" t="n">
        <v>1</v>
      </c>
      <c r="G127" t="inlineStr">
        <is>
          <t>RK001</t>
        </is>
      </c>
      <c r="H127" t="inlineStr">
        <is>
          <t>7 Januari 1984</t>
        </is>
      </c>
      <c r="I127" s="2" t="n">
        <v>46257</v>
      </c>
      <c r="J127" t="inlineStr">
        <is>
          <t>Disetujui</t>
        </is>
      </c>
      <c r="K127" t="n">
        <v>60</v>
      </c>
      <c r="L127" t="inlineStr">
        <is>
          <t>23 Agustus 2026</t>
        </is>
      </c>
      <c r="M127" t="inlineStr">
        <is>
          <t>Jasa Rekayasa Konstruksi Bangunan Gedung Hunian dan Non Hunian</t>
        </is>
      </c>
      <c r="N127" t="inlineStr">
        <is>
          <t>K</t>
        </is>
      </c>
      <c r="O127" t="inlineStr">
        <is>
          <t>20230804</t>
        </is>
      </c>
      <c r="P127" t="inlineStr">
        <is>
          <t>Aceh</t>
        </is>
      </c>
      <c r="Q127" t="inlineStr"/>
    </row>
    <row r="128">
      <c r="A128" t="inlineStr">
        <is>
          <t>KARYA PUTERA ARU</t>
        </is>
      </c>
      <c r="B128" t="inlineStr">
        <is>
          <t>Kab. Kepulauan Aru</t>
        </is>
      </c>
      <c r="C128" t="inlineStr">
        <is>
          <t>08524791947</t>
        </is>
      </c>
      <c r="D128" t="inlineStr">
        <is>
          <t>yosepiyarmasa@gmail.com</t>
        </is>
      </c>
      <c r="E128" t="inlineStr">
        <is>
          <t>https://lpjk.pu.go.id/search-badan-usaha-detail/WjBydmIwTkdtR0JMMjBaS0JMQnppUT09</t>
        </is>
      </c>
      <c r="F128" t="n">
        <v>1</v>
      </c>
      <c r="G128" t="inlineStr">
        <is>
          <t>BS005</t>
        </is>
      </c>
      <c r="H128" t="inlineStr">
        <is>
          <t>22 Juni 2012</t>
        </is>
      </c>
      <c r="I128" s="2" t="n">
        <v>46257</v>
      </c>
      <c r="J128" t="inlineStr">
        <is>
          <t>Disetujui</t>
        </is>
      </c>
      <c r="K128" t="n">
        <v>60</v>
      </c>
      <c r="L128" t="inlineStr">
        <is>
          <t>23 Agustus 2026</t>
        </is>
      </c>
      <c r="M128" t="inlineStr">
        <is>
          <t>Konstruksi Bangunan Sipil Pengolahan Air Bersih</t>
        </is>
      </c>
      <c r="N128" t="inlineStr">
        <is>
          <t>K</t>
        </is>
      </c>
      <c r="O128" t="inlineStr">
        <is>
          <t>20230821</t>
        </is>
      </c>
      <c r="P128" t="inlineStr">
        <is>
          <t>Maluku</t>
        </is>
      </c>
      <c r="Q128" t="inlineStr"/>
    </row>
    <row r="129">
      <c r="A129" t="inlineStr">
        <is>
          <t>KASIH IBU</t>
        </is>
      </c>
      <c r="B129" t="inlineStr">
        <is>
          <t>Kab. Poso</t>
        </is>
      </c>
      <c r="C129" t="inlineStr">
        <is>
          <t>081333588884</t>
        </is>
      </c>
      <c r="D129" t="inlineStr">
        <is>
          <t>kasihibu.tentena@gmail.com</t>
        </is>
      </c>
      <c r="E129" t="inlineStr">
        <is>
          <t>https://lpjk.pu.go.id/search-badan-usaha-detail/d0w1dGhDK2RBWlpUYWpNem5tYlcrUT09</t>
        </is>
      </c>
      <c r="F129" t="n">
        <v>1</v>
      </c>
      <c r="G129" t="inlineStr">
        <is>
          <t>BS001</t>
        </is>
      </c>
      <c r="H129" t="inlineStr">
        <is>
          <t>6 Februari 2007</t>
        </is>
      </c>
      <c r="I129" s="2" t="n">
        <v>46257</v>
      </c>
      <c r="J129" t="inlineStr">
        <is>
          <t>Pencabutan</t>
        </is>
      </c>
      <c r="K129" t="n">
        <v>60</v>
      </c>
      <c r="L129" t="inlineStr">
        <is>
          <t>23 Agustus 2026</t>
        </is>
      </c>
      <c r="M129" t="inlineStr">
        <is>
          <t>Konstruksi Bangunan Sipil Jalan</t>
        </is>
      </c>
      <c r="N129" t="inlineStr">
        <is>
          <t>K</t>
        </is>
      </c>
      <c r="O129" t="inlineStr">
        <is>
          <t>20230818</t>
        </is>
      </c>
      <c r="P129" t="inlineStr">
        <is>
          <t>Sulawesi Tengah</t>
        </is>
      </c>
      <c r="Q129" t="inlineStr"/>
    </row>
    <row r="130">
      <c r="A130" t="inlineStr">
        <is>
          <t>KAUSA ABHINAYA</t>
        </is>
      </c>
      <c r="B130" t="inlineStr">
        <is>
          <t>Kota Bandung</t>
        </is>
      </c>
      <c r="C130" t="inlineStr">
        <is>
          <t>022</t>
        </is>
      </c>
      <c r="D130" t="inlineStr">
        <is>
          <t>cv.kausaabhinaya@gmail.com</t>
        </is>
      </c>
      <c r="E130" t="inlineStr">
        <is>
          <t>https://lpjk.pu.go.id/search-badan-usaha-detail/Q1BNMUZmc0pmWGNEM2NnOUJQd2ZKZz09</t>
        </is>
      </c>
      <c r="F130" t="n">
        <v>2</v>
      </c>
      <c r="G130" t="inlineStr">
        <is>
          <t>BG005, BG008</t>
        </is>
      </c>
      <c r="H130" t="inlineStr">
        <is>
          <t>12 Februari 2022</t>
        </is>
      </c>
      <c r="I130" s="2" t="n">
        <v>46257</v>
      </c>
      <c r="J130" t="inlineStr">
        <is>
          <t>Disetujui</t>
        </is>
      </c>
      <c r="K130" t="n">
        <v>60</v>
      </c>
      <c r="L130" t="inlineStr">
        <is>
          <t>23 Agustus 2026</t>
        </is>
      </c>
      <c r="M130" t="inlineStr">
        <is>
          <t>Konstruksi Gedung Kesehatan, Konstruksi Gedung Tempat Hiburan dan Olahraga</t>
        </is>
      </c>
      <c r="N130" t="inlineStr">
        <is>
          <t>K</t>
        </is>
      </c>
      <c r="O130" t="inlineStr">
        <is>
          <t>20230817</t>
        </is>
      </c>
      <c r="P130" t="inlineStr">
        <is>
          <t>Jawa Barat</t>
        </is>
      </c>
      <c r="Q130" t="inlineStr"/>
    </row>
    <row r="131">
      <c r="A131" t="inlineStr">
        <is>
          <t>KHARISMA ARTA NUGRAHA</t>
        </is>
      </c>
      <c r="B131" t="inlineStr">
        <is>
          <t>Kab. Landak</t>
        </is>
      </c>
      <c r="C131" t="inlineStr">
        <is>
          <t>081345508248</t>
        </is>
      </c>
      <c r="D131" t="inlineStr">
        <is>
          <t>cv.kharismaarthanugraha@yahoo.com</t>
        </is>
      </c>
      <c r="E131" t="inlineStr">
        <is>
          <t>https://lpjk.pu.go.id/search-badan-usaha-detail/Y0VScWh6d0o1V1RoZlJENmVsQkRTQT09</t>
        </is>
      </c>
      <c r="F131" t="n">
        <v>2</v>
      </c>
      <c r="G131" t="inlineStr">
        <is>
          <t>BS004</t>
        </is>
      </c>
      <c r="H131" t="inlineStr">
        <is>
          <t>21 September 1993</t>
        </is>
      </c>
      <c r="I131" s="2" t="n">
        <v>46257</v>
      </c>
      <c r="J131" t="inlineStr">
        <is>
          <t>Disetujui</t>
        </is>
      </c>
      <c r="K131" t="n">
        <v>60</v>
      </c>
      <c r="L131" t="inlineStr">
        <is>
          <t>23 Agustus 2026</t>
        </is>
      </c>
      <c r="M131" t="inlineStr">
        <is>
          <t>Konstruksi Jaringan Irigasi dan Drainase</t>
        </is>
      </c>
      <c r="N131" t="inlineStr">
        <is>
          <t>K</t>
        </is>
      </c>
      <c r="O131" t="inlineStr">
        <is>
          <t>20230808</t>
        </is>
      </c>
      <c r="P131" t="inlineStr">
        <is>
          <t>Kalimantan Barat</t>
        </is>
      </c>
      <c r="Q131" t="inlineStr"/>
    </row>
    <row r="132">
      <c r="A132" t="inlineStr">
        <is>
          <t>KINARYA DINAMIS</t>
        </is>
      </c>
      <c r="B132" t="inlineStr">
        <is>
          <t>Kab. Pandeglang</t>
        </is>
      </c>
      <c r="C132" t="inlineStr">
        <is>
          <t>081293692689</t>
        </is>
      </c>
      <c r="D132" t="inlineStr">
        <is>
          <t>kinaryadinamis@gmail.com</t>
        </is>
      </c>
      <c r="E132" t="inlineStr">
        <is>
          <t>https://lpjk.pu.go.id/search-badan-usaha-detail/MEU4TGJRcGM5VEpCYm52cW1oMXI4Zz09</t>
        </is>
      </c>
      <c r="F132" t="n">
        <v>2</v>
      </c>
      <c r="G132" t="inlineStr">
        <is>
          <t>BS004</t>
        </is>
      </c>
      <c r="H132" t="inlineStr">
        <is>
          <t>6 Oktober 2017</t>
        </is>
      </c>
      <c r="I132" s="2" t="n">
        <v>46257</v>
      </c>
      <c r="J132" t="inlineStr">
        <is>
          <t>Disetujui</t>
        </is>
      </c>
      <c r="K132" t="n">
        <v>60</v>
      </c>
      <c r="L132" t="inlineStr">
        <is>
          <t>23 Agustus 2026</t>
        </is>
      </c>
      <c r="M132" t="inlineStr">
        <is>
          <t>Konstruksi Jaringan Irigasi dan Drainase</t>
        </is>
      </c>
      <c r="N132" t="inlineStr">
        <is>
          <t>K</t>
        </is>
      </c>
      <c r="O132" t="inlineStr">
        <is>
          <t>20230821</t>
        </is>
      </c>
      <c r="P132" t="inlineStr">
        <is>
          <t>Banten</t>
        </is>
      </c>
      <c r="Q132" t="inlineStr"/>
    </row>
    <row r="133">
      <c r="A133" t="inlineStr">
        <is>
          <t>KITAA</t>
        </is>
      </c>
      <c r="B133" t="inlineStr">
        <is>
          <t>Kab. Dogiyai</t>
        </is>
      </c>
      <c r="C133" t="inlineStr">
        <is>
          <t>-</t>
        </is>
      </c>
      <c r="D133" t="inlineStr">
        <is>
          <t>cv.kitaa@gmail.com</t>
        </is>
      </c>
      <c r="E133" t="inlineStr">
        <is>
          <t>https://lpjk.pu.go.id/search-badan-usaha-detail/OHpiK2tDd2FFY0RPN3VUcW0xaHJBZz09</t>
        </is>
      </c>
      <c r="F133" t="n">
        <v>1</v>
      </c>
      <c r="G133" t="inlineStr">
        <is>
          <t>BG001</t>
        </is>
      </c>
      <c r="H133" t="inlineStr">
        <is>
          <t>21 April 2022</t>
        </is>
      </c>
      <c r="I133" s="2" t="n">
        <v>46257</v>
      </c>
      <c r="J133" t="inlineStr">
        <is>
          <t>Disetujui</t>
        </is>
      </c>
      <c r="K133" t="n">
        <v>60</v>
      </c>
      <c r="L133" t="inlineStr">
        <is>
          <t>23 Agustus 2026</t>
        </is>
      </c>
      <c r="M133" t="inlineStr">
        <is>
          <t>Konstruksi Gedung Hunian</t>
        </is>
      </c>
      <c r="N133" t="inlineStr">
        <is>
          <t>K</t>
        </is>
      </c>
      <c r="O133" t="inlineStr">
        <is>
          <t>20230823</t>
        </is>
      </c>
      <c r="P133" t="inlineStr">
        <is>
          <t>Papua Tengah</t>
        </is>
      </c>
      <c r="Q133" t="inlineStr"/>
    </row>
    <row r="134">
      <c r="A134" t="inlineStr">
        <is>
          <t>LANANG PERKASA</t>
        </is>
      </c>
      <c r="B134" t="inlineStr">
        <is>
          <t>Kab. Sukoharjo</t>
        </is>
      </c>
      <c r="C134" t="inlineStr">
        <is>
          <t>082119607116</t>
        </is>
      </c>
      <c r="D134" t="inlineStr">
        <is>
          <t>lanangperkasa@gmail.com</t>
        </is>
      </c>
      <c r="E134" t="inlineStr">
        <is>
          <t>https://lpjk.pu.go.id/search-badan-usaha-detail/OWgxanZhaDJNS1NBTUM4NitWYzNHdz09</t>
        </is>
      </c>
      <c r="F134" t="n">
        <v>1</v>
      </c>
      <c r="G134" t="inlineStr">
        <is>
          <t>BS004</t>
        </is>
      </c>
      <c r="H134" t="inlineStr">
        <is>
          <t>19 Agustus 1991</t>
        </is>
      </c>
      <c r="I134" s="2" t="n">
        <v>46257</v>
      </c>
      <c r="J134" t="inlineStr">
        <is>
          <t>Disetujui</t>
        </is>
      </c>
      <c r="K134" t="n">
        <v>60</v>
      </c>
      <c r="L134" t="inlineStr">
        <is>
          <t>23 Agustus 2026</t>
        </is>
      </c>
      <c r="M134" t="inlineStr">
        <is>
          <t>Konstruksi Jaringan Irigasi dan Drainase</t>
        </is>
      </c>
      <c r="N134" t="inlineStr">
        <is>
          <t>K</t>
        </is>
      </c>
      <c r="O134" t="inlineStr">
        <is>
          <t>20230818</t>
        </is>
      </c>
      <c r="P134" t="inlineStr">
        <is>
          <t>Jawa Tengah</t>
        </is>
      </c>
      <c r="Q134" t="inlineStr"/>
    </row>
    <row r="135">
      <c r="A135" t="inlineStr">
        <is>
          <t>LESTARI BATU PUTIH</t>
        </is>
      </c>
      <c r="B135" t="inlineStr">
        <is>
          <t>Kab. Berau</t>
        </is>
      </c>
      <c r="C135" t="inlineStr">
        <is>
          <t>081253145333</t>
        </is>
      </c>
      <c r="D135" t="inlineStr">
        <is>
          <t>rositalbp93@gmail.com</t>
        </is>
      </c>
      <c r="E135" t="inlineStr">
        <is>
          <t>https://lpjk.pu.go.id/search-badan-usaha-detail/QUVsN3MzWHdKRHdBNkxTSXNFVFZMdz09</t>
        </is>
      </c>
      <c r="F135" t="n">
        <v>2</v>
      </c>
      <c r="G135" t="inlineStr">
        <is>
          <t>BG006, BG009</t>
        </is>
      </c>
      <c r="H135" t="inlineStr">
        <is>
          <t>2 Juli 2007</t>
        </is>
      </c>
      <c r="I135" s="2" t="n">
        <v>46257</v>
      </c>
      <c r="J135" t="inlineStr">
        <is>
          <t>Pencabutan</t>
        </is>
      </c>
      <c r="K135" t="n">
        <v>60</v>
      </c>
      <c r="L135" t="inlineStr">
        <is>
          <t>23 Agustus 2026</t>
        </is>
      </c>
      <c r="M135" t="inlineStr">
        <is>
          <t>Konstruksi Gedung Lainnya, Konstruksi Gedung Pendidikan</t>
        </is>
      </c>
      <c r="N135" t="inlineStr">
        <is>
          <t>K</t>
        </is>
      </c>
      <c r="O135" t="inlineStr">
        <is>
          <t>20230819, 20230824</t>
        </is>
      </c>
      <c r="P135" t="inlineStr">
        <is>
          <t>Kalimantan Timur</t>
        </is>
      </c>
      <c r="Q135" t="inlineStr"/>
    </row>
    <row r="136">
      <c r="A136" t="inlineStr">
        <is>
          <t>LOTUS KARYA BENUA</t>
        </is>
      </c>
      <c r="B136" t="inlineStr">
        <is>
          <t>Kota Yogyakarta</t>
        </is>
      </c>
      <c r="C136" t="inlineStr">
        <is>
          <t>085643882116</t>
        </is>
      </c>
      <c r="D136" t="inlineStr">
        <is>
          <t>cvlotuskaryabenua@gmail.com</t>
        </is>
      </c>
      <c r="E136" t="inlineStr">
        <is>
          <t>https://lpjk.pu.go.id/search-badan-usaha-detail/WFVnU2wveXFLa2VMck5Eb25TUTlOdz09</t>
        </is>
      </c>
      <c r="F136" t="n">
        <v>1</v>
      </c>
      <c r="G136" t="inlineStr">
        <is>
          <t>RK005</t>
        </is>
      </c>
      <c r="H136" t="inlineStr">
        <is>
          <t>7 Februari 2017</t>
        </is>
      </c>
      <c r="I136" s="2" t="n">
        <v>46257</v>
      </c>
      <c r="J136" t="inlineStr">
        <is>
          <t>Disetujui</t>
        </is>
      </c>
      <c r="K136" t="n">
        <v>60</v>
      </c>
      <c r="L136" t="inlineStr">
        <is>
          <t>23 Agustus 2026</t>
        </is>
      </c>
      <c r="M136" t="inlineStr">
        <is>
          <t>Jasa Rekayasa Lainnya</t>
        </is>
      </c>
      <c r="N136" t="inlineStr">
        <is>
          <t>K</t>
        </is>
      </c>
      <c r="O136" t="inlineStr">
        <is>
          <t>20230711</t>
        </is>
      </c>
      <c r="P136" t="inlineStr">
        <is>
          <t>DI Yogyakarta</t>
        </is>
      </c>
      <c r="Q136" t="inlineStr"/>
    </row>
    <row r="137">
      <c r="A137" t="inlineStr">
        <is>
          <t>MAHAKAM PERSADA</t>
        </is>
      </c>
      <c r="B137" t="inlineStr">
        <is>
          <t>Kota Samarinda</t>
        </is>
      </c>
      <c r="C137" t="inlineStr">
        <is>
          <t>08125361797</t>
        </is>
      </c>
      <c r="D137" t="inlineStr">
        <is>
          <t>mahakampersada@gmail.com</t>
        </is>
      </c>
      <c r="E137" t="inlineStr">
        <is>
          <t>https://lpjk.pu.go.id/search-badan-usaha-detail/VXpJcHU5d3dEQmVKNkg0bXdSbWczZz09</t>
        </is>
      </c>
      <c r="F137" t="n">
        <v>2</v>
      </c>
      <c r="G137" t="inlineStr">
        <is>
          <t>RK002</t>
        </is>
      </c>
      <c r="H137" t="inlineStr">
        <is>
          <t>22 Juni 2012</t>
        </is>
      </c>
      <c r="I137" s="2" t="n">
        <v>46257</v>
      </c>
      <c r="J137" t="inlineStr">
        <is>
          <t>Disetujui</t>
        </is>
      </c>
      <c r="K137" t="n">
        <v>60</v>
      </c>
      <c r="L137" t="inlineStr">
        <is>
          <t>23 Agustus 2026</t>
        </is>
      </c>
      <c r="M137" t="inlineStr">
        <is>
          <t>Jasa Rekayasa Pekerjaan Teknik Sipil Sumber Daya Air</t>
        </is>
      </c>
      <c r="N137" t="inlineStr">
        <is>
          <t>K</t>
        </is>
      </c>
      <c r="O137" t="inlineStr">
        <is>
          <t>20230810</t>
        </is>
      </c>
      <c r="P137" t="inlineStr">
        <is>
          <t>Kalimantan Timur</t>
        </is>
      </c>
      <c r="Q137" t="inlineStr"/>
    </row>
    <row r="138">
      <c r="A138" t="inlineStr">
        <is>
          <t>MAKMUR ANUGERAH SEJAHTERA</t>
        </is>
      </c>
      <c r="B138" t="inlineStr">
        <is>
          <t>Kab. Sidoarjo</t>
        </is>
      </c>
      <c r="C138" t="inlineStr">
        <is>
          <t>0318014769</t>
        </is>
      </c>
      <c r="D138" t="inlineStr">
        <is>
          <t>sejahtera.mas@gmail.com</t>
        </is>
      </c>
      <c r="E138" t="inlineStr">
        <is>
          <t>https://lpjk.pu.go.id/search-badan-usaha-detail/c1JhQS9CODczbVl3bnRaelluWHlDZz09</t>
        </is>
      </c>
      <c r="F138" t="n">
        <v>1</v>
      </c>
      <c r="G138" t="inlineStr">
        <is>
          <t>BG003</t>
        </is>
      </c>
      <c r="H138" t="inlineStr">
        <is>
          <t>15 Agustus 2005</t>
        </is>
      </c>
      <c r="I138" s="2" t="n">
        <v>46257</v>
      </c>
      <c r="J138" t="inlineStr">
        <is>
          <t>Disetujui</t>
        </is>
      </c>
      <c r="K138" t="n">
        <v>60</v>
      </c>
      <c r="L138" t="inlineStr">
        <is>
          <t>23 Agustus 2026</t>
        </is>
      </c>
      <c r="M138" t="inlineStr">
        <is>
          <t>Konstruksi Gedung Industri</t>
        </is>
      </c>
      <c r="N138" t="inlineStr">
        <is>
          <t>K</t>
        </is>
      </c>
      <c r="O138" t="inlineStr">
        <is>
          <t>20230811</t>
        </is>
      </c>
      <c r="P138" t="inlineStr">
        <is>
          <t>Jawa Timur</t>
        </is>
      </c>
      <c r="Q138" t="inlineStr"/>
    </row>
    <row r="139">
      <c r="A139" t="inlineStr">
        <is>
          <t>MANGGUSU WARU NUSANTARA</t>
        </is>
      </c>
      <c r="B139" t="inlineStr">
        <is>
          <t>Kota Adm. Jakarta Selatan</t>
        </is>
      </c>
      <c r="C139" t="inlineStr">
        <is>
          <t>081254230534</t>
        </is>
      </c>
      <c r="D139" t="inlineStr">
        <is>
          <t>pt.manggusuwaru@gmail.com</t>
        </is>
      </c>
      <c r="E139" t="inlineStr">
        <is>
          <t>https://lpjk.pu.go.id/search-badan-usaha-detail/aEJLeXBEVmYvTEJhTUF0Z1dESFBJanJTbVBJS1Yxbjh3VnY3RXptZ280bz0</t>
        </is>
      </c>
      <c r="F139" t="n">
        <v>2</v>
      </c>
      <c r="G139" t="inlineStr">
        <is>
          <t>BG006, BG009</t>
        </is>
      </c>
      <c r="H139" t="inlineStr">
        <is>
          <t>7 Juli 2022</t>
        </is>
      </c>
      <c r="I139" s="2" t="n">
        <v>46257</v>
      </c>
      <c r="J139" t="inlineStr">
        <is>
          <t>Disetujui</t>
        </is>
      </c>
      <c r="K139" t="n">
        <v>60</v>
      </c>
      <c r="L139" t="inlineStr">
        <is>
          <t>23 Agustus 2026</t>
        </is>
      </c>
      <c r="M139" t="inlineStr">
        <is>
          <t>Konstruksi Gedung Lainnya, Konstruksi Gedung Pendidikan</t>
        </is>
      </c>
      <c r="N139" t="inlineStr">
        <is>
          <t>K</t>
        </is>
      </c>
      <c r="O139" t="inlineStr">
        <is>
          <t>20230823</t>
        </is>
      </c>
      <c r="P139" t="inlineStr">
        <is>
          <t>DKI Jakarta</t>
        </is>
      </c>
      <c r="Q139" t="inlineStr"/>
    </row>
    <row r="140">
      <c r="A140" t="inlineStr">
        <is>
          <t>MANOLO PUTRA</t>
        </is>
      </c>
      <c r="B140" t="inlineStr">
        <is>
          <t>Kota Bandung</t>
        </is>
      </c>
      <c r="C140" t="inlineStr">
        <is>
          <t>0226016317</t>
        </is>
      </c>
      <c r="D140" t="inlineStr">
        <is>
          <t>manoloputra@yahoo.com</t>
        </is>
      </c>
      <c r="E140" t="inlineStr">
        <is>
          <t>https://lpjk.pu.go.id/search-badan-usaha-detail/bTRsRjdDangvTGdMZW1QT2t6U1ZMUT09</t>
        </is>
      </c>
      <c r="F140" t="n">
        <v>1</v>
      </c>
      <c r="G140" t="inlineStr">
        <is>
          <t>IN001</t>
        </is>
      </c>
      <c r="H140" t="inlineStr">
        <is>
          <t>1 Maret 2011</t>
        </is>
      </c>
      <c r="I140" s="2" t="n">
        <v>46257</v>
      </c>
      <c r="J140" t="inlineStr">
        <is>
          <t>Pembekuan</t>
        </is>
      </c>
      <c r="K140" t="n">
        <v>60</v>
      </c>
      <c r="L140" t="inlineStr">
        <is>
          <t>23 Agustus 2026</t>
        </is>
      </c>
      <c r="M140" t="inlineStr">
        <is>
          <t>Instalasi Mekanikal</t>
        </is>
      </c>
      <c r="N140" t="inlineStr">
        <is>
          <t>Spesialis</t>
        </is>
      </c>
      <c r="O140" t="inlineStr">
        <is>
          <t>20230821</t>
        </is>
      </c>
      <c r="P140" t="inlineStr">
        <is>
          <t>Jawa Barat</t>
        </is>
      </c>
      <c r="Q140" t="inlineStr"/>
    </row>
    <row r="141">
      <c r="A141" t="inlineStr">
        <is>
          <t>MAULANA JAYA</t>
        </is>
      </c>
      <c r="B141" t="inlineStr">
        <is>
          <t>Kab. Cirebon</t>
        </is>
      </c>
      <c r="C141" t="inlineStr">
        <is>
          <t>89696667627</t>
        </is>
      </c>
      <c r="D141" t="inlineStr">
        <is>
          <t>Ovimaulana7gmail.com</t>
        </is>
      </c>
      <c r="E141" t="inlineStr">
        <is>
          <t>https://lpjk.pu.go.id/search-badan-usaha-detail/ZlJ3Z3JzVWlLb1dXZGdTOXpYU2txUT09</t>
        </is>
      </c>
      <c r="F141" t="n">
        <v>1</v>
      </c>
      <c r="G141" t="inlineStr">
        <is>
          <t>BS001</t>
        </is>
      </c>
      <c r="H141" t="inlineStr">
        <is>
          <t>31 Desember 2018</t>
        </is>
      </c>
      <c r="I141" s="2" t="n">
        <v>46257</v>
      </c>
      <c r="J141" t="inlineStr">
        <is>
          <t>Disetujui</t>
        </is>
      </c>
      <c r="K141" t="n">
        <v>60</v>
      </c>
      <c r="L141" t="inlineStr">
        <is>
          <t>23 Agustus 2026</t>
        </is>
      </c>
      <c r="M141" t="inlineStr">
        <is>
          <t>Konstruksi Bangunan Sipil Jalan</t>
        </is>
      </c>
      <c r="N141" t="inlineStr">
        <is>
          <t>K</t>
        </is>
      </c>
      <c r="O141" t="inlineStr">
        <is>
          <t>20230816</t>
        </is>
      </c>
      <c r="P141" t="inlineStr">
        <is>
          <t>Jawa Barat</t>
        </is>
      </c>
      <c r="Q141" t="inlineStr"/>
    </row>
    <row r="142">
      <c r="A142" t="inlineStr">
        <is>
          <t>METAKOM PRANATA</t>
        </is>
      </c>
      <c r="B142" t="inlineStr">
        <is>
          <t>Kota Adm. Jakarta Barat</t>
        </is>
      </c>
      <c r="C142" t="inlineStr">
        <is>
          <t>5823167</t>
        </is>
      </c>
      <c r="D142" t="inlineStr">
        <is>
          <t>keuangan.mpranata@gmail.com</t>
        </is>
      </c>
      <c r="E142" t="inlineStr">
        <is>
          <t>https://lpjk.pu.go.id/search-badan-usaha-detail/T0JFYUVBM0xiWDVFZkxOd0F5RjRtdz09</t>
        </is>
      </c>
      <c r="F142" t="n">
        <v>1</v>
      </c>
      <c r="G142" t="inlineStr">
        <is>
          <t>RK004</t>
        </is>
      </c>
      <c r="H142" t="inlineStr">
        <is>
          <t>15 Maret 1991</t>
        </is>
      </c>
      <c r="I142" s="2" t="n">
        <v>46257</v>
      </c>
      <c r="J142" t="inlineStr">
        <is>
          <t>Disetujui</t>
        </is>
      </c>
      <c r="K142" t="n">
        <v>60</v>
      </c>
      <c r="L142" t="inlineStr">
        <is>
          <t>23 Agustus 2026</t>
        </is>
      </c>
      <c r="M142" t="inlineStr">
        <is>
          <t>Jasa Rekayasa Pekerjaan Mekanikal Dalam Bangunan</t>
        </is>
      </c>
      <c r="N142" t="inlineStr">
        <is>
          <t>K</t>
        </is>
      </c>
      <c r="O142" t="inlineStr">
        <is>
          <t>20230815</t>
        </is>
      </c>
      <c r="P142" t="inlineStr">
        <is>
          <t>DKI Jakarta</t>
        </is>
      </c>
      <c r="Q142" t="inlineStr"/>
    </row>
    <row r="143">
      <c r="A143" t="inlineStr">
        <is>
          <t>MITRA BUANA</t>
        </is>
      </c>
      <c r="B143" t="inlineStr">
        <is>
          <t>Kota Banda Aceh</t>
        </is>
      </c>
      <c r="C143" t="inlineStr">
        <is>
          <t>085260028812</t>
        </is>
      </c>
      <c r="D143" t="inlineStr">
        <is>
          <t>cv.mitrabuana14@yahoo.com</t>
        </is>
      </c>
      <c r="E143" t="inlineStr">
        <is>
          <t>https://lpjk.pu.go.id/search-badan-usaha-detail/RHMwUEFNYm9KTk5WN2tybkduN2RQdz09</t>
        </is>
      </c>
      <c r="F143" t="n">
        <v>2</v>
      </c>
      <c r="G143" t="inlineStr">
        <is>
          <t>BG001, BG008</t>
        </is>
      </c>
      <c r="H143" t="inlineStr">
        <is>
          <t>5 Februari 2014</t>
        </is>
      </c>
      <c r="I143" s="2" t="n">
        <v>46257</v>
      </c>
      <c r="J143" t="inlineStr">
        <is>
          <t>Disetujui, Pencabutan</t>
        </is>
      </c>
      <c r="K143" t="n">
        <v>60</v>
      </c>
      <c r="L143" t="inlineStr">
        <is>
          <t>23 Agustus 2026</t>
        </is>
      </c>
      <c r="M143" t="inlineStr">
        <is>
          <t>Konstruksi Gedung Hunian, Konstruksi Gedung Tempat Hiburan dan Olahraga</t>
        </is>
      </c>
      <c r="N143" t="inlineStr">
        <is>
          <t>K</t>
        </is>
      </c>
      <c r="O143" t="inlineStr">
        <is>
          <t>20230824</t>
        </is>
      </c>
      <c r="P143" t="inlineStr">
        <is>
          <t>Aceh</t>
        </is>
      </c>
      <c r="Q143" t="inlineStr"/>
    </row>
    <row r="144">
      <c r="A144" t="inlineStr">
        <is>
          <t>MITRA DUTA PERKASA KALIMANTAN</t>
        </is>
      </c>
      <c r="B144" t="inlineStr">
        <is>
          <t>Kota Banjarmasin</t>
        </is>
      </c>
      <c r="C144" t="inlineStr">
        <is>
          <t>05114412988</t>
        </is>
      </c>
      <c r="D144" t="inlineStr">
        <is>
          <t>ptmdpk.2018@gmail.com</t>
        </is>
      </c>
      <c r="E144" t="inlineStr">
        <is>
          <t>https://lpjk.pu.go.id/search-badan-usaha-detail/dmNMdXJGTFN4YnVGdTBoV2RNMjlYdz09</t>
        </is>
      </c>
      <c r="F144" t="n">
        <v>3</v>
      </c>
      <c r="G144" t="inlineStr">
        <is>
          <t>BG003, BS001</t>
        </is>
      </c>
      <c r="H144" t="inlineStr">
        <is>
          <t>4 Juni 2018</t>
        </is>
      </c>
      <c r="I144" s="2" t="n">
        <v>46257</v>
      </c>
      <c r="J144" t="inlineStr">
        <is>
          <t>Disetujui</t>
        </is>
      </c>
      <c r="K144" t="n">
        <v>60</v>
      </c>
      <c r="L144" t="inlineStr">
        <is>
          <t>23 Agustus 2026</t>
        </is>
      </c>
      <c r="M144" t="inlineStr">
        <is>
          <t>Konstruksi Bangunan Sipil Jalan, Konstruksi Gedung Industri</t>
        </is>
      </c>
      <c r="N144" t="inlineStr">
        <is>
          <t>K</t>
        </is>
      </c>
      <c r="O144" t="inlineStr">
        <is>
          <t>20230823</t>
        </is>
      </c>
      <c r="P144" t="inlineStr">
        <is>
          <t>Kalimantan Selatan</t>
        </is>
      </c>
      <c r="Q144" t="inlineStr"/>
    </row>
    <row r="145">
      <c r="A145" t="inlineStr">
        <is>
          <t>MITRA SKALA UTAMA</t>
        </is>
      </c>
      <c r="B145" t="inlineStr">
        <is>
          <t>Kota Adm. Jakarta Selatan</t>
        </is>
      </c>
      <c r="C145" t="inlineStr">
        <is>
          <t>02175817152</t>
        </is>
      </c>
      <c r="D145" t="inlineStr">
        <is>
          <t>mitraskala.utama1502@gmail.com</t>
        </is>
      </c>
      <c r="E145" t="inlineStr">
        <is>
          <t>https://lpjk.pu.go.id/search-badan-usaha-detail/WXhJK3hibExZckRzdFcyQUw1dm9UQT09</t>
        </is>
      </c>
      <c r="F145" t="n">
        <v>5</v>
      </c>
      <c r="G145" t="inlineStr">
        <is>
          <t>AR001, RK001, RK002, RK003, RK005</t>
        </is>
      </c>
      <c r="H145" t="inlineStr">
        <is>
          <t>11 Maret 2020</t>
        </is>
      </c>
      <c r="I145" s="2" t="n">
        <v>46257</v>
      </c>
      <c r="J145" t="inlineStr">
        <is>
          <t>Disetujui</t>
        </is>
      </c>
      <c r="K145" t="n">
        <v>60</v>
      </c>
      <c r="L145" t="inlineStr">
        <is>
          <t>23 Agustus 2026</t>
        </is>
      </c>
      <c r="M145" t="inlineStr">
        <is>
          <t>Jasa Arsitektural Bangunan Gedung Hunian dan Non Hunian, Jasa Rekayasa Konstruksi Bangunan Gedung Hunian dan Non Hunian, Jasa Rekayasa Lainnya, Jasa Rekayasa Pekerjaan Teknik Sipil Sumber Daya Air, Jasa Rekayasa Pekerjaan Teknik Sipil Transportasi</t>
        </is>
      </c>
      <c r="N145" t="inlineStr">
        <is>
          <t>K</t>
        </is>
      </c>
      <c r="O145" t="inlineStr">
        <is>
          <t>20230809</t>
        </is>
      </c>
      <c r="P145" t="inlineStr">
        <is>
          <t>DKI Jakarta</t>
        </is>
      </c>
      <c r="Q145" t="inlineStr"/>
    </row>
    <row r="146">
      <c r="A146" t="inlineStr">
        <is>
          <t>MITRA TAPANULI</t>
        </is>
      </c>
      <c r="B146" t="inlineStr">
        <is>
          <t>Kab. Tapanuli Selatan</t>
        </is>
      </c>
      <c r="C146" t="inlineStr">
        <is>
          <t>082272204018</t>
        </is>
      </c>
      <c r="D146" t="inlineStr">
        <is>
          <t>hassurdemikawan@gmail.com</t>
        </is>
      </c>
      <c r="E146" t="inlineStr">
        <is>
          <t>https://lpjk.pu.go.id/search-badan-usaha-detail/OUI2YVIwUWJWZ3hQc1pBVVVBTjU3Zz09</t>
        </is>
      </c>
      <c r="F146" t="n">
        <v>1</v>
      </c>
      <c r="G146" t="inlineStr">
        <is>
          <t>BS004</t>
        </is>
      </c>
      <c r="H146" t="inlineStr">
        <is>
          <t>18 November 2010</t>
        </is>
      </c>
      <c r="I146" s="2" t="n">
        <v>46257</v>
      </c>
      <c r="J146" t="inlineStr">
        <is>
          <t>Disetujui</t>
        </is>
      </c>
      <c r="K146" t="n">
        <v>60</v>
      </c>
      <c r="L146" t="inlineStr">
        <is>
          <t>23 Agustus 2026</t>
        </is>
      </c>
      <c r="M146" t="inlineStr">
        <is>
          <t>Konstruksi Jaringan Irigasi dan Drainase</t>
        </is>
      </c>
      <c r="N146" t="inlineStr">
        <is>
          <t>K</t>
        </is>
      </c>
      <c r="O146" t="inlineStr">
        <is>
          <t>20230816</t>
        </is>
      </c>
      <c r="P146" t="inlineStr">
        <is>
          <t>Sumatera Utara</t>
        </is>
      </c>
      <c r="Q146" t="inlineStr"/>
    </row>
    <row r="147">
      <c r="A147" t="inlineStr">
        <is>
          <t>MITRA TECHINDO MILENIUM</t>
        </is>
      </c>
      <c r="B147" t="inlineStr">
        <is>
          <t>Kab. Bandung</t>
        </is>
      </c>
      <c r="C147" t="inlineStr">
        <is>
          <t>08112105979</t>
        </is>
      </c>
      <c r="D147" t="inlineStr">
        <is>
          <t>mitratechindo.milenium@gmail.com</t>
        </is>
      </c>
      <c r="E147" t="inlineStr">
        <is>
          <t>https://lpjk.pu.go.id/search-badan-usaha-detail/NDhTUjhWTXVnV0N0VDhnUGZ1cTFaQT09</t>
        </is>
      </c>
      <c r="F147" t="n">
        <v>3</v>
      </c>
      <c r="G147" t="inlineStr">
        <is>
          <t>BG009, BS007, BS008</t>
        </is>
      </c>
      <c r="H147" t="inlineStr">
        <is>
          <t>20 Juni 2023</t>
        </is>
      </c>
      <c r="I147" s="2" t="n">
        <v>46257</v>
      </c>
      <c r="J147" t="inlineStr">
        <is>
          <t>Pencabutan</t>
        </is>
      </c>
      <c r="K147" t="n">
        <v>60</v>
      </c>
      <c r="L147" t="inlineStr">
        <is>
          <t>23 Agustus 2026</t>
        </is>
      </c>
      <c r="M147" t="inlineStr">
        <is>
          <t>Konstruksi Bangunan Sipil Elektrikal, Konstruksi Bangunan Sipil Telekomunikasi untuk Prasarana Transportasi, Konstruksi Gedung Lainnya</t>
        </is>
      </c>
      <c r="N147" t="inlineStr">
        <is>
          <t>K</t>
        </is>
      </c>
      <c r="O147" t="inlineStr">
        <is>
          <t>20230815</t>
        </is>
      </c>
      <c r="P147" t="inlineStr">
        <is>
          <t>Jawa Barat</t>
        </is>
      </c>
      <c r="Q147" t="inlineStr"/>
    </row>
    <row r="148">
      <c r="A148" t="inlineStr">
        <is>
          <t>MODERN PANEL INDONESIA</t>
        </is>
      </c>
      <c r="B148" t="inlineStr">
        <is>
          <t>Kab. Serang</t>
        </is>
      </c>
      <c r="C148" t="inlineStr">
        <is>
          <t>0254790500</t>
        </is>
      </c>
      <c r="D148" t="inlineStr">
        <is>
          <t>modernpanel1@gmail.com</t>
        </is>
      </c>
      <c r="E148" t="inlineStr">
        <is>
          <t>https://lpjk.pu.go.id/search-badan-usaha-detail/dnFySUVaR0swaGxnR3crQlFFUEJQZz09</t>
        </is>
      </c>
      <c r="F148" t="n">
        <v>1</v>
      </c>
      <c r="G148" t="inlineStr">
        <is>
          <t>BG001</t>
        </is>
      </c>
      <c r="H148" t="inlineStr">
        <is>
          <t>13 Juni 2008</t>
        </is>
      </c>
      <c r="I148" s="2" t="n">
        <v>46257</v>
      </c>
      <c r="J148" t="inlineStr">
        <is>
          <t>Pembekuan</t>
        </is>
      </c>
      <c r="K148" t="n">
        <v>60</v>
      </c>
      <c r="L148" t="inlineStr">
        <is>
          <t>23 Agustus 2026</t>
        </is>
      </c>
      <c r="M148" t="inlineStr">
        <is>
          <t>Konstruksi Gedung Hunian</t>
        </is>
      </c>
      <c r="N148" t="inlineStr">
        <is>
          <t>M</t>
        </is>
      </c>
      <c r="O148" t="inlineStr">
        <is>
          <t>20230811</t>
        </is>
      </c>
      <c r="P148" t="inlineStr">
        <is>
          <t>Banten</t>
        </is>
      </c>
      <c r="Q148" t="inlineStr"/>
    </row>
    <row r="149">
      <c r="A149" t="inlineStr">
        <is>
          <t>MUSTIKA MANDIRI KONSULTAN</t>
        </is>
      </c>
      <c r="B149" t="inlineStr">
        <is>
          <t>Kab. Maros</t>
        </is>
      </c>
      <c r="C149" t="inlineStr">
        <is>
          <t>081242424745</t>
        </is>
      </c>
      <c r="D149" t="inlineStr">
        <is>
          <t>pt.mustikamandirikonsultan.2mk@gmail.com</t>
        </is>
      </c>
      <c r="E149" t="inlineStr">
        <is>
          <t>https://lpjk.pu.go.id/search-badan-usaha-detail/WkNBbGlzOTNCcXozRnFSZjJjUU9Wdz09</t>
        </is>
      </c>
      <c r="F149" t="n">
        <v>1</v>
      </c>
      <c r="G149" t="inlineStr">
        <is>
          <t>RK001</t>
        </is>
      </c>
      <c r="H149" t="inlineStr">
        <is>
          <t>5 Juni 2023</t>
        </is>
      </c>
      <c r="I149" s="2" t="n">
        <v>46257</v>
      </c>
      <c r="J149" t="inlineStr">
        <is>
          <t>Disetujui</t>
        </is>
      </c>
      <c r="K149" t="n">
        <v>60</v>
      </c>
      <c r="L149" t="inlineStr">
        <is>
          <t>23 Agustus 2026</t>
        </is>
      </c>
      <c r="M149" t="inlineStr">
        <is>
          <t>Jasa Rekayasa Konstruksi Bangunan Gedung Hunian dan Non Hunian</t>
        </is>
      </c>
      <c r="N149" t="inlineStr">
        <is>
          <t>K</t>
        </is>
      </c>
      <c r="O149" t="inlineStr">
        <is>
          <t>20230815</t>
        </is>
      </c>
      <c r="P149" t="inlineStr">
        <is>
          <t>Sulawesi Selatan</t>
        </is>
      </c>
      <c r="Q149" t="inlineStr"/>
    </row>
    <row r="150">
      <c r="A150" t="inlineStr">
        <is>
          <t>MUTIARA KONSTRUKSI</t>
        </is>
      </c>
      <c r="B150" t="inlineStr">
        <is>
          <t>Kab. Semarang</t>
        </is>
      </c>
      <c r="C150" t="inlineStr">
        <is>
          <t>08122571247</t>
        </is>
      </c>
      <c r="D150" t="inlineStr">
        <is>
          <t>cvmutiarakonstruksi@gmail.com</t>
        </is>
      </c>
      <c r="E150" t="inlineStr">
        <is>
          <t>https://lpjk.pu.go.id/search-badan-usaha-detail/OCtDTHFPNVVIR2lKb3BhOFIzVDVXQT09</t>
        </is>
      </c>
      <c r="F150" t="n">
        <v>2</v>
      </c>
      <c r="G150" t="inlineStr">
        <is>
          <t>BG002</t>
        </is>
      </c>
      <c r="H150" t="inlineStr">
        <is>
          <t>21 September 2012</t>
        </is>
      </c>
      <c r="I150" s="2" t="n">
        <v>46257</v>
      </c>
      <c r="J150" t="inlineStr">
        <is>
          <t>Disetujui</t>
        </is>
      </c>
      <c r="K150" t="n">
        <v>60</v>
      </c>
      <c r="L150" t="inlineStr">
        <is>
          <t>23 Agustus 2026</t>
        </is>
      </c>
      <c r="M150" t="inlineStr">
        <is>
          <t>Konstruksi Gedung Perkantoran</t>
        </is>
      </c>
      <c r="N150" t="inlineStr">
        <is>
          <t>K</t>
        </is>
      </c>
      <c r="O150" t="inlineStr">
        <is>
          <t>20230804</t>
        </is>
      </c>
      <c r="P150" t="inlineStr">
        <is>
          <t>Jawa Tengah</t>
        </is>
      </c>
      <c r="Q150" t="inlineStr"/>
    </row>
    <row r="151">
      <c r="A151" t="inlineStr">
        <is>
          <t>MUTIARA RIAU ABADI</t>
        </is>
      </c>
      <c r="B151" t="inlineStr">
        <is>
          <t>Kota Pekanbaru</t>
        </is>
      </c>
      <c r="C151" t="inlineStr">
        <is>
          <t>081268488612</t>
        </is>
      </c>
      <c r="D151" t="inlineStr">
        <is>
          <t>cvmutiarariauabadi@gmail.com</t>
        </is>
      </c>
      <c r="E151" t="inlineStr">
        <is>
          <t>https://lpjk.pu.go.id/search-badan-usaha-detail/MGJKbk9weU9ZdmExMkhKU2kzWHBPZz09</t>
        </is>
      </c>
      <c r="F151" t="n">
        <v>2</v>
      </c>
      <c r="G151" t="inlineStr">
        <is>
          <t>BG006</t>
        </is>
      </c>
      <c r="H151" t="inlineStr">
        <is>
          <t>14 Juni 2023</t>
        </is>
      </c>
      <c r="I151" s="2" t="n">
        <v>46257</v>
      </c>
      <c r="J151" t="inlineStr">
        <is>
          <t>Disetujui</t>
        </is>
      </c>
      <c r="K151" t="n">
        <v>60</v>
      </c>
      <c r="L151" t="inlineStr">
        <is>
          <t>23 Agustus 2026</t>
        </is>
      </c>
      <c r="M151" t="inlineStr">
        <is>
          <t>Konstruksi Gedung Pendidikan</t>
        </is>
      </c>
      <c r="N151" t="inlineStr">
        <is>
          <t>K</t>
        </is>
      </c>
      <c r="O151" t="inlineStr">
        <is>
          <t>20230815</t>
        </is>
      </c>
      <c r="P151" t="inlineStr">
        <is>
          <t>Riau</t>
        </is>
      </c>
      <c r="Q151" t="inlineStr"/>
    </row>
    <row r="152">
      <c r="A152" t="inlineStr">
        <is>
          <t>NAGA GUPLAH KULILING</t>
        </is>
      </c>
      <c r="B152" t="inlineStr">
        <is>
          <t>Kab. Hulu Sungai Tengah</t>
        </is>
      </c>
      <c r="C152" t="inlineStr">
        <is>
          <t>089601070726</t>
        </is>
      </c>
      <c r="D152" t="inlineStr">
        <is>
          <t>balakanam49@gmail.com</t>
        </is>
      </c>
      <c r="E152" t="inlineStr">
        <is>
          <t>https://lpjk.pu.go.id/search-badan-usaha-detail/aVowMjV6N3V6aVlkRFBFZWhtWndYUT09</t>
        </is>
      </c>
      <c r="F152" t="n">
        <v>1</v>
      </c>
      <c r="G152" t="inlineStr">
        <is>
          <t>BG006</t>
        </is>
      </c>
      <c r="H152" t="inlineStr">
        <is>
          <t>15 Februari 2023</t>
        </is>
      </c>
      <c r="I152" s="2" t="n">
        <v>46257</v>
      </c>
      <c r="J152" t="inlineStr">
        <is>
          <t>Pencabutan</t>
        </is>
      </c>
      <c r="K152" t="n">
        <v>60</v>
      </c>
      <c r="L152" t="inlineStr">
        <is>
          <t>23 Agustus 2026</t>
        </is>
      </c>
      <c r="M152" t="inlineStr">
        <is>
          <t>Konstruksi Gedung Pendidikan</t>
        </is>
      </c>
      <c r="N152" t="inlineStr">
        <is>
          <t>K</t>
        </is>
      </c>
      <c r="O152" t="inlineStr">
        <is>
          <t>20230823</t>
        </is>
      </c>
      <c r="P152" t="inlineStr">
        <is>
          <t>Kalimantan Selatan</t>
        </is>
      </c>
      <c r="Q152" t="inlineStr"/>
    </row>
    <row r="153">
      <c r="A153" t="inlineStr">
        <is>
          <t>NAGA MAS JAYA</t>
        </is>
      </c>
      <c r="B153" t="inlineStr">
        <is>
          <t>Kab. Bandung Barat</t>
        </is>
      </c>
      <c r="C153" t="inlineStr">
        <is>
          <t>082129990638</t>
        </is>
      </c>
      <c r="D153" t="inlineStr">
        <is>
          <t>st.maruli@ymail.com</t>
        </is>
      </c>
      <c r="E153" t="inlineStr">
        <is>
          <t>https://lpjk.pu.go.id/search-badan-usaha-detail/YWtrR1JidG94NWdnaFhIM1dDL0NZQT09</t>
        </is>
      </c>
      <c r="F153" t="n">
        <v>1</v>
      </c>
      <c r="G153" t="inlineStr">
        <is>
          <t>BS004</t>
        </is>
      </c>
      <c r="H153" t="inlineStr">
        <is>
          <t>11 Januari 2011</t>
        </is>
      </c>
      <c r="I153" s="2" t="n">
        <v>46257</v>
      </c>
      <c r="J153" t="inlineStr">
        <is>
          <t>Disetujui</t>
        </is>
      </c>
      <c r="K153" t="n">
        <v>60</v>
      </c>
      <c r="L153" t="inlineStr">
        <is>
          <t>23 Agustus 2026</t>
        </is>
      </c>
      <c r="M153" t="inlineStr">
        <is>
          <t>Konstruksi Jaringan Irigasi dan Drainase</t>
        </is>
      </c>
      <c r="N153" t="inlineStr">
        <is>
          <t>K</t>
        </is>
      </c>
      <c r="O153" t="inlineStr">
        <is>
          <t>20230822</t>
        </is>
      </c>
      <c r="P153" t="inlineStr">
        <is>
          <t>Jawa Barat</t>
        </is>
      </c>
      <c r="Q153" t="inlineStr"/>
    </row>
    <row r="154">
      <c r="A154" t="inlineStr">
        <is>
          <t>NUR HIDAYAH</t>
        </is>
      </c>
      <c r="B154" t="inlineStr">
        <is>
          <t>Kab. Pasuruan</t>
        </is>
      </c>
      <c r="C154" t="inlineStr">
        <is>
          <t>081805055357</t>
        </is>
      </c>
      <c r="D154" t="inlineStr">
        <is>
          <t>hanifrifki235@gmail.com</t>
        </is>
      </c>
      <c r="E154" t="inlineStr">
        <is>
          <t>https://lpjk.pu.go.id/search-badan-usaha-detail/Z3dNNDRLVVo2aTJkV2xjN2VYVkJEQT09</t>
        </is>
      </c>
      <c r="F154" t="n">
        <v>2</v>
      </c>
      <c r="G154" t="inlineStr">
        <is>
          <t>BG005, BG006</t>
        </is>
      </c>
      <c r="H154" t="inlineStr">
        <is>
          <t>14 Agustus 2003</t>
        </is>
      </c>
      <c r="I154" s="2" t="n">
        <v>46257</v>
      </c>
      <c r="J154" t="inlineStr">
        <is>
          <t>Disetujui</t>
        </is>
      </c>
      <c r="K154" t="n">
        <v>60</v>
      </c>
      <c r="L154" t="inlineStr">
        <is>
          <t>23 Agustus 2026</t>
        </is>
      </c>
      <c r="M154" t="inlineStr">
        <is>
          <t>Konstruksi Gedung Kesehatan, Konstruksi Gedung Pendidikan</t>
        </is>
      </c>
      <c r="N154" t="inlineStr">
        <is>
          <t>K</t>
        </is>
      </c>
      <c r="O154" t="inlineStr">
        <is>
          <t>20230724</t>
        </is>
      </c>
      <c r="P154" t="inlineStr">
        <is>
          <t>Jawa Timur</t>
        </is>
      </c>
      <c r="Q154" t="inlineStr"/>
    </row>
    <row r="155">
      <c r="A155" t="inlineStr">
        <is>
          <t>NURADILLAH PUTRA PERSADA</t>
        </is>
      </c>
      <c r="B155" t="inlineStr">
        <is>
          <t>Kab. Kampar</t>
        </is>
      </c>
      <c r="C155" t="inlineStr">
        <is>
          <t>085274949940</t>
        </is>
      </c>
      <c r="D155" t="inlineStr">
        <is>
          <t>pt.nuradillahputrapersada@gmail.com</t>
        </is>
      </c>
      <c r="E155" t="inlineStr">
        <is>
          <t>https://lpjk.pu.go.id/search-badan-usaha-detail/eWNaS0JtUG54c0g5VWd1b0V5YjhOdz09</t>
        </is>
      </c>
      <c r="F155" t="n">
        <v>1</v>
      </c>
      <c r="G155" t="inlineStr">
        <is>
          <t>BG001</t>
        </is>
      </c>
      <c r="H155" t="inlineStr">
        <is>
          <t>7 Agustus 2023</t>
        </is>
      </c>
      <c r="I155" s="2" t="n">
        <v>46257</v>
      </c>
      <c r="J155" t="inlineStr">
        <is>
          <t>Disetujui</t>
        </is>
      </c>
      <c r="K155" t="n">
        <v>60</v>
      </c>
      <c r="L155" t="inlineStr">
        <is>
          <t>23 Agustus 2026</t>
        </is>
      </c>
      <c r="M155" t="inlineStr">
        <is>
          <t>Konstruksi Gedung Hunian</t>
        </is>
      </c>
      <c r="N155" t="inlineStr">
        <is>
          <t>K</t>
        </is>
      </c>
      <c r="O155" t="inlineStr">
        <is>
          <t>20230816</t>
        </is>
      </c>
      <c r="P155" t="inlineStr">
        <is>
          <t>Riau</t>
        </is>
      </c>
      <c r="Q155" t="inlineStr"/>
    </row>
    <row r="156">
      <c r="A156" t="inlineStr">
        <is>
          <t>PADI MAS INDAH</t>
        </is>
      </c>
      <c r="B156" t="inlineStr">
        <is>
          <t>Kota Kendari</t>
        </is>
      </c>
      <c r="C156" t="inlineStr">
        <is>
          <t>04013089899</t>
        </is>
      </c>
      <c r="D156" t="inlineStr">
        <is>
          <t>pt.padimasindah@gmail.com</t>
        </is>
      </c>
      <c r="E156" t="inlineStr">
        <is>
          <t>https://lpjk.pu.go.id/search-badan-usaha-detail/RnVuMVZpVU1oYUJrZWdXUklBZkNYQT09</t>
        </is>
      </c>
      <c r="F156" t="n">
        <v>1</v>
      </c>
      <c r="G156" t="inlineStr">
        <is>
          <t>BG007</t>
        </is>
      </c>
      <c r="H156" t="inlineStr">
        <is>
          <t>20 Maret 2013</t>
        </is>
      </c>
      <c r="I156" s="2" t="n">
        <v>46257</v>
      </c>
      <c r="J156" t="inlineStr">
        <is>
          <t>Disetujui</t>
        </is>
      </c>
      <c r="K156" t="n">
        <v>60</v>
      </c>
      <c r="L156" t="inlineStr">
        <is>
          <t>23 Agustus 2026</t>
        </is>
      </c>
      <c r="M156" t="inlineStr">
        <is>
          <t>Konstruksi Gedung Penginapan</t>
        </is>
      </c>
      <c r="N156" t="inlineStr">
        <is>
          <t>K</t>
        </is>
      </c>
      <c r="O156" t="inlineStr">
        <is>
          <t>20230823</t>
        </is>
      </c>
      <c r="P156" t="inlineStr">
        <is>
          <t>Sulawesi Tenggara</t>
        </is>
      </c>
      <c r="Q156" t="inlineStr"/>
    </row>
    <row r="157">
      <c r="A157" t="inlineStr">
        <is>
          <t>PELANGI INDAH</t>
        </is>
      </c>
      <c r="B157" t="inlineStr">
        <is>
          <t>Kab. Ogan Komering Ulu</t>
        </is>
      </c>
      <c r="C157" t="inlineStr">
        <is>
          <t>0735320742</t>
        </is>
      </c>
      <c r="D157" t="inlineStr">
        <is>
          <t>cvpelangiindah.83@gmail.com</t>
        </is>
      </c>
      <c r="E157" t="inlineStr">
        <is>
          <t>https://lpjk.pu.go.id/search-badan-usaha-detail/eGZ3Tk5iMUM4a2YvL1o3MTRENUlzUT09</t>
        </is>
      </c>
      <c r="F157" t="n">
        <v>2</v>
      </c>
      <c r="G157" t="inlineStr">
        <is>
          <t>BS001</t>
        </is>
      </c>
      <c r="H157" t="inlineStr">
        <is>
          <t>14 Maret 1983</t>
        </is>
      </c>
      <c r="I157" s="2" t="n">
        <v>46257</v>
      </c>
      <c r="J157" t="inlineStr">
        <is>
          <t>Pencabutan</t>
        </is>
      </c>
      <c r="K157" t="n">
        <v>60</v>
      </c>
      <c r="L157" t="inlineStr">
        <is>
          <t>23 Agustus 2026</t>
        </is>
      </c>
      <c r="M157" t="inlineStr">
        <is>
          <t>Konstruksi Bangunan Sipil Jalan</t>
        </is>
      </c>
      <c r="N157" t="inlineStr">
        <is>
          <t>K</t>
        </is>
      </c>
      <c r="O157" t="inlineStr">
        <is>
          <t>20230816</t>
        </is>
      </c>
      <c r="P157" t="inlineStr">
        <is>
          <t>Sumatera Selatan</t>
        </is>
      </c>
      <c r="Q157" t="inlineStr"/>
    </row>
    <row r="158">
      <c r="A158" t="inlineStr">
        <is>
          <t>PEMBANGUNAN SEHAT SEJAHTERA</t>
        </is>
      </c>
      <c r="B158" t="inlineStr">
        <is>
          <t>Kota Kupang</t>
        </is>
      </c>
      <c r="C158" t="inlineStr">
        <is>
          <t>081238524588</t>
        </is>
      </c>
      <c r="D158" t="inlineStr">
        <is>
          <t>ptpss2016@gmail.com</t>
        </is>
      </c>
      <c r="E158" t="inlineStr">
        <is>
          <t>https://lpjk.pu.go.id/search-badan-usaha-detail/WXlVY1ErL0tJb0ZsMEEzaC9DL3NlQT09</t>
        </is>
      </c>
      <c r="F158" t="n">
        <v>2</v>
      </c>
      <c r="G158" t="inlineStr">
        <is>
          <t>BG001, BS001</t>
        </is>
      </c>
      <c r="H158" t="inlineStr">
        <is>
          <t>26 April 2004</t>
        </is>
      </c>
      <c r="I158" s="2" t="n">
        <v>46257</v>
      </c>
      <c r="J158" t="inlineStr">
        <is>
          <t>Disetujui</t>
        </is>
      </c>
      <c r="K158" t="n">
        <v>60</v>
      </c>
      <c r="L158" t="inlineStr">
        <is>
          <t>23 Agustus 2026</t>
        </is>
      </c>
      <c r="M158" t="inlineStr">
        <is>
          <t>Konstruksi Bangunan Sipil Jalan, Konstruksi Gedung Hunian</t>
        </is>
      </c>
      <c r="N158" t="inlineStr">
        <is>
          <t>K</t>
        </is>
      </c>
      <c r="O158" t="inlineStr">
        <is>
          <t>20230713, 20230718</t>
        </is>
      </c>
      <c r="P158" t="inlineStr">
        <is>
          <t>Nusa Tenggara Timur</t>
        </is>
      </c>
      <c r="Q158" t="inlineStr"/>
    </row>
    <row r="159">
      <c r="A159" t="inlineStr">
        <is>
          <t>PERMATA HADI</t>
        </is>
      </c>
      <c r="B159" t="inlineStr">
        <is>
          <t>Kota Padang Sidempuan</t>
        </is>
      </c>
      <c r="C159" t="inlineStr">
        <is>
          <t>082166737356</t>
        </is>
      </c>
      <c r="D159" t="inlineStr">
        <is>
          <t>permatahadicv@yahoo.com</t>
        </is>
      </c>
      <c r="E159" t="inlineStr">
        <is>
          <t>https://lpjk.pu.go.id/search-badan-usaha-detail/QkwrZHpaV3JUMElEOE9LeGM0Z25wQT09</t>
        </is>
      </c>
      <c r="F159" t="n">
        <v>1</v>
      </c>
      <c r="G159" t="inlineStr">
        <is>
          <t>BG006</t>
        </is>
      </c>
      <c r="H159" t="inlineStr">
        <is>
          <t>25 Juni 2007</t>
        </is>
      </c>
      <c r="I159" s="2" t="n">
        <v>46257</v>
      </c>
      <c r="J159" t="inlineStr">
        <is>
          <t>Disetujui</t>
        </is>
      </c>
      <c r="K159" t="n">
        <v>60</v>
      </c>
      <c r="L159" t="inlineStr">
        <is>
          <t>23 Agustus 2026</t>
        </is>
      </c>
      <c r="M159" t="inlineStr">
        <is>
          <t>Konstruksi Gedung Pendidikan</t>
        </is>
      </c>
      <c r="N159" t="inlineStr">
        <is>
          <t>K</t>
        </is>
      </c>
      <c r="O159" t="inlineStr">
        <is>
          <t>20230814</t>
        </is>
      </c>
      <c r="P159" t="inlineStr">
        <is>
          <t>Sumatera Utara</t>
        </is>
      </c>
      <c r="Q159" t="inlineStr"/>
    </row>
    <row r="160">
      <c r="A160" t="inlineStr">
        <is>
          <t>PERMATA KENCANA RAYA</t>
        </is>
      </c>
      <c r="B160" t="inlineStr">
        <is>
          <t>Kota Cilegon</t>
        </is>
      </c>
      <c r="C160" t="inlineStr">
        <is>
          <t>085782482592</t>
        </is>
      </c>
      <c r="D160" t="inlineStr">
        <is>
          <t>permatakencanaraya@gmail.com</t>
        </is>
      </c>
      <c r="E160" t="inlineStr">
        <is>
          <t>https://lpjk.pu.go.id/search-badan-usaha-detail/NlUvTHNaVVN0ZEV1TU5YVngwUWxGZz09</t>
        </is>
      </c>
      <c r="F160" t="n">
        <v>1</v>
      </c>
      <c r="G160" t="inlineStr">
        <is>
          <t>BG009</t>
        </is>
      </c>
      <c r="H160" t="inlineStr">
        <is>
          <t>4 Juli 2022</t>
        </is>
      </c>
      <c r="I160" s="2" t="n">
        <v>46257</v>
      </c>
      <c r="J160" t="inlineStr">
        <is>
          <t>Pencabutan</t>
        </is>
      </c>
      <c r="K160" t="n">
        <v>60</v>
      </c>
      <c r="L160" t="inlineStr">
        <is>
          <t>23 Agustus 2026</t>
        </is>
      </c>
      <c r="M160" t="inlineStr">
        <is>
          <t>Konstruksi Gedung Lainnya</t>
        </is>
      </c>
      <c r="N160" t="inlineStr">
        <is>
          <t>K</t>
        </is>
      </c>
      <c r="O160" t="inlineStr">
        <is>
          <t>20230707</t>
        </is>
      </c>
      <c r="P160" t="inlineStr">
        <is>
          <t>Banten</t>
        </is>
      </c>
      <c r="Q160" t="inlineStr"/>
    </row>
    <row r="161">
      <c r="A161" t="inlineStr">
        <is>
          <t>PILAR JAYA KONSTRUKSI</t>
        </is>
      </c>
      <c r="B161" t="inlineStr">
        <is>
          <t>Kota Kupang</t>
        </is>
      </c>
      <c r="C161" t="inlineStr">
        <is>
          <t>082236069997</t>
        </is>
      </c>
      <c r="D161" t="inlineStr">
        <is>
          <t>pilararch16@gmail.com</t>
        </is>
      </c>
      <c r="E161" t="inlineStr">
        <is>
          <t>https://lpjk.pu.go.id/search-badan-usaha-detail/QzZnOE5pR2FJcGwraXo0N2NRQ2VVZz09</t>
        </is>
      </c>
      <c r="F161" t="n">
        <v>1</v>
      </c>
      <c r="G161" t="inlineStr">
        <is>
          <t>BG006</t>
        </is>
      </c>
      <c r="H161" t="inlineStr">
        <is>
          <t>16 Maret 2018</t>
        </is>
      </c>
      <c r="I161" s="2" t="n">
        <v>46257</v>
      </c>
      <c r="J161" t="inlineStr">
        <is>
          <t>Disetujui</t>
        </is>
      </c>
      <c r="K161" t="n">
        <v>60</v>
      </c>
      <c r="L161" t="inlineStr">
        <is>
          <t>23 Agustus 2026</t>
        </is>
      </c>
      <c r="M161" t="inlineStr">
        <is>
          <t>Konstruksi Gedung Pendidikan</t>
        </is>
      </c>
      <c r="N161" t="inlineStr">
        <is>
          <t>K</t>
        </is>
      </c>
      <c r="O161" t="inlineStr">
        <is>
          <t>20230728</t>
        </is>
      </c>
      <c r="P161" t="inlineStr">
        <is>
          <t>Nusa Tenggara Timur</t>
        </is>
      </c>
      <c r="Q161" t="inlineStr"/>
    </row>
    <row r="162">
      <c r="A162" t="inlineStr">
        <is>
          <t>PILAR MANDIRI</t>
        </is>
      </c>
      <c r="B162" t="inlineStr">
        <is>
          <t>Kab. Jember</t>
        </is>
      </c>
      <c r="C162" t="inlineStr">
        <is>
          <t>081231708313</t>
        </is>
      </c>
      <c r="D162" t="inlineStr">
        <is>
          <t>dodik3f@gmail.com</t>
        </is>
      </c>
      <c r="E162" t="inlineStr">
        <is>
          <t>https://lpjk.pu.go.id/search-badan-usaha-detail/TEpCUWhMa0MzbThRaFd6NWZQMHI5QT09</t>
        </is>
      </c>
      <c r="F162" t="n">
        <v>1</v>
      </c>
      <c r="G162" t="inlineStr">
        <is>
          <t>BS004</t>
        </is>
      </c>
      <c r="H162" t="inlineStr">
        <is>
          <t>4 April 2016</t>
        </is>
      </c>
      <c r="I162" s="2" t="n">
        <v>46257</v>
      </c>
      <c r="J162" t="inlineStr">
        <is>
          <t>Disetujui</t>
        </is>
      </c>
      <c r="K162" t="n">
        <v>60</v>
      </c>
      <c r="L162" t="inlineStr">
        <is>
          <t>23 Agustus 2026</t>
        </is>
      </c>
      <c r="M162" t="inlineStr">
        <is>
          <t>Konstruksi Jaringan Irigasi dan Drainase</t>
        </is>
      </c>
      <c r="N162" t="inlineStr">
        <is>
          <t>K</t>
        </is>
      </c>
      <c r="O162" t="inlineStr">
        <is>
          <t>20230816</t>
        </is>
      </c>
      <c r="P162" t="inlineStr">
        <is>
          <t>Jawa Timur</t>
        </is>
      </c>
      <c r="Q162" t="inlineStr"/>
    </row>
    <row r="163">
      <c r="A163" t="inlineStr">
        <is>
          <t>PILAR TRITAMA</t>
        </is>
      </c>
      <c r="B163" t="inlineStr">
        <is>
          <t>Kota Magelang</t>
        </is>
      </c>
      <c r="C163" t="inlineStr">
        <is>
          <t>08121579648</t>
        </is>
      </c>
      <c r="D163" t="inlineStr">
        <is>
          <t>pilartritamakonsultan@yahoo.co.id</t>
        </is>
      </c>
      <c r="E163" t="inlineStr">
        <is>
          <t>https://lpjk.pu.go.id/search-badan-usaha-detail/TUtxOXJQejUvTzNCRXFjN0dWdVlIdz09</t>
        </is>
      </c>
      <c r="F163" t="n">
        <v>1</v>
      </c>
      <c r="G163" t="inlineStr">
        <is>
          <t>RK002</t>
        </is>
      </c>
      <c r="H163" t="inlineStr">
        <is>
          <t>17 Oktober 2002</t>
        </is>
      </c>
      <c r="I163" s="2" t="n">
        <v>46257</v>
      </c>
      <c r="J163" t="inlineStr">
        <is>
          <t>Disetujui</t>
        </is>
      </c>
      <c r="K163" t="n">
        <v>60</v>
      </c>
      <c r="L163" t="inlineStr">
        <is>
          <t>23 Agustus 2026</t>
        </is>
      </c>
      <c r="M163" t="inlineStr">
        <is>
          <t>Jasa Rekayasa Pekerjaan Teknik Sipil Sumber Daya Air</t>
        </is>
      </c>
      <c r="N163" t="inlineStr">
        <is>
          <t>K</t>
        </is>
      </c>
      <c r="O163" t="inlineStr">
        <is>
          <t>20230814</t>
        </is>
      </c>
      <c r="P163" t="inlineStr">
        <is>
          <t>Jawa Tengah</t>
        </is>
      </c>
      <c r="Q163" t="inlineStr"/>
    </row>
    <row r="164">
      <c r="A164" t="inlineStr">
        <is>
          <t>PRANATA BAGYA UTAMA</t>
        </is>
      </c>
      <c r="B164" t="inlineStr">
        <is>
          <t>Kab. Tangerang</t>
        </is>
      </c>
      <c r="C164" t="inlineStr">
        <is>
          <t>087808313799</t>
        </is>
      </c>
      <c r="D164" t="inlineStr">
        <is>
          <t>pranatabagyautama@gmail.com</t>
        </is>
      </c>
      <c r="E164" t="inlineStr">
        <is>
          <t>https://lpjk.pu.go.id/search-badan-usaha-detail/RDRlcXFCeGU5Tno2SisyNHZYVXhzQT09</t>
        </is>
      </c>
      <c r="F164" t="n">
        <v>4</v>
      </c>
      <c r="G164" t="inlineStr">
        <is>
          <t>BG005, BG009</t>
        </is>
      </c>
      <c r="H164" t="inlineStr">
        <is>
          <t>30 Mei 2022</t>
        </is>
      </c>
      <c r="I164" s="2" t="n">
        <v>46257</v>
      </c>
      <c r="J164" t="inlineStr">
        <is>
          <t>Disetujui</t>
        </is>
      </c>
      <c r="K164" t="n">
        <v>60</v>
      </c>
      <c r="L164" t="inlineStr">
        <is>
          <t>23 Agustus 2026</t>
        </is>
      </c>
      <c r="M164" t="inlineStr">
        <is>
          <t>Konstruksi Gedung Kesehatan, Konstruksi Gedung Lainnya</t>
        </is>
      </c>
      <c r="N164" t="inlineStr">
        <is>
          <t>K</t>
        </is>
      </c>
      <c r="O164" t="inlineStr">
        <is>
          <t>20230823</t>
        </is>
      </c>
      <c r="P164" t="inlineStr">
        <is>
          <t>Banten</t>
        </is>
      </c>
      <c r="Q164" t="inlineStr"/>
    </row>
    <row r="165">
      <c r="A165" t="inlineStr">
        <is>
          <t>PUTRA AGUNG</t>
        </is>
      </c>
      <c r="B165" t="inlineStr">
        <is>
          <t>Kab. Sumenep</t>
        </is>
      </c>
      <c r="C165" t="inlineStr">
        <is>
          <t>-</t>
        </is>
      </c>
      <c r="D165" t="inlineStr">
        <is>
          <t>aldihappy7@gmail.com</t>
        </is>
      </c>
      <c r="E165" t="inlineStr">
        <is>
          <t>https://lpjk.pu.go.id/search-badan-usaha-detail/V1R4WE96NFBiS21tTHVxTndKcXF2dz09</t>
        </is>
      </c>
      <c r="F165" t="n">
        <v>1</v>
      </c>
      <c r="G165" t="inlineStr">
        <is>
          <t>BG009</t>
        </is>
      </c>
      <c r="H165" t="inlineStr">
        <is>
          <t>23 April 2018</t>
        </is>
      </c>
      <c r="I165" s="2" t="n">
        <v>46257</v>
      </c>
      <c r="J165" t="inlineStr">
        <is>
          <t>Pencabutan</t>
        </is>
      </c>
      <c r="K165" t="n">
        <v>60</v>
      </c>
      <c r="L165" t="inlineStr">
        <is>
          <t>23 Agustus 2026</t>
        </is>
      </c>
      <c r="M165" t="inlineStr">
        <is>
          <t>Konstruksi Gedung Lainnya</t>
        </is>
      </c>
      <c r="N165" t="inlineStr">
        <is>
          <t>K</t>
        </is>
      </c>
      <c r="O165" t="inlineStr">
        <is>
          <t>20230815</t>
        </is>
      </c>
      <c r="P165" t="inlineStr">
        <is>
          <t>Jawa Timur</t>
        </is>
      </c>
      <c r="Q165" t="inlineStr"/>
    </row>
    <row r="166">
      <c r="A166" t="inlineStr">
        <is>
          <t>PUTRA FERNANDO</t>
        </is>
      </c>
      <c r="B166" t="inlineStr">
        <is>
          <t>Kab. Flores Timur</t>
        </is>
      </c>
      <c r="C166" t="inlineStr">
        <is>
          <t>081217698833</t>
        </is>
      </c>
      <c r="D166" t="inlineStr">
        <is>
          <t>putrafernando2022@gmail.com</t>
        </is>
      </c>
      <c r="E166" t="inlineStr">
        <is>
          <t>https://lpjk.pu.go.id/search-badan-usaha-detail/K2J2TC9yQ1pKczJJV2Q2aUZsZW81Zz09</t>
        </is>
      </c>
      <c r="F166" t="n">
        <v>1</v>
      </c>
      <c r="G166" t="inlineStr">
        <is>
          <t>BG006</t>
        </is>
      </c>
      <c r="H166" t="inlineStr">
        <is>
          <t>27 Agustus 1997</t>
        </is>
      </c>
      <c r="I166" s="2" t="n">
        <v>46257</v>
      </c>
      <c r="J166" t="inlineStr">
        <is>
          <t>Disetujui</t>
        </is>
      </c>
      <c r="K166" t="n">
        <v>60</v>
      </c>
      <c r="L166" t="inlineStr">
        <is>
          <t>23 Agustus 2026</t>
        </is>
      </c>
      <c r="M166" t="inlineStr">
        <is>
          <t>Konstruksi Gedung Pendidikan</t>
        </is>
      </c>
      <c r="N166" t="inlineStr">
        <is>
          <t>K</t>
        </is>
      </c>
      <c r="O166" t="inlineStr">
        <is>
          <t>20230622</t>
        </is>
      </c>
      <c r="P166" t="inlineStr">
        <is>
          <t>Nusa Tenggara Timur</t>
        </is>
      </c>
      <c r="Q166" t="inlineStr"/>
    </row>
    <row r="167">
      <c r="A167" t="inlineStr">
        <is>
          <t>PUTRA JAGUN</t>
        </is>
      </c>
      <c r="B167" t="inlineStr">
        <is>
          <t>Kab. Kaur</t>
        </is>
      </c>
      <c r="C167" t="inlineStr">
        <is>
          <t>0853 7997 4385</t>
        </is>
      </c>
      <c r="D167" t="inlineStr">
        <is>
          <t>yogasusandi371@yahoo.com</t>
        </is>
      </c>
      <c r="E167" t="inlineStr">
        <is>
          <t>https://lpjk.pu.go.id/search-badan-usaha-detail/cHlST0J3aWwxYXdoSGVpOEtqS2FBQT09</t>
        </is>
      </c>
      <c r="F167" t="n">
        <v>1</v>
      </c>
      <c r="G167" t="inlineStr">
        <is>
          <t>BS001</t>
        </is>
      </c>
      <c r="H167" t="inlineStr">
        <is>
          <t>9 September 2013</t>
        </is>
      </c>
      <c r="I167" s="2" t="n">
        <v>46257</v>
      </c>
      <c r="J167" t="inlineStr">
        <is>
          <t>Pencabutan</t>
        </is>
      </c>
      <c r="K167" t="n">
        <v>60</v>
      </c>
      <c r="L167" t="inlineStr">
        <is>
          <t>23 Agustus 2026</t>
        </is>
      </c>
      <c r="M167" t="inlineStr">
        <is>
          <t>Konstruksi Bangunan Sipil Jalan</t>
        </is>
      </c>
      <c r="N167" t="inlineStr">
        <is>
          <t>K</t>
        </is>
      </c>
      <c r="O167" t="inlineStr">
        <is>
          <t>20230819</t>
        </is>
      </c>
      <c r="P167" t="inlineStr">
        <is>
          <t>Bengkulu</t>
        </is>
      </c>
      <c r="Q167" t="inlineStr"/>
    </row>
    <row r="168">
      <c r="A168" t="inlineStr">
        <is>
          <t>PUTRA JAYA SEMBUNG</t>
        </is>
      </c>
      <c r="B168" t="inlineStr">
        <is>
          <t>Kab. Badung</t>
        </is>
      </c>
      <c r="C168" t="inlineStr">
        <is>
          <t>081338277469</t>
        </is>
      </c>
      <c r="D168" t="inlineStr">
        <is>
          <t>putrajayasembung@gmail.com</t>
        </is>
      </c>
      <c r="E168" t="inlineStr">
        <is>
          <t>https://lpjk.pu.go.id/search-badan-usaha-detail/R1dzcklwY2xsQkNSRHpIOVVRTzdCUT09</t>
        </is>
      </c>
      <c r="F168" t="n">
        <v>5</v>
      </c>
      <c r="G168" t="inlineStr">
        <is>
          <t>BG002, BG005, BG006, BG007, BG009</t>
        </is>
      </c>
      <c r="H168" t="inlineStr">
        <is>
          <t>12 Mei 2023</t>
        </is>
      </c>
      <c r="I168" s="2" t="n">
        <v>46257</v>
      </c>
      <c r="J168" t="inlineStr">
        <is>
          <t>Pencabutan</t>
        </is>
      </c>
      <c r="K168" t="n">
        <v>60</v>
      </c>
      <c r="L168" t="inlineStr">
        <is>
          <t>23 Agustus 2026</t>
        </is>
      </c>
      <c r="M168" t="inlineStr">
        <is>
          <t>Konstruksi Gedung Kesehatan, Konstruksi Gedung Lainnya, Konstruksi Gedung Pendidikan, Konstruksi Gedung Penginapan, Konstruksi Gedung Perkantoran</t>
        </is>
      </c>
      <c r="N168" t="inlineStr">
        <is>
          <t>K</t>
        </is>
      </c>
      <c r="O168" t="inlineStr">
        <is>
          <t>20230816</t>
        </is>
      </c>
      <c r="P168" t="inlineStr">
        <is>
          <t>Bali</t>
        </is>
      </c>
      <c r="Q168" t="inlineStr"/>
    </row>
    <row r="169">
      <c r="A169" t="inlineStr">
        <is>
          <t>PUTRA MAKMUR 37</t>
        </is>
      </c>
      <c r="B169" t="inlineStr">
        <is>
          <t>Kab. Tanah Bumbu</t>
        </is>
      </c>
      <c r="C169" t="inlineStr">
        <is>
          <t>082152919293</t>
        </is>
      </c>
      <c r="D169" t="inlineStr">
        <is>
          <t>cvputramakmur37@gmail.com</t>
        </is>
      </c>
      <c r="E169" t="inlineStr">
        <is>
          <t>https://lpjk.pu.go.id/search-badan-usaha-detail/Y2J1YVRmMWhpaHFHTUkxV3VadExmdz09</t>
        </is>
      </c>
      <c r="F169" t="n">
        <v>1</v>
      </c>
      <c r="G169" t="inlineStr">
        <is>
          <t>BG002</t>
        </is>
      </c>
      <c r="H169" t="inlineStr">
        <is>
          <t>15 Juni 2023</t>
        </is>
      </c>
      <c r="I169" s="2" t="n">
        <v>46257</v>
      </c>
      <c r="J169" t="inlineStr">
        <is>
          <t>Disetujui</t>
        </is>
      </c>
      <c r="K169" t="n">
        <v>60</v>
      </c>
      <c r="L169" t="inlineStr">
        <is>
          <t>23 Agustus 2026</t>
        </is>
      </c>
      <c r="M169" t="inlineStr">
        <is>
          <t>Konstruksi Gedung Perkantoran</t>
        </is>
      </c>
      <c r="N169" t="inlineStr">
        <is>
          <t>K</t>
        </is>
      </c>
      <c r="O169" t="inlineStr">
        <is>
          <t>20230821</t>
        </is>
      </c>
      <c r="P169" t="inlineStr">
        <is>
          <t>Kalimantan Selatan</t>
        </is>
      </c>
      <c r="Q169" t="inlineStr"/>
    </row>
    <row r="170">
      <c r="A170" t="inlineStr">
        <is>
          <t>PUTRA MUDA MANDIRI GROUP</t>
        </is>
      </c>
      <c r="B170" t="inlineStr">
        <is>
          <t>Kab. Aceh Besar</t>
        </is>
      </c>
      <c r="C170" t="inlineStr">
        <is>
          <t>0811688555</t>
        </is>
      </c>
      <c r="D170" t="inlineStr">
        <is>
          <t>pt.pmmg@gmail.com</t>
        </is>
      </c>
      <c r="E170" t="inlineStr">
        <is>
          <t>https://lpjk.pu.go.id/search-badan-usaha-detail/a1ZlWkFBZE83L1l1UHR6QnloeFpzUT09</t>
        </is>
      </c>
      <c r="F170" t="n">
        <v>1</v>
      </c>
      <c r="G170" t="inlineStr">
        <is>
          <t>BS001</t>
        </is>
      </c>
      <c r="H170" t="inlineStr">
        <is>
          <t>25 Juni 2015</t>
        </is>
      </c>
      <c r="I170" s="2" t="n">
        <v>46257</v>
      </c>
      <c r="J170" t="inlineStr">
        <is>
          <t>Pencabutan</t>
        </is>
      </c>
      <c r="K170" t="n">
        <v>60</v>
      </c>
      <c r="L170" t="inlineStr">
        <is>
          <t>23 Agustus 2026</t>
        </is>
      </c>
      <c r="M170" t="inlineStr">
        <is>
          <t>Konstruksi Bangunan Sipil Jalan</t>
        </is>
      </c>
      <c r="N170" t="inlineStr">
        <is>
          <t>K</t>
        </is>
      </c>
      <c r="O170" t="inlineStr">
        <is>
          <t>20230818</t>
        </is>
      </c>
      <c r="P170" t="inlineStr">
        <is>
          <t>Aceh</t>
        </is>
      </c>
      <c r="Q170" t="inlineStr"/>
    </row>
    <row r="171">
      <c r="A171" t="inlineStr">
        <is>
          <t>PUTRA NAULI</t>
        </is>
      </c>
      <c r="B171" t="inlineStr">
        <is>
          <t>Kab. Tanjung Jabung Timur</t>
        </is>
      </c>
      <c r="C171" t="inlineStr">
        <is>
          <t>085266472929</t>
        </is>
      </c>
      <c r="D171" t="inlineStr">
        <is>
          <t>putranauli01@gmail.com</t>
        </is>
      </c>
      <c r="E171" t="inlineStr">
        <is>
          <t>https://lpjk.pu.go.id/search-badan-usaha-detail/QjQ0OWpuS3g4ZTg4Ylh6dFNxMlVDZz09</t>
        </is>
      </c>
      <c r="F171" t="n">
        <v>2</v>
      </c>
      <c r="G171" t="inlineStr">
        <is>
          <t>BG005, BS007</t>
        </is>
      </c>
      <c r="H171" t="inlineStr">
        <is>
          <t>26 April 2010</t>
        </is>
      </c>
      <c r="I171" s="2" t="n">
        <v>46257</v>
      </c>
      <c r="J171" t="inlineStr">
        <is>
          <t>Disetujui, Pencabutan</t>
        </is>
      </c>
      <c r="K171" t="n">
        <v>60</v>
      </c>
      <c r="L171" t="inlineStr">
        <is>
          <t>23 Agustus 2026</t>
        </is>
      </c>
      <c r="M171" t="inlineStr">
        <is>
          <t>Konstruksi Bangunan Sipil Elektrikal, Konstruksi Gedung Kesehatan</t>
        </is>
      </c>
      <c r="N171" t="inlineStr">
        <is>
          <t>K</t>
        </is>
      </c>
      <c r="O171" t="inlineStr">
        <is>
          <t>20230816</t>
        </is>
      </c>
      <c r="P171" t="inlineStr">
        <is>
          <t>Jambi</t>
        </is>
      </c>
      <c r="Q171" t="inlineStr"/>
    </row>
    <row r="172">
      <c r="A172" t="inlineStr">
        <is>
          <t>PUTRA PERDANA</t>
        </is>
      </c>
      <c r="B172" t="inlineStr">
        <is>
          <t>Kab. Padang Lawas</t>
        </is>
      </c>
      <c r="C172" t="inlineStr">
        <is>
          <t>081363271066</t>
        </is>
      </c>
      <c r="D172" t="inlineStr">
        <is>
          <t>gamdi.perdana@gmail.com</t>
        </is>
      </c>
      <c r="E172" t="inlineStr">
        <is>
          <t>https://lpjk.pu.go.id/search-badan-usaha-detail/cTlrZTF0REMrUUFRcFU4Qll6WkFzQT09</t>
        </is>
      </c>
      <c r="F172" t="n">
        <v>2</v>
      </c>
      <c r="G172" t="inlineStr">
        <is>
          <t>BG006, BG009</t>
        </is>
      </c>
      <c r="H172" t="inlineStr">
        <is>
          <t>5 Juli 2012</t>
        </is>
      </c>
      <c r="I172" s="2" t="n">
        <v>46257</v>
      </c>
      <c r="J172" t="inlineStr">
        <is>
          <t>Disetujui</t>
        </is>
      </c>
      <c r="K172" t="n">
        <v>60</v>
      </c>
      <c r="L172" t="inlineStr">
        <is>
          <t>23 Agustus 2026</t>
        </is>
      </c>
      <c r="M172" t="inlineStr">
        <is>
          <t>Konstruksi Gedung Lainnya, Konstruksi Gedung Pendidikan</t>
        </is>
      </c>
      <c r="N172" t="inlineStr">
        <is>
          <t>K</t>
        </is>
      </c>
      <c r="O172" t="inlineStr">
        <is>
          <t>20230823</t>
        </is>
      </c>
      <c r="P172" t="inlineStr">
        <is>
          <t>Sumatera Utara</t>
        </is>
      </c>
      <c r="Q172" t="inlineStr"/>
    </row>
    <row r="173">
      <c r="A173" t="inlineStr">
        <is>
          <t>PUTRA SAKERA</t>
        </is>
      </c>
      <c r="B173" t="inlineStr">
        <is>
          <t>Kab. Bangkalan</t>
        </is>
      </c>
      <c r="C173" t="inlineStr">
        <is>
          <t>081230583151</t>
        </is>
      </c>
      <c r="D173" t="inlineStr">
        <is>
          <t>sakeraputracv@gmail.com</t>
        </is>
      </c>
      <c r="E173" t="inlineStr">
        <is>
          <t>https://lpjk.pu.go.id/search-badan-usaha-detail/Q1ErdkZJOXpwRXFxazUzSXBnZE9IQT09</t>
        </is>
      </c>
      <c r="F173" t="n">
        <v>1</v>
      </c>
      <c r="G173" t="inlineStr">
        <is>
          <t>BG006</t>
        </is>
      </c>
      <c r="H173" t="inlineStr">
        <is>
          <t>10 Agustus 2023</t>
        </is>
      </c>
      <c r="I173" s="2" t="n">
        <v>46257</v>
      </c>
      <c r="J173" t="inlineStr">
        <is>
          <t>Pencabutan</t>
        </is>
      </c>
      <c r="K173" t="n">
        <v>60</v>
      </c>
      <c r="L173" t="inlineStr">
        <is>
          <t>23 Agustus 2026</t>
        </is>
      </c>
      <c r="M173" t="inlineStr">
        <is>
          <t>Konstruksi Gedung Pendidikan</t>
        </is>
      </c>
      <c r="N173" t="inlineStr">
        <is>
          <t>K</t>
        </is>
      </c>
      <c r="O173" t="inlineStr">
        <is>
          <t>20230823</t>
        </is>
      </c>
      <c r="P173" t="inlineStr">
        <is>
          <t>Jawa Timur</t>
        </is>
      </c>
      <c r="Q173" t="inlineStr"/>
    </row>
    <row r="174">
      <c r="A174" t="inlineStr">
        <is>
          <t>PUTRA SANTOSA MANDIRI</t>
        </is>
      </c>
      <c r="B174" t="inlineStr">
        <is>
          <t>Kota Balikpapan</t>
        </is>
      </c>
      <c r="C174" t="inlineStr">
        <is>
          <t>08115401289</t>
        </is>
      </c>
      <c r="D174" t="inlineStr">
        <is>
          <t>cv.putrasantosamandiri@gmail.com</t>
        </is>
      </c>
      <c r="E174" t="inlineStr">
        <is>
          <t>https://lpjk.pu.go.id/search-badan-usaha-detail/YzJ6N3FGR21IakM5QkZnTDBLN2RDdz09</t>
        </is>
      </c>
      <c r="F174" t="n">
        <v>1</v>
      </c>
      <c r="G174" t="inlineStr">
        <is>
          <t>BS017</t>
        </is>
      </c>
      <c r="H174" t="inlineStr">
        <is>
          <t>1 Februari 2023</t>
        </is>
      </c>
      <c r="I174" s="2" t="n">
        <v>46257</v>
      </c>
      <c r="J174" t="inlineStr">
        <is>
          <t>Disetujui</t>
        </is>
      </c>
      <c r="K174" t="n">
        <v>60</v>
      </c>
      <c r="L174" t="inlineStr">
        <is>
          <t>23 Agustus 2026</t>
        </is>
      </c>
      <c r="M174" t="inlineStr">
        <is>
          <t>Konstruksi Bangunan Sipil Lainnya Ytdl</t>
        </is>
      </c>
      <c r="N174" t="inlineStr">
        <is>
          <t>K</t>
        </is>
      </c>
      <c r="O174" t="inlineStr">
        <is>
          <t>20230818</t>
        </is>
      </c>
      <c r="P174" t="inlineStr">
        <is>
          <t>Kalimantan Timur</t>
        </is>
      </c>
      <c r="Q174" t="inlineStr"/>
    </row>
    <row r="175">
      <c r="A175" t="inlineStr">
        <is>
          <t>PUTRI SRIKANDI</t>
        </is>
      </c>
      <c r="B175" t="inlineStr">
        <is>
          <t>Kab. Kediri</t>
        </is>
      </c>
      <c r="C175" t="inlineStr">
        <is>
          <t>08123247193</t>
        </is>
      </c>
      <c r="D175" t="inlineStr">
        <is>
          <t>putrisrikandi68@yahoo.co.id</t>
        </is>
      </c>
      <c r="E175" t="inlineStr">
        <is>
          <t>https://lpjk.pu.go.id/search-badan-usaha-detail/YS9sNFdpVlhZdy9SNnZHTDVlWXRIQT09</t>
        </is>
      </c>
      <c r="F175" t="n">
        <v>5</v>
      </c>
      <c r="G175" t="inlineStr">
        <is>
          <t>BG002, BG005, BG006, BS001, BS004</t>
        </is>
      </c>
      <c r="H175" t="inlineStr">
        <is>
          <t>9 Agustus 1985</t>
        </is>
      </c>
      <c r="I175" s="2" t="n">
        <v>46257</v>
      </c>
      <c r="J175" t="inlineStr">
        <is>
          <t>Disetujui</t>
        </is>
      </c>
      <c r="K175" t="n">
        <v>60</v>
      </c>
      <c r="L175" t="inlineStr">
        <is>
          <t>23 Agustus 2026</t>
        </is>
      </c>
      <c r="M175" t="inlineStr">
        <is>
          <t>Konstruksi Bangunan Sipil Jalan, Konstruksi Gedung Kesehatan, Konstruksi Gedung Pendidikan, Konstruksi Gedung Perkantoran, Konstruksi Jaringan Irigasi dan Drainase</t>
        </is>
      </c>
      <c r="N175" t="inlineStr">
        <is>
          <t>K</t>
        </is>
      </c>
      <c r="O175" t="inlineStr">
        <is>
          <t>20230724</t>
        </is>
      </c>
      <c r="P175" t="inlineStr">
        <is>
          <t>Jawa Timur</t>
        </is>
      </c>
      <c r="Q175" t="inlineStr"/>
    </row>
    <row r="176">
      <c r="A176" t="inlineStr">
        <is>
          <t>RAHIEL SAMUDRA AGENG</t>
        </is>
      </c>
      <c r="B176" t="inlineStr">
        <is>
          <t>Kab. Sukabumi</t>
        </is>
      </c>
      <c r="C176" t="inlineStr">
        <is>
          <t>081383370740</t>
        </is>
      </c>
      <c r="D176" t="inlineStr">
        <is>
          <t>rahielsamudraageng@gmail.com</t>
        </is>
      </c>
      <c r="E176" t="inlineStr">
        <is>
          <t>https://lpjk.pu.go.id/search-badan-usaha-detail/c3ZCdjFQd2xtVDd2ZksvY1p0dU12QT09</t>
        </is>
      </c>
      <c r="F176" t="n">
        <v>6</v>
      </c>
      <c r="G176" t="inlineStr">
        <is>
          <t>BG002, BG006, BG008, BG009, BS001, BS004</t>
        </is>
      </c>
      <c r="H176" t="inlineStr">
        <is>
          <t>17 Juni 2023</t>
        </is>
      </c>
      <c r="I176" s="2" t="n">
        <v>46257</v>
      </c>
      <c r="J176" t="inlineStr">
        <is>
          <t>Pencabutan</t>
        </is>
      </c>
      <c r="K176" t="n">
        <v>60</v>
      </c>
      <c r="L176" t="inlineStr">
        <is>
          <t>23 Agustus 2026</t>
        </is>
      </c>
      <c r="M176" t="inlineStr">
        <is>
          <t>Konstruksi Bangunan Sipil Jalan, Konstruksi Gedung Lainnya, Konstruksi Gedung Pendidikan, Konstruksi Gedung Perkantoran, Konstruksi Gedung Tempat Hiburan dan Olahraga, Konstruksi Jaringan Irigasi dan Drainase</t>
        </is>
      </c>
      <c r="N176" t="inlineStr">
        <is>
          <t>K</t>
        </is>
      </c>
      <c r="O176" t="inlineStr">
        <is>
          <t>20230814</t>
        </is>
      </c>
      <c r="P176" t="inlineStr">
        <is>
          <t>Jawa Barat</t>
        </is>
      </c>
      <c r="Q176" t="inlineStr"/>
    </row>
    <row r="177">
      <c r="A177" t="inlineStr">
        <is>
          <t>RAJA BENOS</t>
        </is>
      </c>
      <c r="B177" t="inlineStr">
        <is>
          <t>Kab. Toba Samosir</t>
        </is>
      </c>
      <c r="C177" t="inlineStr">
        <is>
          <t>081364154750</t>
        </is>
      </c>
      <c r="D177" t="inlineStr">
        <is>
          <t>cvrajabenos@gmail.com</t>
        </is>
      </c>
      <c r="E177" t="inlineStr">
        <is>
          <t>https://lpjk.pu.go.id/search-badan-usaha-detail/OUN1UkgvR1JGTTd6Qk4vSXo4dU1WQT09</t>
        </is>
      </c>
      <c r="F177" t="n">
        <v>1</v>
      </c>
      <c r="G177" t="inlineStr">
        <is>
          <t>BS004</t>
        </is>
      </c>
      <c r="H177" t="inlineStr">
        <is>
          <t>6 Januari 2023</t>
        </is>
      </c>
      <c r="I177" s="2" t="n">
        <v>46257</v>
      </c>
      <c r="J177" t="inlineStr">
        <is>
          <t>Disetujui</t>
        </is>
      </c>
      <c r="K177" t="n">
        <v>60</v>
      </c>
      <c r="L177" t="inlineStr">
        <is>
          <t>23 Agustus 2026</t>
        </is>
      </c>
      <c r="M177" t="inlineStr">
        <is>
          <t>Konstruksi Jaringan Irigasi dan Drainase</t>
        </is>
      </c>
      <c r="N177" t="inlineStr">
        <is>
          <t>K</t>
        </is>
      </c>
      <c r="O177" t="inlineStr">
        <is>
          <t>20230823</t>
        </is>
      </c>
      <c r="P177" t="inlineStr">
        <is>
          <t>Sumatera Utara</t>
        </is>
      </c>
      <c r="Q177" t="inlineStr"/>
    </row>
    <row r="178">
      <c r="A178" t="inlineStr">
        <is>
          <t>RAJAWALI COMPANY</t>
        </is>
      </c>
      <c r="B178" t="inlineStr">
        <is>
          <t>Kab. Bengkalis</t>
        </is>
      </c>
      <c r="C178" t="inlineStr">
        <is>
          <t>085262795740</t>
        </is>
      </c>
      <c r="D178" t="inlineStr">
        <is>
          <t>adechandra050580@gmail.com</t>
        </is>
      </c>
      <c r="E178" t="inlineStr">
        <is>
          <t>https://lpjk.pu.go.id/search-badan-usaha-detail/UDhvMVNBdlNGQ1ZFUStneXBhZE9LQT09</t>
        </is>
      </c>
      <c r="F178" t="n">
        <v>4</v>
      </c>
      <c r="G178" t="inlineStr">
        <is>
          <t>BG006, BS004</t>
        </is>
      </c>
      <c r="H178" t="inlineStr">
        <is>
          <t>22 Juni 2012</t>
        </is>
      </c>
      <c r="I178" s="2" t="n">
        <v>46257</v>
      </c>
      <c r="J178" t="inlineStr">
        <is>
          <t>Disetujui, Pencabutan</t>
        </is>
      </c>
      <c r="K178" t="n">
        <v>60</v>
      </c>
      <c r="L178" t="inlineStr">
        <is>
          <t>23 Agustus 2026</t>
        </is>
      </c>
      <c r="M178" t="inlineStr">
        <is>
          <t>Konstruksi Gedung Pendidikan, Konstruksi Jaringan Irigasi dan Drainase</t>
        </is>
      </c>
      <c r="N178" t="inlineStr">
        <is>
          <t>K</t>
        </is>
      </c>
      <c r="O178" t="inlineStr">
        <is>
          <t>20230819, 20230820</t>
        </is>
      </c>
      <c r="P178" t="inlineStr">
        <is>
          <t>Riau</t>
        </is>
      </c>
      <c r="Q178" t="inlineStr"/>
    </row>
    <row r="179">
      <c r="A179" t="inlineStr">
        <is>
          <t>RAJAWALI KUTIM GEMILANG</t>
        </is>
      </c>
      <c r="B179" t="inlineStr">
        <is>
          <t>Kab. Kutai Timur</t>
        </is>
      </c>
      <c r="C179" t="inlineStr">
        <is>
          <t>08229800098</t>
        </is>
      </c>
      <c r="D179" t="inlineStr">
        <is>
          <t>rajawalukutimgemilangcv@gmail.com</t>
        </is>
      </c>
      <c r="E179" t="inlineStr">
        <is>
          <t>https://lpjk.pu.go.id/search-badan-usaha-detail/RGwvRWdnSkV4a0s5elArbjE1bmYydz09</t>
        </is>
      </c>
      <c r="F179" t="n">
        <v>4</v>
      </c>
      <c r="G179" t="inlineStr">
        <is>
          <t>BG006, BS001</t>
        </is>
      </c>
      <c r="H179" t="inlineStr">
        <is>
          <t>26 Juni 2023</t>
        </is>
      </c>
      <c r="I179" s="2" t="n">
        <v>46257</v>
      </c>
      <c r="J179" t="inlineStr">
        <is>
          <t>Disetujui</t>
        </is>
      </c>
      <c r="K179" t="n">
        <v>60</v>
      </c>
      <c r="L179" t="inlineStr">
        <is>
          <t>23 Agustus 2026</t>
        </is>
      </c>
      <c r="M179" t="inlineStr">
        <is>
          <t>Konstruksi Bangunan Sipil Jalan, Konstruksi Gedung Pendidikan</t>
        </is>
      </c>
      <c r="N179" t="inlineStr">
        <is>
          <t>K</t>
        </is>
      </c>
      <c r="O179" t="inlineStr">
        <is>
          <t>20230824</t>
        </is>
      </c>
      <c r="P179" t="inlineStr">
        <is>
          <t>Kalimantan Timur</t>
        </is>
      </c>
      <c r="Q179" t="inlineStr"/>
    </row>
    <row r="180">
      <c r="A180" t="inlineStr">
        <is>
          <t>RAYA BERLIANS</t>
        </is>
      </c>
      <c r="B180" t="inlineStr">
        <is>
          <t>Kab. Sukabumi</t>
        </is>
      </c>
      <c r="C180" t="inlineStr">
        <is>
          <t>081564689849</t>
        </is>
      </c>
      <c r="D180" t="inlineStr">
        <is>
          <t>cv.rayaberlians@yahoo.com</t>
        </is>
      </c>
      <c r="E180" t="inlineStr">
        <is>
          <t>https://lpjk.pu.go.id/search-badan-usaha-detail/eTY2NUtUQ2dUWkhKY1BnMTVXRHY3UT09</t>
        </is>
      </c>
      <c r="F180" t="n">
        <v>2</v>
      </c>
      <c r="G180" t="inlineStr">
        <is>
          <t>BG002, BG006</t>
        </is>
      </c>
      <c r="H180" t="inlineStr">
        <is>
          <t>17 Juli 2020</t>
        </is>
      </c>
      <c r="I180" s="2" t="n">
        <v>46257</v>
      </c>
      <c r="J180" t="inlineStr">
        <is>
          <t>Pencabutan</t>
        </is>
      </c>
      <c r="K180" t="n">
        <v>60</v>
      </c>
      <c r="L180" t="inlineStr">
        <is>
          <t>23 Agustus 2026</t>
        </is>
      </c>
      <c r="M180" t="inlineStr">
        <is>
          <t>Konstruksi Gedung Pendidikan, Konstruksi Gedung Perkantoran</t>
        </is>
      </c>
      <c r="N180" t="inlineStr">
        <is>
          <t>K</t>
        </is>
      </c>
      <c r="O180" t="inlineStr">
        <is>
          <t>20230815</t>
        </is>
      </c>
      <c r="P180" t="inlineStr">
        <is>
          <t>Jawa Barat</t>
        </is>
      </c>
      <c r="Q180" t="inlineStr"/>
    </row>
    <row r="181">
      <c r="A181" t="inlineStr">
        <is>
          <t>RAYYAN</t>
        </is>
      </c>
      <c r="B181" t="inlineStr">
        <is>
          <t>Kab. Bima</t>
        </is>
      </c>
      <c r="C181" t="inlineStr">
        <is>
          <t>082339621999</t>
        </is>
      </c>
      <c r="D181" t="inlineStr">
        <is>
          <t>mantikarino@gmail.com</t>
        </is>
      </c>
      <c r="E181" t="inlineStr">
        <is>
          <t>https://lpjk.pu.go.id/search-badan-usaha-detail/bmNnODRHbWZCdFBMRzBCb2QzYVppZz09</t>
        </is>
      </c>
      <c r="F181" t="n">
        <v>2</v>
      </c>
      <c r="G181" t="inlineStr">
        <is>
          <t>BG009</t>
        </is>
      </c>
      <c r="H181" t="inlineStr">
        <is>
          <t>29 September 2018</t>
        </is>
      </c>
      <c r="I181" s="2" t="n">
        <v>46257</v>
      </c>
      <c r="J181" t="inlineStr">
        <is>
          <t>Pencabutan</t>
        </is>
      </c>
      <c r="K181" t="n">
        <v>60</v>
      </c>
      <c r="L181" t="inlineStr">
        <is>
          <t>23 Agustus 2026</t>
        </is>
      </c>
      <c r="M181" t="inlineStr">
        <is>
          <t>Konstruksi Gedung Lainnya</t>
        </is>
      </c>
      <c r="N181" t="inlineStr">
        <is>
          <t>K</t>
        </is>
      </c>
      <c r="O181" t="inlineStr">
        <is>
          <t>20230824</t>
        </is>
      </c>
      <c r="P181" t="inlineStr">
        <is>
          <t>Nusa Tenggara Barat</t>
        </is>
      </c>
      <c r="Q181" t="inlineStr"/>
    </row>
    <row r="182">
      <c r="A182" t="inlineStr">
        <is>
          <t>REFAN'Z PRATAMA</t>
        </is>
      </c>
      <c r="B182" t="inlineStr">
        <is>
          <t>Kab. Sigi</t>
        </is>
      </c>
      <c r="C182" t="inlineStr">
        <is>
          <t>085211177714</t>
        </is>
      </c>
      <c r="D182" t="inlineStr">
        <is>
          <t>refanzp@ymail.com</t>
        </is>
      </c>
      <c r="E182" t="inlineStr">
        <is>
          <t>https://lpjk.pu.go.id/search-badan-usaha-detail/MW9UbGY4NXg2TmIxOEN5UHNhU20rdz09</t>
        </is>
      </c>
      <c r="F182" t="n">
        <v>2</v>
      </c>
      <c r="G182" t="inlineStr">
        <is>
          <t>BG001, BG002</t>
        </is>
      </c>
      <c r="H182" t="inlineStr">
        <is>
          <t>14 Februari 2011</t>
        </is>
      </c>
      <c r="I182" s="2" t="n">
        <v>46257</v>
      </c>
      <c r="J182" t="inlineStr">
        <is>
          <t>Disetujui</t>
        </is>
      </c>
      <c r="K182" t="n">
        <v>60</v>
      </c>
      <c r="L182" t="inlineStr">
        <is>
          <t>23 Agustus 2026</t>
        </is>
      </c>
      <c r="M182" t="inlineStr">
        <is>
          <t>Konstruksi Gedung Hunian, Konstruksi Gedung Perkantoran</t>
        </is>
      </c>
      <c r="N182" t="inlineStr">
        <is>
          <t>K</t>
        </is>
      </c>
      <c r="O182" t="inlineStr">
        <is>
          <t>20230812, 20230814</t>
        </is>
      </c>
      <c r="P182" t="inlineStr">
        <is>
          <t>Sulawesi Tengah</t>
        </is>
      </c>
      <c r="Q182" t="inlineStr"/>
    </row>
    <row r="183">
      <c r="A183" t="inlineStr">
        <is>
          <t>REMAJA PRIMA SARANA</t>
        </is>
      </c>
      <c r="B183" t="inlineStr">
        <is>
          <t>Kota Surabaya</t>
        </is>
      </c>
      <c r="C183" t="inlineStr">
        <is>
          <t>0317496176</t>
        </is>
      </c>
      <c r="D183" t="inlineStr">
        <is>
          <t>remajaprimasarana@gmail.com</t>
        </is>
      </c>
      <c r="E183" t="inlineStr">
        <is>
          <t>https://lpjk.pu.go.id/search-badan-usaha-detail/UmJYUEk0TlZ6bWprcWFPRzhOKzFMQT09</t>
        </is>
      </c>
      <c r="F183" t="n">
        <v>3</v>
      </c>
      <c r="G183" t="inlineStr">
        <is>
          <t>BG004, BG006, BG009</t>
        </is>
      </c>
      <c r="H183" t="inlineStr">
        <is>
          <t>26 Oktober 2007</t>
        </is>
      </c>
      <c r="I183" s="2" t="n">
        <v>46257</v>
      </c>
      <c r="J183" t="inlineStr">
        <is>
          <t>Disetujui</t>
        </is>
      </c>
      <c r="K183" t="n">
        <v>60</v>
      </c>
      <c r="L183" t="inlineStr">
        <is>
          <t>23 Agustus 2026</t>
        </is>
      </c>
      <c r="M183" t="inlineStr">
        <is>
          <t>Konstruksi Gedung Lainnya, Konstruksi Gedung Pendidikan, Konstruksi Gedung Perbelanjaan</t>
        </is>
      </c>
      <c r="N183" t="inlineStr">
        <is>
          <t>K</t>
        </is>
      </c>
      <c r="O183" t="inlineStr">
        <is>
          <t>20230806, 20230818, 20230819</t>
        </is>
      </c>
      <c r="P183" t="inlineStr">
        <is>
          <t>Jawa Timur</t>
        </is>
      </c>
      <c r="Q183" t="inlineStr"/>
    </row>
    <row r="184">
      <c r="A184" t="inlineStr">
        <is>
          <t>RIFKY AGUNG PERKASA</t>
        </is>
      </c>
      <c r="B184" t="inlineStr">
        <is>
          <t>Kota Pontianak</t>
        </is>
      </c>
      <c r="C184" t="inlineStr">
        <is>
          <t>081345164963</t>
        </is>
      </c>
      <c r="D184" t="inlineStr">
        <is>
          <t>rifkyagungperkasa@gmail.com</t>
        </is>
      </c>
      <c r="E184" t="inlineStr">
        <is>
          <t>https://lpjk.pu.go.id/search-badan-usaha-detail/bnM4SUN0UEUyNU1sVmFvMGd6bkViUT09</t>
        </is>
      </c>
      <c r="F184" t="n">
        <v>1</v>
      </c>
      <c r="G184" t="inlineStr">
        <is>
          <t>BS001</t>
        </is>
      </c>
      <c r="H184" t="inlineStr">
        <is>
          <t>25 November 2015</t>
        </is>
      </c>
      <c r="I184" s="2" t="n">
        <v>46257</v>
      </c>
      <c r="J184" t="inlineStr">
        <is>
          <t>Disetujui</t>
        </is>
      </c>
      <c r="K184" t="n">
        <v>60</v>
      </c>
      <c r="L184" t="inlineStr">
        <is>
          <t>23 Agustus 2026</t>
        </is>
      </c>
      <c r="M184" t="inlineStr">
        <is>
          <t>Konstruksi Bangunan Sipil Jalan</t>
        </is>
      </c>
      <c r="N184" t="inlineStr">
        <is>
          <t>K</t>
        </is>
      </c>
      <c r="O184" t="inlineStr">
        <is>
          <t>20230817</t>
        </is>
      </c>
      <c r="P184" t="inlineStr">
        <is>
          <t>Kalimantan Barat</t>
        </is>
      </c>
      <c r="Q184" t="inlineStr"/>
    </row>
    <row r="185">
      <c r="A185" t="inlineStr">
        <is>
          <t>RIZWANA</t>
        </is>
      </c>
      <c r="B185" t="inlineStr">
        <is>
          <t>Kota Tidore Kepulauan</t>
        </is>
      </c>
      <c r="C185" t="inlineStr">
        <is>
          <t>081242425495</t>
        </is>
      </c>
      <c r="D185" t="inlineStr">
        <is>
          <t>rizwanacv90@gmail.com</t>
        </is>
      </c>
      <c r="E185" t="inlineStr">
        <is>
          <t>https://lpjk.pu.go.id/search-badan-usaha-detail/SGlaMFhUSFppcWdTb3IyTVZlcHVoc1FEMXdnODdnTnZYeURZQnRSVExXZz0</t>
        </is>
      </c>
      <c r="F185" t="n">
        <v>2</v>
      </c>
      <c r="G185" t="inlineStr">
        <is>
          <t>BG008, BG009</t>
        </is>
      </c>
      <c r="H185" t="inlineStr">
        <is>
          <t>20 Desember 2019</t>
        </is>
      </c>
      <c r="I185" s="2" t="n">
        <v>46257</v>
      </c>
      <c r="J185" t="inlineStr">
        <is>
          <t>Disetujui</t>
        </is>
      </c>
      <c r="K185" t="n">
        <v>60</v>
      </c>
      <c r="L185" t="inlineStr">
        <is>
          <t>23 Agustus 2026</t>
        </is>
      </c>
      <c r="M185" t="inlineStr">
        <is>
          <t>Konstruksi Gedung Lainnya, Konstruksi Gedung Tempat Hiburan dan Olahraga</t>
        </is>
      </c>
      <c r="N185" t="inlineStr">
        <is>
          <t>K</t>
        </is>
      </c>
      <c r="O185" t="inlineStr">
        <is>
          <t>20230815, 20230816</t>
        </is>
      </c>
      <c r="P185" t="inlineStr">
        <is>
          <t>Maluku Utara</t>
        </is>
      </c>
      <c r="Q185" t="inlineStr"/>
    </row>
    <row r="186">
      <c r="A186" t="inlineStr">
        <is>
          <t>SABAR JAYA MULIA</t>
        </is>
      </c>
      <c r="B186" t="inlineStr">
        <is>
          <t>Kab. Cilacap</t>
        </is>
      </c>
      <c r="C186" t="inlineStr">
        <is>
          <t>0282540902</t>
        </is>
      </c>
      <c r="D186" t="inlineStr">
        <is>
          <t>sbjm211@gmail.com</t>
        </is>
      </c>
      <c r="E186" t="inlineStr">
        <is>
          <t>https://lpjk.pu.go.id/search-badan-usaha-detail/WW1La1R4d1ltWUhIdTZyNzZmVlZQdz09</t>
        </is>
      </c>
      <c r="F186" t="n">
        <v>1</v>
      </c>
      <c r="G186" t="inlineStr">
        <is>
          <t>BS001</t>
        </is>
      </c>
      <c r="H186" t="inlineStr">
        <is>
          <t>21 Januari 2014</t>
        </is>
      </c>
      <c r="I186" s="2" t="n">
        <v>46257</v>
      </c>
      <c r="J186" t="inlineStr">
        <is>
          <t>Disetujui</t>
        </is>
      </c>
      <c r="K186" t="n">
        <v>60</v>
      </c>
      <c r="L186" t="inlineStr">
        <is>
          <t>23 Agustus 2026</t>
        </is>
      </c>
      <c r="M186" t="inlineStr">
        <is>
          <t>Konstruksi Bangunan Sipil Jalan</t>
        </is>
      </c>
      <c r="N186" t="inlineStr">
        <is>
          <t>K</t>
        </is>
      </c>
      <c r="O186" t="inlineStr">
        <is>
          <t>20230819</t>
        </is>
      </c>
      <c r="P186" t="inlineStr">
        <is>
          <t>Jawa Tengah</t>
        </is>
      </c>
      <c r="Q186" t="inlineStr"/>
    </row>
    <row r="187">
      <c r="A187" t="inlineStr">
        <is>
          <t>SAHABAT KARYA MANDIRI</t>
        </is>
      </c>
      <c r="B187" t="inlineStr">
        <is>
          <t>Kota Pontianak</t>
        </is>
      </c>
      <c r="C187" t="inlineStr">
        <is>
          <t>08115771129</t>
        </is>
      </c>
      <c r="D187" t="inlineStr">
        <is>
          <t>cvsahabat81@gmail.com</t>
        </is>
      </c>
      <c r="E187" t="inlineStr">
        <is>
          <t>https://lpjk.pu.go.id/search-badan-usaha-detail/YkFhUzJKSEZNS2tJVER6U05kOFAzQT09</t>
        </is>
      </c>
      <c r="F187" t="n">
        <v>3</v>
      </c>
      <c r="G187" t="inlineStr">
        <is>
          <t>BG008, BS002, BS004</t>
        </is>
      </c>
      <c r="H187" t="inlineStr">
        <is>
          <t>1 Agustus 2007</t>
        </is>
      </c>
      <c r="I187" s="2" t="n">
        <v>46257</v>
      </c>
      <c r="J187" t="inlineStr">
        <is>
          <t>Disetujui</t>
        </is>
      </c>
      <c r="K187" t="n">
        <v>60</v>
      </c>
      <c r="L187" t="inlineStr">
        <is>
          <t>23 Agustus 2026</t>
        </is>
      </c>
      <c r="M187" t="inlineStr">
        <is>
          <t>Bangunan Sipil Jembatan, Jalan Layang, Fly Over, dan Underpass, Konstruksi Gedung Tempat Hiburan dan Olahraga, Konstruksi Jaringan Irigasi dan Drainase</t>
        </is>
      </c>
      <c r="N187" t="inlineStr">
        <is>
          <t>K</t>
        </is>
      </c>
      <c r="O187" t="inlineStr">
        <is>
          <t>20230824</t>
        </is>
      </c>
      <c r="P187" t="inlineStr">
        <is>
          <t>Kalimantan Barat</t>
        </is>
      </c>
      <c r="Q187" t="inlineStr"/>
    </row>
    <row r="188">
      <c r="A188" t="inlineStr">
        <is>
          <t>SANGGAR KARYA</t>
        </is>
      </c>
      <c r="B188" t="inlineStr">
        <is>
          <t>Kab. Jombang</t>
        </is>
      </c>
      <c r="C188" t="inlineStr">
        <is>
          <t>08563450350</t>
        </is>
      </c>
      <c r="D188" t="inlineStr">
        <is>
          <t>cv.sanggarkaryaku@gmail.com</t>
        </is>
      </c>
      <c r="E188" t="inlineStr">
        <is>
          <t>https://lpjk.pu.go.id/search-badan-usaha-detail/alowajhMZTMwdUZWUjBzNDlZT1NtUT09</t>
        </is>
      </c>
      <c r="F188" t="n">
        <v>6</v>
      </c>
      <c r="G188" t="inlineStr">
        <is>
          <t>BG005, BG006</t>
        </is>
      </c>
      <c r="H188" t="inlineStr">
        <is>
          <t>22 Juni 2012</t>
        </is>
      </c>
      <c r="I188" s="2" t="n">
        <v>46257</v>
      </c>
      <c r="J188" t="inlineStr">
        <is>
          <t>Pencabutan</t>
        </is>
      </c>
      <c r="K188" t="n">
        <v>60</v>
      </c>
      <c r="L188" t="inlineStr">
        <is>
          <t>23 Agustus 2026</t>
        </is>
      </c>
      <c r="M188" t="inlineStr">
        <is>
          <t>Konstruksi Gedung Kesehatan, Konstruksi Gedung Pendidikan</t>
        </is>
      </c>
      <c r="N188" t="inlineStr">
        <is>
          <t>K</t>
        </is>
      </c>
      <c r="O188" t="inlineStr">
        <is>
          <t>20230824</t>
        </is>
      </c>
      <c r="P188" t="inlineStr">
        <is>
          <t>Jawa Timur</t>
        </is>
      </c>
      <c r="Q188" t="inlineStr"/>
    </row>
    <row r="189">
      <c r="A189" t="inlineStr">
        <is>
          <t>SANGHA RADYA UTAMA</t>
        </is>
      </c>
      <c r="B189" t="inlineStr">
        <is>
          <t>Kab. Ngawi</t>
        </is>
      </c>
      <c r="C189" t="inlineStr">
        <is>
          <t>085735072044</t>
        </is>
      </c>
      <c r="D189" t="inlineStr">
        <is>
          <t>sangharadyautama@gmail.com</t>
        </is>
      </c>
      <c r="E189" t="inlineStr">
        <is>
          <t>https://lpjk.pu.go.id/search-badan-usaha-detail/eEJrUytzbDFqTWYxa2xvTk9YWGMzdz09</t>
        </is>
      </c>
      <c r="F189" t="n">
        <v>1</v>
      </c>
      <c r="G189" t="inlineStr">
        <is>
          <t>RK001</t>
        </is>
      </c>
      <c r="H189" t="inlineStr">
        <is>
          <t>28 Maret 2023</t>
        </is>
      </c>
      <c r="I189" s="2" t="n">
        <v>46257</v>
      </c>
      <c r="J189" t="inlineStr">
        <is>
          <t>Disetujui</t>
        </is>
      </c>
      <c r="K189" t="n">
        <v>60</v>
      </c>
      <c r="L189" t="inlineStr">
        <is>
          <t>23 Agustus 2026</t>
        </is>
      </c>
      <c r="M189" t="inlineStr">
        <is>
          <t>Jasa Rekayasa Konstruksi Bangunan Gedung Hunian dan Non Hunian</t>
        </is>
      </c>
      <c r="N189" t="inlineStr">
        <is>
          <t>K</t>
        </is>
      </c>
      <c r="O189" t="inlineStr">
        <is>
          <t>20230809</t>
        </is>
      </c>
      <c r="P189" t="inlineStr">
        <is>
          <t>Jawa Timur</t>
        </is>
      </c>
      <c r="Q189" t="inlineStr"/>
    </row>
    <row r="190">
      <c r="A190" t="inlineStr">
        <is>
          <t>SEKATA</t>
        </is>
      </c>
      <c r="B190" t="inlineStr">
        <is>
          <t>Kab. Labuhanbatu</t>
        </is>
      </c>
      <c r="C190" t="inlineStr">
        <is>
          <t>0812 6223 659_</t>
        </is>
      </c>
      <c r="D190" t="inlineStr">
        <is>
          <t>sekatakontraktor@yahoo.com</t>
        </is>
      </c>
      <c r="E190" t="inlineStr">
        <is>
          <t>https://lpjk.pu.go.id/search-badan-usaha-detail/Y1BYLzVvTkpvR2NzOXVWRmtIeFcyQT09</t>
        </is>
      </c>
      <c r="F190" t="n">
        <v>1</v>
      </c>
      <c r="G190" t="inlineStr">
        <is>
          <t>BG006</t>
        </is>
      </c>
      <c r="H190" t="inlineStr">
        <is>
          <t>17 November 1993</t>
        </is>
      </c>
      <c r="I190" s="2" t="n">
        <v>46257</v>
      </c>
      <c r="J190" t="inlineStr">
        <is>
          <t>Disetujui</t>
        </is>
      </c>
      <c r="K190" t="n">
        <v>60</v>
      </c>
      <c r="L190" t="inlineStr">
        <is>
          <t>23 Agustus 2026</t>
        </is>
      </c>
      <c r="M190" t="inlineStr">
        <is>
          <t>Konstruksi Gedung Pendidikan</t>
        </is>
      </c>
      <c r="N190" t="inlineStr">
        <is>
          <t>K</t>
        </is>
      </c>
      <c r="O190" t="inlineStr">
        <is>
          <t>20230801</t>
        </is>
      </c>
      <c r="P190" t="inlineStr">
        <is>
          <t>Sumatera Utara</t>
        </is>
      </c>
      <c r="Q190" t="inlineStr"/>
    </row>
    <row r="191">
      <c r="A191" t="inlineStr">
        <is>
          <t>SELARAS CEMERLANG</t>
        </is>
      </c>
      <c r="B191" t="inlineStr">
        <is>
          <t>Kab. Jombang</t>
        </is>
      </c>
      <c r="C191" t="inlineStr">
        <is>
          <t>08123531915</t>
        </is>
      </c>
      <c r="D191" t="inlineStr">
        <is>
          <t>selarascemerlang@gmail.com</t>
        </is>
      </c>
      <c r="E191" t="inlineStr">
        <is>
          <t>https://lpjk.pu.go.id/search-badan-usaha-detail/VklmQlJiQjhaNG9XekNubURUWG54QT09</t>
        </is>
      </c>
      <c r="F191" t="n">
        <v>1</v>
      </c>
      <c r="G191" t="inlineStr">
        <is>
          <t>BG006</t>
        </is>
      </c>
      <c r="H191" t="inlineStr">
        <is>
          <t>8 Maret 2023</t>
        </is>
      </c>
      <c r="I191" s="2" t="n">
        <v>46257</v>
      </c>
      <c r="J191" t="inlineStr">
        <is>
          <t>Disetujui</t>
        </is>
      </c>
      <c r="K191" t="n">
        <v>60</v>
      </c>
      <c r="L191" t="inlineStr">
        <is>
          <t>23 Agustus 2026</t>
        </is>
      </c>
      <c r="M191" t="inlineStr">
        <is>
          <t>Konstruksi Gedung Pendidikan</t>
        </is>
      </c>
      <c r="N191" t="inlineStr">
        <is>
          <t>K</t>
        </is>
      </c>
      <c r="O191" t="inlineStr">
        <is>
          <t>20230811</t>
        </is>
      </c>
      <c r="P191" t="inlineStr">
        <is>
          <t>Jawa Timur</t>
        </is>
      </c>
      <c r="Q191" t="inlineStr"/>
    </row>
    <row r="192">
      <c r="A192" t="inlineStr">
        <is>
          <t>SENTOSA LIFE</t>
        </is>
      </c>
      <c r="B192" t="inlineStr">
        <is>
          <t>Kab. Landak</t>
        </is>
      </c>
      <c r="C192" t="inlineStr">
        <is>
          <t>081230266421</t>
        </is>
      </c>
      <c r="D192" t="inlineStr">
        <is>
          <t>handekanelson1@gmail.com</t>
        </is>
      </c>
      <c r="E192" t="inlineStr">
        <is>
          <t>https://lpjk.pu.go.id/search-badan-usaha-detail/bnhsRVAxVWtMZnpFeENHVkY1US9WUT09</t>
        </is>
      </c>
      <c r="F192" t="n">
        <v>1</v>
      </c>
      <c r="G192" t="inlineStr">
        <is>
          <t>BS001</t>
        </is>
      </c>
      <c r="H192" t="inlineStr">
        <is>
          <t>29 Desember 2015</t>
        </is>
      </c>
      <c r="I192" s="2" t="n">
        <v>46257</v>
      </c>
      <c r="J192" t="inlineStr">
        <is>
          <t>Disetujui</t>
        </is>
      </c>
      <c r="K192" t="n">
        <v>60</v>
      </c>
      <c r="L192" t="inlineStr">
        <is>
          <t>23 Agustus 2026</t>
        </is>
      </c>
      <c r="M192" t="inlineStr">
        <is>
          <t>Konstruksi Bangunan Sipil Jalan</t>
        </is>
      </c>
      <c r="N192" t="inlineStr">
        <is>
          <t>K</t>
        </is>
      </c>
      <c r="O192" t="inlineStr">
        <is>
          <t>20230824</t>
        </is>
      </c>
      <c r="P192" t="inlineStr">
        <is>
          <t>Kalimantan Barat</t>
        </is>
      </c>
      <c r="Q192" t="inlineStr"/>
    </row>
    <row r="193">
      <c r="A193" t="inlineStr">
        <is>
          <t>SETIAWAN MANDIRI</t>
        </is>
      </c>
      <c r="B193" t="inlineStr">
        <is>
          <t>Kab. Tuban</t>
        </is>
      </c>
      <c r="C193" t="inlineStr">
        <is>
          <t>085258907167</t>
        </is>
      </c>
      <c r="D193" t="inlineStr">
        <is>
          <t>cv.setiawanmandiri@outlook.com</t>
        </is>
      </c>
      <c r="E193" t="inlineStr">
        <is>
          <t>https://lpjk.pu.go.id/search-badan-usaha-detail/N2ZSZ1BTUE9jMnhHS05uenJtSHFQUT09</t>
        </is>
      </c>
      <c r="F193" t="n">
        <v>1</v>
      </c>
      <c r="G193" t="inlineStr">
        <is>
          <t>BS001</t>
        </is>
      </c>
      <c r="H193" t="inlineStr">
        <is>
          <t>6 Oktober 2016</t>
        </is>
      </c>
      <c r="I193" s="2" t="n">
        <v>46257</v>
      </c>
      <c r="J193" t="inlineStr">
        <is>
          <t>Disetujui</t>
        </is>
      </c>
      <c r="K193" t="n">
        <v>60</v>
      </c>
      <c r="L193" t="inlineStr">
        <is>
          <t>23 Agustus 2026</t>
        </is>
      </c>
      <c r="M193" t="inlineStr">
        <is>
          <t>Konstruksi Bangunan Sipil Jalan</t>
        </is>
      </c>
      <c r="N193" t="inlineStr">
        <is>
          <t>K</t>
        </is>
      </c>
      <c r="O193" t="inlineStr">
        <is>
          <t>20230820</t>
        </is>
      </c>
      <c r="P193" t="inlineStr">
        <is>
          <t>Jawa Timur</t>
        </is>
      </c>
      <c r="Q193" t="inlineStr"/>
    </row>
    <row r="194">
      <c r="A194" t="inlineStr">
        <is>
          <t>SINERGI PROPERTI PRATAMA</t>
        </is>
      </c>
      <c r="B194" t="inlineStr">
        <is>
          <t>Kota Adm. Jakarta Selatan</t>
        </is>
      </c>
      <c r="C194" t="inlineStr">
        <is>
          <t>02173910767</t>
        </is>
      </c>
      <c r="D194" t="inlineStr">
        <is>
          <t>sinergi.pp@gmail.com</t>
        </is>
      </c>
      <c r="E194" t="inlineStr">
        <is>
          <t>https://lpjk.pu.go.id/search-badan-usaha-detail/RzhsU085MEdINlFRY3BMMk5Iemc3QT09</t>
        </is>
      </c>
      <c r="F194" t="n">
        <v>1</v>
      </c>
      <c r="G194" t="inlineStr">
        <is>
          <t>BG009</t>
        </is>
      </c>
      <c r="H194" t="inlineStr">
        <is>
          <t>25 Maret 2015</t>
        </is>
      </c>
      <c r="I194" s="2" t="n">
        <v>46257</v>
      </c>
      <c r="J194" t="inlineStr">
        <is>
          <t>Disetujui</t>
        </is>
      </c>
      <c r="K194" t="n">
        <v>60</v>
      </c>
      <c r="L194" t="inlineStr">
        <is>
          <t>23 Agustus 2026</t>
        </is>
      </c>
      <c r="M194" t="inlineStr">
        <is>
          <t>Konstruksi Gedung Lainnya</t>
        </is>
      </c>
      <c r="N194" t="inlineStr">
        <is>
          <t>M</t>
        </is>
      </c>
      <c r="O194" t="inlineStr">
        <is>
          <t>20230823</t>
        </is>
      </c>
      <c r="P194" t="inlineStr">
        <is>
          <t>DKI Jakarta</t>
        </is>
      </c>
      <c r="Q194" t="inlineStr"/>
    </row>
    <row r="195">
      <c r="A195" t="inlineStr">
        <is>
          <t>SUGIHARTO</t>
        </is>
      </c>
      <c r="B195" t="inlineStr">
        <is>
          <t>Kab. Gresik</t>
        </is>
      </c>
      <c r="C195" t="inlineStr">
        <is>
          <t>081945385444</t>
        </is>
      </c>
      <c r="D195" t="inlineStr">
        <is>
          <t>sugihartocvgresik@gmail.com</t>
        </is>
      </c>
      <c r="E195" t="inlineStr">
        <is>
          <t>https://lpjk.pu.go.id/search-badan-usaha-detail/NjhUbkdUNFZCUGtCWDQ3Rmw0L05mdz09</t>
        </is>
      </c>
      <c r="F195" t="n">
        <v>1</v>
      </c>
      <c r="G195" t="inlineStr">
        <is>
          <t>BS002</t>
        </is>
      </c>
      <c r="H195" t="inlineStr">
        <is>
          <t>7 Maret 2022</t>
        </is>
      </c>
      <c r="I195" s="2" t="n">
        <v>46257</v>
      </c>
      <c r="J195" t="inlineStr">
        <is>
          <t>Disetujui</t>
        </is>
      </c>
      <c r="K195" t="n">
        <v>60</v>
      </c>
      <c r="L195" t="inlineStr">
        <is>
          <t>23 Agustus 2026</t>
        </is>
      </c>
      <c r="M195" t="inlineStr">
        <is>
          <t>Bangunan Sipil Jembatan, Jalan Layang, Fly Over, dan Underpass</t>
        </is>
      </c>
      <c r="N195" t="inlineStr">
        <is>
          <t>K</t>
        </is>
      </c>
      <c r="O195" t="inlineStr">
        <is>
          <t>20230809</t>
        </is>
      </c>
      <c r="P195" t="inlineStr">
        <is>
          <t>Jawa Timur</t>
        </is>
      </c>
      <c r="Q195" t="inlineStr"/>
    </row>
    <row r="196">
      <c r="A196" t="inlineStr">
        <is>
          <t>SUMBER ABADI</t>
        </is>
      </c>
      <c r="B196" t="inlineStr">
        <is>
          <t>Kota Malang</t>
        </is>
      </c>
      <c r="C196" t="inlineStr">
        <is>
          <t>081131108181</t>
        </is>
      </c>
      <c r="D196" t="inlineStr">
        <is>
          <t>cvsumberabadi2015@gmail.com</t>
        </is>
      </c>
      <c r="E196" t="inlineStr">
        <is>
          <t>https://lpjk.pu.go.id/search-badan-usaha-detail/M1A2NnJnZm51S25JL1cxNWVsOGhkdz09</t>
        </is>
      </c>
      <c r="F196" t="n">
        <v>1</v>
      </c>
      <c r="G196" t="inlineStr">
        <is>
          <t>BS005</t>
        </is>
      </c>
      <c r="H196" t="inlineStr">
        <is>
          <t>8 Juli 2015</t>
        </is>
      </c>
      <c r="I196" s="2" t="n">
        <v>46257</v>
      </c>
      <c r="J196" t="inlineStr">
        <is>
          <t>Disetujui</t>
        </is>
      </c>
      <c r="K196" t="n">
        <v>60</v>
      </c>
      <c r="L196" t="inlineStr">
        <is>
          <t>23 Agustus 2026</t>
        </is>
      </c>
      <c r="M196" t="inlineStr">
        <is>
          <t>Konstruksi Bangunan Sipil Pengolahan Air Bersih</t>
        </is>
      </c>
      <c r="N196" t="inlineStr">
        <is>
          <t>K</t>
        </is>
      </c>
      <c r="O196" t="inlineStr">
        <is>
          <t>20230707</t>
        </is>
      </c>
      <c r="P196" t="inlineStr">
        <is>
          <t>Jawa Timur</t>
        </is>
      </c>
      <c r="Q196" t="inlineStr"/>
    </row>
    <row r="197">
      <c r="A197" t="inlineStr">
        <is>
          <t>SUMBER JADI</t>
        </is>
      </c>
      <c r="B197" t="inlineStr">
        <is>
          <t>Kab. Karangasem</t>
        </is>
      </c>
      <c r="C197" t="inlineStr">
        <is>
          <t>081338018356</t>
        </is>
      </c>
      <c r="D197" t="inlineStr">
        <is>
          <t>sumberjadiku16@yahoo.com</t>
        </is>
      </c>
      <c r="E197" t="inlineStr">
        <is>
          <t>https://lpjk.pu.go.id/search-badan-usaha-detail/d2w3cUxsUWZOMmMzdll6cnN5UWtuUT09</t>
        </is>
      </c>
      <c r="F197" t="n">
        <v>1</v>
      </c>
      <c r="G197" t="inlineStr">
        <is>
          <t>BS001</t>
        </is>
      </c>
      <c r="H197" t="inlineStr">
        <is>
          <t>16 Oktober 1990</t>
        </is>
      </c>
      <c r="I197" s="2" t="n">
        <v>46257</v>
      </c>
      <c r="J197" t="inlineStr">
        <is>
          <t>Disetujui</t>
        </is>
      </c>
      <c r="K197" t="n">
        <v>60</v>
      </c>
      <c r="L197" t="inlineStr">
        <is>
          <t>23 Agustus 2026</t>
        </is>
      </c>
      <c r="M197" t="inlineStr">
        <is>
          <t>Konstruksi Bangunan Sipil Jalan</t>
        </is>
      </c>
      <c r="N197" t="inlineStr">
        <is>
          <t>K</t>
        </is>
      </c>
      <c r="O197" t="inlineStr">
        <is>
          <t>20230517</t>
        </is>
      </c>
      <c r="P197" t="inlineStr">
        <is>
          <t>Bali</t>
        </is>
      </c>
      <c r="Q197" t="inlineStr"/>
    </row>
    <row r="198">
      <c r="A198" t="inlineStr">
        <is>
          <t>SUN ENERGI PROPERTI</t>
        </is>
      </c>
      <c r="B198" t="inlineStr">
        <is>
          <t>Kab. Banjar</t>
        </is>
      </c>
      <c r="C198" t="inlineStr">
        <is>
          <t>081351144060</t>
        </is>
      </c>
      <c r="D198" t="inlineStr">
        <is>
          <t>alifindoku@gmail.com</t>
        </is>
      </c>
      <c r="E198" t="inlineStr">
        <is>
          <t>https://lpjk.pu.go.id/search-badan-usaha-detail/RFFxdVhtZ21FbVpTVElTNjV0M0lsUT09</t>
        </is>
      </c>
      <c r="F198" t="n">
        <v>3</v>
      </c>
      <c r="G198" t="inlineStr">
        <is>
          <t>BG002, BG006, BS005</t>
        </is>
      </c>
      <c r="H198" t="inlineStr">
        <is>
          <t>3 Mei 2023</t>
        </is>
      </c>
      <c r="I198" s="2" t="n">
        <v>46257</v>
      </c>
      <c r="J198" t="inlineStr">
        <is>
          <t>Disetujui</t>
        </is>
      </c>
      <c r="K198" t="n">
        <v>60</v>
      </c>
      <c r="L198" t="inlineStr">
        <is>
          <t>23 Agustus 2026</t>
        </is>
      </c>
      <c r="M198" t="inlineStr">
        <is>
          <t>Konstruksi Bangunan Sipil Pengolahan Air Bersih, Konstruksi Gedung Pendidikan, Konstruksi Gedung Perkantoran</t>
        </is>
      </c>
      <c r="N198" t="inlineStr">
        <is>
          <t>K</t>
        </is>
      </c>
      <c r="O198" t="inlineStr">
        <is>
          <t>20230814, 20230819</t>
        </is>
      </c>
      <c r="P198" t="inlineStr">
        <is>
          <t>Kalimantan Selatan</t>
        </is>
      </c>
      <c r="Q198" t="inlineStr"/>
    </row>
    <row r="199">
      <c r="A199" t="inlineStr">
        <is>
          <t>SURYA AGUNG NUGRAHA</t>
        </is>
      </c>
      <c r="B199" t="inlineStr">
        <is>
          <t>Kota Medan</t>
        </is>
      </c>
      <c r="C199" t="inlineStr">
        <is>
          <t>08116222280</t>
        </is>
      </c>
      <c r="D199" t="inlineStr">
        <is>
          <t>sankontraktor@gmail.com</t>
        </is>
      </c>
      <c r="E199" t="inlineStr">
        <is>
          <t>https://lpjk.pu.go.id/search-badan-usaha-detail/cGp3L2RMc2VHdUQ5ZVhsUW95Q0FVdz09</t>
        </is>
      </c>
      <c r="F199" t="n">
        <v>1</v>
      </c>
      <c r="G199" t="inlineStr">
        <is>
          <t>BG001</t>
        </is>
      </c>
      <c r="H199" t="inlineStr">
        <is>
          <t>17 Februari 2023</t>
        </is>
      </c>
      <c r="I199" s="2" t="n">
        <v>46257</v>
      </c>
      <c r="J199" t="inlineStr">
        <is>
          <t>Disetujui</t>
        </is>
      </c>
      <c r="K199" t="n">
        <v>60</v>
      </c>
      <c r="L199" t="inlineStr">
        <is>
          <t>23 Agustus 2026</t>
        </is>
      </c>
      <c r="M199" t="inlineStr">
        <is>
          <t>Konstruksi Gedung Hunian</t>
        </is>
      </c>
      <c r="N199" t="inlineStr">
        <is>
          <t>K</t>
        </is>
      </c>
      <c r="O199" t="inlineStr">
        <is>
          <t>20230818</t>
        </is>
      </c>
      <c r="P199" t="inlineStr">
        <is>
          <t>Sumatera Utara</t>
        </is>
      </c>
      <c r="Q199" t="inlineStr"/>
    </row>
    <row r="200">
      <c r="A200" t="inlineStr">
        <is>
          <t>SURYA ANDHIRA</t>
        </is>
      </c>
      <c r="B200" t="inlineStr">
        <is>
          <t>Kota Surabaya</t>
        </is>
      </c>
      <c r="C200" t="inlineStr">
        <is>
          <t>0317315285</t>
        </is>
      </c>
      <c r="D200" t="inlineStr">
        <is>
          <t>surya.andhira21@gmail.com</t>
        </is>
      </c>
      <c r="E200" t="inlineStr">
        <is>
          <t>https://lpjk.pu.go.id/search-badan-usaha-detail/YVpyV2tnTWNQS0M1d2VUcmowancrQT09</t>
        </is>
      </c>
      <c r="F200" t="n">
        <v>1</v>
      </c>
      <c r="G200" t="inlineStr">
        <is>
          <t>BS002</t>
        </is>
      </c>
      <c r="H200" t="inlineStr">
        <is>
          <t>15 Februari 2021</t>
        </is>
      </c>
      <c r="I200" s="2" t="n">
        <v>46257</v>
      </c>
      <c r="J200" t="inlineStr">
        <is>
          <t>Disetujui</t>
        </is>
      </c>
      <c r="K200" t="n">
        <v>60</v>
      </c>
      <c r="L200" t="inlineStr">
        <is>
          <t>23 Agustus 2026</t>
        </is>
      </c>
      <c r="M200" t="inlineStr">
        <is>
          <t>Bangunan Sipil Jembatan, Jalan Layang, Fly Over, dan Underpass</t>
        </is>
      </c>
      <c r="N200" t="inlineStr">
        <is>
          <t>K</t>
        </is>
      </c>
      <c r="O200" t="inlineStr">
        <is>
          <t>20230810</t>
        </is>
      </c>
      <c r="P200" t="inlineStr">
        <is>
          <t>Jawa Timur</t>
        </is>
      </c>
      <c r="Q200" t="inlineStr"/>
    </row>
    <row r="201">
      <c r="A201" t="inlineStr">
        <is>
          <t>SURYA ANUGRAH</t>
        </is>
      </c>
      <c r="B201" t="inlineStr">
        <is>
          <t>Kota Samarinda</t>
        </is>
      </c>
      <c r="C201" t="inlineStr">
        <is>
          <t>085246009570</t>
        </is>
      </c>
      <c r="D201" t="inlineStr">
        <is>
          <t>suryaanugrah0130@gmail.com</t>
        </is>
      </c>
      <c r="E201" t="inlineStr">
        <is>
          <t>https://lpjk.pu.go.id/search-badan-usaha-detail/NGVNNU0vblhiL1JjaWw2N0R0ZWhydz09</t>
        </is>
      </c>
      <c r="F201" t="n">
        <v>3</v>
      </c>
      <c r="G201" t="inlineStr">
        <is>
          <t>RK001, RK002, RK003</t>
        </is>
      </c>
      <c r="H201" t="inlineStr">
        <is>
          <t>31 Januari 2019</t>
        </is>
      </c>
      <c r="I201" s="2" t="n">
        <v>46257</v>
      </c>
      <c r="J201" t="inlineStr">
        <is>
          <t>Disetujui</t>
        </is>
      </c>
      <c r="K201" t="n">
        <v>60</v>
      </c>
      <c r="L201" t="inlineStr">
        <is>
          <t>23 Agustus 2026</t>
        </is>
      </c>
      <c r="M201" t="inlineStr">
        <is>
          <t>Jasa Rekayasa Konstruksi Bangunan Gedung Hunian dan Non Hunian, Jasa Rekayasa Pekerjaan Teknik Sipil Sumber Daya Air, Jasa Rekayasa Pekerjaan Teknik Sipil Transportasi</t>
        </is>
      </c>
      <c r="N201" t="inlineStr">
        <is>
          <t>K</t>
        </is>
      </c>
      <c r="O201" t="inlineStr">
        <is>
          <t>20230810, 20230811</t>
        </is>
      </c>
      <c r="P201" t="inlineStr">
        <is>
          <t>Kalimantan Timur</t>
        </is>
      </c>
      <c r="Q201" t="inlineStr"/>
    </row>
    <row r="202">
      <c r="A202" t="inlineStr">
        <is>
          <t>SURYA DHARMA</t>
        </is>
      </c>
      <c r="B202" t="inlineStr">
        <is>
          <t>Kota Pontianak</t>
        </is>
      </c>
      <c r="C202" t="inlineStr">
        <is>
          <t>081256961591</t>
        </is>
      </c>
      <c r="D202" t="inlineStr">
        <is>
          <t>suryadh4rma54@gmail.com</t>
        </is>
      </c>
      <c r="E202" t="inlineStr">
        <is>
          <t>https://lpjk.pu.go.id/search-badan-usaha-detail/Zkx2Ui9RQXIyOFhLREVnQmV3OGtMdz09</t>
        </is>
      </c>
      <c r="F202" t="n">
        <v>1</v>
      </c>
      <c r="G202" t="inlineStr">
        <is>
          <t>BS001</t>
        </is>
      </c>
      <c r="H202" t="inlineStr">
        <is>
          <t>23 Januari 2018</t>
        </is>
      </c>
      <c r="I202" s="2" t="n">
        <v>46257</v>
      </c>
      <c r="J202" t="inlineStr">
        <is>
          <t>Disetujui</t>
        </is>
      </c>
      <c r="K202" t="n">
        <v>60</v>
      </c>
      <c r="L202" t="inlineStr">
        <is>
          <t>23 Agustus 2026</t>
        </is>
      </c>
      <c r="M202" t="inlineStr">
        <is>
          <t>Konstruksi Bangunan Sipil Jalan</t>
        </is>
      </c>
      <c r="N202" t="inlineStr">
        <is>
          <t>K</t>
        </is>
      </c>
      <c r="O202" t="inlineStr">
        <is>
          <t>20230726</t>
        </is>
      </c>
      <c r="P202" t="inlineStr">
        <is>
          <t>Kalimantan Barat</t>
        </is>
      </c>
      <c r="Q202" t="inlineStr"/>
    </row>
    <row r="203">
      <c r="A203" t="inlineStr">
        <is>
          <t>SURYA KHARISMA SENTOSA</t>
        </is>
      </c>
      <c r="B203" t="inlineStr">
        <is>
          <t>Kota Medan</t>
        </is>
      </c>
      <c r="C203" t="inlineStr">
        <is>
          <t>081376942976</t>
        </is>
      </c>
      <c r="D203" t="inlineStr">
        <is>
          <t>cv.suryakharismasentosa@gmail.com</t>
        </is>
      </c>
      <c r="E203" t="inlineStr">
        <is>
          <t>https://lpjk.pu.go.id/search-badan-usaha-detail/a3huZ2NqVUlSU0R5azNFU0pkQTdndz09</t>
        </is>
      </c>
      <c r="F203" t="n">
        <v>2</v>
      </c>
      <c r="G203" t="inlineStr">
        <is>
          <t>BG003, BS001</t>
        </is>
      </c>
      <c r="H203" t="inlineStr">
        <is>
          <t>12 Mei 2023</t>
        </is>
      </c>
      <c r="I203" s="2" t="n">
        <v>46257</v>
      </c>
      <c r="J203" t="inlineStr">
        <is>
          <t>Pencabutan</t>
        </is>
      </c>
      <c r="K203" t="n">
        <v>60</v>
      </c>
      <c r="L203" t="inlineStr">
        <is>
          <t>23 Agustus 2026</t>
        </is>
      </c>
      <c r="M203" t="inlineStr">
        <is>
          <t>Konstruksi Bangunan Sipil Jalan, Konstruksi Gedung Industri</t>
        </is>
      </c>
      <c r="N203" t="inlineStr">
        <is>
          <t>K</t>
        </is>
      </c>
      <c r="O203" t="inlineStr">
        <is>
          <t>20230823</t>
        </is>
      </c>
      <c r="P203" t="inlineStr">
        <is>
          <t>Sumatera Utara</t>
        </is>
      </c>
      <c r="Q203" t="inlineStr"/>
    </row>
    <row r="204">
      <c r="A204" t="inlineStr">
        <is>
          <t>SURYA LESTARI</t>
        </is>
      </c>
      <c r="B204" t="inlineStr">
        <is>
          <t>Kota Pekanbaru</t>
        </is>
      </c>
      <c r="C204" t="inlineStr">
        <is>
          <t>082169837359</t>
        </is>
      </c>
      <c r="D204" t="inlineStr">
        <is>
          <t>sally_fatma70@yahoo.com</t>
        </is>
      </c>
      <c r="E204" t="inlineStr">
        <is>
          <t>https://lpjk.pu.go.id/search-badan-usaha-detail/MXNRd1ZIR0JTZ3hnYTRCVDF6STh4dz09</t>
        </is>
      </c>
      <c r="F204" t="n">
        <v>2</v>
      </c>
      <c r="G204" t="inlineStr">
        <is>
          <t>BG006, BG008</t>
        </is>
      </c>
      <c r="H204" t="inlineStr">
        <is>
          <t>18 Februari 1999</t>
        </is>
      </c>
      <c r="I204" s="2" t="n">
        <v>46257</v>
      </c>
      <c r="J204" t="inlineStr">
        <is>
          <t>Disetujui</t>
        </is>
      </c>
      <c r="K204" t="n">
        <v>60</v>
      </c>
      <c r="L204" t="inlineStr">
        <is>
          <t>23 Agustus 2026</t>
        </is>
      </c>
      <c r="M204" t="inlineStr">
        <is>
          <t>Konstruksi Gedung Pendidikan, Konstruksi Gedung Tempat Hiburan dan Olahraga</t>
        </is>
      </c>
      <c r="N204" t="inlineStr">
        <is>
          <t>K</t>
        </is>
      </c>
      <c r="O204" t="inlineStr">
        <is>
          <t>20230815</t>
        </is>
      </c>
      <c r="P204" t="inlineStr">
        <is>
          <t>Riau</t>
        </is>
      </c>
      <c r="Q204" t="inlineStr"/>
    </row>
    <row r="205">
      <c r="A205" t="inlineStr">
        <is>
          <t>SURYA PAPUA JAYA</t>
        </is>
      </c>
      <c r="B205" t="inlineStr">
        <is>
          <t>Kota Sorong</t>
        </is>
      </c>
      <c r="C205" t="inlineStr">
        <is>
          <t>081247472274</t>
        </is>
      </c>
      <c r="D205" t="inlineStr">
        <is>
          <t>cv.suryapapuajaya22@gmail.com</t>
        </is>
      </c>
      <c r="E205" t="inlineStr">
        <is>
          <t>https://lpjk.pu.go.id/search-badan-usaha-detail/ZElKaVJmVjZUOUFOT05Yc2dnUWEwQT09</t>
        </is>
      </c>
      <c r="F205" t="n">
        <v>4</v>
      </c>
      <c r="G205" t="inlineStr">
        <is>
          <t>BG002, BG005, BG006, BS001</t>
        </is>
      </c>
      <c r="H205" t="inlineStr">
        <is>
          <t>15 Februari 2022</t>
        </is>
      </c>
      <c r="I205" s="2" t="n">
        <v>46257</v>
      </c>
      <c r="J205" t="inlineStr">
        <is>
          <t>Pencabutan</t>
        </is>
      </c>
      <c r="K205" t="n">
        <v>60</v>
      </c>
      <c r="L205" t="inlineStr">
        <is>
          <t>23 Agustus 2026</t>
        </is>
      </c>
      <c r="M205" t="inlineStr">
        <is>
          <t>Konstruksi Bangunan Sipil Jalan, Konstruksi Gedung Kesehatan, Konstruksi Gedung Pendidikan, Konstruksi Gedung Perkantoran</t>
        </is>
      </c>
      <c r="N205" t="inlineStr">
        <is>
          <t>K</t>
        </is>
      </c>
      <c r="O205" t="inlineStr">
        <is>
          <t>20230802, 20230803</t>
        </is>
      </c>
      <c r="P205" t="inlineStr">
        <is>
          <t>Papua Barat</t>
        </is>
      </c>
      <c r="Q205" t="inlineStr"/>
    </row>
    <row r="206">
      <c r="A206" t="inlineStr">
        <is>
          <t>SURYALI</t>
        </is>
      </c>
      <c r="B206" t="inlineStr">
        <is>
          <t>Kota Padang</t>
        </is>
      </c>
      <c r="C206" t="inlineStr">
        <is>
          <t>085274555979</t>
        </is>
      </c>
      <c r="D206" t="inlineStr">
        <is>
          <t>suryalipt@gmail.com</t>
        </is>
      </c>
      <c r="E206" t="inlineStr">
        <is>
          <t>https://lpjk.pu.go.id/search-badan-usaha-detail/UVBIUFZRNXVteS9pcmtuVkNCbWgydz09</t>
        </is>
      </c>
      <c r="F206" t="n">
        <v>1</v>
      </c>
      <c r="G206" t="inlineStr">
        <is>
          <t>BG009</t>
        </is>
      </c>
      <c r="H206" t="inlineStr">
        <is>
          <t>5 Oktober 2013</t>
        </is>
      </c>
      <c r="I206" s="2" t="n">
        <v>46257</v>
      </c>
      <c r="J206" t="inlineStr">
        <is>
          <t>Pencabutan</t>
        </is>
      </c>
      <c r="K206" t="n">
        <v>60</v>
      </c>
      <c r="L206" t="inlineStr">
        <is>
          <t>23 Agustus 2026</t>
        </is>
      </c>
      <c r="M206" t="inlineStr">
        <is>
          <t>Konstruksi Gedung Lainnya</t>
        </is>
      </c>
      <c r="N206" t="inlineStr">
        <is>
          <t>K</t>
        </is>
      </c>
      <c r="O206" t="inlineStr">
        <is>
          <t>20230814</t>
        </is>
      </c>
      <c r="P206" t="inlineStr">
        <is>
          <t>Sumatera Barat</t>
        </is>
      </c>
      <c r="Q206" t="inlineStr"/>
    </row>
    <row r="207">
      <c r="A207" t="inlineStr">
        <is>
          <t>TIGA SEKAWAN MAKMUR</t>
        </is>
      </c>
      <c r="B207" t="inlineStr">
        <is>
          <t>Kota Jambi</t>
        </is>
      </c>
      <c r="C207" t="inlineStr">
        <is>
          <t>082280554556</t>
        </is>
      </c>
      <c r="D207" t="inlineStr">
        <is>
          <t>tigasekawanmakmur@gmail.com</t>
        </is>
      </c>
      <c r="E207" t="inlineStr">
        <is>
          <t>https://lpjk.pu.go.id/search-badan-usaha-detail/andFSzVYNWlqdWp2Z0g2Y3ZwZ2NGdz09</t>
        </is>
      </c>
      <c r="F207" t="n">
        <v>1</v>
      </c>
      <c r="G207" t="inlineStr">
        <is>
          <t>BS010</t>
        </is>
      </c>
      <c r="H207" t="inlineStr">
        <is>
          <t>23 November 2018</t>
        </is>
      </c>
      <c r="I207" s="2" t="n">
        <v>46257</v>
      </c>
      <c r="J207" t="inlineStr">
        <is>
          <t>Disetujui</t>
        </is>
      </c>
      <c r="K207" t="n">
        <v>60</v>
      </c>
      <c r="L207" t="inlineStr">
        <is>
          <t>23 Agustus 2026</t>
        </is>
      </c>
      <c r="M207" t="inlineStr">
        <is>
          <t>Konstruksi Bangunan Prasarana Sumber Daya Air</t>
        </is>
      </c>
      <c r="N207" t="inlineStr">
        <is>
          <t>K</t>
        </is>
      </c>
      <c r="O207" t="inlineStr">
        <is>
          <t>20230627</t>
        </is>
      </c>
      <c r="P207" t="inlineStr">
        <is>
          <t>Jambi</t>
        </is>
      </c>
      <c r="Q207" t="inlineStr"/>
    </row>
    <row r="208">
      <c r="A208" t="inlineStr">
        <is>
          <t>TIGATO SOLUSI TEKNIK</t>
        </is>
      </c>
      <c r="B208" t="inlineStr">
        <is>
          <t>Kab. Kendal</t>
        </is>
      </c>
      <c r="C208" t="inlineStr">
        <is>
          <t>0294644236</t>
        </is>
      </c>
      <c r="D208" t="inlineStr">
        <is>
          <t>eko.xkuto@gmail.com</t>
        </is>
      </c>
      <c r="E208" t="inlineStr">
        <is>
          <t>https://lpjk.pu.go.id/search-badan-usaha-detail/bDhjbnRmZXJ0TnB2SHp1WmFhRzlrUT09</t>
        </is>
      </c>
      <c r="F208" t="n">
        <v>1</v>
      </c>
      <c r="G208" t="inlineStr">
        <is>
          <t>RK002</t>
        </is>
      </c>
      <c r="H208" t="inlineStr">
        <is>
          <t>1 Februari 2017</t>
        </is>
      </c>
      <c r="I208" s="2" t="n">
        <v>46257</v>
      </c>
      <c r="J208" t="inlineStr">
        <is>
          <t>Disetujui</t>
        </is>
      </c>
      <c r="K208" t="n">
        <v>60</v>
      </c>
      <c r="L208" t="inlineStr">
        <is>
          <t>23 Agustus 2026</t>
        </is>
      </c>
      <c r="M208" t="inlineStr">
        <is>
          <t>Jasa Rekayasa Pekerjaan Teknik Sipil Sumber Daya Air</t>
        </is>
      </c>
      <c r="N208" t="inlineStr">
        <is>
          <t>K</t>
        </is>
      </c>
      <c r="O208" t="inlineStr">
        <is>
          <t>20230814</t>
        </is>
      </c>
      <c r="P208" t="inlineStr">
        <is>
          <t>Jawa Tengah</t>
        </is>
      </c>
      <c r="Q208" t="inlineStr"/>
    </row>
    <row r="209">
      <c r="A209" t="inlineStr">
        <is>
          <t>TIRTA DHARMA SEGAH</t>
        </is>
      </c>
      <c r="B209" t="inlineStr">
        <is>
          <t>Kab. Berau</t>
        </is>
      </c>
      <c r="C209" t="inlineStr">
        <is>
          <t>082214225777</t>
        </is>
      </c>
      <c r="D209" t="inlineStr">
        <is>
          <t>tirtadarmasegah@gmail.com</t>
        </is>
      </c>
      <c r="E209" t="inlineStr">
        <is>
          <t>https://lpjk.pu.go.id/search-badan-usaha-detail/OUlsWWpqaUJybXhzcjFzaTVMZUJDZz09</t>
        </is>
      </c>
      <c r="F209" t="n">
        <v>2</v>
      </c>
      <c r="G209" t="inlineStr">
        <is>
          <t>BS001, BS004</t>
        </is>
      </c>
      <c r="H209" t="inlineStr">
        <is>
          <t>24 Maret 2016</t>
        </is>
      </c>
      <c r="I209" s="2" t="n">
        <v>46257</v>
      </c>
      <c r="J209" t="inlineStr">
        <is>
          <t>Disetujui</t>
        </is>
      </c>
      <c r="K209" t="n">
        <v>60</v>
      </c>
      <c r="L209" t="inlineStr">
        <is>
          <t>23 Agustus 2026</t>
        </is>
      </c>
      <c r="M209" t="inlineStr">
        <is>
          <t>Konstruksi Bangunan Sipil Jalan, Konstruksi Jaringan Irigasi dan Drainase</t>
        </is>
      </c>
      <c r="N209" t="inlineStr">
        <is>
          <t>M</t>
        </is>
      </c>
      <c r="O209" t="inlineStr">
        <is>
          <t>20230723</t>
        </is>
      </c>
      <c r="P209" t="inlineStr">
        <is>
          <t>Kalimantan Timur</t>
        </is>
      </c>
      <c r="Q209" t="inlineStr"/>
    </row>
    <row r="210">
      <c r="A210" t="inlineStr">
        <is>
          <t>TRI KARYA</t>
        </is>
      </c>
      <c r="B210" t="inlineStr">
        <is>
          <t>Kab. Bandung</t>
        </is>
      </c>
      <c r="C210" t="inlineStr">
        <is>
          <t>08179236233</t>
        </is>
      </c>
      <c r="D210" t="inlineStr">
        <is>
          <t>trikaryacv123@gmail.com</t>
        </is>
      </c>
      <c r="E210" t="inlineStr">
        <is>
          <t>https://lpjk.pu.go.id/search-badan-usaha-detail/dlUrWXRJU1NvelNZaWdMMFlwYkYzdz09</t>
        </is>
      </c>
      <c r="F210" t="n">
        <v>3</v>
      </c>
      <c r="G210" t="inlineStr">
        <is>
          <t>BG005, BG006, BG009</t>
        </is>
      </c>
      <c r="H210" t="inlineStr">
        <is>
          <t>12 Maret 2009</t>
        </is>
      </c>
      <c r="I210" s="2" t="n">
        <v>46257</v>
      </c>
      <c r="J210" t="inlineStr">
        <is>
          <t>Disetujui</t>
        </is>
      </c>
      <c r="K210" t="n">
        <v>60</v>
      </c>
      <c r="L210" t="inlineStr">
        <is>
          <t>23 Agustus 2026</t>
        </is>
      </c>
      <c r="M210" t="inlineStr">
        <is>
          <t>Konstruksi Gedung Kesehatan, Konstruksi Gedung Lainnya, Konstruksi Gedung Pendidikan</t>
        </is>
      </c>
      <c r="N210" t="inlineStr">
        <is>
          <t>K</t>
        </is>
      </c>
      <c r="O210" t="inlineStr">
        <is>
          <t>20230824</t>
        </is>
      </c>
      <c r="P210" t="inlineStr">
        <is>
          <t>Jawa Barat</t>
        </is>
      </c>
      <c r="Q210" t="inlineStr"/>
    </row>
    <row r="211">
      <c r="A211" t="inlineStr">
        <is>
          <t>TRI SUKSES BAROKAH</t>
        </is>
      </c>
      <c r="B211" t="inlineStr">
        <is>
          <t>Kab. Gresik</t>
        </is>
      </c>
      <c r="C211" t="inlineStr">
        <is>
          <t>082141661352</t>
        </is>
      </c>
      <c r="D211" t="inlineStr">
        <is>
          <t>cv.trisuksesbarokah@gmail.com</t>
        </is>
      </c>
      <c r="E211" t="inlineStr">
        <is>
          <t>https://lpjk.pu.go.id/search-badan-usaha-detail/Qk5xSE43ZzRHVlN2NWRpQUhPZUdZQT09</t>
        </is>
      </c>
      <c r="F211" t="n">
        <v>2</v>
      </c>
      <c r="G211" t="inlineStr">
        <is>
          <t>BG002, BG006</t>
        </is>
      </c>
      <c r="H211" t="inlineStr">
        <is>
          <t>3 Februari 2016</t>
        </is>
      </c>
      <c r="I211" s="2" t="n">
        <v>46257</v>
      </c>
      <c r="J211" t="inlineStr">
        <is>
          <t>Disetujui</t>
        </is>
      </c>
      <c r="K211" t="n">
        <v>60</v>
      </c>
      <c r="L211" t="inlineStr">
        <is>
          <t>23 Agustus 2026</t>
        </is>
      </c>
      <c r="M211" t="inlineStr">
        <is>
          <t>Konstruksi Gedung Pendidikan, Konstruksi Gedung Perkantoran</t>
        </is>
      </c>
      <c r="N211" t="inlineStr">
        <is>
          <t>K</t>
        </is>
      </c>
      <c r="O211" t="inlineStr">
        <is>
          <t>20230821, 20230822</t>
        </is>
      </c>
      <c r="P211" t="inlineStr">
        <is>
          <t>Jawa Timur</t>
        </is>
      </c>
      <c r="Q211" t="inlineStr"/>
    </row>
    <row r="212">
      <c r="A212" t="inlineStr">
        <is>
          <t>TRIJAYA TEKNIK</t>
        </is>
      </c>
      <c r="B212" t="inlineStr">
        <is>
          <t>Kota Cirebon</t>
        </is>
      </c>
      <c r="C212" t="inlineStr">
        <is>
          <t>0812 2819 3711</t>
        </is>
      </c>
      <c r="D212" t="inlineStr">
        <is>
          <t>trijaya_t@yahoo.co.id</t>
        </is>
      </c>
      <c r="E212" t="inlineStr">
        <is>
          <t>https://lpjk.pu.go.id/search-badan-usaha-detail/V2Uzb3JsTGVUdWdyWHZKREJzbjlNdz09</t>
        </is>
      </c>
      <c r="F212" t="n">
        <v>3</v>
      </c>
      <c r="G212" t="inlineStr">
        <is>
          <t>BG001, BG004, BG008</t>
        </is>
      </c>
      <c r="H212" t="inlineStr">
        <is>
          <t>18 Desember 1995</t>
        </is>
      </c>
      <c r="I212" s="2" t="n">
        <v>46257</v>
      </c>
      <c r="J212" t="inlineStr">
        <is>
          <t>Disetujui</t>
        </is>
      </c>
      <c r="K212" t="n">
        <v>60</v>
      </c>
      <c r="L212" t="inlineStr">
        <is>
          <t>23 Agustus 2026</t>
        </is>
      </c>
      <c r="M212" t="inlineStr">
        <is>
          <t>Konstruksi Gedung Hunian, Konstruksi Gedung Perbelanjaan, Konstruksi Gedung Tempat Hiburan dan Olahraga</t>
        </is>
      </c>
      <c r="N212" t="inlineStr">
        <is>
          <t>K</t>
        </is>
      </c>
      <c r="O212" t="inlineStr">
        <is>
          <t>20230823</t>
        </is>
      </c>
      <c r="P212" t="inlineStr">
        <is>
          <t>Jawa Barat</t>
        </is>
      </c>
      <c r="Q212" t="inlineStr"/>
    </row>
    <row r="213">
      <c r="A213" t="inlineStr">
        <is>
          <t>TUAI SEJAHTERA</t>
        </is>
      </c>
      <c r="B213" t="inlineStr">
        <is>
          <t>Kab. Bandung</t>
        </is>
      </c>
      <c r="C213" t="inlineStr">
        <is>
          <t>0811201605</t>
        </is>
      </c>
      <c r="D213" t="inlineStr">
        <is>
          <t>cvtuaisejahtera@gmail.com</t>
        </is>
      </c>
      <c r="E213" t="inlineStr">
        <is>
          <t>https://lpjk.pu.go.id/search-badan-usaha-detail/MTdYeWxtRUxINGJwKzl5b1JFdE1QQT09</t>
        </is>
      </c>
      <c r="F213" t="n">
        <v>1</v>
      </c>
      <c r="G213" t="inlineStr">
        <is>
          <t>BS004</t>
        </is>
      </c>
      <c r="H213" t="inlineStr">
        <is>
          <t>20 Desember 2011</t>
        </is>
      </c>
      <c r="I213" s="2" t="n">
        <v>46257</v>
      </c>
      <c r="J213" t="inlineStr">
        <is>
          <t>Disetujui</t>
        </is>
      </c>
      <c r="K213" t="n">
        <v>60</v>
      </c>
      <c r="L213" t="inlineStr">
        <is>
          <t>23 Agustus 2026</t>
        </is>
      </c>
      <c r="M213" t="inlineStr">
        <is>
          <t>Konstruksi Jaringan Irigasi dan Drainase</t>
        </is>
      </c>
      <c r="N213" t="inlineStr">
        <is>
          <t>K</t>
        </is>
      </c>
      <c r="O213" t="inlineStr">
        <is>
          <t>20230816</t>
        </is>
      </c>
      <c r="P213" t="inlineStr">
        <is>
          <t>Jawa Barat</t>
        </is>
      </c>
      <c r="Q213" t="inlineStr"/>
    </row>
    <row r="214">
      <c r="A214" t="inlineStr">
        <is>
          <t>TUGU RAKSA MANDIRI</t>
        </is>
      </c>
      <c r="B214" t="inlineStr">
        <is>
          <t>Kab. Tangerang</t>
        </is>
      </c>
      <c r="C214" t="inlineStr">
        <is>
          <t>081218391246</t>
        </is>
      </c>
      <c r="D214" t="inlineStr">
        <is>
          <t>tuguraksamandiricv@gmail.com</t>
        </is>
      </c>
      <c r="E214" t="inlineStr">
        <is>
          <t>https://lpjk.pu.go.id/search-badan-usaha-detail/MmV5eEM4OWtOaHY3dlpjTU1XNE1EUT09</t>
        </is>
      </c>
      <c r="F214" t="n">
        <v>1</v>
      </c>
      <c r="G214" t="inlineStr">
        <is>
          <t>BG006</t>
        </is>
      </c>
      <c r="H214" t="inlineStr">
        <is>
          <t>22 April 2022</t>
        </is>
      </c>
      <c r="I214" s="2" t="n">
        <v>46257</v>
      </c>
      <c r="J214" t="inlineStr">
        <is>
          <t>Pencabutan</t>
        </is>
      </c>
      <c r="K214" t="n">
        <v>60</v>
      </c>
      <c r="L214" t="inlineStr">
        <is>
          <t>23 Agustus 2026</t>
        </is>
      </c>
      <c r="M214" t="inlineStr">
        <is>
          <t>Konstruksi Gedung Pendidikan</t>
        </is>
      </c>
      <c r="N214" t="inlineStr">
        <is>
          <t>K</t>
        </is>
      </c>
      <c r="O214" t="inlineStr">
        <is>
          <t>20230821</t>
        </is>
      </c>
      <c r="P214" t="inlineStr">
        <is>
          <t>Banten</t>
        </is>
      </c>
      <c r="Q214" t="inlineStr"/>
    </row>
    <row r="215">
      <c r="A215" t="inlineStr">
        <is>
          <t>USAHA MULTI GUNA</t>
        </is>
      </c>
      <c r="B215" t="inlineStr">
        <is>
          <t>Kota Semarang</t>
        </is>
      </c>
      <c r="C215" t="inlineStr">
        <is>
          <t>02476636993</t>
        </is>
      </c>
      <c r="D215" t="inlineStr">
        <is>
          <t>usahamultiguna.pt@gmail.com</t>
        </is>
      </c>
      <c r="E215" t="inlineStr">
        <is>
          <t>https://lpjk.pu.go.id/search-badan-usaha-detail/eU9wLzVYNjVlUkowOFQ2SlVDaTJPdz09</t>
        </is>
      </c>
      <c r="F215" t="n">
        <v>1</v>
      </c>
      <c r="G215" t="inlineStr">
        <is>
          <t>BG009</t>
        </is>
      </c>
      <c r="H215" t="inlineStr">
        <is>
          <t>29 Januari 2004</t>
        </is>
      </c>
      <c r="I215" s="2" t="n">
        <v>46257</v>
      </c>
      <c r="J215" t="inlineStr">
        <is>
          <t>Disetujui</t>
        </is>
      </c>
      <c r="K215" t="n">
        <v>60</v>
      </c>
      <c r="L215" t="inlineStr">
        <is>
          <t>23 Agustus 2026</t>
        </is>
      </c>
      <c r="M215" t="inlineStr">
        <is>
          <t>Konstruksi Gedung Lainnya</t>
        </is>
      </c>
      <c r="N215" t="inlineStr">
        <is>
          <t>M</t>
        </is>
      </c>
      <c r="O215" t="inlineStr">
        <is>
          <t>20230818</t>
        </is>
      </c>
      <c r="P215" t="inlineStr">
        <is>
          <t>Jawa Tengah</t>
        </is>
      </c>
      <c r="Q215" t="inlineStr"/>
    </row>
    <row r="216">
      <c r="A216" t="inlineStr">
        <is>
          <t>UTAMA TEKNIK</t>
        </is>
      </c>
      <c r="B216" t="inlineStr">
        <is>
          <t>Kota Makassar</t>
        </is>
      </c>
      <c r="C216" t="inlineStr">
        <is>
          <t>081355176909</t>
        </is>
      </c>
      <c r="D216" t="inlineStr">
        <is>
          <t>cv.utamateknik2021@gmail.com</t>
        </is>
      </c>
      <c r="E216" t="inlineStr">
        <is>
          <t>https://lpjk.pu.go.id/search-badan-usaha-detail/eVYzcEQ2emdjclVjUjJmRTBXWDUvdz09</t>
        </is>
      </c>
      <c r="F216" t="n">
        <v>1</v>
      </c>
      <c r="G216" t="inlineStr">
        <is>
          <t>BG008</t>
        </is>
      </c>
      <c r="H216" t="inlineStr">
        <is>
          <t>8 Januari 2016</t>
        </is>
      </c>
      <c r="I216" s="2" t="n">
        <v>46257</v>
      </c>
      <c r="J216" t="inlineStr">
        <is>
          <t>Disetujui</t>
        </is>
      </c>
      <c r="K216" t="n">
        <v>60</v>
      </c>
      <c r="L216" t="inlineStr">
        <is>
          <t>23 Agustus 2026</t>
        </is>
      </c>
      <c r="M216" t="inlineStr">
        <is>
          <t>Konstruksi Gedung Tempat Hiburan dan Olahraga</t>
        </is>
      </c>
      <c r="N216" t="inlineStr">
        <is>
          <t>K</t>
        </is>
      </c>
      <c r="O216" t="inlineStr">
        <is>
          <t>20230816</t>
        </is>
      </c>
      <c r="P216" t="inlineStr">
        <is>
          <t>Sulawesi Selatan</t>
        </is>
      </c>
      <c r="Q216" t="inlineStr"/>
    </row>
    <row r="217">
      <c r="A217" t="inlineStr">
        <is>
          <t>WIDYACONA</t>
        </is>
      </c>
      <c r="B217" t="inlineStr">
        <is>
          <t>Kota Samarinda</t>
        </is>
      </c>
      <c r="C217" t="inlineStr">
        <is>
          <t>0811553477</t>
        </is>
      </c>
      <c r="D217" t="inlineStr">
        <is>
          <t>widyacona1@yahoo.co.id</t>
        </is>
      </c>
      <c r="E217" t="inlineStr">
        <is>
          <t>https://lpjk.pu.go.id/search-badan-usaha-detail/M3lkZCs2SXQwOTVFenpZci9PYWs5QT09</t>
        </is>
      </c>
      <c r="F217" t="n">
        <v>4</v>
      </c>
      <c r="G217" t="inlineStr">
        <is>
          <t>AR001, AR002, AR003, RK001</t>
        </is>
      </c>
      <c r="H217" t="inlineStr">
        <is>
          <t>6 November 1985</t>
        </is>
      </c>
      <c r="I217" s="2" t="n">
        <v>46257</v>
      </c>
      <c r="J217" t="inlineStr">
        <is>
          <t>Disetujui</t>
        </is>
      </c>
      <c r="K217" t="n">
        <v>60</v>
      </c>
      <c r="L217" t="inlineStr">
        <is>
          <t>23 Agustus 2026</t>
        </is>
      </c>
      <c r="M217" t="inlineStr">
        <is>
          <t>Jasa Arsitektural Bangunan Gedung Hunian dan Non Hunian, Jasa Arsitektural Lainnya, Jasa Desain Interior pada Bangunan Gedung dan Bangunan Sipil, Jasa Rekayasa Konstruksi Bangunan Gedung Hunian dan Non Hunian</t>
        </is>
      </c>
      <c r="N217" t="inlineStr">
        <is>
          <t>K</t>
        </is>
      </c>
      <c r="O217" t="inlineStr">
        <is>
          <t>20230815</t>
        </is>
      </c>
      <c r="P217" t="inlineStr">
        <is>
          <t>Kalimantan Timur</t>
        </is>
      </c>
      <c r="Q217" t="inlineStr"/>
    </row>
    <row r="218">
      <c r="A218" t="inlineStr">
        <is>
          <t>WIRA BUANA</t>
        </is>
      </c>
      <c r="B218" t="inlineStr">
        <is>
          <t>Kota Medan</t>
        </is>
      </c>
      <c r="C218" t="inlineStr">
        <is>
          <t>082167386644</t>
        </is>
      </c>
      <c r="D218" t="inlineStr">
        <is>
          <t>c.buana41@yahoo.com</t>
        </is>
      </c>
      <c r="E218" t="inlineStr">
        <is>
          <t>https://lpjk.pu.go.id/search-badan-usaha-detail/S25FdzRxeXBhU0RVWCtpQkFuV2lsUT09</t>
        </is>
      </c>
      <c r="F218" t="n">
        <v>1</v>
      </c>
      <c r="G218" t="inlineStr">
        <is>
          <t>BG006</t>
        </is>
      </c>
      <c r="H218" t="inlineStr">
        <is>
          <t>17 Februari 2015</t>
        </is>
      </c>
      <c r="I218" s="2" t="n">
        <v>46257</v>
      </c>
      <c r="J218" t="inlineStr">
        <is>
          <t>Disetujui</t>
        </is>
      </c>
      <c r="K218" t="n">
        <v>60</v>
      </c>
      <c r="L218" t="inlineStr">
        <is>
          <t>23 Agustus 2026</t>
        </is>
      </c>
      <c r="M218" t="inlineStr">
        <is>
          <t>Konstruksi Gedung Pendidikan</t>
        </is>
      </c>
      <c r="N218" t="inlineStr">
        <is>
          <t>K</t>
        </is>
      </c>
      <c r="O218" t="inlineStr">
        <is>
          <t>20230823</t>
        </is>
      </c>
      <c r="P218" t="inlineStr">
        <is>
          <t>Sumatera Utara</t>
        </is>
      </c>
      <c r="Q218" t="inlineStr"/>
    </row>
    <row r="219">
      <c r="A219" t="inlineStr">
        <is>
          <t>WISANGGENI PUTRA MANDIRI</t>
        </is>
      </c>
      <c r="B219" t="inlineStr">
        <is>
          <t>Kab. Madiun</t>
        </is>
      </c>
      <c r="C219" t="inlineStr">
        <is>
          <t>082232526677</t>
        </is>
      </c>
      <c r="D219" t="inlineStr">
        <is>
          <t>wisanggeniputramandiri@gmail.com</t>
        </is>
      </c>
      <c r="E219" t="inlineStr">
        <is>
          <t>https://lpjk.pu.go.id/search-badan-usaha-detail/d3NlaU4xaHRQU3NLTUJQc3Q1Yi9IUT09</t>
        </is>
      </c>
      <c r="F219" t="n">
        <v>1</v>
      </c>
      <c r="G219" t="inlineStr">
        <is>
          <t>BG009</t>
        </is>
      </c>
      <c r="H219" t="inlineStr">
        <is>
          <t>4 Agustus 2022</t>
        </is>
      </c>
      <c r="I219" s="2" t="n">
        <v>46257</v>
      </c>
      <c r="J219" t="inlineStr">
        <is>
          <t>Disetujui</t>
        </is>
      </c>
      <c r="K219" t="n">
        <v>60</v>
      </c>
      <c r="L219" t="inlineStr">
        <is>
          <t>23 Agustus 2026</t>
        </is>
      </c>
      <c r="M219" t="inlineStr">
        <is>
          <t>Konstruksi Gedung Lainnya</t>
        </is>
      </c>
      <c r="N219" t="inlineStr">
        <is>
          <t>K</t>
        </is>
      </c>
      <c r="O219" t="inlineStr">
        <is>
          <t>20230821</t>
        </is>
      </c>
      <c r="P219" t="inlineStr">
        <is>
          <t>Jawa Timur</t>
        </is>
      </c>
      <c r="Q219" t="inlineStr"/>
    </row>
    <row r="220">
      <c r="A220" t="inlineStr">
        <is>
          <t>WIYASA KONSTRUKSINDO UTAMA</t>
        </is>
      </c>
      <c r="B220" t="inlineStr">
        <is>
          <t>Kota Makassar</t>
        </is>
      </c>
      <c r="C220" t="inlineStr">
        <is>
          <t>085239990921</t>
        </is>
      </c>
      <c r="D220" t="inlineStr">
        <is>
          <t>wiyasakonstruksindo@gmail.com</t>
        </is>
      </c>
      <c r="E220" t="inlineStr">
        <is>
          <t>https://lpjk.pu.go.id/search-badan-usaha-detail/ZFRmWEJCM3FnWUR2UXpqbUFObm1ldz09</t>
        </is>
      </c>
      <c r="F220" t="n">
        <v>2</v>
      </c>
      <c r="G220" t="inlineStr">
        <is>
          <t>BG002, BG006</t>
        </is>
      </c>
      <c r="H220" t="inlineStr">
        <is>
          <t>26 Januari 2023</t>
        </is>
      </c>
      <c r="I220" s="2" t="n">
        <v>46257</v>
      </c>
      <c r="J220" t="inlineStr">
        <is>
          <t>Disetujui</t>
        </is>
      </c>
      <c r="K220" t="n">
        <v>60</v>
      </c>
      <c r="L220" t="inlineStr">
        <is>
          <t>23 Agustus 2026</t>
        </is>
      </c>
      <c r="M220" t="inlineStr">
        <is>
          <t>Konstruksi Gedung Pendidikan, Konstruksi Gedung Perkantoran</t>
        </is>
      </c>
      <c r="N220" t="inlineStr">
        <is>
          <t>K</t>
        </is>
      </c>
      <c r="O220" t="inlineStr">
        <is>
          <t>20230719, 20230721</t>
        </is>
      </c>
      <c r="P220" t="inlineStr">
        <is>
          <t>Sulawesi Selatan</t>
        </is>
      </c>
      <c r="Q220" t="inlineStr"/>
    </row>
    <row r="221">
      <c r="A221" t="inlineStr">
        <is>
          <t>ZARA ARUMI PRATAMA</t>
        </is>
      </c>
      <c r="B221" t="inlineStr">
        <is>
          <t>Kota Banjar</t>
        </is>
      </c>
      <c r="C221" t="inlineStr">
        <is>
          <t>00000</t>
        </is>
      </c>
      <c r="D221" t="inlineStr">
        <is>
          <t>zaraarumipratama@gmail.com</t>
        </is>
      </c>
      <c r="E221" t="inlineStr">
        <is>
          <t>https://lpjk.pu.go.id/search-badan-usaha-detail/VEtVSVVTbkFqb0Q3RmtyaWRXaWhNQT09</t>
        </is>
      </c>
      <c r="F221" t="n">
        <v>1</v>
      </c>
      <c r="G221" t="inlineStr">
        <is>
          <t>BG006</t>
        </is>
      </c>
      <c r="H221" t="inlineStr">
        <is>
          <t>13 April 2023</t>
        </is>
      </c>
      <c r="I221" s="2" t="n">
        <v>46257</v>
      </c>
      <c r="J221" t="inlineStr">
        <is>
          <t>Disetujui</t>
        </is>
      </c>
      <c r="K221" t="n">
        <v>60</v>
      </c>
      <c r="L221" t="inlineStr">
        <is>
          <t>23 Agustus 2026</t>
        </is>
      </c>
      <c r="M221" t="inlineStr">
        <is>
          <t>Konstruksi Gedung Pendidikan</t>
        </is>
      </c>
      <c r="N221" t="inlineStr">
        <is>
          <t>K</t>
        </is>
      </c>
      <c r="O221" t="inlineStr">
        <is>
          <t>20230816</t>
        </is>
      </c>
      <c r="P221" t="inlineStr">
        <is>
          <t>Jawa Barat</t>
        </is>
      </c>
      <c r="Q22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03"/>
  <sheetViews>
    <sheetView workbookViewId="0">
      <selection activeCell="A1" sqref="A1"/>
    </sheetView>
  </sheetViews>
  <sheetFormatPr baseColWidth="8" defaultRowHeight="15"/>
  <cols>
    <col width="37" customWidth="1" min="1" max="1"/>
    <col width="25" customWidth="1" min="2" max="2"/>
    <col width="16" customWidth="1" min="3" max="3"/>
    <col width="45" customWidth="1" min="4" max="4"/>
    <col width="50" customWidth="1" min="5" max="5"/>
    <col width="18" customWidth="1" min="6" max="6"/>
    <col width="42" customWidth="1" min="7" max="7"/>
    <col width="20" customWidth="1" min="8" max="8"/>
    <col width="28" customWidth="1" min="9" max="9"/>
    <col width="23" customWidth="1" min="10" max="10"/>
    <col width="11" customWidth="1" min="11" max="11"/>
    <col width="17" customWidth="1" min="12" max="12"/>
    <col width="50" customWidth="1" min="13" max="13"/>
    <col width="13" customWidth="1" min="14" max="14"/>
    <col width="30" customWidth="1" min="15" max="15"/>
    <col width="21"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ARTA TAMA SINERGY</t>
        </is>
      </c>
      <c r="B2" t="inlineStr">
        <is>
          <t>Kota Adm. Jakarta Timur</t>
        </is>
      </c>
      <c r="C2" t="inlineStr">
        <is>
          <t>082178717272</t>
        </is>
      </c>
      <c r="D2" t="inlineStr">
        <is>
          <t>arta_mas@yahoo.com</t>
        </is>
      </c>
      <c r="E2" t="inlineStr">
        <is>
          <t>https://lpjk.pu.go.id/search-badan-usaha-detail/a0ZUZmd1a2k3S1NDbFFNUUQxTkxtZz09</t>
        </is>
      </c>
      <c r="F2" t="n">
        <v>1</v>
      </c>
      <c r="G2" t="inlineStr">
        <is>
          <t>BG009</t>
        </is>
      </c>
      <c r="H2" t="inlineStr">
        <is>
          <t>8 Februari 2019</t>
        </is>
      </c>
      <c r="I2" s="2" t="n">
        <v>46227</v>
      </c>
      <c r="J2" t="inlineStr">
        <is>
          <t>Pencabutan</t>
        </is>
      </c>
      <c r="K2" t="n">
        <v>30</v>
      </c>
      <c r="L2" t="inlineStr">
        <is>
          <t>24 Juli 2026</t>
        </is>
      </c>
      <c r="M2" t="inlineStr">
        <is>
          <t>Konstruksi Gedung Lainnya</t>
        </is>
      </c>
      <c r="N2" t="inlineStr">
        <is>
          <t>K</t>
        </is>
      </c>
      <c r="O2" t="inlineStr">
        <is>
          <t>20230713</t>
        </is>
      </c>
      <c r="P2" t="inlineStr">
        <is>
          <t>DKI Jakarta</t>
        </is>
      </c>
      <c r="Q2" s="3">
        <f>HYPERLINK("https://wa.me/6282178717272?text=*[Pengingat Masa Berlaku SBU ARTA TAMA SINERGY]*%0A%0AYth. Pimpinan ARTA TAMA SINERGY,%0AMohon izin menginformasikan status SBU Anda:%0A%0A📄 SBU: BG009%0A📅 Expired: 24 Juli 2026 (30 Hari Lagi)%0A%0AKami tim PT. ESDEA Assistance Management siap men-support proses perpanjangan segera agar administrasi proyek tidak terhambat%0A%0AApakah boleh saya bantu siapkan estimasi biaya dan waktu pengerjaannya?.", "Hubungi")</f>
        <v/>
      </c>
    </row>
    <row r="3">
      <c r="A3" t="inlineStr">
        <is>
          <t>BANGUN JAYA MANDIRI</t>
        </is>
      </c>
      <c r="B3" t="inlineStr">
        <is>
          <t>Kab. Bogor</t>
        </is>
      </c>
      <c r="C3" t="inlineStr">
        <is>
          <t>0</t>
        </is>
      </c>
      <c r="D3" t="inlineStr">
        <is>
          <t>bangunjm@yahoo.com</t>
        </is>
      </c>
      <c r="E3" t="inlineStr">
        <is>
          <t>https://lpjk.pu.go.id/search-badan-usaha-detail/ZTNhaVdFR0x3S3FCOVBrcmdtT3dtdz09</t>
        </is>
      </c>
      <c r="F3" t="n">
        <v>1</v>
      </c>
      <c r="G3" t="inlineStr">
        <is>
          <t>BG002</t>
        </is>
      </c>
      <c r="H3" t="inlineStr">
        <is>
          <t>31 Maret 2016</t>
        </is>
      </c>
      <c r="I3" s="2" t="n">
        <v>46227</v>
      </c>
      <c r="J3" t="inlineStr">
        <is>
          <t>Disetujui</t>
        </is>
      </c>
      <c r="K3" t="n">
        <v>30</v>
      </c>
      <c r="L3" t="inlineStr">
        <is>
          <t>24 Juli 2026</t>
        </is>
      </c>
      <c r="M3" t="inlineStr">
        <is>
          <t>Konstruksi Gedung Perkantoran</t>
        </is>
      </c>
      <c r="N3" t="inlineStr">
        <is>
          <t>K</t>
        </is>
      </c>
      <c r="O3" t="inlineStr">
        <is>
          <t>20230618</t>
        </is>
      </c>
      <c r="P3" t="inlineStr">
        <is>
          <t>Jawa Barat</t>
        </is>
      </c>
      <c r="Q3" s="3">
        <f>HYPERLINK("https://wa.me/62?text=*[Pengingat Masa Berlaku SBU BANGUN JAYA MANDIRI]*%0A%0AYth. Pimpinan BANGUN JAYA MANDIRI,%0AMohon izin menginformasikan status SBU Anda:%0A%0A📄 SBU: BG002%0A📅 Expired: 24 Juli 2026 (30 Hari Lagi)%0A%0AKami tim PT. ESDEA Assistance Management siap men-support proses perpanjangan segera agar administrasi proyek tidak terhambat%0A%0AApakah boleh saya bantu siapkan estimasi biaya dan waktu pengerjaannya?.", "Hubungi")</f>
        <v/>
      </c>
    </row>
    <row r="4">
      <c r="A4" t="inlineStr">
        <is>
          <t>BAROKAH KONSTRUKSI ENGINEERING</t>
        </is>
      </c>
      <c r="B4" t="inlineStr">
        <is>
          <t>Kab. Bogor</t>
        </is>
      </c>
      <c r="C4" t="inlineStr">
        <is>
          <t>081282572450</t>
        </is>
      </c>
      <c r="D4" t="inlineStr">
        <is>
          <t>pt.barokahkonstruksiengineering@outlook.com</t>
        </is>
      </c>
      <c r="E4" t="inlineStr">
        <is>
          <t>https://lpjk.pu.go.id/search-badan-usaha-detail/UU5teTZDc3ZSdXBZcCtVVUJnRXk4UT09</t>
        </is>
      </c>
      <c r="F4" t="n">
        <v>6</v>
      </c>
      <c r="G4" t="inlineStr">
        <is>
          <t>AR001, AR002, AR003</t>
        </is>
      </c>
      <c r="H4" t="inlineStr">
        <is>
          <t>17 Maret 2023</t>
        </is>
      </c>
      <c r="I4" s="2" t="n">
        <v>46227</v>
      </c>
      <c r="J4" t="inlineStr">
        <is>
          <t>Disetujui</t>
        </is>
      </c>
      <c r="K4" t="n">
        <v>30</v>
      </c>
      <c r="L4" t="inlineStr">
        <is>
          <t>24 Juli 2026</t>
        </is>
      </c>
      <c r="M4" t="inlineStr">
        <is>
          <t>Jasa Arsitektural Bangunan Gedung Hunian dan Non Hunian, Jasa Arsitektural Lainnya, Jasa Desain Interior pada Bangunan Gedung dan Bangunan Sipil</t>
        </is>
      </c>
      <c r="N4" t="inlineStr">
        <is>
          <t>K</t>
        </is>
      </c>
      <c r="O4" t="inlineStr">
        <is>
          <t>20220824, 20230710, 20230712</t>
        </is>
      </c>
      <c r="P4" t="inlineStr">
        <is>
          <t>Jawa Barat</t>
        </is>
      </c>
      <c r="Q4" s="3">
        <f>HYPERLINK("https://wa.me/6281282572450?text=*[Pengingat Masa Berlaku SBU BAROKAH KONSTRUKSI ENGINEERING]*%0A%0AYth. Pimpinan BAROKAH KONSTRUKSI ENGINEERING,%0AMohon izin menginformasikan status SBU Anda:%0A%0A📄 SBU: AR001, AR002, AR003%0A📅 Expired: 24 Juli 2026 (30 Hari Lagi)%0A%0AKami tim PT. ESDEA Assistance Management siap men-support proses perpanjangan segera agar administrasi proyek tidak terhambat%0A%0AApakah boleh saya bantu siapkan estimasi biaya dan waktu pengerjaannya?.", "Hubungi")</f>
        <v/>
      </c>
    </row>
    <row r="5">
      <c r="A5" t="inlineStr">
        <is>
          <t>BAROKAH SEJAHTERA</t>
        </is>
      </c>
      <c r="B5" t="inlineStr">
        <is>
          <t>Kota Bogor</t>
        </is>
      </c>
      <c r="C5" t="inlineStr">
        <is>
          <t>087873102616</t>
        </is>
      </c>
      <c r="D5" t="inlineStr">
        <is>
          <t>sejahterabarokah2@gmail.com</t>
        </is>
      </c>
      <c r="E5" t="inlineStr">
        <is>
          <t>https://lpjk.pu.go.id/search-badan-usaha-detail/TzRYdDdlU3BWK0l0Smo3UnFwSWd2Zz09</t>
        </is>
      </c>
      <c r="F5" t="n">
        <v>2</v>
      </c>
      <c r="G5" t="inlineStr">
        <is>
          <t>BS004</t>
        </is>
      </c>
      <c r="H5" t="inlineStr">
        <is>
          <t>18 Februari 2015</t>
        </is>
      </c>
      <c r="I5" s="2" t="n">
        <v>46227</v>
      </c>
      <c r="J5" t="inlineStr">
        <is>
          <t>Disetujui</t>
        </is>
      </c>
      <c r="K5" t="n">
        <v>30</v>
      </c>
      <c r="L5" t="inlineStr">
        <is>
          <t>24 Juli 2026</t>
        </is>
      </c>
      <c r="M5" t="inlineStr">
        <is>
          <t>Konstruksi Jaringan Irigasi dan Drainase</t>
        </is>
      </c>
      <c r="N5" t="inlineStr">
        <is>
          <t>K</t>
        </is>
      </c>
      <c r="O5" t="inlineStr">
        <is>
          <t>20230712</t>
        </is>
      </c>
      <c r="P5" t="inlineStr">
        <is>
          <t>Jawa Barat</t>
        </is>
      </c>
      <c r="Q5" s="3">
        <f>HYPERLINK("https://wa.me/6287873102616?text=*[Pengingat Masa Berlaku SBU BAROKAH SEJAHTERA]*%0A%0AYth. Pimpinan BAROKAH SEJAHTERA,%0AMohon izin menginformasikan status SBU Anda:%0A%0A📄 SBU: BS004%0A📅 Expired: 24 Juli 2026 (30 Hari Lagi)%0A%0AKami tim PT. ESDEA Assistance Management siap men-support proses perpanjangan segera agar administrasi proyek tidak terhambat%0A%0AApakah boleh saya bantu siapkan estimasi biaya dan waktu pengerjaannya?.", "Hubungi")</f>
        <v/>
      </c>
    </row>
    <row r="6">
      <c r="A6" t="inlineStr">
        <is>
          <t>BINTANG SAHABAT CEMERLANG</t>
        </is>
      </c>
      <c r="B6" t="inlineStr">
        <is>
          <t>Kab. Bekasi</t>
        </is>
      </c>
      <c r="C6" t="inlineStr">
        <is>
          <t>08567422409</t>
        </is>
      </c>
      <c r="D6" t="inlineStr">
        <is>
          <t>bintangsahabatcemerlang@gmail.com</t>
        </is>
      </c>
      <c r="E6" t="inlineStr">
        <is>
          <t>https://lpjk.pu.go.id/search-badan-usaha-detail/WmhVTFBjc2JlZU1EelgzM0UzbTdqZz09</t>
        </is>
      </c>
      <c r="F6" t="n">
        <v>2</v>
      </c>
      <c r="G6" t="inlineStr">
        <is>
          <t>BS002</t>
        </is>
      </c>
      <c r="H6" t="inlineStr">
        <is>
          <t>20 Juni 2013</t>
        </is>
      </c>
      <c r="I6" s="2" t="n">
        <v>46227</v>
      </c>
      <c r="J6" t="inlineStr">
        <is>
          <t>Disetujui</t>
        </is>
      </c>
      <c r="K6" t="n">
        <v>30</v>
      </c>
      <c r="L6" t="inlineStr">
        <is>
          <t>24 Juli 2026</t>
        </is>
      </c>
      <c r="M6" t="inlineStr">
        <is>
          <t>Bangunan Sipil Jembatan, Jalan Layang, Fly Over, dan Underpass</t>
        </is>
      </c>
      <c r="N6" t="inlineStr">
        <is>
          <t>K</t>
        </is>
      </c>
      <c r="O6" t="inlineStr">
        <is>
          <t>20230715</t>
        </is>
      </c>
      <c r="P6" t="inlineStr">
        <is>
          <t>Jawa Barat</t>
        </is>
      </c>
      <c r="Q6" s="3">
        <f>HYPERLINK("https://wa.me/628567422409?text=*[Pengingat Masa Berlaku SBU BINTANG SAHABAT CEMERLANG]*%0A%0AYth. Pimpinan BINTANG SAHABAT CEMERLANG,%0AMohon izin menginformasikan status SBU Anda:%0A%0A📄 SBU: BS002%0A📅 Expired: 24 Juli 2026 (30 Hari Lagi)%0A%0AKami tim PT. ESDEA Assistance Management siap men-support proses perpanjangan segera agar administrasi proyek tidak terhambat%0A%0AApakah boleh saya bantu siapkan estimasi biaya dan waktu pengerjaannya?.", "Hubungi")</f>
        <v/>
      </c>
    </row>
    <row r="7">
      <c r="A7" t="inlineStr">
        <is>
          <t>KAIZEN ENJINIRING NUSANTARA</t>
        </is>
      </c>
      <c r="B7" t="inlineStr">
        <is>
          <t>Kota Depok</t>
        </is>
      </c>
      <c r="C7" t="inlineStr">
        <is>
          <t>02122975899</t>
        </is>
      </c>
      <c r="D7" t="inlineStr">
        <is>
          <t>subhan@kaizenkonsultan.co.id</t>
        </is>
      </c>
      <c r="E7" t="inlineStr">
        <is>
          <t>https://lpjk.pu.go.id/search-badan-usaha-detail/V0RLenB3YjhkUUhUR3VJV2pnbzY0Zz09</t>
        </is>
      </c>
      <c r="F7" t="n">
        <v>1</v>
      </c>
      <c r="G7" t="inlineStr">
        <is>
          <t>RK001</t>
        </is>
      </c>
      <c r="H7" t="inlineStr">
        <is>
          <t>7 Oktober 2013</t>
        </is>
      </c>
      <c r="I7" s="2" t="n">
        <v>46227</v>
      </c>
      <c r="J7" t="inlineStr">
        <is>
          <t>Disetujui</t>
        </is>
      </c>
      <c r="K7" t="n">
        <v>30</v>
      </c>
      <c r="L7" t="inlineStr">
        <is>
          <t>24 Juli 2026</t>
        </is>
      </c>
      <c r="M7" t="inlineStr">
        <is>
          <t>Jasa Rekayasa Konstruksi Bangunan Gedung Hunian dan Non Hunian</t>
        </is>
      </c>
      <c r="N7" t="inlineStr">
        <is>
          <t>K</t>
        </is>
      </c>
      <c r="O7" t="inlineStr">
        <is>
          <t>20230712</t>
        </is>
      </c>
      <c r="P7" t="inlineStr">
        <is>
          <t>Jawa Barat</t>
        </is>
      </c>
      <c r="Q7" t="inlineStr"/>
    </row>
    <row r="8">
      <c r="A8" t="inlineStr">
        <is>
          <t>LESTARIJAYA EKAPERTIWI</t>
        </is>
      </c>
      <c r="B8" t="inlineStr">
        <is>
          <t>Kota Adm. Jakarta Timur</t>
        </is>
      </c>
      <c r="C8" t="inlineStr">
        <is>
          <t>0218561278</t>
        </is>
      </c>
      <c r="D8" t="inlineStr">
        <is>
          <t>pt.lestarijaya_ekapertiwi@yahoo.co.id</t>
        </is>
      </c>
      <c r="E8" t="inlineStr">
        <is>
          <t>https://lpjk.pu.go.id/search-badan-usaha-detail/MG5vM0pJRjEwdHR4RFRoK3dOTUN4QT09</t>
        </is>
      </c>
      <c r="F8" t="n">
        <v>2</v>
      </c>
      <c r="G8" t="inlineStr">
        <is>
          <t>BG002, BG009</t>
        </is>
      </c>
      <c r="H8" t="inlineStr">
        <is>
          <t>8 Agustus 1990</t>
        </is>
      </c>
      <c r="I8" s="2" t="n">
        <v>46227</v>
      </c>
      <c r="J8" t="inlineStr">
        <is>
          <t>Disetujui</t>
        </is>
      </c>
      <c r="K8" t="n">
        <v>30</v>
      </c>
      <c r="L8" t="inlineStr">
        <is>
          <t>24 Juli 2026</t>
        </is>
      </c>
      <c r="M8" t="inlineStr">
        <is>
          <t>Konstruksi Gedung Lainnya, Konstruksi Gedung Perkantoran</t>
        </is>
      </c>
      <c r="N8" t="inlineStr">
        <is>
          <t>K</t>
        </is>
      </c>
      <c r="O8" t="inlineStr">
        <is>
          <t>20230720</t>
        </is>
      </c>
      <c r="P8" t="inlineStr">
        <is>
          <t>DKI Jakarta</t>
        </is>
      </c>
      <c r="Q8" t="inlineStr"/>
    </row>
    <row r="9">
      <c r="A9" t="inlineStr">
        <is>
          <t>LIBERTY KARYA MANDIRI</t>
        </is>
      </c>
      <c r="B9" t="inlineStr">
        <is>
          <t>Kota Depok</t>
        </is>
      </c>
      <c r="C9" t="inlineStr">
        <is>
          <t>-</t>
        </is>
      </c>
      <c r="D9" t="inlineStr">
        <is>
          <t>libertykaryamandiri@gmail.com</t>
        </is>
      </c>
      <c r="E9" t="inlineStr">
        <is>
          <t>https://lpjk.pu.go.id/search-badan-usaha-detail/MlRlNkR4c090NUZDajB5MDVwL1N2Zz09</t>
        </is>
      </c>
      <c r="F9" t="n">
        <v>1</v>
      </c>
      <c r="G9" t="inlineStr">
        <is>
          <t>BS005</t>
        </is>
      </c>
      <c r="H9" t="inlineStr">
        <is>
          <t>7 Februari 2020</t>
        </is>
      </c>
      <c r="I9" s="2" t="n">
        <v>46227</v>
      </c>
      <c r="J9" t="inlineStr">
        <is>
          <t>Disetujui</t>
        </is>
      </c>
      <c r="K9" t="n">
        <v>30</v>
      </c>
      <c r="L9" t="inlineStr">
        <is>
          <t>24 Juli 2026</t>
        </is>
      </c>
      <c r="M9" t="inlineStr">
        <is>
          <t>Konstruksi Bangunan Sipil Pengolahan Air Bersih</t>
        </is>
      </c>
      <c r="N9" t="inlineStr">
        <is>
          <t>K</t>
        </is>
      </c>
      <c r="O9" t="inlineStr">
        <is>
          <t>20230724</t>
        </is>
      </c>
      <c r="P9" t="inlineStr">
        <is>
          <t>Jawa Barat</t>
        </is>
      </c>
      <c r="Q9" t="inlineStr"/>
    </row>
    <row r="10">
      <c r="A10" t="inlineStr">
        <is>
          <t>MA'MUR HMC</t>
        </is>
      </c>
      <c r="B10" t="inlineStr">
        <is>
          <t>Kab. Bogor</t>
        </is>
      </c>
      <c r="C10" t="inlineStr">
        <is>
          <t>085710980320</t>
        </is>
      </c>
      <c r="D10" t="inlineStr">
        <is>
          <t>mamurhmc2@gmail.com</t>
        </is>
      </c>
      <c r="E10" t="inlineStr">
        <is>
          <t>https://lpjk.pu.go.id/search-badan-usaha-detail/a2lvSzloZnc4QUtlckZocHo5aGNhdz09</t>
        </is>
      </c>
      <c r="F10" t="n">
        <v>2</v>
      </c>
      <c r="G10" t="inlineStr">
        <is>
          <t>BG006, BS004</t>
        </is>
      </c>
      <c r="H10" t="inlineStr">
        <is>
          <t>22 Agustus 2005</t>
        </is>
      </c>
      <c r="I10" s="2" t="n">
        <v>46227</v>
      </c>
      <c r="J10" t="inlineStr">
        <is>
          <t>Disetujui</t>
        </is>
      </c>
      <c r="K10" t="n">
        <v>30</v>
      </c>
      <c r="L10" t="inlineStr">
        <is>
          <t>24 Juli 2026</t>
        </is>
      </c>
      <c r="M10" t="inlineStr">
        <is>
          <t>Konstruksi Gedung Pendidikan, Konstruksi Jaringan Irigasi dan Drainase</t>
        </is>
      </c>
      <c r="N10" t="inlineStr">
        <is>
          <t>K</t>
        </is>
      </c>
      <c r="O10" t="inlineStr">
        <is>
          <t>20230715, 20230718</t>
        </is>
      </c>
      <c r="P10" t="inlineStr">
        <is>
          <t>Jawa Barat</t>
        </is>
      </c>
      <c r="Q10" s="3">
        <f>HYPERLINK("https://wa.me/6285710980320?text=*[Pengingat Masa Berlaku SBU MA'MUR HMC]*%0A%0AYth. Pimpinan MA'MUR HMC,%0AMohon izin menginformasikan status SBU Anda:%0A%0A📄 SBU: BG006, BS004%0A📅 Expired: 24 Juli 2026 (30 Hari Lagi)%0A%0AKami tim PT. ESDEA Assistance Management siap men-support proses perpanjangan segera agar administrasi proyek tidak terhambat%0A%0AApakah boleh saya bantu siapkan estimasi biaya dan waktu pengerjaannya?.", "Hubungi")</f>
        <v/>
      </c>
    </row>
    <row r="11">
      <c r="A11" t="inlineStr">
        <is>
          <t>MARKO BUDI MANDIRI</t>
        </is>
      </c>
      <c r="B11" t="inlineStr">
        <is>
          <t>Kota Adm. Jakarta Timur</t>
        </is>
      </c>
      <c r="C11" t="inlineStr">
        <is>
          <t>0214308633</t>
        </is>
      </c>
      <c r="D11" t="inlineStr">
        <is>
          <t>markobudimandiri@yahoo.com</t>
        </is>
      </c>
      <c r="E11" t="inlineStr">
        <is>
          <t>https://lpjk.pu.go.id/search-badan-usaha-detail/WFdyNThqNG82QmJ0YmNLb3Y4MkV3Zz09</t>
        </is>
      </c>
      <c r="F11" t="n">
        <v>2</v>
      </c>
      <c r="G11" t="inlineStr">
        <is>
          <t>BS004</t>
        </is>
      </c>
      <c r="H11" t="inlineStr">
        <is>
          <t>3 Oktober 1986</t>
        </is>
      </c>
      <c r="I11" s="2" t="n">
        <v>46227</v>
      </c>
      <c r="J11" t="inlineStr">
        <is>
          <t>Disetujui</t>
        </is>
      </c>
      <c r="K11" t="n">
        <v>30</v>
      </c>
      <c r="L11" t="inlineStr">
        <is>
          <t>24 Juli 2026</t>
        </is>
      </c>
      <c r="M11" t="inlineStr">
        <is>
          <t>Konstruksi Jaringan Irigasi dan Drainase</t>
        </is>
      </c>
      <c r="N11" t="inlineStr">
        <is>
          <t>K</t>
        </is>
      </c>
      <c r="O11" t="inlineStr">
        <is>
          <t>20230619</t>
        </is>
      </c>
      <c r="P11" t="inlineStr">
        <is>
          <t>DKI Jakarta</t>
        </is>
      </c>
      <c r="Q11" t="inlineStr"/>
    </row>
    <row r="12">
      <c r="A12" t="inlineStr">
        <is>
          <t>META WAHYU</t>
        </is>
      </c>
      <c r="B12" t="inlineStr">
        <is>
          <t>Kota Depok</t>
        </is>
      </c>
      <c r="C12" t="inlineStr">
        <is>
          <t>0218742753</t>
        </is>
      </c>
      <c r="D12" t="inlineStr">
        <is>
          <t>metawahyu_glass@yahoo.com</t>
        </is>
      </c>
      <c r="E12" t="inlineStr">
        <is>
          <t>https://lpjk.pu.go.id/search-badan-usaha-detail/MUhvVml2dWNUd1dMcUNFbGdCSURZQT09</t>
        </is>
      </c>
      <c r="F12" t="n">
        <v>1</v>
      </c>
      <c r="G12" t="inlineStr">
        <is>
          <t>BG002</t>
        </is>
      </c>
      <c r="H12" t="inlineStr">
        <is>
          <t>27 Oktober 2004</t>
        </is>
      </c>
      <c r="I12" s="2" t="n">
        <v>46227</v>
      </c>
      <c r="J12" t="inlineStr">
        <is>
          <t>Disetujui</t>
        </is>
      </c>
      <c r="K12" t="n">
        <v>30</v>
      </c>
      <c r="L12" t="inlineStr">
        <is>
          <t>24 Juli 2026</t>
        </is>
      </c>
      <c r="M12" t="inlineStr">
        <is>
          <t>Konstruksi Gedung Perkantoran</t>
        </is>
      </c>
      <c r="N12" t="inlineStr">
        <is>
          <t>K</t>
        </is>
      </c>
      <c r="O12" t="inlineStr">
        <is>
          <t>20230717</t>
        </is>
      </c>
      <c r="P12" t="inlineStr">
        <is>
          <t>Jawa Barat</t>
        </is>
      </c>
      <c r="Q12" t="inlineStr"/>
    </row>
    <row r="13">
      <c r="A13" t="inlineStr">
        <is>
          <t>MITRAGONDOLA KREASIPRIMA</t>
        </is>
      </c>
      <c r="B13" t="inlineStr">
        <is>
          <t>Kab. Bekasi</t>
        </is>
      </c>
      <c r="C13" t="inlineStr">
        <is>
          <t>02189912052</t>
        </is>
      </c>
      <c r="D13" t="inlineStr">
        <is>
          <t>info@mitragondola.co.id</t>
        </is>
      </c>
      <c r="E13" t="inlineStr">
        <is>
          <t>https://lpjk.pu.go.id/search-badan-usaha-detail/UDdrUE1hWDczRzhnbHhQUmp5NndmUT09</t>
        </is>
      </c>
      <c r="F13" t="n">
        <v>2</v>
      </c>
      <c r="G13" t="inlineStr">
        <is>
          <t>IN001</t>
        </is>
      </c>
      <c r="H13" t="inlineStr">
        <is>
          <t>12 September 1995</t>
        </is>
      </c>
      <c r="I13" s="2" t="n">
        <v>46227</v>
      </c>
      <c r="J13" t="inlineStr">
        <is>
          <t>Pembekuan</t>
        </is>
      </c>
      <c r="K13" t="n">
        <v>30</v>
      </c>
      <c r="L13" t="inlineStr">
        <is>
          <t>24 Juli 2026</t>
        </is>
      </c>
      <c r="M13" t="inlineStr">
        <is>
          <t>Instalasi Mekanikal</t>
        </is>
      </c>
      <c r="N13" t="inlineStr">
        <is>
          <t>Spesialis</t>
        </is>
      </c>
      <c r="O13" t="inlineStr">
        <is>
          <t>20230717</t>
        </is>
      </c>
      <c r="P13" t="inlineStr">
        <is>
          <t>Jawa Barat</t>
        </is>
      </c>
      <c r="Q13" t="inlineStr"/>
    </row>
    <row r="14">
      <c r="A14" t="inlineStr">
        <is>
          <t>PAL MOROO LAND</t>
        </is>
      </c>
      <c r="B14" t="inlineStr">
        <is>
          <t>Kab. Bogor</t>
        </is>
      </c>
      <c r="C14" t="inlineStr">
        <is>
          <t>08111013909</t>
        </is>
      </c>
      <c r="D14" t="inlineStr">
        <is>
          <t>contactus.palmoroo@gmail.com</t>
        </is>
      </c>
      <c r="E14" t="inlineStr">
        <is>
          <t>https://lpjk.pu.go.id/search-badan-usaha-detail/RWY1T0x2R3VBQ1BJK0RCU3o4S2RSZz09</t>
        </is>
      </c>
      <c r="F14" t="n">
        <v>2</v>
      </c>
      <c r="G14" t="inlineStr">
        <is>
          <t>BS001</t>
        </is>
      </c>
      <c r="H14" t="inlineStr">
        <is>
          <t>26 April 2021</t>
        </is>
      </c>
      <c r="I14" s="2" t="n">
        <v>46227</v>
      </c>
      <c r="J14" t="inlineStr">
        <is>
          <t>Pencabutan</t>
        </is>
      </c>
      <c r="K14" t="n">
        <v>30</v>
      </c>
      <c r="L14" t="inlineStr">
        <is>
          <t>24 Juli 2026</t>
        </is>
      </c>
      <c r="M14" t="inlineStr">
        <is>
          <t>Konstruksi Bangunan Sipil Jalan</t>
        </is>
      </c>
      <c r="N14" t="inlineStr">
        <is>
          <t>K</t>
        </is>
      </c>
      <c r="O14" t="inlineStr">
        <is>
          <t>20230712</t>
        </is>
      </c>
      <c r="P14" t="inlineStr">
        <is>
          <t>Jawa Barat</t>
        </is>
      </c>
      <c r="Q14" s="3">
        <f>HYPERLINK("https://wa.me/628111013909?text=*[Pengingat Masa Berlaku SBU PAL MOROO LAND]*%0A%0AYth. Pimpinan PAL MOROO LAND,%0AMohon izin menginformasikan status SBU Anda:%0A%0A📄 SBU: BS001%0A📅 Expired: 24 Juli 2026 (30 Hari Lagi)%0A%0AKami tim PT. ESDEA Assistance Management siap men-support proses perpanjangan segera agar administrasi proyek tidak terhambat%0A%0AApakah boleh saya bantu siapkan estimasi biaya dan waktu pengerjaannya?.", "Hubungi")</f>
        <v/>
      </c>
    </row>
    <row r="15">
      <c r="A15" t="inlineStr">
        <is>
          <t>REPAPESI GREAT RIVER</t>
        </is>
      </c>
      <c r="B15" t="inlineStr">
        <is>
          <t>Kota Bekasi</t>
        </is>
      </c>
      <c r="C15" t="inlineStr">
        <is>
          <t>089654762755</t>
        </is>
      </c>
      <c r="D15" t="inlineStr">
        <is>
          <t>info@repapesi.com</t>
        </is>
      </c>
      <c r="E15" t="inlineStr">
        <is>
          <t>https://lpjk.pu.go.id/search-badan-usaha-detail/L0dhcU4wK29zZHE4cEdtZWI0NGdudz09</t>
        </is>
      </c>
      <c r="F15" t="n">
        <v>2</v>
      </c>
      <c r="G15" t="inlineStr">
        <is>
          <t>BS011, BS013</t>
        </is>
      </c>
      <c r="H15" t="inlineStr">
        <is>
          <t>8 November 2012</t>
        </is>
      </c>
      <c r="I15" s="2" t="n">
        <v>46227</v>
      </c>
      <c r="J15" t="inlineStr">
        <is>
          <t>Pencabutan</t>
        </is>
      </c>
      <c r="K15" t="n">
        <v>30</v>
      </c>
      <c r="L15" t="inlineStr">
        <is>
          <t>24 Juli 2026</t>
        </is>
      </c>
      <c r="M15" t="inlineStr">
        <is>
          <t>Konstruksi Bangunan Pelabuhan Bukan Perikanan, Konstruksi Bangunan Sipil Minyak dan Gas Bumi</t>
        </is>
      </c>
      <c r="N15" t="inlineStr">
        <is>
          <t>M</t>
        </is>
      </c>
      <c r="O15" t="inlineStr">
        <is>
          <t>20230718</t>
        </is>
      </c>
      <c r="P15" t="inlineStr">
        <is>
          <t>Jawa Barat</t>
        </is>
      </c>
      <c r="Q15" s="3">
        <f>HYPERLINK("https://wa.me/6289654762755?text=*[Pengingat Masa Berlaku SBU REPAPESI GREAT RIVER]*%0A%0AYth. Pimpinan REPAPESI GREAT RIVER,%0AMohon izin menginformasikan status SBU Anda:%0A%0A📄 SBU: BS011, BS013%0A📅 Expired: 24 Juli 2026 (30 Hari Lagi)%0A%0AKami tim PT. ESDEA Assistance Management siap men-support proses perpanjangan segera agar administrasi proyek tidak terhambat%0A%0AApakah boleh saya bantu siapkan estimasi biaya dan waktu pengerjaannya?.", "Hubungi")</f>
        <v/>
      </c>
    </row>
    <row r="16">
      <c r="A16" t="inlineStr">
        <is>
          <t>WINDUAJI LESTARI</t>
        </is>
      </c>
      <c r="B16" t="inlineStr">
        <is>
          <t>Kota Adm. Jakarta Timur</t>
        </is>
      </c>
      <c r="C16" t="inlineStr">
        <is>
          <t>02184983507</t>
        </is>
      </c>
      <c r="D16" t="inlineStr">
        <is>
          <t>windu_aji@yahoo.com</t>
        </is>
      </c>
      <c r="E16" t="inlineStr">
        <is>
          <t>https://lpjk.pu.go.id/search-badan-usaha-detail/Wk9RaERiU0VHYXZQa1pOMGEwT0RmUT09</t>
        </is>
      </c>
      <c r="F16" t="n">
        <v>5</v>
      </c>
      <c r="G16" t="inlineStr">
        <is>
          <t>BG001, BG002, BG005, BG006, BG009</t>
        </is>
      </c>
      <c r="H16" t="inlineStr">
        <is>
          <t>27 April 2010</t>
        </is>
      </c>
      <c r="I16" s="2" t="n">
        <v>46227</v>
      </c>
      <c r="J16" t="inlineStr">
        <is>
          <t>Disetujui</t>
        </is>
      </c>
      <c r="K16" t="n">
        <v>30</v>
      </c>
      <c r="L16" t="inlineStr">
        <is>
          <t>24 Juli 2026</t>
        </is>
      </c>
      <c r="M16" t="inlineStr">
        <is>
          <t>Konstruksi Gedung Hunian, Konstruksi Gedung Kesehatan, Konstruksi Gedung Lainnya, Konstruksi Gedung Pendidikan, Konstruksi Gedung Perkantoran</t>
        </is>
      </c>
      <c r="N16" t="inlineStr">
        <is>
          <t>K</t>
        </is>
      </c>
      <c r="O16" t="inlineStr">
        <is>
          <t>20230718</t>
        </is>
      </c>
      <c r="P16" t="inlineStr">
        <is>
          <t>DKI Jakarta</t>
        </is>
      </c>
      <c r="Q16" t="inlineStr"/>
    </row>
    <row r="17">
      <c r="A17" t="inlineStr">
        <is>
          <t>ABABA PEMERATA</t>
        </is>
      </c>
      <c r="B17" t="inlineStr">
        <is>
          <t>Kab. Bandung</t>
        </is>
      </c>
      <c r="C17" t="inlineStr">
        <is>
          <t>022 2060076</t>
        </is>
      </c>
      <c r="D17" t="inlineStr">
        <is>
          <t>ababapemerata@yahoo.co.id</t>
        </is>
      </c>
      <c r="E17" t="inlineStr">
        <is>
          <t>https://lpjk.pu.go.id/search-badan-usaha-detail/Q0hLOVhyVHk3ZkduU05rL0ZKMmExQT09</t>
        </is>
      </c>
      <c r="F17" t="n">
        <v>1</v>
      </c>
      <c r="G17" t="inlineStr">
        <is>
          <t>BS006</t>
        </is>
      </c>
      <c r="H17" t="inlineStr">
        <is>
          <t>28 September 1987</t>
        </is>
      </c>
      <c r="I17" s="2" t="n">
        <v>46227</v>
      </c>
      <c r="J17" t="inlineStr">
        <is>
          <t>Pencabutan</t>
        </is>
      </c>
      <c r="K17" t="n">
        <v>30</v>
      </c>
      <c r="L17" t="inlineStr">
        <is>
          <t>24 Juli 2026</t>
        </is>
      </c>
      <c r="M17" t="inlineStr">
        <is>
          <t>Konstruksi Bangunan Sipil Prasarana dan Sarana Sistem Pengolahan Limbah Padat, Cair, dan Gas</t>
        </is>
      </c>
      <c r="N17" t="inlineStr">
        <is>
          <t>K</t>
        </is>
      </c>
      <c r="O17" t="inlineStr">
        <is>
          <t>20230724</t>
        </is>
      </c>
      <c r="P17" t="inlineStr">
        <is>
          <t>Jawa Barat</t>
        </is>
      </c>
      <c r="Q17" t="inlineStr"/>
    </row>
    <row r="18">
      <c r="A18" t="inlineStr">
        <is>
          <t>ADHI CITRA HARYO SETO</t>
        </is>
      </c>
      <c r="B18" t="inlineStr">
        <is>
          <t>Kab. Purbalingga</t>
        </is>
      </c>
      <c r="C18" t="inlineStr">
        <is>
          <t>082338438335</t>
        </is>
      </c>
      <c r="D18" t="inlineStr">
        <is>
          <t>adhicitraharyoseto@gmail.com</t>
        </is>
      </c>
      <c r="E18" t="inlineStr">
        <is>
          <t>https://lpjk.pu.go.id/search-badan-usaha-detail/eWg1eHZzNnhYTWhHblFoTS90cWNZdz09</t>
        </is>
      </c>
      <c r="F18" t="n">
        <v>4</v>
      </c>
      <c r="G18" t="inlineStr">
        <is>
          <t>BG001, BG002, BG003, BG006</t>
        </is>
      </c>
      <c r="H18" t="inlineStr">
        <is>
          <t>24 November 2009</t>
        </is>
      </c>
      <c r="I18" s="2" t="n">
        <v>46227</v>
      </c>
      <c r="J18" t="inlineStr">
        <is>
          <t>Disetujui</t>
        </is>
      </c>
      <c r="K18" t="n">
        <v>30</v>
      </c>
      <c r="L18" t="inlineStr">
        <is>
          <t>24 Juli 2026</t>
        </is>
      </c>
      <c r="M18" t="inlineStr">
        <is>
          <t>Konstruksi Gedung Hunian, Konstruksi Gedung Industri, Konstruksi Gedung Pendidikan, Konstruksi Gedung Perkantoran</t>
        </is>
      </c>
      <c r="N18" t="inlineStr">
        <is>
          <t>K</t>
        </is>
      </c>
      <c r="O18" t="inlineStr">
        <is>
          <t>20230724</t>
        </is>
      </c>
      <c r="P18" t="inlineStr">
        <is>
          <t>Jawa Tengah</t>
        </is>
      </c>
      <c r="Q18" t="inlineStr"/>
    </row>
    <row r="19">
      <c r="A19" t="inlineStr">
        <is>
          <t>ADIANKO JAYA ABADI</t>
        </is>
      </c>
      <c r="B19" t="inlineStr">
        <is>
          <t>Kota Adm. Jakarta Pusat</t>
        </is>
      </c>
      <c r="C19" t="inlineStr">
        <is>
          <t>081219707235</t>
        </is>
      </c>
      <c r="D19" t="inlineStr">
        <is>
          <t>adiankojayaabadi@gmail.com</t>
        </is>
      </c>
      <c r="E19" t="inlineStr">
        <is>
          <t>https://lpjk.pu.go.id/search-badan-usaha-detail/d1RXYXpxZXRKK2I4V0NmZGQvK3V4UT09</t>
        </is>
      </c>
      <c r="F19" t="n">
        <v>3</v>
      </c>
      <c r="G19" t="inlineStr">
        <is>
          <t>BG002, BG006, BG009</t>
        </is>
      </c>
      <c r="H19" t="inlineStr">
        <is>
          <t>24 November 2022</t>
        </is>
      </c>
      <c r="I19" s="2" t="n">
        <v>46227</v>
      </c>
      <c r="J19" t="inlineStr">
        <is>
          <t>Disetujui</t>
        </is>
      </c>
      <c r="K19" t="n">
        <v>30</v>
      </c>
      <c r="L19" t="inlineStr">
        <is>
          <t>24 Juli 2026</t>
        </is>
      </c>
      <c r="M19" t="inlineStr">
        <is>
          <t>Konstruksi Gedung Lainnya, Konstruksi Gedung Pendidikan, Konstruksi Gedung Perkantoran</t>
        </is>
      </c>
      <c r="N19" t="inlineStr">
        <is>
          <t>K</t>
        </is>
      </c>
      <c r="O19" t="inlineStr">
        <is>
          <t>20230714</t>
        </is>
      </c>
      <c r="P19" t="inlineStr">
        <is>
          <t>DKI Jakarta</t>
        </is>
      </c>
      <c r="Q19" t="inlineStr"/>
    </row>
    <row r="20">
      <c r="A20" t="inlineStr">
        <is>
          <t>ADIDAYA ZIDAN PUTRA</t>
        </is>
      </c>
      <c r="B20" t="inlineStr">
        <is>
          <t>Kab. Boyolali</t>
        </is>
      </c>
      <c r="C20" t="inlineStr">
        <is>
          <t>085647173954</t>
        </is>
      </c>
      <c r="D20" t="inlineStr">
        <is>
          <t>cv.adidayazidanputra@gmail.com</t>
        </is>
      </c>
      <c r="E20" t="inlineStr">
        <is>
          <t>https://lpjk.pu.go.id/search-badan-usaha-detail/WXljMUlseG9YR3dOM2hTT3ozUjI1UT09</t>
        </is>
      </c>
      <c r="F20" t="n">
        <v>3</v>
      </c>
      <c r="G20" t="inlineStr">
        <is>
          <t>BG006, BG009, BS004</t>
        </is>
      </c>
      <c r="H20" t="inlineStr">
        <is>
          <t>1 Februari 2013</t>
        </is>
      </c>
      <c r="I20" s="2" t="n">
        <v>46227</v>
      </c>
      <c r="J20" t="inlineStr">
        <is>
          <t>Disetujui</t>
        </is>
      </c>
      <c r="K20" t="n">
        <v>30</v>
      </c>
      <c r="L20" t="inlineStr">
        <is>
          <t>24 Juli 2026</t>
        </is>
      </c>
      <c r="M20" t="inlineStr">
        <is>
          <t>Konstruksi Gedung Lainnya, Konstruksi Gedung Pendidikan, Konstruksi Jaringan Irigasi dan Drainase</t>
        </is>
      </c>
      <c r="N20" t="inlineStr">
        <is>
          <t>K</t>
        </is>
      </c>
      <c r="O20" t="inlineStr">
        <is>
          <t>20230718</t>
        </is>
      </c>
      <c r="P20" t="inlineStr">
        <is>
          <t>Jawa Tengah</t>
        </is>
      </c>
      <c r="Q20" t="inlineStr"/>
    </row>
    <row r="21">
      <c r="A21" t="inlineStr">
        <is>
          <t>ADISELARAS</t>
        </is>
      </c>
      <c r="B21" t="inlineStr">
        <is>
          <t>Kota Malang</t>
        </is>
      </c>
      <c r="C21" t="inlineStr">
        <is>
          <t>082131477022</t>
        </is>
      </c>
      <c r="D21" t="inlineStr">
        <is>
          <t>adiselaras@gmail.com</t>
        </is>
      </c>
      <c r="E21" t="inlineStr">
        <is>
          <t>https://lpjk.pu.go.id/search-badan-usaha-detail/MjI1NnRjTEhPQXNEYUN5KytmQXZhZEROcWFNQk05bDB0ZTlhOVVUbnV5MD0</t>
        </is>
      </c>
      <c r="F21" t="n">
        <v>2</v>
      </c>
      <c r="G21" t="inlineStr">
        <is>
          <t>BG005, BG009</t>
        </is>
      </c>
      <c r="H21" t="inlineStr">
        <is>
          <t>2 Juni 2022</t>
        </is>
      </c>
      <c r="I21" s="2" t="n">
        <v>46227</v>
      </c>
      <c r="J21" t="inlineStr">
        <is>
          <t>Pencabutan</t>
        </is>
      </c>
      <c r="K21" t="n">
        <v>30</v>
      </c>
      <c r="L21" t="inlineStr">
        <is>
          <t>24 Juli 2026</t>
        </is>
      </c>
      <c r="M21" t="inlineStr">
        <is>
          <t>Konstruksi Gedung Kesehatan, Konstruksi Gedung Lainnya</t>
        </is>
      </c>
      <c r="N21" t="inlineStr">
        <is>
          <t>K</t>
        </is>
      </c>
      <c r="O21" t="inlineStr">
        <is>
          <t>20230713, 20230719</t>
        </is>
      </c>
      <c r="P21" t="inlineStr">
        <is>
          <t>Jawa Timur</t>
        </is>
      </c>
      <c r="Q21" t="inlineStr"/>
    </row>
    <row r="22">
      <c r="A22" t="inlineStr">
        <is>
          <t>ADJI PERKASA</t>
        </is>
      </c>
      <c r="B22" t="inlineStr">
        <is>
          <t>Kab. Banjar</t>
        </is>
      </c>
      <c r="C22" t="inlineStr">
        <is>
          <t>05114789444</t>
        </is>
      </c>
      <c r="D22" t="inlineStr">
        <is>
          <t>ptadjiperkasa@yahoo.com</t>
        </is>
      </c>
      <c r="E22" t="inlineStr">
        <is>
          <t>https://lpjk.pu.go.id/search-badan-usaha-detail/NS91SEk3NkttMVZnTml3TVhUeVdGZz09</t>
        </is>
      </c>
      <c r="F22" t="n">
        <v>1</v>
      </c>
      <c r="G22" t="inlineStr">
        <is>
          <t>BS004</t>
        </is>
      </c>
      <c r="H22" t="inlineStr">
        <is>
          <t>22 Desember 2009</t>
        </is>
      </c>
      <c r="I22" s="2" t="n">
        <v>46227</v>
      </c>
      <c r="J22" t="inlineStr">
        <is>
          <t>Disetujui</t>
        </is>
      </c>
      <c r="K22" t="n">
        <v>30</v>
      </c>
      <c r="L22" t="inlineStr">
        <is>
          <t>24 Juli 2026</t>
        </is>
      </c>
      <c r="M22" t="inlineStr">
        <is>
          <t>Konstruksi Jaringan Irigasi dan Drainase</t>
        </is>
      </c>
      <c r="N22" t="inlineStr">
        <is>
          <t>M</t>
        </is>
      </c>
      <c r="O22" t="inlineStr">
        <is>
          <t>20230712</t>
        </is>
      </c>
      <c r="P22" t="inlineStr">
        <is>
          <t>Kalimantan Selatan</t>
        </is>
      </c>
      <c r="Q22" t="inlineStr"/>
    </row>
    <row r="23">
      <c r="A23" t="inlineStr">
        <is>
          <t>AGUNG KHATULISTIWA</t>
        </is>
      </c>
      <c r="B23" t="inlineStr">
        <is>
          <t>Kab. Sanggau</t>
        </is>
      </c>
      <c r="C23" t="inlineStr">
        <is>
          <t>0</t>
        </is>
      </c>
      <c r="D23" t="inlineStr">
        <is>
          <t>dayangsyafarani@yahoo.com</t>
        </is>
      </c>
      <c r="E23" t="inlineStr">
        <is>
          <t>https://lpjk.pu.go.id/search-badan-usaha-detail/UWJzWlVVTy9wWlpMNUxqazc0VlZFZz09</t>
        </is>
      </c>
      <c r="F23" t="n">
        <v>2</v>
      </c>
      <c r="G23" t="inlineStr">
        <is>
          <t>BS002</t>
        </is>
      </c>
      <c r="H23" t="inlineStr">
        <is>
          <t>1 April 2019</t>
        </is>
      </c>
      <c r="I23" s="2" t="n">
        <v>46227</v>
      </c>
      <c r="J23" t="inlineStr">
        <is>
          <t>Pembekuan</t>
        </is>
      </c>
      <c r="K23" t="n">
        <v>30</v>
      </c>
      <c r="L23" t="inlineStr">
        <is>
          <t>24 Juli 2026</t>
        </is>
      </c>
      <c r="M23" t="inlineStr">
        <is>
          <t>Bangunan Sipil Jembatan, Jalan Layang, Fly Over, dan Underpass</t>
        </is>
      </c>
      <c r="N23" t="inlineStr">
        <is>
          <t>K</t>
        </is>
      </c>
      <c r="O23" t="inlineStr">
        <is>
          <t>20230720</t>
        </is>
      </c>
      <c r="P23" t="inlineStr">
        <is>
          <t>Kalimantan Barat</t>
        </is>
      </c>
      <c r="Q23" t="inlineStr"/>
    </row>
    <row r="24">
      <c r="A24" t="inlineStr">
        <is>
          <t>ALAM RAYA</t>
        </is>
      </c>
      <c r="B24" t="inlineStr">
        <is>
          <t>Kab. Dompu</t>
        </is>
      </c>
      <c r="C24" t="inlineStr">
        <is>
          <t>085338420939</t>
        </is>
      </c>
      <c r="D24" t="inlineStr">
        <is>
          <t>alamrayadompu11@gmail.com</t>
        </is>
      </c>
      <c r="E24" t="inlineStr">
        <is>
          <t>https://lpjk.pu.go.id/search-badan-usaha-detail/emxCYkoyNG1yR0tYRHBPd0NlY0FOUT09</t>
        </is>
      </c>
      <c r="F24" t="n">
        <v>1</v>
      </c>
      <c r="G24" t="inlineStr">
        <is>
          <t>BG009</t>
        </is>
      </c>
      <c r="H24" t="inlineStr">
        <is>
          <t>5 Februari 2011</t>
        </is>
      </c>
      <c r="I24" s="2" t="n">
        <v>46227</v>
      </c>
      <c r="J24" t="inlineStr">
        <is>
          <t>Disetujui</t>
        </is>
      </c>
      <c r="K24" t="n">
        <v>30</v>
      </c>
      <c r="L24" t="inlineStr">
        <is>
          <t>24 Juli 2026</t>
        </is>
      </c>
      <c r="M24" t="inlineStr">
        <is>
          <t>Konstruksi Gedung Lainnya</t>
        </is>
      </c>
      <c r="N24" t="inlineStr">
        <is>
          <t>K</t>
        </is>
      </c>
      <c r="O24" t="inlineStr">
        <is>
          <t>20230720</t>
        </is>
      </c>
      <c r="P24" t="inlineStr">
        <is>
          <t>Nusa Tenggara Barat</t>
        </is>
      </c>
      <c r="Q24" t="inlineStr"/>
    </row>
    <row r="25">
      <c r="A25" t="inlineStr">
        <is>
          <t>ALFAN</t>
        </is>
      </c>
      <c r="B25" t="inlineStr">
        <is>
          <t>Kab. Probolinggo</t>
        </is>
      </c>
      <c r="C25" t="inlineStr">
        <is>
          <t>082218025546</t>
        </is>
      </c>
      <c r="D25" t="inlineStr">
        <is>
          <t>cv.alfan.probolinggo@gmail.com</t>
        </is>
      </c>
      <c r="E25" t="inlineStr">
        <is>
          <t>https://lpjk.pu.go.id/search-badan-usaha-detail/TWJqcE5lVkZmN0gzc3VQSHB4UnpZZz09</t>
        </is>
      </c>
      <c r="F25" t="n">
        <v>2</v>
      </c>
      <c r="G25" t="inlineStr">
        <is>
          <t>BS004</t>
        </is>
      </c>
      <c r="H25" t="inlineStr">
        <is>
          <t>13 Januari 1997</t>
        </is>
      </c>
      <c r="I25" s="2" t="n">
        <v>46227</v>
      </c>
      <c r="J25" t="inlineStr">
        <is>
          <t>Disetujui</t>
        </is>
      </c>
      <c r="K25" t="n">
        <v>30</v>
      </c>
      <c r="L25" t="inlineStr">
        <is>
          <t>24 Juli 2026</t>
        </is>
      </c>
      <c r="M25" t="inlineStr">
        <is>
          <t>Konstruksi Jaringan Irigasi dan Drainase</t>
        </is>
      </c>
      <c r="N25" t="inlineStr">
        <is>
          <t>K</t>
        </is>
      </c>
      <c r="O25" t="inlineStr">
        <is>
          <t>20230722</t>
        </is>
      </c>
      <c r="P25" t="inlineStr">
        <is>
          <t>Jawa Timur</t>
        </is>
      </c>
      <c r="Q25" t="inlineStr"/>
    </row>
    <row r="26">
      <c r="A26" t="inlineStr">
        <is>
          <t>ALGHANI LAKEISHA ABADI</t>
        </is>
      </c>
      <c r="B26" t="inlineStr">
        <is>
          <t>Kab. Kuantan Singingi</t>
        </is>
      </c>
      <c r="C26" t="inlineStr">
        <is>
          <t>0811755151</t>
        </is>
      </c>
      <c r="D26" t="inlineStr">
        <is>
          <t>cvalghaniabadi82@gmail.com</t>
        </is>
      </c>
      <c r="E26" t="inlineStr">
        <is>
          <t>https://lpjk.pu.go.id/search-badan-usaha-detail/Q29sRlJBY3FxOUtQR0FQZG5RSE5TZz09</t>
        </is>
      </c>
      <c r="F26" t="n">
        <v>2</v>
      </c>
      <c r="G26" t="inlineStr">
        <is>
          <t>BG001, BG002</t>
        </is>
      </c>
      <c r="H26" t="inlineStr">
        <is>
          <t>31 Januari 2020</t>
        </is>
      </c>
      <c r="I26" s="2" t="n">
        <v>46227</v>
      </c>
      <c r="J26" t="inlineStr">
        <is>
          <t>Disetujui</t>
        </is>
      </c>
      <c r="K26" t="n">
        <v>30</v>
      </c>
      <c r="L26" t="inlineStr">
        <is>
          <t>24 Juli 2026</t>
        </is>
      </c>
      <c r="M26" t="inlineStr">
        <is>
          <t>Konstruksi Gedung Hunian, Konstruksi Gedung Perkantoran</t>
        </is>
      </c>
      <c r="N26" t="inlineStr">
        <is>
          <t>K</t>
        </is>
      </c>
      <c r="O26" t="inlineStr">
        <is>
          <t>20230720</t>
        </is>
      </c>
      <c r="P26" t="inlineStr">
        <is>
          <t>Riau</t>
        </is>
      </c>
      <c r="Q26" t="inlineStr"/>
    </row>
    <row r="27">
      <c r="A27" t="inlineStr">
        <is>
          <t>AMANAH RIZQI BAROKAH</t>
        </is>
      </c>
      <c r="B27" t="inlineStr">
        <is>
          <t>Kab. Banyumas</t>
        </is>
      </c>
      <c r="C27" t="inlineStr">
        <is>
          <t>085642156122</t>
        </is>
      </c>
      <c r="D27" t="inlineStr">
        <is>
          <t>amanahrisqibarokah@gmail.com</t>
        </is>
      </c>
      <c r="E27" t="inlineStr">
        <is>
          <t>https://lpjk.pu.go.id/search-badan-usaha-detail/NUR3dWhRdkVjbm83Um1kVVRqTFBJZz09</t>
        </is>
      </c>
      <c r="F27" t="n">
        <v>3</v>
      </c>
      <c r="G27" t="inlineStr">
        <is>
          <t>BS006</t>
        </is>
      </c>
      <c r="H27" t="inlineStr">
        <is>
          <t>23 November 2016</t>
        </is>
      </c>
      <c r="I27" s="2" t="n">
        <v>46227</v>
      </c>
      <c r="J27" t="inlineStr">
        <is>
          <t>Disetujui</t>
        </is>
      </c>
      <c r="K27" t="n">
        <v>30</v>
      </c>
      <c r="L27" t="inlineStr">
        <is>
          <t>24 Juli 2026</t>
        </is>
      </c>
      <c r="M27" t="inlineStr">
        <is>
          <t>Konstruksi Bangunan Sipil Prasarana dan Sarana Sistem Pengolahan Limbah Padat, Cair, dan Gas</t>
        </is>
      </c>
      <c r="N27" t="inlineStr">
        <is>
          <t>K</t>
        </is>
      </c>
      <c r="O27" t="inlineStr">
        <is>
          <t>20230721</t>
        </is>
      </c>
      <c r="P27" t="inlineStr">
        <is>
          <t>Jawa Tengah</t>
        </is>
      </c>
      <c r="Q27" t="inlineStr"/>
    </row>
    <row r="28">
      <c r="A28" t="inlineStr">
        <is>
          <t>ANGGA MAULANA</t>
        </is>
      </c>
      <c r="B28" t="inlineStr">
        <is>
          <t>Kab. Pesisir Selatan</t>
        </is>
      </c>
      <c r="C28" t="inlineStr">
        <is>
          <t>085264744310</t>
        </is>
      </c>
      <c r="D28" t="inlineStr">
        <is>
          <t>cv.anggamaulana@gmail.com</t>
        </is>
      </c>
      <c r="E28" t="inlineStr">
        <is>
          <t>https://lpjk.pu.go.id/search-badan-usaha-detail/UjNtYTBLUTdybC9XSWt0cXoyU2lTdz09</t>
        </is>
      </c>
      <c r="F28" t="n">
        <v>1</v>
      </c>
      <c r="G28" t="inlineStr">
        <is>
          <t>BS004</t>
        </is>
      </c>
      <c r="H28" t="inlineStr">
        <is>
          <t>17 Februari 2012</t>
        </is>
      </c>
      <c r="I28" s="2" t="n">
        <v>46227</v>
      </c>
      <c r="J28" t="inlineStr">
        <is>
          <t>Pencabutan</t>
        </is>
      </c>
      <c r="K28" t="n">
        <v>30</v>
      </c>
      <c r="L28" t="inlineStr">
        <is>
          <t>24 Juli 2026</t>
        </is>
      </c>
      <c r="M28" t="inlineStr">
        <is>
          <t>Konstruksi Jaringan Irigasi dan Drainase</t>
        </is>
      </c>
      <c r="N28" t="inlineStr">
        <is>
          <t>K</t>
        </is>
      </c>
      <c r="O28" t="inlineStr">
        <is>
          <t>20230723</t>
        </is>
      </c>
      <c r="P28" t="inlineStr">
        <is>
          <t>Sumatera Barat</t>
        </is>
      </c>
      <c r="Q28" t="inlineStr"/>
    </row>
    <row r="29">
      <c r="A29" t="inlineStr">
        <is>
          <t>ANGGREK TEKNIK</t>
        </is>
      </c>
      <c r="B29" t="inlineStr">
        <is>
          <t>Kab. Lombok Tengah</t>
        </is>
      </c>
      <c r="C29" t="inlineStr">
        <is>
          <t>08175738507</t>
        </is>
      </c>
      <c r="D29" t="inlineStr">
        <is>
          <t>cvanggrekteknik@gmail.com</t>
        </is>
      </c>
      <c r="E29" t="inlineStr">
        <is>
          <t>https://lpjk.pu.go.id/search-badan-usaha-detail/RW1tQ2Z2ZU5tSHlFeVk0R0NlNUlUZz09</t>
        </is>
      </c>
      <c r="F29" t="n">
        <v>1</v>
      </c>
      <c r="G29" t="inlineStr">
        <is>
          <t>BG006</t>
        </is>
      </c>
      <c r="H29" t="inlineStr">
        <is>
          <t>24 November 2021</t>
        </is>
      </c>
      <c r="I29" s="2" t="n">
        <v>46227</v>
      </c>
      <c r="J29" t="inlineStr">
        <is>
          <t>Pencabutan</t>
        </is>
      </c>
      <c r="K29" t="n">
        <v>30</v>
      </c>
      <c r="L29" t="inlineStr">
        <is>
          <t>24 Juli 2026</t>
        </is>
      </c>
      <c r="M29" t="inlineStr">
        <is>
          <t>Konstruksi Gedung Pendidikan</t>
        </is>
      </c>
      <c r="N29" t="inlineStr">
        <is>
          <t>K</t>
        </is>
      </c>
      <c r="O29" t="inlineStr">
        <is>
          <t>20230724</t>
        </is>
      </c>
      <c r="P29" t="inlineStr">
        <is>
          <t>Nusa Tenggara Barat</t>
        </is>
      </c>
      <c r="Q29" t="inlineStr"/>
    </row>
    <row r="30">
      <c r="A30" t="inlineStr">
        <is>
          <t>ANGKASA BINTANG SENTOSA</t>
        </is>
      </c>
      <c r="B30" t="inlineStr">
        <is>
          <t>Kab. Cilacap</t>
        </is>
      </c>
      <c r="C30" t="inlineStr">
        <is>
          <t>085643322555</t>
        </is>
      </c>
      <c r="D30" t="inlineStr">
        <is>
          <t>cv.angkasabintangsentosa@gmail.com</t>
        </is>
      </c>
      <c r="E30" t="inlineStr">
        <is>
          <t>https://lpjk.pu.go.id/search-badan-usaha-detail/b0Vzc201OVdhYkNyUFFxV29CSW8ydz09</t>
        </is>
      </c>
      <c r="F30" t="n">
        <v>4</v>
      </c>
      <c r="G30" t="inlineStr">
        <is>
          <t>BG006, BS001</t>
        </is>
      </c>
      <c r="H30" t="inlineStr">
        <is>
          <t>26 Januari 2022</t>
        </is>
      </c>
      <c r="I30" s="2" t="n">
        <v>46227</v>
      </c>
      <c r="J30" t="inlineStr">
        <is>
          <t>Disetujui</t>
        </is>
      </c>
      <c r="K30" t="n">
        <v>30</v>
      </c>
      <c r="L30" t="inlineStr">
        <is>
          <t>24 Juli 2026</t>
        </is>
      </c>
      <c r="M30" t="inlineStr">
        <is>
          <t>Konstruksi Bangunan Sipil Jalan, Konstruksi Gedung Pendidikan</t>
        </is>
      </c>
      <c r="N30" t="inlineStr">
        <is>
          <t>K</t>
        </is>
      </c>
      <c r="O30" t="inlineStr">
        <is>
          <t>20230721, 20230722</t>
        </is>
      </c>
      <c r="P30" t="inlineStr">
        <is>
          <t>Jawa Tengah</t>
        </is>
      </c>
      <c r="Q30" t="inlineStr"/>
    </row>
    <row r="31">
      <c r="A31" t="inlineStr">
        <is>
          <t>ANUGERAH ABADI</t>
        </is>
      </c>
      <c r="B31" t="inlineStr">
        <is>
          <t>Kota Jayapura</t>
        </is>
      </c>
      <c r="C31" t="inlineStr">
        <is>
          <t>081241785111</t>
        </is>
      </c>
      <c r="D31" t="inlineStr">
        <is>
          <t>normantubelgus@gmail.com</t>
        </is>
      </c>
      <c r="E31" t="inlineStr">
        <is>
          <t>https://lpjk.pu.go.id/search-badan-usaha-detail/QlhuUU1DdFZGYTZXSnFTQ3VJMjVBQT09</t>
        </is>
      </c>
      <c r="F31" t="n">
        <v>1</v>
      </c>
      <c r="G31" t="inlineStr">
        <is>
          <t>BS001</t>
        </is>
      </c>
      <c r="H31" t="inlineStr">
        <is>
          <t>6 Maret 2008</t>
        </is>
      </c>
      <c r="I31" s="2" t="n">
        <v>46227</v>
      </c>
      <c r="J31" t="inlineStr">
        <is>
          <t>Disetujui</t>
        </is>
      </c>
      <c r="K31" t="n">
        <v>30</v>
      </c>
      <c r="L31" t="inlineStr">
        <is>
          <t>24 Juli 2026</t>
        </is>
      </c>
      <c r="M31" t="inlineStr">
        <is>
          <t>Konstruksi Bangunan Sipil Jalan</t>
        </is>
      </c>
      <c r="N31" t="inlineStr">
        <is>
          <t>K</t>
        </is>
      </c>
      <c r="O31" t="inlineStr">
        <is>
          <t>20230720</t>
        </is>
      </c>
      <c r="P31" t="inlineStr">
        <is>
          <t>Papua</t>
        </is>
      </c>
      <c r="Q31" t="inlineStr"/>
    </row>
    <row r="32">
      <c r="A32" t="inlineStr">
        <is>
          <t>ANUGERAH JASA ABADI</t>
        </is>
      </c>
      <c r="B32" t="inlineStr">
        <is>
          <t>Kab. Ogan Ilir</t>
        </is>
      </c>
      <c r="C32" t="inlineStr">
        <is>
          <t>082282994155</t>
        </is>
      </c>
      <c r="D32" t="inlineStr">
        <is>
          <t>supriadilpo84@gmail.com</t>
        </is>
      </c>
      <c r="E32" t="inlineStr">
        <is>
          <t>https://lpjk.pu.go.id/search-badan-usaha-detail/bXJNRldyNldlUklRallveVg3dDI4UT09</t>
        </is>
      </c>
      <c r="F32" t="n">
        <v>1</v>
      </c>
      <c r="G32" t="inlineStr">
        <is>
          <t>BS001</t>
        </is>
      </c>
      <c r="H32" t="inlineStr">
        <is>
          <t>21 Oktober 1992</t>
        </is>
      </c>
      <c r="I32" s="2" t="n">
        <v>46227</v>
      </c>
      <c r="J32" t="inlineStr">
        <is>
          <t>Pencabutan</t>
        </is>
      </c>
      <c r="K32" t="n">
        <v>30</v>
      </c>
      <c r="L32" t="inlineStr">
        <is>
          <t>24 Juli 2026</t>
        </is>
      </c>
      <c r="M32" t="inlineStr">
        <is>
          <t>Konstruksi Bangunan Sipil Jalan</t>
        </is>
      </c>
      <c r="N32" t="inlineStr">
        <is>
          <t>K</t>
        </is>
      </c>
      <c r="O32" t="inlineStr">
        <is>
          <t>20230721</t>
        </is>
      </c>
      <c r="P32" t="inlineStr">
        <is>
          <t>Sumatera Selatan</t>
        </is>
      </c>
      <c r="Q32" t="inlineStr"/>
    </row>
    <row r="33">
      <c r="A33" t="inlineStr">
        <is>
          <t>ANUGERAH RIAU MUSTIKA</t>
        </is>
      </c>
      <c r="B33" t="inlineStr">
        <is>
          <t>Kota Pekanbaru</t>
        </is>
      </c>
      <c r="C33" t="inlineStr">
        <is>
          <t>08117519309</t>
        </is>
      </c>
      <c r="D33" t="inlineStr">
        <is>
          <t>armpt2006@yahoo.co.id</t>
        </is>
      </c>
      <c r="E33" t="inlineStr">
        <is>
          <t>https://lpjk.pu.go.id/search-badan-usaha-detail/ek5DdmI3ekFIOVgzbzN4WU1SNXcrZz09</t>
        </is>
      </c>
      <c r="F33" t="n">
        <v>1</v>
      </c>
      <c r="G33" t="inlineStr">
        <is>
          <t>BG001</t>
        </is>
      </c>
      <c r="H33" t="inlineStr">
        <is>
          <t>18 Desember 2006</t>
        </is>
      </c>
      <c r="I33" s="2" t="n">
        <v>46227</v>
      </c>
      <c r="J33" t="inlineStr">
        <is>
          <t>Disetujui</t>
        </is>
      </c>
      <c r="K33" t="n">
        <v>30</v>
      </c>
      <c r="L33" t="inlineStr">
        <is>
          <t>24 Juli 2026</t>
        </is>
      </c>
      <c r="M33" t="inlineStr">
        <is>
          <t>Konstruksi Gedung Hunian</t>
        </is>
      </c>
      <c r="N33" t="inlineStr">
        <is>
          <t>K</t>
        </is>
      </c>
      <c r="O33" t="inlineStr">
        <is>
          <t>20230718</t>
        </is>
      </c>
      <c r="P33" t="inlineStr">
        <is>
          <t>Riau</t>
        </is>
      </c>
      <c r="Q33" t="inlineStr"/>
    </row>
    <row r="34">
      <c r="A34" t="inlineStr">
        <is>
          <t>ARI SAMUDRA</t>
        </is>
      </c>
      <c r="B34" t="inlineStr">
        <is>
          <t>Kab. Tangerang</t>
        </is>
      </c>
      <c r="C34" t="inlineStr">
        <is>
          <t>081288989249</t>
        </is>
      </c>
      <c r="D34" t="inlineStr">
        <is>
          <t>cvarisamudra589@gmail.com</t>
        </is>
      </c>
      <c r="E34" t="inlineStr">
        <is>
          <t>https://lpjk.pu.go.id/search-badan-usaha-detail/YWF5bzA5QlRCQkZoQ0x4M25iWWg0dz09</t>
        </is>
      </c>
      <c r="F34" t="n">
        <v>1</v>
      </c>
      <c r="G34" t="inlineStr">
        <is>
          <t>BS005</t>
        </is>
      </c>
      <c r="H34" t="inlineStr">
        <is>
          <t>14 Maret 2012</t>
        </is>
      </c>
      <c r="I34" s="2" t="n">
        <v>46227</v>
      </c>
      <c r="J34" t="inlineStr">
        <is>
          <t>Pencabutan</t>
        </is>
      </c>
      <c r="K34" t="n">
        <v>30</v>
      </c>
      <c r="L34" t="inlineStr">
        <is>
          <t>24 Juli 2026</t>
        </is>
      </c>
      <c r="M34" t="inlineStr">
        <is>
          <t>Konstruksi Bangunan Sipil Pengolahan Air Bersih</t>
        </is>
      </c>
      <c r="N34" t="inlineStr">
        <is>
          <t>K</t>
        </is>
      </c>
      <c r="O34" t="inlineStr">
        <is>
          <t>20230724</t>
        </is>
      </c>
      <c r="P34" t="inlineStr">
        <is>
          <t>Banten</t>
        </is>
      </c>
      <c r="Q34" t="inlineStr"/>
    </row>
    <row r="35">
      <c r="A35" t="inlineStr">
        <is>
          <t>ARNOLDUS</t>
        </is>
      </c>
      <c r="B35" t="inlineStr">
        <is>
          <t>Kab. Flores Timur</t>
        </is>
      </c>
      <c r="C35" t="inlineStr">
        <is>
          <t>081339203532</t>
        </is>
      </c>
      <c r="D35" t="inlineStr">
        <is>
          <t>cordasilva288@gmail.com</t>
        </is>
      </c>
      <c r="E35" t="inlineStr">
        <is>
          <t>https://lpjk.pu.go.id/search-badan-usaha-detail/QlZwbDlRSEpzSFhXaVlsZWN3REx1QT09</t>
        </is>
      </c>
      <c r="F35" t="n">
        <v>1</v>
      </c>
      <c r="G35" t="inlineStr">
        <is>
          <t>BG001</t>
        </is>
      </c>
      <c r="H35" t="inlineStr">
        <is>
          <t>9 Januari 2007</t>
        </is>
      </c>
      <c r="I35" s="2" t="n">
        <v>46227</v>
      </c>
      <c r="J35" t="inlineStr">
        <is>
          <t>Disetujui</t>
        </is>
      </c>
      <c r="K35" t="n">
        <v>30</v>
      </c>
      <c r="L35" t="inlineStr">
        <is>
          <t>24 Juli 2026</t>
        </is>
      </c>
      <c r="M35" t="inlineStr">
        <is>
          <t>Konstruksi Gedung Hunian</t>
        </is>
      </c>
      <c r="N35" t="inlineStr">
        <is>
          <t>K</t>
        </is>
      </c>
      <c r="O35" t="inlineStr">
        <is>
          <t>20230720</t>
        </is>
      </c>
      <c r="P35" t="inlineStr">
        <is>
          <t>Nusa Tenggara Timur</t>
        </is>
      </c>
      <c r="Q35" t="inlineStr"/>
    </row>
    <row r="36">
      <c r="A36" t="inlineStr">
        <is>
          <t>ARSITAB</t>
        </is>
      </c>
      <c r="B36" t="inlineStr">
        <is>
          <t>Kota Surabaya</t>
        </is>
      </c>
      <c r="C36" t="inlineStr">
        <is>
          <t>0315938860</t>
        </is>
      </c>
      <c r="D36" t="inlineStr">
        <is>
          <t>cvarsitab@yahoo.com</t>
        </is>
      </c>
      <c r="E36" t="inlineStr">
        <is>
          <t>https://lpjk.pu.go.id/search-badan-usaha-detail/Y2hZQThrRE5wcG5FeHp5OGpHYmE1QT09</t>
        </is>
      </c>
      <c r="F36" t="n">
        <v>2</v>
      </c>
      <c r="G36" t="inlineStr">
        <is>
          <t>BG001, BG009</t>
        </is>
      </c>
      <c r="H36" t="inlineStr">
        <is>
          <t>3 Agustus 2020</t>
        </is>
      </c>
      <c r="I36" s="2" t="n">
        <v>46227</v>
      </c>
      <c r="J36" t="inlineStr">
        <is>
          <t>Pencabutan</t>
        </is>
      </c>
      <c r="K36" t="n">
        <v>30</v>
      </c>
      <c r="L36" t="inlineStr">
        <is>
          <t>24 Juli 2026</t>
        </is>
      </c>
      <c r="M36" t="inlineStr">
        <is>
          <t>Konstruksi Gedung Hunian, Konstruksi Gedung Lainnya</t>
        </is>
      </c>
      <c r="N36" t="inlineStr">
        <is>
          <t>K</t>
        </is>
      </c>
      <c r="O36" t="inlineStr">
        <is>
          <t>20230724</t>
        </is>
      </c>
      <c r="P36" t="inlineStr">
        <is>
          <t>Jawa Timur</t>
        </is>
      </c>
      <c r="Q36" t="inlineStr"/>
    </row>
    <row r="37">
      <c r="A37" t="inlineStr">
        <is>
          <t>ARTHA LASTIAR</t>
        </is>
      </c>
      <c r="B37" t="inlineStr">
        <is>
          <t>Kab. Toba Samosir</t>
        </is>
      </c>
      <c r="C37" t="inlineStr">
        <is>
          <t>085276666671</t>
        </is>
      </c>
      <c r="D37" t="inlineStr">
        <is>
          <t>sianipartumbur13@gmail.com</t>
        </is>
      </c>
      <c r="E37" t="inlineStr">
        <is>
          <t>https://lpjk.pu.go.id/search-badan-usaha-detail/RUt2ODhzZThsSndISDZUZW9JWldhZz09</t>
        </is>
      </c>
      <c r="F37" t="n">
        <v>1</v>
      </c>
      <c r="G37" t="inlineStr">
        <is>
          <t>BG006</t>
        </is>
      </c>
      <c r="H37" t="inlineStr">
        <is>
          <t>17 September 2015</t>
        </is>
      </c>
      <c r="I37" s="2" t="n">
        <v>46227</v>
      </c>
      <c r="J37" t="inlineStr">
        <is>
          <t>Disetujui</t>
        </is>
      </c>
      <c r="K37" t="n">
        <v>30</v>
      </c>
      <c r="L37" t="inlineStr">
        <is>
          <t>24 Juli 2026</t>
        </is>
      </c>
      <c r="M37" t="inlineStr">
        <is>
          <t>Konstruksi Gedung Pendidikan</t>
        </is>
      </c>
      <c r="N37" t="inlineStr">
        <is>
          <t>K</t>
        </is>
      </c>
      <c r="O37" t="inlineStr">
        <is>
          <t>20230714</t>
        </is>
      </c>
      <c r="P37" t="inlineStr">
        <is>
          <t>Sumatera Utara</t>
        </is>
      </c>
      <c r="Q37" t="inlineStr"/>
    </row>
    <row r="38">
      <c r="A38" t="inlineStr">
        <is>
          <t>ARUMBAI</t>
        </is>
      </c>
      <c r="B38" t="inlineStr">
        <is>
          <t>Kota Ambon</t>
        </is>
      </c>
      <c r="C38" t="inlineStr">
        <is>
          <t>082248063545</t>
        </is>
      </c>
      <c r="D38" t="inlineStr">
        <is>
          <t>cv.arumbai1973@gmail.com</t>
        </is>
      </c>
      <c r="E38" t="inlineStr">
        <is>
          <t>https://lpjk.pu.go.id/search-badan-usaha-detail/b0xwTlhhdUtnQXhoTDZrOTEwQzVyQT09</t>
        </is>
      </c>
      <c r="F38" t="n">
        <v>1</v>
      </c>
      <c r="G38" t="inlineStr">
        <is>
          <t>BG005</t>
        </is>
      </c>
      <c r="H38" t="inlineStr">
        <is>
          <t>28 Juli 2004</t>
        </is>
      </c>
      <c r="I38" s="2" t="n">
        <v>46227</v>
      </c>
      <c r="J38" t="inlineStr">
        <is>
          <t>Disetujui</t>
        </is>
      </c>
      <c r="K38" t="n">
        <v>30</v>
      </c>
      <c r="L38" t="inlineStr">
        <is>
          <t>24 Juli 2026</t>
        </is>
      </c>
      <c r="M38" t="inlineStr">
        <is>
          <t>Konstruksi Gedung Kesehatan</t>
        </is>
      </c>
      <c r="N38" t="inlineStr">
        <is>
          <t>K</t>
        </is>
      </c>
      <c r="O38" t="inlineStr">
        <is>
          <t>20230722</t>
        </is>
      </c>
      <c r="P38" t="inlineStr">
        <is>
          <t>Maluku</t>
        </is>
      </c>
      <c r="Q38" t="inlineStr"/>
    </row>
    <row r="39">
      <c r="A39" t="inlineStr">
        <is>
          <t>ASTABRATHA</t>
        </is>
      </c>
      <c r="B39" t="inlineStr">
        <is>
          <t>Kab. Trenggalek</t>
        </is>
      </c>
      <c r="C39" t="inlineStr">
        <is>
          <t>081335624444</t>
        </is>
      </c>
      <c r="D39" t="inlineStr">
        <is>
          <t>budiw9491@gmail.com</t>
        </is>
      </c>
      <c r="E39" t="inlineStr">
        <is>
          <t>https://lpjk.pu.go.id/search-badan-usaha-detail/K2FDWGFNZlErNTBJelhtM0t1ejZ0dz09</t>
        </is>
      </c>
      <c r="F39" t="n">
        <v>2</v>
      </c>
      <c r="G39" t="inlineStr">
        <is>
          <t>BG006, BG009</t>
        </is>
      </c>
      <c r="H39" t="inlineStr">
        <is>
          <t>21 Januari 2009</t>
        </is>
      </c>
      <c r="I39" s="2" t="n">
        <v>46227</v>
      </c>
      <c r="J39" t="inlineStr">
        <is>
          <t>Disetujui</t>
        </is>
      </c>
      <c r="K39" t="n">
        <v>30</v>
      </c>
      <c r="L39" t="inlineStr">
        <is>
          <t>24 Juli 2026</t>
        </is>
      </c>
      <c r="M39" t="inlineStr">
        <is>
          <t>Konstruksi Gedung Lainnya, Konstruksi Gedung Pendidikan</t>
        </is>
      </c>
      <c r="N39" t="inlineStr">
        <is>
          <t>K</t>
        </is>
      </c>
      <c r="O39" t="inlineStr">
        <is>
          <t>20230626</t>
        </is>
      </c>
      <c r="P39" t="inlineStr">
        <is>
          <t>Jawa Timur</t>
        </is>
      </c>
      <c r="Q39" t="inlineStr"/>
    </row>
    <row r="40">
      <c r="A40" t="inlineStr">
        <is>
          <t>AZ-ZAHRA MAUDIDA</t>
        </is>
      </c>
      <c r="B40" t="inlineStr">
        <is>
          <t>Kota Tanjung Balai</t>
        </is>
      </c>
      <c r="C40" t="inlineStr">
        <is>
          <t>085262067996</t>
        </is>
      </c>
      <c r="D40" t="inlineStr">
        <is>
          <t>elfiantoni45@gmail.com</t>
        </is>
      </c>
      <c r="E40" t="inlineStr">
        <is>
          <t>https://lpjk.pu.go.id/search-badan-usaha-detail/UlRhSHViYlRxL3A4Mk5WYjN2SXdCdz09</t>
        </is>
      </c>
      <c r="F40" t="n">
        <v>2</v>
      </c>
      <c r="G40" t="inlineStr">
        <is>
          <t>BG009, BS001</t>
        </is>
      </c>
      <c r="H40" t="inlineStr">
        <is>
          <t>28 September 2014</t>
        </is>
      </c>
      <c r="I40" s="2" t="n">
        <v>46227</v>
      </c>
      <c r="J40" t="inlineStr">
        <is>
          <t>Disetujui</t>
        </is>
      </c>
      <c r="K40" t="n">
        <v>30</v>
      </c>
      <c r="L40" t="inlineStr">
        <is>
          <t>24 Juli 2026</t>
        </is>
      </c>
      <c r="M40" t="inlineStr">
        <is>
          <t>Konstruksi Bangunan Sipil Jalan, Konstruksi Gedung Lainnya</t>
        </is>
      </c>
      <c r="N40" t="inlineStr">
        <is>
          <t>K</t>
        </is>
      </c>
      <c r="O40" t="inlineStr">
        <is>
          <t>20230720, 20230724</t>
        </is>
      </c>
      <c r="P40" t="inlineStr">
        <is>
          <t>Sumatera Utara</t>
        </is>
      </c>
      <c r="Q40" t="inlineStr"/>
    </row>
    <row r="41">
      <c r="A41" t="inlineStr">
        <is>
          <t>BAGOES PRATAMA MANDIRI</t>
        </is>
      </c>
      <c r="B41" t="inlineStr">
        <is>
          <t>Kab. Indragiri Hilir</t>
        </is>
      </c>
      <c r="C41" t="inlineStr">
        <is>
          <t>081275540037</t>
        </is>
      </c>
      <c r="D41" t="inlineStr">
        <is>
          <t>bpmandiri.pt@gmail.com</t>
        </is>
      </c>
      <c r="E41" t="inlineStr">
        <is>
          <t>https://lpjk.pu.go.id/search-badan-usaha-detail/eXlpR1pqUm5ieFZJQTJJamtGY2RuUT09</t>
        </is>
      </c>
      <c r="F41" t="n">
        <v>1</v>
      </c>
      <c r="G41" t="inlineStr">
        <is>
          <t>BG001</t>
        </is>
      </c>
      <c r="H41" t="inlineStr">
        <is>
          <t>13 Maret 2015</t>
        </is>
      </c>
      <c r="I41" s="2" t="n">
        <v>46227</v>
      </c>
      <c r="J41" t="inlineStr">
        <is>
          <t>Pencabutan</t>
        </is>
      </c>
      <c r="K41" t="n">
        <v>30</v>
      </c>
      <c r="L41" t="inlineStr">
        <is>
          <t>24 Juli 2026</t>
        </is>
      </c>
      <c r="M41" t="inlineStr">
        <is>
          <t>Konstruksi Gedung Hunian</t>
        </is>
      </c>
      <c r="N41" t="inlineStr">
        <is>
          <t>M</t>
        </is>
      </c>
      <c r="O41" t="inlineStr">
        <is>
          <t>20230723</t>
        </is>
      </c>
      <c r="P41" t="inlineStr">
        <is>
          <t>Riau</t>
        </is>
      </c>
      <c r="Q41" t="inlineStr"/>
    </row>
    <row r="42">
      <c r="A42" t="inlineStr">
        <is>
          <t>BANDUNG PILAR KONTRUKSINDO</t>
        </is>
      </c>
      <c r="B42" t="inlineStr">
        <is>
          <t>Kota Cimahi</t>
        </is>
      </c>
      <c r="C42" t="inlineStr">
        <is>
          <t>081320935494</t>
        </is>
      </c>
      <c r="D42" t="inlineStr">
        <is>
          <t>pt.bapikon@gmail.com</t>
        </is>
      </c>
      <c r="E42" t="inlineStr">
        <is>
          <t>https://lpjk.pu.go.id/search-badan-usaha-detail/eVY4SGJDTW5UeklUMjUrREducjYwQT09</t>
        </is>
      </c>
      <c r="F42" t="n">
        <v>1</v>
      </c>
      <c r="G42" t="inlineStr">
        <is>
          <t>BG008</t>
        </is>
      </c>
      <c r="H42" t="inlineStr">
        <is>
          <t>4 Januari 2018</t>
        </is>
      </c>
      <c r="I42" s="2" t="n">
        <v>46227</v>
      </c>
      <c r="J42" t="inlineStr">
        <is>
          <t>Disetujui</t>
        </is>
      </c>
      <c r="K42" t="n">
        <v>30</v>
      </c>
      <c r="L42" t="inlineStr">
        <is>
          <t>24 Juli 2026</t>
        </is>
      </c>
      <c r="M42" t="inlineStr">
        <is>
          <t>Konstruksi Gedung Tempat Hiburan dan Olahraga</t>
        </is>
      </c>
      <c r="N42" t="inlineStr">
        <is>
          <t>K</t>
        </is>
      </c>
      <c r="O42" t="inlineStr">
        <is>
          <t>20230706</t>
        </is>
      </c>
      <c r="P42" t="inlineStr">
        <is>
          <t>Jawa Barat</t>
        </is>
      </c>
      <c r="Q42" t="inlineStr"/>
    </row>
    <row r="43">
      <c r="A43" t="inlineStr">
        <is>
          <t>BANGKIT JAYA SENTOSA</t>
        </is>
      </c>
      <c r="B43" t="inlineStr">
        <is>
          <t>Kab. Jember</t>
        </is>
      </c>
      <c r="C43" t="inlineStr">
        <is>
          <t>082132534199</t>
        </is>
      </c>
      <c r="D43" t="inlineStr">
        <is>
          <t>bjsgrup@gmail.com</t>
        </is>
      </c>
      <c r="E43" t="inlineStr">
        <is>
          <t>https://lpjk.pu.go.id/search-badan-usaha-detail/MHNEaXh6eXdWZU45Z3NyYVQrS2IwUT09</t>
        </is>
      </c>
      <c r="F43" t="n">
        <v>1</v>
      </c>
      <c r="G43" t="inlineStr">
        <is>
          <t>BS004</t>
        </is>
      </c>
      <c r="H43" t="inlineStr">
        <is>
          <t>3 Mei 2016</t>
        </is>
      </c>
      <c r="I43" s="2" t="n">
        <v>46227</v>
      </c>
      <c r="J43" t="inlineStr">
        <is>
          <t>Pencabutan</t>
        </is>
      </c>
      <c r="K43" t="n">
        <v>30</v>
      </c>
      <c r="L43" t="inlineStr">
        <is>
          <t>24 Juli 2026</t>
        </is>
      </c>
      <c r="M43" t="inlineStr">
        <is>
          <t>Konstruksi Jaringan Irigasi dan Drainase</t>
        </is>
      </c>
      <c r="N43" t="inlineStr">
        <is>
          <t>K</t>
        </is>
      </c>
      <c r="O43" t="inlineStr">
        <is>
          <t>20230710</t>
        </is>
      </c>
      <c r="P43" t="inlineStr">
        <is>
          <t>Jawa Timur</t>
        </is>
      </c>
      <c r="Q43" t="inlineStr"/>
    </row>
    <row r="44">
      <c r="A44" t="inlineStr">
        <is>
          <t>BANGUN MITRA ANUGERAH LESTARI</t>
        </is>
      </c>
      <c r="B44" t="inlineStr">
        <is>
          <t>Kab. Sumbawa</t>
        </is>
      </c>
      <c r="C44" t="inlineStr">
        <is>
          <t>081907142990</t>
        </is>
      </c>
      <c r="D44" t="inlineStr">
        <is>
          <t>bahagiagroup11@gmail.com</t>
        </is>
      </c>
      <c r="E44" t="inlineStr">
        <is>
          <t>https://lpjk.pu.go.id/search-badan-usaha-detail/WG1mckI1dGN4MC9DZ1ZRT2dVN2tNQT09</t>
        </is>
      </c>
      <c r="F44" t="n">
        <v>1</v>
      </c>
      <c r="G44" t="inlineStr">
        <is>
          <t>BG004</t>
        </is>
      </c>
      <c r="H44" t="inlineStr">
        <is>
          <t>7 November 2007</t>
        </is>
      </c>
      <c r="I44" s="2" t="n">
        <v>46227</v>
      </c>
      <c r="J44" t="inlineStr">
        <is>
          <t>Disetujui</t>
        </is>
      </c>
      <c r="K44" t="n">
        <v>30</v>
      </c>
      <c r="L44" t="inlineStr">
        <is>
          <t>24 Juli 2026</t>
        </is>
      </c>
      <c r="M44" t="inlineStr">
        <is>
          <t>Konstruksi Gedung Perbelanjaan</t>
        </is>
      </c>
      <c r="N44" t="inlineStr">
        <is>
          <t>K</t>
        </is>
      </c>
      <c r="O44" t="inlineStr">
        <is>
          <t>20230719</t>
        </is>
      </c>
      <c r="P44" t="inlineStr">
        <is>
          <t>Nusa Tenggara Barat</t>
        </is>
      </c>
      <c r="Q44" t="inlineStr"/>
    </row>
    <row r="45">
      <c r="A45" t="inlineStr">
        <is>
          <t>BATU BESI</t>
        </is>
      </c>
      <c r="B45" t="inlineStr">
        <is>
          <t>Kab. Melawi</t>
        </is>
      </c>
      <c r="C45" t="inlineStr">
        <is>
          <t>082255809033</t>
        </is>
      </c>
      <c r="D45" t="inlineStr">
        <is>
          <t>batu.besi.cv.10.11@gmail.com</t>
        </is>
      </c>
      <c r="E45" t="inlineStr">
        <is>
          <t>https://lpjk.pu.go.id/search-badan-usaha-detail/SHNtaUIzOHNhQmhqWTBtcGFWTzF0Zz09</t>
        </is>
      </c>
      <c r="F45" t="n">
        <v>3</v>
      </c>
      <c r="G45" t="inlineStr">
        <is>
          <t>BG005, BG006, BG009</t>
        </is>
      </c>
      <c r="H45" t="inlineStr">
        <is>
          <t>14 November 2014</t>
        </is>
      </c>
      <c r="I45" s="2" t="n">
        <v>46227</v>
      </c>
      <c r="J45" t="inlineStr">
        <is>
          <t>Disetujui</t>
        </is>
      </c>
      <c r="K45" t="n">
        <v>30</v>
      </c>
      <c r="L45" t="inlineStr">
        <is>
          <t>24 Juli 2026</t>
        </is>
      </c>
      <c r="M45" t="inlineStr">
        <is>
          <t>Konstruksi Gedung Kesehatan, Konstruksi Gedung Lainnya, Konstruksi Gedung Pendidikan</t>
        </is>
      </c>
      <c r="N45" t="inlineStr">
        <is>
          <t>K</t>
        </is>
      </c>
      <c r="O45" t="inlineStr">
        <is>
          <t>20230717, 20230720</t>
        </is>
      </c>
      <c r="P45" t="inlineStr">
        <is>
          <t>Kalimantan Barat</t>
        </is>
      </c>
      <c r="Q45" t="inlineStr"/>
    </row>
    <row r="46">
      <c r="A46" t="inlineStr">
        <is>
          <t>BAYU MANDIRI</t>
        </is>
      </c>
      <c r="B46" t="inlineStr">
        <is>
          <t>Kota Bandung</t>
        </is>
      </c>
      <c r="C46" t="inlineStr">
        <is>
          <t>081322808000</t>
        </is>
      </c>
      <c r="D46" t="inlineStr">
        <is>
          <t>rbayueka@yahoo.com</t>
        </is>
      </c>
      <c r="E46" t="inlineStr">
        <is>
          <t>https://lpjk.pu.go.id/search-badan-usaha-detail/WUE2S1M0VlpweHg5TUMvT3BlYzdlUT09</t>
        </is>
      </c>
      <c r="F46" t="n">
        <v>3</v>
      </c>
      <c r="G46" t="inlineStr">
        <is>
          <t>BG002, BG006, BG009</t>
        </is>
      </c>
      <c r="H46" t="inlineStr">
        <is>
          <t>1 Juli 2005</t>
        </is>
      </c>
      <c r="I46" s="2" t="n">
        <v>46227</v>
      </c>
      <c r="J46" t="inlineStr">
        <is>
          <t>Pencabutan</t>
        </is>
      </c>
      <c r="K46" t="n">
        <v>30</v>
      </c>
      <c r="L46" t="inlineStr">
        <is>
          <t>24 Juli 2026</t>
        </is>
      </c>
      <c r="M46" t="inlineStr">
        <is>
          <t>Konstruksi Gedung Lainnya, Konstruksi Gedung Pendidikan, Konstruksi Gedung Perkantoran</t>
        </is>
      </c>
      <c r="N46" t="inlineStr">
        <is>
          <t>K</t>
        </is>
      </c>
      <c r="O46" t="inlineStr">
        <is>
          <t>20230717</t>
        </is>
      </c>
      <c r="P46" t="inlineStr">
        <is>
          <t>Jawa Barat</t>
        </is>
      </c>
      <c r="Q46" t="inlineStr"/>
    </row>
    <row r="47">
      <c r="A47" t="inlineStr">
        <is>
          <t>BERDIKARI</t>
        </is>
      </c>
      <c r="B47" t="inlineStr">
        <is>
          <t>Kab. Magetan</t>
        </is>
      </c>
      <c r="C47" t="inlineStr">
        <is>
          <t>081330209797</t>
        </is>
      </c>
      <c r="D47" t="inlineStr">
        <is>
          <t>sandiariwijaya@gmail.com</t>
        </is>
      </c>
      <c r="E47" t="inlineStr">
        <is>
          <t>https://lpjk.pu.go.id/search-badan-usaha-detail/VmM3T1MweGhpWDhHeUk2L0o2NnBkQT09</t>
        </is>
      </c>
      <c r="F47" t="n">
        <v>2</v>
      </c>
      <c r="G47" t="inlineStr">
        <is>
          <t>BG003, BG007</t>
        </is>
      </c>
      <c r="H47" t="inlineStr">
        <is>
          <t>8 Desember 2003</t>
        </is>
      </c>
      <c r="I47" s="2" t="n">
        <v>46227</v>
      </c>
      <c r="J47" t="inlineStr">
        <is>
          <t>Disetujui</t>
        </is>
      </c>
      <c r="K47" t="n">
        <v>30</v>
      </c>
      <c r="L47" t="inlineStr">
        <is>
          <t>24 Juli 2026</t>
        </is>
      </c>
      <c r="M47" t="inlineStr">
        <is>
          <t>Konstruksi Gedung Industri, Konstruksi Gedung Penginapan</t>
        </is>
      </c>
      <c r="N47" t="inlineStr">
        <is>
          <t>K</t>
        </is>
      </c>
      <c r="O47" t="inlineStr">
        <is>
          <t>20230724</t>
        </is>
      </c>
      <c r="P47" t="inlineStr">
        <is>
          <t>Jawa Timur</t>
        </is>
      </c>
      <c r="Q47" t="inlineStr"/>
    </row>
    <row r="48">
      <c r="A48" t="inlineStr">
        <is>
          <t>BERKAH BERSAMA SEJAHTERA</t>
        </is>
      </c>
      <c r="B48" t="inlineStr">
        <is>
          <t>Kab. Bandung</t>
        </is>
      </c>
      <c r="C48" t="inlineStr">
        <is>
          <t>081123355667</t>
        </is>
      </c>
      <c r="D48" t="inlineStr">
        <is>
          <t>cv.bbs.bdg@gmail.com</t>
        </is>
      </c>
      <c r="E48" t="inlineStr">
        <is>
          <t>https://lpjk.pu.go.id/search-badan-usaha-detail/RGkxVy9JeHk0NHRBVlFqcXpMZ1BYdz09</t>
        </is>
      </c>
      <c r="F48" t="n">
        <v>4</v>
      </c>
      <c r="G48" t="inlineStr">
        <is>
          <t>BG006, BS005</t>
        </is>
      </c>
      <c r="H48" t="inlineStr">
        <is>
          <t>11 Agustus 2016</t>
        </is>
      </c>
      <c r="I48" s="2" t="n">
        <v>46227</v>
      </c>
      <c r="J48" t="inlineStr">
        <is>
          <t>Disetujui</t>
        </is>
      </c>
      <c r="K48" t="n">
        <v>30</v>
      </c>
      <c r="L48" t="inlineStr">
        <is>
          <t>24 Juli 2026</t>
        </is>
      </c>
      <c r="M48" t="inlineStr">
        <is>
          <t>Konstruksi Bangunan Sipil Pengolahan Air Bersih, Konstruksi Gedung Pendidikan</t>
        </is>
      </c>
      <c r="N48" t="inlineStr">
        <is>
          <t>K</t>
        </is>
      </c>
      <c r="O48" t="inlineStr">
        <is>
          <t>20230718</t>
        </is>
      </c>
      <c r="P48" t="inlineStr">
        <is>
          <t>Jawa Barat</t>
        </is>
      </c>
      <c r="Q48" t="inlineStr"/>
    </row>
    <row r="49">
      <c r="A49" t="inlineStr">
        <is>
          <t>BERKAH PENOMPHA</t>
        </is>
      </c>
      <c r="B49" t="inlineStr">
        <is>
          <t>Kab. Sekadau</t>
        </is>
      </c>
      <c r="C49" t="inlineStr">
        <is>
          <t>0821 4805 7069</t>
        </is>
      </c>
      <c r="D49" t="inlineStr">
        <is>
          <t>berkahpenompha.cv@outlook.com</t>
        </is>
      </c>
      <c r="E49" t="inlineStr">
        <is>
          <t>https://lpjk.pu.go.id/search-badan-usaha-detail/L3NQZXBDQUFaYmZIcUtKMElDZFJmZz09</t>
        </is>
      </c>
      <c r="F49" t="n">
        <v>4</v>
      </c>
      <c r="G49" t="inlineStr">
        <is>
          <t>BG006, BG009</t>
        </is>
      </c>
      <c r="H49" t="inlineStr">
        <is>
          <t>5 Januari 2008</t>
        </is>
      </c>
      <c r="I49" s="2" t="n">
        <v>46227</v>
      </c>
      <c r="J49" t="inlineStr">
        <is>
          <t>Disetujui</t>
        </is>
      </c>
      <c r="K49" t="n">
        <v>30</v>
      </c>
      <c r="L49" t="inlineStr">
        <is>
          <t>24 Juli 2026</t>
        </is>
      </c>
      <c r="M49" t="inlineStr">
        <is>
          <t>Konstruksi Gedung Lainnya, Konstruksi Gedung Pendidikan</t>
        </is>
      </c>
      <c r="N49" t="inlineStr">
        <is>
          <t>K</t>
        </is>
      </c>
      <c r="O49" t="inlineStr">
        <is>
          <t>20230719</t>
        </is>
      </c>
      <c r="P49" t="inlineStr">
        <is>
          <t>Kalimantan Barat</t>
        </is>
      </c>
      <c r="Q49" t="inlineStr"/>
    </row>
    <row r="50">
      <c r="A50" t="inlineStr">
        <is>
          <t>BERLIAN DUA SAUDARA</t>
        </is>
      </c>
      <c r="B50" t="inlineStr">
        <is>
          <t>Kota Bitung</t>
        </is>
      </c>
      <c r="C50" t="inlineStr">
        <is>
          <t>085233103330</t>
        </is>
      </c>
      <c r="D50" t="inlineStr">
        <is>
          <t>berlian2saudara@gmail.com</t>
        </is>
      </c>
      <c r="E50" t="inlineStr">
        <is>
          <t>https://lpjk.pu.go.id/search-badan-usaha-detail/U0xmSk5LTnlrcEJNNFByL0JKcUNoZz09</t>
        </is>
      </c>
      <c r="F50" t="n">
        <v>1</v>
      </c>
      <c r="G50" t="inlineStr">
        <is>
          <t>BS004</t>
        </is>
      </c>
      <c r="H50" t="inlineStr">
        <is>
          <t>21 Februari 2022</t>
        </is>
      </c>
      <c r="I50" s="2" t="n">
        <v>46227</v>
      </c>
      <c r="J50" t="inlineStr">
        <is>
          <t>Disetujui</t>
        </is>
      </c>
      <c r="K50" t="n">
        <v>30</v>
      </c>
      <c r="L50" t="inlineStr">
        <is>
          <t>24 Juli 2026</t>
        </is>
      </c>
      <c r="M50" t="inlineStr">
        <is>
          <t>Konstruksi Jaringan Irigasi dan Drainase</t>
        </is>
      </c>
      <c r="N50" t="inlineStr">
        <is>
          <t>K</t>
        </is>
      </c>
      <c r="O50" t="inlineStr">
        <is>
          <t>20230124</t>
        </is>
      </c>
      <c r="P50" t="inlineStr">
        <is>
          <t>Sulawesi Utara</t>
        </is>
      </c>
      <c r="Q50" t="inlineStr"/>
    </row>
    <row r="51">
      <c r="A51" t="inlineStr">
        <is>
          <t>BERSAMA</t>
        </is>
      </c>
      <c r="B51" t="inlineStr">
        <is>
          <t>Kab. Malang</t>
        </is>
      </c>
      <c r="C51" t="inlineStr">
        <is>
          <t>0341592613</t>
        </is>
      </c>
      <c r="D51" t="inlineStr">
        <is>
          <t>cv.bersamabatu@gmail.com</t>
        </is>
      </c>
      <c r="E51" t="inlineStr">
        <is>
          <t>https://lpjk.pu.go.id/search-badan-usaha-detail/NjhEZFNjcDdsc1lMNm5xV0FnQVlzQT09</t>
        </is>
      </c>
      <c r="F51" t="n">
        <v>1</v>
      </c>
      <c r="G51" t="inlineStr">
        <is>
          <t>BG009</t>
        </is>
      </c>
      <c r="H51" t="inlineStr">
        <is>
          <t>22 Maret 1983</t>
        </is>
      </c>
      <c r="I51" s="2" t="n">
        <v>46227</v>
      </c>
      <c r="J51" t="inlineStr">
        <is>
          <t>Disetujui</t>
        </is>
      </c>
      <c r="K51" t="n">
        <v>30</v>
      </c>
      <c r="L51" t="inlineStr">
        <is>
          <t>24 Juli 2026</t>
        </is>
      </c>
      <c r="M51" t="inlineStr">
        <is>
          <t>Konstruksi Gedung Lainnya</t>
        </is>
      </c>
      <c r="N51" t="inlineStr">
        <is>
          <t>K</t>
        </is>
      </c>
      <c r="O51" t="inlineStr">
        <is>
          <t>20230717</t>
        </is>
      </c>
      <c r="P51" t="inlineStr">
        <is>
          <t>Jawa Timur</t>
        </is>
      </c>
      <c r="Q51" t="inlineStr"/>
    </row>
    <row r="52">
      <c r="A52" t="inlineStr">
        <is>
          <t>BIMA SAKTI GROUP</t>
        </is>
      </c>
      <c r="B52" t="inlineStr">
        <is>
          <t>Kab. Majalengka</t>
        </is>
      </c>
      <c r="C52" t="inlineStr">
        <is>
          <t>085224224555</t>
        </is>
      </c>
      <c r="D52" t="inlineStr">
        <is>
          <t>bimasakti.group.cv@gmail.com</t>
        </is>
      </c>
      <c r="E52" t="inlineStr">
        <is>
          <t>https://lpjk.pu.go.id/search-badan-usaha-detail/b3kzZ2s1WDlaY0dEUFFwYWVIcWplQT09</t>
        </is>
      </c>
      <c r="F52" t="n">
        <v>2</v>
      </c>
      <c r="G52" t="inlineStr">
        <is>
          <t>BS001, BS004</t>
        </is>
      </c>
      <c r="H52" t="inlineStr">
        <is>
          <t>31 Juli 2018</t>
        </is>
      </c>
      <c r="I52" s="2" t="n">
        <v>46227</v>
      </c>
      <c r="J52" t="inlineStr">
        <is>
          <t>Disetujui</t>
        </is>
      </c>
      <c r="K52" t="n">
        <v>30</v>
      </c>
      <c r="L52" t="inlineStr">
        <is>
          <t>24 Juli 2026</t>
        </is>
      </c>
      <c r="M52" t="inlineStr">
        <is>
          <t>Konstruksi Bangunan Sipil Jalan, Konstruksi Jaringan Irigasi dan Drainase</t>
        </is>
      </c>
      <c r="N52" t="inlineStr">
        <is>
          <t>K</t>
        </is>
      </c>
      <c r="O52" t="inlineStr">
        <is>
          <t>20230721</t>
        </is>
      </c>
      <c r="P52" t="inlineStr">
        <is>
          <t>Jawa Barat</t>
        </is>
      </c>
      <c r="Q52" t="inlineStr"/>
    </row>
    <row r="53">
      <c r="A53" t="inlineStr">
        <is>
          <t>BINTANG EMPAT PERKASA</t>
        </is>
      </c>
      <c r="B53" t="inlineStr">
        <is>
          <t>Kab. Bondowoso</t>
        </is>
      </c>
      <c r="C53" t="inlineStr">
        <is>
          <t>08123199434</t>
        </is>
      </c>
      <c r="D53" t="inlineStr">
        <is>
          <t>btang6218@gmail.com</t>
        </is>
      </c>
      <c r="E53" t="inlineStr">
        <is>
          <t>https://lpjk.pu.go.id/search-badan-usaha-detail/RFJDWWdHV2VQWnhyV3ptOFNBREdRQT09</t>
        </is>
      </c>
      <c r="F53" t="n">
        <v>6</v>
      </c>
      <c r="G53" t="inlineStr">
        <is>
          <t>BG006, BS001, BS004</t>
        </is>
      </c>
      <c r="H53" t="inlineStr">
        <is>
          <t>19 Oktober 2022</t>
        </is>
      </c>
      <c r="I53" s="2" t="n">
        <v>46227</v>
      </c>
      <c r="J53" t="inlineStr">
        <is>
          <t>Disetujui</t>
        </is>
      </c>
      <c r="K53" t="n">
        <v>30</v>
      </c>
      <c r="L53" t="inlineStr">
        <is>
          <t>24 Juli 2026</t>
        </is>
      </c>
      <c r="M53" t="inlineStr">
        <is>
          <t>Konstruksi Bangunan Sipil Jalan, Konstruksi Gedung Pendidikan, Konstruksi Jaringan Irigasi dan Drainase</t>
        </is>
      </c>
      <c r="N53" t="inlineStr">
        <is>
          <t>K</t>
        </is>
      </c>
      <c r="O53" t="inlineStr">
        <is>
          <t>20230619, 20230720</t>
        </is>
      </c>
      <c r="P53" t="inlineStr">
        <is>
          <t>Jawa Timur</t>
        </is>
      </c>
      <c r="Q53" t="inlineStr"/>
    </row>
    <row r="54">
      <c r="A54" t="inlineStr">
        <is>
          <t>BINTANG GALAXY</t>
        </is>
      </c>
      <c r="B54" t="inlineStr">
        <is>
          <t>Kab. Lamongan</t>
        </is>
      </c>
      <c r="C54" t="inlineStr">
        <is>
          <t>081230695297</t>
        </is>
      </c>
      <c r="D54" t="inlineStr">
        <is>
          <t>b_galaxy@ymail.com</t>
        </is>
      </c>
      <c r="E54" t="inlineStr">
        <is>
          <t>https://lpjk.pu.go.id/search-badan-usaha-detail/SEl4MnZ0WENGNnZtV0xQQm4zMHFVZz09</t>
        </is>
      </c>
      <c r="F54" t="n">
        <v>2</v>
      </c>
      <c r="G54" t="inlineStr">
        <is>
          <t>BG006</t>
        </is>
      </c>
      <c r="H54" t="inlineStr">
        <is>
          <t>26 Juli 2007</t>
        </is>
      </c>
      <c r="I54" s="2" t="n">
        <v>46227</v>
      </c>
      <c r="J54" t="inlineStr">
        <is>
          <t>Disetujui</t>
        </is>
      </c>
      <c r="K54" t="n">
        <v>30</v>
      </c>
      <c r="L54" t="inlineStr">
        <is>
          <t>24 Juli 2026</t>
        </is>
      </c>
      <c r="M54" t="inlineStr">
        <is>
          <t>Konstruksi Gedung Pendidikan</t>
        </is>
      </c>
      <c r="N54" t="inlineStr">
        <is>
          <t>K</t>
        </is>
      </c>
      <c r="O54" t="inlineStr">
        <is>
          <t>20230718</t>
        </is>
      </c>
      <c r="P54" t="inlineStr">
        <is>
          <t>Jawa Timur</t>
        </is>
      </c>
      <c r="Q54" t="inlineStr"/>
    </row>
    <row r="55">
      <c r="A55" t="inlineStr">
        <is>
          <t>BINTANG LAKSMANA</t>
        </is>
      </c>
      <c r="B55" t="inlineStr">
        <is>
          <t>Kab. Kuantan Singingi</t>
        </is>
      </c>
      <c r="C55" t="inlineStr">
        <is>
          <t>085265362468</t>
        </is>
      </c>
      <c r="D55" t="inlineStr">
        <is>
          <t>cvbintanglaksmana2019@gmail.com</t>
        </is>
      </c>
      <c r="E55" t="inlineStr">
        <is>
          <t>https://lpjk.pu.go.id/search-badan-usaha-detail/aDVydUJ0bjNTUys0RGpIRmZ5OFZrUT09</t>
        </is>
      </c>
      <c r="F55" t="n">
        <v>10</v>
      </c>
      <c r="G55" t="inlineStr">
        <is>
          <t>BG002, BG004, BG005, BG006, BG009</t>
        </is>
      </c>
      <c r="H55" t="inlineStr">
        <is>
          <t>2 Januari 2007</t>
        </is>
      </c>
      <c r="I55" s="2" t="n">
        <v>46227</v>
      </c>
      <c r="J55" t="inlineStr">
        <is>
          <t>Disetujui</t>
        </is>
      </c>
      <c r="K55" t="n">
        <v>30</v>
      </c>
      <c r="L55" t="inlineStr">
        <is>
          <t>24 Juli 2026</t>
        </is>
      </c>
      <c r="M55" t="inlineStr">
        <is>
          <t>Konstruksi Gedung Kesehatan, Konstruksi Gedung Lainnya, Konstruksi Gedung Pendidikan, Konstruksi Gedung Perbelanjaan, Konstruksi Gedung Perkantoran</t>
        </is>
      </c>
      <c r="N55" t="inlineStr">
        <is>
          <t>K</t>
        </is>
      </c>
      <c r="O55" t="inlineStr">
        <is>
          <t>20230725</t>
        </is>
      </c>
      <c r="P55" t="inlineStr">
        <is>
          <t>Riau</t>
        </is>
      </c>
      <c r="Q55" t="inlineStr"/>
    </row>
    <row r="56">
      <c r="A56" t="inlineStr">
        <is>
          <t>BINTANG RADITHYA</t>
        </is>
      </c>
      <c r="B56" t="inlineStr">
        <is>
          <t>Kab. Purbalingga</t>
        </is>
      </c>
      <c r="C56" t="inlineStr">
        <is>
          <t>0859144735666</t>
        </is>
      </c>
      <c r="D56" t="inlineStr">
        <is>
          <t>bintangraditya_pbg@yahoo.co.id</t>
        </is>
      </c>
      <c r="E56" t="inlineStr">
        <is>
          <t>https://lpjk.pu.go.id/search-badan-usaha-detail/Nlk2dGlmN1l2cEp0akRZMmJFZXJlUT09</t>
        </is>
      </c>
      <c r="F56" t="n">
        <v>10</v>
      </c>
      <c r="G56" t="inlineStr">
        <is>
          <t>BG001, BG003, BG004, BG008, BG009</t>
        </is>
      </c>
      <c r="H56" t="inlineStr">
        <is>
          <t>13 Januari 2011</t>
        </is>
      </c>
      <c r="I56" s="2" t="n">
        <v>46227</v>
      </c>
      <c r="J56" t="inlineStr">
        <is>
          <t>Disetujui, Pencabutan</t>
        </is>
      </c>
      <c r="K56" t="n">
        <v>30</v>
      </c>
      <c r="L56" t="inlineStr">
        <is>
          <t>24 Juli 2026</t>
        </is>
      </c>
      <c r="M56" t="inlineStr">
        <is>
          <t>Konstruksi Gedung Hunian, Konstruksi Gedung Industri, Konstruksi Gedung Lainnya, Konstruksi Gedung Perbelanjaan, Konstruksi Gedung Tempat Hiburan dan Olahraga</t>
        </is>
      </c>
      <c r="N56" t="inlineStr">
        <is>
          <t>K</t>
        </is>
      </c>
      <c r="O56" t="inlineStr">
        <is>
          <t>20230724, 20230725</t>
        </is>
      </c>
      <c r="P56" t="inlineStr">
        <is>
          <t>Jawa Tengah</t>
        </is>
      </c>
      <c r="Q56" t="inlineStr"/>
    </row>
    <row r="57">
      <c r="A57" t="inlineStr">
        <is>
          <t>BUMI LESTARINDO</t>
        </is>
      </c>
      <c r="B57" t="inlineStr">
        <is>
          <t>Kab. Lumajang</t>
        </is>
      </c>
      <c r="C57" t="inlineStr">
        <is>
          <t>085234638111</t>
        </is>
      </c>
      <c r="D57" t="inlineStr">
        <is>
          <t>idoer_gdr@yahoo.co.id</t>
        </is>
      </c>
      <c r="E57" t="inlineStr">
        <is>
          <t>https://lpjk.pu.go.id/search-badan-usaha-detail/ZkNQcnM2RWVmVHVMdVo3NStBaU9BQT09</t>
        </is>
      </c>
      <c r="F57" t="n">
        <v>1</v>
      </c>
      <c r="G57" t="inlineStr">
        <is>
          <t>BS001</t>
        </is>
      </c>
      <c r="H57" t="inlineStr">
        <is>
          <t>12 Januari 2008</t>
        </is>
      </c>
      <c r="I57" s="2" t="n">
        <v>46227</v>
      </c>
      <c r="J57" t="inlineStr">
        <is>
          <t>Disetujui</t>
        </is>
      </c>
      <c r="K57" t="n">
        <v>30</v>
      </c>
      <c r="L57" t="inlineStr">
        <is>
          <t>24 Juli 2026</t>
        </is>
      </c>
      <c r="M57" t="inlineStr">
        <is>
          <t>Konstruksi Bangunan Sipil Jalan</t>
        </is>
      </c>
      <c r="N57" t="inlineStr">
        <is>
          <t>K</t>
        </is>
      </c>
      <c r="O57" t="inlineStr">
        <is>
          <t>20230713</t>
        </is>
      </c>
      <c r="P57" t="inlineStr">
        <is>
          <t>Jawa Timur</t>
        </is>
      </c>
      <c r="Q57" t="inlineStr"/>
    </row>
    <row r="58">
      <c r="A58" t="inlineStr">
        <is>
          <t>BUMI MAS</t>
        </is>
      </c>
      <c r="B58" t="inlineStr">
        <is>
          <t>Kab. Wonosobo</t>
        </is>
      </c>
      <c r="C58" t="inlineStr">
        <is>
          <t>082234197599</t>
        </is>
      </c>
      <c r="D58" t="inlineStr">
        <is>
          <t>Cvbumimas26@gmail.com</t>
        </is>
      </c>
      <c r="E58" t="inlineStr">
        <is>
          <t>https://lpjk.pu.go.id/search-badan-usaha-detail/NVAzSkNrc3RxZFd5aUpvYlI5RHVaQT09</t>
        </is>
      </c>
      <c r="F58" t="n">
        <v>1</v>
      </c>
      <c r="G58" t="inlineStr">
        <is>
          <t>BG006</t>
        </is>
      </c>
      <c r="H58" t="inlineStr">
        <is>
          <t>6 Juni 2022</t>
        </is>
      </c>
      <c r="I58" s="2" t="n">
        <v>46227</v>
      </c>
      <c r="J58" t="inlineStr">
        <is>
          <t>Disetujui</t>
        </is>
      </c>
      <c r="K58" t="n">
        <v>30</v>
      </c>
      <c r="L58" t="inlineStr">
        <is>
          <t>24 Juli 2026</t>
        </is>
      </c>
      <c r="M58" t="inlineStr">
        <is>
          <t>Konstruksi Gedung Pendidikan</t>
        </is>
      </c>
      <c r="N58" t="inlineStr">
        <is>
          <t>K</t>
        </is>
      </c>
      <c r="O58" t="inlineStr">
        <is>
          <t>20230724</t>
        </is>
      </c>
      <c r="P58" t="inlineStr">
        <is>
          <t>Jawa Tengah</t>
        </is>
      </c>
      <c r="Q58" t="inlineStr"/>
    </row>
    <row r="59">
      <c r="A59" t="inlineStr">
        <is>
          <t>BUMI MEGA WAHANA</t>
        </is>
      </c>
      <c r="B59" t="inlineStr">
        <is>
          <t>Kab. Bone</t>
        </is>
      </c>
      <c r="C59" t="inlineStr">
        <is>
          <t>082385554777</t>
        </is>
      </c>
      <c r="D59" t="inlineStr">
        <is>
          <t>cv_bumuputra.wahana@yahoo.com</t>
        </is>
      </c>
      <c r="E59" t="inlineStr">
        <is>
          <t>https://lpjk.pu.go.id/search-badan-usaha-detail/UEFiMm5SZ3BKcE1FOHhkb3N6NURVZz09</t>
        </is>
      </c>
      <c r="F59" t="n">
        <v>1</v>
      </c>
      <c r="G59" t="inlineStr">
        <is>
          <t>BG006</t>
        </is>
      </c>
      <c r="H59" t="inlineStr">
        <is>
          <t>20 Januari 2017</t>
        </is>
      </c>
      <c r="I59" s="2" t="n">
        <v>46227</v>
      </c>
      <c r="J59" t="inlineStr">
        <is>
          <t>Pencabutan</t>
        </is>
      </c>
      <c r="K59" t="n">
        <v>30</v>
      </c>
      <c r="L59" t="inlineStr">
        <is>
          <t>24 Juli 2026</t>
        </is>
      </c>
      <c r="M59" t="inlineStr">
        <is>
          <t>Konstruksi Gedung Pendidikan</t>
        </is>
      </c>
      <c r="N59" t="inlineStr">
        <is>
          <t>K</t>
        </is>
      </c>
      <c r="O59" t="inlineStr">
        <is>
          <t>20230708</t>
        </is>
      </c>
      <c r="P59" t="inlineStr">
        <is>
          <t>Sulawesi Selatan</t>
        </is>
      </c>
      <c r="Q59" t="inlineStr"/>
    </row>
    <row r="60">
      <c r="A60" t="inlineStr">
        <is>
          <t>BUMI PERKASA KALIPANCUR</t>
        </is>
      </c>
      <c r="B60" t="inlineStr">
        <is>
          <t>Kota Bandar Lampung</t>
        </is>
      </c>
      <c r="C60" t="inlineStr">
        <is>
          <t>081379858513</t>
        </is>
      </c>
      <c r="D60" t="inlineStr">
        <is>
          <t>pt.bumiperkasakalipancur@gmail.com</t>
        </is>
      </c>
      <c r="E60" t="inlineStr">
        <is>
          <t>https://lpjk.pu.go.id/search-badan-usaha-detail/RXlJNWFhTUNCL1lzcnRWUXhvWmdVdz09</t>
        </is>
      </c>
      <c r="F60" t="n">
        <v>1</v>
      </c>
      <c r="G60" t="inlineStr">
        <is>
          <t>BG009</t>
        </is>
      </c>
      <c r="H60" t="inlineStr">
        <is>
          <t>25 Januari 2017</t>
        </is>
      </c>
      <c r="I60" s="2" t="n">
        <v>46227</v>
      </c>
      <c r="J60" t="inlineStr">
        <is>
          <t>Disetujui</t>
        </is>
      </c>
      <c r="K60" t="n">
        <v>30</v>
      </c>
      <c r="L60" t="inlineStr">
        <is>
          <t>24 Juli 2026</t>
        </is>
      </c>
      <c r="M60" t="inlineStr">
        <is>
          <t>Konstruksi Gedung Lainnya</t>
        </is>
      </c>
      <c r="N60" t="inlineStr">
        <is>
          <t>M</t>
        </is>
      </c>
      <c r="O60" t="inlineStr">
        <is>
          <t>20230721</t>
        </is>
      </c>
      <c r="P60" t="inlineStr">
        <is>
          <t>Lampung</t>
        </is>
      </c>
      <c r="Q60" t="inlineStr"/>
    </row>
    <row r="61">
      <c r="A61" t="inlineStr">
        <is>
          <t>BUMI SENTOSA</t>
        </is>
      </c>
      <c r="B61" t="inlineStr">
        <is>
          <t>Kota Denpasar</t>
        </is>
      </c>
      <c r="C61" t="inlineStr">
        <is>
          <t>03618497719</t>
        </is>
      </c>
      <c r="D61" t="inlineStr">
        <is>
          <t>info@bumisentosa.co.id</t>
        </is>
      </c>
      <c r="E61" t="inlineStr">
        <is>
          <t>https://lpjk.pu.go.id/search-badan-usaha-detail/YkNPaElkRURmNVBNUWtjaStaY3Y1Zz09</t>
        </is>
      </c>
      <c r="F61" t="n">
        <v>1</v>
      </c>
      <c r="G61" t="inlineStr">
        <is>
          <t>BG002</t>
        </is>
      </c>
      <c r="H61" t="inlineStr">
        <is>
          <t>11 Juli 2007</t>
        </is>
      </c>
      <c r="I61" s="2" t="n">
        <v>46227</v>
      </c>
      <c r="J61" t="inlineStr">
        <is>
          <t>Disetujui</t>
        </is>
      </c>
      <c r="K61" t="n">
        <v>30</v>
      </c>
      <c r="L61" t="inlineStr">
        <is>
          <t>24 Juli 2026</t>
        </is>
      </c>
      <c r="M61" t="inlineStr">
        <is>
          <t>Konstruksi Gedung Perkantoran</t>
        </is>
      </c>
      <c r="N61" t="inlineStr">
        <is>
          <t>K</t>
        </is>
      </c>
      <c r="O61" t="inlineStr">
        <is>
          <t>20230711</t>
        </is>
      </c>
      <c r="P61" t="inlineStr">
        <is>
          <t>Bali</t>
        </is>
      </c>
      <c r="Q61" t="inlineStr"/>
    </row>
    <row r="62">
      <c r="A62" t="inlineStr">
        <is>
          <t>BUNGA RATU</t>
        </is>
      </c>
      <c r="B62" t="inlineStr">
        <is>
          <t>Kab. Bengkalis</t>
        </is>
      </c>
      <c r="C62" t="inlineStr">
        <is>
          <t>082386312368</t>
        </is>
      </c>
      <c r="D62" t="inlineStr">
        <is>
          <t>cv.bungaratu_bks@yahoo.co.id</t>
        </is>
      </c>
      <c r="E62" t="inlineStr">
        <is>
          <t>https://lpjk.pu.go.id/search-badan-usaha-detail/MGlRUEs3N1lzTE92TTJUSXFBTTF3UT09</t>
        </is>
      </c>
      <c r="F62" t="n">
        <v>3</v>
      </c>
      <c r="G62" t="inlineStr">
        <is>
          <t>BG002, BG005, BG006</t>
        </is>
      </c>
      <c r="H62" t="inlineStr">
        <is>
          <t>12 Desember 2012</t>
        </is>
      </c>
      <c r="I62" s="2" t="n">
        <v>46227</v>
      </c>
      <c r="J62" t="inlineStr">
        <is>
          <t>Disetujui</t>
        </is>
      </c>
      <c r="K62" t="n">
        <v>30</v>
      </c>
      <c r="L62" t="inlineStr">
        <is>
          <t>24 Juli 2026</t>
        </is>
      </c>
      <c r="M62" t="inlineStr">
        <is>
          <t>Konstruksi Gedung Kesehatan, Konstruksi Gedung Pendidikan, Konstruksi Gedung Perkantoran</t>
        </is>
      </c>
      <c r="N62" t="inlineStr">
        <is>
          <t>K</t>
        </is>
      </c>
      <c r="O62" t="inlineStr">
        <is>
          <t>20230503, 20230721</t>
        </is>
      </c>
      <c r="P62" t="inlineStr">
        <is>
          <t>Riau</t>
        </is>
      </c>
      <c r="Q62" t="inlineStr"/>
    </row>
    <row r="63">
      <c r="A63" t="inlineStr">
        <is>
          <t>CAHAYA FAJAR</t>
        </is>
      </c>
      <c r="B63" t="inlineStr">
        <is>
          <t>Kota Tanjung Pinang</t>
        </is>
      </c>
      <c r="C63" t="inlineStr">
        <is>
          <t>085264183139</t>
        </is>
      </c>
      <c r="D63" t="inlineStr">
        <is>
          <t>rio.purnomo1964@gmail.com</t>
        </is>
      </c>
      <c r="E63" t="inlineStr">
        <is>
          <t>https://lpjk.pu.go.id/search-badan-usaha-detail/SlpVSFc2WlZkK2RCaW16di9jcDByQT09</t>
        </is>
      </c>
      <c r="F63" t="n">
        <v>3</v>
      </c>
      <c r="G63" t="inlineStr">
        <is>
          <t>BG002, BG004, BG006</t>
        </is>
      </c>
      <c r="H63" t="inlineStr">
        <is>
          <t>1 Februari 2019</t>
        </is>
      </c>
      <c r="I63" s="2" t="n">
        <v>46227</v>
      </c>
      <c r="J63" t="inlineStr">
        <is>
          <t>Pencabutan</t>
        </is>
      </c>
      <c r="K63" t="n">
        <v>30</v>
      </c>
      <c r="L63" t="inlineStr">
        <is>
          <t>24 Juli 2026</t>
        </is>
      </c>
      <c r="M63" t="inlineStr">
        <is>
          <t>Konstruksi Gedung Pendidikan, Konstruksi Gedung Perbelanjaan, Konstruksi Gedung Perkantoran</t>
        </is>
      </c>
      <c r="N63" t="inlineStr">
        <is>
          <t>K</t>
        </is>
      </c>
      <c r="O63" t="inlineStr">
        <is>
          <t>20230704, 20230717</t>
        </is>
      </c>
      <c r="P63" t="inlineStr">
        <is>
          <t>Kepulauan Riau</t>
        </is>
      </c>
      <c r="Q63" t="inlineStr"/>
    </row>
    <row r="64">
      <c r="A64" t="inlineStr">
        <is>
          <t>CAHAYA NUR</t>
        </is>
      </c>
      <c r="B64" t="inlineStr">
        <is>
          <t>Kota Bima</t>
        </is>
      </c>
      <c r="C64" t="inlineStr">
        <is>
          <t>082341592156</t>
        </is>
      </c>
      <c r="D64" t="inlineStr">
        <is>
          <t>cvcahayanur388@gmail.com</t>
        </is>
      </c>
      <c r="E64" t="inlineStr">
        <is>
          <t>https://lpjk.pu.go.id/search-badan-usaha-detail/RmgvQkttMm41MFcyWnlhSEQ2OTB6Zz09</t>
        </is>
      </c>
      <c r="F64" t="n">
        <v>1</v>
      </c>
      <c r="G64" t="inlineStr">
        <is>
          <t>BG002</t>
        </is>
      </c>
      <c r="H64" t="inlineStr">
        <is>
          <t>15 Mei 2012</t>
        </is>
      </c>
      <c r="I64" s="2" t="n">
        <v>46227</v>
      </c>
      <c r="J64" t="inlineStr">
        <is>
          <t>Disetujui</t>
        </is>
      </c>
      <c r="K64" t="n">
        <v>30</v>
      </c>
      <c r="L64" t="inlineStr">
        <is>
          <t>24 Juli 2026</t>
        </is>
      </c>
      <c r="M64" t="inlineStr">
        <is>
          <t>Konstruksi Gedung Perkantoran</t>
        </is>
      </c>
      <c r="N64" t="inlineStr">
        <is>
          <t>K</t>
        </is>
      </c>
      <c r="O64" t="inlineStr">
        <is>
          <t>20230722</t>
        </is>
      </c>
      <c r="P64" t="inlineStr">
        <is>
          <t>Nusa Tenggara Barat</t>
        </is>
      </c>
      <c r="Q64" t="inlineStr"/>
    </row>
    <row r="65">
      <c r="A65" t="inlineStr">
        <is>
          <t>CAHAYA TIMUR</t>
        </is>
      </c>
      <c r="B65" t="inlineStr">
        <is>
          <t>Kab. Indragiri Hulu</t>
        </is>
      </c>
      <c r="C65" t="inlineStr">
        <is>
          <t>08126822717</t>
        </is>
      </c>
      <c r="D65" t="inlineStr">
        <is>
          <t>cv.cahayatimur@ymail.com</t>
        </is>
      </c>
      <c r="E65" t="inlineStr">
        <is>
          <t>https://lpjk.pu.go.id/search-badan-usaha-detail/SEd0NDhHQk5QRFNxemtQc09tSTRDQT09</t>
        </is>
      </c>
      <c r="F65" t="n">
        <v>6</v>
      </c>
      <c r="G65" t="inlineStr">
        <is>
          <t>BG005, BG006, BG009, BS001, BS002, BS004</t>
        </is>
      </c>
      <c r="H65" t="inlineStr">
        <is>
          <t>1 Desember 2000</t>
        </is>
      </c>
      <c r="I65" s="2" t="n">
        <v>46227</v>
      </c>
      <c r="J65" t="inlineStr">
        <is>
          <t>Disetujui, Pencabutan</t>
        </is>
      </c>
      <c r="K65" t="n">
        <v>30</v>
      </c>
      <c r="L65" t="inlineStr">
        <is>
          <t>24 Juli 2026</t>
        </is>
      </c>
      <c r="M65" t="inlineStr">
        <is>
          <t>Bangunan Sipil Jembatan, Jalan Layang, Fly Over, dan Underpass, Konstruksi Bangunan Sipil Jalan, Konstruksi Gedung Kesehatan, Konstruksi Gedung Lainnya, Konstruksi Gedung Pendidikan, Konstruksi Jaringan Irigasi dan Drainase</t>
        </is>
      </c>
      <c r="N65" t="inlineStr">
        <is>
          <t>K</t>
        </is>
      </c>
      <c r="O65" t="inlineStr">
        <is>
          <t>20230719, 20230724</t>
        </is>
      </c>
      <c r="P65" t="inlineStr">
        <is>
          <t>Riau</t>
        </is>
      </c>
      <c r="Q65" t="inlineStr"/>
    </row>
    <row r="66">
      <c r="A66" t="inlineStr">
        <is>
          <t>CAHYA PRAMANA ARTHA</t>
        </is>
      </c>
      <c r="B66" t="inlineStr">
        <is>
          <t>Kab. Gianyar</t>
        </is>
      </c>
      <c r="C66" t="inlineStr">
        <is>
          <t>082340111222</t>
        </is>
      </c>
      <c r="D66" t="inlineStr">
        <is>
          <t>pt.cahyapramana@gmail.com</t>
        </is>
      </c>
      <c r="E66" t="inlineStr">
        <is>
          <t>https://lpjk.pu.go.id/search-badan-usaha-detail/N2xYaFdwa09oVzhldjlyV0NCQ1RCQT09</t>
        </is>
      </c>
      <c r="F66" t="n">
        <v>5</v>
      </c>
      <c r="G66" t="inlineStr">
        <is>
          <t>BG003, BG004, BG005, BG006, BG008</t>
        </is>
      </c>
      <c r="H66" t="inlineStr">
        <is>
          <t>14 Oktober 2020</t>
        </is>
      </c>
      <c r="I66" s="2" t="n">
        <v>46227</v>
      </c>
      <c r="J66" t="inlineStr">
        <is>
          <t>Disetujui</t>
        </is>
      </c>
      <c r="K66" t="n">
        <v>30</v>
      </c>
      <c r="L66" t="inlineStr">
        <is>
          <t>24 Juli 2026</t>
        </is>
      </c>
      <c r="M66" t="inlineStr">
        <is>
          <t>Konstruksi Gedung Industri, Konstruksi Gedung Kesehatan, Konstruksi Gedung Pendidikan, Konstruksi Gedung Perbelanjaan, Konstruksi Gedung Tempat Hiburan dan Olahraga</t>
        </is>
      </c>
      <c r="N66" t="inlineStr">
        <is>
          <t>K</t>
        </is>
      </c>
      <c r="O66" t="inlineStr">
        <is>
          <t>20230722</t>
        </is>
      </c>
      <c r="P66" t="inlineStr">
        <is>
          <t>Bali</t>
        </is>
      </c>
      <c r="Q66" t="inlineStr"/>
    </row>
    <row r="67">
      <c r="A67" t="inlineStr">
        <is>
          <t>CANDI SARI</t>
        </is>
      </c>
      <c r="B67" t="inlineStr">
        <is>
          <t>Kab. Bantul</t>
        </is>
      </c>
      <c r="C67" t="inlineStr">
        <is>
          <t>08122735288</t>
        </is>
      </c>
      <c r="D67" t="inlineStr">
        <is>
          <t>cv_candisari19@yahoo.co.id</t>
        </is>
      </c>
      <c r="E67" t="inlineStr">
        <is>
          <t>https://lpjk.pu.go.id/search-badan-usaha-detail/UTcwQWtBV0ovUUQ2RC9LZVZvSUtpUT09</t>
        </is>
      </c>
      <c r="F67" t="n">
        <v>2</v>
      </c>
      <c r="G67" t="inlineStr">
        <is>
          <t>BS002, BS006</t>
        </is>
      </c>
      <c r="H67" t="inlineStr">
        <is>
          <t>2 Agustus 2000</t>
        </is>
      </c>
      <c r="I67" s="2" t="n">
        <v>46227</v>
      </c>
      <c r="J67" t="inlineStr">
        <is>
          <t>Disetujui</t>
        </is>
      </c>
      <c r="K67" t="n">
        <v>30</v>
      </c>
      <c r="L67" t="inlineStr">
        <is>
          <t>24 Juli 2026</t>
        </is>
      </c>
      <c r="M67" t="inlineStr">
        <is>
          <t>Bangunan Sipil Jembatan, Jalan Layang, Fly Over, dan Underpass, Konstruksi Bangunan Sipil Prasarana dan Sarana Sistem Pengolahan Limbah Padat, Cair, dan Gas</t>
        </is>
      </c>
      <c r="N67" t="inlineStr">
        <is>
          <t>K</t>
        </is>
      </c>
      <c r="O67" t="inlineStr">
        <is>
          <t>20230630, 20230721</t>
        </is>
      </c>
      <c r="P67" t="inlineStr">
        <is>
          <t>DI Yogyakarta</t>
        </is>
      </c>
      <c r="Q67" t="inlineStr"/>
    </row>
    <row r="68">
      <c r="A68" t="inlineStr">
        <is>
          <t>CATUR ARTHA</t>
        </is>
      </c>
      <c r="B68" t="inlineStr">
        <is>
          <t>Kota Denpasar</t>
        </is>
      </c>
      <c r="C68" t="inlineStr">
        <is>
          <t>03614742635</t>
        </is>
      </c>
      <c r="D68" t="inlineStr">
        <is>
          <t>sujana666666@gmail.com</t>
        </is>
      </c>
      <c r="E68" t="inlineStr">
        <is>
          <t>https://lpjk.pu.go.id/search-badan-usaha-detail/N3IyVjBBOFpwTFRQb1Bwd0EzRWdEQT09</t>
        </is>
      </c>
      <c r="F68" t="n">
        <v>1</v>
      </c>
      <c r="G68" t="inlineStr">
        <is>
          <t>AR001</t>
        </is>
      </c>
      <c r="H68" t="inlineStr">
        <is>
          <t>23 Juli 2007</t>
        </is>
      </c>
      <c r="I68" s="2" t="n">
        <v>46227</v>
      </c>
      <c r="J68" t="inlineStr">
        <is>
          <t>Disetujui</t>
        </is>
      </c>
      <c r="K68" t="n">
        <v>30</v>
      </c>
      <c r="L68" t="inlineStr">
        <is>
          <t>24 Juli 2026</t>
        </is>
      </c>
      <c r="M68" t="inlineStr">
        <is>
          <t>Jasa Arsitektural Bangunan Gedung Hunian dan Non Hunian</t>
        </is>
      </c>
      <c r="N68" t="inlineStr">
        <is>
          <t>K</t>
        </is>
      </c>
      <c r="O68" t="inlineStr">
        <is>
          <t>20230705</t>
        </is>
      </c>
      <c r="P68" t="inlineStr">
        <is>
          <t>Bali</t>
        </is>
      </c>
      <c r="Q68" t="inlineStr"/>
    </row>
    <row r="69">
      <c r="A69" t="inlineStr">
        <is>
          <t>CENDANA INDAH</t>
        </is>
      </c>
      <c r="B69" t="inlineStr">
        <is>
          <t>Kab. Sampang</t>
        </is>
      </c>
      <c r="C69" t="inlineStr">
        <is>
          <t>081949862346</t>
        </is>
      </c>
      <c r="D69" t="inlineStr">
        <is>
          <t>cendana.indah_cv@yahoo.com</t>
        </is>
      </c>
      <c r="E69" t="inlineStr">
        <is>
          <t>https://lpjk.pu.go.id/search-badan-usaha-detail/SDRHY2l0VDZLMXN0L1BNZUxXMWdpTENGM2x6Z0lEZXovblVzTmlDZFUxbz0</t>
        </is>
      </c>
      <c r="F69" t="n">
        <v>1</v>
      </c>
      <c r="G69" t="inlineStr">
        <is>
          <t>BG006</t>
        </is>
      </c>
      <c r="H69" t="inlineStr">
        <is>
          <t>2 April 2026</t>
        </is>
      </c>
      <c r="I69" s="2" t="n">
        <v>46227</v>
      </c>
      <c r="J69" t="inlineStr">
        <is>
          <t>Disetujui</t>
        </is>
      </c>
      <c r="K69" t="n">
        <v>30</v>
      </c>
      <c r="L69" t="inlineStr">
        <is>
          <t>24 Juli 2026</t>
        </is>
      </c>
      <c r="M69" t="inlineStr">
        <is>
          <t>Konstruksi Gedung Pendidikan</t>
        </is>
      </c>
      <c r="N69" t="inlineStr">
        <is>
          <t>K</t>
        </is>
      </c>
      <c r="O69" t="inlineStr">
        <is>
          <t>20230721</t>
        </is>
      </c>
      <c r="P69" t="inlineStr">
        <is>
          <t>Jawa Timur</t>
        </is>
      </c>
      <c r="Q69" t="inlineStr"/>
    </row>
    <row r="70">
      <c r="A70" t="inlineStr">
        <is>
          <t>CIKAL CITRA MAPAN</t>
        </is>
      </c>
      <c r="B70" t="inlineStr">
        <is>
          <t>Kota Adm. Jakarta Barat</t>
        </is>
      </c>
      <c r="C70" t="inlineStr">
        <is>
          <t>58302970</t>
        </is>
      </c>
      <c r="D70" t="inlineStr">
        <is>
          <t>mapankeu@gmail.com</t>
        </is>
      </c>
      <c r="E70" t="inlineStr">
        <is>
          <t>https://lpjk.pu.go.id/search-badan-usaha-detail/VlYreUVLUjFSVSt4Z1NockFrTndtdz09</t>
        </is>
      </c>
      <c r="F70" t="n">
        <v>1</v>
      </c>
      <c r="G70" t="inlineStr">
        <is>
          <t>PB003</t>
        </is>
      </c>
      <c r="H70" t="inlineStr">
        <is>
          <t>1 Januari 2018</t>
        </is>
      </c>
      <c r="I70" s="2" t="n">
        <v>46227</v>
      </c>
      <c r="J70" t="inlineStr">
        <is>
          <t>Pembekuan</t>
        </is>
      </c>
      <c r="K70" t="n">
        <v>30</v>
      </c>
      <c r="L70" t="inlineStr">
        <is>
          <t>24 Juli 2026</t>
        </is>
      </c>
      <c r="M70" t="inlineStr">
        <is>
          <t>Pengerjaan Lantai, Dinding, Peralatan Saniter dan Plafon</t>
        </is>
      </c>
      <c r="N70" t="inlineStr">
        <is>
          <t>Spesialis</t>
        </is>
      </c>
      <c r="O70" t="inlineStr">
        <is>
          <t>20230725</t>
        </is>
      </c>
      <c r="P70" t="inlineStr">
        <is>
          <t>DKI Jakarta</t>
        </is>
      </c>
      <c r="Q70" t="inlineStr"/>
    </row>
    <row r="71">
      <c r="A71" t="inlineStr">
        <is>
          <t>CINTA KARYA MEMBANGUN</t>
        </is>
      </c>
      <c r="B71" t="inlineStr">
        <is>
          <t>Kota Medan</t>
        </is>
      </c>
      <c r="C71" t="inlineStr">
        <is>
          <t>06142777095</t>
        </is>
      </c>
      <c r="D71" t="inlineStr">
        <is>
          <t>cintakaryapt@gmail.com</t>
        </is>
      </c>
      <c r="E71" t="inlineStr">
        <is>
          <t>https://lpjk.pu.go.id/search-badan-usaha-detail/OTFPMkFsWGJmY0dsVTdrejMySFI5Zz09</t>
        </is>
      </c>
      <c r="F71" t="n">
        <v>1</v>
      </c>
      <c r="G71" t="inlineStr">
        <is>
          <t>BS005</t>
        </is>
      </c>
      <c r="H71" t="inlineStr">
        <is>
          <t>28 Oktober 2015</t>
        </is>
      </c>
      <c r="I71" s="2" t="n">
        <v>46227</v>
      </c>
      <c r="J71" t="inlineStr">
        <is>
          <t>Pencabutan</t>
        </is>
      </c>
      <c r="K71" t="n">
        <v>30</v>
      </c>
      <c r="L71" t="inlineStr">
        <is>
          <t>24 Juli 2026</t>
        </is>
      </c>
      <c r="M71" t="inlineStr">
        <is>
          <t>Konstruksi Bangunan Sipil Pengolahan Air Bersih</t>
        </is>
      </c>
      <c r="N71" t="inlineStr">
        <is>
          <t>B</t>
        </is>
      </c>
      <c r="O71" t="inlineStr">
        <is>
          <t>20230713</t>
        </is>
      </c>
      <c r="P71" t="inlineStr">
        <is>
          <t>Sumatera Utara</t>
        </is>
      </c>
      <c r="Q71" t="inlineStr"/>
    </row>
    <row r="72">
      <c r="A72" t="inlineStr">
        <is>
          <t>CIPTA ADYA LARAS</t>
        </is>
      </c>
      <c r="B72" t="inlineStr">
        <is>
          <t>Kota Surabaya</t>
        </is>
      </c>
      <c r="C72" t="inlineStr">
        <is>
          <t>0313538163</t>
        </is>
      </c>
      <c r="D72" t="inlineStr">
        <is>
          <t>pt.ciptaadyalaras@gmail.com</t>
        </is>
      </c>
      <c r="E72" t="inlineStr">
        <is>
          <t>https://lpjk.pu.go.id/search-badan-usaha-detail/Mllvcm1JR25SbjFkZllYNkV6aFE1Zz09</t>
        </is>
      </c>
      <c r="F72" t="n">
        <v>1</v>
      </c>
      <c r="G72" t="inlineStr">
        <is>
          <t>BG004</t>
        </is>
      </c>
      <c r="H72" t="inlineStr">
        <is>
          <t>11 Oktober 1990</t>
        </is>
      </c>
      <c r="I72" s="2" t="n">
        <v>46227</v>
      </c>
      <c r="J72" t="inlineStr">
        <is>
          <t>Disetujui</t>
        </is>
      </c>
      <c r="K72" t="n">
        <v>30</v>
      </c>
      <c r="L72" t="inlineStr">
        <is>
          <t>24 Juli 2026</t>
        </is>
      </c>
      <c r="M72" t="inlineStr">
        <is>
          <t>Konstruksi Gedung Perbelanjaan</t>
        </is>
      </c>
      <c r="N72" t="inlineStr">
        <is>
          <t>K</t>
        </is>
      </c>
      <c r="O72" t="inlineStr">
        <is>
          <t>20230721</t>
        </is>
      </c>
      <c r="P72" t="inlineStr">
        <is>
          <t>Jawa Timur</t>
        </is>
      </c>
      <c r="Q72" t="inlineStr"/>
    </row>
    <row r="73">
      <c r="A73" t="inlineStr">
        <is>
          <t>CITA RANCANG PRAJA</t>
        </is>
      </c>
      <c r="B73" t="inlineStr">
        <is>
          <t>Kota Palu</t>
        </is>
      </c>
      <c r="C73" t="inlineStr">
        <is>
          <t>082259105565</t>
        </is>
      </c>
      <c r="D73" t="inlineStr">
        <is>
          <t>ptcitarancangpraja@gmail.com</t>
        </is>
      </c>
      <c r="E73" t="inlineStr">
        <is>
          <t>https://lpjk.pu.go.id/search-badan-usaha-detail/YjBXRmZoclhBTDZjUkRNVWN4ajQydz09</t>
        </is>
      </c>
      <c r="F73" t="n">
        <v>1</v>
      </c>
      <c r="G73" t="inlineStr">
        <is>
          <t>RK001</t>
        </is>
      </c>
      <c r="H73" t="inlineStr">
        <is>
          <t>3 Juli 2023</t>
        </is>
      </c>
      <c r="I73" s="2" t="n">
        <v>46227</v>
      </c>
      <c r="J73" t="inlineStr">
        <is>
          <t>Disetujui</t>
        </is>
      </c>
      <c r="K73" t="n">
        <v>30</v>
      </c>
      <c r="L73" t="inlineStr">
        <is>
          <t>24 Juli 2026</t>
        </is>
      </c>
      <c r="M73" t="inlineStr">
        <is>
          <t>Jasa Rekayasa Konstruksi Bangunan Gedung Hunian dan Non Hunian</t>
        </is>
      </c>
      <c r="N73" t="inlineStr">
        <is>
          <t>K</t>
        </is>
      </c>
      <c r="O73" t="inlineStr">
        <is>
          <t>20230711</t>
        </is>
      </c>
      <c r="P73" t="inlineStr">
        <is>
          <t>Sulawesi Tengah</t>
        </is>
      </c>
      <c r="Q73" t="inlineStr"/>
    </row>
    <row r="74">
      <c r="A74" t="inlineStr">
        <is>
          <t>CITRA GEMILANG PERSADA</t>
        </is>
      </c>
      <c r="B74" t="inlineStr">
        <is>
          <t>Kab. Situbondo</t>
        </is>
      </c>
      <c r="C74" t="inlineStr">
        <is>
          <t>08123471449</t>
        </is>
      </c>
      <c r="D74" t="inlineStr">
        <is>
          <t>lsbugkb3512@gmail.com</t>
        </is>
      </c>
      <c r="E74" t="inlineStr">
        <is>
          <t>https://lpjk.pu.go.id/search-badan-usaha-detail/U0dCV2tKMnRhb1dHblp3dFM5a25tUT09</t>
        </is>
      </c>
      <c r="F74" t="n">
        <v>2</v>
      </c>
      <c r="G74" t="inlineStr">
        <is>
          <t>BG005, BG009</t>
        </is>
      </c>
      <c r="H74" t="inlineStr">
        <is>
          <t>30 November 1995</t>
        </is>
      </c>
      <c r="I74" s="2" t="n">
        <v>46227</v>
      </c>
      <c r="J74" t="inlineStr">
        <is>
          <t>Pencabutan</t>
        </is>
      </c>
      <c r="K74" t="n">
        <v>30</v>
      </c>
      <c r="L74" t="inlineStr">
        <is>
          <t>24 Juli 2026</t>
        </is>
      </c>
      <c r="M74" t="inlineStr">
        <is>
          <t>Konstruksi Gedung Kesehatan, Konstruksi Gedung Lainnya</t>
        </is>
      </c>
      <c r="N74" t="inlineStr">
        <is>
          <t>K</t>
        </is>
      </c>
      <c r="O74" t="inlineStr">
        <is>
          <t>20230720</t>
        </is>
      </c>
      <c r="P74" t="inlineStr">
        <is>
          <t>Jawa Timur</t>
        </is>
      </c>
      <c r="Q74" t="inlineStr"/>
    </row>
    <row r="75">
      <c r="A75" t="inlineStr">
        <is>
          <t>CITRA LESTARI</t>
        </is>
      </c>
      <c r="B75" t="inlineStr">
        <is>
          <t>Kab. Lombok Utara</t>
        </is>
      </c>
      <c r="C75" t="inlineStr">
        <is>
          <t>081803631164</t>
        </is>
      </c>
      <c r="D75" t="inlineStr">
        <is>
          <t>cvcitralestari@yahoo.co.id</t>
        </is>
      </c>
      <c r="E75" t="inlineStr">
        <is>
          <t>https://lpjk.pu.go.id/search-badan-usaha-detail/TXo4akhYOUQ3V0JPako5Y0RuNzhadz09</t>
        </is>
      </c>
      <c r="F75" t="n">
        <v>1</v>
      </c>
      <c r="G75" t="inlineStr">
        <is>
          <t>BS004</t>
        </is>
      </c>
      <c r="H75" t="inlineStr">
        <is>
          <t>26 Agustus 2014</t>
        </is>
      </c>
      <c r="I75" s="2" t="n">
        <v>46227</v>
      </c>
      <c r="J75" t="inlineStr">
        <is>
          <t>Disetujui</t>
        </is>
      </c>
      <c r="K75" t="n">
        <v>30</v>
      </c>
      <c r="L75" t="inlineStr">
        <is>
          <t>24 Juli 2026</t>
        </is>
      </c>
      <c r="M75" t="inlineStr">
        <is>
          <t>Konstruksi Jaringan Irigasi dan Drainase</t>
        </is>
      </c>
      <c r="N75" t="inlineStr">
        <is>
          <t>K</t>
        </is>
      </c>
      <c r="O75" t="inlineStr">
        <is>
          <t>20230720</t>
        </is>
      </c>
      <c r="P75" t="inlineStr">
        <is>
          <t>Nusa Tenggara Barat</t>
        </is>
      </c>
      <c r="Q75" t="inlineStr"/>
    </row>
    <row r="76">
      <c r="A76" t="inlineStr">
        <is>
          <t>CV. EVCHADORI</t>
        </is>
      </c>
      <c r="B76" t="inlineStr">
        <is>
          <t>Kota Kupang</t>
        </is>
      </c>
      <c r="C76" t="inlineStr">
        <is>
          <t>081286550506</t>
        </is>
      </c>
      <c r="D76" t="inlineStr">
        <is>
          <t>evchadoricv@gmail.com</t>
        </is>
      </c>
      <c r="E76" t="inlineStr">
        <is>
          <t>https://lpjk.pu.go.id/search-badan-usaha-detail/UGE0eWFhY0lXSkxuWFpxdHlQQkZKZz09</t>
        </is>
      </c>
      <c r="F76" t="n">
        <v>2</v>
      </c>
      <c r="G76" t="inlineStr">
        <is>
          <t>BG001, BG006</t>
        </is>
      </c>
      <c r="H76" t="inlineStr">
        <is>
          <t>4 Maret 2013</t>
        </is>
      </c>
      <c r="I76" s="2" t="n">
        <v>46227</v>
      </c>
      <c r="J76" t="inlineStr">
        <is>
          <t>Disetujui</t>
        </is>
      </c>
      <c r="K76" t="n">
        <v>30</v>
      </c>
      <c r="L76" t="inlineStr">
        <is>
          <t>24 Juli 2026</t>
        </is>
      </c>
      <c r="M76" t="inlineStr">
        <is>
          <t>Konstruksi Gedung Hunian, Konstruksi Gedung Pendidikan</t>
        </is>
      </c>
      <c r="N76" t="inlineStr">
        <is>
          <t>K</t>
        </is>
      </c>
      <c r="O76" t="inlineStr">
        <is>
          <t>20230718</t>
        </is>
      </c>
      <c r="P76" t="inlineStr">
        <is>
          <t>Nusa Tenggara Timur</t>
        </is>
      </c>
      <c r="Q76" t="inlineStr"/>
    </row>
    <row r="77">
      <c r="A77" t="inlineStr">
        <is>
          <t>DANTI</t>
        </is>
      </c>
      <c r="B77" t="inlineStr">
        <is>
          <t>Kab. Sukabumi</t>
        </is>
      </c>
      <c r="C77" t="inlineStr">
        <is>
          <t>085797028358</t>
        </is>
      </c>
      <c r="D77" t="inlineStr">
        <is>
          <t>cv.danti01@gmail.com</t>
        </is>
      </c>
      <c r="E77" t="inlineStr">
        <is>
          <t>https://lpjk.pu.go.id/search-badan-usaha-detail/emFQQkJkTityT2loTk0zcGsxSjc0QT09</t>
        </is>
      </c>
      <c r="F77" t="n">
        <v>5</v>
      </c>
      <c r="G77" t="inlineStr">
        <is>
          <t>BG002, BG005, BG006, BS001, BS004</t>
        </is>
      </c>
      <c r="H77" t="inlineStr">
        <is>
          <t>22 Februari 1999</t>
        </is>
      </c>
      <c r="I77" s="2" t="n">
        <v>46227</v>
      </c>
      <c r="J77" t="inlineStr">
        <is>
          <t>Disetujui</t>
        </is>
      </c>
      <c r="K77" t="n">
        <v>30</v>
      </c>
      <c r="L77" t="inlineStr">
        <is>
          <t>24 Juli 2026</t>
        </is>
      </c>
      <c r="M77" t="inlineStr">
        <is>
          <t>Konstruksi Bangunan Sipil Jalan, Konstruksi Gedung Kesehatan, Konstruksi Gedung Pendidikan, Konstruksi Gedung Perkantoran, Konstruksi Jaringan Irigasi dan Drainase</t>
        </is>
      </c>
      <c r="N77" t="inlineStr">
        <is>
          <t>K</t>
        </is>
      </c>
      <c r="O77" t="inlineStr">
        <is>
          <t>20230721</t>
        </is>
      </c>
      <c r="P77" t="inlineStr">
        <is>
          <t>Jawa Barat</t>
        </is>
      </c>
      <c r="Q77" t="inlineStr"/>
    </row>
    <row r="78">
      <c r="A78" t="inlineStr">
        <is>
          <t>DEEPA TISNA</t>
        </is>
      </c>
      <c r="B78" t="inlineStr">
        <is>
          <t>Kota Tanjung Balai</t>
        </is>
      </c>
      <c r="C78" t="inlineStr">
        <is>
          <t>085362218484</t>
        </is>
      </c>
      <c r="D78" t="inlineStr">
        <is>
          <t>cv.deepatisna@gmail.com</t>
        </is>
      </c>
      <c r="E78" t="inlineStr">
        <is>
          <t>https://lpjk.pu.go.id/search-badan-usaha-detail/NlB3U2Nma082K0EwbUdDdDkzL1V6dz09</t>
        </is>
      </c>
      <c r="F78" t="n">
        <v>2</v>
      </c>
      <c r="G78" t="inlineStr">
        <is>
          <t>BG006, BG009</t>
        </is>
      </c>
      <c r="H78" t="inlineStr">
        <is>
          <t>6 Januari 2023</t>
        </is>
      </c>
      <c r="I78" s="2" t="n">
        <v>46227</v>
      </c>
      <c r="J78" t="inlineStr">
        <is>
          <t>Pencabutan</t>
        </is>
      </c>
      <c r="K78" t="n">
        <v>30</v>
      </c>
      <c r="L78" t="inlineStr">
        <is>
          <t>24 Juli 2026</t>
        </is>
      </c>
      <c r="M78" t="inlineStr">
        <is>
          <t>Konstruksi Gedung Lainnya, Konstruksi Gedung Pendidikan</t>
        </is>
      </c>
      <c r="N78" t="inlineStr">
        <is>
          <t>K</t>
        </is>
      </c>
      <c r="O78" t="inlineStr">
        <is>
          <t>20230721, 20230722</t>
        </is>
      </c>
      <c r="P78" t="inlineStr">
        <is>
          <t>Sumatera Utara</t>
        </is>
      </c>
      <c r="Q78" t="inlineStr"/>
    </row>
    <row r="79">
      <c r="A79" t="inlineStr">
        <is>
          <t>DEWI FORTUNA TEHNIK</t>
        </is>
      </c>
      <c r="B79" t="inlineStr">
        <is>
          <t>Kota Banjarmasin</t>
        </is>
      </c>
      <c r="C79" t="inlineStr">
        <is>
          <t>082148542526</t>
        </is>
      </c>
      <c r="D79" t="inlineStr">
        <is>
          <t>defot.dewi.kartika@gmail.com</t>
        </is>
      </c>
      <c r="E79" t="inlineStr">
        <is>
          <t>https://lpjk.pu.go.id/search-badan-usaha-detail/Q1hUZkVYaTFTZWo2dUxvUWtMY1dHdz09</t>
        </is>
      </c>
      <c r="F79" t="n">
        <v>1</v>
      </c>
      <c r="G79" t="inlineStr">
        <is>
          <t>BS002</t>
        </is>
      </c>
      <c r="H79" t="inlineStr">
        <is>
          <t>23 Juni 2014</t>
        </is>
      </c>
      <c r="I79" s="2" t="n">
        <v>46227</v>
      </c>
      <c r="J79" t="inlineStr">
        <is>
          <t>Disetujui</t>
        </is>
      </c>
      <c r="K79" t="n">
        <v>30</v>
      </c>
      <c r="L79" t="inlineStr">
        <is>
          <t>24 Juli 2026</t>
        </is>
      </c>
      <c r="M79" t="inlineStr">
        <is>
          <t>Bangunan Sipil Jembatan, Jalan Layang, Fly Over, dan Underpass</t>
        </is>
      </c>
      <c r="N79" t="inlineStr">
        <is>
          <t>K</t>
        </is>
      </c>
      <c r="O79" t="inlineStr">
        <is>
          <t>20230723</t>
        </is>
      </c>
      <c r="P79" t="inlineStr">
        <is>
          <t>Kalimantan Selatan</t>
        </is>
      </c>
      <c r="Q79" t="inlineStr"/>
    </row>
    <row r="80">
      <c r="A80" t="inlineStr">
        <is>
          <t>DEWI WANGI</t>
        </is>
      </c>
      <c r="B80" t="inlineStr">
        <is>
          <t>Kota Mataram</t>
        </is>
      </c>
      <c r="C80" t="inlineStr">
        <is>
          <t>085282000069</t>
        </is>
      </c>
      <c r="D80" t="inlineStr">
        <is>
          <t>cvdewiwangi123@gmail.com</t>
        </is>
      </c>
      <c r="E80" t="inlineStr">
        <is>
          <t>https://lpjk.pu.go.id/search-badan-usaha-detail/aXN4TEhPQjBVQ1Rhb29URXlWR0VtQT09</t>
        </is>
      </c>
      <c r="F80" t="n">
        <v>2</v>
      </c>
      <c r="G80" t="inlineStr">
        <is>
          <t>BG001, BG009</t>
        </is>
      </c>
      <c r="H80" t="inlineStr">
        <is>
          <t>22 Juni 2012</t>
        </is>
      </c>
      <c r="I80" s="2" t="n">
        <v>46227</v>
      </c>
      <c r="J80" t="inlineStr">
        <is>
          <t>Disetujui</t>
        </is>
      </c>
      <c r="K80" t="n">
        <v>30</v>
      </c>
      <c r="L80" t="inlineStr">
        <is>
          <t>24 Juli 2026</t>
        </is>
      </c>
      <c r="M80" t="inlineStr">
        <is>
          <t>Konstruksi Gedung Hunian, Konstruksi Gedung Lainnya</t>
        </is>
      </c>
      <c r="N80" t="inlineStr">
        <is>
          <t>K</t>
        </is>
      </c>
      <c r="O80" t="inlineStr">
        <is>
          <t>20230522, 20230620</t>
        </is>
      </c>
      <c r="P80" t="inlineStr">
        <is>
          <t>Nusa Tenggara Barat</t>
        </is>
      </c>
      <c r="Q80" t="inlineStr"/>
    </row>
    <row r="81">
      <c r="A81" t="inlineStr">
        <is>
          <t>DIFINDO JAYA</t>
        </is>
      </c>
      <c r="B81" t="inlineStr">
        <is>
          <t>Kab. Bandung</t>
        </is>
      </c>
      <c r="C81" t="inlineStr">
        <is>
          <t>081318575600</t>
        </is>
      </c>
      <c r="D81" t="inlineStr">
        <is>
          <t>difindojaya123@gmail.com</t>
        </is>
      </c>
      <c r="E81" t="inlineStr">
        <is>
          <t>https://lpjk.pu.go.id/search-badan-usaha-detail/TlgvTzF2SlVqYU0vVXVsVm45NkxnUT09</t>
        </is>
      </c>
      <c r="F81" t="n">
        <v>1</v>
      </c>
      <c r="G81" t="inlineStr">
        <is>
          <t>BG009</t>
        </is>
      </c>
      <c r="H81" t="inlineStr">
        <is>
          <t>29 Mei 2006</t>
        </is>
      </c>
      <c r="I81" s="2" t="n">
        <v>46227</v>
      </c>
      <c r="J81" t="inlineStr">
        <is>
          <t>Disetujui</t>
        </is>
      </c>
      <c r="K81" t="n">
        <v>30</v>
      </c>
      <c r="L81" t="inlineStr">
        <is>
          <t>24 Juli 2026</t>
        </is>
      </c>
      <c r="M81" t="inlineStr">
        <is>
          <t>Konstruksi Gedung Lainnya</t>
        </is>
      </c>
      <c r="N81" t="inlineStr">
        <is>
          <t>K</t>
        </is>
      </c>
      <c r="O81" t="inlineStr">
        <is>
          <t>20230724</t>
        </is>
      </c>
      <c r="P81" t="inlineStr">
        <is>
          <t>Jawa Barat</t>
        </is>
      </c>
      <c r="Q81" t="inlineStr"/>
    </row>
    <row r="82">
      <c r="A82" t="inlineStr">
        <is>
          <t>DIVA ABADI</t>
        </is>
      </c>
      <c r="B82" t="inlineStr">
        <is>
          <t>Kota Palembang</t>
        </is>
      </c>
      <c r="C82" t="inlineStr">
        <is>
          <t>085268067431</t>
        </is>
      </c>
      <c r="D82" t="inlineStr">
        <is>
          <t>cv.diva_abadi@yahoo.com</t>
        </is>
      </c>
      <c r="E82" t="inlineStr">
        <is>
          <t>https://lpjk.pu.go.id/search-badan-usaha-detail/Zks1RG5LNXpXVWg3bHdZK0JyTHFodz09</t>
        </is>
      </c>
      <c r="F82" t="n">
        <v>1</v>
      </c>
      <c r="G82" t="inlineStr">
        <is>
          <t>BG005</t>
        </is>
      </c>
      <c r="H82" t="inlineStr">
        <is>
          <t>22 Juni 2012</t>
        </is>
      </c>
      <c r="I82" s="2" t="n">
        <v>46227</v>
      </c>
      <c r="J82" t="inlineStr">
        <is>
          <t>Disetujui</t>
        </is>
      </c>
      <c r="K82" t="n">
        <v>30</v>
      </c>
      <c r="L82" t="inlineStr">
        <is>
          <t>24 Juli 2026</t>
        </is>
      </c>
      <c r="M82" t="inlineStr">
        <is>
          <t>Konstruksi Gedung Kesehatan</t>
        </is>
      </c>
      <c r="N82" t="inlineStr">
        <is>
          <t>K</t>
        </is>
      </c>
      <c r="O82" t="inlineStr">
        <is>
          <t>20230724</t>
        </is>
      </c>
      <c r="P82" t="inlineStr">
        <is>
          <t>Sumatera Selatan</t>
        </is>
      </c>
      <c r="Q82" t="inlineStr"/>
    </row>
    <row r="83">
      <c r="A83" t="inlineStr">
        <is>
          <t>DUA IASHA MANDIRI</t>
        </is>
      </c>
      <c r="B83" t="inlineStr">
        <is>
          <t>Kota Banjarmasin</t>
        </is>
      </c>
      <c r="C83" t="inlineStr">
        <is>
          <t>082150753753</t>
        </is>
      </c>
      <c r="D83" t="inlineStr">
        <is>
          <t>dua.iashamandiri@gmail.com</t>
        </is>
      </c>
      <c r="E83" t="inlineStr">
        <is>
          <t>https://lpjk.pu.go.id/search-badan-usaha-detail/QkhhMy9YcFhPL0l5QTgyODUyb2xRUT09</t>
        </is>
      </c>
      <c r="F83" t="n">
        <v>1</v>
      </c>
      <c r="G83" t="inlineStr">
        <is>
          <t>BS001</t>
        </is>
      </c>
      <c r="H83" t="inlineStr">
        <is>
          <t>21 November 2019</t>
        </is>
      </c>
      <c r="I83" s="2" t="n">
        <v>46227</v>
      </c>
      <c r="J83" t="inlineStr">
        <is>
          <t>Disetujui</t>
        </is>
      </c>
      <c r="K83" t="n">
        <v>30</v>
      </c>
      <c r="L83" t="inlineStr">
        <is>
          <t>24 Juli 2026</t>
        </is>
      </c>
      <c r="M83" t="inlineStr">
        <is>
          <t>Konstruksi Bangunan Sipil Jalan</t>
        </is>
      </c>
      <c r="N83" t="inlineStr">
        <is>
          <t>K</t>
        </is>
      </c>
      <c r="O83" t="inlineStr">
        <is>
          <t>20221012</t>
        </is>
      </c>
      <c r="P83" t="inlineStr">
        <is>
          <t>Kalimantan Selatan</t>
        </is>
      </c>
      <c r="Q83" t="inlineStr"/>
    </row>
    <row r="84">
      <c r="A84" t="inlineStr">
        <is>
          <t>DUA RIBU LIMA</t>
        </is>
      </c>
      <c r="B84" t="inlineStr">
        <is>
          <t>Kab. Ogan Komering Ulu</t>
        </is>
      </c>
      <c r="C84" t="inlineStr">
        <is>
          <t>081274340463</t>
        </is>
      </c>
      <c r="D84" t="inlineStr">
        <is>
          <t>cvduaribulima@gmail.com</t>
        </is>
      </c>
      <c r="E84" t="inlineStr">
        <is>
          <t>https://lpjk.pu.go.id/search-badan-usaha-detail/V2Q1cWpEbXJFVFk1M29rK0x5UFE1Zz09</t>
        </is>
      </c>
      <c r="F84" t="n">
        <v>2</v>
      </c>
      <c r="G84" t="inlineStr">
        <is>
          <t>BS002, BS004</t>
        </is>
      </c>
      <c r="H84" t="inlineStr">
        <is>
          <t>25 November 2005</t>
        </is>
      </c>
      <c r="I84" s="2" t="n">
        <v>46227</v>
      </c>
      <c r="J84" t="inlineStr">
        <is>
          <t>Disetujui</t>
        </is>
      </c>
      <c r="K84" t="n">
        <v>30</v>
      </c>
      <c r="L84" t="inlineStr">
        <is>
          <t>24 Juli 2026</t>
        </is>
      </c>
      <c r="M84" t="inlineStr">
        <is>
          <t>Bangunan Sipil Jembatan, Jalan Layang, Fly Over, dan Underpass, Konstruksi Jaringan Irigasi dan Drainase</t>
        </is>
      </c>
      <c r="N84" t="inlineStr">
        <is>
          <t>K</t>
        </is>
      </c>
      <c r="O84" t="inlineStr">
        <is>
          <t>20230711</t>
        </is>
      </c>
      <c r="P84" t="inlineStr">
        <is>
          <t>Sumatera Selatan</t>
        </is>
      </c>
      <c r="Q84" t="inlineStr"/>
    </row>
    <row r="85">
      <c r="A85" t="inlineStr">
        <is>
          <t>DUTA JAYA ABADI</t>
        </is>
      </c>
      <c r="B85" t="inlineStr">
        <is>
          <t>Kota Bandung</t>
        </is>
      </c>
      <c r="C85" t="inlineStr">
        <is>
          <t>08122126071</t>
        </is>
      </c>
      <c r="D85" t="inlineStr">
        <is>
          <t>cvdutajayaabadi@yahoo.com</t>
        </is>
      </c>
      <c r="E85" t="inlineStr">
        <is>
          <t>https://lpjk.pu.go.id/search-badan-usaha-detail/akR4WXdNSGYvVDFEOWYxdSt1SVFHZz09</t>
        </is>
      </c>
      <c r="F85" t="n">
        <v>1</v>
      </c>
      <c r="G85" t="inlineStr">
        <is>
          <t>BS001</t>
        </is>
      </c>
      <c r="H85" t="inlineStr">
        <is>
          <t>18 Februari 2009</t>
        </is>
      </c>
      <c r="I85" s="2" t="n">
        <v>46227</v>
      </c>
      <c r="J85" t="inlineStr">
        <is>
          <t>Disetujui</t>
        </is>
      </c>
      <c r="K85" t="n">
        <v>30</v>
      </c>
      <c r="L85" t="inlineStr">
        <is>
          <t>24 Juli 2026</t>
        </is>
      </c>
      <c r="M85" t="inlineStr">
        <is>
          <t>Konstruksi Bangunan Sipil Jalan</t>
        </is>
      </c>
      <c r="N85" t="inlineStr">
        <is>
          <t>K</t>
        </is>
      </c>
      <c r="O85" t="inlineStr">
        <is>
          <t>20230617</t>
        </is>
      </c>
      <c r="P85" t="inlineStr">
        <is>
          <t>Jawa Barat</t>
        </is>
      </c>
      <c r="Q85" t="inlineStr"/>
    </row>
    <row r="86">
      <c r="A86" t="inlineStr">
        <is>
          <t>DUTA LESTARI</t>
        </is>
      </c>
      <c r="B86" t="inlineStr">
        <is>
          <t>Kota Bontang</t>
        </is>
      </c>
      <c r="C86" t="inlineStr">
        <is>
          <t>085249007787</t>
        </is>
      </c>
      <c r="D86" t="inlineStr">
        <is>
          <t>dutalestaribtg@gmail.com</t>
        </is>
      </c>
      <c r="E86" t="inlineStr">
        <is>
          <t>https://lpjk.pu.go.id/search-badan-usaha-detail/eXFNOGhQRUF3bCt5dUJNODAzYWZmZz09</t>
        </is>
      </c>
      <c r="F86" t="n">
        <v>2</v>
      </c>
      <c r="G86" t="inlineStr">
        <is>
          <t>BG002, BS004</t>
        </is>
      </c>
      <c r="H86" t="inlineStr">
        <is>
          <t>19 Januari 2015</t>
        </is>
      </c>
      <c r="I86" s="2" t="n">
        <v>46227</v>
      </c>
      <c r="J86" t="inlineStr">
        <is>
          <t>Disetujui</t>
        </is>
      </c>
      <c r="K86" t="n">
        <v>30</v>
      </c>
      <c r="L86" t="inlineStr">
        <is>
          <t>24 Juli 2026</t>
        </is>
      </c>
      <c r="M86" t="inlineStr">
        <is>
          <t>Konstruksi Gedung Perkantoran, Konstruksi Jaringan Irigasi dan Drainase</t>
        </is>
      </c>
      <c r="N86" t="inlineStr">
        <is>
          <t>K</t>
        </is>
      </c>
      <c r="O86" t="inlineStr">
        <is>
          <t>20230721</t>
        </is>
      </c>
      <c r="P86" t="inlineStr">
        <is>
          <t>Kalimantan Timur</t>
        </is>
      </c>
      <c r="Q86" t="inlineStr"/>
    </row>
    <row r="87">
      <c r="A87" t="inlineStr">
        <is>
          <t>DUTA PERSATUAN</t>
        </is>
      </c>
      <c r="B87" t="inlineStr">
        <is>
          <t>Kab. Blitar</t>
        </is>
      </c>
      <c r="C87" t="inlineStr">
        <is>
          <t>08123368032</t>
        </is>
      </c>
      <c r="D87" t="inlineStr">
        <is>
          <t>cvdp_blitar@yahoo.co.id</t>
        </is>
      </c>
      <c r="E87" t="inlineStr">
        <is>
          <t>https://lpjk.pu.go.id/search-badan-usaha-detail/bnNmQXBVb3VWVVJEdllYM0RubDcrUT09</t>
        </is>
      </c>
      <c r="F87" t="n">
        <v>1</v>
      </c>
      <c r="G87" t="inlineStr">
        <is>
          <t>BG006</t>
        </is>
      </c>
      <c r="H87" t="inlineStr">
        <is>
          <t>17 November 2001</t>
        </is>
      </c>
      <c r="I87" s="2" t="n">
        <v>46227</v>
      </c>
      <c r="J87" t="inlineStr">
        <is>
          <t>Disetujui</t>
        </is>
      </c>
      <c r="K87" t="n">
        <v>30</v>
      </c>
      <c r="L87" t="inlineStr">
        <is>
          <t>24 Juli 2026</t>
        </is>
      </c>
      <c r="M87" t="inlineStr">
        <is>
          <t>Konstruksi Gedung Pendidikan</t>
        </is>
      </c>
      <c r="N87" t="inlineStr">
        <is>
          <t>K</t>
        </is>
      </c>
      <c r="O87" t="inlineStr">
        <is>
          <t>20230721</t>
        </is>
      </c>
      <c r="P87" t="inlineStr">
        <is>
          <t>Jawa Timur</t>
        </is>
      </c>
      <c r="Q87" t="inlineStr"/>
    </row>
    <row r="88">
      <c r="A88" t="inlineStr">
        <is>
          <t>DUTA RAJAWALI PAPUA</t>
        </is>
      </c>
      <c r="B88" t="inlineStr">
        <is>
          <t>Kab. Merauke</t>
        </is>
      </c>
      <c r="C88" t="inlineStr">
        <is>
          <t>081344893617</t>
        </is>
      </c>
      <c r="D88" t="inlineStr">
        <is>
          <t>cvdrpapua@gmail.com</t>
        </is>
      </c>
      <c r="E88" t="inlineStr">
        <is>
          <t>https://lpjk.pu.go.id/search-badan-usaha-detail/RUJab1N2ZnlNNVQ5S1p2QVJsRS9JUT09</t>
        </is>
      </c>
      <c r="F88" t="n">
        <v>1</v>
      </c>
      <c r="G88" t="inlineStr">
        <is>
          <t>BG009</t>
        </is>
      </c>
      <c r="H88" t="inlineStr">
        <is>
          <t>21 Februari 2023</t>
        </is>
      </c>
      <c r="I88" s="2" t="n">
        <v>46227</v>
      </c>
      <c r="J88" t="inlineStr">
        <is>
          <t>Disetujui</t>
        </is>
      </c>
      <c r="K88" t="n">
        <v>30</v>
      </c>
      <c r="L88" t="inlineStr">
        <is>
          <t>24 Juli 2026</t>
        </is>
      </c>
      <c r="M88" t="inlineStr">
        <is>
          <t>Konstruksi Gedung Lainnya</t>
        </is>
      </c>
      <c r="N88" t="inlineStr">
        <is>
          <t>K</t>
        </is>
      </c>
      <c r="O88" t="inlineStr">
        <is>
          <t>20230720</t>
        </is>
      </c>
      <c r="P88" t="inlineStr">
        <is>
          <t>Papua</t>
        </is>
      </c>
      <c r="Q88" t="inlineStr"/>
    </row>
    <row r="89">
      <c r="A89" t="inlineStr">
        <is>
          <t>DUTANUSA KREASI PERMAI</t>
        </is>
      </c>
      <c r="B89" t="inlineStr">
        <is>
          <t>Kota Adm. Jakarta Barat</t>
        </is>
      </c>
      <c r="C89" t="inlineStr">
        <is>
          <t>081932242573</t>
        </is>
      </c>
      <c r="D89" t="inlineStr">
        <is>
          <t>ptdutanusakreasipermai@gmail.com</t>
        </is>
      </c>
      <c r="E89" t="inlineStr">
        <is>
          <t>https://lpjk.pu.go.id/search-badan-usaha-detail/LzExdFgxc29qVElqQk40VTdQUlBTUT09</t>
        </is>
      </c>
      <c r="F89" t="n">
        <v>1</v>
      </c>
      <c r="G89" t="inlineStr">
        <is>
          <t>IN004</t>
        </is>
      </c>
      <c r="H89" t="inlineStr">
        <is>
          <t>2 Desember 2022</t>
        </is>
      </c>
      <c r="I89" s="2" t="n">
        <v>46227</v>
      </c>
      <c r="J89" t="inlineStr">
        <is>
          <t>Pembekuan</t>
        </is>
      </c>
      <c r="K89" t="n">
        <v>30</v>
      </c>
      <c r="L89" t="inlineStr">
        <is>
          <t>24 Juli 2026</t>
        </is>
      </c>
      <c r="M89" t="inlineStr">
        <is>
          <t>Instalasi Minyak dan Gas</t>
        </is>
      </c>
      <c r="N89" t="inlineStr">
        <is>
          <t>Spesialis</t>
        </is>
      </c>
      <c r="O89" t="inlineStr">
        <is>
          <t>20230621</t>
        </is>
      </c>
      <c r="P89" t="inlineStr">
        <is>
          <t>DKI Jakarta</t>
        </is>
      </c>
      <c r="Q89" t="inlineStr"/>
    </row>
    <row r="90">
      <c r="A90" t="inlineStr">
        <is>
          <t>EMPAT PUTRA SEJATI</t>
        </is>
      </c>
      <c r="B90" t="inlineStr">
        <is>
          <t>Kota Manado</t>
        </is>
      </c>
      <c r="C90" t="inlineStr">
        <is>
          <t>0812 4438 615_</t>
        </is>
      </c>
      <c r="D90" t="inlineStr">
        <is>
          <t>ridwan4ps@yahoo.com</t>
        </is>
      </c>
      <c r="E90" t="inlineStr">
        <is>
          <t>https://lpjk.pu.go.id/search-badan-usaha-detail/eEllTWxrSzQ0Slp0MGZkbFdqSmhiQT09</t>
        </is>
      </c>
      <c r="F90" t="n">
        <v>1</v>
      </c>
      <c r="G90" t="inlineStr">
        <is>
          <t>BG002</t>
        </is>
      </c>
      <c r="H90" t="inlineStr">
        <is>
          <t>25 Februari 2006</t>
        </is>
      </c>
      <c r="I90" s="2" t="n">
        <v>46227</v>
      </c>
      <c r="J90" t="inlineStr">
        <is>
          <t>Disetujui</t>
        </is>
      </c>
      <c r="K90" t="n">
        <v>30</v>
      </c>
      <c r="L90" t="inlineStr">
        <is>
          <t>24 Juli 2026</t>
        </is>
      </c>
      <c r="M90" t="inlineStr">
        <is>
          <t>Konstruksi Gedung Perkantoran</t>
        </is>
      </c>
      <c r="N90" t="inlineStr">
        <is>
          <t>K</t>
        </is>
      </c>
      <c r="O90" t="inlineStr">
        <is>
          <t>20230724</t>
        </is>
      </c>
      <c r="P90" t="inlineStr">
        <is>
          <t>Sulawesi Utara</t>
        </is>
      </c>
      <c r="Q90" t="inlineStr"/>
    </row>
    <row r="91">
      <c r="A91" t="inlineStr">
        <is>
          <t>FAIZ</t>
        </is>
      </c>
      <c r="B91" t="inlineStr">
        <is>
          <t>Kab. Cirebon</t>
        </is>
      </c>
      <c r="C91" t="inlineStr">
        <is>
          <t>087729044443</t>
        </is>
      </c>
      <c r="D91" t="inlineStr">
        <is>
          <t>cv.faiz@yahoo.com</t>
        </is>
      </c>
      <c r="E91" t="inlineStr">
        <is>
          <t>https://lpjk.pu.go.id/search-badan-usaha-detail/TmdzcHYwcnZPdGZmL2YwNVpBMU4zZz09</t>
        </is>
      </c>
      <c r="F91" t="n">
        <v>4</v>
      </c>
      <c r="G91" t="inlineStr">
        <is>
          <t>BG002, BG004, BG006, BG009</t>
        </is>
      </c>
      <c r="H91" t="inlineStr">
        <is>
          <t>22 Juni 2012</t>
        </is>
      </c>
      <c r="I91" s="2" t="n">
        <v>46227</v>
      </c>
      <c r="J91" t="inlineStr">
        <is>
          <t>Disetujui</t>
        </is>
      </c>
      <c r="K91" t="n">
        <v>30</v>
      </c>
      <c r="L91" t="inlineStr">
        <is>
          <t>24 Juli 2026</t>
        </is>
      </c>
      <c r="M91" t="inlineStr">
        <is>
          <t>Konstruksi Gedung Lainnya, Konstruksi Gedung Pendidikan, Konstruksi Gedung Perbelanjaan, Konstruksi Gedung Perkantoran</t>
        </is>
      </c>
      <c r="N91" t="inlineStr">
        <is>
          <t>K</t>
        </is>
      </c>
      <c r="O91" t="inlineStr">
        <is>
          <t>20230720, 20230721</t>
        </is>
      </c>
      <c r="P91" t="inlineStr">
        <is>
          <t>Jawa Barat</t>
        </is>
      </c>
      <c r="Q91" t="inlineStr"/>
    </row>
    <row r="92">
      <c r="A92" t="inlineStr">
        <is>
          <t>GERBANG GAYO</t>
        </is>
      </c>
      <c r="B92" t="inlineStr">
        <is>
          <t>Kab. Bener Meriah</t>
        </is>
      </c>
      <c r="C92" t="inlineStr">
        <is>
          <t>085226904396</t>
        </is>
      </c>
      <c r="D92" t="inlineStr">
        <is>
          <t>cvgerbanggayo@gmail.com</t>
        </is>
      </c>
      <c r="E92" t="inlineStr">
        <is>
          <t>https://lpjk.pu.go.id/search-badan-usaha-detail/OUJMQmltaTh2YytIWG9XaGl2M3FaUT09</t>
        </is>
      </c>
      <c r="F92" t="n">
        <v>1</v>
      </c>
      <c r="G92" t="inlineStr">
        <is>
          <t>BG009</t>
        </is>
      </c>
      <c r="H92" t="inlineStr">
        <is>
          <t>13 Juli 2007</t>
        </is>
      </c>
      <c r="I92" s="2" t="n">
        <v>46227</v>
      </c>
      <c r="J92" t="inlineStr">
        <is>
          <t>Disetujui</t>
        </is>
      </c>
      <c r="K92" t="n">
        <v>30</v>
      </c>
      <c r="L92" t="inlineStr">
        <is>
          <t>24 Juli 2026</t>
        </is>
      </c>
      <c r="M92" t="inlineStr">
        <is>
          <t>Konstruksi Gedung Lainnya</t>
        </is>
      </c>
      <c r="N92" t="inlineStr">
        <is>
          <t>K</t>
        </is>
      </c>
      <c r="O92" t="inlineStr">
        <is>
          <t>20230713</t>
        </is>
      </c>
      <c r="P92" t="inlineStr">
        <is>
          <t>Aceh</t>
        </is>
      </c>
      <c r="Q92" t="inlineStr"/>
    </row>
    <row r="93">
      <c r="A93" t="inlineStr">
        <is>
          <t>GIANT KONSTRUKSI</t>
        </is>
      </c>
      <c r="B93" t="inlineStr">
        <is>
          <t>Kota Kupang</t>
        </is>
      </c>
      <c r="C93" t="inlineStr">
        <is>
          <t>081261257828</t>
        </is>
      </c>
      <c r="D93" t="inlineStr">
        <is>
          <t>kupangkerja01@gmail.com</t>
        </is>
      </c>
      <c r="E93" t="inlineStr">
        <is>
          <t>https://lpjk.pu.go.id/search-badan-usaha-detail/TS95anJxT2RnWDFDVkpvT3ZJa2lkUT09</t>
        </is>
      </c>
      <c r="F93" t="n">
        <v>1</v>
      </c>
      <c r="G93" t="inlineStr">
        <is>
          <t>BG009</t>
        </is>
      </c>
      <c r="H93" t="inlineStr">
        <is>
          <t>17 September 2018</t>
        </is>
      </c>
      <c r="I93" s="2" t="n">
        <v>46227</v>
      </c>
      <c r="J93" t="inlineStr">
        <is>
          <t>Disetujui</t>
        </is>
      </c>
      <c r="K93" t="n">
        <v>30</v>
      </c>
      <c r="L93" t="inlineStr">
        <is>
          <t>24 Juli 2026</t>
        </is>
      </c>
      <c r="M93" t="inlineStr">
        <is>
          <t>Konstruksi Gedung Lainnya</t>
        </is>
      </c>
      <c r="N93" t="inlineStr">
        <is>
          <t>K</t>
        </is>
      </c>
      <c r="O93" t="inlineStr">
        <is>
          <t>20230718</t>
        </is>
      </c>
      <c r="P93" t="inlineStr">
        <is>
          <t>Nusa Tenggara Timur</t>
        </is>
      </c>
      <c r="Q93" t="inlineStr"/>
    </row>
    <row r="94">
      <c r="A94" t="inlineStr">
        <is>
          <t>HAFIDZ HANIEF PERKASA</t>
        </is>
      </c>
      <c r="B94" t="inlineStr">
        <is>
          <t>Kota Pontianak</t>
        </is>
      </c>
      <c r="C94" t="inlineStr">
        <is>
          <t>082153497900</t>
        </is>
      </c>
      <c r="D94" t="inlineStr">
        <is>
          <t>cvhafidz_hanief@yahoo.com</t>
        </is>
      </c>
      <c r="E94" t="inlineStr">
        <is>
          <t>https://lpjk.pu.go.id/search-badan-usaha-detail/S0UyakFNOFB0aDhWTUlTTW1yb2Rydz09</t>
        </is>
      </c>
      <c r="F94" t="n">
        <v>1</v>
      </c>
      <c r="G94" t="inlineStr">
        <is>
          <t>BS004</t>
        </is>
      </c>
      <c r="H94" t="inlineStr">
        <is>
          <t>8 September 2011</t>
        </is>
      </c>
      <c r="I94" s="2" t="n">
        <v>46227</v>
      </c>
      <c r="J94" t="inlineStr">
        <is>
          <t>Disetujui</t>
        </is>
      </c>
      <c r="K94" t="n">
        <v>30</v>
      </c>
      <c r="L94" t="inlineStr">
        <is>
          <t>24 Juli 2026</t>
        </is>
      </c>
      <c r="M94" t="inlineStr">
        <is>
          <t>Konstruksi Jaringan Irigasi dan Drainase</t>
        </is>
      </c>
      <c r="N94" t="inlineStr">
        <is>
          <t>K</t>
        </is>
      </c>
      <c r="O94" t="inlineStr">
        <is>
          <t>20230701</t>
        </is>
      </c>
      <c r="P94" t="inlineStr">
        <is>
          <t>Kalimantan Barat</t>
        </is>
      </c>
      <c r="Q94" t="inlineStr"/>
    </row>
    <row r="95">
      <c r="A95" t="inlineStr">
        <is>
          <t>HAS CONTRACTOR</t>
        </is>
      </c>
      <c r="B95" t="inlineStr">
        <is>
          <t>Kab. Sukabumi</t>
        </is>
      </c>
      <c r="C95" t="inlineStr">
        <is>
          <t>08164630138</t>
        </is>
      </c>
      <c r="D95" t="inlineStr">
        <is>
          <t>hascontractor70@gmail.com</t>
        </is>
      </c>
      <c r="E95" t="inlineStr">
        <is>
          <t>https://lpjk.pu.go.id/search-badan-usaha-detail/dGJwSUdnNlloY3YvMFR1bWhvcEhTZz09</t>
        </is>
      </c>
      <c r="F95" t="n">
        <v>6</v>
      </c>
      <c r="G95" t="inlineStr">
        <is>
          <t>BG005, BG006, BG008, BG009, BS001, BS004</t>
        </is>
      </c>
      <c r="H95" t="inlineStr">
        <is>
          <t>13 Februari 2014</t>
        </is>
      </c>
      <c r="I95" s="2" t="n">
        <v>46227</v>
      </c>
      <c r="J95" t="inlineStr">
        <is>
          <t>Pencabutan</t>
        </is>
      </c>
      <c r="K95" t="n">
        <v>30</v>
      </c>
      <c r="L95" t="inlineStr">
        <is>
          <t>24 Juli 2026</t>
        </is>
      </c>
      <c r="M95" t="inlineStr">
        <is>
          <t>Konstruksi Bangunan Sipil Jalan, Konstruksi Gedung Kesehatan, Konstruksi Gedung Lainnya, Konstruksi Gedung Pendidikan, Konstruksi Gedung Tempat Hiburan dan Olahraga, Konstruksi Jaringan Irigasi dan Drainase</t>
        </is>
      </c>
      <c r="N95" t="inlineStr">
        <is>
          <t>K</t>
        </is>
      </c>
      <c r="O95" t="inlineStr">
        <is>
          <t>20230720</t>
        </is>
      </c>
      <c r="P95" t="inlineStr">
        <is>
          <t>Jawa Barat</t>
        </is>
      </c>
      <c r="Q95" t="inlineStr"/>
    </row>
    <row r="96">
      <c r="A96" t="inlineStr">
        <is>
          <t>HASEA KONSTRUKSI</t>
        </is>
      </c>
      <c r="B96" t="inlineStr">
        <is>
          <t>Kota Pontianak</t>
        </is>
      </c>
      <c r="C96" t="inlineStr">
        <is>
          <t>089526211116</t>
        </is>
      </c>
      <c r="D96" t="inlineStr">
        <is>
          <t>haseakonstruksi2022@gmail.com</t>
        </is>
      </c>
      <c r="E96" t="inlineStr">
        <is>
          <t>https://lpjk.pu.go.id/search-badan-usaha-detail/VU9FMFJnSXlwbkEvNHp3bnpQL1pBQT09</t>
        </is>
      </c>
      <c r="F96" t="n">
        <v>1</v>
      </c>
      <c r="G96" t="inlineStr">
        <is>
          <t>BS001</t>
        </is>
      </c>
      <c r="H96" t="inlineStr">
        <is>
          <t>29 September 2018</t>
        </is>
      </c>
      <c r="I96" s="2" t="n">
        <v>46227</v>
      </c>
      <c r="J96" t="inlineStr">
        <is>
          <t>Disetujui</t>
        </is>
      </c>
      <c r="K96" t="n">
        <v>30</v>
      </c>
      <c r="L96" t="inlineStr">
        <is>
          <t>24 Juli 2026</t>
        </is>
      </c>
      <c r="M96" t="inlineStr">
        <is>
          <t>Konstruksi Bangunan Sipil Jalan</t>
        </is>
      </c>
      <c r="N96" t="inlineStr">
        <is>
          <t>K</t>
        </is>
      </c>
      <c r="O96" t="inlineStr">
        <is>
          <t>20230719</t>
        </is>
      </c>
      <c r="P96" t="inlineStr">
        <is>
          <t>Kalimantan Barat</t>
        </is>
      </c>
      <c r="Q96" t="inlineStr"/>
    </row>
    <row r="97">
      <c r="A97" t="inlineStr">
        <is>
          <t>JAYA BUANA</t>
        </is>
      </c>
      <c r="B97" t="inlineStr">
        <is>
          <t>Kota Palembang</t>
        </is>
      </c>
      <c r="C97" t="inlineStr">
        <is>
          <t>07117422011</t>
        </is>
      </c>
      <c r="D97" t="inlineStr">
        <is>
          <t>cv.jaya_buana@yahoo.com</t>
        </is>
      </c>
      <c r="E97" t="inlineStr">
        <is>
          <t>https://lpjk.pu.go.id/search-badan-usaha-detail/RW0yMk1uWVFhN0RjdW1GN3BKVDQvUT09</t>
        </is>
      </c>
      <c r="F97" t="n">
        <v>5</v>
      </c>
      <c r="G97" t="inlineStr">
        <is>
          <t>BG006, BG009, BS001, BS002, BS010</t>
        </is>
      </c>
      <c r="H97" t="inlineStr">
        <is>
          <t>24 Januari 2006</t>
        </is>
      </c>
      <c r="I97" s="2" t="n">
        <v>46227</v>
      </c>
      <c r="J97" t="inlineStr">
        <is>
          <t>Disetujui</t>
        </is>
      </c>
      <c r="K97" t="n">
        <v>30</v>
      </c>
      <c r="L97" t="inlineStr">
        <is>
          <t>24 Juli 2026</t>
        </is>
      </c>
      <c r="M97" t="inlineStr">
        <is>
          <t>Bangunan Sipil Jembatan, Jalan Layang, Fly Over, dan Underpass, Konstruksi Bangunan Prasarana Sumber Daya Air, Konstruksi Bangunan Sipil Jalan, Konstruksi Gedung Lainnya, Konstruksi Gedung Pendidikan</t>
        </is>
      </c>
      <c r="N97" t="inlineStr">
        <is>
          <t>K</t>
        </is>
      </c>
      <c r="O97" t="inlineStr">
        <is>
          <t>20230723</t>
        </is>
      </c>
      <c r="P97" t="inlineStr">
        <is>
          <t>Sumatera Selatan</t>
        </is>
      </c>
      <c r="Q97" t="inlineStr"/>
    </row>
    <row r="98">
      <c r="A98" t="inlineStr">
        <is>
          <t>JEMBAR JAYA</t>
        </is>
      </c>
      <c r="B98" t="inlineStr">
        <is>
          <t>Kab. Tangerang</t>
        </is>
      </c>
      <c r="C98" t="inlineStr">
        <is>
          <t>085946666829</t>
        </is>
      </c>
      <c r="D98" t="inlineStr">
        <is>
          <t>jembarjaya8@gmail.com</t>
        </is>
      </c>
      <c r="E98" t="inlineStr">
        <is>
          <t>https://lpjk.pu.go.id/search-badan-usaha-detail/cG4za2plWWlpSzhXb0Y5b2kzRWI2UT09</t>
        </is>
      </c>
      <c r="F98" t="n">
        <v>1</v>
      </c>
      <c r="G98" t="inlineStr">
        <is>
          <t>BS004</t>
        </is>
      </c>
      <c r="H98" t="inlineStr">
        <is>
          <t>10 Januari 2022</t>
        </is>
      </c>
      <c r="I98" s="2" t="n">
        <v>46227</v>
      </c>
      <c r="J98" t="inlineStr">
        <is>
          <t>Disetujui</t>
        </is>
      </c>
      <c r="K98" t="n">
        <v>30</v>
      </c>
      <c r="L98" t="inlineStr">
        <is>
          <t>24 Juli 2026</t>
        </is>
      </c>
      <c r="M98" t="inlineStr">
        <is>
          <t>Konstruksi Jaringan Irigasi dan Drainase</t>
        </is>
      </c>
      <c r="N98" t="inlineStr">
        <is>
          <t>K</t>
        </is>
      </c>
      <c r="O98" t="inlineStr">
        <is>
          <t>20230722</t>
        </is>
      </c>
      <c r="P98" t="inlineStr">
        <is>
          <t>Banten</t>
        </is>
      </c>
      <c r="Q98" t="inlineStr"/>
    </row>
    <row r="99">
      <c r="A99" t="inlineStr">
        <is>
          <t>KAISAR PUTRA PERKASA</t>
        </is>
      </c>
      <c r="B99" t="inlineStr">
        <is>
          <t>Kab. Tuban</t>
        </is>
      </c>
      <c r="C99" t="inlineStr">
        <is>
          <t>082338781607</t>
        </is>
      </c>
      <c r="D99" t="inlineStr">
        <is>
          <t>kaisarputraperkasa@gmail.com</t>
        </is>
      </c>
      <c r="E99" t="inlineStr">
        <is>
          <t>https://lpjk.pu.go.id/search-badan-usaha-detail/Ym9TbWdac3RlWTVZLyt6QkJwM2xoUT09</t>
        </is>
      </c>
      <c r="F99" t="n">
        <v>2</v>
      </c>
      <c r="G99" t="inlineStr">
        <is>
          <t>BS006</t>
        </is>
      </c>
      <c r="H99" t="inlineStr">
        <is>
          <t>25 September 2017</t>
        </is>
      </c>
      <c r="I99" s="2" t="n">
        <v>46227</v>
      </c>
      <c r="J99" t="inlineStr">
        <is>
          <t>Disetujui</t>
        </is>
      </c>
      <c r="K99" t="n">
        <v>30</v>
      </c>
      <c r="L99" t="inlineStr">
        <is>
          <t>24 Juli 2026</t>
        </is>
      </c>
      <c r="M99" t="inlineStr">
        <is>
          <t>Konstruksi Bangunan Sipil Prasarana dan Sarana Sistem Pengolahan Limbah Padat, Cair, dan Gas</t>
        </is>
      </c>
      <c r="N99" t="inlineStr">
        <is>
          <t>K</t>
        </is>
      </c>
      <c r="O99" t="inlineStr">
        <is>
          <t>20230524</t>
        </is>
      </c>
      <c r="P99" t="inlineStr">
        <is>
          <t>Jawa Timur</t>
        </is>
      </c>
      <c r="Q99" t="inlineStr"/>
    </row>
    <row r="100">
      <c r="A100" t="inlineStr">
        <is>
          <t>KANAYA PUTERI</t>
        </is>
      </c>
      <c r="B100" t="inlineStr">
        <is>
          <t>Kota Bandar Lampung</t>
        </is>
      </c>
      <c r="C100" t="inlineStr">
        <is>
          <t>081214526433</t>
        </is>
      </c>
      <c r="D100" t="inlineStr">
        <is>
          <t>cvkanayaputri03@gmail.com</t>
        </is>
      </c>
      <c r="E100" t="inlineStr">
        <is>
          <t>https://lpjk.pu.go.id/search-badan-usaha-detail/UVlRR2V5aks0c1V1UldVSXZUNHdQQT09</t>
        </is>
      </c>
      <c r="F100" t="n">
        <v>2</v>
      </c>
      <c r="G100" t="inlineStr">
        <is>
          <t>BG006</t>
        </is>
      </c>
      <c r="H100" t="inlineStr">
        <is>
          <t>20 Januari 2020</t>
        </is>
      </c>
      <c r="I100" s="2" t="n">
        <v>46227</v>
      </c>
      <c r="J100" t="inlineStr">
        <is>
          <t>Disetujui</t>
        </is>
      </c>
      <c r="K100" t="n">
        <v>30</v>
      </c>
      <c r="L100" t="inlineStr">
        <is>
          <t>24 Juli 2026</t>
        </is>
      </c>
      <c r="M100" t="inlineStr">
        <is>
          <t>Konstruksi Gedung Pendidikan</t>
        </is>
      </c>
      <c r="N100" t="inlineStr">
        <is>
          <t>K</t>
        </is>
      </c>
      <c r="O100" t="inlineStr">
        <is>
          <t>20230721</t>
        </is>
      </c>
      <c r="P100" t="inlineStr">
        <is>
          <t>Lampung</t>
        </is>
      </c>
      <c r="Q100" t="inlineStr"/>
    </row>
    <row r="101">
      <c r="A101" t="inlineStr">
        <is>
          <t>KARYA ANAK BANGSA</t>
        </is>
      </c>
      <c r="B101" t="inlineStr">
        <is>
          <t>Kab. Kutai Timur</t>
        </is>
      </c>
      <c r="C101" t="inlineStr">
        <is>
          <t>08115818802</t>
        </is>
      </c>
      <c r="D101" t="inlineStr">
        <is>
          <t>cv.karyaanakbangsa96@gmail.com</t>
        </is>
      </c>
      <c r="E101" t="inlineStr">
        <is>
          <t>https://lpjk.pu.go.id/search-badan-usaha-detail/STFTTmNaRmlic01qRUY5V3VhZmhoUT09</t>
        </is>
      </c>
      <c r="F101" t="n">
        <v>1</v>
      </c>
      <c r="G101" t="inlineStr">
        <is>
          <t>BS004</t>
        </is>
      </c>
      <c r="H101" t="inlineStr">
        <is>
          <t>2 Mei 2014</t>
        </is>
      </c>
      <c r="I101" s="2" t="n">
        <v>46227</v>
      </c>
      <c r="J101" t="inlineStr">
        <is>
          <t>Disetujui</t>
        </is>
      </c>
      <c r="K101" t="n">
        <v>30</v>
      </c>
      <c r="L101" t="inlineStr">
        <is>
          <t>24 Juli 2026</t>
        </is>
      </c>
      <c r="M101" t="inlineStr">
        <is>
          <t>Konstruksi Jaringan Irigasi dan Drainase</t>
        </is>
      </c>
      <c r="N101" t="inlineStr">
        <is>
          <t>K</t>
        </is>
      </c>
      <c r="O101" t="inlineStr">
        <is>
          <t>20230724</t>
        </is>
      </c>
      <c r="P101" t="inlineStr">
        <is>
          <t>Kalimantan Timur</t>
        </is>
      </c>
      <c r="Q101" t="inlineStr"/>
    </row>
    <row r="102">
      <c r="A102" t="inlineStr">
        <is>
          <t>KARYA GHANIYYAH KONSTRUKSI</t>
        </is>
      </c>
      <c r="B102" t="inlineStr">
        <is>
          <t>Kota Kendari</t>
        </is>
      </c>
      <c r="C102" t="inlineStr">
        <is>
          <t>08114080326</t>
        </is>
      </c>
      <c r="D102" t="inlineStr">
        <is>
          <t>CV.KaryaGhaniyyahKonstruksi@gmail.com</t>
        </is>
      </c>
      <c r="E102" t="inlineStr">
        <is>
          <t>https://lpjk.pu.go.id/search-badan-usaha-detail/UHdXbG9JNjVydys2MU0xaUdEOFhoUT09</t>
        </is>
      </c>
      <c r="F102" t="n">
        <v>1</v>
      </c>
      <c r="G102" t="inlineStr">
        <is>
          <t>BG009</t>
        </is>
      </c>
      <c r="H102" t="inlineStr">
        <is>
          <t>27 Juni 2023</t>
        </is>
      </c>
      <c r="I102" s="2" t="n">
        <v>46227</v>
      </c>
      <c r="J102" t="inlineStr">
        <is>
          <t>Pencabutan</t>
        </is>
      </c>
      <c r="K102" t="n">
        <v>30</v>
      </c>
      <c r="L102" t="inlineStr">
        <is>
          <t>24 Juli 2026</t>
        </is>
      </c>
      <c r="M102" t="inlineStr">
        <is>
          <t>Konstruksi Gedung Lainnya</t>
        </is>
      </c>
      <c r="N102" t="inlineStr">
        <is>
          <t>K</t>
        </is>
      </c>
      <c r="O102" t="inlineStr">
        <is>
          <t>20230723</t>
        </is>
      </c>
      <c r="P102" t="inlineStr">
        <is>
          <t>Sulawesi Tenggara</t>
        </is>
      </c>
      <c r="Q102" t="inlineStr"/>
    </row>
    <row r="103">
      <c r="A103" t="inlineStr">
        <is>
          <t>KARYA INSAN AMANAH</t>
        </is>
      </c>
      <c r="B103" t="inlineStr">
        <is>
          <t>Kota Bandung</t>
        </is>
      </c>
      <c r="C103" t="inlineStr">
        <is>
          <t>0878 2575 6348</t>
        </is>
      </c>
      <c r="D103" t="inlineStr">
        <is>
          <t>karyainsaniamanah@gmail.com</t>
        </is>
      </c>
      <c r="E103" t="inlineStr">
        <is>
          <t>https://lpjk.pu.go.id/search-badan-usaha-detail/M0VPUzB0N2l2ci9oekxOSXB0dVR3QT09</t>
        </is>
      </c>
      <c r="F103" t="n">
        <v>1</v>
      </c>
      <c r="G103" t="inlineStr">
        <is>
          <t>PL005</t>
        </is>
      </c>
      <c r="H103" t="inlineStr">
        <is>
          <t>27 Februari 2019</t>
        </is>
      </c>
      <c r="I103" s="2" t="n">
        <v>46227</v>
      </c>
      <c r="J103" t="inlineStr">
        <is>
          <t>Disetujui</t>
        </is>
      </c>
      <c r="K103" t="n">
        <v>30</v>
      </c>
      <c r="L103" t="inlineStr">
        <is>
          <t>24 Juli 2026</t>
        </is>
      </c>
      <c r="M103" t="inlineStr">
        <is>
          <t>Pembuatan/Pengeboran Sumur Air Tanah</t>
        </is>
      </c>
      <c r="N103" t="inlineStr">
        <is>
          <t>Spesialis</t>
        </is>
      </c>
      <c r="O103" t="inlineStr">
        <is>
          <t>20230722</t>
        </is>
      </c>
      <c r="P103" t="inlineStr">
        <is>
          <t>Jawa Barat</t>
        </is>
      </c>
      <c r="Q103" t="inlineStr"/>
    </row>
    <row r="104">
      <c r="A104" t="inlineStr">
        <is>
          <t>KARYA KEMUNING LESTARI</t>
        </is>
      </c>
      <c r="B104" t="inlineStr">
        <is>
          <t>Kab. Tangerang</t>
        </is>
      </c>
      <c r="C104" t="inlineStr">
        <is>
          <t>08205695219</t>
        </is>
      </c>
      <c r="D104" t="inlineStr">
        <is>
          <t>cvkaryakemuninglestari@gmail.com</t>
        </is>
      </c>
      <c r="E104" t="inlineStr">
        <is>
          <t>https://lpjk.pu.go.id/search-badan-usaha-detail/TFhiVkFzYWpQRGNIdC9FcXUvcndHQT09</t>
        </is>
      </c>
      <c r="F104" t="n">
        <v>2</v>
      </c>
      <c r="G104" t="inlineStr">
        <is>
          <t>BS001, BS004</t>
        </is>
      </c>
      <c r="H104" t="inlineStr">
        <is>
          <t>2 Februari 2022</t>
        </is>
      </c>
      <c r="I104" s="2" t="n">
        <v>46227</v>
      </c>
      <c r="J104" t="inlineStr">
        <is>
          <t>Disetujui</t>
        </is>
      </c>
      <c r="K104" t="n">
        <v>30</v>
      </c>
      <c r="L104" t="inlineStr">
        <is>
          <t>24 Juli 2026</t>
        </is>
      </c>
      <c r="M104" t="inlineStr">
        <is>
          <t>Konstruksi Bangunan Sipil Jalan, Konstruksi Jaringan Irigasi dan Drainase</t>
        </is>
      </c>
      <c r="N104" t="inlineStr">
        <is>
          <t>K</t>
        </is>
      </c>
      <c r="O104" t="inlineStr">
        <is>
          <t>20230722</t>
        </is>
      </c>
      <c r="P104" t="inlineStr">
        <is>
          <t>Banten</t>
        </is>
      </c>
      <c r="Q104" t="inlineStr"/>
    </row>
    <row r="105">
      <c r="A105" t="inlineStr">
        <is>
          <t>KARYA PUTRA JEMPANG</t>
        </is>
      </c>
      <c r="B105" t="inlineStr">
        <is>
          <t>Kab. Kutai Barat</t>
        </is>
      </c>
      <c r="C105" t="inlineStr">
        <is>
          <t>08125856946</t>
        </is>
      </c>
      <c r="D105" t="inlineStr">
        <is>
          <t>sahabuddin_kpj@yahoo.co.id</t>
        </is>
      </c>
      <c r="E105" t="inlineStr">
        <is>
          <t>https://lpjk.pu.go.id/search-badan-usaha-detail/S3VYVWN6VDhCbW9zbkVJNmM2ZXdGZz09</t>
        </is>
      </c>
      <c r="F105" t="n">
        <v>2</v>
      </c>
      <c r="G105" t="inlineStr">
        <is>
          <t>BG009, BS001</t>
        </is>
      </c>
      <c r="H105" t="inlineStr">
        <is>
          <t>23 Maret 2002</t>
        </is>
      </c>
      <c r="I105" s="2" t="n">
        <v>46227</v>
      </c>
      <c r="J105" t="inlineStr">
        <is>
          <t>Pencabutan</t>
        </is>
      </c>
      <c r="K105" t="n">
        <v>30</v>
      </c>
      <c r="L105" t="inlineStr">
        <is>
          <t>24 Juli 2026</t>
        </is>
      </c>
      <c r="M105" t="inlineStr">
        <is>
          <t>Konstruksi Bangunan Sipil Jalan, Konstruksi Gedung Lainnya</t>
        </is>
      </c>
      <c r="N105" t="inlineStr">
        <is>
          <t>K</t>
        </is>
      </c>
      <c r="O105" t="inlineStr">
        <is>
          <t>20230720</t>
        </is>
      </c>
      <c r="P105" t="inlineStr">
        <is>
          <t>Kalimantan Timur</t>
        </is>
      </c>
      <c r="Q105" t="inlineStr"/>
    </row>
    <row r="106">
      <c r="A106" t="inlineStr">
        <is>
          <t>KARYA SUKSESS MANDIRI</t>
        </is>
      </c>
      <c r="B106" t="inlineStr">
        <is>
          <t>Kota Bima</t>
        </is>
      </c>
      <c r="C106" t="inlineStr">
        <is>
          <t>085238916664</t>
        </is>
      </c>
      <c r="D106" t="inlineStr">
        <is>
          <t>cvbimanusantarapersada@yahoo.com</t>
        </is>
      </c>
      <c r="E106" t="inlineStr">
        <is>
          <t>https://lpjk.pu.go.id/search-badan-usaha-detail/Q0txcEU3MFU3WFVIT0JYQzU4V0FsQT09</t>
        </is>
      </c>
      <c r="F106" t="n">
        <v>1</v>
      </c>
      <c r="G106" t="inlineStr">
        <is>
          <t>BS010</t>
        </is>
      </c>
      <c r="H106" t="inlineStr">
        <is>
          <t>30 Januari 2020</t>
        </is>
      </c>
      <c r="I106" s="2" t="n">
        <v>46227</v>
      </c>
      <c r="J106" t="inlineStr">
        <is>
          <t>Disetujui</t>
        </is>
      </c>
      <c r="K106" t="n">
        <v>30</v>
      </c>
      <c r="L106" t="inlineStr">
        <is>
          <t>24 Juli 2026</t>
        </is>
      </c>
      <c r="M106" t="inlineStr">
        <is>
          <t>Konstruksi Bangunan Prasarana Sumber Daya Air</t>
        </is>
      </c>
      <c r="N106" t="inlineStr">
        <is>
          <t>K</t>
        </is>
      </c>
      <c r="O106" t="inlineStr">
        <is>
          <t>20230723</t>
        </is>
      </c>
      <c r="P106" t="inlineStr">
        <is>
          <t>Nusa Tenggara Barat</t>
        </is>
      </c>
      <c r="Q106" t="inlineStr"/>
    </row>
    <row r="107">
      <c r="A107" t="inlineStr">
        <is>
          <t>KARYA WIGUNA</t>
        </is>
      </c>
      <c r="B107" t="inlineStr">
        <is>
          <t>Kab. Banyuwangi</t>
        </is>
      </c>
      <c r="C107" t="inlineStr">
        <is>
          <t>087860433584</t>
        </is>
      </c>
      <c r="D107" t="inlineStr">
        <is>
          <t>wigunakarya90@gmail.com</t>
        </is>
      </c>
      <c r="E107" t="inlineStr">
        <is>
          <t>https://lpjk.pu.go.id/search-badan-usaha-detail/V0RHeXkxTmxNZEJLUUNSQ3ZpTEhlUT09</t>
        </is>
      </c>
      <c r="F107" t="n">
        <v>1</v>
      </c>
      <c r="G107" t="inlineStr">
        <is>
          <t>RK003</t>
        </is>
      </c>
      <c r="H107" t="inlineStr">
        <is>
          <t>19 April 2018</t>
        </is>
      </c>
      <c r="I107" s="2" t="n">
        <v>46227</v>
      </c>
      <c r="J107" t="inlineStr">
        <is>
          <t>Disetujui</t>
        </is>
      </c>
      <c r="K107" t="n">
        <v>30</v>
      </c>
      <c r="L107" t="inlineStr">
        <is>
          <t>24 Juli 2026</t>
        </is>
      </c>
      <c r="M107" t="inlineStr">
        <is>
          <t>Jasa Rekayasa Pekerjaan Teknik Sipil Transportasi</t>
        </is>
      </c>
      <c r="N107" t="inlineStr">
        <is>
          <t>K</t>
        </is>
      </c>
      <c r="O107" t="inlineStr">
        <is>
          <t>20230718</t>
        </is>
      </c>
      <c r="P107" t="inlineStr">
        <is>
          <t>Jawa Timur</t>
        </is>
      </c>
      <c r="Q107" t="inlineStr"/>
    </row>
    <row r="108">
      <c r="A108" t="inlineStr">
        <is>
          <t>KAYAN JAYA BULUNGAN</t>
        </is>
      </c>
      <c r="B108" t="inlineStr">
        <is>
          <t>Kab. Bulungan</t>
        </is>
      </c>
      <c r="C108" t="inlineStr">
        <is>
          <t>081215254855</t>
        </is>
      </c>
      <c r="D108" t="inlineStr">
        <is>
          <t>kayanjayabulungan@ymail.com</t>
        </is>
      </c>
      <c r="E108" t="inlineStr">
        <is>
          <t>https://lpjk.pu.go.id/search-badan-usaha-detail/Z0I5UU81d0c0TGhHZk1yRTJ0Z2tlTmRidGRmdTZNUVFtYjhaTWN0ZmZpdz0</t>
        </is>
      </c>
      <c r="F108" t="n">
        <v>1</v>
      </c>
      <c r="G108" t="inlineStr">
        <is>
          <t>BS010</t>
        </is>
      </c>
      <c r="H108" t="inlineStr">
        <is>
          <t>14 Maret 2022</t>
        </is>
      </c>
      <c r="I108" s="2" t="n">
        <v>46227</v>
      </c>
      <c r="J108" t="inlineStr">
        <is>
          <t>Disetujui</t>
        </is>
      </c>
      <c r="K108" t="n">
        <v>30</v>
      </c>
      <c r="L108" t="inlineStr">
        <is>
          <t>24 Juli 2026</t>
        </is>
      </c>
      <c r="M108" t="inlineStr">
        <is>
          <t>Konstruksi Bangunan Prasarana Sumber Daya Air</t>
        </is>
      </c>
      <c r="N108" t="inlineStr">
        <is>
          <t>M</t>
        </is>
      </c>
      <c r="O108" t="inlineStr">
        <is>
          <t>20230724</t>
        </is>
      </c>
      <c r="P108" t="inlineStr">
        <is>
          <t>Kalimantan Utara</t>
        </is>
      </c>
      <c r="Q108" t="inlineStr"/>
    </row>
    <row r="109">
      <c r="A109" t="inlineStr">
        <is>
          <t>KEMBAR MAJU JAYA</t>
        </is>
      </c>
      <c r="B109" t="inlineStr">
        <is>
          <t>Kota Tanjung Pinang</t>
        </is>
      </c>
      <c r="C109" t="inlineStr">
        <is>
          <t>081365559344</t>
        </is>
      </c>
      <c r="D109" t="inlineStr">
        <is>
          <t>cv.kembarmajujaya@gmail.com</t>
        </is>
      </c>
      <c r="E109" t="inlineStr">
        <is>
          <t>https://lpjk.pu.go.id/search-badan-usaha-detail/ekozVi9SR015T2FJWXFqaUIwV2JLQT09</t>
        </is>
      </c>
      <c r="F109" t="n">
        <v>1</v>
      </c>
      <c r="G109" t="inlineStr">
        <is>
          <t>BS001</t>
        </is>
      </c>
      <c r="H109" t="inlineStr">
        <is>
          <t>27 Juni 2022</t>
        </is>
      </c>
      <c r="I109" s="2" t="n">
        <v>46227</v>
      </c>
      <c r="J109" t="inlineStr">
        <is>
          <t>Pencabutan</t>
        </is>
      </c>
      <c r="K109" t="n">
        <v>30</v>
      </c>
      <c r="L109" t="inlineStr">
        <is>
          <t>24 Juli 2026</t>
        </is>
      </c>
      <c r="M109" t="inlineStr">
        <is>
          <t>Konstruksi Bangunan Sipil Jalan</t>
        </is>
      </c>
      <c r="N109" t="inlineStr">
        <is>
          <t>K</t>
        </is>
      </c>
      <c r="O109" t="inlineStr">
        <is>
          <t>20230710</t>
        </is>
      </c>
      <c r="P109" t="inlineStr">
        <is>
          <t>Kepulauan Riau</t>
        </is>
      </c>
      <c r="Q109" t="inlineStr"/>
    </row>
    <row r="110">
      <c r="A110" t="inlineStr">
        <is>
          <t>KEMILAU SURYA KONSTRUKSI</t>
        </is>
      </c>
      <c r="B110" t="inlineStr">
        <is>
          <t>Kota Cirebon</t>
        </is>
      </c>
      <c r="C110" t="inlineStr">
        <is>
          <t>081318159497</t>
        </is>
      </c>
      <c r="D110" t="inlineStr">
        <is>
          <t>KEMILAUSURYAKONSTRUKSI@GMAIL.COM</t>
        </is>
      </c>
      <c r="E110" t="inlineStr">
        <is>
          <t>https://lpjk.pu.go.id/search-badan-usaha-detail/NW1uNk5WQ0hyOHZXTnMxY3VXNnJwQT09</t>
        </is>
      </c>
      <c r="F110" t="n">
        <v>1</v>
      </c>
      <c r="G110" t="inlineStr">
        <is>
          <t>BG001</t>
        </is>
      </c>
      <c r="H110" t="inlineStr">
        <is>
          <t>10 April 2012</t>
        </is>
      </c>
      <c r="I110" s="2" t="n">
        <v>46227</v>
      </c>
      <c r="J110" t="inlineStr">
        <is>
          <t>Disetujui</t>
        </is>
      </c>
      <c r="K110" t="n">
        <v>30</v>
      </c>
      <c r="L110" t="inlineStr">
        <is>
          <t>24 Juli 2026</t>
        </is>
      </c>
      <c r="M110" t="inlineStr">
        <is>
          <t>Konstruksi Gedung Hunian</t>
        </is>
      </c>
      <c r="N110" t="inlineStr">
        <is>
          <t>K</t>
        </is>
      </c>
      <c r="O110" t="inlineStr">
        <is>
          <t>20230722</t>
        </is>
      </c>
      <c r="P110" t="inlineStr">
        <is>
          <t>Jawa Barat</t>
        </is>
      </c>
      <c r="Q110" t="inlineStr"/>
    </row>
    <row r="111">
      <c r="A111" t="inlineStr">
        <is>
          <t>KRAKATAU</t>
        </is>
      </c>
      <c r="B111" t="inlineStr">
        <is>
          <t>Kab. Kapuas Hulu</t>
        </is>
      </c>
      <c r="C111" t="inlineStr">
        <is>
          <t>082198654885</t>
        </is>
      </c>
      <c r="D111" t="inlineStr">
        <is>
          <t>sjm070288@gmail.com</t>
        </is>
      </c>
      <c r="E111" t="inlineStr">
        <is>
          <t>https://lpjk.pu.go.id/search-badan-usaha-detail/UmxSNE82MnZJQ0RBV1I3UmJFSGp6dz09</t>
        </is>
      </c>
      <c r="F111" t="n">
        <v>1</v>
      </c>
      <c r="G111" t="inlineStr">
        <is>
          <t>BG006</t>
        </is>
      </c>
      <c r="H111" t="inlineStr">
        <is>
          <t>22 Juli 2003</t>
        </is>
      </c>
      <c r="I111" s="2" t="n">
        <v>46227</v>
      </c>
      <c r="J111" t="inlineStr">
        <is>
          <t>Disetujui</t>
        </is>
      </c>
      <c r="K111" t="n">
        <v>30</v>
      </c>
      <c r="L111" t="inlineStr">
        <is>
          <t>24 Juli 2026</t>
        </is>
      </c>
      <c r="M111" t="inlineStr">
        <is>
          <t>Konstruksi Gedung Pendidikan</t>
        </is>
      </c>
      <c r="N111" t="inlineStr">
        <is>
          <t>K</t>
        </is>
      </c>
      <c r="O111" t="inlineStr">
        <is>
          <t>20230712</t>
        </is>
      </c>
      <c r="P111" t="inlineStr">
        <is>
          <t>Kalimantan Barat</t>
        </is>
      </c>
      <c r="Q111" t="inlineStr"/>
    </row>
    <row r="112">
      <c r="A112" t="inlineStr">
        <is>
          <t>KREASI PAPUA SEJAHTRA</t>
        </is>
      </c>
      <c r="B112" t="inlineStr">
        <is>
          <t>Kab. Jayapura</t>
        </is>
      </c>
      <c r="C112" t="inlineStr">
        <is>
          <t>082327645005</t>
        </is>
      </c>
      <c r="D112" t="inlineStr">
        <is>
          <t>pt.kreasipapuasejahtera@gmail.com</t>
        </is>
      </c>
      <c r="E112" t="inlineStr">
        <is>
          <t>https://lpjk.pu.go.id/search-badan-usaha-detail/WElERjI0RmxpdUJIQ1U0ZXhscU1udz09</t>
        </is>
      </c>
      <c r="F112" t="n">
        <v>1</v>
      </c>
      <c r="G112" t="inlineStr">
        <is>
          <t>BS001</t>
        </is>
      </c>
      <c r="H112" t="inlineStr">
        <is>
          <t>3 Juni 2010</t>
        </is>
      </c>
      <c r="I112" s="2" t="n">
        <v>46227</v>
      </c>
      <c r="J112" t="inlineStr">
        <is>
          <t>Pencabutan</t>
        </is>
      </c>
      <c r="K112" t="n">
        <v>30</v>
      </c>
      <c r="L112" t="inlineStr">
        <is>
          <t>24 Juli 2026</t>
        </is>
      </c>
      <c r="M112" t="inlineStr">
        <is>
          <t>Konstruksi Bangunan Sipil Jalan</t>
        </is>
      </c>
      <c r="N112" t="inlineStr">
        <is>
          <t>B</t>
        </is>
      </c>
      <c r="O112" t="inlineStr">
        <is>
          <t>20230707</t>
        </is>
      </c>
      <c r="P112" t="inlineStr">
        <is>
          <t>Papua</t>
        </is>
      </c>
      <c r="Q112" t="inlineStr"/>
    </row>
    <row r="113">
      <c r="A113" t="inlineStr">
        <is>
          <t>KUALA PERSADA PAPUA NUSANTARA</t>
        </is>
      </c>
      <c r="B113" t="inlineStr">
        <is>
          <t>Kab. Mimika</t>
        </is>
      </c>
      <c r="C113" t="inlineStr">
        <is>
          <t>085241700502</t>
        </is>
      </c>
      <c r="D113" t="inlineStr">
        <is>
          <t>pt.kualapersadapapuanusantara01@gmail.com</t>
        </is>
      </c>
      <c r="E113" t="inlineStr">
        <is>
          <t>https://lpjk.pu.go.id/search-badan-usaha-detail/TTh3YVVBa2pJQmVyQW1KMVdXTm4rZz09</t>
        </is>
      </c>
      <c r="F113" t="n">
        <v>1</v>
      </c>
      <c r="G113" t="inlineStr">
        <is>
          <t>BG002</t>
        </is>
      </c>
      <c r="H113" t="inlineStr">
        <is>
          <t>4 November 2004</t>
        </is>
      </c>
      <c r="I113" s="2" t="n">
        <v>46227</v>
      </c>
      <c r="J113" t="inlineStr">
        <is>
          <t>Pembekuan</t>
        </is>
      </c>
      <c r="K113" t="n">
        <v>30</v>
      </c>
      <c r="L113" t="inlineStr">
        <is>
          <t>24 Juli 2026</t>
        </is>
      </c>
      <c r="M113" t="inlineStr">
        <is>
          <t>Konstruksi Gedung Perkantoran</t>
        </is>
      </c>
      <c r="N113" t="inlineStr">
        <is>
          <t>M</t>
        </is>
      </c>
      <c r="O113" t="inlineStr">
        <is>
          <t>20230721</t>
        </is>
      </c>
      <c r="P113" t="inlineStr">
        <is>
          <t>Papua</t>
        </is>
      </c>
      <c r="Q113" t="inlineStr"/>
    </row>
    <row r="114">
      <c r="A114" t="inlineStr">
        <is>
          <t>KURNIA ANUGRAH</t>
        </is>
      </c>
      <c r="B114" t="inlineStr">
        <is>
          <t>Kab. Kubu Raya</t>
        </is>
      </c>
      <c r="C114" t="inlineStr">
        <is>
          <t>081333163686</t>
        </is>
      </c>
      <c r="D114" t="inlineStr">
        <is>
          <t>kurniaanugerah82@yahoo.com</t>
        </is>
      </c>
      <c r="E114" t="inlineStr">
        <is>
          <t>https://lpjk.pu.go.id/search-badan-usaha-detail/TEN0RGRzUVAzcDM4dGo0NGsrdmNzZTVLVllWdzZCOXVyVXhqeFFibFY3UT0</t>
        </is>
      </c>
      <c r="F114" t="n">
        <v>2</v>
      </c>
      <c r="G114" t="inlineStr">
        <is>
          <t>BG006, BS001</t>
        </is>
      </c>
      <c r="H114" t="inlineStr">
        <is>
          <t>30 Januari 2020</t>
        </is>
      </c>
      <c r="I114" s="2" t="n">
        <v>46227</v>
      </c>
      <c r="J114" t="inlineStr">
        <is>
          <t>Pencabutan</t>
        </is>
      </c>
      <c r="K114" t="n">
        <v>30</v>
      </c>
      <c r="L114" t="inlineStr">
        <is>
          <t>24 Juli 2026</t>
        </is>
      </c>
      <c r="M114" t="inlineStr">
        <is>
          <t>Konstruksi Bangunan Sipil Jalan, Konstruksi Gedung Pendidikan</t>
        </is>
      </c>
      <c r="N114" t="inlineStr">
        <is>
          <t>K</t>
        </is>
      </c>
      <c r="O114" t="inlineStr">
        <is>
          <t>20230717</t>
        </is>
      </c>
      <c r="P114" t="inlineStr">
        <is>
          <t>Kalimantan Barat</t>
        </is>
      </c>
      <c r="Q114" t="inlineStr"/>
    </row>
    <row r="115">
      <c r="A115" t="inlineStr">
        <is>
          <t>LAMPUNGSAI BANGUN PERSADA</t>
        </is>
      </c>
      <c r="B115" t="inlineStr">
        <is>
          <t>Kota Metro</t>
        </is>
      </c>
      <c r="C115" t="inlineStr">
        <is>
          <t>081379570500</t>
        </is>
      </c>
      <c r="D115" t="inlineStr">
        <is>
          <t>lampungsaibangunpersada18@gmail.com</t>
        </is>
      </c>
      <c r="E115" t="inlineStr">
        <is>
          <t>https://lpjk.pu.go.id/search-badan-usaha-detail/cENtU3NKb3hzbnRJb0ZuOUJSM0hndz09</t>
        </is>
      </c>
      <c r="F115" t="n">
        <v>2</v>
      </c>
      <c r="G115" t="inlineStr">
        <is>
          <t>BS001, BS004</t>
        </is>
      </c>
      <c r="H115" t="inlineStr">
        <is>
          <t>26 September 2019</t>
        </is>
      </c>
      <c r="I115" s="2" t="n">
        <v>46227</v>
      </c>
      <c r="J115" t="inlineStr">
        <is>
          <t>Disetujui</t>
        </is>
      </c>
      <c r="K115" t="n">
        <v>30</v>
      </c>
      <c r="L115" t="inlineStr">
        <is>
          <t>24 Juli 2026</t>
        </is>
      </c>
      <c r="M115" t="inlineStr">
        <is>
          <t>Konstruksi Bangunan Sipil Jalan, Konstruksi Jaringan Irigasi dan Drainase</t>
        </is>
      </c>
      <c r="N115" t="inlineStr">
        <is>
          <t>K</t>
        </is>
      </c>
      <c r="O115" t="inlineStr">
        <is>
          <t>20230721</t>
        </is>
      </c>
      <c r="P115" t="inlineStr">
        <is>
          <t>Lampung</t>
        </is>
      </c>
      <c r="Q115" t="inlineStr"/>
    </row>
    <row r="116">
      <c r="A116" t="inlineStr">
        <is>
          <t>LAPI - ITB</t>
        </is>
      </c>
      <c r="B116" t="inlineStr">
        <is>
          <t>Kota Bandung</t>
        </is>
      </c>
      <c r="C116" t="inlineStr">
        <is>
          <t>0222534178</t>
        </is>
      </c>
      <c r="D116" t="inlineStr">
        <is>
          <t>office@lapi-itb.com</t>
        </is>
      </c>
      <c r="E116" t="inlineStr">
        <is>
          <t>https://lpjk.pu.go.id/search-badan-usaha-detail/OEJsb1ppS2h2eGc4N0JoaGptNGpjZz09</t>
        </is>
      </c>
      <c r="F116" t="n">
        <v>1</v>
      </c>
      <c r="G116" t="inlineStr">
        <is>
          <t>RT002</t>
        </is>
      </c>
      <c r="H116" t="inlineStr">
        <is>
          <t>2 Maret 2004</t>
        </is>
      </c>
      <c r="I116" s="2" t="n">
        <v>46227</v>
      </c>
      <c r="J116" t="inlineStr">
        <is>
          <t>Disetujui</t>
        </is>
      </c>
      <c r="K116" t="n">
        <v>30</v>
      </c>
      <c r="L116" t="inlineStr">
        <is>
          <t>24 Juli 2026</t>
        </is>
      </c>
      <c r="M116" t="inlineStr">
        <is>
          <t>Jasa Rekayasa Konstruksi Pembangkit, Jaringan Transmisi, Gardu Induk, dan Distribusi Tenaga Listrik</t>
        </is>
      </c>
      <c r="N116" t="inlineStr">
        <is>
          <t>K</t>
        </is>
      </c>
      <c r="O116" t="inlineStr">
        <is>
          <t>20230717</t>
        </is>
      </c>
      <c r="P116" t="inlineStr">
        <is>
          <t>Jawa Barat</t>
        </is>
      </c>
      <c r="Q116" t="inlineStr"/>
    </row>
    <row r="117">
      <c r="A117" t="inlineStr">
        <is>
          <t>LENTERA CIPTA TAMA</t>
        </is>
      </c>
      <c r="B117" t="inlineStr">
        <is>
          <t>Kab. Sleman</t>
        </is>
      </c>
      <c r="C117" t="inlineStr">
        <is>
          <t>082298453551</t>
        </is>
      </c>
      <c r="D117" t="inlineStr">
        <is>
          <t>ciptatama.lenteracv@gmail.com</t>
        </is>
      </c>
      <c r="E117" t="inlineStr">
        <is>
          <t>https://lpjk.pu.go.id/search-badan-usaha-detail/YmF0aENkbDY2NGc2VFhYOHNTNVlVQT09</t>
        </is>
      </c>
      <c r="F117" t="n">
        <v>2</v>
      </c>
      <c r="G117" t="inlineStr">
        <is>
          <t>BS001, BS004</t>
        </is>
      </c>
      <c r="H117" t="inlineStr">
        <is>
          <t>16 Mei 2019</t>
        </is>
      </c>
      <c r="I117" s="2" t="n">
        <v>46227</v>
      </c>
      <c r="J117" t="inlineStr">
        <is>
          <t>Disetujui</t>
        </is>
      </c>
      <c r="K117" t="n">
        <v>30</v>
      </c>
      <c r="L117" t="inlineStr">
        <is>
          <t>24 Juli 2026</t>
        </is>
      </c>
      <c r="M117" t="inlineStr">
        <is>
          <t>Konstruksi Bangunan Sipil Jalan, Konstruksi Jaringan Irigasi dan Drainase</t>
        </is>
      </c>
      <c r="N117" t="inlineStr">
        <is>
          <t>K</t>
        </is>
      </c>
      <c r="O117" t="inlineStr">
        <is>
          <t>20230724</t>
        </is>
      </c>
      <c r="P117" t="inlineStr">
        <is>
          <t>DI Yogyakarta</t>
        </is>
      </c>
      <c r="Q117" t="inlineStr"/>
    </row>
    <row r="118">
      <c r="A118" t="inlineStr">
        <is>
          <t>LINTAS MEDIATAMA</t>
        </is>
      </c>
      <c r="B118" t="inlineStr">
        <is>
          <t>Kota Bandung</t>
        </is>
      </c>
      <c r="C118" t="inlineStr">
        <is>
          <t>0227230867</t>
        </is>
      </c>
      <c r="D118" t="inlineStr">
        <is>
          <t>office@lintasmediatama.com</t>
        </is>
      </c>
      <c r="E118" t="inlineStr">
        <is>
          <t>https://lpjk.pu.go.id/search-badan-usaha-detail/K3NCclVRaml2VE54a3J5VWxZbnJIUT09</t>
        </is>
      </c>
      <c r="F118" t="n">
        <v>1</v>
      </c>
      <c r="G118" t="inlineStr">
        <is>
          <t>BG009</t>
        </is>
      </c>
      <c r="H118" t="inlineStr">
        <is>
          <t>16 Desember 2005</t>
        </is>
      </c>
      <c r="I118" s="2" t="n">
        <v>46227</v>
      </c>
      <c r="J118" t="inlineStr">
        <is>
          <t>Disetujui</t>
        </is>
      </c>
      <c r="K118" t="n">
        <v>30</v>
      </c>
      <c r="L118" t="inlineStr">
        <is>
          <t>24 Juli 2026</t>
        </is>
      </c>
      <c r="M118" t="inlineStr">
        <is>
          <t>Konstruksi Gedung Lainnya</t>
        </is>
      </c>
      <c r="N118" t="inlineStr">
        <is>
          <t>K</t>
        </is>
      </c>
      <c r="O118" t="inlineStr">
        <is>
          <t>20230720</t>
        </is>
      </c>
      <c r="P118" t="inlineStr">
        <is>
          <t>Jawa Barat</t>
        </is>
      </c>
      <c r="Q118" t="inlineStr"/>
    </row>
    <row r="119">
      <c r="A119" t="inlineStr">
        <is>
          <t>LUMBUNG REZEKI</t>
        </is>
      </c>
      <c r="B119" t="inlineStr">
        <is>
          <t>Kota Samarinda</t>
        </is>
      </c>
      <c r="C119" t="inlineStr">
        <is>
          <t>085250837000</t>
        </is>
      </c>
      <c r="D119" t="inlineStr">
        <is>
          <t>rezekilumbung@ymail.com</t>
        </is>
      </c>
      <c r="E119" t="inlineStr">
        <is>
          <t>https://lpjk.pu.go.id/search-badan-usaha-detail/NkRxVkNYZ2FEWDFva3piQ3JET1NHQT09</t>
        </is>
      </c>
      <c r="F119" t="n">
        <v>2</v>
      </c>
      <c r="G119" t="inlineStr">
        <is>
          <t>BG003, BG006</t>
        </is>
      </c>
      <c r="H119" t="inlineStr">
        <is>
          <t>1 Februari 2013</t>
        </is>
      </c>
      <c r="I119" s="2" t="n">
        <v>46227</v>
      </c>
      <c r="J119" t="inlineStr">
        <is>
          <t>Disetujui</t>
        </is>
      </c>
      <c r="K119" t="n">
        <v>30</v>
      </c>
      <c r="L119" t="inlineStr">
        <is>
          <t>24 Juli 2026</t>
        </is>
      </c>
      <c r="M119" t="inlineStr">
        <is>
          <t>Konstruksi Gedung Industri, Konstruksi Gedung Pendidikan</t>
        </is>
      </c>
      <c r="N119" t="inlineStr">
        <is>
          <t>K</t>
        </is>
      </c>
      <c r="O119" t="inlineStr">
        <is>
          <t>20230724</t>
        </is>
      </c>
      <c r="P119" t="inlineStr">
        <is>
          <t>Kalimantan Timur</t>
        </is>
      </c>
      <c r="Q119" t="inlineStr"/>
    </row>
    <row r="120">
      <c r="A120" t="inlineStr">
        <is>
          <t>MAJU MAPAN</t>
        </is>
      </c>
      <c r="B120" t="inlineStr">
        <is>
          <t>Kab. Tanah Datar</t>
        </is>
      </c>
      <c r="C120" t="inlineStr">
        <is>
          <t>085274109212</t>
        </is>
      </c>
      <c r="D120" t="inlineStr">
        <is>
          <t>cvmajumapan58@yahoo.co.id</t>
        </is>
      </c>
      <c r="E120" t="inlineStr">
        <is>
          <t>https://lpjk.pu.go.id/search-badan-usaha-detail/QXFhMzNTZm5jOXJwZVliRzRLU1N3UT09</t>
        </is>
      </c>
      <c r="F120" t="n">
        <v>4</v>
      </c>
      <c r="G120" t="inlineStr">
        <is>
          <t>BG004, BG009, BS001, BS004</t>
        </is>
      </c>
      <c r="H120" t="inlineStr">
        <is>
          <t>3 Januari 2013</t>
        </is>
      </c>
      <c r="I120" s="2" t="n">
        <v>46227</v>
      </c>
      <c r="J120" t="inlineStr">
        <is>
          <t>Disetujui</t>
        </is>
      </c>
      <c r="K120" t="n">
        <v>30</v>
      </c>
      <c r="L120" t="inlineStr">
        <is>
          <t>24 Juli 2026</t>
        </is>
      </c>
      <c r="M120" t="inlineStr">
        <is>
          <t>Konstruksi Bangunan Sipil Jalan, Konstruksi Gedung Lainnya, Konstruksi Gedung Perbelanjaan, Konstruksi Jaringan Irigasi dan Drainase</t>
        </is>
      </c>
      <c r="N120" t="inlineStr">
        <is>
          <t>K</t>
        </is>
      </c>
      <c r="O120" t="inlineStr">
        <is>
          <t>20230722</t>
        </is>
      </c>
      <c r="P120" t="inlineStr">
        <is>
          <t>Sumatera Barat</t>
        </is>
      </c>
      <c r="Q120" t="inlineStr"/>
    </row>
    <row r="121">
      <c r="A121" t="inlineStr">
        <is>
          <t>MAKMUR KARYA PERKASA</t>
        </is>
      </c>
      <c r="B121" t="inlineStr">
        <is>
          <t>Kab. Probolinggo</t>
        </is>
      </c>
      <c r="C121" t="inlineStr">
        <is>
          <t>081359277417</t>
        </is>
      </c>
      <c r="D121" t="inlineStr">
        <is>
          <t>makmurkaryaperkasa885@gmail.com</t>
        </is>
      </c>
      <c r="E121" t="inlineStr">
        <is>
          <t>https://lpjk.pu.go.id/search-badan-usaha-detail/Rnd2cXlnc2JrWUVSWVhJdHhiSHZmZz09</t>
        </is>
      </c>
      <c r="F121" t="n">
        <v>1</v>
      </c>
      <c r="G121" t="inlineStr">
        <is>
          <t>BS001</t>
        </is>
      </c>
      <c r="H121" t="inlineStr">
        <is>
          <t>22 Februari 2023</t>
        </is>
      </c>
      <c r="I121" s="2" t="n">
        <v>46227</v>
      </c>
      <c r="J121" t="inlineStr">
        <is>
          <t>Disetujui</t>
        </is>
      </c>
      <c r="K121" t="n">
        <v>30</v>
      </c>
      <c r="L121" t="inlineStr">
        <is>
          <t>24 Juli 2026</t>
        </is>
      </c>
      <c r="M121" t="inlineStr">
        <is>
          <t>Konstruksi Bangunan Sipil Jalan</t>
        </is>
      </c>
      <c r="N121" t="inlineStr">
        <is>
          <t>K</t>
        </is>
      </c>
      <c r="O121" t="inlineStr">
        <is>
          <t>20230715</t>
        </is>
      </c>
      <c r="P121" t="inlineStr">
        <is>
          <t>Jawa Timur</t>
        </is>
      </c>
      <c r="Q121" t="inlineStr"/>
    </row>
    <row r="122">
      <c r="A122" t="inlineStr">
        <is>
          <t>MALINDO</t>
        </is>
      </c>
      <c r="B122" t="inlineStr">
        <is>
          <t>Kab. Bondowoso</t>
        </is>
      </c>
      <c r="C122" t="inlineStr">
        <is>
          <t>085253871456</t>
        </is>
      </c>
      <c r="D122" t="inlineStr">
        <is>
          <t>cheve_malindo@yahoo.com</t>
        </is>
      </c>
      <c r="E122" t="inlineStr">
        <is>
          <t>https://lpjk.pu.go.id/search-badan-usaha-detail/cTJpQ0NYWDEydUkwTHJuVHlGYlovQT09</t>
        </is>
      </c>
      <c r="F122" t="n">
        <v>1</v>
      </c>
      <c r="G122" t="inlineStr">
        <is>
          <t>BG006</t>
        </is>
      </c>
      <c r="H122" t="inlineStr">
        <is>
          <t>5 Januari 2009</t>
        </is>
      </c>
      <c r="I122" s="2" t="n">
        <v>46227</v>
      </c>
      <c r="J122" t="inlineStr">
        <is>
          <t>Disetujui</t>
        </is>
      </c>
      <c r="K122" t="n">
        <v>30</v>
      </c>
      <c r="L122" t="inlineStr">
        <is>
          <t>24 Juli 2026</t>
        </is>
      </c>
      <c r="M122" t="inlineStr">
        <is>
          <t>Konstruksi Gedung Pendidikan</t>
        </is>
      </c>
      <c r="N122" t="inlineStr">
        <is>
          <t>K</t>
        </is>
      </c>
      <c r="O122" t="inlineStr">
        <is>
          <t>20230721</t>
        </is>
      </c>
      <c r="P122" t="inlineStr">
        <is>
          <t>Jawa Timur</t>
        </is>
      </c>
      <c r="Q122" t="inlineStr"/>
    </row>
    <row r="123">
      <c r="A123" t="inlineStr">
        <is>
          <t>MANDALA KARYA SAMUDRA</t>
        </is>
      </c>
      <c r="B123" t="inlineStr">
        <is>
          <t>Kota Surabaya</t>
        </is>
      </c>
      <c r="C123" t="inlineStr">
        <is>
          <t>03158255059</t>
        </is>
      </c>
      <c r="D123" t="inlineStr">
        <is>
          <t>mandalasamudra2013@gmail.com</t>
        </is>
      </c>
      <c r="E123" t="inlineStr">
        <is>
          <t>https://lpjk.pu.go.id/search-badan-usaha-detail/dHlORGUyb2FDdVh2bHg4Rng3cXdMUT09</t>
        </is>
      </c>
      <c r="F123" t="n">
        <v>2</v>
      </c>
      <c r="G123" t="inlineStr">
        <is>
          <t>BS002</t>
        </is>
      </c>
      <c r="H123" t="inlineStr">
        <is>
          <t>12 Februari 2013</t>
        </is>
      </c>
      <c r="I123" s="2" t="n">
        <v>46227</v>
      </c>
      <c r="J123" t="inlineStr">
        <is>
          <t>Disetujui</t>
        </is>
      </c>
      <c r="K123" t="n">
        <v>30</v>
      </c>
      <c r="L123" t="inlineStr">
        <is>
          <t>24 Juli 2026</t>
        </is>
      </c>
      <c r="M123" t="inlineStr">
        <is>
          <t>Bangunan Sipil Jembatan, Jalan Layang, Fly Over, dan Underpass</t>
        </is>
      </c>
      <c r="N123" t="inlineStr">
        <is>
          <t>K</t>
        </is>
      </c>
      <c r="O123" t="inlineStr">
        <is>
          <t>20230719</t>
        </is>
      </c>
      <c r="P123" t="inlineStr">
        <is>
          <t>Jawa Timur</t>
        </is>
      </c>
      <c r="Q123" t="inlineStr"/>
    </row>
    <row r="124">
      <c r="A124" t="inlineStr">
        <is>
          <t>MANDIRI JAYA</t>
        </is>
      </c>
      <c r="B124" t="inlineStr">
        <is>
          <t>Kab. Bondowoso</t>
        </is>
      </c>
      <c r="C124" t="inlineStr">
        <is>
          <t>081336158253</t>
        </is>
      </c>
      <c r="D124" t="inlineStr">
        <is>
          <t>jmandiri998@gmail.com</t>
        </is>
      </c>
      <c r="E124" t="inlineStr">
        <is>
          <t>https://lpjk.pu.go.id/search-badan-usaha-detail/WmNzZWNiYnI3UlNyY3B1c2pGeDNaZz09</t>
        </is>
      </c>
      <c r="F124" t="n">
        <v>3</v>
      </c>
      <c r="G124" t="inlineStr">
        <is>
          <t>BG005, BG009, BS001</t>
        </is>
      </c>
      <c r="H124" t="inlineStr">
        <is>
          <t>17 Januari 2009</t>
        </is>
      </c>
      <c r="I124" s="2" t="n">
        <v>46227</v>
      </c>
      <c r="J124" t="inlineStr">
        <is>
          <t>Disetujui</t>
        </is>
      </c>
      <c r="K124" t="n">
        <v>30</v>
      </c>
      <c r="L124" t="inlineStr">
        <is>
          <t>24 Juli 2026</t>
        </is>
      </c>
      <c r="M124" t="inlineStr">
        <is>
          <t>Konstruksi Bangunan Sipil Jalan, Konstruksi Gedung Kesehatan, Konstruksi Gedung Lainnya</t>
        </is>
      </c>
      <c r="N124" t="inlineStr">
        <is>
          <t>K</t>
        </is>
      </c>
      <c r="O124" t="inlineStr">
        <is>
          <t>20230718, 20230720, 20230721</t>
        </is>
      </c>
      <c r="P124" t="inlineStr">
        <is>
          <t>Jawa Timur</t>
        </is>
      </c>
      <c r="Q124" t="inlineStr"/>
    </row>
    <row r="125">
      <c r="A125" t="inlineStr">
        <is>
          <t>MANDIRI PUTRA MEMBANGUN</t>
        </is>
      </c>
      <c r="B125" t="inlineStr">
        <is>
          <t>Kota Palu</t>
        </is>
      </c>
      <c r="C125" t="inlineStr">
        <is>
          <t>08114539111</t>
        </is>
      </c>
      <c r="D125" t="inlineStr">
        <is>
          <t>pmandiri751@gmail.com</t>
        </is>
      </c>
      <c r="E125" t="inlineStr">
        <is>
          <t>https://lpjk.pu.go.id/search-badan-usaha-detail/NFVNVG5yN3hmNFhUZU03RS8rYzBDUT09</t>
        </is>
      </c>
      <c r="F125" t="n">
        <v>5</v>
      </c>
      <c r="G125" t="inlineStr">
        <is>
          <t>BG001, BG002, BG005, BG006, BG009</t>
        </is>
      </c>
      <c r="H125" t="inlineStr">
        <is>
          <t>25 Februari 2016</t>
        </is>
      </c>
      <c r="I125" s="2" t="n">
        <v>46227</v>
      </c>
      <c r="J125" t="inlineStr">
        <is>
          <t>Pencabutan</t>
        </is>
      </c>
      <c r="K125" t="n">
        <v>30</v>
      </c>
      <c r="L125" t="inlineStr">
        <is>
          <t>24 Juli 2026</t>
        </is>
      </c>
      <c r="M125" t="inlineStr">
        <is>
          <t>Konstruksi Gedung Hunian, Konstruksi Gedung Kesehatan, Konstruksi Gedung Lainnya, Konstruksi Gedung Pendidikan, Konstruksi Gedung Perkantoran</t>
        </is>
      </c>
      <c r="N125" t="inlineStr">
        <is>
          <t>K</t>
        </is>
      </c>
      <c r="O125" t="inlineStr">
        <is>
          <t>20230720, 20230724, 20230725</t>
        </is>
      </c>
      <c r="P125" t="inlineStr">
        <is>
          <t>Sulawesi Tengah</t>
        </is>
      </c>
      <c r="Q125" t="inlineStr"/>
    </row>
    <row r="126">
      <c r="A126" t="inlineStr">
        <is>
          <t>MARIANE PUTRI</t>
        </is>
      </c>
      <c r="B126" t="inlineStr">
        <is>
          <t>Kab. Manggarai</t>
        </is>
      </c>
      <c r="C126" t="inlineStr">
        <is>
          <t>081239067214</t>
        </is>
      </c>
      <c r="D126" t="inlineStr">
        <is>
          <t>marianeputrika@gmail.com</t>
        </is>
      </c>
      <c r="E126" t="inlineStr">
        <is>
          <t>https://lpjk.pu.go.id/search-badan-usaha-detail/R01DZ3pXbE0zalovR2Z5b3JpdkJ3Zz09</t>
        </is>
      </c>
      <c r="F126" t="n">
        <v>1</v>
      </c>
      <c r="G126" t="inlineStr">
        <is>
          <t>BS001</t>
        </is>
      </c>
      <c r="H126" t="inlineStr">
        <is>
          <t>26 Februari 2016</t>
        </is>
      </c>
      <c r="I126" s="2" t="n">
        <v>46227</v>
      </c>
      <c r="J126" t="inlineStr">
        <is>
          <t>Disetujui</t>
        </is>
      </c>
      <c r="K126" t="n">
        <v>30</v>
      </c>
      <c r="L126" t="inlineStr">
        <is>
          <t>24 Juli 2026</t>
        </is>
      </c>
      <c r="M126" t="inlineStr">
        <is>
          <t>Konstruksi Bangunan Sipil Jalan</t>
        </is>
      </c>
      <c r="N126" t="inlineStr">
        <is>
          <t>K</t>
        </is>
      </c>
      <c r="O126" t="inlineStr">
        <is>
          <t>20230724</t>
        </is>
      </c>
      <c r="P126" t="inlineStr">
        <is>
          <t>Nusa Tenggara Timur</t>
        </is>
      </c>
      <c r="Q126" t="inlineStr"/>
    </row>
    <row r="127">
      <c r="A127" t="inlineStr">
        <is>
          <t>MEGA VILAR</t>
        </is>
      </c>
      <c r="B127" t="inlineStr">
        <is>
          <t>Kab. Aceh Selatan</t>
        </is>
      </c>
      <c r="C127" t="inlineStr">
        <is>
          <t>081377275130</t>
        </is>
      </c>
      <c r="D127" t="inlineStr">
        <is>
          <t>cv.megavilar@gmail.com</t>
        </is>
      </c>
      <c r="E127" t="inlineStr">
        <is>
          <t>https://lpjk.pu.go.id/search-badan-usaha-detail/OEllbDY3V1RJWDhBTUpNbDJ6dEFkQT09</t>
        </is>
      </c>
      <c r="F127" t="n">
        <v>4</v>
      </c>
      <c r="G127" t="inlineStr">
        <is>
          <t>BG004, BG005, BG006, BG009</t>
        </is>
      </c>
      <c r="H127" t="inlineStr">
        <is>
          <t>15 Januari 2002</t>
        </is>
      </c>
      <c r="I127" s="2" t="n">
        <v>46227</v>
      </c>
      <c r="J127" t="inlineStr">
        <is>
          <t>Disetujui</t>
        </is>
      </c>
      <c r="K127" t="n">
        <v>30</v>
      </c>
      <c r="L127" t="inlineStr">
        <is>
          <t>24 Juli 2026</t>
        </is>
      </c>
      <c r="M127" t="inlineStr">
        <is>
          <t>Konstruksi Gedung Kesehatan, Konstruksi Gedung Lainnya, Konstruksi Gedung Pendidikan, Konstruksi Gedung Perbelanjaan</t>
        </is>
      </c>
      <c r="N127" t="inlineStr">
        <is>
          <t>K</t>
        </is>
      </c>
      <c r="O127" t="inlineStr">
        <is>
          <t>20230719</t>
        </is>
      </c>
      <c r="P127" t="inlineStr">
        <is>
          <t>Aceh</t>
        </is>
      </c>
      <c r="Q127" t="inlineStr"/>
    </row>
    <row r="128">
      <c r="A128" t="inlineStr">
        <is>
          <t>META SURYA MORFOSA</t>
        </is>
      </c>
      <c r="B128" t="inlineStr">
        <is>
          <t>Kab. Klaten</t>
        </is>
      </c>
      <c r="C128" t="inlineStr">
        <is>
          <t>085877909772</t>
        </is>
      </c>
      <c r="D128" t="inlineStr">
        <is>
          <t>metamorfmediawork@gmail.com</t>
        </is>
      </c>
      <c r="E128" t="inlineStr">
        <is>
          <t>https://lpjk.pu.go.id/search-badan-usaha-detail/aUtSVStqTTE1OUVVeXQxVFpjcFRBQT09</t>
        </is>
      </c>
      <c r="F128" t="n">
        <v>4</v>
      </c>
      <c r="G128" t="inlineStr">
        <is>
          <t>BG005, BG006, BG008, BG009</t>
        </is>
      </c>
      <c r="H128" t="inlineStr">
        <is>
          <t>28 Februari 2023</t>
        </is>
      </c>
      <c r="I128" s="2" t="n">
        <v>46227</v>
      </c>
      <c r="J128" t="inlineStr">
        <is>
          <t>Disetujui</t>
        </is>
      </c>
      <c r="K128" t="n">
        <v>30</v>
      </c>
      <c r="L128" t="inlineStr">
        <is>
          <t>24 Juli 2026</t>
        </is>
      </c>
      <c r="M128" t="inlineStr">
        <is>
          <t>Konstruksi Gedung Kesehatan, Konstruksi Gedung Lainnya, Konstruksi Gedung Pendidikan, Konstruksi Gedung Tempat Hiburan dan Olahraga</t>
        </is>
      </c>
      <c r="N128" t="inlineStr">
        <is>
          <t>K</t>
        </is>
      </c>
      <c r="O128" t="inlineStr">
        <is>
          <t>20230720</t>
        </is>
      </c>
      <c r="P128" t="inlineStr">
        <is>
          <t>Jawa Tengah</t>
        </is>
      </c>
      <c r="Q128" t="inlineStr"/>
    </row>
    <row r="129">
      <c r="A129" t="inlineStr">
        <is>
          <t>MITRA ANASYA EXPRESINDO</t>
        </is>
      </c>
      <c r="B129" t="inlineStr">
        <is>
          <t>Kota Ambon</t>
        </is>
      </c>
      <c r="C129" t="inlineStr">
        <is>
          <t>0811470522</t>
        </is>
      </c>
      <c r="D129" t="inlineStr">
        <is>
          <t>cv.mitraanasya@gmail.com</t>
        </is>
      </c>
      <c r="E129" t="inlineStr">
        <is>
          <t>https://lpjk.pu.go.id/search-badan-usaha-detail/cEl6aGhHYTZJYVlQUGRCNHhzOGVzdz09</t>
        </is>
      </c>
      <c r="F129" t="n">
        <v>1</v>
      </c>
      <c r="G129" t="inlineStr">
        <is>
          <t>BS001</t>
        </is>
      </c>
      <c r="H129" t="inlineStr">
        <is>
          <t>12 November 2001</t>
        </is>
      </c>
      <c r="I129" s="2" t="n">
        <v>46227</v>
      </c>
      <c r="J129" t="inlineStr">
        <is>
          <t>Disetujui</t>
        </is>
      </c>
      <c r="K129" t="n">
        <v>30</v>
      </c>
      <c r="L129" t="inlineStr">
        <is>
          <t>24 Juli 2026</t>
        </is>
      </c>
      <c r="M129" t="inlineStr">
        <is>
          <t>Konstruksi Bangunan Sipil Jalan</t>
        </is>
      </c>
      <c r="N129" t="inlineStr">
        <is>
          <t>K</t>
        </is>
      </c>
      <c r="O129" t="inlineStr">
        <is>
          <t>20230711</t>
        </is>
      </c>
      <c r="P129" t="inlineStr">
        <is>
          <t>Maluku</t>
        </is>
      </c>
      <c r="Q129" t="inlineStr"/>
    </row>
    <row r="130">
      <c r="A130" t="inlineStr">
        <is>
          <t>MITRA BERSAUDARA MANDIRI</t>
        </is>
      </c>
      <c r="B130" t="inlineStr">
        <is>
          <t>Kab. Padang Lawas Utara</t>
        </is>
      </c>
      <c r="C130" t="inlineStr">
        <is>
          <t>082278270029</t>
        </is>
      </c>
      <c r="D130" t="inlineStr">
        <is>
          <t>cvmitrasaudaram@gmail.com</t>
        </is>
      </c>
      <c r="E130" t="inlineStr">
        <is>
          <t>https://lpjk.pu.go.id/search-badan-usaha-detail/eGp6OVFyNFFuSFZRNVYwajliekN5Zz09</t>
        </is>
      </c>
      <c r="F130" t="n">
        <v>2</v>
      </c>
      <c r="G130" t="inlineStr">
        <is>
          <t>BG006, BS001</t>
        </is>
      </c>
      <c r="H130" t="inlineStr">
        <is>
          <t>14 Juli 2023</t>
        </is>
      </c>
      <c r="I130" s="2" t="n">
        <v>46227</v>
      </c>
      <c r="J130" t="inlineStr">
        <is>
          <t>Disetujui</t>
        </is>
      </c>
      <c r="K130" t="n">
        <v>30</v>
      </c>
      <c r="L130" t="inlineStr">
        <is>
          <t>24 Juli 2026</t>
        </is>
      </c>
      <c r="M130" t="inlineStr">
        <is>
          <t>Konstruksi Bangunan Sipil Jalan, Konstruksi Gedung Pendidikan</t>
        </is>
      </c>
      <c r="N130" t="inlineStr">
        <is>
          <t>K</t>
        </is>
      </c>
      <c r="O130" t="inlineStr">
        <is>
          <t>20230724</t>
        </is>
      </c>
      <c r="P130" t="inlineStr">
        <is>
          <t>Sumatera Utara</t>
        </is>
      </c>
      <c r="Q130" t="inlineStr"/>
    </row>
    <row r="131">
      <c r="A131" t="inlineStr">
        <is>
          <t>MITRA TAPANULI</t>
        </is>
      </c>
      <c r="B131" t="inlineStr">
        <is>
          <t>Kab. Tapanuli Selatan</t>
        </is>
      </c>
      <c r="C131" t="inlineStr">
        <is>
          <t>082272204018</t>
        </is>
      </c>
      <c r="D131" t="inlineStr">
        <is>
          <t>hassurdemikawan@gmail.com</t>
        </is>
      </c>
      <c r="E131" t="inlineStr">
        <is>
          <t>https://lpjk.pu.go.id/search-badan-usaha-detail/OUI2YVIwUWJWZ3hQc1pBVVVBTjU3Zz09</t>
        </is>
      </c>
      <c r="F131" t="n">
        <v>3</v>
      </c>
      <c r="G131" t="inlineStr">
        <is>
          <t>BG002, BG005, BG009</t>
        </is>
      </c>
      <c r="H131" t="inlineStr">
        <is>
          <t>18 November 2010</t>
        </is>
      </c>
      <c r="I131" s="2" t="n">
        <v>46227</v>
      </c>
      <c r="J131" t="inlineStr">
        <is>
          <t>Disetujui</t>
        </is>
      </c>
      <c r="K131" t="n">
        <v>30</v>
      </c>
      <c r="L131" t="inlineStr">
        <is>
          <t>24 Juli 2026</t>
        </is>
      </c>
      <c r="M131" t="inlineStr">
        <is>
          <t>Konstruksi Gedung Kesehatan, Konstruksi Gedung Lainnya, Konstruksi Gedung Perkantoran</t>
        </is>
      </c>
      <c r="N131" t="inlineStr">
        <is>
          <t>K</t>
        </is>
      </c>
      <c r="O131" t="inlineStr">
        <is>
          <t>20230718, 20230719, 20230721</t>
        </is>
      </c>
      <c r="P131" t="inlineStr">
        <is>
          <t>Sumatera Utara</t>
        </is>
      </c>
      <c r="Q131" t="inlineStr"/>
    </row>
    <row r="132">
      <c r="A132" t="inlineStr">
        <is>
          <t>MORI SATRA</t>
        </is>
      </c>
      <c r="B132" t="inlineStr">
        <is>
          <t>Kab. Lombok Timur</t>
        </is>
      </c>
      <c r="C132" t="inlineStr">
        <is>
          <t>081916313044</t>
        </is>
      </c>
      <c r="D132" t="inlineStr">
        <is>
          <t>cv.morisatra79@gmail.com</t>
        </is>
      </c>
      <c r="E132" t="inlineStr">
        <is>
          <t>https://lpjk.pu.go.id/search-badan-usaha-detail/eXNqNEE4d3N0REhqblhiVXloMlFIdz09</t>
        </is>
      </c>
      <c r="F132" t="n">
        <v>1</v>
      </c>
      <c r="G132" t="inlineStr">
        <is>
          <t>BS001</t>
        </is>
      </c>
      <c r="H132" t="inlineStr">
        <is>
          <t>30 Maret 1992</t>
        </is>
      </c>
      <c r="I132" s="2" t="n">
        <v>46227</v>
      </c>
      <c r="J132" t="inlineStr">
        <is>
          <t>Disetujui</t>
        </is>
      </c>
      <c r="K132" t="n">
        <v>30</v>
      </c>
      <c r="L132" t="inlineStr">
        <is>
          <t>24 Juli 2026</t>
        </is>
      </c>
      <c r="M132" t="inlineStr">
        <is>
          <t>Konstruksi Bangunan Sipil Jalan</t>
        </is>
      </c>
      <c r="N132" t="inlineStr">
        <is>
          <t>K</t>
        </is>
      </c>
      <c r="O132" t="inlineStr">
        <is>
          <t>20230515</t>
        </is>
      </c>
      <c r="P132" t="inlineStr">
        <is>
          <t>Nusa Tenggara Barat</t>
        </is>
      </c>
      <c r="Q132" t="inlineStr"/>
    </row>
    <row r="133">
      <c r="A133" t="inlineStr">
        <is>
          <t>MUARA KEMUANG RAYA</t>
        </is>
      </c>
      <c r="B133" t="inlineStr">
        <is>
          <t>Kab. Sekadau</t>
        </is>
      </c>
      <c r="C133" t="inlineStr">
        <is>
          <t>081256989945</t>
        </is>
      </c>
      <c r="D133" t="inlineStr">
        <is>
          <t>cv.muarakemuangraya@gmail.com</t>
        </is>
      </c>
      <c r="E133" t="inlineStr">
        <is>
          <t>https://lpjk.pu.go.id/search-badan-usaha-detail/Q24rRHdVM080RGxKdlJwd0kxeVF1Zz09</t>
        </is>
      </c>
      <c r="F133" t="n">
        <v>1</v>
      </c>
      <c r="G133" t="inlineStr">
        <is>
          <t>BS002</t>
        </is>
      </c>
      <c r="H133" t="inlineStr">
        <is>
          <t>3 Juni 2022</t>
        </is>
      </c>
      <c r="I133" s="2" t="n">
        <v>46227</v>
      </c>
      <c r="J133" t="inlineStr">
        <is>
          <t>Disetujui</t>
        </is>
      </c>
      <c r="K133" t="n">
        <v>30</v>
      </c>
      <c r="L133" t="inlineStr">
        <is>
          <t>24 Juli 2026</t>
        </is>
      </c>
      <c r="M133" t="inlineStr">
        <is>
          <t>Bangunan Sipil Jembatan, Jalan Layang, Fly Over, dan Underpass</t>
        </is>
      </c>
      <c r="N133" t="inlineStr">
        <is>
          <t>K</t>
        </is>
      </c>
      <c r="O133" t="inlineStr">
        <is>
          <t>20230718</t>
        </is>
      </c>
      <c r="P133" t="inlineStr">
        <is>
          <t>Kalimantan Barat</t>
        </is>
      </c>
      <c r="Q133" t="inlineStr"/>
    </row>
    <row r="134">
      <c r="A134" t="inlineStr">
        <is>
          <t>MUJI KONSTRUKSI</t>
        </is>
      </c>
      <c r="B134" t="inlineStr">
        <is>
          <t>Kab. Kapuas Hulu</t>
        </is>
      </c>
      <c r="C134" t="inlineStr">
        <is>
          <t>081521532880</t>
        </is>
      </c>
      <c r="D134" t="inlineStr">
        <is>
          <t>mujikonstruksi@gmail.com</t>
        </is>
      </c>
      <c r="E134" t="inlineStr">
        <is>
          <t>https://lpjk.pu.go.id/search-badan-usaha-detail/b243ZlZPTDJod0w0TGl4NWg2QjdRZz09</t>
        </is>
      </c>
      <c r="F134" t="n">
        <v>1</v>
      </c>
      <c r="G134" t="inlineStr">
        <is>
          <t>BS004</t>
        </is>
      </c>
      <c r="H134" t="inlineStr">
        <is>
          <t>25 November 2019</t>
        </is>
      </c>
      <c r="I134" s="2" t="n">
        <v>46227</v>
      </c>
      <c r="J134" t="inlineStr">
        <is>
          <t>Pencabutan</t>
        </is>
      </c>
      <c r="K134" t="n">
        <v>30</v>
      </c>
      <c r="L134" t="inlineStr">
        <is>
          <t>24 Juli 2026</t>
        </is>
      </c>
      <c r="M134" t="inlineStr">
        <is>
          <t>Konstruksi Jaringan Irigasi dan Drainase</t>
        </is>
      </c>
      <c r="N134" t="inlineStr">
        <is>
          <t>K</t>
        </is>
      </c>
      <c r="O134" t="inlineStr">
        <is>
          <t>20230724</t>
        </is>
      </c>
      <c r="P134" t="inlineStr">
        <is>
          <t>Kalimantan Barat</t>
        </is>
      </c>
      <c r="Q134" t="inlineStr"/>
    </row>
    <row r="135">
      <c r="A135" t="inlineStr">
        <is>
          <t>MUKTI</t>
        </is>
      </c>
      <c r="B135" t="inlineStr">
        <is>
          <t>Kota Semarang</t>
        </is>
      </c>
      <c r="C135" t="inlineStr">
        <is>
          <t>082225419552</t>
        </is>
      </c>
      <c r="D135" t="inlineStr">
        <is>
          <t>mukticv7@gmail.com</t>
        </is>
      </c>
      <c r="E135" t="inlineStr">
        <is>
          <t>https://lpjk.pu.go.id/search-badan-usaha-detail/bFd0OE1OSDBGV0dydVgzbElwcXRGUT09</t>
        </is>
      </c>
      <c r="F135" t="n">
        <v>1</v>
      </c>
      <c r="G135" t="inlineStr">
        <is>
          <t>BG002</t>
        </is>
      </c>
      <c r="H135" t="inlineStr">
        <is>
          <t>25 Mei 2004</t>
        </is>
      </c>
      <c r="I135" s="2" t="n">
        <v>46227</v>
      </c>
      <c r="J135" t="inlineStr">
        <is>
          <t>Disetujui</t>
        </is>
      </c>
      <c r="K135" t="n">
        <v>30</v>
      </c>
      <c r="L135" t="inlineStr">
        <is>
          <t>24 Juli 2026</t>
        </is>
      </c>
      <c r="M135" t="inlineStr">
        <is>
          <t>Konstruksi Gedung Perkantoran</t>
        </is>
      </c>
      <c r="N135" t="inlineStr">
        <is>
          <t>K</t>
        </is>
      </c>
      <c r="O135" t="inlineStr">
        <is>
          <t>20230713</t>
        </is>
      </c>
      <c r="P135" t="inlineStr">
        <is>
          <t>Jawa Tengah</t>
        </is>
      </c>
      <c r="Q135" t="inlineStr"/>
    </row>
    <row r="136">
      <c r="A136" t="inlineStr">
        <is>
          <t>MULIA CAHAYA LASER</t>
        </is>
      </c>
      <c r="B136" t="inlineStr">
        <is>
          <t>Kota Adm. Jakarta Barat</t>
        </is>
      </c>
      <c r="C136" t="inlineStr">
        <is>
          <t>0215659493</t>
        </is>
      </c>
      <c r="D136" t="inlineStr">
        <is>
          <t>pipinnapitupulu1955@gmail.com</t>
        </is>
      </c>
      <c r="E136" t="inlineStr">
        <is>
          <t>https://lpjk.pu.go.id/search-badan-usaha-detail/aUZWalpvZ2t0RkJ0QmZsMWVKUU9vQT09</t>
        </is>
      </c>
      <c r="F136" t="n">
        <v>1</v>
      </c>
      <c r="G136" t="inlineStr">
        <is>
          <t>KK016</t>
        </is>
      </c>
      <c r="H136" t="inlineStr">
        <is>
          <t>18 Desember 2017</t>
        </is>
      </c>
      <c r="I136" s="2" t="n">
        <v>46227</v>
      </c>
      <c r="J136" t="inlineStr">
        <is>
          <t>Pencabutan</t>
        </is>
      </c>
      <c r="K136" t="n">
        <v>30</v>
      </c>
      <c r="L136" t="inlineStr">
        <is>
          <t>24 Juli 2026</t>
        </is>
      </c>
      <c r="M136" t="inlineStr">
        <is>
          <t>Pemasangan Kerangka Baja</t>
        </is>
      </c>
      <c r="N136" t="inlineStr">
        <is>
          <t>Spesialis</t>
        </is>
      </c>
      <c r="O136" t="inlineStr">
        <is>
          <t>20230403</t>
        </is>
      </c>
      <c r="P136" t="inlineStr">
        <is>
          <t>DKI Jakarta</t>
        </is>
      </c>
      <c r="Q136" t="inlineStr"/>
    </row>
    <row r="137">
      <c r="A137" t="inlineStr">
        <is>
          <t>MULTAZAM CS</t>
        </is>
      </c>
      <c r="B137" t="inlineStr">
        <is>
          <t>Kab. Probolinggo</t>
        </is>
      </c>
      <c r="C137" t="inlineStr">
        <is>
          <t>0</t>
        </is>
      </c>
      <c r="D137" t="inlineStr">
        <is>
          <t>cvmultazamcs@gmail.com</t>
        </is>
      </c>
      <c r="E137" t="inlineStr">
        <is>
          <t>https://lpjk.pu.go.id/search-badan-usaha-detail/eXRSUWJsOTNQNUpsck1kQWYzNlhBUT09</t>
        </is>
      </c>
      <c r="F137" t="n">
        <v>1</v>
      </c>
      <c r="G137" t="inlineStr">
        <is>
          <t>BG009</t>
        </is>
      </c>
      <c r="H137" t="inlineStr">
        <is>
          <t>1 September 2015</t>
        </is>
      </c>
      <c r="I137" s="2" t="n">
        <v>46227</v>
      </c>
      <c r="J137" t="inlineStr">
        <is>
          <t>Disetujui</t>
        </is>
      </c>
      <c r="K137" t="n">
        <v>30</v>
      </c>
      <c r="L137" t="inlineStr">
        <is>
          <t>24 Juli 2026</t>
        </is>
      </c>
      <c r="M137" t="inlineStr">
        <is>
          <t>Konstruksi Gedung Lainnya</t>
        </is>
      </c>
      <c r="N137" t="inlineStr">
        <is>
          <t>K</t>
        </is>
      </c>
      <c r="O137" t="inlineStr">
        <is>
          <t>20230722</t>
        </is>
      </c>
      <c r="P137" t="inlineStr">
        <is>
          <t>Jawa Timur</t>
        </is>
      </c>
      <c r="Q137" t="inlineStr"/>
    </row>
    <row r="138">
      <c r="A138" t="inlineStr">
        <is>
          <t>MULTI ARTHA GUNA</t>
        </is>
      </c>
      <c r="B138" t="inlineStr">
        <is>
          <t>Kota Pasuruan</t>
        </is>
      </c>
      <c r="C138" t="inlineStr">
        <is>
          <t>085785465788</t>
        </is>
      </c>
      <c r="D138" t="inlineStr">
        <is>
          <t>multi_artha_guna@yahoo.co.id</t>
        </is>
      </c>
      <c r="E138" t="inlineStr">
        <is>
          <t>https://lpjk.pu.go.id/search-badan-usaha-detail/ZS9jL1VHVmtNeEhMbG5ad3VodnU5QT09</t>
        </is>
      </c>
      <c r="F138" t="n">
        <v>1</v>
      </c>
      <c r="G138" t="inlineStr">
        <is>
          <t>BS001</t>
        </is>
      </c>
      <c r="H138" t="inlineStr">
        <is>
          <t>1 Februari 2007</t>
        </is>
      </c>
      <c r="I138" s="2" t="n">
        <v>46227</v>
      </c>
      <c r="J138" t="inlineStr">
        <is>
          <t>Disetujui</t>
        </is>
      </c>
      <c r="K138" t="n">
        <v>30</v>
      </c>
      <c r="L138" t="inlineStr">
        <is>
          <t>24 Juli 2026</t>
        </is>
      </c>
      <c r="M138" t="inlineStr">
        <is>
          <t>Konstruksi Bangunan Sipil Jalan</t>
        </is>
      </c>
      <c r="N138" t="inlineStr">
        <is>
          <t>K</t>
        </is>
      </c>
      <c r="O138" t="inlineStr">
        <is>
          <t>20230718</t>
        </is>
      </c>
      <c r="P138" t="inlineStr">
        <is>
          <t>Jawa Timur</t>
        </is>
      </c>
      <c r="Q138" t="inlineStr"/>
    </row>
    <row r="139">
      <c r="A139" t="inlineStr">
        <is>
          <t>MULTI PERSADA</t>
        </is>
      </c>
      <c r="B139" t="inlineStr">
        <is>
          <t>Kota Padang</t>
        </is>
      </c>
      <c r="C139" t="inlineStr">
        <is>
          <t>085274590199</t>
        </is>
      </c>
      <c r="D139" t="inlineStr">
        <is>
          <t>cv.multipersada@yahoo.com</t>
        </is>
      </c>
      <c r="E139" t="inlineStr">
        <is>
          <t>https://lpjk.pu.go.id/search-badan-usaha-detail/M1JCVmV4VmdIZUIxUW9Nc25EZEo5Zz09</t>
        </is>
      </c>
      <c r="F139" t="n">
        <v>1</v>
      </c>
      <c r="G139" t="inlineStr">
        <is>
          <t>BG007</t>
        </is>
      </c>
      <c r="H139" t="inlineStr">
        <is>
          <t>19 Desember 2018</t>
        </is>
      </c>
      <c r="I139" s="2" t="n">
        <v>46227</v>
      </c>
      <c r="J139" t="inlineStr">
        <is>
          <t>Pencabutan</t>
        </is>
      </c>
      <c r="K139" t="n">
        <v>30</v>
      </c>
      <c r="L139" t="inlineStr">
        <is>
          <t>24 Juli 2026</t>
        </is>
      </c>
      <c r="M139" t="inlineStr">
        <is>
          <t>Konstruksi Gedung Penginapan</t>
        </is>
      </c>
      <c r="N139" t="inlineStr">
        <is>
          <t>K</t>
        </is>
      </c>
      <c r="O139" t="inlineStr">
        <is>
          <t>20230715</t>
        </is>
      </c>
      <c r="P139" t="inlineStr">
        <is>
          <t>Sumatera Barat</t>
        </is>
      </c>
      <c r="Q139" t="inlineStr"/>
    </row>
    <row r="140">
      <c r="A140" t="inlineStr">
        <is>
          <t>MUTIARA ANUGRAH</t>
        </is>
      </c>
      <c r="B140" t="inlineStr">
        <is>
          <t>Kota Tasikmalaya</t>
        </is>
      </c>
      <c r="C140" t="inlineStr">
        <is>
          <t>081320690909</t>
        </is>
      </c>
      <c r="D140" t="inlineStr">
        <is>
          <t>cvmutiaraanugrah5@gmail.com</t>
        </is>
      </c>
      <c r="E140" t="inlineStr">
        <is>
          <t>https://lpjk.pu.go.id/search-badan-usaha-detail/czlHNzFMTHZqQnhiSXVqU2dKOHNUQT09</t>
        </is>
      </c>
      <c r="F140" t="n">
        <v>2</v>
      </c>
      <c r="G140" t="inlineStr">
        <is>
          <t>BS004</t>
        </is>
      </c>
      <c r="H140" t="inlineStr">
        <is>
          <t>2 Oktober 2019</t>
        </is>
      </c>
      <c r="I140" s="2" t="n">
        <v>46227</v>
      </c>
      <c r="J140" t="inlineStr">
        <is>
          <t>Disetujui</t>
        </is>
      </c>
      <c r="K140" t="n">
        <v>30</v>
      </c>
      <c r="L140" t="inlineStr">
        <is>
          <t>24 Juli 2026</t>
        </is>
      </c>
      <c r="M140" t="inlineStr">
        <is>
          <t>Konstruksi Jaringan Irigasi dan Drainase</t>
        </is>
      </c>
      <c r="N140" t="inlineStr">
        <is>
          <t>K</t>
        </is>
      </c>
      <c r="O140" t="inlineStr">
        <is>
          <t>20230718</t>
        </is>
      </c>
      <c r="P140" t="inlineStr">
        <is>
          <t>Jawa Barat</t>
        </is>
      </c>
      <c r="Q140" t="inlineStr"/>
    </row>
    <row r="141">
      <c r="A141" t="inlineStr">
        <is>
          <t>MUTIARA SULTENG CONTRACTOR</t>
        </is>
      </c>
      <c r="B141" t="inlineStr">
        <is>
          <t>Kab. Sigi</t>
        </is>
      </c>
      <c r="C141" t="inlineStr">
        <is>
          <t>081253686485</t>
        </is>
      </c>
      <c r="D141" t="inlineStr">
        <is>
          <t>hasrianamia@gmail.com</t>
        </is>
      </c>
      <c r="E141" t="inlineStr">
        <is>
          <t>https://lpjk.pu.go.id/search-badan-usaha-detail/aXRreGhoUWI5V3U1YlMrUTlEa1dEQT09</t>
        </is>
      </c>
      <c r="F141" t="n">
        <v>1</v>
      </c>
      <c r="G141" t="inlineStr">
        <is>
          <t>BS001</t>
        </is>
      </c>
      <c r="H141" t="inlineStr">
        <is>
          <t>13 Februari 2017</t>
        </is>
      </c>
      <c r="I141" s="2" t="n">
        <v>46227</v>
      </c>
      <c r="J141" t="inlineStr">
        <is>
          <t>Disetujui</t>
        </is>
      </c>
      <c r="K141" t="n">
        <v>30</v>
      </c>
      <c r="L141" t="inlineStr">
        <is>
          <t>24 Juli 2026</t>
        </is>
      </c>
      <c r="M141" t="inlineStr">
        <is>
          <t>Konstruksi Bangunan Sipil Jalan</t>
        </is>
      </c>
      <c r="N141" t="inlineStr">
        <is>
          <t>K</t>
        </is>
      </c>
      <c r="O141" t="inlineStr">
        <is>
          <t>20230725</t>
        </is>
      </c>
      <c r="P141" t="inlineStr">
        <is>
          <t>Sulawesi Tengah</t>
        </is>
      </c>
      <c r="Q141" t="inlineStr"/>
    </row>
    <row r="142">
      <c r="A142" t="inlineStr">
        <is>
          <t>NABILA RAMADHANI</t>
        </is>
      </c>
      <c r="B142" t="inlineStr">
        <is>
          <t>Kab. Barito Kuala</t>
        </is>
      </c>
      <c r="C142" t="inlineStr">
        <is>
          <t>081256106875</t>
        </is>
      </c>
      <c r="D142" t="inlineStr">
        <is>
          <t>anchnabila@gmail.com</t>
        </is>
      </c>
      <c r="E142" t="inlineStr">
        <is>
          <t>https://lpjk.pu.go.id/search-badan-usaha-detail/SHV5TFhnYnVqS2FNM3Q3SjROTVZpQT09</t>
        </is>
      </c>
      <c r="F142" t="n">
        <v>2</v>
      </c>
      <c r="G142" t="inlineStr">
        <is>
          <t>BS001</t>
        </is>
      </c>
      <c r="H142" t="inlineStr">
        <is>
          <t>15 Februari 2007</t>
        </is>
      </c>
      <c r="I142" s="2" t="n">
        <v>46227</v>
      </c>
      <c r="J142" t="inlineStr">
        <is>
          <t>Pencabutan</t>
        </is>
      </c>
      <c r="K142" t="n">
        <v>30</v>
      </c>
      <c r="L142" t="inlineStr">
        <is>
          <t>24 Juli 2026</t>
        </is>
      </c>
      <c r="M142" t="inlineStr">
        <is>
          <t>Konstruksi Bangunan Sipil Jalan</t>
        </is>
      </c>
      <c r="N142" t="inlineStr">
        <is>
          <t>K</t>
        </is>
      </c>
      <c r="O142" t="inlineStr">
        <is>
          <t>20230620</t>
        </is>
      </c>
      <c r="P142" t="inlineStr">
        <is>
          <t>Kalimantan Selatan</t>
        </is>
      </c>
      <c r="Q142" t="inlineStr"/>
    </row>
    <row r="143">
      <c r="A143" t="inlineStr">
        <is>
          <t>NAGA RAYA GROUP</t>
        </is>
      </c>
      <c r="B143" t="inlineStr">
        <is>
          <t>Kab. Banyumas</t>
        </is>
      </c>
      <c r="C143" t="inlineStr">
        <is>
          <t>081391885269</t>
        </is>
      </c>
      <c r="D143" t="inlineStr">
        <is>
          <t>nagarayaya12@gmail.com</t>
        </is>
      </c>
      <c r="E143" t="inlineStr">
        <is>
          <t>https://lpjk.pu.go.id/search-badan-usaha-detail/VGlVYWhmOHRWTFM3WDFERTQ1QVJyQT09</t>
        </is>
      </c>
      <c r="F143" t="n">
        <v>1</v>
      </c>
      <c r="G143" t="inlineStr">
        <is>
          <t>BS006</t>
        </is>
      </c>
      <c r="H143" t="inlineStr">
        <is>
          <t>29 Desember 2018</t>
        </is>
      </c>
      <c r="I143" s="2" t="n">
        <v>46227</v>
      </c>
      <c r="J143" t="inlineStr">
        <is>
          <t>Disetujui</t>
        </is>
      </c>
      <c r="K143" t="n">
        <v>30</v>
      </c>
      <c r="L143" t="inlineStr">
        <is>
          <t>24 Juli 2026</t>
        </is>
      </c>
      <c r="M143" t="inlineStr">
        <is>
          <t>Konstruksi Bangunan Sipil Prasarana dan Sarana Sistem Pengolahan Limbah Padat, Cair, dan Gas</t>
        </is>
      </c>
      <c r="N143" t="inlineStr">
        <is>
          <t>K</t>
        </is>
      </c>
      <c r="O143" t="inlineStr">
        <is>
          <t>20230721</t>
        </is>
      </c>
      <c r="P143" t="inlineStr">
        <is>
          <t>Jawa Tengah</t>
        </is>
      </c>
      <c r="Q143" t="inlineStr"/>
    </row>
    <row r="144">
      <c r="A144" t="inlineStr">
        <is>
          <t>NOVAN KARYA KONTRUKSI</t>
        </is>
      </c>
      <c r="B144" t="inlineStr">
        <is>
          <t>Kab. Banyuasin</t>
        </is>
      </c>
      <c r="C144" t="inlineStr">
        <is>
          <t>085268343838</t>
        </is>
      </c>
      <c r="D144" t="inlineStr">
        <is>
          <t>novankaryamandiri77@gmail.com</t>
        </is>
      </c>
      <c r="E144" t="inlineStr">
        <is>
          <t>https://lpjk.pu.go.id/search-badan-usaha-detail/VTlrNXRTRGVJalkyaHRtcGxLVG9qdz09</t>
        </is>
      </c>
      <c r="F144" t="n">
        <v>1</v>
      </c>
      <c r="G144" t="inlineStr">
        <is>
          <t>BG009</t>
        </is>
      </c>
      <c r="H144" t="inlineStr">
        <is>
          <t>27 Januari 2022</t>
        </is>
      </c>
      <c r="I144" s="2" t="n">
        <v>46227</v>
      </c>
      <c r="J144" t="inlineStr">
        <is>
          <t>Pencabutan</t>
        </is>
      </c>
      <c r="K144" t="n">
        <v>30</v>
      </c>
      <c r="L144" t="inlineStr">
        <is>
          <t>24 Juli 2026</t>
        </is>
      </c>
      <c r="M144" t="inlineStr">
        <is>
          <t>Konstruksi Gedung Lainnya</t>
        </is>
      </c>
      <c r="N144" t="inlineStr">
        <is>
          <t>K</t>
        </is>
      </c>
      <c r="O144" t="inlineStr">
        <is>
          <t>20230529</t>
        </is>
      </c>
      <c r="P144" t="inlineStr">
        <is>
          <t>Sumatera Selatan</t>
        </is>
      </c>
      <c r="Q144" t="inlineStr"/>
    </row>
    <row r="145">
      <c r="A145" t="inlineStr">
        <is>
          <t>NUR RIZKI</t>
        </is>
      </c>
      <c r="B145" t="inlineStr">
        <is>
          <t>Kota Banda Aceh</t>
        </is>
      </c>
      <c r="C145" t="inlineStr">
        <is>
          <t>08126924745</t>
        </is>
      </c>
      <c r="D145" t="inlineStr">
        <is>
          <t>cv.nurrizki2008@gmail.com</t>
        </is>
      </c>
      <c r="E145" t="inlineStr">
        <is>
          <t>https://lpjk.pu.go.id/search-badan-usaha-detail/RnFvQUxqMk1UYk9vZHFWVDNXM0JZZz09</t>
        </is>
      </c>
      <c r="F145" t="n">
        <v>5</v>
      </c>
      <c r="G145" t="inlineStr">
        <is>
          <t>BG001, BG002, BG005, BG006, BG009</t>
        </is>
      </c>
      <c r="H145" t="inlineStr">
        <is>
          <t>4 Juni 2008</t>
        </is>
      </c>
      <c r="I145" s="2" t="n">
        <v>46227</v>
      </c>
      <c r="J145" t="inlineStr">
        <is>
          <t>Disetujui</t>
        </is>
      </c>
      <c r="K145" t="n">
        <v>30</v>
      </c>
      <c r="L145" t="inlineStr">
        <is>
          <t>24 Juli 2026</t>
        </is>
      </c>
      <c r="M145" t="inlineStr">
        <is>
          <t>Konstruksi Gedung Hunian, Konstruksi Gedung Kesehatan, Konstruksi Gedung Lainnya, Konstruksi Gedung Pendidikan, Konstruksi Gedung Perkantoran</t>
        </is>
      </c>
      <c r="N145" t="inlineStr">
        <is>
          <t>K</t>
        </is>
      </c>
      <c r="O145" t="inlineStr">
        <is>
          <t>20230718, 20230721</t>
        </is>
      </c>
      <c r="P145" t="inlineStr">
        <is>
          <t>Aceh</t>
        </is>
      </c>
      <c r="Q145" t="inlineStr"/>
    </row>
    <row r="146">
      <c r="A146" t="inlineStr">
        <is>
          <t>NURISFA</t>
        </is>
      </c>
      <c r="B146" t="inlineStr">
        <is>
          <t>Kab. Tegal</t>
        </is>
      </c>
      <c r="C146" t="inlineStr">
        <is>
          <t>085878868992</t>
        </is>
      </c>
      <c r="D146" t="inlineStr">
        <is>
          <t>cv.nurisfa@gmail.com</t>
        </is>
      </c>
      <c r="E146" t="inlineStr">
        <is>
          <t>https://lpjk.pu.go.id/search-badan-usaha-detail/SUlLUDdxN2cyc0Q4aFBYNElNbG4xdz09</t>
        </is>
      </c>
      <c r="F146" t="n">
        <v>3</v>
      </c>
      <c r="G146" t="inlineStr">
        <is>
          <t>BS001, BS002, BS004</t>
        </is>
      </c>
      <c r="H146" t="inlineStr">
        <is>
          <t>24 Januari 2017</t>
        </is>
      </c>
      <c r="I146" s="2" t="n">
        <v>46227</v>
      </c>
      <c r="J146" t="inlineStr">
        <is>
          <t>Disetujui</t>
        </is>
      </c>
      <c r="K146" t="n">
        <v>30</v>
      </c>
      <c r="L146" t="inlineStr">
        <is>
          <t>24 Juli 2026</t>
        </is>
      </c>
      <c r="M146" t="inlineStr">
        <is>
          <t>Bangunan Sipil Jembatan, Jalan Layang, Fly Over, dan Underpass, Konstruksi Bangunan Sipil Jalan, Konstruksi Jaringan Irigasi dan Drainase</t>
        </is>
      </c>
      <c r="N146" t="inlineStr">
        <is>
          <t>K</t>
        </is>
      </c>
      <c r="O146" t="inlineStr">
        <is>
          <t>20230721</t>
        </is>
      </c>
      <c r="P146" t="inlineStr">
        <is>
          <t>Jawa Tengah</t>
        </is>
      </c>
      <c r="Q146" t="inlineStr"/>
    </row>
    <row r="147">
      <c r="A147" t="inlineStr">
        <is>
          <t>NUSANTARA MEMBANGUN</t>
        </is>
      </c>
      <c r="B147" t="inlineStr">
        <is>
          <t>Kota Palu</t>
        </is>
      </c>
      <c r="C147" t="inlineStr">
        <is>
          <t>-</t>
        </is>
      </c>
      <c r="D147" t="inlineStr">
        <is>
          <t>umareljufrie45@gmail.com</t>
        </is>
      </c>
      <c r="E147" t="inlineStr">
        <is>
          <t>https://lpjk.pu.go.id/search-badan-usaha-detail/eFcvTjY4SXJRc3lHRFlzeUtDSWFmZz09</t>
        </is>
      </c>
      <c r="F147" t="n">
        <v>2</v>
      </c>
      <c r="G147" t="inlineStr">
        <is>
          <t>BG006, BS010</t>
        </is>
      </c>
      <c r="H147" t="inlineStr">
        <is>
          <t>7 Desember 2017</t>
        </is>
      </c>
      <c r="I147" s="2" t="n">
        <v>46227</v>
      </c>
      <c r="J147" t="inlineStr">
        <is>
          <t>Disetujui</t>
        </is>
      </c>
      <c r="K147" t="n">
        <v>30</v>
      </c>
      <c r="L147" t="inlineStr">
        <is>
          <t>24 Juli 2026</t>
        </is>
      </c>
      <c r="M147" t="inlineStr">
        <is>
          <t>Konstruksi Bangunan Prasarana Sumber Daya Air, Konstruksi Gedung Pendidikan</t>
        </is>
      </c>
      <c r="N147" t="inlineStr">
        <is>
          <t>K</t>
        </is>
      </c>
      <c r="O147" t="inlineStr">
        <is>
          <t>20230723, 20230724</t>
        </is>
      </c>
      <c r="P147" t="inlineStr">
        <is>
          <t>Sulawesi Tengah</t>
        </is>
      </c>
      <c r="Q147" t="inlineStr"/>
    </row>
    <row r="148">
      <c r="A148" t="inlineStr">
        <is>
          <t>ONE SPESIALIS</t>
        </is>
      </c>
      <c r="B148" t="inlineStr">
        <is>
          <t>Kota Palangkaraya</t>
        </is>
      </c>
      <c r="C148" t="inlineStr">
        <is>
          <t>081901751968</t>
        </is>
      </c>
      <c r="D148" t="inlineStr">
        <is>
          <t>onespesialis2020@gmail.com</t>
        </is>
      </c>
      <c r="E148" t="inlineStr">
        <is>
          <t>https://lpjk.pu.go.id/search-badan-usaha-detail/TE1SM0ExcmhmbUh5djVGTkJSNU1yQT09</t>
        </is>
      </c>
      <c r="F148" t="n">
        <v>1</v>
      </c>
      <c r="G148" t="inlineStr">
        <is>
          <t>BG006</t>
        </is>
      </c>
      <c r="H148" t="inlineStr">
        <is>
          <t>27 Januari 2020</t>
        </is>
      </c>
      <c r="I148" s="2" t="n">
        <v>46227</v>
      </c>
      <c r="J148" t="inlineStr">
        <is>
          <t>Disetujui</t>
        </is>
      </c>
      <c r="K148" t="n">
        <v>30</v>
      </c>
      <c r="L148" t="inlineStr">
        <is>
          <t>24 Juli 2026</t>
        </is>
      </c>
      <c r="M148" t="inlineStr">
        <is>
          <t>Konstruksi Gedung Pendidikan</t>
        </is>
      </c>
      <c r="N148" t="inlineStr">
        <is>
          <t>K</t>
        </is>
      </c>
      <c r="O148" t="inlineStr">
        <is>
          <t>20230724</t>
        </is>
      </c>
      <c r="P148" t="inlineStr">
        <is>
          <t>Kalimantan Tengah</t>
        </is>
      </c>
      <c r="Q148" t="inlineStr"/>
    </row>
    <row r="149">
      <c r="A149" t="inlineStr">
        <is>
          <t>PARADIGMA NUSANTARA</t>
        </is>
      </c>
      <c r="B149" t="inlineStr">
        <is>
          <t>Kota Pekanbaru</t>
        </is>
      </c>
      <c r="C149" t="inlineStr">
        <is>
          <t>0811764433</t>
        </is>
      </c>
      <c r="D149" t="inlineStr">
        <is>
          <t>cv.paradigma1993@gmail.com</t>
        </is>
      </c>
      <c r="E149" t="inlineStr">
        <is>
          <t>https://lpjk.pu.go.id/search-badan-usaha-detail/U0R1VFRyRnZRZjFYWDRlNnlWclArUT09</t>
        </is>
      </c>
      <c r="F149" t="n">
        <v>1</v>
      </c>
      <c r="G149" t="inlineStr">
        <is>
          <t>PB004</t>
        </is>
      </c>
      <c r="H149" t="inlineStr">
        <is>
          <t>22 Juni 2012</t>
        </is>
      </c>
      <c r="I149" s="2" t="n">
        <v>46227</v>
      </c>
      <c r="J149" t="inlineStr">
        <is>
          <t>Pencabutan</t>
        </is>
      </c>
      <c r="K149" t="n">
        <v>30</v>
      </c>
      <c r="L149" t="inlineStr">
        <is>
          <t>24 Juli 2026</t>
        </is>
      </c>
      <c r="M149" t="inlineStr">
        <is>
          <t>Dekorasi Interior</t>
        </is>
      </c>
      <c r="N149" t="inlineStr">
        <is>
          <t>Spesialis</t>
        </is>
      </c>
      <c r="O149" t="inlineStr">
        <is>
          <t>20230724</t>
        </is>
      </c>
      <c r="P149" t="inlineStr">
        <is>
          <t>Riau</t>
        </is>
      </c>
      <c r="Q149" t="inlineStr"/>
    </row>
    <row r="150">
      <c r="A150" t="inlineStr">
        <is>
          <t>PASIR JAYA</t>
        </is>
      </c>
      <c r="B150" t="inlineStr">
        <is>
          <t>Kab. Aceh Selatan</t>
        </is>
      </c>
      <c r="C150" t="inlineStr">
        <is>
          <t>081264001102</t>
        </is>
      </c>
      <c r="D150" t="inlineStr">
        <is>
          <t>pasirjaya@yahoo.com</t>
        </is>
      </c>
      <c r="E150" t="inlineStr">
        <is>
          <t>https://lpjk.pu.go.id/search-badan-usaha-detail/N1BaQnlaQmxLODZzNHZOMk5wZ1l0UT09</t>
        </is>
      </c>
      <c r="F150" t="n">
        <v>1</v>
      </c>
      <c r="G150" t="inlineStr">
        <is>
          <t>BG006</t>
        </is>
      </c>
      <c r="H150" t="inlineStr">
        <is>
          <t>22 Maret 2000</t>
        </is>
      </c>
      <c r="I150" s="2" t="n">
        <v>46227</v>
      </c>
      <c r="J150" t="inlineStr">
        <is>
          <t>Disetujui</t>
        </is>
      </c>
      <c r="K150" t="n">
        <v>30</v>
      </c>
      <c r="L150" t="inlineStr">
        <is>
          <t>24 Juli 2026</t>
        </is>
      </c>
      <c r="M150" t="inlineStr">
        <is>
          <t>Konstruksi Gedung Pendidikan</t>
        </is>
      </c>
      <c r="N150" t="inlineStr">
        <is>
          <t>K</t>
        </is>
      </c>
      <c r="O150" t="inlineStr">
        <is>
          <t>20230719</t>
        </is>
      </c>
      <c r="P150" t="inlineStr">
        <is>
          <t>Aceh</t>
        </is>
      </c>
      <c r="Q150" t="inlineStr"/>
    </row>
    <row r="151">
      <c r="A151" t="inlineStr">
        <is>
          <t>PERDANA BERKAH ABADI</t>
        </is>
      </c>
      <c r="B151" t="inlineStr">
        <is>
          <t>Kab. Tuban</t>
        </is>
      </c>
      <c r="C151" t="inlineStr">
        <is>
          <t>081256032655</t>
        </is>
      </c>
      <c r="D151" t="inlineStr">
        <is>
          <t>ptperdanaberkahabadi@gmail.com</t>
        </is>
      </c>
      <c r="E151" t="inlineStr">
        <is>
          <t>https://lpjk.pu.go.id/search-badan-usaha-detail/QnpNQUJJWFVBZW15ZzhWQkNTVGhVQT09</t>
        </is>
      </c>
      <c r="F151" t="n">
        <v>1</v>
      </c>
      <c r="G151" t="inlineStr">
        <is>
          <t>BG003</t>
        </is>
      </c>
      <c r="H151" t="inlineStr">
        <is>
          <t>21 Desember 2018</t>
        </is>
      </c>
      <c r="I151" s="2" t="n">
        <v>46227</v>
      </c>
      <c r="J151" t="inlineStr">
        <is>
          <t>Pencabutan</t>
        </is>
      </c>
      <c r="K151" t="n">
        <v>30</v>
      </c>
      <c r="L151" t="inlineStr">
        <is>
          <t>24 Juli 2026</t>
        </is>
      </c>
      <c r="M151" t="inlineStr">
        <is>
          <t>Konstruksi Gedung Industri</t>
        </is>
      </c>
      <c r="N151" t="inlineStr">
        <is>
          <t>K</t>
        </is>
      </c>
      <c r="O151" t="inlineStr">
        <is>
          <t>20230725</t>
        </is>
      </c>
      <c r="P151" t="inlineStr">
        <is>
          <t>Jawa Timur</t>
        </is>
      </c>
      <c r="Q151" t="inlineStr"/>
    </row>
    <row r="152">
      <c r="A152" t="inlineStr">
        <is>
          <t>PERINTIS UTAMA</t>
        </is>
      </c>
      <c r="B152" t="inlineStr">
        <is>
          <t>Kab. Boyolali</t>
        </is>
      </c>
      <c r="C152" t="inlineStr">
        <is>
          <t>081393528008</t>
        </is>
      </c>
      <c r="D152" t="inlineStr">
        <is>
          <t>jokowi84@yahoo.com</t>
        </is>
      </c>
      <c r="E152" t="inlineStr">
        <is>
          <t>https://lpjk.pu.go.id/search-badan-usaha-detail/Yml1QW5zTkd4Q21yS1VHYzNKSXRwQT09</t>
        </is>
      </c>
      <c r="F152" t="n">
        <v>1</v>
      </c>
      <c r="G152" t="inlineStr">
        <is>
          <t>BG008</t>
        </is>
      </c>
      <c r="H152" t="inlineStr">
        <is>
          <t>3 Maret 2000</t>
        </is>
      </c>
      <c r="I152" s="2" t="n">
        <v>46227</v>
      </c>
      <c r="J152" t="inlineStr">
        <is>
          <t>Disetujui</t>
        </is>
      </c>
      <c r="K152" t="n">
        <v>30</v>
      </c>
      <c r="L152" t="inlineStr">
        <is>
          <t>24 Juli 2026</t>
        </is>
      </c>
      <c r="M152" t="inlineStr">
        <is>
          <t>Konstruksi Gedung Tempat Hiburan dan Olahraga</t>
        </is>
      </c>
      <c r="N152" t="inlineStr">
        <is>
          <t>K</t>
        </is>
      </c>
      <c r="O152" t="inlineStr">
        <is>
          <t>20230721</t>
        </is>
      </c>
      <c r="P152" t="inlineStr">
        <is>
          <t>Jawa Tengah</t>
        </is>
      </c>
      <c r="Q152" t="inlineStr"/>
    </row>
    <row r="153">
      <c r="A153" t="inlineStr">
        <is>
          <t>PERUSAHAAN NASIONAL PENUANGAN DJAJA</t>
        </is>
      </c>
      <c r="B153" t="inlineStr">
        <is>
          <t>Kota Surabaya</t>
        </is>
      </c>
      <c r="C153" t="inlineStr">
        <is>
          <t>0313522391</t>
        </is>
      </c>
      <c r="D153" t="inlineStr">
        <is>
          <t>cv.pnp_djaja@yahoo.com</t>
        </is>
      </c>
      <c r="E153" t="inlineStr">
        <is>
          <t>https://lpjk.pu.go.id/search-badan-usaha-detail/TjdHNVRKd1NONldRY0ZFRWVNUnVJdz09</t>
        </is>
      </c>
      <c r="F153" t="n">
        <v>1</v>
      </c>
      <c r="G153" t="inlineStr">
        <is>
          <t>IN001</t>
        </is>
      </c>
      <c r="H153" t="inlineStr">
        <is>
          <t>3 Maret 2011</t>
        </is>
      </c>
      <c r="I153" s="2" t="n">
        <v>46227</v>
      </c>
      <c r="J153" t="inlineStr">
        <is>
          <t>Disetujui</t>
        </is>
      </c>
      <c r="K153" t="n">
        <v>30</v>
      </c>
      <c r="L153" t="inlineStr">
        <is>
          <t>24 Juli 2026</t>
        </is>
      </c>
      <c r="M153" t="inlineStr">
        <is>
          <t>Instalasi Mekanikal</t>
        </is>
      </c>
      <c r="N153" t="inlineStr">
        <is>
          <t>Spesialis</t>
        </is>
      </c>
      <c r="O153" t="inlineStr">
        <is>
          <t>20230723</t>
        </is>
      </c>
      <c r="P153" t="inlineStr">
        <is>
          <t>Jawa Timur</t>
        </is>
      </c>
      <c r="Q153" t="inlineStr"/>
    </row>
    <row r="154">
      <c r="A154" t="inlineStr">
        <is>
          <t>PRIMA SINDO</t>
        </is>
      </c>
      <c r="B154" t="inlineStr">
        <is>
          <t>Kota Madiun</t>
        </is>
      </c>
      <c r="C154" t="inlineStr">
        <is>
          <t>081259466271</t>
        </is>
      </c>
      <c r="D154" t="inlineStr">
        <is>
          <t>cv.primasindo@gmail.com</t>
        </is>
      </c>
      <c r="E154" t="inlineStr">
        <is>
          <t>https://lpjk.pu.go.id/search-badan-usaha-detail/R29TS3RvMXA2R25HUFJML2VvVFppdz09</t>
        </is>
      </c>
      <c r="F154" t="n">
        <v>1</v>
      </c>
      <c r="G154" t="inlineStr">
        <is>
          <t>BG006</t>
        </is>
      </c>
      <c r="H154" t="inlineStr">
        <is>
          <t>21 November 2001</t>
        </is>
      </c>
      <c r="I154" s="2" t="n">
        <v>46227</v>
      </c>
      <c r="J154" t="inlineStr">
        <is>
          <t>Disetujui</t>
        </is>
      </c>
      <c r="K154" t="n">
        <v>30</v>
      </c>
      <c r="L154" t="inlineStr">
        <is>
          <t>24 Juli 2026</t>
        </is>
      </c>
      <c r="M154" t="inlineStr">
        <is>
          <t>Konstruksi Gedung Pendidikan</t>
        </is>
      </c>
      <c r="N154" t="inlineStr">
        <is>
          <t>K</t>
        </is>
      </c>
      <c r="O154" t="inlineStr">
        <is>
          <t>20230710</t>
        </is>
      </c>
      <c r="P154" t="inlineStr">
        <is>
          <t>Jawa Timur</t>
        </is>
      </c>
      <c r="Q154" t="inlineStr"/>
    </row>
    <row r="155">
      <c r="A155" t="inlineStr">
        <is>
          <t>PSI PROJECT</t>
        </is>
      </c>
      <c r="B155" t="inlineStr">
        <is>
          <t>Kota Bandung</t>
        </is>
      </c>
      <c r="C155" t="inlineStr">
        <is>
          <t>082149093519</t>
        </is>
      </c>
      <c r="D155" t="inlineStr">
        <is>
          <t>psiproject2022@gmail.com</t>
        </is>
      </c>
      <c r="E155" t="inlineStr">
        <is>
          <t>https://lpjk.pu.go.id/search-badan-usaha-detail/L2lObER2WUlKVjhReEU2NmdNZ2lqZz09</t>
        </is>
      </c>
      <c r="F155" t="n">
        <v>1</v>
      </c>
      <c r="G155" t="inlineStr">
        <is>
          <t>BS002</t>
        </is>
      </c>
      <c r="H155" t="inlineStr">
        <is>
          <t>13 Oktober 2022</t>
        </is>
      </c>
      <c r="I155" s="2" t="n">
        <v>46227</v>
      </c>
      <c r="J155" t="inlineStr">
        <is>
          <t>Disetujui</t>
        </is>
      </c>
      <c r="K155" t="n">
        <v>30</v>
      </c>
      <c r="L155" t="inlineStr">
        <is>
          <t>24 Juli 2026</t>
        </is>
      </c>
      <c r="M155" t="inlineStr">
        <is>
          <t>Bangunan Sipil Jembatan, Jalan Layang, Fly Over, dan Underpass</t>
        </is>
      </c>
      <c r="N155" t="inlineStr">
        <is>
          <t>K</t>
        </is>
      </c>
      <c r="O155" t="inlineStr">
        <is>
          <t>20230724</t>
        </is>
      </c>
      <c r="P155" t="inlineStr">
        <is>
          <t>Jawa Barat</t>
        </is>
      </c>
      <c r="Q155" t="inlineStr"/>
    </row>
    <row r="156">
      <c r="A156" t="inlineStr">
        <is>
          <t>PUJA BUANA INDAH</t>
        </is>
      </c>
      <c r="B156" t="inlineStr">
        <is>
          <t>Kota Bima</t>
        </is>
      </c>
      <c r="C156" t="inlineStr">
        <is>
          <t>0823 3903 9180</t>
        </is>
      </c>
      <c r="D156" t="inlineStr">
        <is>
          <t>buanabima123@gmail.com</t>
        </is>
      </c>
      <c r="E156" t="inlineStr">
        <is>
          <t>https://lpjk.pu.go.id/search-badan-usaha-detail/Sm44WTFVYzNSTm5pVHBMSFpMU1ZjZz09</t>
        </is>
      </c>
      <c r="F156" t="n">
        <v>1</v>
      </c>
      <c r="G156" t="inlineStr">
        <is>
          <t>BG006</t>
        </is>
      </c>
      <c r="H156" t="inlineStr">
        <is>
          <t>1 Agustus 1998</t>
        </is>
      </c>
      <c r="I156" s="2" t="n">
        <v>46227</v>
      </c>
      <c r="J156" t="inlineStr">
        <is>
          <t>Disetujui</t>
        </is>
      </c>
      <c r="K156" t="n">
        <v>30</v>
      </c>
      <c r="L156" t="inlineStr">
        <is>
          <t>24 Juli 2026</t>
        </is>
      </c>
      <c r="M156" t="inlineStr">
        <is>
          <t>Konstruksi Gedung Pendidikan</t>
        </is>
      </c>
      <c r="N156" t="inlineStr">
        <is>
          <t>K</t>
        </is>
      </c>
      <c r="O156" t="inlineStr">
        <is>
          <t>20230710</t>
        </is>
      </c>
      <c r="P156" t="inlineStr">
        <is>
          <t>Nusa Tenggara Barat</t>
        </is>
      </c>
      <c r="Q156" t="inlineStr"/>
    </row>
    <row r="157">
      <c r="A157" t="inlineStr">
        <is>
          <t>PUTERI MANDIRI LINGGAU</t>
        </is>
      </c>
      <c r="B157" t="inlineStr">
        <is>
          <t>Kota Lubuk Linggau</t>
        </is>
      </c>
      <c r="C157" t="inlineStr">
        <is>
          <t>081274447624</t>
        </is>
      </c>
      <c r="D157" t="inlineStr">
        <is>
          <t>ptputerimandirilinggau@gmail.com</t>
        </is>
      </c>
      <c r="E157" t="inlineStr">
        <is>
          <t>https://lpjk.pu.go.id/search-badan-usaha-detail/Y2V6STNsbnNBcnQ3SXNGYUtIK29QQT09</t>
        </is>
      </c>
      <c r="F157" t="n">
        <v>1</v>
      </c>
      <c r="G157" t="inlineStr">
        <is>
          <t>BS001</t>
        </is>
      </c>
      <c r="H157" t="inlineStr">
        <is>
          <t>22 September 2017</t>
        </is>
      </c>
      <c r="I157" s="2" t="n">
        <v>46227</v>
      </c>
      <c r="J157" t="inlineStr">
        <is>
          <t>Disetujui</t>
        </is>
      </c>
      <c r="K157" t="n">
        <v>30</v>
      </c>
      <c r="L157" t="inlineStr">
        <is>
          <t>24 Juli 2026</t>
        </is>
      </c>
      <c r="M157" t="inlineStr">
        <is>
          <t>Konstruksi Bangunan Sipil Jalan</t>
        </is>
      </c>
      <c r="N157" t="inlineStr">
        <is>
          <t>K</t>
        </is>
      </c>
      <c r="O157" t="inlineStr">
        <is>
          <t>20230720</t>
        </is>
      </c>
      <c r="P157" t="inlineStr">
        <is>
          <t>Sumatera Selatan</t>
        </is>
      </c>
      <c r="Q157" t="inlineStr"/>
    </row>
    <row r="158">
      <c r="A158" t="inlineStr">
        <is>
          <t>PUTRA DAERAH MANDIRI REBORN</t>
        </is>
      </c>
      <c r="B158" t="inlineStr">
        <is>
          <t>Kab. Sampang</t>
        </is>
      </c>
      <c r="C158" t="inlineStr">
        <is>
          <t>082132230155</t>
        </is>
      </c>
      <c r="D158" t="inlineStr">
        <is>
          <t>putradaerahmr@gmail.com</t>
        </is>
      </c>
      <c r="E158" t="inlineStr">
        <is>
          <t>https://lpjk.pu.go.id/search-badan-usaha-detail/UEszSDhOdVF5YjR1RzNUMXUra3NDdz09</t>
        </is>
      </c>
      <c r="F158" t="n">
        <v>5</v>
      </c>
      <c r="G158" t="inlineStr">
        <is>
          <t>BG002, BG005, BG006, BG009, BS004</t>
        </is>
      </c>
      <c r="H158" t="inlineStr">
        <is>
          <t>12 Mei 2022</t>
        </is>
      </c>
      <c r="I158" s="2" t="n">
        <v>46227</v>
      </c>
      <c r="J158" t="inlineStr">
        <is>
          <t>Disetujui</t>
        </is>
      </c>
      <c r="K158" t="n">
        <v>30</v>
      </c>
      <c r="L158" t="inlineStr">
        <is>
          <t>24 Juli 2026</t>
        </is>
      </c>
      <c r="M158" t="inlineStr">
        <is>
          <t>Konstruksi Gedung Kesehatan, Konstruksi Gedung Lainnya, Konstruksi Gedung Pendidikan, Konstruksi Gedung Perkantoran, Konstruksi Jaringan Irigasi dan Drainase</t>
        </is>
      </c>
      <c r="N158" t="inlineStr">
        <is>
          <t>K</t>
        </is>
      </c>
      <c r="O158" t="inlineStr">
        <is>
          <t>20230720</t>
        </is>
      </c>
      <c r="P158" t="inlineStr">
        <is>
          <t>Jawa Timur</t>
        </is>
      </c>
      <c r="Q158" t="inlineStr"/>
    </row>
    <row r="159">
      <c r="A159" t="inlineStr">
        <is>
          <t>PUTRA SULUNG</t>
        </is>
      </c>
      <c r="B159" t="inlineStr">
        <is>
          <t>Kab. Subang</t>
        </is>
      </c>
      <c r="C159" t="inlineStr">
        <is>
          <t>082320150597</t>
        </is>
      </c>
      <c r="D159" t="inlineStr">
        <is>
          <t>cvputrasulung20@gmail.com</t>
        </is>
      </c>
      <c r="E159" t="inlineStr">
        <is>
          <t>https://lpjk.pu.go.id/search-badan-usaha-detail/aDAxZjBNREFkQW5FbUxnSGF0VjVsUT09</t>
        </is>
      </c>
      <c r="F159" t="n">
        <v>1</v>
      </c>
      <c r="G159" t="inlineStr">
        <is>
          <t>BS010</t>
        </is>
      </c>
      <c r="H159" t="inlineStr">
        <is>
          <t>21 April 1980</t>
        </is>
      </c>
      <c r="I159" s="2" t="n">
        <v>46227</v>
      </c>
      <c r="J159" t="inlineStr">
        <is>
          <t>Pencabutan</t>
        </is>
      </c>
      <c r="K159" t="n">
        <v>30</v>
      </c>
      <c r="L159" t="inlineStr">
        <is>
          <t>24 Juli 2026</t>
        </is>
      </c>
      <c r="M159" t="inlineStr">
        <is>
          <t>Konstruksi Bangunan Prasarana Sumber Daya Air</t>
        </is>
      </c>
      <c r="N159" t="inlineStr">
        <is>
          <t>K</t>
        </is>
      </c>
      <c r="O159" t="inlineStr">
        <is>
          <t>20230721</t>
        </is>
      </c>
      <c r="P159" t="inlineStr">
        <is>
          <t>Jawa Barat</t>
        </is>
      </c>
      <c r="Q159" t="inlineStr"/>
    </row>
    <row r="160">
      <c r="A160" t="inlineStr">
        <is>
          <t>PUTRA TUNGGAL</t>
        </is>
      </c>
      <c r="B160" t="inlineStr">
        <is>
          <t>Kab. Banyuasin</t>
        </is>
      </c>
      <c r="C160" t="inlineStr">
        <is>
          <t>0711430626</t>
        </is>
      </c>
      <c r="D160" t="inlineStr">
        <is>
          <t>cv.putra_t@yahoo.com</t>
        </is>
      </c>
      <c r="E160" t="inlineStr">
        <is>
          <t>https://lpjk.pu.go.id/search-badan-usaha-detail/Qjk3WXI2Y2treGE2Q05Way9PT2o2Zz09</t>
        </is>
      </c>
      <c r="F160" t="n">
        <v>2</v>
      </c>
      <c r="G160" t="inlineStr">
        <is>
          <t>BG002, BG005</t>
        </is>
      </c>
      <c r="H160" t="inlineStr">
        <is>
          <t>8 November 2002</t>
        </is>
      </c>
      <c r="I160" s="2" t="n">
        <v>46227</v>
      </c>
      <c r="J160" t="inlineStr">
        <is>
          <t>Disetujui</t>
        </is>
      </c>
      <c r="K160" t="n">
        <v>30</v>
      </c>
      <c r="L160" t="inlineStr">
        <is>
          <t>24 Juli 2026</t>
        </is>
      </c>
      <c r="M160" t="inlineStr">
        <is>
          <t>Konstruksi Gedung Kesehatan, Konstruksi Gedung Perkantoran</t>
        </is>
      </c>
      <c r="N160" t="inlineStr">
        <is>
          <t>K</t>
        </is>
      </c>
      <c r="O160" t="inlineStr">
        <is>
          <t>20230720</t>
        </is>
      </c>
      <c r="P160" t="inlineStr">
        <is>
          <t>Sumatera Selatan</t>
        </is>
      </c>
      <c r="Q160" t="inlineStr"/>
    </row>
    <row r="161">
      <c r="A161" t="inlineStr">
        <is>
          <t>PUTRI AMIROH LISAJAYA</t>
        </is>
      </c>
      <c r="B161" t="inlineStr">
        <is>
          <t>Kab. Bondowoso</t>
        </is>
      </c>
      <c r="C161" t="inlineStr">
        <is>
          <t>082330340778</t>
        </is>
      </c>
      <c r="D161" t="inlineStr">
        <is>
          <t>putriamirohlj.cv@gmail.com</t>
        </is>
      </c>
      <c r="E161" t="inlineStr">
        <is>
          <t>https://lpjk.pu.go.id/search-badan-usaha-detail/NHFKc2plVytJUjBhU0ZOQTlIUGNvQT09</t>
        </is>
      </c>
      <c r="F161" t="n">
        <v>1</v>
      </c>
      <c r="G161" t="inlineStr">
        <is>
          <t>BS001</t>
        </is>
      </c>
      <c r="H161" t="inlineStr">
        <is>
          <t>30 Desember 2014</t>
        </is>
      </c>
      <c r="I161" s="2" t="n">
        <v>46227</v>
      </c>
      <c r="J161" t="inlineStr">
        <is>
          <t>Disetujui</t>
        </is>
      </c>
      <c r="K161" t="n">
        <v>30</v>
      </c>
      <c r="L161" t="inlineStr">
        <is>
          <t>24 Juli 2026</t>
        </is>
      </c>
      <c r="M161" t="inlineStr">
        <is>
          <t>Konstruksi Bangunan Sipil Jalan</t>
        </is>
      </c>
      <c r="N161" t="inlineStr">
        <is>
          <t>K</t>
        </is>
      </c>
      <c r="O161" t="inlineStr">
        <is>
          <t>20220531</t>
        </is>
      </c>
      <c r="P161" t="inlineStr">
        <is>
          <t>Jawa Timur</t>
        </is>
      </c>
      <c r="Q161" t="inlineStr"/>
    </row>
    <row r="162">
      <c r="A162" t="inlineStr">
        <is>
          <t>PUTRI JIHAN</t>
        </is>
      </c>
      <c r="B162" t="inlineStr">
        <is>
          <t>Kab. Sampang</t>
        </is>
      </c>
      <c r="C162" t="inlineStr">
        <is>
          <t>082143266767</t>
        </is>
      </c>
      <c r="D162" t="inlineStr">
        <is>
          <t>uubaidillah99@yahoo.com</t>
        </is>
      </c>
      <c r="E162" t="inlineStr">
        <is>
          <t>https://lpjk.pu.go.id/search-badan-usaha-detail/NWtRbktEWjFMbkJBUDZybWFGV2xqQT09</t>
        </is>
      </c>
      <c r="F162" t="n">
        <v>1</v>
      </c>
      <c r="G162" t="inlineStr">
        <is>
          <t>BS002</t>
        </is>
      </c>
      <c r="H162" t="inlineStr">
        <is>
          <t>13 Maret 2019</t>
        </is>
      </c>
      <c r="I162" s="2" t="n">
        <v>46227</v>
      </c>
      <c r="J162" t="inlineStr">
        <is>
          <t>Disetujui</t>
        </is>
      </c>
      <c r="K162" t="n">
        <v>30</v>
      </c>
      <c r="L162" t="inlineStr">
        <is>
          <t>24 Juli 2026</t>
        </is>
      </c>
      <c r="M162" t="inlineStr">
        <is>
          <t>Bangunan Sipil Jembatan, Jalan Layang, Fly Over, dan Underpass</t>
        </is>
      </c>
      <c r="N162" t="inlineStr">
        <is>
          <t>K</t>
        </is>
      </c>
      <c r="O162" t="inlineStr">
        <is>
          <t>20230722</t>
        </is>
      </c>
      <c r="P162" t="inlineStr">
        <is>
          <t>Jawa Timur</t>
        </is>
      </c>
      <c r="Q162" t="inlineStr"/>
    </row>
    <row r="163">
      <c r="A163" t="inlineStr">
        <is>
          <t>PUTRI KENCANA</t>
        </is>
      </c>
      <c r="B163" t="inlineStr">
        <is>
          <t>Kab. Aceh Besar</t>
        </is>
      </c>
      <c r="C163" t="inlineStr">
        <is>
          <t>081360214141</t>
        </is>
      </c>
      <c r="D163" t="inlineStr">
        <is>
          <t>cvputrikencana@ymail.com</t>
        </is>
      </c>
      <c r="E163" t="inlineStr">
        <is>
          <t>https://lpjk.pu.go.id/search-badan-usaha-detail/cytkVmw4ekpHT3h4Z0tNZkEyZTRqZz09</t>
        </is>
      </c>
      <c r="F163" t="n">
        <v>3</v>
      </c>
      <c r="G163" t="inlineStr">
        <is>
          <t>BG001, BG006, BG009</t>
        </is>
      </c>
      <c r="H163" t="inlineStr">
        <is>
          <t>31 Mei 2005</t>
        </is>
      </c>
      <c r="I163" s="2" t="n">
        <v>46227</v>
      </c>
      <c r="J163" t="inlineStr">
        <is>
          <t>Disetujui</t>
        </is>
      </c>
      <c r="K163" t="n">
        <v>30</v>
      </c>
      <c r="L163" t="inlineStr">
        <is>
          <t>24 Juli 2026</t>
        </is>
      </c>
      <c r="M163" t="inlineStr">
        <is>
          <t>Konstruksi Gedung Hunian, Konstruksi Gedung Lainnya, Konstruksi Gedung Pendidikan</t>
        </is>
      </c>
      <c r="N163" t="inlineStr">
        <is>
          <t>K</t>
        </is>
      </c>
      <c r="O163" t="inlineStr">
        <is>
          <t>20230705</t>
        </is>
      </c>
      <c r="P163" t="inlineStr">
        <is>
          <t>Aceh</t>
        </is>
      </c>
      <c r="Q163" t="inlineStr"/>
    </row>
    <row r="164">
      <c r="A164" t="inlineStr">
        <is>
          <t>RAJA BENAR FITRI</t>
        </is>
      </c>
      <c r="B164" t="inlineStr">
        <is>
          <t>Kab. Rokan Hilir</t>
        </is>
      </c>
      <c r="C164" t="inlineStr">
        <is>
          <t>082390598818</t>
        </is>
      </c>
      <c r="D164" t="inlineStr">
        <is>
          <t>rajabenarfitri@gmail.com</t>
        </is>
      </c>
      <c r="E164" t="inlineStr">
        <is>
          <t>https://lpjk.pu.go.id/search-badan-usaha-detail/VzVXQnRQMS9Hdk5QdVJ1bzhFcFhHZz09</t>
        </is>
      </c>
      <c r="F164" t="n">
        <v>3</v>
      </c>
      <c r="G164" t="inlineStr">
        <is>
          <t>BG001, BG006, BG009</t>
        </is>
      </c>
      <c r="H164" t="inlineStr">
        <is>
          <t>20 Januari 2020</t>
        </is>
      </c>
      <c r="I164" s="2" t="n">
        <v>46227</v>
      </c>
      <c r="J164" t="inlineStr">
        <is>
          <t>Disetujui</t>
        </is>
      </c>
      <c r="K164" t="n">
        <v>30</v>
      </c>
      <c r="L164" t="inlineStr">
        <is>
          <t>24 Juli 2026</t>
        </is>
      </c>
      <c r="M164" t="inlineStr">
        <is>
          <t>Konstruksi Gedung Hunian, Konstruksi Gedung Lainnya, Konstruksi Gedung Pendidikan</t>
        </is>
      </c>
      <c r="N164" t="inlineStr">
        <is>
          <t>K</t>
        </is>
      </c>
      <c r="O164" t="inlineStr">
        <is>
          <t>20230721</t>
        </is>
      </c>
      <c r="P164" t="inlineStr">
        <is>
          <t>Riau</t>
        </is>
      </c>
      <c r="Q164" t="inlineStr"/>
    </row>
    <row r="165">
      <c r="A165" t="inlineStr">
        <is>
          <t>RAJAWALI PUTERA UTAMA</t>
        </is>
      </c>
      <c r="B165" t="inlineStr">
        <is>
          <t>Kota Semarang</t>
        </is>
      </c>
      <c r="C165" t="inlineStr">
        <is>
          <t>081252223223</t>
        </is>
      </c>
      <c r="D165" t="inlineStr">
        <is>
          <t>d13.rwhh@gmail.com</t>
        </is>
      </c>
      <c r="E165" t="inlineStr">
        <is>
          <t>https://lpjk.pu.go.id/search-badan-usaha-detail/NHozL2l2bStGS3lSa0R5TFVBbkd1dz09</t>
        </is>
      </c>
      <c r="F165" t="n">
        <v>2</v>
      </c>
      <c r="G165" t="inlineStr">
        <is>
          <t>BS020</t>
        </is>
      </c>
      <c r="H165" t="inlineStr">
        <is>
          <t>12 Maret 2019</t>
        </is>
      </c>
      <c r="I165" s="2" t="n">
        <v>46227</v>
      </c>
      <c r="J165" t="inlineStr">
        <is>
          <t>Disetujui</t>
        </is>
      </c>
      <c r="K165" t="n">
        <v>30</v>
      </c>
      <c r="L165" t="inlineStr">
        <is>
          <t>24 Juli 2026</t>
        </is>
      </c>
      <c r="M165" t="inlineStr">
        <is>
          <t>Konstruksi Jaringan Irigasi, Komunikasi, dan Limbah Lainnya</t>
        </is>
      </c>
      <c r="N165" t="inlineStr">
        <is>
          <t>K</t>
        </is>
      </c>
      <c r="O165" t="inlineStr">
        <is>
          <t>20230720</t>
        </is>
      </c>
      <c r="P165" t="inlineStr">
        <is>
          <t>Jawa Tengah</t>
        </is>
      </c>
      <c r="Q165" t="inlineStr"/>
    </row>
    <row r="166">
      <c r="A166" t="inlineStr">
        <is>
          <t>RAMA OKSIBIL SEJAHTERA</t>
        </is>
      </c>
      <c r="B166" t="inlineStr">
        <is>
          <t>Kab Pegunungan Bintang</t>
        </is>
      </c>
      <c r="C166" t="inlineStr">
        <is>
          <t>082337195698</t>
        </is>
      </c>
      <c r="D166" t="inlineStr">
        <is>
          <t>cvramaoks@gmail.com</t>
        </is>
      </c>
      <c r="E166" t="inlineStr">
        <is>
          <t>https://lpjk.pu.go.id/search-badan-usaha-detail/enVSTUw0NGZNR2pEblBBQnQrakJDZz09</t>
        </is>
      </c>
      <c r="F166" t="n">
        <v>1</v>
      </c>
      <c r="G166" t="inlineStr">
        <is>
          <t>BG002</t>
        </is>
      </c>
      <c r="H166" t="inlineStr">
        <is>
          <t>15 Januari 2020</t>
        </is>
      </c>
      <c r="I166" s="2" t="n">
        <v>46227</v>
      </c>
      <c r="J166" t="inlineStr">
        <is>
          <t>Disetujui</t>
        </is>
      </c>
      <c r="K166" t="n">
        <v>30</v>
      </c>
      <c r="L166" t="inlineStr">
        <is>
          <t>24 Juli 2026</t>
        </is>
      </c>
      <c r="M166" t="inlineStr">
        <is>
          <t>Konstruksi Gedung Perkantoran</t>
        </is>
      </c>
      <c r="N166" t="inlineStr">
        <is>
          <t>K</t>
        </is>
      </c>
      <c r="O166" t="inlineStr">
        <is>
          <t>20230721</t>
        </is>
      </c>
      <c r="P166" t="inlineStr">
        <is>
          <t>Papua</t>
        </is>
      </c>
      <c r="Q166" t="inlineStr"/>
    </row>
    <row r="167">
      <c r="A167" t="inlineStr">
        <is>
          <t>RATU JOYO WANGI</t>
        </is>
      </c>
      <c r="B167" t="inlineStr">
        <is>
          <t>Kota Surabaya</t>
        </is>
      </c>
      <c r="C167" t="inlineStr">
        <is>
          <t>081232461318</t>
        </is>
      </c>
      <c r="D167" t="inlineStr">
        <is>
          <t>ratujoyowangi99@gmail.com</t>
        </is>
      </c>
      <c r="E167" t="inlineStr">
        <is>
          <t>https://lpjk.pu.go.id/search-badan-usaha-detail/SGVSVjBNVkJ2S2M0dFB1Wms3elNrZz09</t>
        </is>
      </c>
      <c r="F167" t="n">
        <v>2</v>
      </c>
      <c r="G167" t="inlineStr">
        <is>
          <t>BG006, BS001</t>
        </is>
      </c>
      <c r="H167" t="inlineStr">
        <is>
          <t>29 Mei 2023</t>
        </is>
      </c>
      <c r="I167" s="2" t="n">
        <v>46227</v>
      </c>
      <c r="J167" t="inlineStr">
        <is>
          <t>Disetujui</t>
        </is>
      </c>
      <c r="K167" t="n">
        <v>30</v>
      </c>
      <c r="L167" t="inlineStr">
        <is>
          <t>24 Juli 2026</t>
        </is>
      </c>
      <c r="M167" t="inlineStr">
        <is>
          <t>Konstruksi Bangunan Sipil Jalan, Konstruksi Gedung Pendidikan</t>
        </is>
      </c>
      <c r="N167" t="inlineStr">
        <is>
          <t>K</t>
        </is>
      </c>
      <c r="O167" t="inlineStr">
        <is>
          <t>20230704</t>
        </is>
      </c>
      <c r="P167" t="inlineStr">
        <is>
          <t>Jawa Timur</t>
        </is>
      </c>
      <c r="Q167" t="inlineStr"/>
    </row>
    <row r="168">
      <c r="A168" t="inlineStr">
        <is>
          <t>REKADAYA RESTU CIPTA</t>
        </is>
      </c>
      <c r="B168" t="inlineStr">
        <is>
          <t>Kota Tangerang</t>
        </is>
      </c>
      <c r="C168" t="inlineStr">
        <is>
          <t>02127561427</t>
        </is>
      </c>
      <c r="D168" t="inlineStr">
        <is>
          <t>rekadaya.restucipta@gmail.com</t>
        </is>
      </c>
      <c r="E168" t="inlineStr">
        <is>
          <t>https://lpjk.pu.go.id/search-badan-usaha-detail/UDZNcGhQcytDUEJwbTMvTW9IT25ndz09</t>
        </is>
      </c>
      <c r="F168" t="n">
        <v>2</v>
      </c>
      <c r="G168" t="inlineStr">
        <is>
          <t>RK001</t>
        </is>
      </c>
      <c r="H168" t="inlineStr">
        <is>
          <t>26 Januari 2018</t>
        </is>
      </c>
      <c r="I168" s="2" t="n">
        <v>46227</v>
      </c>
      <c r="J168" t="inlineStr">
        <is>
          <t>Disetujui</t>
        </is>
      </c>
      <c r="K168" t="n">
        <v>30</v>
      </c>
      <c r="L168" t="inlineStr">
        <is>
          <t>24 Juli 2026</t>
        </is>
      </c>
      <c r="M168" t="inlineStr">
        <is>
          <t>Jasa Rekayasa Konstruksi Bangunan Gedung Hunian dan Non Hunian</t>
        </is>
      </c>
      <c r="N168" t="inlineStr">
        <is>
          <t>K</t>
        </is>
      </c>
      <c r="O168" t="inlineStr">
        <is>
          <t>20230614</t>
        </is>
      </c>
      <c r="P168" t="inlineStr">
        <is>
          <t>Banten</t>
        </is>
      </c>
      <c r="Q168" t="inlineStr"/>
    </row>
    <row r="169">
      <c r="A169" t="inlineStr">
        <is>
          <t>REZA TEKNIK MANDIRI</t>
        </is>
      </c>
      <c r="B169" t="inlineStr">
        <is>
          <t>Kota Jambi</t>
        </is>
      </c>
      <c r="C169" t="inlineStr">
        <is>
          <t>081260199262</t>
        </is>
      </c>
      <c r="D169" t="inlineStr">
        <is>
          <t>081260199262</t>
        </is>
      </c>
      <c r="E169" t="inlineStr">
        <is>
          <t>https://lpjk.pu.go.id/search-badan-usaha-detail/RHpja1YwSzRTZkpwalNHWWdQSUVaZz09</t>
        </is>
      </c>
      <c r="F169" t="n">
        <v>2</v>
      </c>
      <c r="G169" t="inlineStr">
        <is>
          <t>BG006, BS001</t>
        </is>
      </c>
      <c r="H169" t="inlineStr">
        <is>
          <t>9 Februari 2015</t>
        </is>
      </c>
      <c r="I169" s="2" t="n">
        <v>46227</v>
      </c>
      <c r="J169" t="inlineStr">
        <is>
          <t>Disetujui</t>
        </is>
      </c>
      <c r="K169" t="n">
        <v>30</v>
      </c>
      <c r="L169" t="inlineStr">
        <is>
          <t>24 Juli 2026</t>
        </is>
      </c>
      <c r="M169" t="inlineStr">
        <is>
          <t>Konstruksi Bangunan Sipil Jalan, Konstruksi Gedung Pendidikan</t>
        </is>
      </c>
      <c r="N169" t="inlineStr">
        <is>
          <t>K</t>
        </is>
      </c>
      <c r="O169" t="inlineStr">
        <is>
          <t>20230724, 20230725</t>
        </is>
      </c>
      <c r="P169" t="inlineStr">
        <is>
          <t>Jambi</t>
        </is>
      </c>
      <c r="Q169" t="inlineStr"/>
    </row>
    <row r="170">
      <c r="A170" t="inlineStr">
        <is>
          <t>RIMBA KENCANA</t>
        </is>
      </c>
      <c r="B170" t="inlineStr">
        <is>
          <t>Kab. Ponorogo</t>
        </is>
      </c>
      <c r="C170" t="inlineStr">
        <is>
          <t>081234641610</t>
        </is>
      </c>
      <c r="D170" t="inlineStr">
        <is>
          <t>rimbakencana01@gmail.com</t>
        </is>
      </c>
      <c r="E170" t="inlineStr">
        <is>
          <t>https://lpjk.pu.go.id/search-badan-usaha-detail/alN5dTlSaUJ3V0ttZlZBajBqK3Bydz09</t>
        </is>
      </c>
      <c r="F170" t="n">
        <v>1</v>
      </c>
      <c r="G170" t="inlineStr">
        <is>
          <t>BS004</t>
        </is>
      </c>
      <c r="H170" t="inlineStr">
        <is>
          <t>27 September 1993</t>
        </is>
      </c>
      <c r="I170" s="2" t="n">
        <v>46227</v>
      </c>
      <c r="J170" t="inlineStr">
        <is>
          <t>Disetujui</t>
        </is>
      </c>
      <c r="K170" t="n">
        <v>30</v>
      </c>
      <c r="L170" t="inlineStr">
        <is>
          <t>24 Juli 2026</t>
        </is>
      </c>
      <c r="M170" t="inlineStr">
        <is>
          <t>Konstruksi Jaringan Irigasi dan Drainase</t>
        </is>
      </c>
      <c r="N170" t="inlineStr">
        <is>
          <t>K</t>
        </is>
      </c>
      <c r="O170" t="inlineStr">
        <is>
          <t>20230718</t>
        </is>
      </c>
      <c r="P170" t="inlineStr">
        <is>
          <t>Jawa Timur</t>
        </is>
      </c>
      <c r="Q170" t="inlineStr"/>
    </row>
    <row r="171">
      <c r="A171" t="inlineStr">
        <is>
          <t>RISWANA SATU DARAH</t>
        </is>
      </c>
      <c r="B171" t="inlineStr">
        <is>
          <t>Kab. Bandung</t>
        </is>
      </c>
      <c r="C171" t="inlineStr">
        <is>
          <t>081222841451</t>
        </is>
      </c>
      <c r="D171" t="inlineStr">
        <is>
          <t>riswana.satu.darah@gmail.com</t>
        </is>
      </c>
      <c r="E171" t="inlineStr">
        <is>
          <t>https://lpjk.pu.go.id/search-badan-usaha-detail/Z0Z2U3lZdzBPS3RjL041a2tINStNQT09</t>
        </is>
      </c>
      <c r="F171" t="n">
        <v>2</v>
      </c>
      <c r="G171" t="inlineStr">
        <is>
          <t>BG001</t>
        </is>
      </c>
      <c r="H171" t="inlineStr">
        <is>
          <t>1 Agustus 2022</t>
        </is>
      </c>
      <c r="I171" s="2" t="n">
        <v>46227</v>
      </c>
      <c r="J171" t="inlineStr">
        <is>
          <t>Disetujui</t>
        </is>
      </c>
      <c r="K171" t="n">
        <v>30</v>
      </c>
      <c r="L171" t="inlineStr">
        <is>
          <t>24 Juli 2026</t>
        </is>
      </c>
      <c r="M171" t="inlineStr">
        <is>
          <t>Konstruksi Gedung Hunian</t>
        </is>
      </c>
      <c r="N171" t="inlineStr">
        <is>
          <t>K</t>
        </is>
      </c>
      <c r="O171" t="inlineStr">
        <is>
          <t>20230724</t>
        </is>
      </c>
      <c r="P171" t="inlineStr">
        <is>
          <t>Jawa Barat</t>
        </is>
      </c>
      <c r="Q171" t="inlineStr"/>
    </row>
    <row r="172">
      <c r="A172" t="inlineStr">
        <is>
          <t>SABAR JAYA INDAH</t>
        </is>
      </c>
      <c r="B172" t="inlineStr">
        <is>
          <t>Kab. Merauke</t>
        </is>
      </c>
      <c r="C172" t="inlineStr">
        <is>
          <t>085244234449</t>
        </is>
      </c>
      <c r="D172" t="inlineStr">
        <is>
          <t>sabarjayaindah304@gmail.com</t>
        </is>
      </c>
      <c r="E172" t="inlineStr">
        <is>
          <t>https://lpjk.pu.go.id/search-badan-usaha-detail/UHhxckM0ZjMrMHpYU2hyNWw4a2prZz09</t>
        </is>
      </c>
      <c r="F172" t="n">
        <v>2</v>
      </c>
      <c r="G172" t="inlineStr">
        <is>
          <t>BS001, BS004</t>
        </is>
      </c>
      <c r="H172" t="inlineStr">
        <is>
          <t>10 Februari 2020</t>
        </is>
      </c>
      <c r="I172" s="2" t="n">
        <v>46227</v>
      </c>
      <c r="J172" t="inlineStr">
        <is>
          <t>Disetujui</t>
        </is>
      </c>
      <c r="K172" t="n">
        <v>30</v>
      </c>
      <c r="L172" t="inlineStr">
        <is>
          <t>24 Juli 2026</t>
        </is>
      </c>
      <c r="M172" t="inlineStr">
        <is>
          <t>Konstruksi Bangunan Sipil Jalan, Konstruksi Jaringan Irigasi dan Drainase</t>
        </is>
      </c>
      <c r="N172" t="inlineStr">
        <is>
          <t>K</t>
        </is>
      </c>
      <c r="O172" t="inlineStr">
        <is>
          <t>20230724</t>
        </is>
      </c>
      <c r="P172" t="inlineStr">
        <is>
          <t>Papua</t>
        </is>
      </c>
      <c r="Q172" t="inlineStr"/>
    </row>
    <row r="173">
      <c r="A173" t="inlineStr">
        <is>
          <t>SADEWA JAYA MUKTI</t>
        </is>
      </c>
      <c r="B173" t="inlineStr">
        <is>
          <t>Kab. Grobogan</t>
        </is>
      </c>
      <c r="C173" t="inlineStr">
        <is>
          <t>082329331537</t>
        </is>
      </c>
      <c r="D173" t="inlineStr">
        <is>
          <t>sadewajayamukti@yahoo.com</t>
        </is>
      </c>
      <c r="E173" t="inlineStr">
        <is>
          <t>https://lpjk.pu.go.id/search-badan-usaha-detail/b3BreVdRUUVKdmFkL2ROdGVGTmxyZz09</t>
        </is>
      </c>
      <c r="F173" t="n">
        <v>1</v>
      </c>
      <c r="G173" t="inlineStr">
        <is>
          <t>BG005</t>
        </is>
      </c>
      <c r="H173" t="inlineStr">
        <is>
          <t>16 November 2020</t>
        </is>
      </c>
      <c r="I173" s="2" t="n">
        <v>46227</v>
      </c>
      <c r="J173" t="inlineStr">
        <is>
          <t>Disetujui</t>
        </is>
      </c>
      <c r="K173" t="n">
        <v>30</v>
      </c>
      <c r="L173" t="inlineStr">
        <is>
          <t>24 Juli 2026</t>
        </is>
      </c>
      <c r="M173" t="inlineStr">
        <is>
          <t>Konstruksi Gedung Kesehatan</t>
        </is>
      </c>
      <c r="N173" t="inlineStr">
        <is>
          <t>K</t>
        </is>
      </c>
      <c r="O173" t="inlineStr">
        <is>
          <t>20230724</t>
        </is>
      </c>
      <c r="P173" t="inlineStr">
        <is>
          <t>Jawa Tengah</t>
        </is>
      </c>
      <c r="Q173" t="inlineStr"/>
    </row>
    <row r="174">
      <c r="A174" t="inlineStr">
        <is>
          <t>SAFA ARTHA ANUGERAH</t>
        </is>
      </c>
      <c r="B174" t="inlineStr">
        <is>
          <t>Kab. Pasuruan</t>
        </is>
      </c>
      <c r="C174" t="inlineStr">
        <is>
          <t>081216970775</t>
        </is>
      </c>
      <c r="D174" t="inlineStr">
        <is>
          <t>safaarthaanugerah.company@gmail.com</t>
        </is>
      </c>
      <c r="E174" t="inlineStr">
        <is>
          <t>https://lpjk.pu.go.id/search-badan-usaha-detail/NnJtcXBCVkwwYnliUm9JbjNGYWdHdz09</t>
        </is>
      </c>
      <c r="F174" t="n">
        <v>1</v>
      </c>
      <c r="G174" t="inlineStr">
        <is>
          <t>BS001</t>
        </is>
      </c>
      <c r="H174" t="inlineStr">
        <is>
          <t>16 Maret 2013</t>
        </is>
      </c>
      <c r="I174" s="2" t="n">
        <v>46227</v>
      </c>
      <c r="J174" t="inlineStr">
        <is>
          <t>Disetujui</t>
        </is>
      </c>
      <c r="K174" t="n">
        <v>30</v>
      </c>
      <c r="L174" t="inlineStr">
        <is>
          <t>24 Juli 2026</t>
        </is>
      </c>
      <c r="M174" t="inlineStr">
        <is>
          <t>Konstruksi Bangunan Sipil Jalan</t>
        </is>
      </c>
      <c r="N174" t="inlineStr">
        <is>
          <t>K</t>
        </is>
      </c>
      <c r="O174" t="inlineStr">
        <is>
          <t>20230722</t>
        </is>
      </c>
      <c r="P174" t="inlineStr">
        <is>
          <t>Jawa Timur</t>
        </is>
      </c>
      <c r="Q174" t="inlineStr"/>
    </row>
    <row r="175">
      <c r="A175" t="inlineStr">
        <is>
          <t>SAMPURNA PUTRA ABADI</t>
        </is>
      </c>
      <c r="B175" t="inlineStr">
        <is>
          <t>Kota Adm. Jakarta Utara</t>
        </is>
      </c>
      <c r="C175" t="inlineStr">
        <is>
          <t>02145847811</t>
        </is>
      </c>
      <c r="D175" t="inlineStr">
        <is>
          <t>sampurnaputraabadi@gmail.com</t>
        </is>
      </c>
      <c r="E175" t="inlineStr">
        <is>
          <t>https://lpjk.pu.go.id/search-badan-usaha-detail/aExHNlRGcjhIbHpRZkZMaW00UEdEQT09</t>
        </is>
      </c>
      <c r="F175" t="n">
        <v>2</v>
      </c>
      <c r="G175" t="inlineStr">
        <is>
          <t>BG001, BG004</t>
        </is>
      </c>
      <c r="H175" t="inlineStr">
        <is>
          <t>1 Januari 2018</t>
        </is>
      </c>
      <c r="I175" s="2" t="n">
        <v>46227</v>
      </c>
      <c r="J175" t="inlineStr">
        <is>
          <t>Disetujui</t>
        </is>
      </c>
      <c r="K175" t="n">
        <v>30</v>
      </c>
      <c r="L175" t="inlineStr">
        <is>
          <t>24 Juli 2026</t>
        </is>
      </c>
      <c r="M175" t="inlineStr">
        <is>
          <t>Konstruksi Gedung Hunian, Konstruksi Gedung Perbelanjaan</t>
        </is>
      </c>
      <c r="N175" t="inlineStr">
        <is>
          <t>K</t>
        </is>
      </c>
      <c r="O175" t="inlineStr">
        <is>
          <t>20230620</t>
        </is>
      </c>
      <c r="P175" t="inlineStr">
        <is>
          <t>DKI Jakarta</t>
        </is>
      </c>
      <c r="Q175" t="inlineStr"/>
    </row>
    <row r="176">
      <c r="A176" t="inlineStr">
        <is>
          <t>SANDHI ARTHA MANDIRI</t>
        </is>
      </c>
      <c r="B176" t="inlineStr">
        <is>
          <t>Kota Surabaya</t>
        </is>
      </c>
      <c r="C176" t="inlineStr">
        <is>
          <t>08113081400</t>
        </is>
      </c>
      <c r="D176" t="inlineStr">
        <is>
          <t>ptsandhi.artha@gmail.com</t>
        </is>
      </c>
      <c r="E176" t="inlineStr">
        <is>
          <t>https://lpjk.pu.go.id/search-badan-usaha-detail/MTdNUU4wSVJaTldQVS9Wc1lnRTZnZz09</t>
        </is>
      </c>
      <c r="F176" t="n">
        <v>1</v>
      </c>
      <c r="G176" t="inlineStr">
        <is>
          <t>BS001</t>
        </is>
      </c>
      <c r="H176" t="inlineStr">
        <is>
          <t>14 Februari 2014</t>
        </is>
      </c>
      <c r="I176" s="2" t="n">
        <v>46227</v>
      </c>
      <c r="J176" t="inlineStr">
        <is>
          <t>Disetujui</t>
        </is>
      </c>
      <c r="K176" t="n">
        <v>30</v>
      </c>
      <c r="L176" t="inlineStr">
        <is>
          <t>24 Juli 2026</t>
        </is>
      </c>
      <c r="M176" t="inlineStr">
        <is>
          <t>Konstruksi Bangunan Sipil Jalan</t>
        </is>
      </c>
      <c r="N176" t="inlineStr">
        <is>
          <t>M</t>
        </is>
      </c>
      <c r="O176" t="inlineStr">
        <is>
          <t>20230214</t>
        </is>
      </c>
      <c r="P176" t="inlineStr">
        <is>
          <t>Jawa Timur</t>
        </is>
      </c>
      <c r="Q176" t="inlineStr"/>
    </row>
    <row r="177">
      <c r="A177" t="inlineStr">
        <is>
          <t>SANGKURIANG SAKTI</t>
        </is>
      </c>
      <c r="B177" t="inlineStr">
        <is>
          <t>Kab. Kapuas Hulu</t>
        </is>
      </c>
      <c r="C177" t="inlineStr">
        <is>
          <t>081255140394</t>
        </is>
      </c>
      <c r="D177" t="inlineStr">
        <is>
          <t>sangkuriangsakti50@gmail.com</t>
        </is>
      </c>
      <c r="E177" t="inlineStr">
        <is>
          <t>https://lpjk.pu.go.id/search-badan-usaha-detail/RHU0NmFOVWhGazlsZjZ4L2VKN3o5QT09</t>
        </is>
      </c>
      <c r="F177" t="n">
        <v>2</v>
      </c>
      <c r="G177" t="inlineStr">
        <is>
          <t>BS004</t>
        </is>
      </c>
      <c r="H177" t="inlineStr">
        <is>
          <t>7 Februari 2006</t>
        </is>
      </c>
      <c r="I177" s="2" t="n">
        <v>46227</v>
      </c>
      <c r="J177" t="inlineStr">
        <is>
          <t>Disetujui</t>
        </is>
      </c>
      <c r="K177" t="n">
        <v>30</v>
      </c>
      <c r="L177" t="inlineStr">
        <is>
          <t>24 Juli 2026</t>
        </is>
      </c>
      <c r="M177" t="inlineStr">
        <is>
          <t>Konstruksi Jaringan Irigasi dan Drainase</t>
        </is>
      </c>
      <c r="N177" t="inlineStr">
        <is>
          <t>K</t>
        </is>
      </c>
      <c r="O177" t="inlineStr">
        <is>
          <t>20230711</t>
        </is>
      </c>
      <c r="P177" t="inlineStr">
        <is>
          <t>Kalimantan Barat</t>
        </is>
      </c>
      <c r="Q177" t="inlineStr"/>
    </row>
    <row r="178">
      <c r="A178" t="inlineStr">
        <is>
          <t>SARANA ABADI RAYA</t>
        </is>
      </c>
      <c r="B178" t="inlineStr">
        <is>
          <t>Kab. Karawang</t>
        </is>
      </c>
      <c r="C178" t="inlineStr">
        <is>
          <t>02678630027</t>
        </is>
      </c>
      <c r="D178" t="inlineStr">
        <is>
          <t>info@sarana-abadi.co.id</t>
        </is>
      </c>
      <c r="E178" t="inlineStr">
        <is>
          <t>https://lpjk.pu.go.id/search-badan-usaha-detail/RHVtMzlLbjQ3MUxqRWROaUtHZFJidz09</t>
        </is>
      </c>
      <c r="F178" t="n">
        <v>1</v>
      </c>
      <c r="G178" t="inlineStr">
        <is>
          <t>BG003</t>
        </is>
      </c>
      <c r="H178" t="inlineStr">
        <is>
          <t>24 Januari 2008</t>
        </is>
      </c>
      <c r="I178" s="2" t="n">
        <v>46227</v>
      </c>
      <c r="J178" t="inlineStr">
        <is>
          <t>Disetujui</t>
        </is>
      </c>
      <c r="K178" t="n">
        <v>30</v>
      </c>
      <c r="L178" t="inlineStr">
        <is>
          <t>24 Juli 2026</t>
        </is>
      </c>
      <c r="M178" t="inlineStr">
        <is>
          <t>Konstruksi Gedung Industri</t>
        </is>
      </c>
      <c r="N178" t="inlineStr">
        <is>
          <t>M</t>
        </is>
      </c>
      <c r="O178" t="inlineStr">
        <is>
          <t>20230718</t>
        </is>
      </c>
      <c r="P178" t="inlineStr">
        <is>
          <t>Jawa Barat</t>
        </is>
      </c>
      <c r="Q178" t="inlineStr"/>
    </row>
    <row r="179">
      <c r="A179" t="inlineStr">
        <is>
          <t>SARI CIPTA</t>
        </is>
      </c>
      <c r="B179" t="inlineStr">
        <is>
          <t>Kab. Kubu Raya</t>
        </is>
      </c>
      <c r="C179" t="inlineStr">
        <is>
          <t>082158483333</t>
        </is>
      </c>
      <c r="D179" t="inlineStr">
        <is>
          <t>saricipta7@gmail.com</t>
        </is>
      </c>
      <c r="E179" t="inlineStr">
        <is>
          <t>https://lpjk.pu.go.id/search-badan-usaha-detail/QUFmODNQSjVjS3NDclNURDlKR05Qdz09</t>
        </is>
      </c>
      <c r="F179" t="n">
        <v>1</v>
      </c>
      <c r="G179" t="inlineStr">
        <is>
          <t>BS001</t>
        </is>
      </c>
      <c r="H179" t="inlineStr">
        <is>
          <t>15 Desember 2011</t>
        </is>
      </c>
      <c r="I179" s="2" t="n">
        <v>46227</v>
      </c>
      <c r="J179" t="inlineStr">
        <is>
          <t>Disetujui</t>
        </is>
      </c>
      <c r="K179" t="n">
        <v>30</v>
      </c>
      <c r="L179" t="inlineStr">
        <is>
          <t>24 Juli 2026</t>
        </is>
      </c>
      <c r="M179" t="inlineStr">
        <is>
          <t>Konstruksi Bangunan Sipil Jalan</t>
        </is>
      </c>
      <c r="N179" t="inlineStr">
        <is>
          <t>K</t>
        </is>
      </c>
      <c r="O179" t="inlineStr">
        <is>
          <t>20230725</t>
        </is>
      </c>
      <c r="P179" t="inlineStr">
        <is>
          <t>Kalimantan Barat</t>
        </is>
      </c>
      <c r="Q179" t="inlineStr"/>
    </row>
    <row r="180">
      <c r="A180" t="inlineStr">
        <is>
          <t>SEJAHTERA BERSAMA MEGA RAYA</t>
        </is>
      </c>
      <c r="B180" t="inlineStr">
        <is>
          <t>Kab. Nganjuk</t>
        </is>
      </c>
      <c r="C180" t="inlineStr">
        <is>
          <t>081289929270</t>
        </is>
      </c>
      <c r="D180" t="inlineStr">
        <is>
          <t>sbmrcakep100@gmail.com</t>
        </is>
      </c>
      <c r="E180" t="inlineStr">
        <is>
          <t>https://lpjk.pu.go.id/search-badan-usaha-detail/c0x3R0ZyRzk2bWVpeGYyNW1pSHU4dz09</t>
        </is>
      </c>
      <c r="F180" t="n">
        <v>1</v>
      </c>
      <c r="G180" t="inlineStr">
        <is>
          <t>BS001</t>
        </is>
      </c>
      <c r="H180" t="inlineStr">
        <is>
          <t>11 Februari 2020</t>
        </is>
      </c>
      <c r="I180" s="2" t="n">
        <v>46227</v>
      </c>
      <c r="J180" t="inlineStr">
        <is>
          <t>Disetujui</t>
        </is>
      </c>
      <c r="K180" t="n">
        <v>30</v>
      </c>
      <c r="L180" t="inlineStr">
        <is>
          <t>24 Juli 2026</t>
        </is>
      </c>
      <c r="M180" t="inlineStr">
        <is>
          <t>Konstruksi Bangunan Sipil Jalan</t>
        </is>
      </c>
      <c r="N180" t="inlineStr">
        <is>
          <t>K</t>
        </is>
      </c>
      <c r="O180" t="inlineStr">
        <is>
          <t>20230715</t>
        </is>
      </c>
      <c r="P180" t="inlineStr">
        <is>
          <t>Jawa Timur</t>
        </is>
      </c>
      <c r="Q180" t="inlineStr"/>
    </row>
    <row r="181">
      <c r="A181" t="inlineStr">
        <is>
          <t>SEKAR KEDATON</t>
        </is>
      </c>
      <c r="B181" t="inlineStr">
        <is>
          <t>Kab. Lombok Tengah</t>
        </is>
      </c>
      <c r="C181" t="inlineStr">
        <is>
          <t>081917179640</t>
        </is>
      </c>
      <c r="D181" t="inlineStr">
        <is>
          <t>kedaton337@gmail.com</t>
        </is>
      </c>
      <c r="E181" t="inlineStr">
        <is>
          <t>https://lpjk.pu.go.id/search-badan-usaha-detail/MDNPVFh4YjJyZmhhdTNSTnk3S0NSQT09</t>
        </is>
      </c>
      <c r="F181" t="n">
        <v>4</v>
      </c>
      <c r="G181" t="inlineStr">
        <is>
          <t>BS001, BS004</t>
        </is>
      </c>
      <c r="H181" t="inlineStr">
        <is>
          <t>5 Januari 2016</t>
        </is>
      </c>
      <c r="I181" s="2" t="n">
        <v>46227</v>
      </c>
      <c r="J181" t="inlineStr">
        <is>
          <t>Disetujui</t>
        </is>
      </c>
      <c r="K181" t="n">
        <v>30</v>
      </c>
      <c r="L181" t="inlineStr">
        <is>
          <t>24 Juli 2026</t>
        </is>
      </c>
      <c r="M181" t="inlineStr">
        <is>
          <t>Konstruksi Bangunan Sipil Jalan, Konstruksi Jaringan Irigasi dan Drainase</t>
        </is>
      </c>
      <c r="N181" t="inlineStr">
        <is>
          <t>K</t>
        </is>
      </c>
      <c r="O181" t="inlineStr">
        <is>
          <t>20230720</t>
        </is>
      </c>
      <c r="P181" t="inlineStr">
        <is>
          <t>Nusa Tenggara Barat</t>
        </is>
      </c>
      <c r="Q181" t="inlineStr"/>
    </row>
    <row r="182">
      <c r="A182" t="inlineStr">
        <is>
          <t>SEMBILAN - SEMBILAN</t>
        </is>
      </c>
      <c r="B182" t="inlineStr">
        <is>
          <t>Kab. Pekalongan</t>
        </is>
      </c>
      <c r="C182" t="inlineStr">
        <is>
          <t>081329731008</t>
        </is>
      </c>
      <c r="D182" t="inlineStr">
        <is>
          <t>sembilan2.cv@gmail.com</t>
        </is>
      </c>
      <c r="E182" t="inlineStr">
        <is>
          <t>https://lpjk.pu.go.id/search-badan-usaha-detail/UE9EY1RjNmlPWkdwQmg2bGpzd0RvQT09</t>
        </is>
      </c>
      <c r="F182" t="n">
        <v>1</v>
      </c>
      <c r="G182" t="inlineStr">
        <is>
          <t>BG009</t>
        </is>
      </c>
      <c r="H182" t="inlineStr">
        <is>
          <t>9 September 2009</t>
        </is>
      </c>
      <c r="I182" s="2" t="n">
        <v>46227</v>
      </c>
      <c r="J182" t="inlineStr">
        <is>
          <t>Disetujui</t>
        </is>
      </c>
      <c r="K182" t="n">
        <v>30</v>
      </c>
      <c r="L182" t="inlineStr">
        <is>
          <t>24 Juli 2026</t>
        </is>
      </c>
      <c r="M182" t="inlineStr">
        <is>
          <t>Konstruksi Gedung Lainnya</t>
        </is>
      </c>
      <c r="N182" t="inlineStr">
        <is>
          <t>K</t>
        </is>
      </c>
      <c r="O182" t="inlineStr">
        <is>
          <t>20230721</t>
        </is>
      </c>
      <c r="P182" t="inlineStr">
        <is>
          <t>Jawa Tengah</t>
        </is>
      </c>
      <c r="Q182" t="inlineStr"/>
    </row>
    <row r="183">
      <c r="A183" t="inlineStr">
        <is>
          <t>SENTRAL INDAH PERDANA</t>
        </is>
      </c>
      <c r="B183" t="inlineStr">
        <is>
          <t>Kota Semarang</t>
        </is>
      </c>
      <c r="C183" t="inlineStr">
        <is>
          <t>087831111010</t>
        </is>
      </c>
      <c r="D183" t="inlineStr">
        <is>
          <t>sentralindahperdana.adm@gmail.com</t>
        </is>
      </c>
      <c r="E183" t="inlineStr">
        <is>
          <t>https://lpjk.pu.go.id/search-badan-usaha-detail/a2JucmR4bDlnaTVJOGc1OTA0S3pHUT09</t>
        </is>
      </c>
      <c r="F183" t="n">
        <v>1</v>
      </c>
      <c r="G183" t="inlineStr">
        <is>
          <t>BG001</t>
        </is>
      </c>
      <c r="H183" t="inlineStr">
        <is>
          <t>4 Oktober 2021</t>
        </is>
      </c>
      <c r="I183" s="2" t="n">
        <v>46227</v>
      </c>
      <c r="J183" t="inlineStr">
        <is>
          <t>Disetujui</t>
        </is>
      </c>
      <c r="K183" t="n">
        <v>30</v>
      </c>
      <c r="L183" t="inlineStr">
        <is>
          <t>24 Juli 2026</t>
        </is>
      </c>
      <c r="M183" t="inlineStr">
        <is>
          <t>Konstruksi Gedung Hunian</t>
        </is>
      </c>
      <c r="N183" t="inlineStr">
        <is>
          <t>K</t>
        </is>
      </c>
      <c r="O183" t="inlineStr">
        <is>
          <t>20230725</t>
        </is>
      </c>
      <c r="P183" t="inlineStr">
        <is>
          <t>Jawa Tengah</t>
        </is>
      </c>
      <c r="Q183" t="inlineStr"/>
    </row>
    <row r="184">
      <c r="A184" t="inlineStr">
        <is>
          <t>SINAR PRIMA</t>
        </is>
      </c>
      <c r="B184" t="inlineStr">
        <is>
          <t>Kab. Garut</t>
        </is>
      </c>
      <c r="C184" t="inlineStr">
        <is>
          <t>085315740700</t>
        </is>
      </c>
      <c r="D184" t="inlineStr">
        <is>
          <t>Sinarprima06@gmail.com</t>
        </is>
      </c>
      <c r="E184" t="inlineStr">
        <is>
          <t>https://lpjk.pu.go.id/search-badan-usaha-detail/YlBlZ2lscytPOVV1bDVOUndvNHBPZz09</t>
        </is>
      </c>
      <c r="F184" t="n">
        <v>2</v>
      </c>
      <c r="G184" t="inlineStr">
        <is>
          <t>BS002, BS004</t>
        </is>
      </c>
      <c r="H184" t="inlineStr">
        <is>
          <t>20 Februari 2020</t>
        </is>
      </c>
      <c r="I184" s="2" t="n">
        <v>46227</v>
      </c>
      <c r="J184" t="inlineStr">
        <is>
          <t>Disetujui</t>
        </is>
      </c>
      <c r="K184" t="n">
        <v>30</v>
      </c>
      <c r="L184" t="inlineStr">
        <is>
          <t>24 Juli 2026</t>
        </is>
      </c>
      <c r="M184" t="inlineStr">
        <is>
          <t>Bangunan Sipil Jembatan, Jalan Layang, Fly Over, dan Underpass, Konstruksi Jaringan Irigasi dan Drainase</t>
        </is>
      </c>
      <c r="N184" t="inlineStr">
        <is>
          <t>K</t>
        </is>
      </c>
      <c r="O184" t="inlineStr">
        <is>
          <t>20230722</t>
        </is>
      </c>
      <c r="P184" t="inlineStr">
        <is>
          <t>Jawa Barat</t>
        </is>
      </c>
      <c r="Q184" t="inlineStr"/>
    </row>
    <row r="185">
      <c r="A185" t="inlineStr">
        <is>
          <t>SINAR SETIA</t>
        </is>
      </c>
      <c r="B185" t="inlineStr">
        <is>
          <t>Kab. Jombang</t>
        </is>
      </c>
      <c r="C185" t="inlineStr">
        <is>
          <t>08125298091</t>
        </is>
      </c>
      <c r="D185" t="inlineStr">
        <is>
          <t>cvsinarsetiajombang@yahoo.com</t>
        </is>
      </c>
      <c r="E185" t="inlineStr">
        <is>
          <t>https://lpjk.pu.go.id/search-badan-usaha-detail/Nk5pb0lYWWZPcTBJTDg2Q2ttYzNDUT09</t>
        </is>
      </c>
      <c r="F185" t="n">
        <v>1</v>
      </c>
      <c r="G185" t="inlineStr">
        <is>
          <t>BS004</t>
        </is>
      </c>
      <c r="H185" t="inlineStr">
        <is>
          <t>23 Mei 2013</t>
        </is>
      </c>
      <c r="I185" s="2" t="n">
        <v>46227</v>
      </c>
      <c r="J185" t="inlineStr">
        <is>
          <t>Disetujui</t>
        </is>
      </c>
      <c r="K185" t="n">
        <v>30</v>
      </c>
      <c r="L185" t="inlineStr">
        <is>
          <t>24 Juli 2026</t>
        </is>
      </c>
      <c r="M185" t="inlineStr">
        <is>
          <t>Konstruksi Jaringan Irigasi dan Drainase</t>
        </is>
      </c>
      <c r="N185" t="inlineStr">
        <is>
          <t>K</t>
        </is>
      </c>
      <c r="O185" t="inlineStr">
        <is>
          <t>20230711</t>
        </is>
      </c>
      <c r="P185" t="inlineStr">
        <is>
          <t>Jawa Timur</t>
        </is>
      </c>
      <c r="Q185" t="inlineStr"/>
    </row>
    <row r="186">
      <c r="A186" t="inlineStr">
        <is>
          <t>SOLUDUK RAYA MEMBANGUN</t>
        </is>
      </c>
      <c r="B186" t="inlineStr">
        <is>
          <t>Kab. Tojo Una Una</t>
        </is>
      </c>
      <c r="C186" t="inlineStr">
        <is>
          <t>085241030615</t>
        </is>
      </c>
      <c r="D186" t="inlineStr">
        <is>
          <t>membangunrayasoluduk123@gmail.com</t>
        </is>
      </c>
      <c r="E186" t="inlineStr">
        <is>
          <t>https://lpjk.pu.go.id/search-badan-usaha-detail/Z3NNMy9XblJBSGtON3dJWERxanNzZz09</t>
        </is>
      </c>
      <c r="F186" t="n">
        <v>1</v>
      </c>
      <c r="G186" t="inlineStr">
        <is>
          <t>BG002</t>
        </is>
      </c>
      <c r="H186" t="inlineStr">
        <is>
          <t>8 Januari 2018</t>
        </is>
      </c>
      <c r="I186" s="2" t="n">
        <v>46227</v>
      </c>
      <c r="J186" t="inlineStr">
        <is>
          <t>Pencabutan</t>
        </is>
      </c>
      <c r="K186" t="n">
        <v>30</v>
      </c>
      <c r="L186" t="inlineStr">
        <is>
          <t>24 Juli 2026</t>
        </is>
      </c>
      <c r="M186" t="inlineStr">
        <is>
          <t>Konstruksi Gedung Perkantoran</t>
        </is>
      </c>
      <c r="N186" t="inlineStr">
        <is>
          <t>K</t>
        </is>
      </c>
      <c r="O186" t="inlineStr">
        <is>
          <t>20230721</t>
        </is>
      </c>
      <c r="P186" t="inlineStr">
        <is>
          <t>Sulawesi Tengah</t>
        </is>
      </c>
      <c r="Q186" t="inlineStr"/>
    </row>
    <row r="187">
      <c r="A187" t="inlineStr">
        <is>
          <t>SUMBER USAHA JAYA</t>
        </is>
      </c>
      <c r="B187" t="inlineStr">
        <is>
          <t>Kota Ternate</t>
        </is>
      </c>
      <c r="C187" t="inlineStr">
        <is>
          <t>085240559494</t>
        </is>
      </c>
      <c r="D187" t="inlineStr">
        <is>
          <t>sherlysusianymantouw01@gmail.com</t>
        </is>
      </c>
      <c r="E187" t="inlineStr">
        <is>
          <t>https://lpjk.pu.go.id/search-badan-usaha-detail/aXphZmZGSWl6Q0VNcjM4YWRYZ2tqdz09</t>
        </is>
      </c>
      <c r="F187" t="n">
        <v>2</v>
      </c>
      <c r="G187" t="inlineStr">
        <is>
          <t>BG005, BG009</t>
        </is>
      </c>
      <c r="H187" t="inlineStr">
        <is>
          <t>15 Agustus 2001</t>
        </is>
      </c>
      <c r="I187" s="2" t="n">
        <v>46227</v>
      </c>
      <c r="J187" t="inlineStr">
        <is>
          <t>Disetujui</t>
        </is>
      </c>
      <c r="K187" t="n">
        <v>30</v>
      </c>
      <c r="L187" t="inlineStr">
        <is>
          <t>24 Juli 2026</t>
        </is>
      </c>
      <c r="M187" t="inlineStr">
        <is>
          <t>Konstruksi Gedung Kesehatan, Konstruksi Gedung Lainnya</t>
        </is>
      </c>
      <c r="N187" t="inlineStr">
        <is>
          <t>K</t>
        </is>
      </c>
      <c r="O187" t="inlineStr">
        <is>
          <t>20230713</t>
        </is>
      </c>
      <c r="P187" t="inlineStr">
        <is>
          <t>Maluku Utara</t>
        </is>
      </c>
      <c r="Q187" t="inlineStr"/>
    </row>
    <row r="188">
      <c r="A188" t="inlineStr">
        <is>
          <t>SURYA DIRJA</t>
        </is>
      </c>
      <c r="B188" t="inlineStr">
        <is>
          <t>Kota Kediri</t>
        </is>
      </c>
      <c r="C188" t="inlineStr">
        <is>
          <t>081335108202</t>
        </is>
      </c>
      <c r="D188" t="inlineStr">
        <is>
          <t>cv_suryadirja@yahoo.com</t>
        </is>
      </c>
      <c r="E188" t="inlineStr">
        <is>
          <t>https://lpjk.pu.go.id/search-badan-usaha-detail/ODVLM2NjQllqRlNuWDZnejA2MjYvQT09</t>
        </is>
      </c>
      <c r="F188" t="n">
        <v>1</v>
      </c>
      <c r="G188" t="inlineStr">
        <is>
          <t>BG009</t>
        </is>
      </c>
      <c r="H188" t="inlineStr">
        <is>
          <t>11 Januari 1993</t>
        </is>
      </c>
      <c r="I188" s="2" t="n">
        <v>46227</v>
      </c>
      <c r="J188" t="inlineStr">
        <is>
          <t>Disetujui</t>
        </is>
      </c>
      <c r="K188" t="n">
        <v>30</v>
      </c>
      <c r="L188" t="inlineStr">
        <is>
          <t>24 Juli 2026</t>
        </is>
      </c>
      <c r="M188" t="inlineStr">
        <is>
          <t>Konstruksi Gedung Lainnya</t>
        </is>
      </c>
      <c r="N188" t="inlineStr">
        <is>
          <t>K</t>
        </is>
      </c>
      <c r="O188" t="inlineStr">
        <is>
          <t>20230703</t>
        </is>
      </c>
      <c r="P188" t="inlineStr">
        <is>
          <t>Jawa Timur</t>
        </is>
      </c>
      <c r="Q188" t="inlineStr"/>
    </row>
    <row r="189">
      <c r="A189" t="inlineStr">
        <is>
          <t>SURYA INDAH</t>
        </is>
      </c>
      <c r="B189" t="inlineStr">
        <is>
          <t>Kab. Mempawah</t>
        </is>
      </c>
      <c r="C189" t="inlineStr">
        <is>
          <t>08125761108</t>
        </is>
      </c>
      <c r="D189" t="inlineStr">
        <is>
          <t>suryaindah920@gmail.com</t>
        </is>
      </c>
      <c r="E189" t="inlineStr">
        <is>
          <t>https://lpjk.pu.go.id/search-badan-usaha-detail/MDhKRGFjYkxyN1VCVEdwcVFnaUUxQT09</t>
        </is>
      </c>
      <c r="F189" t="n">
        <v>5</v>
      </c>
      <c r="G189" t="inlineStr">
        <is>
          <t>BG001, BG002, BG005, BG006, BG009</t>
        </is>
      </c>
      <c r="H189" t="inlineStr">
        <is>
          <t>19 Agustus 1992</t>
        </is>
      </c>
      <c r="I189" s="2" t="n">
        <v>46227</v>
      </c>
      <c r="J189" t="inlineStr">
        <is>
          <t>Disetujui</t>
        </is>
      </c>
      <c r="K189" t="n">
        <v>30</v>
      </c>
      <c r="L189" t="inlineStr">
        <is>
          <t>24 Juli 2026</t>
        </is>
      </c>
      <c r="M189" t="inlineStr">
        <is>
          <t>Konstruksi Gedung Hunian, Konstruksi Gedung Kesehatan, Konstruksi Gedung Lainnya, Konstruksi Gedung Pendidikan, Konstruksi Gedung Perkantoran</t>
        </is>
      </c>
      <c r="N189" t="inlineStr">
        <is>
          <t>K</t>
        </is>
      </c>
      <c r="O189" t="inlineStr">
        <is>
          <t>20230711, 20230717</t>
        </is>
      </c>
      <c r="P189" t="inlineStr">
        <is>
          <t>Kalimantan Barat</t>
        </is>
      </c>
      <c r="Q189" t="inlineStr"/>
    </row>
    <row r="190">
      <c r="A190" t="inlineStr">
        <is>
          <t>SURYA KENCANA JF</t>
        </is>
      </c>
      <c r="B190" t="inlineStr">
        <is>
          <t>Kota Jambi</t>
        </is>
      </c>
      <c r="C190" t="inlineStr">
        <is>
          <t>081274527878</t>
        </is>
      </c>
      <c r="D190" t="inlineStr">
        <is>
          <t>suryakencanajambi@gmail.com</t>
        </is>
      </c>
      <c r="E190" t="inlineStr">
        <is>
          <t>https://lpjk.pu.go.id/search-badan-usaha-detail/clBTWFRHalRzdldUM3dMTVIxMit4UT09</t>
        </is>
      </c>
      <c r="F190" t="n">
        <v>4</v>
      </c>
      <c r="G190" t="inlineStr">
        <is>
          <t>BG002, BG005, BG006, BG009</t>
        </is>
      </c>
      <c r="H190" t="inlineStr">
        <is>
          <t>4 Juni 2007</t>
        </is>
      </c>
      <c r="I190" s="2" t="n">
        <v>46227</v>
      </c>
      <c r="J190" t="inlineStr">
        <is>
          <t>Disetujui</t>
        </is>
      </c>
      <c r="K190" t="n">
        <v>30</v>
      </c>
      <c r="L190" t="inlineStr">
        <is>
          <t>24 Juli 2026</t>
        </is>
      </c>
      <c r="M190" t="inlineStr">
        <is>
          <t>Konstruksi Gedung Kesehatan, Konstruksi Gedung Lainnya, Konstruksi Gedung Pendidikan, Konstruksi Gedung Perkantoran</t>
        </is>
      </c>
      <c r="N190" t="inlineStr">
        <is>
          <t>K</t>
        </is>
      </c>
      <c r="O190" t="inlineStr">
        <is>
          <t>20230717, 20230724</t>
        </is>
      </c>
      <c r="P190" t="inlineStr">
        <is>
          <t>Jambi</t>
        </is>
      </c>
      <c r="Q190" t="inlineStr"/>
    </row>
    <row r="191">
      <c r="A191" t="inlineStr">
        <is>
          <t>SURYA MELATI MANDIRI</t>
        </is>
      </c>
      <c r="B191" t="inlineStr">
        <is>
          <t>Kab. Hulu Sungai Tengah</t>
        </is>
      </c>
      <c r="C191" t="inlineStr">
        <is>
          <t>081346319885</t>
        </is>
      </c>
      <c r="D191" t="inlineStr">
        <is>
          <t>ptsuryamelatimandiri18@gmail.com</t>
        </is>
      </c>
      <c r="E191" t="inlineStr">
        <is>
          <t>https://lpjk.pu.go.id/search-badan-usaha-detail/L1hYZmw4dGVtN25wcHd2NDdYdWRndz09</t>
        </is>
      </c>
      <c r="F191" t="n">
        <v>2</v>
      </c>
      <c r="G191" t="inlineStr">
        <is>
          <t>BG002, BS002</t>
        </is>
      </c>
      <c r="H191" t="inlineStr">
        <is>
          <t>22 Juni 2012</t>
        </is>
      </c>
      <c r="I191" s="2" t="n">
        <v>46227</v>
      </c>
      <c r="J191" t="inlineStr">
        <is>
          <t>Disetujui</t>
        </is>
      </c>
      <c r="K191" t="n">
        <v>30</v>
      </c>
      <c r="L191" t="inlineStr">
        <is>
          <t>24 Juli 2026</t>
        </is>
      </c>
      <c r="M191" t="inlineStr">
        <is>
          <t>Bangunan Sipil Jembatan, Jalan Layang, Fly Over, dan Underpass, Konstruksi Gedung Perkantoran</t>
        </is>
      </c>
      <c r="N191" t="inlineStr">
        <is>
          <t>K</t>
        </is>
      </c>
      <c r="O191" t="inlineStr">
        <is>
          <t>20230721</t>
        </is>
      </c>
      <c r="P191" t="inlineStr">
        <is>
          <t>Kalimantan Selatan</t>
        </is>
      </c>
      <c r="Q191" t="inlineStr"/>
    </row>
    <row r="192">
      <c r="A192" t="inlineStr">
        <is>
          <t>TEGAR JAYA</t>
        </is>
      </c>
      <c r="B192" t="inlineStr">
        <is>
          <t>Kota Probolinggo</t>
        </is>
      </c>
      <c r="C192" t="inlineStr">
        <is>
          <t>082330108329</t>
        </is>
      </c>
      <c r="D192" t="inlineStr">
        <is>
          <t>tegarjayaprob@gmail.com</t>
        </is>
      </c>
      <c r="E192" t="inlineStr">
        <is>
          <t>https://lpjk.pu.go.id/search-badan-usaha-detail/a2lQQi9ocHNoQWQxZW00RW9QNHJpZkM1ODhIWm1nUU85SndZZy9BVExEZz0</t>
        </is>
      </c>
      <c r="F192" t="n">
        <v>1</v>
      </c>
      <c r="G192" t="inlineStr">
        <is>
          <t>BG001</t>
        </is>
      </c>
      <c r="H192" t="inlineStr">
        <is>
          <t>20 Maret 2024</t>
        </is>
      </c>
      <c r="I192" s="2" t="n">
        <v>46227</v>
      </c>
      <c r="J192" t="inlineStr">
        <is>
          <t>Disetujui</t>
        </is>
      </c>
      <c r="K192" t="n">
        <v>30</v>
      </c>
      <c r="L192" t="inlineStr">
        <is>
          <t>24 Juli 2026</t>
        </is>
      </c>
      <c r="M192" t="inlineStr">
        <is>
          <t>Konstruksi Gedung Hunian</t>
        </is>
      </c>
      <c r="N192" t="inlineStr">
        <is>
          <t>K</t>
        </is>
      </c>
      <c r="O192" t="inlineStr">
        <is>
          <t>20230719</t>
        </is>
      </c>
      <c r="P192" t="inlineStr">
        <is>
          <t>Jawa Timur</t>
        </is>
      </c>
      <c r="Q192" t="inlineStr"/>
    </row>
    <row r="193">
      <c r="A193" t="inlineStr">
        <is>
          <t>TIMAS SUPLINDO</t>
        </is>
      </c>
      <c r="B193" t="inlineStr">
        <is>
          <t>Kota Adm. Jakarta Pusat</t>
        </is>
      </c>
      <c r="C193" t="inlineStr">
        <is>
          <t>0213522828</t>
        </is>
      </c>
      <c r="D193" t="inlineStr">
        <is>
          <t>hrga@timas.com</t>
        </is>
      </c>
      <c r="E193" t="inlineStr">
        <is>
          <t>https://lpjk.pu.go.id/search-badan-usaha-detail/T3VYVXVLSzd5WkRCd3M2RDRQUnp1UT09</t>
        </is>
      </c>
      <c r="F193" t="n">
        <v>1</v>
      </c>
      <c r="G193" t="inlineStr">
        <is>
          <t>IN001</t>
        </is>
      </c>
      <c r="H193" t="inlineStr">
        <is>
          <t>21 November 1989</t>
        </is>
      </c>
      <c r="I193" s="2" t="n">
        <v>46227</v>
      </c>
      <c r="J193" t="inlineStr">
        <is>
          <t>Disetujui</t>
        </is>
      </c>
      <c r="K193" t="n">
        <v>30</v>
      </c>
      <c r="L193" t="inlineStr">
        <is>
          <t>24 Juli 2026</t>
        </is>
      </c>
      <c r="M193" t="inlineStr">
        <is>
          <t>Instalasi Mekanikal</t>
        </is>
      </c>
      <c r="N193" t="inlineStr">
        <is>
          <t>Spesialis</t>
        </is>
      </c>
      <c r="O193" t="inlineStr">
        <is>
          <t>20230710</t>
        </is>
      </c>
      <c r="P193" t="inlineStr">
        <is>
          <t>DKI Jakarta</t>
        </is>
      </c>
      <c r="Q193" t="inlineStr"/>
    </row>
    <row r="194">
      <c r="A194" t="inlineStr">
        <is>
          <t>TORATAN PAPUA</t>
        </is>
      </c>
      <c r="B194" t="inlineStr">
        <is>
          <t>Kota Jayapura</t>
        </is>
      </c>
      <c r="C194" t="inlineStr">
        <is>
          <t>08114827145</t>
        </is>
      </c>
      <c r="D194" t="inlineStr">
        <is>
          <t>cv.toratan@gmail.com</t>
        </is>
      </c>
      <c r="E194" t="inlineStr">
        <is>
          <t>https://lpjk.pu.go.id/search-badan-usaha-detail/T3B2eEUwUmtlSXptdnpoUFpXUkpidz09</t>
        </is>
      </c>
      <c r="F194" t="n">
        <v>1</v>
      </c>
      <c r="G194" t="inlineStr">
        <is>
          <t>BS001</t>
        </is>
      </c>
      <c r="H194" t="inlineStr">
        <is>
          <t>4 April 2021</t>
        </is>
      </c>
      <c r="I194" s="2" t="n">
        <v>46227</v>
      </c>
      <c r="J194" t="inlineStr">
        <is>
          <t>Pencabutan</t>
        </is>
      </c>
      <c r="K194" t="n">
        <v>30</v>
      </c>
      <c r="L194" t="inlineStr">
        <is>
          <t>24 Juli 2026</t>
        </is>
      </c>
      <c r="M194" t="inlineStr">
        <is>
          <t>Konstruksi Bangunan Sipil Jalan</t>
        </is>
      </c>
      <c r="N194" t="inlineStr">
        <is>
          <t>K</t>
        </is>
      </c>
      <c r="O194" t="inlineStr">
        <is>
          <t>20230721</t>
        </is>
      </c>
      <c r="P194" t="inlineStr">
        <is>
          <t>Papua</t>
        </is>
      </c>
      <c r="Q194" t="inlineStr"/>
    </row>
    <row r="195">
      <c r="A195" t="inlineStr">
        <is>
          <t>TUJUH LANGIT UTARA</t>
        </is>
      </c>
      <c r="B195" t="inlineStr">
        <is>
          <t>Kab. Tanah Bumbu</t>
        </is>
      </c>
      <c r="C195" t="inlineStr">
        <is>
          <t>085251325002</t>
        </is>
      </c>
      <c r="D195" t="inlineStr">
        <is>
          <t>cv.7langit.utara@gmail.com</t>
        </is>
      </c>
      <c r="E195" t="inlineStr">
        <is>
          <t>https://lpjk.pu.go.id/search-badan-usaha-detail/MTcwMkJSMXdPd2V2ZWFOS2tVMmNQQT09</t>
        </is>
      </c>
      <c r="F195" t="n">
        <v>2</v>
      </c>
      <c r="G195" t="inlineStr">
        <is>
          <t>BG006, BS001</t>
        </is>
      </c>
      <c r="H195" t="inlineStr">
        <is>
          <t>25 November 2019</t>
        </is>
      </c>
      <c r="I195" s="2" t="n">
        <v>46227</v>
      </c>
      <c r="J195" t="inlineStr">
        <is>
          <t>Disetujui</t>
        </is>
      </c>
      <c r="K195" t="n">
        <v>30</v>
      </c>
      <c r="L195" t="inlineStr">
        <is>
          <t>24 Juli 2026</t>
        </is>
      </c>
      <c r="M195" t="inlineStr">
        <is>
          <t>Konstruksi Bangunan Sipil Jalan, Konstruksi Gedung Pendidikan</t>
        </is>
      </c>
      <c r="N195" t="inlineStr">
        <is>
          <t>K</t>
        </is>
      </c>
      <c r="O195" t="inlineStr">
        <is>
          <t>20230724</t>
        </is>
      </c>
      <c r="P195" t="inlineStr">
        <is>
          <t>Kalimantan Selatan</t>
        </is>
      </c>
      <c r="Q195" t="inlineStr"/>
    </row>
    <row r="196">
      <c r="A196" t="inlineStr">
        <is>
          <t>USAHA TANI</t>
        </is>
      </c>
      <c r="B196" t="inlineStr">
        <is>
          <t>Kab. Cilacap</t>
        </is>
      </c>
      <c r="C196" t="inlineStr">
        <is>
          <t>0282526559</t>
        </is>
      </c>
      <c r="D196" t="inlineStr">
        <is>
          <t>cvusahatani@yahoo.com</t>
        </is>
      </c>
      <c r="E196" t="inlineStr">
        <is>
          <t>https://lpjk.pu.go.id/search-badan-usaha-detail/aWYreU8xcFJLRCtIbFkwaVVxdXBzdz09</t>
        </is>
      </c>
      <c r="F196" t="n">
        <v>5</v>
      </c>
      <c r="G196" t="inlineStr">
        <is>
          <t>BG002, BG004, BG005, BG006, BG009</t>
        </is>
      </c>
      <c r="H196" t="inlineStr">
        <is>
          <t>16 Desember 1990</t>
        </is>
      </c>
      <c r="I196" s="2" t="n">
        <v>46227</v>
      </c>
      <c r="J196" t="inlineStr">
        <is>
          <t>Disetujui</t>
        </is>
      </c>
      <c r="K196" t="n">
        <v>30</v>
      </c>
      <c r="L196" t="inlineStr">
        <is>
          <t>24 Juli 2026</t>
        </is>
      </c>
      <c r="M196" t="inlineStr">
        <is>
          <t>Konstruksi Gedung Kesehatan, Konstruksi Gedung Lainnya, Konstruksi Gedung Pendidikan, Konstruksi Gedung Perbelanjaan, Konstruksi Gedung Perkantoran</t>
        </is>
      </c>
      <c r="N196" t="inlineStr">
        <is>
          <t>K</t>
        </is>
      </c>
      <c r="O196" t="inlineStr">
        <is>
          <t>20230720</t>
        </is>
      </c>
      <c r="P196" t="inlineStr">
        <is>
          <t>Jawa Tengah</t>
        </is>
      </c>
      <c r="Q196" t="inlineStr"/>
    </row>
    <row r="197">
      <c r="A197" t="inlineStr">
        <is>
          <t>VIRA KARYA SAKTI</t>
        </is>
      </c>
      <c r="B197" t="inlineStr">
        <is>
          <t>Kab. Jember</t>
        </is>
      </c>
      <c r="C197" t="inlineStr">
        <is>
          <t>081233457351</t>
        </is>
      </c>
      <c r="D197" t="inlineStr">
        <is>
          <t>virakaryasakti@gmail.com</t>
        </is>
      </c>
      <c r="E197" t="inlineStr">
        <is>
          <t>https://lpjk.pu.go.id/search-badan-usaha-detail/c1BWaVRJK1o5bk9QZmF0dHlrMGx0UT09</t>
        </is>
      </c>
      <c r="F197" t="n">
        <v>4</v>
      </c>
      <c r="G197" t="inlineStr">
        <is>
          <t>BG002, BG004, BG006, BG009</t>
        </is>
      </c>
      <c r="H197" t="inlineStr">
        <is>
          <t>6 Januari 2012</t>
        </is>
      </c>
      <c r="I197" s="2" t="n">
        <v>46227</v>
      </c>
      <c r="J197" t="inlineStr">
        <is>
          <t>Disetujui</t>
        </is>
      </c>
      <c r="K197" t="n">
        <v>30</v>
      </c>
      <c r="L197" t="inlineStr">
        <is>
          <t>24 Juli 2026</t>
        </is>
      </c>
      <c r="M197" t="inlineStr">
        <is>
          <t>Konstruksi Gedung Lainnya, Konstruksi Gedung Pendidikan, Konstruksi Gedung Perbelanjaan, Konstruksi Gedung Perkantoran</t>
        </is>
      </c>
      <c r="N197" t="inlineStr">
        <is>
          <t>K</t>
        </is>
      </c>
      <c r="O197" t="inlineStr">
        <is>
          <t>20230718</t>
        </is>
      </c>
      <c r="P197" t="inlineStr">
        <is>
          <t>Jawa Timur</t>
        </is>
      </c>
      <c r="Q197" t="inlineStr"/>
    </row>
    <row r="198">
      <c r="A198" t="inlineStr">
        <is>
          <t>WAHANA MAKMUR KARYA</t>
        </is>
      </c>
      <c r="B198" t="inlineStr">
        <is>
          <t>Kab. Grobogan</t>
        </is>
      </c>
      <c r="C198" t="inlineStr">
        <is>
          <t>085641823185</t>
        </is>
      </c>
      <c r="D198" t="inlineStr">
        <is>
          <t>ariwahono85@gmail.com</t>
        </is>
      </c>
      <c r="E198" t="inlineStr">
        <is>
          <t>https://lpjk.pu.go.id/search-badan-usaha-detail/dzlBbWt6c3BIT3JFUUxqdEh0bDc4UT09</t>
        </is>
      </c>
      <c r="F198" t="n">
        <v>3</v>
      </c>
      <c r="G198" t="inlineStr">
        <is>
          <t>BG005, BS001, BS004</t>
        </is>
      </c>
      <c r="H198" t="inlineStr">
        <is>
          <t>3 Juli 2019</t>
        </is>
      </c>
      <c r="I198" s="2" t="n">
        <v>46227</v>
      </c>
      <c r="J198" t="inlineStr">
        <is>
          <t>Disetujui</t>
        </is>
      </c>
      <c r="K198" t="n">
        <v>30</v>
      </c>
      <c r="L198" t="inlineStr">
        <is>
          <t>24 Juli 2026</t>
        </is>
      </c>
      <c r="M198" t="inlineStr">
        <is>
          <t>Konstruksi Bangunan Sipil Jalan, Konstruksi Gedung Kesehatan, Konstruksi Jaringan Irigasi dan Drainase</t>
        </is>
      </c>
      <c r="N198" t="inlineStr">
        <is>
          <t>K</t>
        </is>
      </c>
      <c r="O198" t="inlineStr">
        <is>
          <t>20230713, 20230725</t>
        </is>
      </c>
      <c r="P198" t="inlineStr">
        <is>
          <t>Jawa Tengah</t>
        </is>
      </c>
      <c r="Q198" t="inlineStr"/>
    </row>
    <row r="199">
      <c r="A199" t="inlineStr">
        <is>
          <t>WAN PUTRA MANE</t>
        </is>
      </c>
      <c r="B199" t="inlineStr">
        <is>
          <t>Kab. Cirebon</t>
        </is>
      </c>
      <c r="C199" t="inlineStr">
        <is>
          <t>082118133185</t>
        </is>
      </c>
      <c r="D199" t="inlineStr">
        <is>
          <t>pt.wanputramanept@gmail.com</t>
        </is>
      </c>
      <c r="E199" t="inlineStr">
        <is>
          <t>https://lpjk.pu.go.id/search-badan-usaha-detail/NGVXTUFlcWE2V0o0UE5UVUV3OUdaZz09</t>
        </is>
      </c>
      <c r="F199" t="n">
        <v>1</v>
      </c>
      <c r="G199" t="inlineStr">
        <is>
          <t>BS001</t>
        </is>
      </c>
      <c r="H199" t="inlineStr">
        <is>
          <t>12 Maret 2014</t>
        </is>
      </c>
      <c r="I199" s="2" t="n">
        <v>46227</v>
      </c>
      <c r="J199" t="inlineStr">
        <is>
          <t>Pencabutan</t>
        </is>
      </c>
      <c r="K199" t="n">
        <v>30</v>
      </c>
      <c r="L199" t="inlineStr">
        <is>
          <t>24 Juli 2026</t>
        </is>
      </c>
      <c r="M199" t="inlineStr">
        <is>
          <t>Konstruksi Bangunan Sipil Jalan</t>
        </is>
      </c>
      <c r="N199" t="inlineStr">
        <is>
          <t>K</t>
        </is>
      </c>
      <c r="O199" t="inlineStr">
        <is>
          <t>20230722</t>
        </is>
      </c>
      <c r="P199" t="inlineStr">
        <is>
          <t>Jawa Barat</t>
        </is>
      </c>
      <c r="Q199" t="inlineStr"/>
    </row>
    <row r="200">
      <c r="A200" t="inlineStr">
        <is>
          <t>WANHA</t>
        </is>
      </c>
      <c r="B200" t="inlineStr">
        <is>
          <t>Kab. Garut</t>
        </is>
      </c>
      <c r="C200" t="inlineStr">
        <is>
          <t>085351071360</t>
        </is>
      </c>
      <c r="D200" t="inlineStr">
        <is>
          <t>cvwanha@gmail.com</t>
        </is>
      </c>
      <c r="E200" t="inlineStr">
        <is>
          <t>https://lpjk.pu.go.id/search-badan-usaha-detail/YUVaREhCR1dtNmFJdWxCaVU1YVdKZz09</t>
        </is>
      </c>
      <c r="F200" t="n">
        <v>1</v>
      </c>
      <c r="G200" t="inlineStr">
        <is>
          <t>BG005</t>
        </is>
      </c>
      <c r="H200" t="inlineStr">
        <is>
          <t>30 Oktober 2019</t>
        </is>
      </c>
      <c r="I200" s="2" t="n">
        <v>46227</v>
      </c>
      <c r="J200" t="inlineStr">
        <is>
          <t>Disetujui</t>
        </is>
      </c>
      <c r="K200" t="n">
        <v>30</v>
      </c>
      <c r="L200" t="inlineStr">
        <is>
          <t>24 Juli 2026</t>
        </is>
      </c>
      <c r="M200" t="inlineStr">
        <is>
          <t>Konstruksi Gedung Kesehatan</t>
        </is>
      </c>
      <c r="N200" t="inlineStr">
        <is>
          <t>K</t>
        </is>
      </c>
      <c r="O200" t="inlineStr">
        <is>
          <t>20230717</t>
        </is>
      </c>
      <c r="P200" t="inlineStr">
        <is>
          <t>Jawa Barat</t>
        </is>
      </c>
      <c r="Q200" t="inlineStr"/>
    </row>
    <row r="201">
      <c r="A201" t="inlineStr">
        <is>
          <t>WIDYA CIPTA KONSULINDO</t>
        </is>
      </c>
      <c r="B201" t="inlineStr">
        <is>
          <t>Kota Bandung</t>
        </is>
      </c>
      <c r="C201" t="inlineStr">
        <is>
          <t>081214551414</t>
        </is>
      </c>
      <c r="D201" t="inlineStr">
        <is>
          <t>widyaciptakonsulindo.pt@gmail.com</t>
        </is>
      </c>
      <c r="E201" t="inlineStr">
        <is>
          <t>https://lpjk.pu.go.id/search-badan-usaha-detail/Z1JSTzJGSGdZbkdNNHQ3cytGQzlrZz09</t>
        </is>
      </c>
      <c r="F201" t="n">
        <v>2</v>
      </c>
      <c r="G201" t="inlineStr">
        <is>
          <t>RK001, RK003</t>
        </is>
      </c>
      <c r="H201" t="inlineStr">
        <is>
          <t>23 Maret 2021</t>
        </is>
      </c>
      <c r="I201" s="2" t="n">
        <v>46227</v>
      </c>
      <c r="J201" t="inlineStr">
        <is>
          <t>Disetujui</t>
        </is>
      </c>
      <c r="K201" t="n">
        <v>30</v>
      </c>
      <c r="L201" t="inlineStr">
        <is>
          <t>24 Juli 2026</t>
        </is>
      </c>
      <c r="M201" t="inlineStr">
        <is>
          <t>Jasa Rekayasa Konstruksi Bangunan Gedung Hunian dan Non Hunian, Jasa Rekayasa Pekerjaan Teknik Sipil Transportasi</t>
        </is>
      </c>
      <c r="N201" t="inlineStr">
        <is>
          <t>K</t>
        </is>
      </c>
      <c r="O201" t="inlineStr">
        <is>
          <t>20230711</t>
        </is>
      </c>
      <c r="P201" t="inlineStr">
        <is>
          <t>Jawa Barat</t>
        </is>
      </c>
      <c r="Q201" t="inlineStr"/>
    </row>
    <row r="202">
      <c r="A202" t="inlineStr">
        <is>
          <t>WIJAYA</t>
        </is>
      </c>
      <c r="B202" t="inlineStr">
        <is>
          <t>Kab. Bangkalan</t>
        </is>
      </c>
      <c r="C202" t="inlineStr">
        <is>
          <t>081216533373</t>
        </is>
      </c>
      <c r="D202" t="inlineStr">
        <is>
          <t>wiwinindrawati1572@gmail.com</t>
        </is>
      </c>
      <c r="E202" t="inlineStr">
        <is>
          <t>https://lpjk.pu.go.id/search-badan-usaha-detail/empKZHpuODZ3c2FKL2xPWG5NbXhIUT09</t>
        </is>
      </c>
      <c r="F202" t="n">
        <v>2</v>
      </c>
      <c r="G202" t="inlineStr">
        <is>
          <t>BS004</t>
        </is>
      </c>
      <c r="H202" t="inlineStr">
        <is>
          <t>20 Oktober 1988</t>
        </is>
      </c>
      <c r="I202" s="2" t="n">
        <v>46227</v>
      </c>
      <c r="J202" t="inlineStr">
        <is>
          <t>Disetujui</t>
        </is>
      </c>
      <c r="K202" t="n">
        <v>30</v>
      </c>
      <c r="L202" t="inlineStr">
        <is>
          <t>24 Juli 2026</t>
        </is>
      </c>
      <c r="M202" t="inlineStr">
        <is>
          <t>Konstruksi Jaringan Irigasi dan Drainase</t>
        </is>
      </c>
      <c r="N202" t="inlineStr">
        <is>
          <t>K</t>
        </is>
      </c>
      <c r="O202" t="inlineStr">
        <is>
          <t>20230717</t>
        </is>
      </c>
      <c r="P202" t="inlineStr">
        <is>
          <t>Jawa Timur</t>
        </is>
      </c>
      <c r="Q202" t="inlineStr"/>
    </row>
    <row r="203">
      <c r="A203" t="inlineStr">
        <is>
          <t>YAHYA ABADI</t>
        </is>
      </c>
      <c r="B203" t="inlineStr">
        <is>
          <t>Kab. Rokan Hilir</t>
        </is>
      </c>
      <c r="C203" t="inlineStr">
        <is>
          <t>081275100891</t>
        </is>
      </c>
      <c r="D203" t="inlineStr">
        <is>
          <t>yahyaabadi999@gmail.com</t>
        </is>
      </c>
      <c r="E203" t="inlineStr">
        <is>
          <t>https://lpjk.pu.go.id/search-badan-usaha-detail/RkFnSTdCS1pOaUhBM2w4aWZ1MFBkdz09</t>
        </is>
      </c>
      <c r="F203" t="n">
        <v>1</v>
      </c>
      <c r="G203" t="inlineStr">
        <is>
          <t>BG001</t>
        </is>
      </c>
      <c r="H203" t="inlineStr">
        <is>
          <t>31 Maret 2001</t>
        </is>
      </c>
      <c r="I203" s="2" t="n">
        <v>46227</v>
      </c>
      <c r="J203" t="inlineStr">
        <is>
          <t>Disetujui</t>
        </is>
      </c>
      <c r="K203" t="n">
        <v>30</v>
      </c>
      <c r="L203" t="inlineStr">
        <is>
          <t>24 Juli 2026</t>
        </is>
      </c>
      <c r="M203" t="inlineStr">
        <is>
          <t>Konstruksi Gedung Hunian</t>
        </is>
      </c>
      <c r="N203" t="inlineStr">
        <is>
          <t>K</t>
        </is>
      </c>
      <c r="O203" t="inlineStr">
        <is>
          <t>20230721</t>
        </is>
      </c>
      <c r="P203" t="inlineStr">
        <is>
          <t>Riau</t>
        </is>
      </c>
      <c r="Q20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2026-06-24T02:41:37Z</dcterms:created>
  <dcterms:modified xsi:type="dcterms:W3CDTF">2026-06-24T02:41:37Z</dcterms:modified>
</cp:coreProperties>
</file>