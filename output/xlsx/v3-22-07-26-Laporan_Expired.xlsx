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90_Hari_Expired" sheetId="1" state="visible" r:id="rId1"/>
    <sheet name="60_Hari_Expired" sheetId="2" state="visible" r:id="rId2"/>
    <sheet name="30_Hari_Expired" sheetId="3" state="visible" r:id="rId3"/>
  </sheets>
  <definedNames/>
  <calcPr calcId="124519" fullCalcOnLoad="1"/>
</workbook>
</file>

<file path=xl/styles.xml><?xml version="1.0" encoding="utf-8"?>
<styleSheet xmlns="http://schemas.openxmlformats.org/spreadsheetml/2006/main">
  <numFmts count="1">
    <numFmt numFmtId="164" formatCode="yyyy-mm-dd"/>
  </numFmts>
  <fonts count="3">
    <font>
      <name val="Calibri"/>
      <family val="2"/>
      <color theme="1"/>
      <sz val="11"/>
      <scheme val="minor"/>
    </font>
    <font>
      <b val="1"/>
      <color rgb="00FFFFFF"/>
    </font>
    <font>
      <color rgb="000000FF"/>
      <u val="single"/>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164" fontId="0"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96"/>
  <sheetViews>
    <sheetView workbookViewId="0">
      <selection activeCell="A1" sqref="A1"/>
    </sheetView>
  </sheetViews>
  <sheetFormatPr baseColWidth="8" defaultRowHeight="15"/>
  <cols>
    <col width="43" customWidth="1" min="1" max="1"/>
    <col width="27" customWidth="1" min="2" max="2"/>
    <col width="15" customWidth="1" min="3" max="3"/>
    <col width="37" customWidth="1" min="4" max="4"/>
    <col width="50" customWidth="1" min="5" max="5"/>
    <col width="18" customWidth="1" min="6" max="6"/>
    <col width="42" customWidth="1" min="7" max="7"/>
    <col width="20" customWidth="1" min="8" max="8"/>
    <col width="28" customWidth="1" min="9" max="9"/>
    <col width="23" customWidth="1" min="10" max="10"/>
    <col width="11" customWidth="1" min="11" max="11"/>
    <col width="17" customWidth="1" min="12" max="12"/>
    <col width="50" customWidth="1" min="13" max="13"/>
    <col width="13" customWidth="1" min="14" max="14"/>
    <col width="20" customWidth="1" min="15" max="15"/>
    <col width="21" customWidth="1" min="16" max="16"/>
    <col width="50" customWidth="1" min="17" max="17"/>
  </cols>
  <sheetData>
    <row r="1">
      <c r="A1" s="1" t="inlineStr">
        <is>
          <t>Nama Perusahaan</t>
        </is>
      </c>
      <c r="B1" s="1" t="inlineStr">
        <is>
          <t>Kabupaten/Kota</t>
        </is>
      </c>
      <c r="C1" s="1" t="inlineStr">
        <is>
          <t>Telepon</t>
        </is>
      </c>
      <c r="D1" s="1" t="inlineStr">
        <is>
          <t>Email</t>
        </is>
      </c>
      <c r="E1" s="1" t="inlineStr">
        <is>
          <t>Link</t>
        </is>
      </c>
      <c r="F1" s="1" t="inlineStr">
        <is>
          <t>Jumlah KBLI 2020</t>
        </is>
      </c>
      <c r="G1" s="1" t="inlineStr">
        <is>
          <t>Kode Subklasifikasi</t>
        </is>
      </c>
      <c r="H1" s="1" t="inlineStr">
        <is>
          <t>Tanggal Ditetapkan</t>
        </is>
      </c>
      <c r="I1" s="1" t="inlineStr">
        <is>
          <t>Tanggal Habis Masa Berlaku</t>
        </is>
      </c>
      <c r="J1" s="1" t="inlineStr">
        <is>
          <t>Status</t>
        </is>
      </c>
      <c r="K1" s="1" t="inlineStr">
        <is>
          <t>Sisa Hari</t>
        </is>
      </c>
      <c r="L1" s="1" t="inlineStr">
        <is>
          <t>Tanggal Expired</t>
        </is>
      </c>
      <c r="M1" s="1" t="inlineStr">
        <is>
          <t>Subklasifikasi</t>
        </is>
      </c>
      <c r="N1" s="1" t="inlineStr">
        <is>
          <t>Kualifikasi</t>
        </is>
      </c>
      <c r="O1" s="1" t="inlineStr">
        <is>
          <t>ID Subklasifikasi</t>
        </is>
      </c>
      <c r="P1" s="1" t="inlineStr">
        <is>
          <t>Provinsi</t>
        </is>
      </c>
      <c r="Q1" s="1" t="inlineStr">
        <is>
          <t>Link WhatsApp</t>
        </is>
      </c>
    </row>
    <row r="2">
      <c r="A2" t="inlineStr">
        <is>
          <t>BAHANA SUPRINDO KREASI</t>
        </is>
      </c>
      <c r="B2" t="inlineStr">
        <is>
          <t>Kab. Bogor</t>
        </is>
      </c>
      <c r="C2" t="inlineStr">
        <is>
          <t>02183716418</t>
        </is>
      </c>
      <c r="D2" t="inlineStr">
        <is>
          <t>bsk.generalcontractor@gmail.com</t>
        </is>
      </c>
      <c r="E2" t="inlineStr">
        <is>
          <t>https://lpjk.pu.go.id/search-badan-usaha-detail/eithR1pnMkg1bDNENWZLZW8vSmNjQT09</t>
        </is>
      </c>
      <c r="F2" t="n">
        <v>1</v>
      </c>
      <c r="G2" t="inlineStr">
        <is>
          <t>BS002</t>
        </is>
      </c>
      <c r="H2" t="inlineStr">
        <is>
          <t>9 September 2016</t>
        </is>
      </c>
      <c r="I2" s="2" t="n">
        <v>46315</v>
      </c>
      <c r="J2" t="inlineStr">
        <is>
          <t>Disetujui</t>
        </is>
      </c>
      <c r="K2" t="n">
        <v>90</v>
      </c>
      <c r="L2" t="inlineStr">
        <is>
          <t>20 Oktober 2026</t>
        </is>
      </c>
      <c r="M2" t="inlineStr">
        <is>
          <t>Bangunan Sipil Jembatan, Jalan Layang, Fly Over, dan Underpass</t>
        </is>
      </c>
      <c r="N2" t="inlineStr">
        <is>
          <t>M</t>
        </is>
      </c>
      <c r="O2" t="inlineStr">
        <is>
          <t>20231014</t>
        </is>
      </c>
      <c r="P2" t="inlineStr">
        <is>
          <t>Jawa Barat</t>
        </is>
      </c>
      <c r="Q2" t="inlineStr"/>
    </row>
    <row r="3">
      <c r="A3" t="inlineStr">
        <is>
          <t>BANGUN MATARAM JAYA</t>
        </is>
      </c>
      <c r="B3" t="inlineStr">
        <is>
          <t>Kota Adm. Jakarta Timur</t>
        </is>
      </c>
      <c r="C3" t="inlineStr">
        <is>
          <t>0218578317</t>
        </is>
      </c>
      <c r="D3" t="inlineStr">
        <is>
          <t>info.mataramjaya@gmail.com</t>
        </is>
      </c>
      <c r="E3" t="inlineStr">
        <is>
          <t>https://lpjk.pu.go.id/search-badan-usaha-detail/Mjc0RlhmV3RoMXIyYjBGQkNGbVhZQT09</t>
        </is>
      </c>
      <c r="F3" t="n">
        <v>1</v>
      </c>
      <c r="G3" t="inlineStr">
        <is>
          <t>BG002</t>
        </is>
      </c>
      <c r="H3" t="inlineStr">
        <is>
          <t>18 November 1974</t>
        </is>
      </c>
      <c r="I3" s="2" t="n">
        <v>46315</v>
      </c>
      <c r="J3" t="inlineStr">
        <is>
          <t>Disetujui</t>
        </is>
      </c>
      <c r="K3" t="n">
        <v>90</v>
      </c>
      <c r="L3" t="inlineStr">
        <is>
          <t>20 Oktober 2026</t>
        </is>
      </c>
      <c r="M3" t="inlineStr">
        <is>
          <t>Konstruksi Gedung Perkantoran</t>
        </is>
      </c>
      <c r="N3" t="inlineStr">
        <is>
          <t>M</t>
        </is>
      </c>
      <c r="O3" t="inlineStr">
        <is>
          <t>20230926</t>
        </is>
      </c>
      <c r="P3" t="inlineStr">
        <is>
          <t>DKI Jakarta</t>
        </is>
      </c>
      <c r="Q3" t="inlineStr"/>
    </row>
    <row r="4">
      <c r="A4" t="inlineStr">
        <is>
          <t>CITAMAS TRIA MITRA</t>
        </is>
      </c>
      <c r="B4" t="inlineStr">
        <is>
          <t>Kota Depok</t>
        </is>
      </c>
      <c r="C4" t="inlineStr">
        <is>
          <t>02177806735</t>
        </is>
      </c>
      <c r="D4" t="inlineStr">
        <is>
          <t>irene.citamas@gmail.com</t>
        </is>
      </c>
      <c r="E4" t="inlineStr">
        <is>
          <t>https://lpjk.pu.go.id/search-badan-usaha-detail/RWwrQUJNdEMwc1N6M3BCeUZVRldRQT09</t>
        </is>
      </c>
      <c r="F4" t="n">
        <v>2</v>
      </c>
      <c r="G4" t="inlineStr">
        <is>
          <t>PB003</t>
        </is>
      </c>
      <c r="H4" t="inlineStr">
        <is>
          <t>27 Januari 2015</t>
        </is>
      </c>
      <c r="I4" s="2" t="n">
        <v>46315</v>
      </c>
      <c r="J4" t="inlineStr">
        <is>
          <t>Pembekuan</t>
        </is>
      </c>
      <c r="K4" t="n">
        <v>90</v>
      </c>
      <c r="L4" t="inlineStr">
        <is>
          <t>20 Oktober 2026</t>
        </is>
      </c>
      <c r="M4" t="inlineStr">
        <is>
          <t>Pengerjaan Lantai, Dinding, Peralatan Saniter dan Plafon</t>
        </is>
      </c>
      <c r="N4" t="inlineStr">
        <is>
          <t>Spesialis</t>
        </is>
      </c>
      <c r="O4" t="inlineStr">
        <is>
          <t>20231017</t>
        </is>
      </c>
      <c r="P4" t="inlineStr">
        <is>
          <t>Jawa Barat</t>
        </is>
      </c>
      <c r="Q4" t="inlineStr"/>
    </row>
    <row r="5">
      <c r="A5" t="inlineStr">
        <is>
          <t>GUNUNG PANGRANGO</t>
        </is>
      </c>
      <c r="B5" t="inlineStr">
        <is>
          <t>Kab. Bogor</t>
        </is>
      </c>
      <c r="C5" t="inlineStr">
        <is>
          <t>081318824392</t>
        </is>
      </c>
      <c r="D5" t="inlineStr">
        <is>
          <t>cvgunung.pangrango@yahoo.com</t>
        </is>
      </c>
      <c r="E5" t="inlineStr">
        <is>
          <t>https://lpjk.pu.go.id/search-badan-usaha-detail/TlNIOU50d2p4a3ZkWVptbC9rTGNWZz09</t>
        </is>
      </c>
      <c r="F5" t="n">
        <v>1</v>
      </c>
      <c r="G5" t="inlineStr">
        <is>
          <t>BG005</t>
        </is>
      </c>
      <c r="H5" t="inlineStr">
        <is>
          <t>17 Desember 1974</t>
        </is>
      </c>
      <c r="I5" s="2" t="n">
        <v>46315</v>
      </c>
      <c r="J5" t="inlineStr">
        <is>
          <t>Disetujui</t>
        </is>
      </c>
      <c r="K5" t="n">
        <v>90</v>
      </c>
      <c r="L5" t="inlineStr">
        <is>
          <t>20 Oktober 2026</t>
        </is>
      </c>
      <c r="M5" t="inlineStr">
        <is>
          <t>Konstruksi Gedung Kesehatan</t>
        </is>
      </c>
      <c r="N5" t="inlineStr">
        <is>
          <t>K</t>
        </is>
      </c>
      <c r="O5" t="inlineStr">
        <is>
          <t>20231013</t>
        </is>
      </c>
      <c r="P5" t="inlineStr">
        <is>
          <t>Jawa Barat</t>
        </is>
      </c>
      <c r="Q5" s="3">
        <f>HYPERLINK("https://wa.me/6281318824392?text=Selamat siang Bapak/Ibu pimpinan GUNUNG PANGRANGO,%0A%0ASemoga Bapak/Ibu dalam keadaan baik.%0ASaya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6">
      <c r="A6" t="inlineStr">
        <is>
          <t>MUKTI WIJAYA FIBRETECH</t>
        </is>
      </c>
      <c r="B6" t="inlineStr">
        <is>
          <t>Kota Bekasi</t>
        </is>
      </c>
      <c r="C6" t="inlineStr">
        <is>
          <t>081381252715</t>
        </is>
      </c>
      <c r="D6" t="inlineStr">
        <is>
          <t>muktiwijayafibretech@gmail.com</t>
        </is>
      </c>
      <c r="E6" t="inlineStr">
        <is>
          <t>https://lpjk.pu.go.id/search-badan-usaha-detail/S1ZJNmVpZHQ0K1FrQzVXWHNNaDdpQT09</t>
        </is>
      </c>
      <c r="F6" t="n">
        <v>1</v>
      </c>
      <c r="G6" t="inlineStr">
        <is>
          <t>IN001</t>
        </is>
      </c>
      <c r="H6" t="inlineStr">
        <is>
          <t>26 Januari 2019</t>
        </is>
      </c>
      <c r="I6" s="2" t="n">
        <v>46315</v>
      </c>
      <c r="J6" t="inlineStr">
        <is>
          <t>Disetujui</t>
        </is>
      </c>
      <c r="K6" t="n">
        <v>90</v>
      </c>
      <c r="L6" t="inlineStr">
        <is>
          <t>20 Oktober 2026</t>
        </is>
      </c>
      <c r="M6" t="inlineStr">
        <is>
          <t>Instalasi Mekanikal</t>
        </is>
      </c>
      <c r="N6" t="inlineStr">
        <is>
          <t>Spesialis</t>
        </is>
      </c>
      <c r="O6" t="inlineStr">
        <is>
          <t>20231020</t>
        </is>
      </c>
      <c r="P6" t="inlineStr">
        <is>
          <t>Jawa Barat</t>
        </is>
      </c>
      <c r="Q6" s="3">
        <f>HYPERLINK("https://wa.me/6281381252715?text=Selamat siang Bapak/Ibu pimpinan MUKTI WIJAYA FIBRETECH,%0A%0ASemoga Bapak/Ibu dalam keadaan baik.%0ASaya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7">
      <c r="A7" t="inlineStr">
        <is>
          <t>AKSAN WIJAYA PUTRA</t>
        </is>
      </c>
      <c r="B7" t="inlineStr">
        <is>
          <t>Kab. Buton Utara</t>
        </is>
      </c>
      <c r="C7" t="inlineStr">
        <is>
          <t>085241777971</t>
        </is>
      </c>
      <c r="D7" t="inlineStr">
        <is>
          <t>hendrilipu89@gmail.com</t>
        </is>
      </c>
      <c r="E7" t="inlineStr">
        <is>
          <t>https://lpjk.pu.go.id/search-badan-usaha-detail/Y040NEJPMXEvaUM2bVdqRzRSejJuQT09</t>
        </is>
      </c>
      <c r="F7" t="n">
        <v>1</v>
      </c>
      <c r="G7" t="inlineStr">
        <is>
          <t>BS001</t>
        </is>
      </c>
      <c r="H7" t="inlineStr">
        <is>
          <t>11 Desember 2019</t>
        </is>
      </c>
      <c r="I7" s="2" t="n">
        <v>46315</v>
      </c>
      <c r="J7" t="inlineStr">
        <is>
          <t>Disetujui</t>
        </is>
      </c>
      <c r="K7" t="n">
        <v>90</v>
      </c>
      <c r="L7" t="inlineStr">
        <is>
          <t>20 Oktober 2026</t>
        </is>
      </c>
      <c r="M7" t="inlineStr">
        <is>
          <t>Konstruksi Bangunan Sipil Jalan</t>
        </is>
      </c>
      <c r="N7" t="inlineStr">
        <is>
          <t>K</t>
        </is>
      </c>
      <c r="O7" t="inlineStr">
        <is>
          <t>20231018</t>
        </is>
      </c>
      <c r="P7" t="inlineStr">
        <is>
          <t>Sulawesi Tenggara</t>
        </is>
      </c>
      <c r="Q7" t="inlineStr"/>
    </row>
    <row r="8">
      <c r="A8" t="inlineStr">
        <is>
          <t>ALBA JAYA CONSTRUCTION</t>
        </is>
      </c>
      <c r="B8" t="inlineStr">
        <is>
          <t>Kab. Bojonegoro</t>
        </is>
      </c>
      <c r="C8" t="inlineStr">
        <is>
          <t>082244447745</t>
        </is>
      </c>
      <c r="D8" t="inlineStr">
        <is>
          <t>alfan.albajaya@gmail.com</t>
        </is>
      </c>
      <c r="E8" t="inlineStr">
        <is>
          <t>https://lpjk.pu.go.id/search-badan-usaha-detail/SjdSTi8vOEpjL2Z2bXB2aHdrTU9wUT09</t>
        </is>
      </c>
      <c r="F8" t="n">
        <v>1</v>
      </c>
      <c r="G8" t="inlineStr">
        <is>
          <t>BS001</t>
        </is>
      </c>
      <c r="H8" t="inlineStr">
        <is>
          <t>29 Januari 2003</t>
        </is>
      </c>
      <c r="I8" s="2" t="n">
        <v>46315</v>
      </c>
      <c r="J8" t="inlineStr">
        <is>
          <t>Disetujui</t>
        </is>
      </c>
      <c r="K8" t="n">
        <v>90</v>
      </c>
      <c r="L8" t="inlineStr">
        <is>
          <t>20 Oktober 2026</t>
        </is>
      </c>
      <c r="M8" t="inlineStr">
        <is>
          <t>Konstruksi Bangunan Sipil Jalan</t>
        </is>
      </c>
      <c r="N8" t="inlineStr">
        <is>
          <t>M</t>
        </is>
      </c>
      <c r="O8" t="inlineStr">
        <is>
          <t>20230624</t>
        </is>
      </c>
      <c r="P8" t="inlineStr">
        <is>
          <t>Jawa Timur</t>
        </is>
      </c>
      <c r="Q8" t="inlineStr"/>
    </row>
    <row r="9">
      <c r="A9" t="inlineStr">
        <is>
          <t>ALIF JAYA KONSTRUKSI</t>
        </is>
      </c>
      <c r="B9" t="inlineStr">
        <is>
          <t>Kab. Bondowoso</t>
        </is>
      </c>
      <c r="C9" t="inlineStr">
        <is>
          <t>085330159778</t>
        </is>
      </c>
      <c r="D9" t="inlineStr">
        <is>
          <t>alifjayakonst@gmail.com</t>
        </is>
      </c>
      <c r="E9" t="inlineStr">
        <is>
          <t>https://lpjk.pu.go.id/search-badan-usaha-detail/WDY4RGpqUkdycUhtUDR1Z2ZkeTdaQT09</t>
        </is>
      </c>
      <c r="F9" t="n">
        <v>3</v>
      </c>
      <c r="G9" t="inlineStr">
        <is>
          <t>BG004, BG008, BG009</t>
        </is>
      </c>
      <c r="H9" t="inlineStr">
        <is>
          <t>27 Maret 2012</t>
        </is>
      </c>
      <c r="I9" s="2" t="n">
        <v>46315</v>
      </c>
      <c r="J9" t="inlineStr">
        <is>
          <t>Disetujui</t>
        </is>
      </c>
      <c r="K9" t="n">
        <v>90</v>
      </c>
      <c r="L9" t="inlineStr">
        <is>
          <t>20 Oktober 2026</t>
        </is>
      </c>
      <c r="M9" t="inlineStr">
        <is>
          <t>Konstruksi Gedung Lainnya, Konstruksi Gedung Perbelanjaan, Konstruksi Gedung Tempat Hiburan dan Olahraga</t>
        </is>
      </c>
      <c r="N9" t="inlineStr">
        <is>
          <t>K</t>
        </is>
      </c>
      <c r="O9" t="inlineStr">
        <is>
          <t>20231013, 20231020</t>
        </is>
      </c>
      <c r="P9" t="inlineStr">
        <is>
          <t>Jawa Timur</t>
        </is>
      </c>
      <c r="Q9" t="inlineStr"/>
    </row>
    <row r="10">
      <c r="A10" t="inlineStr">
        <is>
          <t>ANANTA KARYA</t>
        </is>
      </c>
      <c r="B10" t="inlineStr">
        <is>
          <t>Kab. Jember</t>
        </is>
      </c>
      <c r="C10" t="inlineStr">
        <is>
          <t>085236371240</t>
        </is>
      </c>
      <c r="D10" t="inlineStr">
        <is>
          <t>anantakaryajember@gmail.com</t>
        </is>
      </c>
      <c r="E10" t="inlineStr">
        <is>
          <t>https://lpjk.pu.go.id/search-badan-usaha-detail/UUUwRG44d2dyaG9OOE1uOXZhR0xsdz09</t>
        </is>
      </c>
      <c r="F10" t="n">
        <v>2</v>
      </c>
      <c r="G10" t="inlineStr">
        <is>
          <t>BS001, BS004</t>
        </is>
      </c>
      <c r="H10" t="inlineStr">
        <is>
          <t>11 November 2016</t>
        </is>
      </c>
      <c r="I10" s="2" t="n">
        <v>46315</v>
      </c>
      <c r="J10" t="inlineStr">
        <is>
          <t>Disetujui</t>
        </is>
      </c>
      <c r="K10" t="n">
        <v>90</v>
      </c>
      <c r="L10" t="inlineStr">
        <is>
          <t>20 Oktober 2026</t>
        </is>
      </c>
      <c r="M10" t="inlineStr">
        <is>
          <t>Konstruksi Bangunan Sipil Jalan, Konstruksi Jaringan Irigasi dan Drainase</t>
        </is>
      </c>
      <c r="N10" t="inlineStr">
        <is>
          <t>K</t>
        </is>
      </c>
      <c r="O10" t="inlineStr">
        <is>
          <t>20231018</t>
        </is>
      </c>
      <c r="P10" t="inlineStr">
        <is>
          <t>Jawa Timur</t>
        </is>
      </c>
      <c r="Q10" t="inlineStr"/>
    </row>
    <row r="11">
      <c r="A11" t="inlineStr">
        <is>
          <t>ANGKASA WANA KHATULISTIWA</t>
        </is>
      </c>
      <c r="B11" t="inlineStr">
        <is>
          <t>Kota Pontianak</t>
        </is>
      </c>
      <c r="C11" t="inlineStr">
        <is>
          <t>0811566630</t>
        </is>
      </c>
      <c r="D11" t="inlineStr">
        <is>
          <t>cv.awk19@gmail.com</t>
        </is>
      </c>
      <c r="E11" t="inlineStr">
        <is>
          <t>https://lpjk.pu.go.id/search-badan-usaha-detail/Q1FyaWRYQkExeE5aOXNnM3grVzBNQT09</t>
        </is>
      </c>
      <c r="F11" t="n">
        <v>2</v>
      </c>
      <c r="G11" t="inlineStr">
        <is>
          <t>BS002</t>
        </is>
      </c>
      <c r="H11" t="inlineStr">
        <is>
          <t>1 Juli 2019</t>
        </is>
      </c>
      <c r="I11" s="2" t="n">
        <v>46315</v>
      </c>
      <c r="J11" t="inlineStr">
        <is>
          <t>Pencabutan</t>
        </is>
      </c>
      <c r="K11" t="n">
        <v>90</v>
      </c>
      <c r="L11" t="inlineStr">
        <is>
          <t>20 Oktober 2026</t>
        </is>
      </c>
      <c r="M11" t="inlineStr">
        <is>
          <t>Bangunan Sipil Jembatan, Jalan Layang, Fly Over, dan Underpass</t>
        </is>
      </c>
      <c r="N11" t="inlineStr">
        <is>
          <t>K</t>
        </is>
      </c>
      <c r="O11" t="inlineStr">
        <is>
          <t>20231018</t>
        </is>
      </c>
      <c r="P11" t="inlineStr">
        <is>
          <t>Kalimantan Barat</t>
        </is>
      </c>
      <c r="Q11" t="inlineStr"/>
    </row>
    <row r="12">
      <c r="A12" t="inlineStr">
        <is>
          <t>ANUGRAH CIPTA ANDALAN</t>
        </is>
      </c>
      <c r="B12" t="inlineStr">
        <is>
          <t>Kab. Tangerang</t>
        </is>
      </c>
      <c r="C12" t="inlineStr">
        <is>
          <t>-</t>
        </is>
      </c>
      <c r="D12" t="inlineStr">
        <is>
          <t>aciptaandalan@gmail.com</t>
        </is>
      </c>
      <c r="E12" t="inlineStr">
        <is>
          <t>https://lpjk.pu.go.id/search-badan-usaha-detail/QVdnWkZDZXpjeEc1K0xrTElHZ1k1UT09</t>
        </is>
      </c>
      <c r="F12" t="n">
        <v>2</v>
      </c>
      <c r="G12" t="inlineStr">
        <is>
          <t>BG001</t>
        </is>
      </c>
      <c r="H12" t="inlineStr">
        <is>
          <t>30 Januari 2020</t>
        </is>
      </c>
      <c r="I12" s="2" t="n">
        <v>46315</v>
      </c>
      <c r="J12" t="inlineStr">
        <is>
          <t>Disetujui</t>
        </is>
      </c>
      <c r="K12" t="n">
        <v>90</v>
      </c>
      <c r="L12" t="inlineStr">
        <is>
          <t>20 Oktober 2026</t>
        </is>
      </c>
      <c r="M12" t="inlineStr">
        <is>
          <t>Konstruksi Gedung Hunian</t>
        </is>
      </c>
      <c r="N12" t="inlineStr">
        <is>
          <t>K</t>
        </is>
      </c>
      <c r="O12" t="inlineStr">
        <is>
          <t>20230329</t>
        </is>
      </c>
      <c r="P12" t="inlineStr">
        <is>
          <t>Banten</t>
        </is>
      </c>
      <c r="Q12" t="inlineStr"/>
    </row>
    <row r="13">
      <c r="A13" t="inlineStr">
        <is>
          <t>ANUGRAH ILAHI</t>
        </is>
      </c>
      <c r="B13" t="inlineStr">
        <is>
          <t>Kab. Merauke</t>
        </is>
      </c>
      <c r="C13" t="inlineStr">
        <is>
          <t>082397195859</t>
        </is>
      </c>
      <c r="D13" t="inlineStr">
        <is>
          <t>cvanugrahilahi2019gmail.com</t>
        </is>
      </c>
      <c r="E13" t="inlineStr">
        <is>
          <t>https://lpjk.pu.go.id/search-badan-usaha-detail/MmErdE9JSVA5Y0F5RS9CR3NxYzNoUT09</t>
        </is>
      </c>
      <c r="F13" t="n">
        <v>4</v>
      </c>
      <c r="G13" t="inlineStr">
        <is>
          <t>BS001, BS004</t>
        </is>
      </c>
      <c r="H13" t="inlineStr">
        <is>
          <t>24 April 2014</t>
        </is>
      </c>
      <c r="I13" s="2" t="n">
        <v>46315</v>
      </c>
      <c r="J13" t="inlineStr">
        <is>
          <t>Disetujui</t>
        </is>
      </c>
      <c r="K13" t="n">
        <v>90</v>
      </c>
      <c r="L13" t="inlineStr">
        <is>
          <t>20 Oktober 2026</t>
        </is>
      </c>
      <c r="M13" t="inlineStr">
        <is>
          <t>Konstruksi Bangunan Sipil Jalan, Konstruksi Jaringan Irigasi dan Drainase</t>
        </is>
      </c>
      <c r="N13" t="inlineStr">
        <is>
          <t>K</t>
        </is>
      </c>
      <c r="O13" t="inlineStr">
        <is>
          <t>20231019</t>
        </is>
      </c>
      <c r="P13" t="inlineStr">
        <is>
          <t>Papua</t>
        </is>
      </c>
      <c r="Q13" t="inlineStr"/>
    </row>
    <row r="14">
      <c r="A14" t="inlineStr">
        <is>
          <t>ANUGRAH PUTRA JAYA</t>
        </is>
      </c>
      <c r="B14" t="inlineStr">
        <is>
          <t>Kota Sukabumi</t>
        </is>
      </c>
      <c r="C14" t="inlineStr">
        <is>
          <t>085779455925</t>
        </is>
      </c>
      <c r="D14" t="inlineStr">
        <is>
          <t>cvanugrahjayaputra@gmail.com</t>
        </is>
      </c>
      <c r="E14" t="inlineStr">
        <is>
          <t>https://lpjk.pu.go.id/search-badan-usaha-detail/aWJxNExKQ3AvSllRVmg3Z0swaGhnUT09</t>
        </is>
      </c>
      <c r="F14" t="n">
        <v>6</v>
      </c>
      <c r="G14" t="inlineStr">
        <is>
          <t>BG002, BG005, BG006</t>
        </is>
      </c>
      <c r="H14" t="inlineStr">
        <is>
          <t>27 September 2023</t>
        </is>
      </c>
      <c r="I14" s="2" t="n">
        <v>46315</v>
      </c>
      <c r="J14" t="inlineStr">
        <is>
          <t>Pencabutan</t>
        </is>
      </c>
      <c r="K14" t="n">
        <v>90</v>
      </c>
      <c r="L14" t="inlineStr">
        <is>
          <t>20 Oktober 2026</t>
        </is>
      </c>
      <c r="M14" t="inlineStr">
        <is>
          <t>Konstruksi Gedung Kesehatan, Konstruksi Gedung Pendidikan, Konstruksi Gedung Perkantoran</t>
        </is>
      </c>
      <c r="N14" t="inlineStr">
        <is>
          <t>K</t>
        </is>
      </c>
      <c r="O14" t="inlineStr">
        <is>
          <t>20231015, 20231017</t>
        </is>
      </c>
      <c r="P14" t="inlineStr">
        <is>
          <t>Jawa Barat</t>
        </is>
      </c>
      <c r="Q14" t="inlineStr"/>
    </row>
    <row r="15">
      <c r="A15" t="inlineStr">
        <is>
          <t>ANUGRAH PUTRA UTAMA</t>
        </is>
      </c>
      <c r="B15" t="inlineStr">
        <is>
          <t>Kab. Pidie</t>
        </is>
      </c>
      <c r="C15" t="inlineStr">
        <is>
          <t>082362822346</t>
        </is>
      </c>
      <c r="D15" t="inlineStr">
        <is>
          <t>anugrahputra.utama987@gmail.com</t>
        </is>
      </c>
      <c r="E15" t="inlineStr">
        <is>
          <t>https://lpjk.pu.go.id/search-badan-usaha-detail/eExUWE8zcHJTdW11bnJsOWVqSXZWZz09</t>
        </is>
      </c>
      <c r="F15" t="n">
        <v>8</v>
      </c>
      <c r="G15" t="inlineStr">
        <is>
          <t>BG006, BG009, BS001, BS004</t>
        </is>
      </c>
      <c r="H15" t="inlineStr">
        <is>
          <t>9 Oktober 1998</t>
        </is>
      </c>
      <c r="I15" s="2" t="n">
        <v>46315</v>
      </c>
      <c r="J15" t="inlineStr">
        <is>
          <t>Disetujui</t>
        </is>
      </c>
      <c r="K15" t="n">
        <v>90</v>
      </c>
      <c r="L15" t="inlineStr">
        <is>
          <t>20 Oktober 2026</t>
        </is>
      </c>
      <c r="M15" t="inlineStr">
        <is>
          <t>Konstruksi Bangunan Sipil Jalan, Konstruksi Gedung Lainnya, Konstruksi Gedung Pendidikan, Konstruksi Jaringan Irigasi dan Drainase</t>
        </is>
      </c>
      <c r="N15" t="inlineStr">
        <is>
          <t>K</t>
        </is>
      </c>
      <c r="O15" t="inlineStr">
        <is>
          <t>20231014</t>
        </is>
      </c>
      <c r="P15" t="inlineStr">
        <is>
          <t>Aceh</t>
        </is>
      </c>
      <c r="Q15" t="inlineStr"/>
    </row>
    <row r="16">
      <c r="A16" t="inlineStr">
        <is>
          <t>APRI RESTU WIJAYA</t>
        </is>
      </c>
      <c r="B16" t="inlineStr">
        <is>
          <t>Kota Banjarbaru</t>
        </is>
      </c>
      <c r="C16" t="inlineStr">
        <is>
          <t>081251705165</t>
        </is>
      </c>
      <c r="D16" t="inlineStr">
        <is>
          <t>cvaprirstuwijaya@gmail.com</t>
        </is>
      </c>
      <c r="E16" t="inlineStr">
        <is>
          <t>https://lpjk.pu.go.id/search-badan-usaha-detail/MDBJT2ZJWnJ4OWYvTCtxUS9tRm9IQT09</t>
        </is>
      </c>
      <c r="F16" t="n">
        <v>4</v>
      </c>
      <c r="G16" t="inlineStr">
        <is>
          <t>BG002, BG005, BG006, BG009</t>
        </is>
      </c>
      <c r="H16" t="inlineStr">
        <is>
          <t>26 November 2021</t>
        </is>
      </c>
      <c r="I16" s="2" t="n">
        <v>46315</v>
      </c>
      <c r="J16" t="inlineStr">
        <is>
          <t>Disetujui</t>
        </is>
      </c>
      <c r="K16" t="n">
        <v>90</v>
      </c>
      <c r="L16" t="inlineStr">
        <is>
          <t>20 Oktober 2026</t>
        </is>
      </c>
      <c r="M16" t="inlineStr">
        <is>
          <t>Konstruksi Gedung Kesehatan, Konstruksi Gedung Lainnya, Konstruksi Gedung Pendidikan, Konstruksi Gedung Perkantoran</t>
        </is>
      </c>
      <c r="N16" t="inlineStr">
        <is>
          <t>K</t>
        </is>
      </c>
      <c r="O16" t="inlineStr">
        <is>
          <t>20230531, 20231018</t>
        </is>
      </c>
      <c r="P16" t="inlineStr">
        <is>
          <t>Kalimantan Selatan</t>
        </is>
      </c>
      <c r="Q16" t="inlineStr"/>
    </row>
    <row r="17">
      <c r="A17" t="inlineStr">
        <is>
          <t>BAKTI MEKINDO TATAMULIA</t>
        </is>
      </c>
      <c r="B17" t="inlineStr">
        <is>
          <t>Kota Mataram</t>
        </is>
      </c>
      <c r="C17" t="inlineStr">
        <is>
          <t>0370633436</t>
        </is>
      </c>
      <c r="D17" t="inlineStr">
        <is>
          <t>pt.bmt1group@gmail.com</t>
        </is>
      </c>
      <c r="E17" t="inlineStr">
        <is>
          <t>https://lpjk.pu.go.id/search-badan-usaha-detail/NzlPTXVUYzJ2TXVYNHU1UlM3ejhjZz09</t>
        </is>
      </c>
      <c r="F17" t="n">
        <v>1</v>
      </c>
      <c r="G17" t="inlineStr">
        <is>
          <t>BG006</t>
        </is>
      </c>
      <c r="H17" t="inlineStr">
        <is>
          <t>30 November 2005</t>
        </is>
      </c>
      <c r="I17" s="2" t="n">
        <v>46315</v>
      </c>
      <c r="J17" t="inlineStr">
        <is>
          <t>Disetujui</t>
        </is>
      </c>
      <c r="K17" t="n">
        <v>90</v>
      </c>
      <c r="L17" t="inlineStr">
        <is>
          <t>20 Oktober 2026</t>
        </is>
      </c>
      <c r="M17" t="inlineStr">
        <is>
          <t>Konstruksi Gedung Pendidikan</t>
        </is>
      </c>
      <c r="N17" t="inlineStr">
        <is>
          <t>K</t>
        </is>
      </c>
      <c r="O17" t="inlineStr">
        <is>
          <t>20231017</t>
        </is>
      </c>
      <c r="P17" t="inlineStr">
        <is>
          <t>Nusa Tenggara Barat</t>
        </is>
      </c>
      <c r="Q17" t="inlineStr"/>
    </row>
    <row r="18">
      <c r="A18" t="inlineStr">
        <is>
          <t>BAMA PERKASA</t>
        </is>
      </c>
      <c r="B18" t="inlineStr">
        <is>
          <t>Kab. Magetan</t>
        </is>
      </c>
      <c r="C18" t="inlineStr">
        <is>
          <t>08983441169</t>
        </is>
      </c>
      <c r="D18" t="inlineStr">
        <is>
          <t>bama_perkasa@yahoo.com</t>
        </is>
      </c>
      <c r="E18" t="inlineStr">
        <is>
          <t>https://lpjk.pu.go.id/search-badan-usaha-detail/eExhUmFrajdwMndnZ0liT2lucENhUT09</t>
        </is>
      </c>
      <c r="F18" t="n">
        <v>1</v>
      </c>
      <c r="G18" t="inlineStr">
        <is>
          <t>BG004</t>
        </is>
      </c>
      <c r="H18" t="inlineStr">
        <is>
          <t>11 Juni 1997</t>
        </is>
      </c>
      <c r="I18" s="2" t="n">
        <v>46315</v>
      </c>
      <c r="J18" t="inlineStr">
        <is>
          <t>Disetujui</t>
        </is>
      </c>
      <c r="K18" t="n">
        <v>90</v>
      </c>
      <c r="L18" t="inlineStr">
        <is>
          <t>20 Oktober 2026</t>
        </is>
      </c>
      <c r="M18" t="inlineStr">
        <is>
          <t>Konstruksi Gedung Perbelanjaan</t>
        </is>
      </c>
      <c r="N18" t="inlineStr">
        <is>
          <t>K</t>
        </is>
      </c>
      <c r="O18" t="inlineStr">
        <is>
          <t>20231011</t>
        </is>
      </c>
      <c r="P18" t="inlineStr">
        <is>
          <t>Jawa Timur</t>
        </is>
      </c>
      <c r="Q18" t="inlineStr"/>
    </row>
    <row r="19">
      <c r="A19" t="inlineStr">
        <is>
          <t>BANGKIT SENTOSA JAYA</t>
        </is>
      </c>
      <c r="B19" t="inlineStr">
        <is>
          <t>Kab. Bojonegoro</t>
        </is>
      </c>
      <c r="C19" t="inlineStr">
        <is>
          <t>081335271338</t>
        </is>
      </c>
      <c r="D19" t="inlineStr">
        <is>
          <t>cvbangkitsetosajaya@gmail.com</t>
        </is>
      </c>
      <c r="E19" t="inlineStr">
        <is>
          <t>https://lpjk.pu.go.id/search-badan-usaha-detail/S3ZHNTNOcWRjSUtzRVhla2Z6THNJZz09</t>
        </is>
      </c>
      <c r="F19" t="n">
        <v>1</v>
      </c>
      <c r="G19" t="inlineStr">
        <is>
          <t>BS004</t>
        </is>
      </c>
      <c r="H19" t="inlineStr">
        <is>
          <t>4 September 2023</t>
        </is>
      </c>
      <c r="I19" s="2" t="n">
        <v>46315</v>
      </c>
      <c r="J19" t="inlineStr">
        <is>
          <t>Disetujui</t>
        </is>
      </c>
      <c r="K19" t="n">
        <v>90</v>
      </c>
      <c r="L19" t="inlineStr">
        <is>
          <t>20 Oktober 2026</t>
        </is>
      </c>
      <c r="M19" t="inlineStr">
        <is>
          <t>Konstruksi Jaringan Irigasi dan Drainase</t>
        </is>
      </c>
      <c r="N19" t="inlineStr">
        <is>
          <t>K</t>
        </is>
      </c>
      <c r="O19" t="inlineStr">
        <is>
          <t>20231016</t>
        </is>
      </c>
      <c r="P19" t="inlineStr">
        <is>
          <t>Jawa Timur</t>
        </is>
      </c>
      <c r="Q19" t="inlineStr"/>
    </row>
    <row r="20">
      <c r="A20" t="inlineStr">
        <is>
          <t>BATHARA JAYA SARTIKA</t>
        </is>
      </c>
      <c r="B20" t="inlineStr">
        <is>
          <t>Kota Makassar</t>
        </is>
      </c>
      <c r="C20" t="inlineStr">
        <is>
          <t>081233123343</t>
        </is>
      </c>
      <c r="D20" t="inlineStr">
        <is>
          <t>batharajaya@gmail.com</t>
        </is>
      </c>
      <c r="E20" t="inlineStr">
        <is>
          <t>https://lpjk.pu.go.id/search-badan-usaha-detail/TUVEbXllQmJTVmh4RzErS3AwcmNadz09</t>
        </is>
      </c>
      <c r="F20" t="n">
        <v>2</v>
      </c>
      <c r="G20" t="inlineStr">
        <is>
          <t>BS001, BS002</t>
        </is>
      </c>
      <c r="H20" t="inlineStr">
        <is>
          <t>18 November 2014</t>
        </is>
      </c>
      <c r="I20" s="2" t="n">
        <v>46315</v>
      </c>
      <c r="J20" t="inlineStr">
        <is>
          <t>Pembekuan, Pencabutan</t>
        </is>
      </c>
      <c r="K20" t="n">
        <v>90</v>
      </c>
      <c r="L20" t="inlineStr">
        <is>
          <t>20 Oktober 2026</t>
        </is>
      </c>
      <c r="M20" t="inlineStr">
        <is>
          <t>Bangunan Sipil Jembatan, Jalan Layang, Fly Over, dan Underpass, Konstruksi Bangunan Sipil Jalan</t>
        </is>
      </c>
      <c r="N20" t="inlineStr">
        <is>
          <t>M</t>
        </is>
      </c>
      <c r="O20" t="inlineStr">
        <is>
          <t>20231018, 20231020</t>
        </is>
      </c>
      <c r="P20" t="inlineStr">
        <is>
          <t>Sulawesi Selatan</t>
        </is>
      </c>
      <c r="Q20" t="inlineStr"/>
    </row>
    <row r="21">
      <c r="A21" t="inlineStr">
        <is>
          <t>BINTANG CREATIVE ALUMINIUM</t>
        </is>
      </c>
      <c r="B21" t="inlineStr">
        <is>
          <t>Kab. Bulungan</t>
        </is>
      </c>
      <c r="C21" t="inlineStr">
        <is>
          <t>082350049605</t>
        </is>
      </c>
      <c r="D21" t="inlineStr">
        <is>
          <t>bintangcreativealuminium@gmail.com</t>
        </is>
      </c>
      <c r="E21" t="inlineStr">
        <is>
          <t>https://lpjk.pu.go.id/search-badan-usaha-detail/SkRyYXpxdXBnMG5qWG1WSFpxcTNBZz09</t>
        </is>
      </c>
      <c r="F21" t="n">
        <v>2</v>
      </c>
      <c r="G21" t="inlineStr">
        <is>
          <t>BG004</t>
        </is>
      </c>
      <c r="H21" t="inlineStr">
        <is>
          <t>16 Oktober 2015</t>
        </is>
      </c>
      <c r="I21" s="2" t="n">
        <v>46315</v>
      </c>
      <c r="J21" t="inlineStr">
        <is>
          <t>Disetujui</t>
        </is>
      </c>
      <c r="K21" t="n">
        <v>90</v>
      </c>
      <c r="L21" t="inlineStr">
        <is>
          <t>20 Oktober 2026</t>
        </is>
      </c>
      <c r="M21" t="inlineStr">
        <is>
          <t>Konstruksi Gedung Perbelanjaan</t>
        </is>
      </c>
      <c r="N21" t="inlineStr">
        <is>
          <t>K</t>
        </is>
      </c>
      <c r="O21" t="inlineStr">
        <is>
          <t>20231017</t>
        </is>
      </c>
      <c r="P21" t="inlineStr">
        <is>
          <t>Kalimantan Utara</t>
        </is>
      </c>
      <c r="Q21" t="inlineStr"/>
    </row>
    <row r="22">
      <c r="A22" t="inlineStr">
        <is>
          <t>BUMI AMANTA WIJAYA</t>
        </is>
      </c>
      <c r="B22" t="inlineStr">
        <is>
          <t>Kab. Banyumas</t>
        </is>
      </c>
      <c r="C22" t="inlineStr">
        <is>
          <t>02816843205</t>
        </is>
      </c>
      <c r="D22" t="inlineStr">
        <is>
          <t>bumi_amanta@yahoo.com</t>
        </is>
      </c>
      <c r="E22" t="inlineStr">
        <is>
          <t>https://lpjk.pu.go.id/search-badan-usaha-detail/dXZ4cmwwV3NzN1p1OVE4SExtQXJ1QT09</t>
        </is>
      </c>
      <c r="F22" t="n">
        <v>1</v>
      </c>
      <c r="G22" t="inlineStr">
        <is>
          <t>BS006</t>
        </is>
      </c>
      <c r="H22" t="inlineStr">
        <is>
          <t>4 Februari 2009</t>
        </is>
      </c>
      <c r="I22" s="2" t="n">
        <v>46315</v>
      </c>
      <c r="J22" t="inlineStr">
        <is>
          <t>Disetujui</t>
        </is>
      </c>
      <c r="K22" t="n">
        <v>90</v>
      </c>
      <c r="L22" t="inlineStr">
        <is>
          <t>20 Oktober 2026</t>
        </is>
      </c>
      <c r="M22" t="inlineStr">
        <is>
          <t>Konstruksi Bangunan Sipil Prasarana dan Sarana Sistem Pengolahan Limbah Padat, Cair, dan Gas</t>
        </is>
      </c>
      <c r="N22" t="inlineStr">
        <is>
          <t>K</t>
        </is>
      </c>
      <c r="O22" t="inlineStr">
        <is>
          <t>20231009</t>
        </is>
      </c>
      <c r="P22" t="inlineStr">
        <is>
          <t>Jawa Tengah</t>
        </is>
      </c>
      <c r="Q22" t="inlineStr"/>
    </row>
    <row r="23">
      <c r="A23" t="inlineStr">
        <is>
          <t>CIPTA RIMBA JAYA</t>
        </is>
      </c>
      <c r="B23" t="inlineStr">
        <is>
          <t>Kota Pematangsiantar</t>
        </is>
      </c>
      <c r="C23" t="inlineStr">
        <is>
          <t>6285270220143</t>
        </is>
      </c>
      <c r="D23" t="inlineStr">
        <is>
          <t>ciptarimbajaya71@gmail.com</t>
        </is>
      </c>
      <c r="E23" t="inlineStr">
        <is>
          <t>https://lpjk.pu.go.id/search-badan-usaha-detail/bkF0dG5iZGtvOHpwWE1PS2JLcWFlZz09</t>
        </is>
      </c>
      <c r="F23" t="n">
        <v>2</v>
      </c>
      <c r="G23" t="inlineStr">
        <is>
          <t>BS004</t>
        </is>
      </c>
      <c r="H23" t="inlineStr">
        <is>
          <t>21 April 2011</t>
        </is>
      </c>
      <c r="I23" s="2" t="n">
        <v>46315</v>
      </c>
      <c r="J23" t="inlineStr">
        <is>
          <t>Disetujui</t>
        </is>
      </c>
      <c r="K23" t="n">
        <v>90</v>
      </c>
      <c r="L23" t="inlineStr">
        <is>
          <t>20 Oktober 2026</t>
        </is>
      </c>
      <c r="M23" t="inlineStr">
        <is>
          <t>Konstruksi Jaringan Irigasi dan Drainase</t>
        </is>
      </c>
      <c r="N23" t="inlineStr">
        <is>
          <t>K</t>
        </is>
      </c>
      <c r="O23" t="inlineStr">
        <is>
          <t>20231016</t>
        </is>
      </c>
      <c r="P23" t="inlineStr">
        <is>
          <t>Sumatera Utara</t>
        </is>
      </c>
      <c r="Q23" t="inlineStr"/>
    </row>
    <row r="24">
      <c r="A24" t="inlineStr">
        <is>
          <t>CIPTA SEJAHTERA BUANA</t>
        </is>
      </c>
      <c r="B24" t="inlineStr">
        <is>
          <t>Kota Surabaya</t>
        </is>
      </c>
      <c r="C24" t="inlineStr">
        <is>
          <t>08113472714</t>
        </is>
      </c>
      <c r="D24" t="inlineStr">
        <is>
          <t>csb.construction21@gmail.com</t>
        </is>
      </c>
      <c r="E24" t="inlineStr">
        <is>
          <t>https://lpjk.pu.go.id/search-badan-usaha-detail/N0tmVnJvZ213TUxqdkJXcndjdndLUT09</t>
        </is>
      </c>
      <c r="F24" t="n">
        <v>1</v>
      </c>
      <c r="G24" t="inlineStr">
        <is>
          <t>BS001</t>
        </is>
      </c>
      <c r="H24" t="inlineStr">
        <is>
          <t>5 Juli 2023</t>
        </is>
      </c>
      <c r="I24" s="2" t="n">
        <v>46315</v>
      </c>
      <c r="J24" t="inlineStr">
        <is>
          <t>Disetujui</t>
        </is>
      </c>
      <c r="K24" t="n">
        <v>90</v>
      </c>
      <c r="L24" t="inlineStr">
        <is>
          <t>20 Oktober 2026</t>
        </is>
      </c>
      <c r="M24" t="inlineStr">
        <is>
          <t>Konstruksi Bangunan Sipil Jalan</t>
        </is>
      </c>
      <c r="N24" t="inlineStr">
        <is>
          <t>K</t>
        </is>
      </c>
      <c r="O24" t="inlineStr">
        <is>
          <t>20231018</t>
        </is>
      </c>
      <c r="P24" t="inlineStr">
        <is>
          <t>Jawa Timur</t>
        </is>
      </c>
      <c r="Q24" t="inlineStr"/>
    </row>
    <row r="25">
      <c r="A25" t="inlineStr">
        <is>
          <t>CIPTA TIGA PRIMA</t>
        </is>
      </c>
      <c r="B25" t="inlineStr">
        <is>
          <t>Kota Kupang</t>
        </is>
      </c>
      <c r="C25" t="inlineStr">
        <is>
          <t>081339355354</t>
        </is>
      </c>
      <c r="D25" t="inlineStr">
        <is>
          <t>cipta3prima@yahoo.co.id</t>
        </is>
      </c>
      <c r="E25" t="inlineStr">
        <is>
          <t>https://lpjk.pu.go.id/search-badan-usaha-detail/ZTRkMjYwdERhZmhOanl3bThsa2REdz09</t>
        </is>
      </c>
      <c r="F25" t="n">
        <v>2</v>
      </c>
      <c r="G25" t="inlineStr">
        <is>
          <t>BS010</t>
        </is>
      </c>
      <c r="H25" t="inlineStr">
        <is>
          <t>30 Oktober 2012</t>
        </is>
      </c>
      <c r="I25" s="2" t="n">
        <v>46315</v>
      </c>
      <c r="J25" t="inlineStr">
        <is>
          <t>Disetujui</t>
        </is>
      </c>
      <c r="K25" t="n">
        <v>90</v>
      </c>
      <c r="L25" t="inlineStr">
        <is>
          <t>20 Oktober 2026</t>
        </is>
      </c>
      <c r="M25" t="inlineStr">
        <is>
          <t>Konstruksi Bangunan Prasarana Sumber Daya Air</t>
        </is>
      </c>
      <c r="N25" t="inlineStr">
        <is>
          <t>M</t>
        </is>
      </c>
      <c r="O25" t="inlineStr">
        <is>
          <t>20230525</t>
        </is>
      </c>
      <c r="P25" t="inlineStr">
        <is>
          <t>Nusa Tenggara Timur</t>
        </is>
      </c>
      <c r="Q25" t="inlineStr"/>
    </row>
    <row r="26">
      <c r="A26" t="inlineStr">
        <is>
          <t>CITRA HANABI PROPERTY</t>
        </is>
      </c>
      <c r="B26" t="inlineStr">
        <is>
          <t>Kota Kendari</t>
        </is>
      </c>
      <c r="C26" t="inlineStr">
        <is>
          <t>08114499519</t>
        </is>
      </c>
      <c r="D26" t="inlineStr">
        <is>
          <t>citrahanabiproperty2023@gmail.com</t>
        </is>
      </c>
      <c r="E26" t="inlineStr">
        <is>
          <t>https://lpjk.pu.go.id/search-badan-usaha-detail/WE9xZnIxNkdZQmtJVGpJRWhLMUNKZz09</t>
        </is>
      </c>
      <c r="F26" t="n">
        <v>1</v>
      </c>
      <c r="G26" t="inlineStr">
        <is>
          <t>BG001</t>
        </is>
      </c>
      <c r="H26" t="inlineStr">
        <is>
          <t>25 Agustus 2023</t>
        </is>
      </c>
      <c r="I26" s="2" t="n">
        <v>46315</v>
      </c>
      <c r="J26" t="inlineStr">
        <is>
          <t>Pencabutan</t>
        </is>
      </c>
      <c r="K26" t="n">
        <v>90</v>
      </c>
      <c r="L26" t="inlineStr">
        <is>
          <t>20 Oktober 2026</t>
        </is>
      </c>
      <c r="M26" t="inlineStr">
        <is>
          <t>Konstruksi Gedung Hunian</t>
        </is>
      </c>
      <c r="N26" t="inlineStr">
        <is>
          <t>K</t>
        </is>
      </c>
      <c r="O26" t="inlineStr">
        <is>
          <t>20231013</t>
        </is>
      </c>
      <c r="P26" t="inlineStr">
        <is>
          <t>Sulawesi Tenggara</t>
        </is>
      </c>
      <c r="Q26" t="inlineStr"/>
    </row>
    <row r="27">
      <c r="A27" t="inlineStr">
        <is>
          <t>DARREN</t>
        </is>
      </c>
      <c r="B27" t="inlineStr">
        <is>
          <t>Kota Medan</t>
        </is>
      </c>
      <c r="C27" t="inlineStr">
        <is>
          <t>081279697953</t>
        </is>
      </c>
      <c r="D27" t="inlineStr">
        <is>
          <t>cvdarren3@gmail.com</t>
        </is>
      </c>
      <c r="E27" t="inlineStr">
        <is>
          <t>https://lpjk.pu.go.id/search-badan-usaha-detail/a0VSa3NRc0R1d0dLZDhpSGg4MStmQT09</t>
        </is>
      </c>
      <c r="F27" t="n">
        <v>1</v>
      </c>
      <c r="G27" t="inlineStr">
        <is>
          <t>BG009</t>
        </is>
      </c>
      <c r="H27" t="inlineStr">
        <is>
          <t>3 Desember 2021</t>
        </is>
      </c>
      <c r="I27" s="2" t="n">
        <v>46315</v>
      </c>
      <c r="J27" t="inlineStr">
        <is>
          <t>Disetujui</t>
        </is>
      </c>
      <c r="K27" t="n">
        <v>90</v>
      </c>
      <c r="L27" t="inlineStr">
        <is>
          <t>20 Oktober 2026</t>
        </is>
      </c>
      <c r="M27" t="inlineStr">
        <is>
          <t>Konstruksi Gedung Lainnya</t>
        </is>
      </c>
      <c r="N27" t="inlineStr">
        <is>
          <t>K</t>
        </is>
      </c>
      <c r="O27" t="inlineStr">
        <is>
          <t>20231020</t>
        </is>
      </c>
      <c r="P27" t="inlineStr">
        <is>
          <t>Sumatera Utara</t>
        </is>
      </c>
      <c r="Q27" t="inlineStr"/>
    </row>
    <row r="28">
      <c r="A28" t="inlineStr">
        <is>
          <t>DEMANG AGENG</t>
        </is>
      </c>
      <c r="B28" t="inlineStr">
        <is>
          <t>Kab. Ponorogo</t>
        </is>
      </c>
      <c r="C28" t="inlineStr">
        <is>
          <t>08113312661</t>
        </is>
      </c>
      <c r="D28" t="inlineStr">
        <is>
          <t>cv.demangageng@gmail.com</t>
        </is>
      </c>
      <c r="E28" t="inlineStr">
        <is>
          <t>https://lpjk.pu.go.id/search-badan-usaha-detail/a0VJMUJWcStXOG9sdThCVk51OUlEQT09</t>
        </is>
      </c>
      <c r="F28" t="n">
        <v>2</v>
      </c>
      <c r="G28" t="inlineStr">
        <is>
          <t>BG006</t>
        </is>
      </c>
      <c r="H28" t="inlineStr">
        <is>
          <t>3 Januari 1983</t>
        </is>
      </c>
      <c r="I28" s="2" t="n">
        <v>46315</v>
      </c>
      <c r="J28" t="inlineStr">
        <is>
          <t>Disetujui</t>
        </is>
      </c>
      <c r="K28" t="n">
        <v>90</v>
      </c>
      <c r="L28" t="inlineStr">
        <is>
          <t>20 Oktober 2026</t>
        </is>
      </c>
      <c r="M28" t="inlineStr">
        <is>
          <t>Konstruksi Gedung Pendidikan</t>
        </is>
      </c>
      <c r="N28" t="inlineStr">
        <is>
          <t>K</t>
        </is>
      </c>
      <c r="O28" t="inlineStr">
        <is>
          <t>20231017</t>
        </is>
      </c>
      <c r="P28" t="inlineStr">
        <is>
          <t>Jawa Timur</t>
        </is>
      </c>
      <c r="Q28" t="inlineStr"/>
    </row>
    <row r="29">
      <c r="A29" t="inlineStr">
        <is>
          <t>DITA PRATAMA</t>
        </is>
      </c>
      <c r="B29" t="inlineStr">
        <is>
          <t>Kota Surakarta</t>
        </is>
      </c>
      <c r="C29" t="inlineStr">
        <is>
          <t>0271661786</t>
        </is>
      </c>
      <c r="D29" t="inlineStr">
        <is>
          <t>cv.dita_pratama@yahoo.com</t>
        </is>
      </c>
      <c r="E29" t="inlineStr">
        <is>
          <t>https://lpjk.pu.go.id/search-badan-usaha-detail/NFJ2ZjlreFJ6aHpoZ3NPL2lSR3hXQT09</t>
        </is>
      </c>
      <c r="F29" t="n">
        <v>2</v>
      </c>
      <c r="G29" t="inlineStr">
        <is>
          <t>BG002, BG005</t>
        </is>
      </c>
      <c r="H29" t="inlineStr">
        <is>
          <t>13 Agustus 2012</t>
        </is>
      </c>
      <c r="I29" s="2" t="n">
        <v>46315</v>
      </c>
      <c r="J29" t="inlineStr">
        <is>
          <t>Disetujui</t>
        </is>
      </c>
      <c r="K29" t="n">
        <v>90</v>
      </c>
      <c r="L29" t="inlineStr">
        <is>
          <t>20 Oktober 2026</t>
        </is>
      </c>
      <c r="M29" t="inlineStr">
        <is>
          <t>Konstruksi Gedung Kesehatan, Konstruksi Gedung Perkantoran</t>
        </is>
      </c>
      <c r="N29" t="inlineStr">
        <is>
          <t>K</t>
        </is>
      </c>
      <c r="O29" t="inlineStr">
        <is>
          <t>20230913, 20231019</t>
        </is>
      </c>
      <c r="P29" t="inlineStr">
        <is>
          <t>Jawa Tengah</t>
        </is>
      </c>
      <c r="Q29" t="inlineStr"/>
    </row>
    <row r="30">
      <c r="A30" t="inlineStr">
        <is>
          <t>EMPAT SEKION GROUP</t>
        </is>
      </c>
      <c r="B30" t="inlineStr">
        <is>
          <t>Kota Langsa</t>
        </is>
      </c>
      <c r="C30" t="inlineStr">
        <is>
          <t>085260122690</t>
        </is>
      </c>
      <c r="D30" t="inlineStr">
        <is>
          <t>cv.empatsekiongroup@gmail.com</t>
        </is>
      </c>
      <c r="E30" t="inlineStr">
        <is>
          <t>https://lpjk.pu.go.id/search-badan-usaha-detail/T2tJR2VGc1JzTUFwZkFxbGFCSy9BZz09</t>
        </is>
      </c>
      <c r="F30" t="n">
        <v>1</v>
      </c>
      <c r="G30" t="inlineStr">
        <is>
          <t>BG001</t>
        </is>
      </c>
      <c r="H30" t="inlineStr">
        <is>
          <t>27 September 2023</t>
        </is>
      </c>
      <c r="I30" s="2" t="n">
        <v>46315</v>
      </c>
      <c r="J30" t="inlineStr">
        <is>
          <t>Disetujui</t>
        </is>
      </c>
      <c r="K30" t="n">
        <v>90</v>
      </c>
      <c r="L30" t="inlineStr">
        <is>
          <t>20 Oktober 2026</t>
        </is>
      </c>
      <c r="M30" t="inlineStr">
        <is>
          <t>Konstruksi Gedung Hunian</t>
        </is>
      </c>
      <c r="N30" t="inlineStr">
        <is>
          <t>K</t>
        </is>
      </c>
      <c r="O30" t="inlineStr">
        <is>
          <t>20231014</t>
        </is>
      </c>
      <c r="P30" t="inlineStr">
        <is>
          <t>Aceh</t>
        </is>
      </c>
      <c r="Q30" t="inlineStr"/>
    </row>
    <row r="31">
      <c r="A31" t="inlineStr">
        <is>
          <t>ENAM SATU ENAM PROJECT</t>
        </is>
      </c>
      <c r="B31" t="inlineStr">
        <is>
          <t>Kab. Tanah Bumbu</t>
        </is>
      </c>
      <c r="C31" t="inlineStr">
        <is>
          <t>082251863867</t>
        </is>
      </c>
      <c r="D31" t="inlineStr">
        <is>
          <t>cv.616project@gmail.com</t>
        </is>
      </c>
      <c r="E31" t="inlineStr">
        <is>
          <t>https://lpjk.pu.go.id/search-badan-usaha-detail/QlNMbjhTVnpLRXhDT1pTbi82NENHdz09</t>
        </is>
      </c>
      <c r="F31" t="n">
        <v>1</v>
      </c>
      <c r="G31" t="inlineStr">
        <is>
          <t>BS002</t>
        </is>
      </c>
      <c r="H31" t="inlineStr">
        <is>
          <t>5 November 2021</t>
        </is>
      </c>
      <c r="I31" s="2" t="n">
        <v>46315</v>
      </c>
      <c r="J31" t="inlineStr">
        <is>
          <t>Disetujui</t>
        </is>
      </c>
      <c r="K31" t="n">
        <v>90</v>
      </c>
      <c r="L31" t="inlineStr">
        <is>
          <t>20 Oktober 2026</t>
        </is>
      </c>
      <c r="M31" t="inlineStr">
        <is>
          <t>Bangunan Sipil Jembatan, Jalan Layang, Fly Over, dan Underpass</t>
        </is>
      </c>
      <c r="N31" t="inlineStr">
        <is>
          <t>K</t>
        </is>
      </c>
      <c r="O31" t="inlineStr">
        <is>
          <t>20231019</t>
        </is>
      </c>
      <c r="P31" t="inlineStr">
        <is>
          <t>Kalimantan Selatan</t>
        </is>
      </c>
      <c r="Q31" t="inlineStr"/>
    </row>
    <row r="32">
      <c r="A32" t="inlineStr">
        <is>
          <t>GALAKSI</t>
        </is>
      </c>
      <c r="B32" t="inlineStr">
        <is>
          <t>Kab. Bondowoso</t>
        </is>
      </c>
      <c r="C32" t="inlineStr">
        <is>
          <t>082335360027</t>
        </is>
      </c>
      <c r="D32" t="inlineStr">
        <is>
          <t>cv_galaksi@yahoo.co.id</t>
        </is>
      </c>
      <c r="E32" t="inlineStr">
        <is>
          <t>https://lpjk.pu.go.id/search-badan-usaha-detail/RStaMHBPT1hHeldNVUpOU3RmazFwZz09</t>
        </is>
      </c>
      <c r="F32" t="n">
        <v>1</v>
      </c>
      <c r="G32" t="inlineStr">
        <is>
          <t>BS005</t>
        </is>
      </c>
      <c r="H32" t="inlineStr">
        <is>
          <t>9 September 1999</t>
        </is>
      </c>
      <c r="I32" s="2" t="n">
        <v>46315</v>
      </c>
      <c r="J32" t="inlineStr">
        <is>
          <t>Disetujui</t>
        </is>
      </c>
      <c r="K32" t="n">
        <v>90</v>
      </c>
      <c r="L32" t="inlineStr">
        <is>
          <t>20 Oktober 2026</t>
        </is>
      </c>
      <c r="M32" t="inlineStr">
        <is>
          <t>Konstruksi Bangunan Sipil Pengolahan Air Bersih</t>
        </is>
      </c>
      <c r="N32" t="inlineStr">
        <is>
          <t>K</t>
        </is>
      </c>
      <c r="O32" t="inlineStr">
        <is>
          <t>20231017</t>
        </is>
      </c>
      <c r="P32" t="inlineStr">
        <is>
          <t>Jawa Timur</t>
        </is>
      </c>
      <c r="Q32" t="inlineStr"/>
    </row>
    <row r="33">
      <c r="A33" t="inlineStr">
        <is>
          <t>GESANG LANGGENG PANGESTU</t>
        </is>
      </c>
      <c r="B33" t="inlineStr">
        <is>
          <t>Kota Surabaya</t>
        </is>
      </c>
      <c r="C33" t="inlineStr">
        <is>
          <t>081236669615</t>
        </is>
      </c>
      <c r="D33" t="inlineStr">
        <is>
          <t>totokriadi@yahoo.com</t>
        </is>
      </c>
      <c r="E33" t="inlineStr">
        <is>
          <t>https://lpjk.pu.go.id/search-badan-usaha-detail/VVViR1VyT2wwOXV1MmJhOXFQZDJndz09</t>
        </is>
      </c>
      <c r="F33" t="n">
        <v>2</v>
      </c>
      <c r="G33" t="inlineStr">
        <is>
          <t>BG002, BG006</t>
        </is>
      </c>
      <c r="H33" t="inlineStr">
        <is>
          <t>3 Juli 2023</t>
        </is>
      </c>
      <c r="I33" s="2" t="n">
        <v>46315</v>
      </c>
      <c r="J33" t="inlineStr">
        <is>
          <t>Disetujui</t>
        </is>
      </c>
      <c r="K33" t="n">
        <v>90</v>
      </c>
      <c r="L33" t="inlineStr">
        <is>
          <t>20 Oktober 2026</t>
        </is>
      </c>
      <c r="M33" t="inlineStr">
        <is>
          <t>Konstruksi Gedung Pendidikan, Konstruksi Gedung Perkantoran</t>
        </is>
      </c>
      <c r="N33" t="inlineStr">
        <is>
          <t>K</t>
        </is>
      </c>
      <c r="O33" t="inlineStr">
        <is>
          <t>20231018</t>
        </is>
      </c>
      <c r="P33" t="inlineStr">
        <is>
          <t>Jawa Timur</t>
        </is>
      </c>
      <c r="Q33" t="inlineStr"/>
    </row>
    <row r="34">
      <c r="A34" t="inlineStr">
        <is>
          <t>HARIYONA</t>
        </is>
      </c>
      <c r="B34" t="inlineStr">
        <is>
          <t>Kota Padang</t>
        </is>
      </c>
      <c r="C34" t="inlineStr">
        <is>
          <t>075126683</t>
        </is>
      </c>
      <c r="D34" t="inlineStr">
        <is>
          <t>hariyonabaru@gmail.com</t>
        </is>
      </c>
      <c r="E34" t="inlineStr">
        <is>
          <t>https://lpjk.pu.go.id/search-badan-usaha-detail/SVpLZ2FZam5PRE9mT0V5ZFU1QlFMUT09</t>
        </is>
      </c>
      <c r="F34" t="n">
        <v>1</v>
      </c>
      <c r="G34" t="inlineStr">
        <is>
          <t>BS001</t>
        </is>
      </c>
      <c r="H34" t="inlineStr">
        <is>
          <t>26 Mei 1997</t>
        </is>
      </c>
      <c r="I34" s="2" t="n">
        <v>46315</v>
      </c>
      <c r="J34" t="inlineStr">
        <is>
          <t>Pencabutan</t>
        </is>
      </c>
      <c r="K34" t="n">
        <v>90</v>
      </c>
      <c r="L34" t="inlineStr">
        <is>
          <t>20 Oktober 2026</t>
        </is>
      </c>
      <c r="M34" t="inlineStr">
        <is>
          <t>Konstruksi Bangunan Sipil Jalan</t>
        </is>
      </c>
      <c r="N34" t="inlineStr">
        <is>
          <t>M</t>
        </is>
      </c>
      <c r="O34" t="inlineStr">
        <is>
          <t>20220927</t>
        </is>
      </c>
      <c r="P34" t="inlineStr">
        <is>
          <t>Sumatera Barat</t>
        </is>
      </c>
      <c r="Q34" t="inlineStr"/>
    </row>
    <row r="35">
      <c r="A35" t="inlineStr">
        <is>
          <t>HENDRANATA BERKAH MANDIRI</t>
        </is>
      </c>
      <c r="B35" t="inlineStr">
        <is>
          <t>Kota Tangerang</t>
        </is>
      </c>
      <c r="C35" t="inlineStr">
        <is>
          <t>02155774012</t>
        </is>
      </c>
      <c r="D35" t="inlineStr">
        <is>
          <t>hendranata.mandiri@gmail.com</t>
        </is>
      </c>
      <c r="E35" t="inlineStr">
        <is>
          <t>https://lpjk.pu.go.id/search-badan-usaha-detail/czFqUzZuQnNaZVErTjVmU25NWGVyUT09</t>
        </is>
      </c>
      <c r="F35" t="n">
        <v>6</v>
      </c>
      <c r="G35" t="inlineStr">
        <is>
          <t>BG001, BG005, BG006, BG009, BS001, BS004</t>
        </is>
      </c>
      <c r="H35" t="inlineStr">
        <is>
          <t>17 Februari 2014</t>
        </is>
      </c>
      <c r="I35" s="2" t="n">
        <v>46315</v>
      </c>
      <c r="J35" t="inlineStr">
        <is>
          <t>Disetujui</t>
        </is>
      </c>
      <c r="K35" t="n">
        <v>90</v>
      </c>
      <c r="L35" t="inlineStr">
        <is>
          <t>20 Oktober 2026</t>
        </is>
      </c>
      <c r="M35" t="inlineStr">
        <is>
          <t>Konstruksi Bangunan Sipil Jalan, Konstruksi Gedung Hunian, Konstruksi Gedung Kesehatan, Konstruksi Gedung Lainnya, Konstruksi Gedung Pendidikan, Konstruksi Jaringan Irigasi dan Drainase</t>
        </is>
      </c>
      <c r="N35" t="inlineStr">
        <is>
          <t>K</t>
        </is>
      </c>
      <c r="O35" t="inlineStr">
        <is>
          <t>20231019</t>
        </is>
      </c>
      <c r="P35" t="inlineStr">
        <is>
          <t>Banten</t>
        </is>
      </c>
      <c r="Q35" t="inlineStr"/>
    </row>
    <row r="36">
      <c r="A36" t="inlineStr">
        <is>
          <t>IMW BUILDING GROUP</t>
        </is>
      </c>
      <c r="B36" t="inlineStr">
        <is>
          <t>Kab. Sumedang</t>
        </is>
      </c>
      <c r="C36" t="inlineStr">
        <is>
          <t>087875017045</t>
        </is>
      </c>
      <c r="D36" t="inlineStr">
        <is>
          <t>imwbuildinggroup@gmail.com</t>
        </is>
      </c>
      <c r="E36" t="inlineStr">
        <is>
          <t>https://lpjk.pu.go.id/search-badan-usaha-detail/U1dhNzBQeFh0TEhhMHpBZXpJcmFXUT09</t>
        </is>
      </c>
      <c r="F36" t="n">
        <v>2</v>
      </c>
      <c r="G36" t="inlineStr">
        <is>
          <t>BG002, BG009</t>
        </is>
      </c>
      <c r="H36" t="inlineStr">
        <is>
          <t>12 September 2023</t>
        </is>
      </c>
      <c r="I36" s="2" t="n">
        <v>46315</v>
      </c>
      <c r="J36" t="inlineStr">
        <is>
          <t>Disetujui</t>
        </is>
      </c>
      <c r="K36" t="n">
        <v>90</v>
      </c>
      <c r="L36" t="inlineStr">
        <is>
          <t>20 Oktober 2026</t>
        </is>
      </c>
      <c r="M36" t="inlineStr">
        <is>
          <t>Konstruksi Gedung Lainnya, Konstruksi Gedung Perkantoran</t>
        </is>
      </c>
      <c r="N36" t="inlineStr">
        <is>
          <t>K</t>
        </is>
      </c>
      <c r="O36" t="inlineStr">
        <is>
          <t>20231016, 20231019</t>
        </is>
      </c>
      <c r="P36" t="inlineStr">
        <is>
          <t>Jawa Barat</t>
        </is>
      </c>
      <c r="Q36" t="inlineStr"/>
    </row>
    <row r="37">
      <c r="A37" t="inlineStr">
        <is>
          <t>JANUAR PUTRA</t>
        </is>
      </c>
      <c r="B37" t="inlineStr">
        <is>
          <t>Kab. Ende</t>
        </is>
      </c>
      <c r="C37" t="inlineStr">
        <is>
          <t>08123682491</t>
        </is>
      </c>
      <c r="D37" t="inlineStr">
        <is>
          <t>cvjanuarputra@gmail.com</t>
        </is>
      </c>
      <c r="E37" t="inlineStr">
        <is>
          <t>https://lpjk.pu.go.id/search-badan-usaha-detail/RHBkSkV2Q01KdnU0RjlDVHAraWtnZz09</t>
        </is>
      </c>
      <c r="F37" t="n">
        <v>1</v>
      </c>
      <c r="G37" t="inlineStr">
        <is>
          <t>BS001</t>
        </is>
      </c>
      <c r="H37" t="inlineStr">
        <is>
          <t>8 Maret 2016</t>
        </is>
      </c>
      <c r="I37" s="2" t="n">
        <v>46315</v>
      </c>
      <c r="J37" t="inlineStr">
        <is>
          <t>Disetujui</t>
        </is>
      </c>
      <c r="K37" t="n">
        <v>90</v>
      </c>
      <c r="L37" t="inlineStr">
        <is>
          <t>20 Oktober 2026</t>
        </is>
      </c>
      <c r="M37" t="inlineStr">
        <is>
          <t>Konstruksi Bangunan Sipil Jalan</t>
        </is>
      </c>
      <c r="N37" t="inlineStr">
        <is>
          <t>K</t>
        </is>
      </c>
      <c r="O37" t="inlineStr">
        <is>
          <t>20231019</t>
        </is>
      </c>
      <c r="P37" t="inlineStr">
        <is>
          <t>Nusa Tenggara Timur</t>
        </is>
      </c>
      <c r="Q37" t="inlineStr"/>
    </row>
    <row r="38">
      <c r="A38" t="inlineStr">
        <is>
          <t>JATI MAS</t>
        </is>
      </c>
      <c r="B38" t="inlineStr">
        <is>
          <t>Kab. Jember</t>
        </is>
      </c>
      <c r="C38" t="inlineStr">
        <is>
          <t>081249672030</t>
        </is>
      </c>
      <c r="D38" t="inlineStr">
        <is>
          <t>cvjatimas121@gmail.com</t>
        </is>
      </c>
      <c r="E38" t="inlineStr">
        <is>
          <t>https://lpjk.pu.go.id/search-badan-usaha-detail/MWhTdTVGZ0xUcm9SN3U2a2ZvSkNKRlEwV0pyeXRLQVRjeHFRL21QczNsaz0</t>
        </is>
      </c>
      <c r="F38" t="n">
        <v>1</v>
      </c>
      <c r="G38" t="inlineStr">
        <is>
          <t>BG009</t>
        </is>
      </c>
      <c r="H38" t="inlineStr">
        <is>
          <t>7 Februari 2025</t>
        </is>
      </c>
      <c r="I38" s="2" t="n">
        <v>46315</v>
      </c>
      <c r="J38" t="inlineStr">
        <is>
          <t>Disetujui</t>
        </is>
      </c>
      <c r="K38" t="n">
        <v>90</v>
      </c>
      <c r="L38" t="inlineStr">
        <is>
          <t>20 Oktober 2026</t>
        </is>
      </c>
      <c r="M38" t="inlineStr">
        <is>
          <t>Konstruksi Gedung Lainnya</t>
        </is>
      </c>
      <c r="N38" t="inlineStr">
        <is>
          <t>K</t>
        </is>
      </c>
      <c r="O38" t="inlineStr">
        <is>
          <t>20231018</t>
        </is>
      </c>
      <c r="P38" t="inlineStr">
        <is>
          <t>Jawa Timur</t>
        </is>
      </c>
      <c r="Q38" t="inlineStr"/>
    </row>
    <row r="39">
      <c r="A39" t="inlineStr">
        <is>
          <t>KALIOMBO JAYA</t>
        </is>
      </c>
      <c r="B39" t="inlineStr">
        <is>
          <t>Kab. Bojonegoro</t>
        </is>
      </c>
      <c r="C39" t="inlineStr">
        <is>
          <t>081232423939</t>
        </is>
      </c>
      <c r="D39" t="inlineStr">
        <is>
          <t>baharudinahyar.legalmp@gmail.com</t>
        </is>
      </c>
      <c r="E39" t="inlineStr">
        <is>
          <t>https://lpjk.pu.go.id/search-badan-usaha-detail/QVBIWXZVVGtjczhCVlFwWVdYNzh6Zz09</t>
        </is>
      </c>
      <c r="F39" t="n">
        <v>5</v>
      </c>
      <c r="G39" t="inlineStr">
        <is>
          <t>BG001, BG002, BG005, BG006, BG009</t>
        </is>
      </c>
      <c r="H39" t="inlineStr">
        <is>
          <t>5 September 2023</t>
        </is>
      </c>
      <c r="I39" s="2" t="n">
        <v>46315</v>
      </c>
      <c r="J39" t="inlineStr">
        <is>
          <t>Disetujui</t>
        </is>
      </c>
      <c r="K39" t="n">
        <v>90</v>
      </c>
      <c r="L39" t="inlineStr">
        <is>
          <t>20 Oktober 2026</t>
        </is>
      </c>
      <c r="M39" t="inlineStr">
        <is>
          <t>Konstruksi Gedung Hunian, Konstruksi Gedung Kesehatan, Konstruksi Gedung Lainnya, Konstruksi Gedung Pendidikan, Konstruksi Gedung Perkantoran</t>
        </is>
      </c>
      <c r="N39" t="inlineStr">
        <is>
          <t>K</t>
        </is>
      </c>
      <c r="O39" t="inlineStr">
        <is>
          <t>20231020</t>
        </is>
      </c>
      <c r="P39" t="inlineStr">
        <is>
          <t>Jawa Timur</t>
        </is>
      </c>
      <c r="Q39" t="inlineStr"/>
    </row>
    <row r="40">
      <c r="A40" t="inlineStr">
        <is>
          <t>KARYA INDAH INTERNUSA</t>
        </is>
      </c>
      <c r="B40" t="inlineStr">
        <is>
          <t>Kota Surabaya</t>
        </is>
      </c>
      <c r="C40" t="inlineStr">
        <is>
          <t>0315617269</t>
        </is>
      </c>
      <c r="D40" t="inlineStr">
        <is>
          <t>kii_sby@yahoo.co.id</t>
        </is>
      </c>
      <c r="E40" t="inlineStr">
        <is>
          <t>https://lpjk.pu.go.id/search-badan-usaha-detail/QUwyZ1ZXdDAvWHVDb29acVlBMGpFZz09</t>
        </is>
      </c>
      <c r="F40" t="n">
        <v>1</v>
      </c>
      <c r="G40" t="inlineStr">
        <is>
          <t>BS001</t>
        </is>
      </c>
      <c r="H40" t="inlineStr">
        <is>
          <t>1 Juli 2008</t>
        </is>
      </c>
      <c r="I40" s="2" t="n">
        <v>46315</v>
      </c>
      <c r="J40" t="inlineStr">
        <is>
          <t>Disetujui</t>
        </is>
      </c>
      <c r="K40" t="n">
        <v>90</v>
      </c>
      <c r="L40" t="inlineStr">
        <is>
          <t>20 Oktober 2026</t>
        </is>
      </c>
      <c r="M40" t="inlineStr">
        <is>
          <t>Konstruksi Bangunan Sipil Jalan</t>
        </is>
      </c>
      <c r="N40" t="inlineStr">
        <is>
          <t>K</t>
        </is>
      </c>
      <c r="O40" t="inlineStr">
        <is>
          <t>20231005</t>
        </is>
      </c>
      <c r="P40" t="inlineStr">
        <is>
          <t>Jawa Timur</t>
        </is>
      </c>
      <c r="Q40" t="inlineStr"/>
    </row>
    <row r="41">
      <c r="A41" t="inlineStr">
        <is>
          <t>KARYA MUKTI</t>
        </is>
      </c>
      <c r="B41" t="inlineStr">
        <is>
          <t>Kab. Bojonegoro</t>
        </is>
      </c>
      <c r="C41" t="inlineStr">
        <is>
          <t>082233729676</t>
        </is>
      </c>
      <c r="D41" t="inlineStr">
        <is>
          <t>karya_mukticv@yahoo.co.id</t>
        </is>
      </c>
      <c r="E41" t="inlineStr">
        <is>
          <t>https://lpjk.pu.go.id/search-badan-usaha-detail/SFVEdkVrYURScFd1ZXdQQzZiY2Mrdz09</t>
        </is>
      </c>
      <c r="F41" t="n">
        <v>1</v>
      </c>
      <c r="G41" t="inlineStr">
        <is>
          <t>BS002</t>
        </is>
      </c>
      <c r="H41" t="inlineStr">
        <is>
          <t>21 November 2012</t>
        </is>
      </c>
      <c r="I41" s="2" t="n">
        <v>46315</v>
      </c>
      <c r="J41" t="inlineStr">
        <is>
          <t>Pencabutan</t>
        </is>
      </c>
      <c r="K41" t="n">
        <v>90</v>
      </c>
      <c r="L41" t="inlineStr">
        <is>
          <t>20 Oktober 2026</t>
        </is>
      </c>
      <c r="M41" t="inlineStr">
        <is>
          <t>Bangunan Sipil Jembatan, Jalan Layang, Fly Over, dan Underpass</t>
        </is>
      </c>
      <c r="N41" t="inlineStr">
        <is>
          <t>K</t>
        </is>
      </c>
      <c r="O41" t="inlineStr">
        <is>
          <t>20231020</t>
        </is>
      </c>
      <c r="P41" t="inlineStr">
        <is>
          <t>Jawa Timur</t>
        </is>
      </c>
      <c r="Q41" t="inlineStr"/>
    </row>
    <row r="42">
      <c r="A42" t="inlineStr">
        <is>
          <t>KARYA NATAMA</t>
        </is>
      </c>
      <c r="B42" t="inlineStr">
        <is>
          <t>Kota Medan</t>
        </is>
      </c>
      <c r="C42" t="inlineStr">
        <is>
          <t>082279856026</t>
        </is>
      </c>
      <c r="D42" t="inlineStr">
        <is>
          <t>ckaryanatama@gmail.com</t>
        </is>
      </c>
      <c r="E42" t="inlineStr">
        <is>
          <t>https://lpjk.pu.go.id/search-badan-usaha-detail/UUp3TFVQRzRyV3Y1WlJQb29hV2p6QT09</t>
        </is>
      </c>
      <c r="F42" t="n">
        <v>1</v>
      </c>
      <c r="G42" t="inlineStr">
        <is>
          <t>BS004</t>
        </is>
      </c>
      <c r="H42" t="inlineStr">
        <is>
          <t>17 September 2019</t>
        </is>
      </c>
      <c r="I42" s="2" t="n">
        <v>46315</v>
      </c>
      <c r="J42" t="inlineStr">
        <is>
          <t>Disetujui</t>
        </is>
      </c>
      <c r="K42" t="n">
        <v>90</v>
      </c>
      <c r="L42" t="inlineStr">
        <is>
          <t>20 Oktober 2026</t>
        </is>
      </c>
      <c r="M42" t="inlineStr">
        <is>
          <t>Konstruksi Jaringan Irigasi dan Drainase</t>
        </is>
      </c>
      <c r="N42" t="inlineStr">
        <is>
          <t>K</t>
        </is>
      </c>
      <c r="O42" t="inlineStr">
        <is>
          <t>20231020</t>
        </is>
      </c>
      <c r="P42" t="inlineStr">
        <is>
          <t>Sumatera Utara</t>
        </is>
      </c>
      <c r="Q42" t="inlineStr"/>
    </row>
    <row r="43">
      <c r="A43" t="inlineStr">
        <is>
          <t>KARYAWAN ELECTRIK</t>
        </is>
      </c>
      <c r="B43" t="inlineStr">
        <is>
          <t>Kota Palangkaraya</t>
        </is>
      </c>
      <c r="C43" t="inlineStr">
        <is>
          <t>05363228494</t>
        </is>
      </c>
      <c r="D43" t="inlineStr">
        <is>
          <t>kopkarelectric_pry@yahoo.com</t>
        </is>
      </c>
      <c r="E43" t="inlineStr">
        <is>
          <t>https://lpjk.pu.go.id/search-badan-usaha-detail/aWxKUXlSbVhvc0dTRVZER1EwOFZpQT09</t>
        </is>
      </c>
      <c r="F43" t="n">
        <v>1</v>
      </c>
      <c r="G43" t="inlineStr">
        <is>
          <t>BG002</t>
        </is>
      </c>
      <c r="H43" t="inlineStr">
        <is>
          <t>14 Juli 2022</t>
        </is>
      </c>
      <c r="I43" s="2" t="n">
        <v>46315</v>
      </c>
      <c r="J43" t="inlineStr">
        <is>
          <t>Disetujui</t>
        </is>
      </c>
      <c r="K43" t="n">
        <v>90</v>
      </c>
      <c r="L43" t="inlineStr">
        <is>
          <t>20 Oktober 2026</t>
        </is>
      </c>
      <c r="M43" t="inlineStr">
        <is>
          <t>Konstruksi Gedung Perkantoran</t>
        </is>
      </c>
      <c r="N43" t="inlineStr">
        <is>
          <t>K</t>
        </is>
      </c>
      <c r="O43" t="inlineStr">
        <is>
          <t>20231018</t>
        </is>
      </c>
      <c r="P43" t="inlineStr">
        <is>
          <t>Kalimantan Tengah</t>
        </is>
      </c>
      <c r="Q43" t="inlineStr"/>
    </row>
    <row r="44">
      <c r="A44" t="inlineStr">
        <is>
          <t>KAYUMAS SEJAHTERA</t>
        </is>
      </c>
      <c r="B44" t="inlineStr">
        <is>
          <t>Kab. Trenggalek</t>
        </is>
      </c>
      <c r="C44" t="inlineStr">
        <is>
          <t>081331043559</t>
        </is>
      </c>
      <c r="D44" t="inlineStr">
        <is>
          <t>kayumas32@yahoo.com</t>
        </is>
      </c>
      <c r="E44" t="inlineStr">
        <is>
          <t>https://lpjk.pu.go.id/search-badan-usaha-detail/cXFicjlXN1pjam5aZWZqclZqaVFvZz09</t>
        </is>
      </c>
      <c r="F44" t="n">
        <v>1</v>
      </c>
      <c r="G44" t="inlineStr">
        <is>
          <t>BS001</t>
        </is>
      </c>
      <c r="H44" t="inlineStr">
        <is>
          <t>1 November 2010</t>
        </is>
      </c>
      <c r="I44" s="2" t="n">
        <v>46315</v>
      </c>
      <c r="J44" t="inlineStr">
        <is>
          <t>Disetujui</t>
        </is>
      </c>
      <c r="K44" t="n">
        <v>90</v>
      </c>
      <c r="L44" t="inlineStr">
        <is>
          <t>20 Oktober 2026</t>
        </is>
      </c>
      <c r="M44" t="inlineStr">
        <is>
          <t>Konstruksi Bangunan Sipil Jalan</t>
        </is>
      </c>
      <c r="N44" t="inlineStr">
        <is>
          <t>K</t>
        </is>
      </c>
      <c r="O44" t="inlineStr">
        <is>
          <t>20231020</t>
        </is>
      </c>
      <c r="P44" t="inlineStr">
        <is>
          <t>Jawa Timur</t>
        </is>
      </c>
      <c r="Q44" t="inlineStr"/>
    </row>
    <row r="45">
      <c r="A45" t="inlineStr">
        <is>
          <t>KEMBANG KANTIL</t>
        </is>
      </c>
      <c r="B45" t="inlineStr">
        <is>
          <t>Kab. Trenggalek</t>
        </is>
      </c>
      <c r="C45" t="inlineStr">
        <is>
          <t>082232757838</t>
        </is>
      </c>
      <c r="D45" t="inlineStr">
        <is>
          <t>cvkembangkantil3@gmail.com</t>
        </is>
      </c>
      <c r="E45" t="inlineStr">
        <is>
          <t>https://lpjk.pu.go.id/search-badan-usaha-detail/bFhYaVdiS3dUR05mdGo1emMyVzBJdz09</t>
        </is>
      </c>
      <c r="F45" t="n">
        <v>1</v>
      </c>
      <c r="G45" t="inlineStr">
        <is>
          <t>BS001</t>
        </is>
      </c>
      <c r="H45" t="inlineStr">
        <is>
          <t>10 Mei 2023</t>
        </is>
      </c>
      <c r="I45" s="2" t="n">
        <v>46315</v>
      </c>
      <c r="J45" t="inlineStr">
        <is>
          <t>Disetujui</t>
        </is>
      </c>
      <c r="K45" t="n">
        <v>90</v>
      </c>
      <c r="L45" t="inlineStr">
        <is>
          <t>20 Oktober 2026</t>
        </is>
      </c>
      <c r="M45" t="inlineStr">
        <is>
          <t>Konstruksi Bangunan Sipil Jalan</t>
        </is>
      </c>
      <c r="N45" t="inlineStr">
        <is>
          <t>K</t>
        </is>
      </c>
      <c r="O45" t="inlineStr">
        <is>
          <t>20231020</t>
        </is>
      </c>
      <c r="P45" t="inlineStr">
        <is>
          <t>Jawa Timur</t>
        </is>
      </c>
      <c r="Q45" t="inlineStr"/>
    </row>
    <row r="46">
      <c r="A46" t="inlineStr">
        <is>
          <t>KHARISMA PERSADA</t>
        </is>
      </c>
      <c r="B46" t="inlineStr">
        <is>
          <t>Kab. Kutai Timur</t>
        </is>
      </c>
      <c r="C46" t="inlineStr">
        <is>
          <t>081347908546</t>
        </is>
      </c>
      <c r="D46" t="inlineStr">
        <is>
          <t>kharismapersada8@gmail.com</t>
        </is>
      </c>
      <c r="E46" t="inlineStr">
        <is>
          <t>https://lpjk.pu.go.id/search-badan-usaha-detail/bGREWXRkWW0zREQxRXEvTDVXclAzQT09</t>
        </is>
      </c>
      <c r="F46" t="n">
        <v>6</v>
      </c>
      <c r="G46" t="inlineStr">
        <is>
          <t>BG002, BG006, BG009</t>
        </is>
      </c>
      <c r="H46" t="inlineStr">
        <is>
          <t>11 Februari 2015</t>
        </is>
      </c>
      <c r="I46" s="2" t="n">
        <v>46315</v>
      </c>
      <c r="J46" t="inlineStr">
        <is>
          <t>Disetujui</t>
        </is>
      </c>
      <c r="K46" t="n">
        <v>90</v>
      </c>
      <c r="L46" t="inlineStr">
        <is>
          <t>20 Oktober 2026</t>
        </is>
      </c>
      <c r="M46" t="inlineStr">
        <is>
          <t>Konstruksi Gedung Lainnya, Konstruksi Gedung Pendidikan, Konstruksi Gedung Perkantoran</t>
        </is>
      </c>
      <c r="N46" t="inlineStr">
        <is>
          <t>K</t>
        </is>
      </c>
      <c r="O46" t="inlineStr">
        <is>
          <t>20231018</t>
        </is>
      </c>
      <c r="P46" t="inlineStr">
        <is>
          <t>Kalimantan Timur</t>
        </is>
      </c>
      <c r="Q46" t="inlineStr"/>
    </row>
    <row r="47">
      <c r="A47" t="inlineStr">
        <is>
          <t>KOBAR SENINA HUTAMA</t>
        </is>
      </c>
      <c r="B47" t="inlineStr">
        <is>
          <t>Kota Pematangsiantar</t>
        </is>
      </c>
      <c r="C47" t="inlineStr">
        <is>
          <t>081347366222</t>
        </is>
      </c>
      <c r="D47" t="inlineStr">
        <is>
          <t>kobarsenina@gmail.com</t>
        </is>
      </c>
      <c r="E47" t="inlineStr">
        <is>
          <t>https://lpjk.pu.go.id/search-badan-usaha-detail/TlFCSDhvZ0JMZFlTOEp0UjJZaHNqZz09</t>
        </is>
      </c>
      <c r="F47" t="n">
        <v>2</v>
      </c>
      <c r="G47" t="inlineStr">
        <is>
          <t>BG006, BG009</t>
        </is>
      </c>
      <c r="H47" t="inlineStr">
        <is>
          <t>20 September 2023</t>
        </is>
      </c>
      <c r="I47" s="2" t="n">
        <v>46315</v>
      </c>
      <c r="J47" t="inlineStr">
        <is>
          <t>Disetujui</t>
        </is>
      </c>
      <c r="K47" t="n">
        <v>90</v>
      </c>
      <c r="L47" t="inlineStr">
        <is>
          <t>20 Oktober 2026</t>
        </is>
      </c>
      <c r="M47" t="inlineStr">
        <is>
          <t>Konstruksi Gedung Lainnya, Konstruksi Gedung Pendidikan</t>
        </is>
      </c>
      <c r="N47" t="inlineStr">
        <is>
          <t>K</t>
        </is>
      </c>
      <c r="O47" t="inlineStr">
        <is>
          <t>20231019</t>
        </is>
      </c>
      <c r="P47" t="inlineStr">
        <is>
          <t>Sumatera Utara</t>
        </is>
      </c>
      <c r="Q47" t="inlineStr"/>
    </row>
    <row r="48">
      <c r="A48" t="inlineStr">
        <is>
          <t>KOKOH SEMESTA</t>
        </is>
      </c>
      <c r="B48" t="inlineStr">
        <is>
          <t>Kota Adm. Jakarta Utara</t>
        </is>
      </c>
      <c r="C48" t="inlineStr">
        <is>
          <t>0214401808</t>
        </is>
      </c>
      <c r="D48" t="inlineStr">
        <is>
          <t>indrawan_djaja@kokohsemesta.com</t>
        </is>
      </c>
      <c r="E48" t="inlineStr">
        <is>
          <t>https://lpjk.pu.go.id/search-badan-usaha-detail/VkNkd0d0bUN4UG5nNzFRRFlKRlZOdz09</t>
        </is>
      </c>
      <c r="F48" t="n">
        <v>1</v>
      </c>
      <c r="G48" t="inlineStr">
        <is>
          <t>IN003</t>
        </is>
      </c>
      <c r="H48" t="inlineStr">
        <is>
          <t>8 Oktober 1980</t>
        </is>
      </c>
      <c r="I48" s="2" t="n">
        <v>46315</v>
      </c>
      <c r="J48" t="inlineStr">
        <is>
          <t>Pembekuan</t>
        </is>
      </c>
      <c r="K48" t="n">
        <v>90</v>
      </c>
      <c r="L48" t="inlineStr">
        <is>
          <t>20 Oktober 2026</t>
        </is>
      </c>
      <c r="M48" t="inlineStr">
        <is>
          <t>Instalasi Peralatan Infrastruktur Pertambangan dan Manufaktur</t>
        </is>
      </c>
      <c r="N48" t="inlineStr">
        <is>
          <t>Spesialis</t>
        </is>
      </c>
      <c r="O48" t="inlineStr">
        <is>
          <t>20231013</t>
        </is>
      </c>
      <c r="P48" t="inlineStr">
        <is>
          <t>DKI Jakarta</t>
        </is>
      </c>
      <c r="Q48" t="inlineStr"/>
    </row>
    <row r="49">
      <c r="A49" t="inlineStr">
        <is>
          <t>MAHA KARYA SULASWARA</t>
        </is>
      </c>
      <c r="B49" t="inlineStr">
        <is>
          <t>Kota Bandung</t>
        </is>
      </c>
      <c r="C49" t="inlineStr">
        <is>
          <t>085721136380</t>
        </is>
      </c>
      <c r="D49" t="inlineStr">
        <is>
          <t>mahakaryasulaswara@gmail.com</t>
        </is>
      </c>
      <c r="E49" t="inlineStr">
        <is>
          <t>https://lpjk.pu.go.id/search-badan-usaha-detail/SEVYOEFHZEdHMmhEdFFtVkxoMmQ5dz09</t>
        </is>
      </c>
      <c r="F49" t="n">
        <v>6</v>
      </c>
      <c r="G49" t="inlineStr">
        <is>
          <t>BG002, BG005, BG006, BG009, BS001, BS004</t>
        </is>
      </c>
      <c r="H49" t="inlineStr">
        <is>
          <t>1 Februari 2023</t>
        </is>
      </c>
      <c r="I49" s="2" t="n">
        <v>46315</v>
      </c>
      <c r="J49" t="inlineStr">
        <is>
          <t>Disetujui</t>
        </is>
      </c>
      <c r="K49" t="n">
        <v>90</v>
      </c>
      <c r="L49" t="inlineStr">
        <is>
          <t>20 Oktober 2026</t>
        </is>
      </c>
      <c r="M49" t="inlineStr">
        <is>
          <t>Konstruksi Bangunan Sipil Jalan, Konstruksi Gedung Kesehatan, Konstruksi Gedung Lainnya, Konstruksi Gedung Pendidikan, Konstruksi Gedung Perkantoran, Konstruksi Jaringan Irigasi dan Drainase</t>
        </is>
      </c>
      <c r="N49" t="inlineStr">
        <is>
          <t>K</t>
        </is>
      </c>
      <c r="O49" t="inlineStr">
        <is>
          <t>20231018</t>
        </is>
      </c>
      <c r="P49" t="inlineStr">
        <is>
          <t>Jawa Barat</t>
        </is>
      </c>
      <c r="Q49" t="inlineStr"/>
    </row>
    <row r="50">
      <c r="A50" t="inlineStr">
        <is>
          <t>MANDIRI KIAN SEJATI</t>
        </is>
      </c>
      <c r="B50" t="inlineStr">
        <is>
          <t>Kota Batam</t>
        </is>
      </c>
      <c r="C50" t="inlineStr">
        <is>
          <t>085264667730</t>
        </is>
      </c>
      <c r="D50" t="inlineStr">
        <is>
          <t>mandirikiansejati@gmail.com</t>
        </is>
      </c>
      <c r="E50" t="inlineStr">
        <is>
          <t>https://lpjk.pu.go.id/search-badan-usaha-detail/SU1aa2h5KzBEQTAvZkFtcFZRMCtUdz09</t>
        </is>
      </c>
      <c r="F50" t="n">
        <v>1</v>
      </c>
      <c r="G50" t="inlineStr">
        <is>
          <t>BS002</t>
        </is>
      </c>
      <c r="H50" t="inlineStr">
        <is>
          <t>10 Juli 2023</t>
        </is>
      </c>
      <c r="I50" s="2" t="n">
        <v>46315</v>
      </c>
      <c r="J50" t="inlineStr">
        <is>
          <t>Disetujui</t>
        </is>
      </c>
      <c r="K50" t="n">
        <v>90</v>
      </c>
      <c r="L50" t="inlineStr">
        <is>
          <t>20 Oktober 2026</t>
        </is>
      </c>
      <c r="M50" t="inlineStr">
        <is>
          <t>Bangunan Sipil Jembatan, Jalan Layang, Fly Over, dan Underpass</t>
        </is>
      </c>
      <c r="N50" t="inlineStr">
        <is>
          <t>K</t>
        </is>
      </c>
      <c r="O50" t="inlineStr">
        <is>
          <t>20231017</t>
        </is>
      </c>
      <c r="P50" t="inlineStr">
        <is>
          <t>Kepulauan Riau</t>
        </is>
      </c>
      <c r="Q50" t="inlineStr"/>
    </row>
    <row r="51">
      <c r="A51" t="inlineStr">
        <is>
          <t>MARGA PERTIWI SEJATI</t>
        </is>
      </c>
      <c r="B51" t="inlineStr">
        <is>
          <t>Kota Surabaya</t>
        </is>
      </c>
      <c r="C51" t="inlineStr">
        <is>
          <t>0318275577</t>
        </is>
      </c>
      <c r="D51" t="inlineStr">
        <is>
          <t>pt.margapertiwisejati@gmail.com</t>
        </is>
      </c>
      <c r="E51" t="inlineStr">
        <is>
          <t>https://lpjk.pu.go.id/search-badan-usaha-detail/Y1hweGlnT0pqNy93b25uMnEvQVJxQT09</t>
        </is>
      </c>
      <c r="F51" t="n">
        <v>1</v>
      </c>
      <c r="G51" t="inlineStr">
        <is>
          <t>BS001</t>
        </is>
      </c>
      <c r="H51" t="inlineStr">
        <is>
          <t>13 Januari 2004</t>
        </is>
      </c>
      <c r="I51" s="2" t="n">
        <v>46315</v>
      </c>
      <c r="J51" t="inlineStr">
        <is>
          <t>Pencabutan</t>
        </is>
      </c>
      <c r="K51" t="n">
        <v>90</v>
      </c>
      <c r="L51" t="inlineStr">
        <is>
          <t>20 Oktober 2026</t>
        </is>
      </c>
      <c r="M51" t="inlineStr">
        <is>
          <t>Konstruksi Bangunan Sipil Jalan</t>
        </is>
      </c>
      <c r="N51" t="inlineStr">
        <is>
          <t>K</t>
        </is>
      </c>
      <c r="O51" t="inlineStr">
        <is>
          <t>20231018</t>
        </is>
      </c>
      <c r="P51" t="inlineStr">
        <is>
          <t>Jawa Timur</t>
        </is>
      </c>
      <c r="Q51" t="inlineStr"/>
    </row>
    <row r="52">
      <c r="A52" t="inlineStr">
        <is>
          <t>MATRA PRIMA ASRI</t>
        </is>
      </c>
      <c r="B52" t="inlineStr">
        <is>
          <t>Kota Padang</t>
        </is>
      </c>
      <c r="C52" t="inlineStr">
        <is>
          <t>0811665100</t>
        </is>
      </c>
      <c r="D52" t="inlineStr">
        <is>
          <t>ptmatraprimaasri123@gmail.com</t>
        </is>
      </c>
      <c r="E52" t="inlineStr">
        <is>
          <t>https://lpjk.pu.go.id/search-badan-usaha-detail/YkpNY3lveHJlZ3RQOEtxbVJ4ZUtIUT09</t>
        </is>
      </c>
      <c r="F52" t="n">
        <v>4</v>
      </c>
      <c r="G52" t="inlineStr">
        <is>
          <t>BG001</t>
        </is>
      </c>
      <c r="H52" t="inlineStr">
        <is>
          <t>4 Juni 2013</t>
        </is>
      </c>
      <c r="I52" s="2" t="n">
        <v>46315</v>
      </c>
      <c r="J52" t="inlineStr">
        <is>
          <t>Disetujui</t>
        </is>
      </c>
      <c r="K52" t="n">
        <v>90</v>
      </c>
      <c r="L52" t="inlineStr">
        <is>
          <t>20 Oktober 2026</t>
        </is>
      </c>
      <c r="M52" t="inlineStr">
        <is>
          <t>Konstruksi Gedung Hunian</t>
        </is>
      </c>
      <c r="N52" t="inlineStr">
        <is>
          <t>K</t>
        </is>
      </c>
      <c r="O52" t="inlineStr">
        <is>
          <t>20230828</t>
        </is>
      </c>
      <c r="P52" t="inlineStr">
        <is>
          <t>Sumatera Barat</t>
        </is>
      </c>
      <c r="Q52" t="inlineStr"/>
    </row>
    <row r="53">
      <c r="A53" t="inlineStr">
        <is>
          <t>MEGANA KARYA KONSTRUKSI</t>
        </is>
      </c>
      <c r="B53" t="inlineStr">
        <is>
          <t>Kota Batam</t>
        </is>
      </c>
      <c r="C53" t="inlineStr">
        <is>
          <t>081217773733</t>
        </is>
      </c>
      <c r="D53" t="inlineStr">
        <is>
          <t>ptmeganakaryakonstruksi@gmail.com</t>
        </is>
      </c>
      <c r="E53" t="inlineStr">
        <is>
          <t>https://lpjk.pu.go.id/search-badan-usaha-detail/UVJLSkd1UFdsT0RHclNrMW50Wk5Pdz09</t>
        </is>
      </c>
      <c r="F53" t="n">
        <v>4</v>
      </c>
      <c r="G53" t="inlineStr">
        <is>
          <t>BG001, BG004</t>
        </is>
      </c>
      <c r="H53" t="inlineStr">
        <is>
          <t>19 Mei 2023</t>
        </is>
      </c>
      <c r="I53" s="2" t="n">
        <v>46315</v>
      </c>
      <c r="J53" t="inlineStr">
        <is>
          <t>Pencabutan</t>
        </is>
      </c>
      <c r="K53" t="n">
        <v>90</v>
      </c>
      <c r="L53" t="inlineStr">
        <is>
          <t>20 Oktober 2026</t>
        </is>
      </c>
      <c r="M53" t="inlineStr">
        <is>
          <t>Konstruksi Gedung Hunian, Konstruksi Gedung Perbelanjaan</t>
        </is>
      </c>
      <c r="N53" t="inlineStr">
        <is>
          <t>K</t>
        </is>
      </c>
      <c r="O53" t="inlineStr">
        <is>
          <t>20230919</t>
        </is>
      </c>
      <c r="P53" t="inlineStr">
        <is>
          <t>Kepulauan Riau</t>
        </is>
      </c>
      <c r="Q53" t="inlineStr"/>
    </row>
    <row r="54">
      <c r="A54" t="inlineStr">
        <is>
          <t>MENARA INDOJAYA</t>
        </is>
      </c>
      <c r="B54" t="inlineStr">
        <is>
          <t>Kab. Trenggalek</t>
        </is>
      </c>
      <c r="C54" t="inlineStr">
        <is>
          <t>081234466444</t>
        </is>
      </c>
      <c r="D54" t="inlineStr">
        <is>
          <t>cvmenaraindojaya@gmail.com</t>
        </is>
      </c>
      <c r="E54" t="inlineStr">
        <is>
          <t>https://lpjk.pu.go.id/search-badan-usaha-detail/NlU1eE1YUmZYeGpYZ3JvZEVhZVhPUT09</t>
        </is>
      </c>
      <c r="F54" t="n">
        <v>1</v>
      </c>
      <c r="G54" t="inlineStr">
        <is>
          <t>BS001</t>
        </is>
      </c>
      <c r="H54" t="inlineStr">
        <is>
          <t>20 Mei 2014</t>
        </is>
      </c>
      <c r="I54" s="2" t="n">
        <v>46315</v>
      </c>
      <c r="J54" t="inlineStr">
        <is>
          <t>Disetujui</t>
        </is>
      </c>
      <c r="K54" t="n">
        <v>90</v>
      </c>
      <c r="L54" t="inlineStr">
        <is>
          <t>20 Oktober 2026</t>
        </is>
      </c>
      <c r="M54" t="inlineStr">
        <is>
          <t>Konstruksi Bangunan Sipil Jalan</t>
        </is>
      </c>
      <c r="N54" t="inlineStr">
        <is>
          <t>K</t>
        </is>
      </c>
      <c r="O54" t="inlineStr">
        <is>
          <t>20231018</t>
        </is>
      </c>
      <c r="P54" t="inlineStr">
        <is>
          <t>Jawa Timur</t>
        </is>
      </c>
      <c r="Q54" t="inlineStr"/>
    </row>
    <row r="55">
      <c r="A55" t="inlineStr">
        <is>
          <t>METADATA TEKNIK INFRASIS</t>
        </is>
      </c>
      <c r="B55" t="inlineStr">
        <is>
          <t>Kota Tangerang</t>
        </is>
      </c>
      <c r="C55" t="inlineStr">
        <is>
          <t>081210503316</t>
        </is>
      </c>
      <c r="D55" t="inlineStr">
        <is>
          <t>intan@metadatateknik.com</t>
        </is>
      </c>
      <c r="E55" t="inlineStr">
        <is>
          <t>https://lpjk.pu.go.id/search-badan-usaha-detail/UTR5N3ZLSmhOZWxDdVhHQkp5cU9UZz09</t>
        </is>
      </c>
      <c r="F55" t="n">
        <v>1</v>
      </c>
      <c r="G55" t="inlineStr">
        <is>
          <t>IN006</t>
        </is>
      </c>
      <c r="H55" t="inlineStr">
        <is>
          <t>29 September 2020</t>
        </is>
      </c>
      <c r="I55" s="2" t="n">
        <v>46315</v>
      </c>
      <c r="J55" t="inlineStr">
        <is>
          <t>Pembekuan</t>
        </is>
      </c>
      <c r="K55" t="n">
        <v>90</v>
      </c>
      <c r="L55" t="inlineStr">
        <is>
          <t>20 Oktober 2026</t>
        </is>
      </c>
      <c r="M55" t="inlineStr">
        <is>
          <t>Instalasi Elektronika</t>
        </is>
      </c>
      <c r="N55" t="inlineStr">
        <is>
          <t>Spesialis</t>
        </is>
      </c>
      <c r="O55" t="inlineStr">
        <is>
          <t>20230919</t>
        </is>
      </c>
      <c r="P55" t="inlineStr">
        <is>
          <t>Banten</t>
        </is>
      </c>
      <c r="Q55" t="inlineStr"/>
    </row>
    <row r="56">
      <c r="A56" t="inlineStr">
        <is>
          <t>MOJO JOYO</t>
        </is>
      </c>
      <c r="B56" t="inlineStr">
        <is>
          <t>Kab. Bulungan</t>
        </is>
      </c>
      <c r="C56" t="inlineStr">
        <is>
          <t>082251520947</t>
        </is>
      </c>
      <c r="D56" t="inlineStr">
        <is>
          <t>mojojoyo1010@gmail.com</t>
        </is>
      </c>
      <c r="E56" t="inlineStr">
        <is>
          <t>https://lpjk.pu.go.id/search-badan-usaha-detail/ZkJkSTd5c2pIdkRMY2pNRzg2RC9uZz09</t>
        </is>
      </c>
      <c r="F56" t="n">
        <v>5</v>
      </c>
      <c r="G56" t="inlineStr">
        <is>
          <t>BG002, BG005, BG006, BG008, BG009</t>
        </is>
      </c>
      <c r="H56" t="inlineStr">
        <is>
          <t>10 Oktober 2023</t>
        </is>
      </c>
      <c r="I56" s="2" t="n">
        <v>46315</v>
      </c>
      <c r="J56" t="inlineStr">
        <is>
          <t>Disetujui</t>
        </is>
      </c>
      <c r="K56" t="n">
        <v>90</v>
      </c>
      <c r="L56" t="inlineStr">
        <is>
          <t>20 Oktober 2026</t>
        </is>
      </c>
      <c r="M56" t="inlineStr">
        <is>
          <t>Konstruksi Gedung Kesehatan, Konstruksi Gedung Lainnya, Konstruksi Gedung Pendidikan, Konstruksi Gedung Perkantoran, Konstruksi Gedung Tempat Hiburan dan Olahraga</t>
        </is>
      </c>
      <c r="N56" t="inlineStr">
        <is>
          <t>K</t>
        </is>
      </c>
      <c r="O56" t="inlineStr">
        <is>
          <t>20231020</t>
        </is>
      </c>
      <c r="P56" t="inlineStr">
        <is>
          <t>Kalimantan Utara</t>
        </is>
      </c>
      <c r="Q56" t="inlineStr"/>
    </row>
    <row r="57">
      <c r="A57" t="inlineStr">
        <is>
          <t>MULTI PILAR MANDIRI</t>
        </is>
      </c>
      <c r="B57" t="inlineStr">
        <is>
          <t>Kab. Gresik</t>
        </is>
      </c>
      <c r="C57" t="inlineStr">
        <is>
          <t>0313980335</t>
        </is>
      </c>
      <c r="D57" t="inlineStr">
        <is>
          <t>ridharabbany4@gmail.com</t>
        </is>
      </c>
      <c r="E57" t="inlineStr">
        <is>
          <t>https://lpjk.pu.go.id/search-badan-usaha-detail/eFZrdW5haDNLWDVHNkNtRzhXL0dHdz09</t>
        </is>
      </c>
      <c r="F57" t="n">
        <v>1</v>
      </c>
      <c r="G57" t="inlineStr">
        <is>
          <t>IN001</t>
        </is>
      </c>
      <c r="H57" t="inlineStr">
        <is>
          <t>22 November 2012</t>
        </is>
      </c>
      <c r="I57" s="2" t="n">
        <v>46315</v>
      </c>
      <c r="J57" t="inlineStr">
        <is>
          <t>Disetujui</t>
        </is>
      </c>
      <c r="K57" t="n">
        <v>90</v>
      </c>
      <c r="L57" t="inlineStr">
        <is>
          <t>20 Oktober 2026</t>
        </is>
      </c>
      <c r="M57" t="inlineStr">
        <is>
          <t>Instalasi Mekanikal</t>
        </is>
      </c>
      <c r="N57" t="inlineStr">
        <is>
          <t>Spesialis</t>
        </is>
      </c>
      <c r="O57" t="inlineStr">
        <is>
          <t>20231012</t>
        </is>
      </c>
      <c r="P57" t="inlineStr">
        <is>
          <t>Jawa Timur</t>
        </is>
      </c>
      <c r="Q57" t="inlineStr"/>
    </row>
    <row r="58">
      <c r="A58" t="inlineStr">
        <is>
          <t>MULYANA KARYA SEJAHTERA</t>
        </is>
      </c>
      <c r="B58" t="inlineStr">
        <is>
          <t>Kota Cimahi</t>
        </is>
      </c>
      <c r="C58" t="inlineStr">
        <is>
          <t>0226652362</t>
        </is>
      </c>
      <c r="D58" t="inlineStr">
        <is>
          <t>mulyana.karyasejahtera@gmail.com</t>
        </is>
      </c>
      <c r="E58" t="inlineStr">
        <is>
          <t>https://lpjk.pu.go.id/search-badan-usaha-detail/UUxDR2FiZVpFeVk2L3UyTlVQY0Yrdz09</t>
        </is>
      </c>
      <c r="F58" t="n">
        <v>8</v>
      </c>
      <c r="G58" t="inlineStr">
        <is>
          <t>BG005, BG009, BS001, BS004</t>
        </is>
      </c>
      <c r="H58" t="inlineStr">
        <is>
          <t>13 Agustus 2021</t>
        </is>
      </c>
      <c r="I58" s="2" t="n">
        <v>46315</v>
      </c>
      <c r="J58" t="inlineStr">
        <is>
          <t>Disetujui</t>
        </is>
      </c>
      <c r="K58" t="n">
        <v>90</v>
      </c>
      <c r="L58" t="inlineStr">
        <is>
          <t>20 Oktober 2026</t>
        </is>
      </c>
      <c r="M58" t="inlineStr">
        <is>
          <t>Konstruksi Bangunan Sipil Jalan, Konstruksi Gedung Kesehatan, Konstruksi Gedung Lainnya, Konstruksi Jaringan Irigasi dan Drainase</t>
        </is>
      </c>
      <c r="N58" t="inlineStr">
        <is>
          <t>K</t>
        </is>
      </c>
      <c r="O58" t="inlineStr">
        <is>
          <t>20231017</t>
        </is>
      </c>
      <c r="P58" t="inlineStr">
        <is>
          <t>Jawa Barat</t>
        </is>
      </c>
      <c r="Q58" t="inlineStr"/>
    </row>
    <row r="59">
      <c r="A59" t="inlineStr">
        <is>
          <t>PANATA SARANA GROUP</t>
        </is>
      </c>
      <c r="B59" t="inlineStr">
        <is>
          <t>Kab. Brebes</t>
        </is>
      </c>
      <c r="C59" t="inlineStr">
        <is>
          <t>081542360806</t>
        </is>
      </c>
      <c r="D59" t="inlineStr">
        <is>
          <t>cv.panatasaranagroup@yahoo.co.id</t>
        </is>
      </c>
      <c r="E59" t="inlineStr">
        <is>
          <t>https://lpjk.pu.go.id/search-badan-usaha-detail/VjkwemdmaEJSeDZ6MUhscTFVcHhkdz09</t>
        </is>
      </c>
      <c r="F59" t="n">
        <v>2</v>
      </c>
      <c r="G59" t="inlineStr">
        <is>
          <t>BS001, BS004</t>
        </is>
      </c>
      <c r="H59" t="inlineStr">
        <is>
          <t>30 Oktober 1991</t>
        </is>
      </c>
      <c r="I59" s="2" t="n">
        <v>46315</v>
      </c>
      <c r="J59" t="inlineStr">
        <is>
          <t>Disetujui</t>
        </is>
      </c>
      <c r="K59" t="n">
        <v>90</v>
      </c>
      <c r="L59" t="inlineStr">
        <is>
          <t>20 Oktober 2026</t>
        </is>
      </c>
      <c r="M59" t="inlineStr">
        <is>
          <t>Konstruksi Bangunan Sipil Jalan, Konstruksi Jaringan Irigasi dan Drainase</t>
        </is>
      </c>
      <c r="N59" t="inlineStr">
        <is>
          <t>K</t>
        </is>
      </c>
      <c r="O59" t="inlineStr">
        <is>
          <t>20231017</t>
        </is>
      </c>
      <c r="P59" t="inlineStr">
        <is>
          <t>Jawa Tengah</t>
        </is>
      </c>
      <c r="Q59" t="inlineStr"/>
    </row>
    <row r="60">
      <c r="A60" t="inlineStr">
        <is>
          <t>PANCA INDAH JAYAMAHE</t>
        </is>
      </c>
      <c r="B60" t="inlineStr">
        <is>
          <t>Kota Surabaya</t>
        </is>
      </c>
      <c r="C60" t="inlineStr">
        <is>
          <t>0318291317</t>
        </is>
      </c>
      <c r="D60" t="inlineStr">
        <is>
          <t>pancaindahjayamahe.pt@gmail.com</t>
        </is>
      </c>
      <c r="E60" t="inlineStr">
        <is>
          <t>https://lpjk.pu.go.id/search-badan-usaha-detail/T0diRHNLL1B6RHg3NkhwWVFkYklUdz09</t>
        </is>
      </c>
      <c r="F60" t="n">
        <v>1</v>
      </c>
      <c r="G60" t="inlineStr">
        <is>
          <t>BG009</t>
        </is>
      </c>
      <c r="H60" t="inlineStr">
        <is>
          <t>31 Januari 2008</t>
        </is>
      </c>
      <c r="I60" s="2" t="n">
        <v>46315</v>
      </c>
      <c r="J60" t="inlineStr">
        <is>
          <t>Disetujui</t>
        </is>
      </c>
      <c r="K60" t="n">
        <v>90</v>
      </c>
      <c r="L60" t="inlineStr">
        <is>
          <t>20 Oktober 2026</t>
        </is>
      </c>
      <c r="M60" t="inlineStr">
        <is>
          <t>Konstruksi Gedung Lainnya</t>
        </is>
      </c>
      <c r="N60" t="inlineStr">
        <is>
          <t>K</t>
        </is>
      </c>
      <c r="O60" t="inlineStr">
        <is>
          <t>20231011</t>
        </is>
      </c>
      <c r="P60" t="inlineStr">
        <is>
          <t>Jawa Timur</t>
        </is>
      </c>
      <c r="Q60" t="inlineStr"/>
    </row>
    <row r="61">
      <c r="A61" t="inlineStr">
        <is>
          <t>PEMBANGUNAN MULTI SEJAHTERA</t>
        </is>
      </c>
      <c r="B61" t="inlineStr">
        <is>
          <t>Kota Denpasar</t>
        </is>
      </c>
      <c r="C61" t="inlineStr">
        <is>
          <t>082147098767</t>
        </is>
      </c>
      <c r="D61" t="inlineStr">
        <is>
          <t>cvpms854@gmail.com</t>
        </is>
      </c>
      <c r="E61" t="inlineStr">
        <is>
          <t>https://lpjk.pu.go.id/search-badan-usaha-detail/V0lmangxRnd4T25qRTFzNzU3WXR1Zz09</t>
        </is>
      </c>
      <c r="F61" t="n">
        <v>1</v>
      </c>
      <c r="G61" t="inlineStr">
        <is>
          <t>BG006</t>
        </is>
      </c>
      <c r="H61" t="inlineStr">
        <is>
          <t>26 Juli 2023</t>
        </is>
      </c>
      <c r="I61" s="2" t="n">
        <v>46315</v>
      </c>
      <c r="J61" t="inlineStr">
        <is>
          <t>Disetujui</t>
        </is>
      </c>
      <c r="K61" t="n">
        <v>90</v>
      </c>
      <c r="L61" t="inlineStr">
        <is>
          <t>20 Oktober 2026</t>
        </is>
      </c>
      <c r="M61" t="inlineStr">
        <is>
          <t>Konstruksi Gedung Pendidikan</t>
        </is>
      </c>
      <c r="N61" t="inlineStr">
        <is>
          <t>K</t>
        </is>
      </c>
      <c r="O61" t="inlineStr">
        <is>
          <t>20231013</t>
        </is>
      </c>
      <c r="P61" t="inlineStr">
        <is>
          <t>Bali</t>
        </is>
      </c>
      <c r="Q61" t="inlineStr"/>
    </row>
    <row r="62">
      <c r="A62" t="inlineStr">
        <is>
          <t>PILAR BANGUN</t>
        </is>
      </c>
      <c r="B62" t="inlineStr">
        <is>
          <t>Kab. Trenggalek</t>
        </is>
      </c>
      <c r="C62" t="inlineStr">
        <is>
          <t>081335337337</t>
        </is>
      </c>
      <c r="D62" t="inlineStr">
        <is>
          <t>ridwanpilar1980@gmail.com</t>
        </is>
      </c>
      <c r="E62" t="inlineStr">
        <is>
          <t>https://lpjk.pu.go.id/search-badan-usaha-detail/SGVDZHFzQVR0aC9jdThtUCtlbW42Zz09</t>
        </is>
      </c>
      <c r="F62" t="n">
        <v>1</v>
      </c>
      <c r="G62" t="inlineStr">
        <is>
          <t>BS005</t>
        </is>
      </c>
      <c r="H62" t="inlineStr">
        <is>
          <t>15 Januari 2018</t>
        </is>
      </c>
      <c r="I62" s="2" t="n">
        <v>46315</v>
      </c>
      <c r="J62" t="inlineStr">
        <is>
          <t>Disetujui</t>
        </is>
      </c>
      <c r="K62" t="n">
        <v>90</v>
      </c>
      <c r="L62" t="inlineStr">
        <is>
          <t>20 Oktober 2026</t>
        </is>
      </c>
      <c r="M62" t="inlineStr">
        <is>
          <t>Konstruksi Bangunan Sipil Pengolahan Air Bersih</t>
        </is>
      </c>
      <c r="N62" t="inlineStr">
        <is>
          <t>K</t>
        </is>
      </c>
      <c r="O62" t="inlineStr">
        <is>
          <t>20231011</t>
        </is>
      </c>
      <c r="P62" t="inlineStr">
        <is>
          <t>Jawa Timur</t>
        </is>
      </c>
      <c r="Q62" t="inlineStr"/>
    </row>
    <row r="63">
      <c r="A63" t="inlineStr">
        <is>
          <t>PILAR MUDA INDOTAMA</t>
        </is>
      </c>
      <c r="B63" t="inlineStr">
        <is>
          <t>Kab. Sidoarjo</t>
        </is>
      </c>
      <c r="C63" t="inlineStr">
        <is>
          <t>085791116490</t>
        </is>
      </c>
      <c r="D63" t="inlineStr">
        <is>
          <t>PILARMUDAINDOTAMA@GMAIL.COM</t>
        </is>
      </c>
      <c r="E63" t="inlineStr">
        <is>
          <t>https://lpjk.pu.go.id/search-badan-usaha-detail/M2d5elFoUlhERk5kd1JaNFhJUEE4dz09</t>
        </is>
      </c>
      <c r="F63" t="n">
        <v>1</v>
      </c>
      <c r="G63" t="inlineStr">
        <is>
          <t>BG003</t>
        </is>
      </c>
      <c r="H63" t="inlineStr">
        <is>
          <t>28 Agustus 2023</t>
        </is>
      </c>
      <c r="I63" s="2" t="n">
        <v>46315</v>
      </c>
      <c r="J63" t="inlineStr">
        <is>
          <t>Disetujui</t>
        </is>
      </c>
      <c r="K63" t="n">
        <v>90</v>
      </c>
      <c r="L63" t="inlineStr">
        <is>
          <t>20 Oktober 2026</t>
        </is>
      </c>
      <c r="M63" t="inlineStr">
        <is>
          <t>Konstruksi Gedung Industri</t>
        </is>
      </c>
      <c r="N63" t="inlineStr">
        <is>
          <t>K</t>
        </is>
      </c>
      <c r="O63" t="inlineStr">
        <is>
          <t>20231018</t>
        </is>
      </c>
      <c r="P63" t="inlineStr">
        <is>
          <t>Jawa Timur</t>
        </is>
      </c>
      <c r="Q63" t="inlineStr"/>
    </row>
    <row r="64">
      <c r="A64" t="inlineStr">
        <is>
          <t>POHON BESAR</t>
        </is>
      </c>
      <c r="B64" t="inlineStr">
        <is>
          <t>Kab. Kutai Timur</t>
        </is>
      </c>
      <c r="C64" t="inlineStr">
        <is>
          <t>085163031112</t>
        </is>
      </c>
      <c r="D64" t="inlineStr">
        <is>
          <t>pohonbesarhijau@gmail.com</t>
        </is>
      </c>
      <c r="E64" t="inlineStr">
        <is>
          <t>https://lpjk.pu.go.id/search-badan-usaha-detail/ZWIzcDZtRnJsTm9OUUZzd0FOUWVuZz09</t>
        </is>
      </c>
      <c r="F64" t="n">
        <v>2</v>
      </c>
      <c r="G64" t="inlineStr">
        <is>
          <t>BG006, BG009</t>
        </is>
      </c>
      <c r="H64" t="inlineStr">
        <is>
          <t>10 Januari 2023</t>
        </is>
      </c>
      <c r="I64" s="2" t="n">
        <v>46315</v>
      </c>
      <c r="J64" t="inlineStr">
        <is>
          <t>Disetujui</t>
        </is>
      </c>
      <c r="K64" t="n">
        <v>90</v>
      </c>
      <c r="L64" t="inlineStr">
        <is>
          <t>20 Oktober 2026</t>
        </is>
      </c>
      <c r="M64" t="inlineStr">
        <is>
          <t>Konstruksi Gedung Lainnya, Konstruksi Gedung Pendidikan</t>
        </is>
      </c>
      <c r="N64" t="inlineStr">
        <is>
          <t>K</t>
        </is>
      </c>
      <c r="O64" t="inlineStr">
        <is>
          <t>20231019</t>
        </is>
      </c>
      <c r="P64" t="inlineStr">
        <is>
          <t>Kalimantan Timur</t>
        </is>
      </c>
      <c r="Q64" t="inlineStr"/>
    </row>
    <row r="65">
      <c r="A65" t="inlineStr">
        <is>
          <t>PRABU MULIH KONSTRUKSI</t>
        </is>
      </c>
      <c r="B65" t="inlineStr">
        <is>
          <t>Kota Bandar Lampung</t>
        </is>
      </c>
      <c r="C65" t="inlineStr">
        <is>
          <t>081272475000</t>
        </is>
      </c>
      <c r="D65" t="inlineStr">
        <is>
          <t>konstruksiprabumulih@gmail.com</t>
        </is>
      </c>
      <c r="E65" t="inlineStr">
        <is>
          <t>https://lpjk.pu.go.id/search-badan-usaha-detail/YnBJdW10c1lCVGJ4MU5SSEJCN3VyZz09</t>
        </is>
      </c>
      <c r="F65" t="n">
        <v>3</v>
      </c>
      <c r="G65" t="inlineStr">
        <is>
          <t>BG001, BG009, BS005</t>
        </is>
      </c>
      <c r="H65" t="inlineStr">
        <is>
          <t>10 Januari 2011</t>
        </is>
      </c>
      <c r="I65" s="2" t="n">
        <v>46315</v>
      </c>
      <c r="J65" t="inlineStr">
        <is>
          <t>Disetujui</t>
        </is>
      </c>
      <c r="K65" t="n">
        <v>90</v>
      </c>
      <c r="L65" t="inlineStr">
        <is>
          <t>20 Oktober 2026</t>
        </is>
      </c>
      <c r="M65" t="inlineStr">
        <is>
          <t>Konstruksi Bangunan Sipil Pengolahan Air Bersih, Konstruksi Gedung Hunian, Konstruksi Gedung Lainnya</t>
        </is>
      </c>
      <c r="N65" t="inlineStr">
        <is>
          <t>K</t>
        </is>
      </c>
      <c r="O65" t="inlineStr">
        <is>
          <t>20231018, 20231019</t>
        </is>
      </c>
      <c r="P65" t="inlineStr">
        <is>
          <t>Lampung</t>
        </is>
      </c>
      <c r="Q65" t="inlineStr"/>
    </row>
    <row r="66">
      <c r="A66" t="inlineStr">
        <is>
          <t>PRANA MUDA KARYA</t>
        </is>
      </c>
      <c r="B66" t="inlineStr">
        <is>
          <t>Kota Bandar Lampung</t>
        </is>
      </c>
      <c r="C66" t="inlineStr">
        <is>
          <t>082181180114</t>
        </is>
      </c>
      <c r="D66" t="inlineStr">
        <is>
          <t>ptpranamudakarya2022@gmail.com</t>
        </is>
      </c>
      <c r="E66" t="inlineStr">
        <is>
          <t>https://lpjk.pu.go.id/search-badan-usaha-detail/U3dnNHFvQ1UrYzFUNFhMMEpnZWxKdz09</t>
        </is>
      </c>
      <c r="F66" t="n">
        <v>1</v>
      </c>
      <c r="G66" t="inlineStr">
        <is>
          <t>BG002</t>
        </is>
      </c>
      <c r="H66" t="inlineStr">
        <is>
          <t>5 Januari 2022</t>
        </is>
      </c>
      <c r="I66" s="2" t="n">
        <v>46315</v>
      </c>
      <c r="J66" t="inlineStr">
        <is>
          <t>Pencabutan</t>
        </is>
      </c>
      <c r="K66" t="n">
        <v>90</v>
      </c>
      <c r="L66" t="inlineStr">
        <is>
          <t>20 Oktober 2026</t>
        </is>
      </c>
      <c r="M66" t="inlineStr">
        <is>
          <t>Konstruksi Gedung Perkantoran</t>
        </is>
      </c>
      <c r="N66" t="inlineStr">
        <is>
          <t>K</t>
        </is>
      </c>
      <c r="O66" t="inlineStr">
        <is>
          <t>20231019</t>
        </is>
      </c>
      <c r="P66" t="inlineStr">
        <is>
          <t>Lampung</t>
        </is>
      </c>
      <c r="Q66" t="inlineStr"/>
    </row>
    <row r="67">
      <c r="A67" t="inlineStr">
        <is>
          <t>PULAU AIR CEMERLANG</t>
        </is>
      </c>
      <c r="B67" t="inlineStr">
        <is>
          <t>Kota Padang</t>
        </is>
      </c>
      <c r="C67" t="inlineStr">
        <is>
          <t>08116604040</t>
        </is>
      </c>
      <c r="D67" t="inlineStr">
        <is>
          <t>pt.pulauaircemerlang@gmail.com</t>
        </is>
      </c>
      <c r="E67" t="inlineStr">
        <is>
          <t>https://lpjk.pu.go.id/search-badan-usaha-detail/ZDluaGpVOU1WSy9YV2ZZdXdUUEdhdz09</t>
        </is>
      </c>
      <c r="F67" t="n">
        <v>1</v>
      </c>
      <c r="G67" t="inlineStr">
        <is>
          <t>BG005</t>
        </is>
      </c>
      <c r="H67" t="inlineStr">
        <is>
          <t>5 Juni 1997</t>
        </is>
      </c>
      <c r="I67" s="2" t="n">
        <v>46315</v>
      </c>
      <c r="J67" t="inlineStr">
        <is>
          <t>Disetujui</t>
        </is>
      </c>
      <c r="K67" t="n">
        <v>90</v>
      </c>
      <c r="L67" t="inlineStr">
        <is>
          <t>20 Oktober 2026</t>
        </is>
      </c>
      <c r="M67" t="inlineStr">
        <is>
          <t>Konstruksi Gedung Kesehatan</t>
        </is>
      </c>
      <c r="N67" t="inlineStr">
        <is>
          <t>M</t>
        </is>
      </c>
      <c r="O67" t="inlineStr">
        <is>
          <t>20231013</t>
        </is>
      </c>
      <c r="P67" t="inlineStr">
        <is>
          <t>Sumatera Barat</t>
        </is>
      </c>
      <c r="Q67" t="inlineStr"/>
    </row>
    <row r="68">
      <c r="A68" t="inlineStr">
        <is>
          <t>PUSAT KOPERASI PEGAWAI REPUBLIK INDONESIA</t>
        </is>
      </c>
      <c r="B68" t="inlineStr">
        <is>
          <t>Kab. Trenggalek</t>
        </is>
      </c>
      <c r="C68" t="inlineStr">
        <is>
          <t>081336686629</t>
        </is>
      </c>
      <c r="D68" t="inlineStr">
        <is>
          <t>cvpkpri@gmail.com</t>
        </is>
      </c>
      <c r="E68" t="inlineStr">
        <is>
          <t>https://lpjk.pu.go.id/search-badan-usaha-detail/UU1LWktiM25IRy9yWGJ2aDUyckpKUT09</t>
        </is>
      </c>
      <c r="F68" t="n">
        <v>2</v>
      </c>
      <c r="G68" t="inlineStr">
        <is>
          <t>BS001, BS004</t>
        </is>
      </c>
      <c r="H68" t="inlineStr">
        <is>
          <t>16 Juli 1996</t>
        </is>
      </c>
      <c r="I68" s="2" t="n">
        <v>46315</v>
      </c>
      <c r="J68" t="inlineStr">
        <is>
          <t>Disetujui</t>
        </is>
      </c>
      <c r="K68" t="n">
        <v>90</v>
      </c>
      <c r="L68" t="inlineStr">
        <is>
          <t>20 Oktober 2026</t>
        </is>
      </c>
      <c r="M68" t="inlineStr">
        <is>
          <t>Konstruksi Bangunan Sipil Jalan, Konstruksi Jaringan Irigasi dan Drainase</t>
        </is>
      </c>
      <c r="N68" t="inlineStr">
        <is>
          <t>K</t>
        </is>
      </c>
      <c r="O68" t="inlineStr">
        <is>
          <t>20231018</t>
        </is>
      </c>
      <c r="P68" t="inlineStr">
        <is>
          <t>Jawa Timur</t>
        </is>
      </c>
      <c r="Q68" t="inlineStr"/>
    </row>
    <row r="69">
      <c r="A69" t="inlineStr">
        <is>
          <t>PUTRA DIVRADJA</t>
        </is>
      </c>
      <c r="B69" t="inlineStr">
        <is>
          <t>Kab. Garut</t>
        </is>
      </c>
      <c r="C69" t="inlineStr">
        <is>
          <t>0262</t>
        </is>
      </c>
      <c r="D69" t="inlineStr">
        <is>
          <t>divradja_cv@yahoo.com</t>
        </is>
      </c>
      <c r="E69" t="inlineStr">
        <is>
          <t>https://lpjk.pu.go.id/search-badan-usaha-detail/bG9DZjF5dnF2cHlaa1VYcVhHTFFNQT09</t>
        </is>
      </c>
      <c r="F69" t="n">
        <v>1</v>
      </c>
      <c r="G69" t="inlineStr">
        <is>
          <t>BS004</t>
        </is>
      </c>
      <c r="H69" t="inlineStr">
        <is>
          <t>18 Desember 2012</t>
        </is>
      </c>
      <c r="I69" s="2" t="n">
        <v>46315</v>
      </c>
      <c r="J69" t="inlineStr">
        <is>
          <t>Disetujui</t>
        </is>
      </c>
      <c r="K69" t="n">
        <v>90</v>
      </c>
      <c r="L69" t="inlineStr">
        <is>
          <t>20 Oktober 2026</t>
        </is>
      </c>
      <c r="M69" t="inlineStr">
        <is>
          <t>Konstruksi Jaringan Irigasi dan Drainase</t>
        </is>
      </c>
      <c r="N69" t="inlineStr">
        <is>
          <t>K</t>
        </is>
      </c>
      <c r="O69" t="inlineStr">
        <is>
          <t>20231019</t>
        </is>
      </c>
      <c r="P69" t="inlineStr">
        <is>
          <t>Jawa Barat</t>
        </is>
      </c>
      <c r="Q69" t="inlineStr"/>
    </row>
    <row r="70">
      <c r="A70" t="inlineStr">
        <is>
          <t>PUTRA JAYA</t>
        </is>
      </c>
      <c r="B70" t="inlineStr">
        <is>
          <t>Kab. Kulon Progo</t>
        </is>
      </c>
      <c r="C70" t="inlineStr">
        <is>
          <t>08179434780</t>
        </is>
      </c>
      <c r="D70" t="inlineStr">
        <is>
          <t>putrajaya1758@gmail.com</t>
        </is>
      </c>
      <c r="E70" t="inlineStr">
        <is>
          <t>https://lpjk.pu.go.id/search-badan-usaha-detail/T1RKTEYzMVhWd2hIZUYybUxwVW15QT09</t>
        </is>
      </c>
      <c r="F70" t="n">
        <v>1</v>
      </c>
      <c r="G70" t="inlineStr">
        <is>
          <t>BG009</t>
        </is>
      </c>
      <c r="H70" t="inlineStr">
        <is>
          <t>17 Mei 2008</t>
        </is>
      </c>
      <c r="I70" s="2" t="n">
        <v>46315</v>
      </c>
      <c r="J70" t="inlineStr">
        <is>
          <t>Disetujui</t>
        </is>
      </c>
      <c r="K70" t="n">
        <v>90</v>
      </c>
      <c r="L70" t="inlineStr">
        <is>
          <t>20 Oktober 2026</t>
        </is>
      </c>
      <c r="M70" t="inlineStr">
        <is>
          <t>Konstruksi Gedung Lainnya</t>
        </is>
      </c>
      <c r="N70" t="inlineStr">
        <is>
          <t>K</t>
        </is>
      </c>
      <c r="O70" t="inlineStr">
        <is>
          <t>20231020</t>
        </is>
      </c>
      <c r="P70" t="inlineStr">
        <is>
          <t>DI Yogyakarta</t>
        </is>
      </c>
      <c r="Q70" t="inlineStr"/>
    </row>
    <row r="71">
      <c r="A71" t="inlineStr">
        <is>
          <t>PUTRA SARANA</t>
        </is>
      </c>
      <c r="B71" t="inlineStr">
        <is>
          <t>Kab. Tulungagung</t>
        </is>
      </c>
      <c r="C71" t="inlineStr">
        <is>
          <t>0355321246</t>
        </is>
      </c>
      <c r="D71" t="inlineStr">
        <is>
          <t>putrasaranacv72@gmail.com</t>
        </is>
      </c>
      <c r="E71" t="inlineStr">
        <is>
          <t>https://lpjk.pu.go.id/search-badan-usaha-detail/dzA3MWlXUld5V0FGcysxNVJHQXJhZz09</t>
        </is>
      </c>
      <c r="F71" t="n">
        <v>1</v>
      </c>
      <c r="G71" t="inlineStr">
        <is>
          <t>BG009</t>
        </is>
      </c>
      <c r="H71" t="inlineStr">
        <is>
          <t>3 Januari 1998</t>
        </is>
      </c>
      <c r="I71" s="2" t="n">
        <v>46315</v>
      </c>
      <c r="J71" t="inlineStr">
        <is>
          <t>Disetujui</t>
        </is>
      </c>
      <c r="K71" t="n">
        <v>90</v>
      </c>
      <c r="L71" t="inlineStr">
        <is>
          <t>20 Oktober 2026</t>
        </is>
      </c>
      <c r="M71" t="inlineStr">
        <is>
          <t>Konstruksi Gedung Lainnya</t>
        </is>
      </c>
      <c r="N71" t="inlineStr">
        <is>
          <t>K</t>
        </is>
      </c>
      <c r="O71" t="inlineStr">
        <is>
          <t>20231006</t>
        </is>
      </c>
      <c r="P71" t="inlineStr">
        <is>
          <t>Jawa Timur</t>
        </is>
      </c>
      <c r="Q71" t="inlineStr"/>
    </row>
    <row r="72">
      <c r="A72" t="inlineStr">
        <is>
          <t>PUTRI PRINGGA BAYA</t>
        </is>
      </c>
      <c r="B72" t="inlineStr">
        <is>
          <t>Kab. Indramayu</t>
        </is>
      </c>
      <c r="C72" t="inlineStr">
        <is>
          <t>08122077031</t>
        </is>
      </c>
      <c r="D72" t="inlineStr">
        <is>
          <t>putri_pringgabaya.pt@yahoo.com</t>
        </is>
      </c>
      <c r="E72" t="inlineStr">
        <is>
          <t>https://lpjk.pu.go.id/search-badan-usaha-detail/eFNSSWhBSjJhNVFJNUQvOU9GdVdKdz09</t>
        </is>
      </c>
      <c r="F72" t="n">
        <v>1</v>
      </c>
      <c r="G72" t="inlineStr">
        <is>
          <t>BG002</t>
        </is>
      </c>
      <c r="H72" t="inlineStr">
        <is>
          <t>17 Desember 2014</t>
        </is>
      </c>
      <c r="I72" s="2" t="n">
        <v>46315</v>
      </c>
      <c r="J72" t="inlineStr">
        <is>
          <t>Disetujui</t>
        </is>
      </c>
      <c r="K72" t="n">
        <v>90</v>
      </c>
      <c r="L72" t="inlineStr">
        <is>
          <t>20 Oktober 2026</t>
        </is>
      </c>
      <c r="M72" t="inlineStr">
        <is>
          <t>Konstruksi Gedung Perkantoran</t>
        </is>
      </c>
      <c r="N72" t="inlineStr">
        <is>
          <t>K</t>
        </is>
      </c>
      <c r="O72" t="inlineStr">
        <is>
          <t>20231018</t>
        </is>
      </c>
      <c r="P72" t="inlineStr">
        <is>
          <t>Jawa Barat</t>
        </is>
      </c>
      <c r="Q72" t="inlineStr"/>
    </row>
    <row r="73">
      <c r="A73" t="inlineStr">
        <is>
          <t>PUTRI TUNGGAL KONSTRUKSI</t>
        </is>
      </c>
      <c r="B73" t="inlineStr">
        <is>
          <t>Kab. Boalemo</t>
        </is>
      </c>
      <c r="C73" t="inlineStr">
        <is>
          <t>081356431760</t>
        </is>
      </c>
      <c r="D73" t="inlineStr">
        <is>
          <t>cv.putritunggalkonstruksi@gmail.com</t>
        </is>
      </c>
      <c r="E73" t="inlineStr">
        <is>
          <t>https://lpjk.pu.go.id/search-badan-usaha-detail/MkVVZHk2RFhzK1lBUVY0aHBuNEpsQT09</t>
        </is>
      </c>
      <c r="F73" t="n">
        <v>1</v>
      </c>
      <c r="G73" t="inlineStr">
        <is>
          <t>BG004</t>
        </is>
      </c>
      <c r="H73" t="inlineStr">
        <is>
          <t>29 September 2022</t>
        </is>
      </c>
      <c r="I73" s="2" t="n">
        <v>46315</v>
      </c>
      <c r="J73" t="inlineStr">
        <is>
          <t>Disetujui</t>
        </is>
      </c>
      <c r="K73" t="n">
        <v>90</v>
      </c>
      <c r="L73" t="inlineStr">
        <is>
          <t>20 Oktober 2026</t>
        </is>
      </c>
      <c r="M73" t="inlineStr">
        <is>
          <t>Konstruksi Gedung Perbelanjaan</t>
        </is>
      </c>
      <c r="N73" t="inlineStr">
        <is>
          <t>K</t>
        </is>
      </c>
      <c r="O73" t="inlineStr">
        <is>
          <t>20231016</t>
        </is>
      </c>
      <c r="P73" t="inlineStr">
        <is>
          <t>Gorontalo</t>
        </is>
      </c>
      <c r="Q73" t="inlineStr"/>
    </row>
    <row r="74">
      <c r="A74" t="inlineStr">
        <is>
          <t>RAFFASYA</t>
        </is>
      </c>
      <c r="B74" t="inlineStr">
        <is>
          <t>Kab. Tanjung Jabung Barat</t>
        </is>
      </c>
      <c r="C74" t="inlineStr">
        <is>
          <t>082281042835</t>
        </is>
      </c>
      <c r="D74" t="inlineStr">
        <is>
          <t>raffasyacv@gmail.com</t>
        </is>
      </c>
      <c r="E74" t="inlineStr">
        <is>
          <t>https://lpjk.pu.go.id/search-badan-usaha-detail/Y0ZCdHNtOXFWRmRUWXQ0UHZya21HUT09</t>
        </is>
      </c>
      <c r="F74" t="n">
        <v>2</v>
      </c>
      <c r="G74" t="inlineStr">
        <is>
          <t>BG008</t>
        </is>
      </c>
      <c r="H74" t="inlineStr">
        <is>
          <t>26 Januari 2022</t>
        </is>
      </c>
      <c r="I74" s="2" t="n">
        <v>46315</v>
      </c>
      <c r="J74" t="inlineStr">
        <is>
          <t>Disetujui</t>
        </is>
      </c>
      <c r="K74" t="n">
        <v>90</v>
      </c>
      <c r="L74" t="inlineStr">
        <is>
          <t>20 Oktober 2026</t>
        </is>
      </c>
      <c r="M74" t="inlineStr">
        <is>
          <t>Konstruksi Gedung Tempat Hiburan dan Olahraga</t>
        </is>
      </c>
      <c r="N74" t="inlineStr">
        <is>
          <t>K</t>
        </is>
      </c>
      <c r="O74" t="inlineStr">
        <is>
          <t>20231018</t>
        </is>
      </c>
      <c r="P74" t="inlineStr">
        <is>
          <t>Jambi</t>
        </is>
      </c>
      <c r="Q74" t="inlineStr"/>
    </row>
    <row r="75">
      <c r="A75" t="inlineStr">
        <is>
          <t>RANCANG BANGUN PARAMITRA</t>
        </is>
      </c>
      <c r="B75" t="inlineStr">
        <is>
          <t>Kota Bandung</t>
        </is>
      </c>
      <c r="C75" t="inlineStr">
        <is>
          <t>082120100200</t>
        </is>
      </c>
      <c r="D75" t="inlineStr">
        <is>
          <t>barosrabapa@gmail.com</t>
        </is>
      </c>
      <c r="E75" t="inlineStr">
        <is>
          <t>https://lpjk.pu.go.id/search-badan-usaha-detail/VGJEb3JKS1dwUjNYRUxMcTUzNFliQT09</t>
        </is>
      </c>
      <c r="F75" t="n">
        <v>2</v>
      </c>
      <c r="G75" t="inlineStr">
        <is>
          <t>BG001</t>
        </is>
      </c>
      <c r="H75" t="inlineStr">
        <is>
          <t>6 Agustus 2019</t>
        </is>
      </c>
      <c r="I75" s="2" t="n">
        <v>46315</v>
      </c>
      <c r="J75" t="inlineStr">
        <is>
          <t>Disetujui</t>
        </is>
      </c>
      <c r="K75" t="n">
        <v>90</v>
      </c>
      <c r="L75" t="inlineStr">
        <is>
          <t>20 Oktober 2026</t>
        </is>
      </c>
      <c r="M75" t="inlineStr">
        <is>
          <t>Konstruksi Gedung Hunian</t>
        </is>
      </c>
      <c r="N75" t="inlineStr">
        <is>
          <t>K</t>
        </is>
      </c>
      <c r="O75" t="inlineStr">
        <is>
          <t>20231019</t>
        </is>
      </c>
      <c r="P75" t="inlineStr">
        <is>
          <t>Jawa Barat</t>
        </is>
      </c>
      <c r="Q75" t="inlineStr"/>
    </row>
    <row r="76">
      <c r="A76" t="inlineStr">
        <is>
          <t>RIANDITA ADI PRATAMA</t>
        </is>
      </c>
      <c r="B76" t="inlineStr">
        <is>
          <t>Kota Surakarta</t>
        </is>
      </c>
      <c r="C76" t="inlineStr">
        <is>
          <t>082328794395</t>
        </is>
      </c>
      <c r="D76" t="inlineStr">
        <is>
          <t>pt.rianditaadipratama@yahoo.com</t>
        </is>
      </c>
      <c r="E76" t="inlineStr">
        <is>
          <t>https://lpjk.pu.go.id/search-badan-usaha-detail/bklNNS9BbW9WUklXY3JrdnNOcjQvUT09</t>
        </is>
      </c>
      <c r="F76" t="n">
        <v>1</v>
      </c>
      <c r="G76" t="inlineStr">
        <is>
          <t>BG009</t>
        </is>
      </c>
      <c r="H76" t="inlineStr">
        <is>
          <t>19 September 2019</t>
        </is>
      </c>
      <c r="I76" s="2" t="n">
        <v>46315</v>
      </c>
      <c r="J76" t="inlineStr">
        <is>
          <t>Disetujui</t>
        </is>
      </c>
      <c r="K76" t="n">
        <v>90</v>
      </c>
      <c r="L76" t="inlineStr">
        <is>
          <t>20 Oktober 2026</t>
        </is>
      </c>
      <c r="M76" t="inlineStr">
        <is>
          <t>Konstruksi Gedung Lainnya</t>
        </is>
      </c>
      <c r="N76" t="inlineStr">
        <is>
          <t>K</t>
        </is>
      </c>
      <c r="O76" t="inlineStr">
        <is>
          <t>20231020</t>
        </is>
      </c>
      <c r="P76" t="inlineStr">
        <is>
          <t>Jawa Tengah</t>
        </is>
      </c>
      <c r="Q76" t="inlineStr"/>
    </row>
    <row r="77">
      <c r="A77" t="inlineStr">
        <is>
          <t>RIZQI AMALIAH</t>
        </is>
      </c>
      <c r="B77" t="inlineStr">
        <is>
          <t>Kab. Kotawaringin Timur</t>
        </is>
      </c>
      <c r="C77" t="inlineStr">
        <is>
          <t>081349025562</t>
        </is>
      </c>
      <c r="D77" t="inlineStr">
        <is>
          <t>rizqiamaliah712@gmail.com</t>
        </is>
      </c>
      <c r="E77" t="inlineStr">
        <is>
          <t>https://lpjk.pu.go.id/search-badan-usaha-detail/TDZ5UmNMYWdnY2Z0QndtU1hWcHVVQT09</t>
        </is>
      </c>
      <c r="F77" t="n">
        <v>1</v>
      </c>
      <c r="G77" t="inlineStr">
        <is>
          <t>BS004</t>
        </is>
      </c>
      <c r="H77" t="inlineStr">
        <is>
          <t>9 Maret 2012</t>
        </is>
      </c>
      <c r="I77" s="2" t="n">
        <v>46315</v>
      </c>
      <c r="J77" t="inlineStr">
        <is>
          <t>Disetujui</t>
        </is>
      </c>
      <c r="K77" t="n">
        <v>90</v>
      </c>
      <c r="L77" t="inlineStr">
        <is>
          <t>20 Oktober 2026</t>
        </is>
      </c>
      <c r="M77" t="inlineStr">
        <is>
          <t>Konstruksi Jaringan Irigasi dan Drainase</t>
        </is>
      </c>
      <c r="N77" t="inlineStr">
        <is>
          <t>K</t>
        </is>
      </c>
      <c r="O77" t="inlineStr">
        <is>
          <t>20231018</t>
        </is>
      </c>
      <c r="P77" t="inlineStr">
        <is>
          <t>Kalimantan Tengah</t>
        </is>
      </c>
      <c r="Q77" t="inlineStr"/>
    </row>
    <row r="78">
      <c r="A78" t="inlineStr">
        <is>
          <t>SATRIA JAYA MANDIRI</t>
        </is>
      </c>
      <c r="B78" t="inlineStr">
        <is>
          <t>Kab. Kapuas Hulu</t>
        </is>
      </c>
      <c r="C78" t="inlineStr">
        <is>
          <t>082148836635</t>
        </is>
      </c>
      <c r="D78" t="inlineStr">
        <is>
          <t>satriajayamandiri219@gmail.com</t>
        </is>
      </c>
      <c r="E78" t="inlineStr">
        <is>
          <t>https://lpjk.pu.go.id/search-badan-usaha-detail/UllJd0JHdVcxRHJwVXpCVGUwMTVtZz09</t>
        </is>
      </c>
      <c r="F78" t="n">
        <v>1</v>
      </c>
      <c r="G78" t="inlineStr">
        <is>
          <t>BS002</t>
        </is>
      </c>
      <c r="H78" t="inlineStr">
        <is>
          <t>4 Maret 2020</t>
        </is>
      </c>
      <c r="I78" s="2" t="n">
        <v>46315</v>
      </c>
      <c r="J78" t="inlineStr">
        <is>
          <t>Disetujui</t>
        </is>
      </c>
      <c r="K78" t="n">
        <v>90</v>
      </c>
      <c r="L78" t="inlineStr">
        <is>
          <t>20 Oktober 2026</t>
        </is>
      </c>
      <c r="M78" t="inlineStr">
        <is>
          <t>Bangunan Sipil Jembatan, Jalan Layang, Fly Over, dan Underpass</t>
        </is>
      </c>
      <c r="N78" t="inlineStr">
        <is>
          <t>K</t>
        </is>
      </c>
      <c r="O78" t="inlineStr">
        <is>
          <t>20231020</t>
        </is>
      </c>
      <c r="P78" t="inlineStr">
        <is>
          <t>Kalimantan Barat</t>
        </is>
      </c>
      <c r="Q78" t="inlineStr"/>
    </row>
    <row r="79">
      <c r="A79" t="inlineStr">
        <is>
          <t>SATRIA SUKSES UTAMA</t>
        </is>
      </c>
      <c r="B79" t="inlineStr">
        <is>
          <t>Kota Adm. Jakarta Utara</t>
        </is>
      </c>
      <c r="C79" t="inlineStr">
        <is>
          <t>02145847811</t>
        </is>
      </c>
      <c r="D79" t="inlineStr">
        <is>
          <t>satriasuksesutama@gmail.com</t>
        </is>
      </c>
      <c r="E79" t="inlineStr">
        <is>
          <t>https://lpjk.pu.go.id/search-badan-usaha-detail/UG96SGptbklTQzF6a1ZhK1BmUGxKdz09</t>
        </is>
      </c>
      <c r="F79" t="n">
        <v>2</v>
      </c>
      <c r="G79" t="inlineStr">
        <is>
          <t>BS001, BS004</t>
        </is>
      </c>
      <c r="H79" t="inlineStr">
        <is>
          <t>31 Juli 2024</t>
        </is>
      </c>
      <c r="I79" s="2" t="n">
        <v>46315</v>
      </c>
      <c r="J79" t="inlineStr">
        <is>
          <t>Disetujui</t>
        </is>
      </c>
      <c r="K79" t="n">
        <v>90</v>
      </c>
      <c r="L79" t="inlineStr">
        <is>
          <t>20 Oktober 2026</t>
        </is>
      </c>
      <c r="M79" t="inlineStr">
        <is>
          <t>Konstruksi Bangunan Sipil Jalan, Konstruksi Jaringan Irigasi dan Drainase</t>
        </is>
      </c>
      <c r="N79" t="inlineStr">
        <is>
          <t>K</t>
        </is>
      </c>
      <c r="O79" t="inlineStr">
        <is>
          <t>20231013</t>
        </is>
      </c>
      <c r="P79" t="inlineStr">
        <is>
          <t>DKI Jakarta</t>
        </is>
      </c>
      <c r="Q79" t="inlineStr"/>
    </row>
    <row r="80">
      <c r="A80" t="inlineStr">
        <is>
          <t>SEMERU ARGAPURA</t>
        </is>
      </c>
      <c r="B80" t="inlineStr">
        <is>
          <t>Kab. Lahat</t>
        </is>
      </c>
      <c r="C80" t="inlineStr">
        <is>
          <t>082186006347</t>
        </is>
      </c>
      <c r="D80" t="inlineStr">
        <is>
          <t>semeruargapura@gmail.com</t>
        </is>
      </c>
      <c r="E80" t="inlineStr">
        <is>
          <t>https://lpjk.pu.go.id/search-badan-usaha-detail/alNRbDIrbmRNSGRCQm4xZzBnc0lpUT09</t>
        </is>
      </c>
      <c r="F80" t="n">
        <v>1</v>
      </c>
      <c r="G80" t="inlineStr">
        <is>
          <t>BS006</t>
        </is>
      </c>
      <c r="H80" t="inlineStr">
        <is>
          <t>18 Mei 2021</t>
        </is>
      </c>
      <c r="I80" s="2" t="n">
        <v>46315</v>
      </c>
      <c r="J80" t="inlineStr">
        <is>
          <t>Disetujui</t>
        </is>
      </c>
      <c r="K80" t="n">
        <v>90</v>
      </c>
      <c r="L80" t="inlineStr">
        <is>
          <t>20 Oktober 2026</t>
        </is>
      </c>
      <c r="M80" t="inlineStr">
        <is>
          <t>Konstruksi Bangunan Sipil Prasarana dan Sarana Sistem Pengolahan Limbah Padat, Cair, dan Gas</t>
        </is>
      </c>
      <c r="N80" t="inlineStr">
        <is>
          <t>K</t>
        </is>
      </c>
      <c r="O80" t="inlineStr">
        <is>
          <t>20231018</t>
        </is>
      </c>
      <c r="P80" t="inlineStr">
        <is>
          <t>Sumatera Selatan</t>
        </is>
      </c>
      <c r="Q80" t="inlineStr"/>
    </row>
    <row r="81">
      <c r="A81" t="inlineStr">
        <is>
          <t>SETIAWAN BUNDA</t>
        </is>
      </c>
      <c r="B81" t="inlineStr">
        <is>
          <t>Kota Surabaya</t>
        </is>
      </c>
      <c r="C81" t="inlineStr">
        <is>
          <t>082230140708</t>
        </is>
      </c>
      <c r="D81" t="inlineStr">
        <is>
          <t>setiawan.bunda@yahoo.com</t>
        </is>
      </c>
      <c r="E81" t="inlineStr">
        <is>
          <t>https://lpjk.pu.go.id/search-badan-usaha-detail/bXdHcUNFMlJRalltaG5qVEJpTVpvdz09</t>
        </is>
      </c>
      <c r="F81" t="n">
        <v>1</v>
      </c>
      <c r="G81" t="inlineStr">
        <is>
          <t>BS004</t>
        </is>
      </c>
      <c r="H81" t="inlineStr">
        <is>
          <t>22 Juni 2012</t>
        </is>
      </c>
      <c r="I81" s="2" t="n">
        <v>46315</v>
      </c>
      <c r="J81" t="inlineStr">
        <is>
          <t>Disetujui</t>
        </is>
      </c>
      <c r="K81" t="n">
        <v>90</v>
      </c>
      <c r="L81" t="inlineStr">
        <is>
          <t>20 Oktober 2026</t>
        </is>
      </c>
      <c r="M81" t="inlineStr">
        <is>
          <t>Konstruksi Jaringan Irigasi dan Drainase</t>
        </is>
      </c>
      <c r="N81" t="inlineStr">
        <is>
          <t>K</t>
        </is>
      </c>
      <c r="O81" t="inlineStr">
        <is>
          <t>20231017</t>
        </is>
      </c>
      <c r="P81" t="inlineStr">
        <is>
          <t>Jawa Timur</t>
        </is>
      </c>
      <c r="Q81" t="inlineStr"/>
    </row>
    <row r="82">
      <c r="A82" t="inlineStr">
        <is>
          <t>SINAR LIMA</t>
        </is>
      </c>
      <c r="B82" t="inlineStr">
        <is>
          <t>Kab. Bima</t>
        </is>
      </c>
      <c r="C82" t="inlineStr">
        <is>
          <t>081337813901</t>
        </is>
      </c>
      <c r="D82" t="inlineStr">
        <is>
          <t>buyungna929@gmail.com</t>
        </is>
      </c>
      <c r="E82" t="inlineStr">
        <is>
          <t>https://lpjk.pu.go.id/search-badan-usaha-detail/a2FrK2g4WXJUNnVJMjNJRnNnaUY4UT09</t>
        </is>
      </c>
      <c r="F82" t="n">
        <v>1</v>
      </c>
      <c r="G82" t="inlineStr">
        <is>
          <t>BG002</t>
        </is>
      </c>
      <c r="H82" t="inlineStr">
        <is>
          <t>10 Desember 2013</t>
        </is>
      </c>
      <c r="I82" s="2" t="n">
        <v>46315</v>
      </c>
      <c r="J82" t="inlineStr">
        <is>
          <t>Disetujui</t>
        </is>
      </c>
      <c r="K82" t="n">
        <v>90</v>
      </c>
      <c r="L82" t="inlineStr">
        <is>
          <t>20 Oktober 2026</t>
        </is>
      </c>
      <c r="M82" t="inlineStr">
        <is>
          <t>Konstruksi Gedung Perkantoran</t>
        </is>
      </c>
      <c r="N82" t="inlineStr">
        <is>
          <t>K</t>
        </is>
      </c>
      <c r="O82" t="inlineStr">
        <is>
          <t>20231017</t>
        </is>
      </c>
      <c r="P82" t="inlineStr">
        <is>
          <t>Nusa Tenggara Barat</t>
        </is>
      </c>
      <c r="Q82" t="inlineStr"/>
    </row>
    <row r="83">
      <c r="A83" t="inlineStr">
        <is>
          <t>SONI ELKA BERSAUDARA</t>
        </is>
      </c>
      <c r="B83" t="inlineStr">
        <is>
          <t>Kota Kendari</t>
        </is>
      </c>
      <c r="C83" t="inlineStr">
        <is>
          <t>085256462929</t>
        </is>
      </c>
      <c r="D83" t="inlineStr">
        <is>
          <t>sonielkabersaudara@gmail.com</t>
        </is>
      </c>
      <c r="E83" t="inlineStr">
        <is>
          <t>https://lpjk.pu.go.id/search-badan-usaha-detail/RWgxSTJkaVBseFkyQ2IyQzAzeFQ2QT09</t>
        </is>
      </c>
      <c r="F83" t="n">
        <v>1</v>
      </c>
      <c r="G83" t="inlineStr">
        <is>
          <t>BS002</t>
        </is>
      </c>
      <c r="H83" t="inlineStr">
        <is>
          <t>7 September 2023</t>
        </is>
      </c>
      <c r="I83" s="2" t="n">
        <v>46315</v>
      </c>
      <c r="J83" t="inlineStr">
        <is>
          <t>Disetujui</t>
        </is>
      </c>
      <c r="K83" t="n">
        <v>90</v>
      </c>
      <c r="L83" t="inlineStr">
        <is>
          <t>20 Oktober 2026</t>
        </is>
      </c>
      <c r="M83" t="inlineStr">
        <is>
          <t>Bangunan Sipil Jembatan, Jalan Layang, Fly Over, dan Underpass</t>
        </is>
      </c>
      <c r="N83" t="inlineStr">
        <is>
          <t>K</t>
        </is>
      </c>
      <c r="O83" t="inlineStr">
        <is>
          <t>20231016</t>
        </is>
      </c>
      <c r="P83" t="inlineStr">
        <is>
          <t>Sulawesi Tenggara</t>
        </is>
      </c>
      <c r="Q83" t="inlineStr"/>
    </row>
    <row r="84">
      <c r="A84" t="inlineStr">
        <is>
          <t>SWARNA CINDE RAYA</t>
        </is>
      </c>
      <c r="B84" t="inlineStr">
        <is>
          <t>Kota Palembang</t>
        </is>
      </c>
      <c r="C84" t="inlineStr">
        <is>
          <t>0811711714</t>
        </is>
      </c>
      <c r="D84" t="inlineStr">
        <is>
          <t>admin@swarnacinderaya.com</t>
        </is>
      </c>
      <c r="E84" t="inlineStr">
        <is>
          <t>https://lpjk.pu.go.id/search-badan-usaha-detail/akRPYXRFTnB2OS94RTZXTjRhNXBWZz09</t>
        </is>
      </c>
      <c r="F84" t="n">
        <v>1</v>
      </c>
      <c r="G84" t="inlineStr">
        <is>
          <t>PA001</t>
        </is>
      </c>
      <c r="H84" t="inlineStr">
        <is>
          <t>23 Maret 2004</t>
        </is>
      </c>
      <c r="I84" s="2" t="n">
        <v>46315</v>
      </c>
      <c r="J84" t="inlineStr">
        <is>
          <t>Disetujui</t>
        </is>
      </c>
      <c r="K84" t="n">
        <v>90</v>
      </c>
      <c r="L84" t="inlineStr">
        <is>
          <t>20 Oktober 2026</t>
        </is>
      </c>
      <c r="M84" t="inlineStr">
        <is>
          <t>Penyewaan Peralatan Konstruksi</t>
        </is>
      </c>
      <c r="N84" t="inlineStr">
        <is>
          <t>Spesialis</t>
        </is>
      </c>
      <c r="O84" t="inlineStr">
        <is>
          <t>20231019</t>
        </is>
      </c>
      <c r="P84" t="inlineStr">
        <is>
          <t>Sumatera Selatan</t>
        </is>
      </c>
      <c r="Q84" t="inlineStr"/>
    </row>
    <row r="85">
      <c r="A85" t="inlineStr">
        <is>
          <t>TALANG BALARIK</t>
        </is>
      </c>
      <c r="B85" t="inlineStr">
        <is>
          <t>Kab. Pesisir Selatan</t>
        </is>
      </c>
      <c r="C85" t="inlineStr">
        <is>
          <t>085263182353</t>
        </is>
      </c>
      <c r="D85" t="inlineStr">
        <is>
          <t>cvtalangbalarik@gmail.com</t>
        </is>
      </c>
      <c r="E85" t="inlineStr">
        <is>
          <t>https://lpjk.pu.go.id/search-badan-usaha-detail/ZXhVcnZBRi85RXRFUzdDY0FpVWxzdz09</t>
        </is>
      </c>
      <c r="F85" t="n">
        <v>1</v>
      </c>
      <c r="G85" t="inlineStr">
        <is>
          <t>BS004</t>
        </is>
      </c>
      <c r="H85" t="inlineStr">
        <is>
          <t>12 Desember 2006</t>
        </is>
      </c>
      <c r="I85" s="2" t="n">
        <v>46315</v>
      </c>
      <c r="J85" t="inlineStr">
        <is>
          <t>Disetujui</t>
        </is>
      </c>
      <c r="K85" t="n">
        <v>90</v>
      </c>
      <c r="L85" t="inlineStr">
        <is>
          <t>20 Oktober 2026</t>
        </is>
      </c>
      <c r="M85" t="inlineStr">
        <is>
          <t>Konstruksi Jaringan Irigasi dan Drainase</t>
        </is>
      </c>
      <c r="N85" t="inlineStr">
        <is>
          <t>K</t>
        </is>
      </c>
      <c r="O85" t="inlineStr">
        <is>
          <t>20231016</t>
        </is>
      </c>
      <c r="P85" t="inlineStr">
        <is>
          <t>Sumatera Barat</t>
        </is>
      </c>
      <c r="Q85" t="inlineStr"/>
    </row>
    <row r="86">
      <c r="A86" t="inlineStr">
        <is>
          <t>THETA KONSTRUKSI</t>
        </is>
      </c>
      <c r="B86" t="inlineStr">
        <is>
          <t>Kota Malang</t>
        </is>
      </c>
      <c r="C86" t="inlineStr">
        <is>
          <t>082131928384</t>
        </is>
      </c>
      <c r="D86" t="inlineStr">
        <is>
          <t>Thetakonstruksi@gmail.com</t>
        </is>
      </c>
      <c r="E86" t="inlineStr">
        <is>
          <t>https://lpjk.pu.go.id/search-badan-usaha-detail/bFh0YkZkbW5jL2grMVFoT3E5T1FRZz09</t>
        </is>
      </c>
      <c r="F86" t="n">
        <v>1</v>
      </c>
      <c r="G86" t="inlineStr">
        <is>
          <t>BS004</t>
        </is>
      </c>
      <c r="H86" t="inlineStr">
        <is>
          <t>23 Maret 2020</t>
        </is>
      </c>
      <c r="I86" s="2" t="n">
        <v>46315</v>
      </c>
      <c r="J86" t="inlineStr">
        <is>
          <t>Disetujui</t>
        </is>
      </c>
      <c r="K86" t="n">
        <v>90</v>
      </c>
      <c r="L86" t="inlineStr">
        <is>
          <t>20 Oktober 2026</t>
        </is>
      </c>
      <c r="M86" t="inlineStr">
        <is>
          <t>Konstruksi Jaringan Irigasi dan Drainase</t>
        </is>
      </c>
      <c r="N86" t="inlineStr">
        <is>
          <t>K</t>
        </is>
      </c>
      <c r="O86" t="inlineStr">
        <is>
          <t>20230930</t>
        </is>
      </c>
      <c r="P86" t="inlineStr">
        <is>
          <t>Jawa Timur</t>
        </is>
      </c>
      <c r="Q86" t="inlineStr"/>
    </row>
    <row r="87">
      <c r="A87" t="inlineStr">
        <is>
          <t>TORAA GRAHA UTAMA</t>
        </is>
      </c>
      <c r="B87" t="inlineStr">
        <is>
          <t>Kota Palangkaraya</t>
        </is>
      </c>
      <c r="C87" t="inlineStr">
        <is>
          <t>081345151035</t>
        </is>
      </c>
      <c r="D87" t="inlineStr">
        <is>
          <t>toraatgu.pt@gmail.com</t>
        </is>
      </c>
      <c r="E87" t="inlineStr">
        <is>
          <t>https://lpjk.pu.go.id/search-badan-usaha-detail/WUs2U1BrL0lEMUQ3UVBxSHdXc1cyUT09</t>
        </is>
      </c>
      <c r="F87" t="n">
        <v>2</v>
      </c>
      <c r="G87" t="inlineStr">
        <is>
          <t>BG009, BS001</t>
        </is>
      </c>
      <c r="H87" t="inlineStr">
        <is>
          <t>28 Juni 2004</t>
        </is>
      </c>
      <c r="I87" s="2" t="n">
        <v>46315</v>
      </c>
      <c r="J87" t="inlineStr">
        <is>
          <t>Disetujui</t>
        </is>
      </c>
      <c r="K87" t="n">
        <v>90</v>
      </c>
      <c r="L87" t="inlineStr">
        <is>
          <t>20 Oktober 2026</t>
        </is>
      </c>
      <c r="M87" t="inlineStr">
        <is>
          <t>Konstruksi Bangunan Sipil Jalan, Konstruksi Gedung Lainnya</t>
        </is>
      </c>
      <c r="N87" t="inlineStr">
        <is>
          <t>K</t>
        </is>
      </c>
      <c r="O87" t="inlineStr">
        <is>
          <t>20231018</t>
        </is>
      </c>
      <c r="P87" t="inlineStr">
        <is>
          <t>Kalimantan Tengah</t>
        </is>
      </c>
      <c r="Q87" t="inlineStr"/>
    </row>
    <row r="88">
      <c r="A88" t="inlineStr">
        <is>
          <t>TRIGUNA CAHAYA MANDIRI</t>
        </is>
      </c>
      <c r="B88" t="inlineStr">
        <is>
          <t>Kota Adm. Jakarta Selatan</t>
        </is>
      </c>
      <c r="C88" t="inlineStr">
        <is>
          <t>0217273013</t>
        </is>
      </c>
      <c r="D88" t="inlineStr">
        <is>
          <t>triguna.cm@gmail.com</t>
        </is>
      </c>
      <c r="E88" t="inlineStr">
        <is>
          <t>https://lpjk.pu.go.id/search-badan-usaha-detail/ZjNZbnpoOFB4L28zc1c4YU5neE85UT09</t>
        </is>
      </c>
      <c r="F88" t="n">
        <v>4</v>
      </c>
      <c r="G88" t="inlineStr">
        <is>
          <t>BG002, BG003, BG004, BG009</t>
        </is>
      </c>
      <c r="H88" t="inlineStr">
        <is>
          <t>26 September 2023</t>
        </is>
      </c>
      <c r="I88" s="2" t="n">
        <v>46315</v>
      </c>
      <c r="J88" t="inlineStr">
        <is>
          <t>Disetujui</t>
        </is>
      </c>
      <c r="K88" t="n">
        <v>90</v>
      </c>
      <c r="L88" t="inlineStr">
        <is>
          <t>20 Oktober 2026</t>
        </is>
      </c>
      <c r="M88" t="inlineStr">
        <is>
          <t>Konstruksi Gedung Industri, Konstruksi Gedung Lainnya, Konstruksi Gedung Perbelanjaan, Konstruksi Gedung Perkantoran</t>
        </is>
      </c>
      <c r="N88" t="inlineStr">
        <is>
          <t>K</t>
        </is>
      </c>
      <c r="O88" t="inlineStr">
        <is>
          <t>20231012, 20231014</t>
        </is>
      </c>
      <c r="P88" t="inlineStr">
        <is>
          <t>DKI Jakarta</t>
        </is>
      </c>
      <c r="Q88" t="inlineStr"/>
    </row>
    <row r="89">
      <c r="A89" t="inlineStr">
        <is>
          <t>TRIGUNA MANDALA</t>
        </is>
      </c>
      <c r="B89" t="inlineStr">
        <is>
          <t>Kota Adm. Jakarta Barat</t>
        </is>
      </c>
      <c r="C89" t="inlineStr">
        <is>
          <t>02129659801</t>
        </is>
      </c>
      <c r="D89" t="inlineStr">
        <is>
          <t>sales@trigunamandala.co.id</t>
        </is>
      </c>
      <c r="E89" t="inlineStr">
        <is>
          <t>https://lpjk.pu.go.id/search-badan-usaha-detail/YytSVzdkUkNPZXNLbFBQWUNqTE1EUT09</t>
        </is>
      </c>
      <c r="F89" t="n">
        <v>1</v>
      </c>
      <c r="G89" t="inlineStr">
        <is>
          <t>IN004</t>
        </is>
      </c>
      <c r="H89" t="inlineStr">
        <is>
          <t>26 April 1988</t>
        </is>
      </c>
      <c r="I89" s="2" t="n">
        <v>46315</v>
      </c>
      <c r="J89" t="inlineStr">
        <is>
          <t>Pembekuan</t>
        </is>
      </c>
      <c r="K89" t="n">
        <v>90</v>
      </c>
      <c r="L89" t="inlineStr">
        <is>
          <t>20 Oktober 2026</t>
        </is>
      </c>
      <c r="M89" t="inlineStr">
        <is>
          <t>Instalasi Minyak dan Gas</t>
        </is>
      </c>
      <c r="N89" t="inlineStr">
        <is>
          <t>Spesialis</t>
        </is>
      </c>
      <c r="O89" t="inlineStr">
        <is>
          <t>20231019</t>
        </is>
      </c>
      <c r="P89" t="inlineStr">
        <is>
          <t>DKI Jakarta</t>
        </is>
      </c>
      <c r="Q89" t="inlineStr"/>
    </row>
    <row r="90">
      <c r="A90" t="inlineStr">
        <is>
          <t>TUNAS BHAKTI SARANA</t>
        </is>
      </c>
      <c r="B90" t="inlineStr">
        <is>
          <t>Kab. Purbalingga</t>
        </is>
      </c>
      <c r="C90" t="inlineStr">
        <is>
          <t>081327670047</t>
        </is>
      </c>
      <c r="D90" t="inlineStr">
        <is>
          <t>pttunasbhaktisarana@gmail.com</t>
        </is>
      </c>
      <c r="E90" t="inlineStr">
        <is>
          <t>https://lpjk.pu.go.id/search-badan-usaha-detail/OEtZRi9kSU1iQlpoRWt0akpOU1lRZz09</t>
        </is>
      </c>
      <c r="F90" t="n">
        <v>4</v>
      </c>
      <c r="G90" t="inlineStr">
        <is>
          <t>BG002, BG004, BG005, BG006</t>
        </is>
      </c>
      <c r="H90" t="inlineStr">
        <is>
          <t>22 Juni 2012</t>
        </is>
      </c>
      <c r="I90" s="2" t="n">
        <v>46315</v>
      </c>
      <c r="J90" t="inlineStr">
        <is>
          <t>Disetujui</t>
        </is>
      </c>
      <c r="K90" t="n">
        <v>90</v>
      </c>
      <c r="L90" t="inlineStr">
        <is>
          <t>20 Oktober 2026</t>
        </is>
      </c>
      <c r="M90" t="inlineStr">
        <is>
          <t>Konstruksi Gedung Kesehatan, Konstruksi Gedung Pendidikan, Konstruksi Gedung Perbelanjaan, Konstruksi Gedung Perkantoran</t>
        </is>
      </c>
      <c r="N90" t="inlineStr">
        <is>
          <t>K</t>
        </is>
      </c>
      <c r="O90" t="inlineStr">
        <is>
          <t>20231017</t>
        </is>
      </c>
      <c r="P90" t="inlineStr">
        <is>
          <t>Jawa Tengah</t>
        </is>
      </c>
      <c r="Q90" t="inlineStr"/>
    </row>
    <row r="91">
      <c r="A91" t="inlineStr">
        <is>
          <t>USAHA MAULIDA</t>
        </is>
      </c>
      <c r="B91" t="inlineStr">
        <is>
          <t>Kab. Gresik</t>
        </is>
      </c>
      <c r="C91" t="inlineStr">
        <is>
          <t>085850922214</t>
        </is>
      </c>
      <c r="D91" t="inlineStr">
        <is>
          <t>usahamaulidah@gmail.com</t>
        </is>
      </c>
      <c r="E91" t="inlineStr">
        <is>
          <t>https://lpjk.pu.go.id/search-badan-usaha-detail/bm83R3oxU0U1VCtuNDJ5VGpUbVIvUT09</t>
        </is>
      </c>
      <c r="F91" t="n">
        <v>1</v>
      </c>
      <c r="G91" t="inlineStr">
        <is>
          <t>BS001</t>
        </is>
      </c>
      <c r="H91" t="inlineStr">
        <is>
          <t>9 Maret 2000</t>
        </is>
      </c>
      <c r="I91" s="2" t="n">
        <v>46315</v>
      </c>
      <c r="J91" t="inlineStr">
        <is>
          <t>Disetujui</t>
        </is>
      </c>
      <c r="K91" t="n">
        <v>90</v>
      </c>
      <c r="L91" t="inlineStr">
        <is>
          <t>20 Oktober 2026</t>
        </is>
      </c>
      <c r="M91" t="inlineStr">
        <is>
          <t>Konstruksi Bangunan Sipil Jalan</t>
        </is>
      </c>
      <c r="N91" t="inlineStr">
        <is>
          <t>K</t>
        </is>
      </c>
      <c r="O91" t="inlineStr">
        <is>
          <t>20231012</t>
        </is>
      </c>
      <c r="P91" t="inlineStr">
        <is>
          <t>Jawa Timur</t>
        </is>
      </c>
      <c r="Q91" t="inlineStr"/>
    </row>
    <row r="92">
      <c r="A92" t="inlineStr">
        <is>
          <t>WIJAYA PERDANA</t>
        </is>
      </c>
      <c r="B92" t="inlineStr">
        <is>
          <t>Kota Adm. Jakarta Selatan</t>
        </is>
      </c>
      <c r="C92" t="inlineStr">
        <is>
          <t>0217507322</t>
        </is>
      </c>
      <c r="D92" t="inlineStr">
        <is>
          <t>info@wijayaperdana.id</t>
        </is>
      </c>
      <c r="E92" t="inlineStr">
        <is>
          <t>https://lpjk.pu.go.id/search-badan-usaha-detail/OHhuR1gyWVZyVFFPS1RiOTZVNWRyQT09</t>
        </is>
      </c>
      <c r="F92" t="n">
        <v>2</v>
      </c>
      <c r="G92" t="inlineStr">
        <is>
          <t>BG009</t>
        </is>
      </c>
      <c r="H92" t="inlineStr">
        <is>
          <t>26 Februari 1980</t>
        </is>
      </c>
      <c r="I92" s="2" t="n">
        <v>46315</v>
      </c>
      <c r="J92" t="inlineStr">
        <is>
          <t>Pencabutan</t>
        </is>
      </c>
      <c r="K92" t="n">
        <v>90</v>
      </c>
      <c r="L92" t="inlineStr">
        <is>
          <t>20 Oktober 2026</t>
        </is>
      </c>
      <c r="M92" t="inlineStr">
        <is>
          <t>Konstruksi Gedung Lainnya</t>
        </is>
      </c>
      <c r="N92" t="inlineStr">
        <is>
          <t>M</t>
        </is>
      </c>
      <c r="O92" t="inlineStr">
        <is>
          <t>20221221</t>
        </is>
      </c>
      <c r="P92" t="inlineStr">
        <is>
          <t>DKI Jakarta</t>
        </is>
      </c>
      <c r="Q92" t="inlineStr"/>
    </row>
    <row r="93">
      <c r="A93" t="inlineStr">
        <is>
          <t>WIRATMA MAKMUR</t>
        </is>
      </c>
      <c r="B93" t="inlineStr">
        <is>
          <t>Kab. Bandung Barat</t>
        </is>
      </c>
      <c r="C93" t="inlineStr">
        <is>
          <t>082129919993</t>
        </is>
      </c>
      <c r="D93" t="inlineStr">
        <is>
          <t>wiratmamakmur@gmail.com</t>
        </is>
      </c>
      <c r="E93" t="inlineStr">
        <is>
          <t>https://lpjk.pu.go.id/search-badan-usaha-detail/L1NiNFZkUjR6b0FaVkpad2NoSEhGZz09</t>
        </is>
      </c>
      <c r="F93" t="n">
        <v>2</v>
      </c>
      <c r="G93" t="inlineStr">
        <is>
          <t>BS004</t>
        </is>
      </c>
      <c r="H93" t="inlineStr">
        <is>
          <t>17 Maret 2023</t>
        </is>
      </c>
      <c r="I93" s="2" t="n">
        <v>46315</v>
      </c>
      <c r="J93" t="inlineStr">
        <is>
          <t>Disetujui</t>
        </is>
      </c>
      <c r="K93" t="n">
        <v>90</v>
      </c>
      <c r="L93" t="inlineStr">
        <is>
          <t>20 Oktober 2026</t>
        </is>
      </c>
      <c r="M93" t="inlineStr">
        <is>
          <t>Konstruksi Jaringan Irigasi dan Drainase</t>
        </is>
      </c>
      <c r="N93" t="inlineStr">
        <is>
          <t>K</t>
        </is>
      </c>
      <c r="O93" t="inlineStr">
        <is>
          <t>20231018</t>
        </is>
      </c>
      <c r="P93" t="inlineStr">
        <is>
          <t>Jawa Barat</t>
        </is>
      </c>
      <c r="Q93" t="inlineStr"/>
    </row>
    <row r="94">
      <c r="A94" t="inlineStr">
        <is>
          <t>WISNU CAKRA BUANA</t>
        </is>
      </c>
      <c r="B94" t="inlineStr">
        <is>
          <t>Kab. Blora</t>
        </is>
      </c>
      <c r="C94" t="inlineStr">
        <is>
          <t>085226164489</t>
        </is>
      </c>
      <c r="D94" t="inlineStr">
        <is>
          <t>wisnucakrabuana700@gmail.com</t>
        </is>
      </c>
      <c r="E94" t="inlineStr">
        <is>
          <t>https://lpjk.pu.go.id/search-badan-usaha-detail/R0JyQlhVc0wyeWJoZEJIYk5jY09hdz09</t>
        </is>
      </c>
      <c r="F94" t="n">
        <v>1</v>
      </c>
      <c r="G94" t="inlineStr">
        <is>
          <t>BG005</t>
        </is>
      </c>
      <c r="H94" t="inlineStr">
        <is>
          <t>11 Februari 2021</t>
        </is>
      </c>
      <c r="I94" s="2" t="n">
        <v>46315</v>
      </c>
      <c r="J94" t="inlineStr">
        <is>
          <t>Disetujui</t>
        </is>
      </c>
      <c r="K94" t="n">
        <v>90</v>
      </c>
      <c r="L94" t="inlineStr">
        <is>
          <t>20 Oktober 2026</t>
        </is>
      </c>
      <c r="M94" t="inlineStr">
        <is>
          <t>Konstruksi Gedung Kesehatan</t>
        </is>
      </c>
      <c r="N94" t="inlineStr">
        <is>
          <t>K</t>
        </is>
      </c>
      <c r="O94" t="inlineStr">
        <is>
          <t>20231020</t>
        </is>
      </c>
      <c r="P94" t="inlineStr">
        <is>
          <t>Jawa Tengah</t>
        </is>
      </c>
      <c r="Q94" t="inlineStr"/>
    </row>
    <row r="95">
      <c r="A95" t="inlineStr">
        <is>
          <t>YUDHA BATARAJA</t>
        </is>
      </c>
      <c r="B95" t="inlineStr">
        <is>
          <t>Kab. Jayawijaya</t>
        </is>
      </c>
      <c r="C95" t="inlineStr">
        <is>
          <t>081318566731</t>
        </is>
      </c>
      <c r="D95" t="inlineStr">
        <is>
          <t>yudhabatarajapt@gmail.com</t>
        </is>
      </c>
      <c r="E95" t="inlineStr">
        <is>
          <t>https://lpjk.pu.go.id/search-badan-usaha-detail/MTd2MWlQcjhIVTV6dlJEdDNIeFFOb0E3d0xtVHFmMktCbmUzVmV4TUlpQT0</t>
        </is>
      </c>
      <c r="F95" t="n">
        <v>2</v>
      </c>
      <c r="G95" t="inlineStr">
        <is>
          <t>BG005, BS001</t>
        </is>
      </c>
      <c r="H95" t="inlineStr">
        <is>
          <t>14 Agustus 2023</t>
        </is>
      </c>
      <c r="I95" s="2" t="n">
        <v>46315</v>
      </c>
      <c r="J95" t="inlineStr">
        <is>
          <t>Disetujui</t>
        </is>
      </c>
      <c r="K95" t="n">
        <v>90</v>
      </c>
      <c r="L95" t="inlineStr">
        <is>
          <t>20 Oktober 2026</t>
        </is>
      </c>
      <c r="M95" t="inlineStr">
        <is>
          <t>Konstruksi Bangunan Sipil Jalan, Konstruksi Gedung Kesehatan</t>
        </is>
      </c>
      <c r="N95" t="inlineStr">
        <is>
          <t>M</t>
        </is>
      </c>
      <c r="O95" t="inlineStr">
        <is>
          <t>20231013, 20231018</t>
        </is>
      </c>
      <c r="P95" t="inlineStr">
        <is>
          <t>Papua Pegunungan</t>
        </is>
      </c>
      <c r="Q95" t="inlineStr"/>
    </row>
    <row r="96">
      <c r="A96" t="inlineStr">
        <is>
          <t>ZEIND QUEEN PERKASA</t>
        </is>
      </c>
      <c r="B96" t="inlineStr">
        <is>
          <t>Kab. Morowali Utara</t>
        </is>
      </c>
      <c r="C96" t="inlineStr">
        <is>
          <t>081347134977</t>
        </is>
      </c>
      <c r="D96" t="inlineStr">
        <is>
          <t>zeindqueenperkasa@gmail.com</t>
        </is>
      </c>
      <c r="E96" t="inlineStr">
        <is>
          <t>https://lpjk.pu.go.id/search-badan-usaha-detail/UllXSDhsTXR4Szk5dU05SThISjRMdz09</t>
        </is>
      </c>
      <c r="F96" t="n">
        <v>1</v>
      </c>
      <c r="G96" t="inlineStr">
        <is>
          <t>BS001</t>
        </is>
      </c>
      <c r="H96" t="inlineStr">
        <is>
          <t>20 September 2023</t>
        </is>
      </c>
      <c r="I96" s="2" t="n">
        <v>46315</v>
      </c>
      <c r="J96" t="inlineStr">
        <is>
          <t>Disetujui</t>
        </is>
      </c>
      <c r="K96" t="n">
        <v>90</v>
      </c>
      <c r="L96" t="inlineStr">
        <is>
          <t>20 Oktober 2026</t>
        </is>
      </c>
      <c r="M96" t="inlineStr">
        <is>
          <t>Konstruksi Bangunan Sipil Jalan</t>
        </is>
      </c>
      <c r="N96" t="inlineStr">
        <is>
          <t>K</t>
        </is>
      </c>
      <c r="O96" t="inlineStr">
        <is>
          <t>20231017</t>
        </is>
      </c>
      <c r="P96" t="inlineStr">
        <is>
          <t>Sulawesi Tengah</t>
        </is>
      </c>
      <c r="Q9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253"/>
  <sheetViews>
    <sheetView workbookViewId="0">
      <selection activeCell="A1" sqref="A1"/>
    </sheetView>
  </sheetViews>
  <sheetFormatPr baseColWidth="8" defaultRowHeight="15"/>
  <cols>
    <col width="44" customWidth="1" min="1" max="1"/>
    <col width="27" customWidth="1" min="2" max="2"/>
    <col width="16" customWidth="1" min="3" max="3"/>
    <col width="40" customWidth="1" min="4" max="4"/>
    <col width="50" customWidth="1" min="5" max="5"/>
    <col width="18" customWidth="1" min="6" max="6"/>
    <col width="42" customWidth="1" min="7" max="7"/>
    <col width="20" customWidth="1" min="8" max="8"/>
    <col width="28" customWidth="1" min="9" max="9"/>
    <col width="23" customWidth="1" min="10" max="10"/>
    <col width="11" customWidth="1" min="11" max="11"/>
    <col width="19" customWidth="1" min="12" max="12"/>
    <col width="50" customWidth="1" min="13" max="13"/>
    <col width="14" customWidth="1" min="14" max="14"/>
    <col width="40" customWidth="1" min="15" max="15"/>
    <col width="27" customWidth="1" min="16" max="16"/>
    <col width="50" customWidth="1" min="17" max="17"/>
  </cols>
  <sheetData>
    <row r="1">
      <c r="A1" s="1" t="inlineStr">
        <is>
          <t>Nama Perusahaan</t>
        </is>
      </c>
      <c r="B1" s="1" t="inlineStr">
        <is>
          <t>Kabupaten/Kota</t>
        </is>
      </c>
      <c r="C1" s="1" t="inlineStr">
        <is>
          <t>Telepon</t>
        </is>
      </c>
      <c r="D1" s="1" t="inlineStr">
        <is>
          <t>Email</t>
        </is>
      </c>
      <c r="E1" s="1" t="inlineStr">
        <is>
          <t>Link</t>
        </is>
      </c>
      <c r="F1" s="1" t="inlineStr">
        <is>
          <t>Jumlah KBLI 2020</t>
        </is>
      </c>
      <c r="G1" s="1" t="inlineStr">
        <is>
          <t>Kode Subklasifikasi</t>
        </is>
      </c>
      <c r="H1" s="1" t="inlineStr">
        <is>
          <t>Tanggal Ditetapkan</t>
        </is>
      </c>
      <c r="I1" s="1" t="inlineStr">
        <is>
          <t>Tanggal Habis Masa Berlaku</t>
        </is>
      </c>
      <c r="J1" s="1" t="inlineStr">
        <is>
          <t>Status</t>
        </is>
      </c>
      <c r="K1" s="1" t="inlineStr">
        <is>
          <t>Sisa Hari</t>
        </is>
      </c>
      <c r="L1" s="1" t="inlineStr">
        <is>
          <t>Tanggal Expired</t>
        </is>
      </c>
      <c r="M1" s="1" t="inlineStr">
        <is>
          <t>Subklasifikasi</t>
        </is>
      </c>
      <c r="N1" s="1" t="inlineStr">
        <is>
          <t>Kualifikasi</t>
        </is>
      </c>
      <c r="O1" s="1" t="inlineStr">
        <is>
          <t>ID Subklasifikasi</t>
        </is>
      </c>
      <c r="P1" s="1" t="inlineStr">
        <is>
          <t>Provinsi</t>
        </is>
      </c>
      <c r="Q1" s="1" t="inlineStr">
        <is>
          <t>Link WhatsApp</t>
        </is>
      </c>
    </row>
    <row r="2">
      <c r="A2" t="inlineStr">
        <is>
          <t>ABDI PUTRA KARYA</t>
        </is>
      </c>
      <c r="B2" t="inlineStr">
        <is>
          <t>Kota Bekasi</t>
        </is>
      </c>
      <c r="C2" t="inlineStr">
        <is>
          <t>02126060152</t>
        </is>
      </c>
      <c r="D2" t="inlineStr">
        <is>
          <t>pt.abdiputrakarya84@gmail.com</t>
        </is>
      </c>
      <c r="E2" t="inlineStr">
        <is>
          <t>https://lpjk.pu.go.id/search-badan-usaha-detail/QzNNcHY5YVl3WlVFMnI5QTA1d0Mwdz09</t>
        </is>
      </c>
      <c r="F2" t="n">
        <v>1</v>
      </c>
      <c r="G2" t="inlineStr">
        <is>
          <t>BG001</t>
        </is>
      </c>
      <c r="H2" t="inlineStr">
        <is>
          <t>23 Februari 2012</t>
        </is>
      </c>
      <c r="I2" s="2" t="n">
        <v>46285</v>
      </c>
      <c r="J2" t="inlineStr">
        <is>
          <t>Disetujui</t>
        </is>
      </c>
      <c r="K2" t="n">
        <v>60</v>
      </c>
      <c r="L2" t="inlineStr">
        <is>
          <t>20 September 2026</t>
        </is>
      </c>
      <c r="M2" t="inlineStr">
        <is>
          <t>Konstruksi Gedung Hunian</t>
        </is>
      </c>
      <c r="N2" t="inlineStr">
        <is>
          <t>K</t>
        </is>
      </c>
      <c r="O2" t="inlineStr">
        <is>
          <t>20230915</t>
        </is>
      </c>
      <c r="P2" t="inlineStr">
        <is>
          <t>Jawa Barat</t>
        </is>
      </c>
      <c r="Q2" t="inlineStr"/>
    </row>
    <row r="3">
      <c r="A3" t="inlineStr">
        <is>
          <t>ABIYYU RESTUZAHRA</t>
        </is>
      </c>
      <c r="B3" t="inlineStr">
        <is>
          <t>Kota Bekasi</t>
        </is>
      </c>
      <c r="C3" t="inlineStr">
        <is>
          <t>082187216033</t>
        </is>
      </c>
      <c r="D3" t="inlineStr">
        <is>
          <t>anenhadi@gmail.com</t>
        </is>
      </c>
      <c r="E3" t="inlineStr">
        <is>
          <t>https://lpjk.pu.go.id/search-badan-usaha-detail/Undkcm5yMmsxbHBremRneEEwNTZRZz09</t>
        </is>
      </c>
      <c r="F3" t="n">
        <v>1</v>
      </c>
      <c r="G3" t="inlineStr">
        <is>
          <t>BS001</t>
        </is>
      </c>
      <c r="H3" t="inlineStr">
        <is>
          <t>28 Desember 2018</t>
        </is>
      </c>
      <c r="I3" s="2" t="n">
        <v>46285</v>
      </c>
      <c r="J3" t="inlineStr">
        <is>
          <t>Disetujui</t>
        </is>
      </c>
      <c r="K3" t="n">
        <v>60</v>
      </c>
      <c r="L3" t="inlineStr">
        <is>
          <t>20 September 2026</t>
        </is>
      </c>
      <c r="M3" t="inlineStr">
        <is>
          <t>Konstruksi Bangunan Sipil Jalan</t>
        </is>
      </c>
      <c r="N3" t="inlineStr">
        <is>
          <t>K</t>
        </is>
      </c>
      <c r="O3" t="inlineStr">
        <is>
          <t>20230920</t>
        </is>
      </c>
      <c r="P3" t="inlineStr">
        <is>
          <t>Jawa Barat</t>
        </is>
      </c>
      <c r="Q3" s="3">
        <f>HYPERLINK("https://wa.me/6282187216033?text=*[PENGINGAT MASA BERLAKU SBU ABIYYU RESTUZAHRA]*%0A%0AYth. Pimpinan ABIYYU RESTUZAHRA,%0AMohon izin menginformasikan status SBU Anda di sistem LPJK:%0A%0A📄 SBU: BS001%0A📅 Expired: 20 September 2026 (60 Hari Lagi)%0A%0AKami tim PT. ESDEA Assistance Management siap men-support proses perpanjangan segera agar administrasi proyek tidak terhambat%0A%0AApakah boleh saya bantu siapkan estimasi biaya dan waktu pengerjaannya?.", "Hubungi")</f>
        <v/>
      </c>
    </row>
    <row r="4">
      <c r="A4" t="inlineStr">
        <is>
          <t>AGRA PARAMA SARANA</t>
        </is>
      </c>
      <c r="B4" t="inlineStr">
        <is>
          <t>Kota Bekasi</t>
        </is>
      </c>
      <c r="C4" t="inlineStr">
        <is>
          <t>08161858498</t>
        </is>
      </c>
      <c r="D4" t="inlineStr">
        <is>
          <t>agraparamasarana@gmail.com</t>
        </is>
      </c>
      <c r="E4" t="inlineStr">
        <is>
          <t>https://lpjk.pu.go.id/search-badan-usaha-detail/alhmRE5RSHhlWHBKUDVYOVkxQjJIZz09</t>
        </is>
      </c>
      <c r="F4" t="n">
        <v>4</v>
      </c>
      <c r="G4" t="inlineStr">
        <is>
          <t>BG001, BG002, BG003, BG006</t>
        </is>
      </c>
      <c r="H4" t="inlineStr">
        <is>
          <t>25 Februari 2019</t>
        </is>
      </c>
      <c r="I4" s="2" t="n">
        <v>46285</v>
      </c>
      <c r="J4" t="inlineStr">
        <is>
          <t>Disetujui</t>
        </is>
      </c>
      <c r="K4" t="n">
        <v>60</v>
      </c>
      <c r="L4" t="inlineStr">
        <is>
          <t>20 September 2026</t>
        </is>
      </c>
      <c r="M4" t="inlineStr">
        <is>
          <t>Konstruksi Gedung Hunian, Konstruksi Gedung Industri, Konstruksi Gedung Pendidikan, Konstruksi Gedung Perkantoran</t>
        </is>
      </c>
      <c r="N4" t="inlineStr">
        <is>
          <t>K</t>
        </is>
      </c>
      <c r="O4" t="inlineStr">
        <is>
          <t>20230912</t>
        </is>
      </c>
      <c r="P4" t="inlineStr">
        <is>
          <t>Jawa Barat</t>
        </is>
      </c>
      <c r="Q4" s="3">
        <f>HYPERLINK("https://wa.me/628161858498?text=*[PENGINGAT MASA BERLAKU SBU AGRA PARAMA SARANA]*%0A%0AYth. Pimpinan AGRA PARAMA SARANA,%0AMohon izin menginformasikan status SBU Anda di sistem LPJK:%0A%0A📄 SBU: BG001, BG002, BG003, BG006%0A📅 Expired: 20 September 2026 (60 Hari Lagi)%0A%0AKami tim PT. ESDEA Assistance Management siap men-support proses perpanjangan segera agar administrasi proyek tidak terhambat%0A%0AApakah boleh saya bantu siapkan estimasi biaya dan waktu pengerjaannya?.", "Hubungi")</f>
        <v/>
      </c>
    </row>
    <row r="5">
      <c r="A5" t="inlineStr">
        <is>
          <t>ARRAY DIMENSI DATA</t>
        </is>
      </c>
      <c r="B5" t="inlineStr">
        <is>
          <t>Kab. Bekasi</t>
        </is>
      </c>
      <c r="C5" t="inlineStr">
        <is>
          <t>087788699970</t>
        </is>
      </c>
      <c r="D5" t="inlineStr">
        <is>
          <t>arraydimensidata@gmail.com</t>
        </is>
      </c>
      <c r="E5" t="inlineStr">
        <is>
          <t>https://lpjk.pu.go.id/search-badan-usaha-detail/RFEvZWkyb2JtSVErQnV6R2tZUUlZZz09</t>
        </is>
      </c>
      <c r="F5" t="n">
        <v>4</v>
      </c>
      <c r="G5" t="inlineStr">
        <is>
          <t>BG009</t>
        </is>
      </c>
      <c r="H5" t="inlineStr">
        <is>
          <t>14 Agustus 2023</t>
        </is>
      </c>
      <c r="I5" s="2" t="n">
        <v>46285</v>
      </c>
      <c r="J5" t="inlineStr">
        <is>
          <t>Pencabutan</t>
        </is>
      </c>
      <c r="K5" t="n">
        <v>60</v>
      </c>
      <c r="L5" t="inlineStr">
        <is>
          <t>20 September 2026</t>
        </is>
      </c>
      <c r="M5" t="inlineStr">
        <is>
          <t>Konstruksi Gedung Lainnya</t>
        </is>
      </c>
      <c r="N5" t="inlineStr">
        <is>
          <t>K</t>
        </is>
      </c>
      <c r="O5" t="inlineStr">
        <is>
          <t>20230913</t>
        </is>
      </c>
      <c r="P5" t="inlineStr">
        <is>
          <t>Jawa Barat</t>
        </is>
      </c>
      <c r="Q5" s="3">
        <f>HYPERLINK("https://wa.me/6287788699970?text=*[PENGINGAT MASA BERLAKU SBU ARRAY DIMENSI DATA]*%0A%0AYth. Pimpinan ARRAY DIMENSI DATA,%0AMohon izin menginformasikan status SBU Anda di sistem LPJK:%0A%0A📄 SBU: BG009%0A📅 Expired: 20 September 2026 (60 Hari Lagi)%0A%0AKami tim PT. ESDEA Assistance Management siap men-support proses perpanjangan segera agar administrasi proyek tidak terhambat%0A%0AApakah boleh saya bantu siapkan estimasi biaya dan waktu pengerjaannya?.", "Hubungi")</f>
        <v/>
      </c>
    </row>
    <row r="6">
      <c r="A6" t="inlineStr">
        <is>
          <t>CIREMAI GRIYA PERSADA</t>
        </is>
      </c>
      <c r="B6" t="inlineStr">
        <is>
          <t>Kota Bekasi</t>
        </is>
      </c>
      <c r="C6" t="inlineStr">
        <is>
          <t>02182625401</t>
        </is>
      </c>
      <c r="D6" t="inlineStr">
        <is>
          <t>ciremaigriyapersada1000@gmail.com</t>
        </is>
      </c>
      <c r="E6" t="inlineStr">
        <is>
          <t>https://lpjk.pu.go.id/search-badan-usaha-detail/U29UZnFXMkY0T3JCWnVTY2dKcEhrUT09</t>
        </is>
      </c>
      <c r="F6" t="n">
        <v>1</v>
      </c>
      <c r="G6" t="inlineStr">
        <is>
          <t>BS004</t>
        </is>
      </c>
      <c r="H6" t="inlineStr">
        <is>
          <t>9 November 2022</t>
        </is>
      </c>
      <c r="I6" s="2" t="n">
        <v>46285</v>
      </c>
      <c r="J6" t="inlineStr">
        <is>
          <t>Disetujui</t>
        </is>
      </c>
      <c r="K6" t="n">
        <v>60</v>
      </c>
      <c r="L6" t="inlineStr">
        <is>
          <t>20 September 2026</t>
        </is>
      </c>
      <c r="M6" t="inlineStr">
        <is>
          <t>Konstruksi Jaringan Irigasi dan Drainase</t>
        </is>
      </c>
      <c r="N6" t="inlineStr">
        <is>
          <t>K</t>
        </is>
      </c>
      <c r="O6" t="inlineStr">
        <is>
          <t>20230914</t>
        </is>
      </c>
      <c r="P6" t="inlineStr">
        <is>
          <t>Jawa Barat</t>
        </is>
      </c>
      <c r="Q6" t="inlineStr"/>
    </row>
    <row r="7">
      <c r="A7" t="inlineStr">
        <is>
          <t>EKA PANCA BERSAMA</t>
        </is>
      </c>
      <c r="B7" t="inlineStr">
        <is>
          <t>Kota Adm. Jakarta Timur</t>
        </is>
      </c>
      <c r="C7" t="inlineStr">
        <is>
          <t>081288118608</t>
        </is>
      </c>
      <c r="D7" t="inlineStr">
        <is>
          <t>Ekapancabersama@gmail.com</t>
        </is>
      </c>
      <c r="E7" t="inlineStr">
        <is>
          <t>https://lpjk.pu.go.id/search-badan-usaha-detail/akRrdXRRbEh4cm1yeG5pZWZpYlBTdz09</t>
        </is>
      </c>
      <c r="F7" t="n">
        <v>1</v>
      </c>
      <c r="G7" t="inlineStr">
        <is>
          <t>KK016</t>
        </is>
      </c>
      <c r="H7" t="inlineStr">
        <is>
          <t>15 Agustus 2023</t>
        </is>
      </c>
      <c r="I7" s="2" t="n">
        <v>46285</v>
      </c>
      <c r="J7" t="inlineStr">
        <is>
          <t>Disetujui</t>
        </is>
      </c>
      <c r="K7" t="n">
        <v>60</v>
      </c>
      <c r="L7" t="inlineStr">
        <is>
          <t>20 September 2026</t>
        </is>
      </c>
      <c r="M7" t="inlineStr">
        <is>
          <t>Pemasangan Kerangka Baja</t>
        </is>
      </c>
      <c r="N7" t="inlineStr">
        <is>
          <t>Spesialis</t>
        </is>
      </c>
      <c r="O7" t="inlineStr">
        <is>
          <t>20230919</t>
        </is>
      </c>
      <c r="P7" t="inlineStr">
        <is>
          <t>DKI Jakarta</t>
        </is>
      </c>
      <c r="Q7" s="3">
        <f>HYPERLINK("https://wa.me/6281288118608?text=*[PENGINGAT MASA BERLAKU SBU EKA PANCA BERSAMA]*%0A%0AYth. Pimpinan EKA PANCA BERSAMA,%0AMohon izin menginformasikan status SBU Anda di sistem LPJK:%0A%0A📄 SBU: KK016%0A📅 Expired: 20 September 2026 (60 Hari Lagi)%0A%0AKami tim PT. ESDEA Assistance Management siap men-support proses perpanjangan segera agar administrasi proyek tidak terhambat%0A%0AApakah boleh saya bantu siapkan estimasi biaya dan waktu pengerjaannya?.", "Hubungi")</f>
        <v/>
      </c>
    </row>
    <row r="8">
      <c r="A8" t="inlineStr">
        <is>
          <t>FURAMA</t>
        </is>
      </c>
      <c r="B8" t="inlineStr">
        <is>
          <t>Kota Bekasi</t>
        </is>
      </c>
      <c r="C8" t="inlineStr">
        <is>
          <t>02182671123</t>
        </is>
      </c>
      <c r="D8" t="inlineStr">
        <is>
          <t>furama_ciknus@yahoo.com</t>
        </is>
      </c>
      <c r="E8" t="inlineStr">
        <is>
          <t>https://lpjk.pu.go.id/search-badan-usaha-detail/V2VVV3FCRDUza2M5ZnZjclR0aU5zQT09</t>
        </is>
      </c>
      <c r="F8" t="n">
        <v>1</v>
      </c>
      <c r="G8" t="inlineStr">
        <is>
          <t>BG006</t>
        </is>
      </c>
      <c r="H8" t="inlineStr">
        <is>
          <t>12 November 2009</t>
        </is>
      </c>
      <c r="I8" s="2" t="n">
        <v>46285</v>
      </c>
      <c r="J8" t="inlineStr">
        <is>
          <t>Disetujui</t>
        </is>
      </c>
      <c r="K8" t="n">
        <v>60</v>
      </c>
      <c r="L8" t="inlineStr">
        <is>
          <t>20 September 2026</t>
        </is>
      </c>
      <c r="M8" t="inlineStr">
        <is>
          <t>Konstruksi Gedung Pendidikan</t>
        </is>
      </c>
      <c r="N8" t="inlineStr">
        <is>
          <t>M</t>
        </is>
      </c>
      <c r="O8" t="inlineStr">
        <is>
          <t>20230818</t>
        </is>
      </c>
      <c r="P8" t="inlineStr">
        <is>
          <t>Jawa Barat</t>
        </is>
      </c>
      <c r="Q8" t="inlineStr"/>
    </row>
    <row r="9">
      <c r="A9" t="inlineStr">
        <is>
          <t>INFRASTRUKTUR JAYA MANDIRI</t>
        </is>
      </c>
      <c r="B9" t="inlineStr">
        <is>
          <t>Kab. Bogor</t>
        </is>
      </c>
      <c r="C9" t="inlineStr">
        <is>
          <t>082285501679</t>
        </is>
      </c>
      <c r="D9" t="inlineStr">
        <is>
          <t>infrastrukturjayamandiri5@gmail.com</t>
        </is>
      </c>
      <c r="E9" t="inlineStr">
        <is>
          <t>https://lpjk.pu.go.id/search-badan-usaha-detail/aDZ0U3V0RnVKaUY1TWpCRXhJdUdpUT09</t>
        </is>
      </c>
      <c r="F9" t="n">
        <v>2</v>
      </c>
      <c r="G9" t="inlineStr">
        <is>
          <t>BS002</t>
        </is>
      </c>
      <c r="H9" t="inlineStr">
        <is>
          <t>22 Juni 2012</t>
        </is>
      </c>
      <c r="I9" s="2" t="n">
        <v>46285</v>
      </c>
      <c r="J9" t="inlineStr">
        <is>
          <t>Pencabutan</t>
        </is>
      </c>
      <c r="K9" t="n">
        <v>60</v>
      </c>
      <c r="L9" t="inlineStr">
        <is>
          <t>20 September 2026</t>
        </is>
      </c>
      <c r="M9" t="inlineStr">
        <is>
          <t>Bangunan Sipil Jembatan, Jalan Layang, Fly Over, dan Underpass</t>
        </is>
      </c>
      <c r="N9" t="inlineStr">
        <is>
          <t>K</t>
        </is>
      </c>
      <c r="O9" t="inlineStr">
        <is>
          <t>20230919</t>
        </is>
      </c>
      <c r="P9" t="inlineStr">
        <is>
          <t>Jawa Barat</t>
        </is>
      </c>
      <c r="Q9" s="3">
        <f>HYPERLINK("https://wa.me/6282285501679?text=*[PENGINGAT MASA BERLAKU SBU INFRASTRUKTUR JAYA MANDIRI]*%0A%0AYth. Pimpinan INFRASTRUKTUR JAYA MANDIRI,%0AMohon izin menginformasikan status SBU Anda di sistem LPJK:%0A%0A📄 SBU: BS002%0A📅 Expired: 20 September 2026 (60 Hari Lagi)%0A%0AKami tim PT. ESDEA Assistance Management siap men-support proses perpanjangan segera agar administrasi proyek tidak terhambat%0A%0AApakah boleh saya bantu siapkan estimasi biaya dan waktu pengerjaannya?.", "Hubungi")</f>
        <v/>
      </c>
    </row>
    <row r="10">
      <c r="A10" t="inlineStr">
        <is>
          <t>JARING RAINAN HUTAMA</t>
        </is>
      </c>
      <c r="B10" t="inlineStr">
        <is>
          <t>Kab. Bogor</t>
        </is>
      </c>
      <c r="C10" t="inlineStr">
        <is>
          <t>081219020086</t>
        </is>
      </c>
      <c r="D10" t="inlineStr">
        <is>
          <t>jaringrh2022@gmail.com</t>
        </is>
      </c>
      <c r="E10" t="inlineStr">
        <is>
          <t>https://lpjk.pu.go.id/search-badan-usaha-detail/eFpVR0IwZVhjYStKRW1kVDU4bFhZdz09</t>
        </is>
      </c>
      <c r="F10" t="n">
        <v>1</v>
      </c>
      <c r="G10" t="inlineStr">
        <is>
          <t>BS007</t>
        </is>
      </c>
      <c r="H10" t="inlineStr">
        <is>
          <t>20 September 2019</t>
        </is>
      </c>
      <c r="I10" s="2" t="n">
        <v>46285</v>
      </c>
      <c r="J10" t="inlineStr">
        <is>
          <t>Pencabutan</t>
        </is>
      </c>
      <c r="K10" t="n">
        <v>60</v>
      </c>
      <c r="L10" t="inlineStr">
        <is>
          <t>20 September 2026</t>
        </is>
      </c>
      <c r="M10" t="inlineStr">
        <is>
          <t>Konstruksi Bangunan Sipil Elektrikal</t>
        </is>
      </c>
      <c r="N10" t="inlineStr">
        <is>
          <t>K</t>
        </is>
      </c>
      <c r="O10" t="inlineStr">
        <is>
          <t>20230918</t>
        </is>
      </c>
      <c r="P10" t="inlineStr">
        <is>
          <t>Jawa Barat</t>
        </is>
      </c>
      <c r="Q10" s="3">
        <f>HYPERLINK("https://wa.me/6281219020086?text=*[PENGINGAT MASA BERLAKU SBU JARING RAINAN HUTAMA]*%0A%0AYth. Pimpinan JARING RAINAN HUTAMA,%0AMohon izin menginformasikan status SBU Anda di sistem LPJK:%0A%0A📄 SBU: BS007%0A📅 Expired: 20 September 2026 (60 Hari Lagi)%0A%0AKami tim PT. ESDEA Assistance Management siap men-support proses perpanjangan segera agar administrasi proyek tidak terhambat%0A%0AApakah boleh saya bantu siapkan estimasi biaya dan waktu pengerjaannya?.", "Hubungi")</f>
        <v/>
      </c>
    </row>
    <row r="11">
      <c r="A11" t="inlineStr">
        <is>
          <t>KARTIKA ANUGERAH UTAMA</t>
        </is>
      </c>
      <c r="B11" t="inlineStr">
        <is>
          <t>Kota Depok</t>
        </is>
      </c>
      <c r="C11" t="inlineStr">
        <is>
          <t>02187755951</t>
        </is>
      </c>
      <c r="D11" t="inlineStr">
        <is>
          <t>kartikaanugerahutama@yahoo.com</t>
        </is>
      </c>
      <c r="E11" t="inlineStr">
        <is>
          <t>https://lpjk.pu.go.id/search-badan-usaha-detail/WCtmS3ZVcXQ2STN0eTBGTW9QZzNiZz09</t>
        </is>
      </c>
      <c r="F11" t="n">
        <v>3</v>
      </c>
      <c r="G11" t="inlineStr">
        <is>
          <t>BG001, BG006, BG009</t>
        </is>
      </c>
      <c r="H11" t="inlineStr">
        <is>
          <t>23 Februari 2011</t>
        </is>
      </c>
      <c r="I11" s="2" t="n">
        <v>46285</v>
      </c>
      <c r="J11" t="inlineStr">
        <is>
          <t>Disetujui</t>
        </is>
      </c>
      <c r="K11" t="n">
        <v>60</v>
      </c>
      <c r="L11" t="inlineStr">
        <is>
          <t>20 September 2026</t>
        </is>
      </c>
      <c r="M11" t="inlineStr">
        <is>
          <t>Konstruksi Gedung Hunian, Konstruksi Gedung Lainnya, Konstruksi Gedung Pendidikan</t>
        </is>
      </c>
      <c r="N11" t="inlineStr">
        <is>
          <t>K</t>
        </is>
      </c>
      <c r="O11" t="inlineStr">
        <is>
          <t>20230919</t>
        </is>
      </c>
      <c r="P11" t="inlineStr">
        <is>
          <t>Jawa Barat</t>
        </is>
      </c>
      <c r="Q11" t="inlineStr"/>
    </row>
    <row r="12">
      <c r="A12" t="inlineStr">
        <is>
          <t>KARYA USAHA SINERGI</t>
        </is>
      </c>
      <c r="B12" t="inlineStr">
        <is>
          <t>Kota Bogor</t>
        </is>
      </c>
      <c r="C12" t="inlineStr">
        <is>
          <t>02518324716</t>
        </is>
      </c>
      <c r="D12" t="inlineStr">
        <is>
          <t>karyausahasinergi@gmail.com</t>
        </is>
      </c>
      <c r="E12" t="inlineStr">
        <is>
          <t>https://lpjk.pu.go.id/search-badan-usaha-detail/ZkIxK252NVJYbTVKS0IzeHNaeTNWdz09</t>
        </is>
      </c>
      <c r="F12" t="n">
        <v>1</v>
      </c>
      <c r="G12" t="inlineStr">
        <is>
          <t>BS002</t>
        </is>
      </c>
      <c r="H12" t="inlineStr">
        <is>
          <t>7 Juli 2017</t>
        </is>
      </c>
      <c r="I12" s="2" t="n">
        <v>46285</v>
      </c>
      <c r="J12" t="inlineStr">
        <is>
          <t>Disetujui</t>
        </is>
      </c>
      <c r="K12" t="n">
        <v>60</v>
      </c>
      <c r="L12" t="inlineStr">
        <is>
          <t>20 September 2026</t>
        </is>
      </c>
      <c r="M12" t="inlineStr">
        <is>
          <t>Bangunan Sipil Jembatan, Jalan Layang, Fly Over, dan Underpass</t>
        </is>
      </c>
      <c r="N12" t="inlineStr">
        <is>
          <t>K</t>
        </is>
      </c>
      <c r="O12" t="inlineStr">
        <is>
          <t>20230919</t>
        </is>
      </c>
      <c r="P12" t="inlineStr">
        <is>
          <t>Jawa Barat</t>
        </is>
      </c>
      <c r="Q12" s="3">
        <f>HYPERLINK("https://wa.me/622518324716?text=*[PENGINGAT MASA BERLAKU SBU KARYA USAHA SINERGI]*%0A%0AYth. Pimpinan KARYA USAHA SINERGI,%0AMohon izin menginformasikan status SBU Anda di sistem LPJK:%0A%0A📄 SBU: BS002%0A📅 Expired: 20 September 2026 (60 Hari Lagi)%0A%0AKami tim PT. ESDEA Assistance Management siap men-support proses perpanjangan segera agar administrasi proyek tidak terhambat%0A%0AApakah boleh saya bantu siapkan estimasi biaya dan waktu pengerjaannya?.", "Hubungi")</f>
        <v/>
      </c>
    </row>
    <row r="13">
      <c r="A13" t="inlineStr">
        <is>
          <t>KINARYA MAESTRO NUSANTARA</t>
        </is>
      </c>
      <c r="B13" t="inlineStr">
        <is>
          <t>Kota Depok</t>
        </is>
      </c>
      <c r="C13" t="inlineStr">
        <is>
          <t>087878000786</t>
        </is>
      </c>
      <c r="D13" t="inlineStr">
        <is>
          <t>kinaryamaestronusantara@gmail.com</t>
        </is>
      </c>
      <c r="E13" t="inlineStr">
        <is>
          <t>https://lpjk.pu.go.id/search-badan-usaha-detail/aHF0cWQxUEJmZnJ5dFZ5NUJGaTFkZz09</t>
        </is>
      </c>
      <c r="F13" t="n">
        <v>2</v>
      </c>
      <c r="G13" t="inlineStr">
        <is>
          <t>BG005</t>
        </is>
      </c>
      <c r="H13" t="inlineStr">
        <is>
          <t>29 Agustus 2023</t>
        </is>
      </c>
      <c r="I13" s="2" t="n">
        <v>46285</v>
      </c>
      <c r="J13" t="inlineStr">
        <is>
          <t>Disetujui</t>
        </is>
      </c>
      <c r="K13" t="n">
        <v>60</v>
      </c>
      <c r="L13" t="inlineStr">
        <is>
          <t>20 September 2026</t>
        </is>
      </c>
      <c r="M13" t="inlineStr">
        <is>
          <t>Konstruksi Gedung Kesehatan</t>
        </is>
      </c>
      <c r="N13" t="inlineStr">
        <is>
          <t>K</t>
        </is>
      </c>
      <c r="O13" t="inlineStr">
        <is>
          <t>20230919</t>
        </is>
      </c>
      <c r="P13" t="inlineStr">
        <is>
          <t>Jawa Barat</t>
        </is>
      </c>
      <c r="Q13" s="3">
        <f>HYPERLINK("https://wa.me/6287878000786?text=*[PENGINGAT MASA BERLAKU SBU KINARYA MAESTRO NUSANTARA]*%0A%0AYth. Pimpinan KINARYA MAESTRO NUSANTARA,%0AMohon izin menginformasikan status SBU Anda di sistem LPJK:%0A%0A📄 SBU: BG005%0A📅 Expired: 20 September 2026 (60 Hari Lagi)%0A%0AKami tim PT. ESDEA Assistance Management siap men-support proses perpanjangan segera agar administrasi proyek tidak terhambat%0A%0AApakah boleh saya bantu siapkan estimasi biaya dan waktu pengerjaannya?.", "Hubungi")</f>
        <v/>
      </c>
    </row>
    <row r="14">
      <c r="A14" t="inlineStr">
        <is>
          <t>MINA TRANSINDO TOTABUAN</t>
        </is>
      </c>
      <c r="B14" t="inlineStr">
        <is>
          <t>Kota Adm. Jakarta Timur</t>
        </is>
      </c>
      <c r="C14" t="inlineStr">
        <is>
          <t>02129067257</t>
        </is>
      </c>
      <c r="D14" t="inlineStr">
        <is>
          <t>menara.pp@gmail.com</t>
        </is>
      </c>
      <c r="E14" t="inlineStr">
        <is>
          <t>https://lpjk.pu.go.id/search-badan-usaha-detail/WUhEeUNGOVZKOVFjelFabVB2OXh1QT09</t>
        </is>
      </c>
      <c r="F14" t="n">
        <v>1</v>
      </c>
      <c r="G14" t="inlineStr">
        <is>
          <t>BS003</t>
        </is>
      </c>
      <c r="H14" t="inlineStr">
        <is>
          <t>20 April 1998</t>
        </is>
      </c>
      <c r="I14" s="2" t="n">
        <v>46285</v>
      </c>
      <c r="J14" t="inlineStr">
        <is>
          <t>Dokumen Tidak Lengkap</t>
        </is>
      </c>
      <c r="K14" t="n">
        <v>60</v>
      </c>
      <c r="L14" t="inlineStr">
        <is>
          <t>20 September 2026</t>
        </is>
      </c>
      <c r="M14" t="inlineStr">
        <is>
          <t>Konstruksi Jalan Rel</t>
        </is>
      </c>
      <c r="N14" t="inlineStr">
        <is>
          <t>M</t>
        </is>
      </c>
      <c r="O14" t="inlineStr">
        <is>
          <t>20230810</t>
        </is>
      </c>
      <c r="P14" t="inlineStr">
        <is>
          <t>DKI Jakarta</t>
        </is>
      </c>
      <c r="Q14" t="inlineStr"/>
    </row>
    <row r="15">
      <c r="A15" t="inlineStr">
        <is>
          <t>MORA JAYA</t>
        </is>
      </c>
      <c r="B15" t="inlineStr">
        <is>
          <t>Kota Adm. Jakarta Timur</t>
        </is>
      </c>
      <c r="C15" t="inlineStr">
        <is>
          <t>02129840526</t>
        </is>
      </c>
      <c r="D15" t="inlineStr">
        <is>
          <t>morajaya456@gmail.com</t>
        </is>
      </c>
      <c r="E15" t="inlineStr">
        <is>
          <t>https://lpjk.pu.go.id/search-badan-usaha-detail/WWlqeEVoS0VrWEYvOXBUcGRJdXY4Zz09</t>
        </is>
      </c>
      <c r="F15" t="n">
        <v>1</v>
      </c>
      <c r="G15" t="inlineStr">
        <is>
          <t>BS006</t>
        </is>
      </c>
      <c r="H15" t="inlineStr">
        <is>
          <t>22 Maret 2018</t>
        </is>
      </c>
      <c r="I15" s="2" t="n">
        <v>46285</v>
      </c>
      <c r="J15" t="inlineStr">
        <is>
          <t>Pencabutan</t>
        </is>
      </c>
      <c r="K15" t="n">
        <v>60</v>
      </c>
      <c r="L15" t="inlineStr">
        <is>
          <t>20 September 2026</t>
        </is>
      </c>
      <c r="M15" t="inlineStr">
        <is>
          <t>Konstruksi Bangunan Sipil Prasarana dan Sarana Sistem Pengolahan Limbah Padat, Cair, dan Gas</t>
        </is>
      </c>
      <c r="N15" t="inlineStr">
        <is>
          <t>K</t>
        </is>
      </c>
      <c r="O15" t="inlineStr">
        <is>
          <t>20230728</t>
        </is>
      </c>
      <c r="P15" t="inlineStr">
        <is>
          <t>DKI Jakarta</t>
        </is>
      </c>
      <c r="Q15" t="inlineStr"/>
    </row>
    <row r="16">
      <c r="A16" t="inlineStr">
        <is>
          <t>RISKA PUTRI SULUNG</t>
        </is>
      </c>
      <c r="B16" t="inlineStr">
        <is>
          <t>Kota Depok</t>
        </is>
      </c>
      <c r="C16" t="inlineStr">
        <is>
          <t>085296848435</t>
        </is>
      </c>
      <c r="D16" t="inlineStr">
        <is>
          <t>ptriskaputrisulung@yahoo.com</t>
        </is>
      </c>
      <c r="E16" t="inlineStr">
        <is>
          <t>https://lpjk.pu.go.id/search-badan-usaha-detail/bkVkRlBxcGZLbHk0S01GRUYrVGNmdz09</t>
        </is>
      </c>
      <c r="F16" t="n">
        <v>1</v>
      </c>
      <c r="G16" t="inlineStr">
        <is>
          <t>BS005</t>
        </is>
      </c>
      <c r="H16" t="inlineStr">
        <is>
          <t>25 Juli 2022</t>
        </is>
      </c>
      <c r="I16" s="2" t="n">
        <v>46285</v>
      </c>
      <c r="J16" t="inlineStr">
        <is>
          <t>Disetujui</t>
        </is>
      </c>
      <c r="K16" t="n">
        <v>60</v>
      </c>
      <c r="L16" t="inlineStr">
        <is>
          <t>20 September 2026</t>
        </is>
      </c>
      <c r="M16" t="inlineStr">
        <is>
          <t>Konstruksi Bangunan Sipil Pengolahan Air Bersih</t>
        </is>
      </c>
      <c r="N16" t="inlineStr">
        <is>
          <t>K</t>
        </is>
      </c>
      <c r="O16" t="inlineStr">
        <is>
          <t>20230919</t>
        </is>
      </c>
      <c r="P16" t="inlineStr">
        <is>
          <t>Jawa Barat</t>
        </is>
      </c>
      <c r="Q16" s="3">
        <f>HYPERLINK("https://wa.me/6285296848435?text=*[PENGINGAT MASA BERLAKU SBU RISKA PUTRI SULUNG]*%0A%0AYth. Pimpinan RISKA PUTRI SULUNG,%0AMohon izin menginformasikan status SBU Anda di sistem LPJK:%0A%0A📄 SBU: BS005%0A📅 Expired: 20 September 2026 (60 Hari Lagi)%0A%0AKami tim PT. ESDEA Assistance Management siap men-support proses perpanjangan segera agar administrasi proyek tidak terhambat%0A%0AApakah boleh saya bantu siapkan estimasi biaya dan waktu pengerjaannya?.", "Hubungi")</f>
        <v/>
      </c>
    </row>
    <row r="17">
      <c r="A17" t="inlineStr">
        <is>
          <t>SERIBU GARIS CAHAYA</t>
        </is>
      </c>
      <c r="B17" t="inlineStr">
        <is>
          <t>Kota Bekasi</t>
        </is>
      </c>
      <c r="C17" t="inlineStr">
        <is>
          <t>08111611143</t>
        </is>
      </c>
      <c r="D17" t="inlineStr">
        <is>
          <t>cvseribugariscahaya6@gmail.com</t>
        </is>
      </c>
      <c r="E17" t="inlineStr">
        <is>
          <t>https://lpjk.pu.go.id/search-badan-usaha-detail/amZheFJockFVSm1EOUU0REg1bzJYZz09</t>
        </is>
      </c>
      <c r="F17" t="n">
        <v>5</v>
      </c>
      <c r="G17" t="inlineStr">
        <is>
          <t>BG002, BG005, BG006, BG008, BG009</t>
        </is>
      </c>
      <c r="H17" t="inlineStr">
        <is>
          <t>13 Februari 2023</t>
        </is>
      </c>
      <c r="I17" s="2" t="n">
        <v>46285</v>
      </c>
      <c r="J17" t="inlineStr">
        <is>
          <t>Disetujui</t>
        </is>
      </c>
      <c r="K17" t="n">
        <v>60</v>
      </c>
      <c r="L17" t="inlineStr">
        <is>
          <t>20 September 2026</t>
        </is>
      </c>
      <c r="M17" t="inlineStr">
        <is>
          <t>Konstruksi Gedung Kesehatan, Konstruksi Gedung Lainnya, Konstruksi Gedung Pendidikan, Konstruksi Gedung Perkantoran, Konstruksi Gedung Tempat Hiburan dan Olahraga</t>
        </is>
      </c>
      <c r="N17" t="inlineStr">
        <is>
          <t>K</t>
        </is>
      </c>
      <c r="O17" t="inlineStr">
        <is>
          <t>20230915</t>
        </is>
      </c>
      <c r="P17" t="inlineStr">
        <is>
          <t>Jawa Barat</t>
        </is>
      </c>
      <c r="Q17" s="3">
        <f>HYPERLINK("https://wa.me/628111611143?text=*[PENGINGAT MASA BERLAKU SBU SERIBU GARIS CAHAYA]*%0A%0AYth. Pimpinan SERIBU GARIS CAHAYA,%0AMohon izin menginformasikan status SBU Anda di sistem LPJK:%0A%0A📄 SBU: BG002, BG005, BG006, BG008, BG009%0A📅 Expired: 20 September 2026 (60 Hari Lagi)%0A%0AKami tim PT. ESDEA Assistance Management siap men-support proses perpanjangan segera agar administrasi proyek tidak terhambat%0A%0AApakah boleh saya bantu siapkan estimasi biaya dan waktu pengerjaannya?.", "Hubungi")</f>
        <v/>
      </c>
    </row>
    <row r="18">
      <c r="A18" t="inlineStr">
        <is>
          <t>SKALA RAYYA</t>
        </is>
      </c>
      <c r="B18" t="inlineStr">
        <is>
          <t>Kota Depok</t>
        </is>
      </c>
      <c r="C18" t="inlineStr">
        <is>
          <t>02177807712</t>
        </is>
      </c>
      <c r="D18" t="inlineStr">
        <is>
          <t>cvskalarayya@gmail.com</t>
        </is>
      </c>
      <c r="E18" t="inlineStr">
        <is>
          <t>https://lpjk.pu.go.id/search-badan-usaha-detail/WTN5Tkl4SW1jQTR5a3c4dG1Qd1ptUT09</t>
        </is>
      </c>
      <c r="F18" t="n">
        <v>4</v>
      </c>
      <c r="G18" t="inlineStr">
        <is>
          <t>BS001, BS002, BS004</t>
        </is>
      </c>
      <c r="H18" t="inlineStr">
        <is>
          <t>10 Agustus 2017</t>
        </is>
      </c>
      <c r="I18" s="2" t="n">
        <v>46285</v>
      </c>
      <c r="J18" t="inlineStr">
        <is>
          <t>Disetujui</t>
        </is>
      </c>
      <c r="K18" t="n">
        <v>60</v>
      </c>
      <c r="L18" t="inlineStr">
        <is>
          <t>20 September 2026</t>
        </is>
      </c>
      <c r="M18" t="inlineStr">
        <is>
          <t>Bangunan Sipil Jembatan, Jalan Layang, Fly Over, dan Underpass, Konstruksi Bangunan Sipil Jalan, Konstruksi Jaringan Irigasi dan Drainase</t>
        </is>
      </c>
      <c r="N18" t="inlineStr">
        <is>
          <t>K</t>
        </is>
      </c>
      <c r="O18" t="inlineStr">
        <is>
          <t>20230814, 20230904, 20230919</t>
        </is>
      </c>
      <c r="P18" t="inlineStr">
        <is>
          <t>Jawa Barat</t>
        </is>
      </c>
      <c r="Q18" t="inlineStr"/>
    </row>
    <row r="19">
      <c r="A19" t="inlineStr">
        <is>
          <t>SOLUSI KARYA KONSTRUKSI</t>
        </is>
      </c>
      <c r="B19" t="inlineStr">
        <is>
          <t>Kota Adm. Jakarta Timur</t>
        </is>
      </c>
      <c r="C19" t="inlineStr">
        <is>
          <t>02158905002</t>
        </is>
      </c>
      <c r="D19" t="inlineStr">
        <is>
          <t>pt.solusikaryakonstruksi@gmail.com</t>
        </is>
      </c>
      <c r="E19" t="inlineStr">
        <is>
          <t>https://lpjk.pu.go.id/search-badan-usaha-detail/WnVkUFVuOXo4YkpkTGkxaFdrS3B5UT09</t>
        </is>
      </c>
      <c r="F19" t="n">
        <v>2</v>
      </c>
      <c r="G19" t="inlineStr">
        <is>
          <t>IN003</t>
        </is>
      </c>
      <c r="H19" t="inlineStr">
        <is>
          <t>2 Agustus 2023</t>
        </is>
      </c>
      <c r="I19" s="2" t="n">
        <v>46285</v>
      </c>
      <c r="J19" t="inlineStr">
        <is>
          <t>Disetujui</t>
        </is>
      </c>
      <c r="K19" t="n">
        <v>60</v>
      </c>
      <c r="L19" t="inlineStr">
        <is>
          <t>20 September 2026</t>
        </is>
      </c>
      <c r="M19" t="inlineStr">
        <is>
          <t>Instalasi Peralatan Infrastruktur Pertambangan dan Manufaktur</t>
        </is>
      </c>
      <c r="N19" t="inlineStr">
        <is>
          <t>Spesialis</t>
        </is>
      </c>
      <c r="O19" t="inlineStr">
        <is>
          <t>20230919</t>
        </is>
      </c>
      <c r="P19" t="inlineStr">
        <is>
          <t>DKI Jakarta</t>
        </is>
      </c>
      <c r="Q19" t="inlineStr"/>
    </row>
    <row r="20">
      <c r="A20" t="inlineStr">
        <is>
          <t>TAMANSARI TIGA ENAM PULUH</t>
        </is>
      </c>
      <c r="B20" t="inlineStr">
        <is>
          <t>Kab. Bogor</t>
        </is>
      </c>
      <c r="C20" t="inlineStr">
        <is>
          <t>081284889277</t>
        </is>
      </c>
      <c r="D20" t="inlineStr">
        <is>
          <t>tamansari360@gmail.com</t>
        </is>
      </c>
      <c r="E20" t="inlineStr">
        <is>
          <t>https://lpjk.pu.go.id/search-badan-usaha-detail/VGhScjdFWUhkam1kR0psdUNpSzV4dz09</t>
        </is>
      </c>
      <c r="F20" t="n">
        <v>6</v>
      </c>
      <c r="G20" t="inlineStr">
        <is>
          <t>BG008, BG009</t>
        </is>
      </c>
      <c r="H20" t="inlineStr">
        <is>
          <t>27 Januari 2017</t>
        </is>
      </c>
      <c r="I20" s="2" t="n">
        <v>46285</v>
      </c>
      <c r="J20" t="inlineStr">
        <is>
          <t>Disetujui</t>
        </is>
      </c>
      <c r="K20" t="n">
        <v>60</v>
      </c>
      <c r="L20" t="inlineStr">
        <is>
          <t>20 September 2026</t>
        </is>
      </c>
      <c r="M20" t="inlineStr">
        <is>
          <t>Konstruksi Gedung Lainnya, Konstruksi Gedung Tempat Hiburan dan Olahraga</t>
        </is>
      </c>
      <c r="N20" t="inlineStr">
        <is>
          <t>K</t>
        </is>
      </c>
      <c r="O20" t="inlineStr">
        <is>
          <t>20230920</t>
        </is>
      </c>
      <c r="P20" t="inlineStr">
        <is>
          <t>Jawa Barat</t>
        </is>
      </c>
      <c r="Q20" s="3">
        <f>HYPERLINK("https://wa.me/6281284889277?text=*[PENGINGAT MASA BERLAKU SBU TAMANSARI TIGA ENAM PULUH]*%0A%0AYth. Pimpinan TAMANSARI TIGA ENAM PULUH,%0AMohon izin menginformasikan status SBU Anda di sistem LPJK:%0A%0A📄 SBU: BG008, BG009%0A📅 Expired: 20 September 2026 (60 Hari Lagi)%0A%0AKami tim PT. ESDEA Assistance Management siap men-support proses perpanjangan segera agar administrasi proyek tidak terhambat%0A%0AApakah boleh saya bantu siapkan estimasi biaya dan waktu pengerjaannya?.", "Hubungi")</f>
        <v/>
      </c>
    </row>
    <row r="21">
      <c r="A21" t="inlineStr">
        <is>
          <t>ABABIL</t>
        </is>
      </c>
      <c r="B21" t="inlineStr">
        <is>
          <t>Kab. Donggala</t>
        </is>
      </c>
      <c r="C21" t="inlineStr">
        <is>
          <t>082191817808</t>
        </is>
      </c>
      <c r="D21" t="inlineStr">
        <is>
          <t>ababilium@gmail.com</t>
        </is>
      </c>
      <c r="E21" t="inlineStr">
        <is>
          <t>https://lpjk.pu.go.id/search-badan-usaha-detail/SWNPdTlvTjJLbXpTaklhM0o5RUpiZz09</t>
        </is>
      </c>
      <c r="F21" t="n">
        <v>4</v>
      </c>
      <c r="G21" t="inlineStr">
        <is>
          <t>BG006, BG009, BS001, BS004</t>
        </is>
      </c>
      <c r="H21" t="inlineStr">
        <is>
          <t>30 Januari 2012</t>
        </is>
      </c>
      <c r="I21" s="2" t="n">
        <v>46285</v>
      </c>
      <c r="J21" t="inlineStr">
        <is>
          <t>Disetujui</t>
        </is>
      </c>
      <c r="K21" t="n">
        <v>60</v>
      </c>
      <c r="L21" t="inlineStr">
        <is>
          <t>20 September 2026</t>
        </is>
      </c>
      <c r="M21" t="inlineStr">
        <is>
          <t>Konstruksi Bangunan Sipil Jalan, Konstruksi Gedung Lainnya, Konstruksi Gedung Pendidikan, Konstruksi Jaringan Irigasi dan Drainase</t>
        </is>
      </c>
      <c r="N21" t="inlineStr">
        <is>
          <t>K</t>
        </is>
      </c>
      <c r="O21" t="inlineStr">
        <is>
          <t>20230903, 20230904</t>
        </is>
      </c>
      <c r="P21" t="inlineStr">
        <is>
          <t>Sulawesi Tengah</t>
        </is>
      </c>
      <c r="Q21" t="inlineStr"/>
    </row>
    <row r="22">
      <c r="A22" t="inlineStr">
        <is>
          <t>ABDI PRIMA JAYA</t>
        </is>
      </c>
      <c r="B22" t="inlineStr">
        <is>
          <t>Kota Bandar Lampung</t>
        </is>
      </c>
      <c r="C22" t="inlineStr">
        <is>
          <t>081379482224</t>
        </is>
      </c>
      <c r="D22" t="inlineStr">
        <is>
          <t>abdiprimajaya@yahoo.com</t>
        </is>
      </c>
      <c r="E22" t="inlineStr">
        <is>
          <t>https://lpjk.pu.go.id/search-badan-usaha-detail/SXZCUmxCZC9Dc3dIMW1sNEdZbFl3dz09</t>
        </is>
      </c>
      <c r="F22" t="n">
        <v>1</v>
      </c>
      <c r="G22" t="inlineStr">
        <is>
          <t>BG006</t>
        </is>
      </c>
      <c r="H22" t="inlineStr">
        <is>
          <t>29 Desember 2015</t>
        </is>
      </c>
      <c r="I22" s="2" t="n">
        <v>46285</v>
      </c>
      <c r="J22" t="inlineStr">
        <is>
          <t>Disetujui</t>
        </is>
      </c>
      <c r="K22" t="n">
        <v>60</v>
      </c>
      <c r="L22" t="inlineStr">
        <is>
          <t>20 September 2026</t>
        </is>
      </c>
      <c r="M22" t="inlineStr">
        <is>
          <t>Konstruksi Gedung Pendidikan</t>
        </is>
      </c>
      <c r="N22" t="inlineStr">
        <is>
          <t>K</t>
        </is>
      </c>
      <c r="O22" t="inlineStr">
        <is>
          <t>20230918</t>
        </is>
      </c>
      <c r="P22" t="inlineStr">
        <is>
          <t>Lampung</t>
        </is>
      </c>
      <c r="Q22" t="inlineStr"/>
    </row>
    <row r="23">
      <c r="A23" t="inlineStr">
        <is>
          <t>ADA GROUP MANDIRI</t>
        </is>
      </c>
      <c r="B23" t="inlineStr">
        <is>
          <t>Kab. Toba Samosir</t>
        </is>
      </c>
      <c r="C23" t="inlineStr">
        <is>
          <t>082165935068</t>
        </is>
      </c>
      <c r="D23" t="inlineStr">
        <is>
          <t>ptadagroupmandiriagm@gmail.com</t>
        </is>
      </c>
      <c r="E23" t="inlineStr">
        <is>
          <t>https://lpjk.pu.go.id/search-badan-usaha-detail/ZGo5aXJWMUhVRWpVRUw5WWFuREJ4dz09</t>
        </is>
      </c>
      <c r="F23" t="n">
        <v>2</v>
      </c>
      <c r="G23" t="inlineStr">
        <is>
          <t>BS002, BS004</t>
        </is>
      </c>
      <c r="H23" t="inlineStr">
        <is>
          <t>1 Agustus 2023</t>
        </is>
      </c>
      <c r="I23" s="2" t="n">
        <v>46285</v>
      </c>
      <c r="J23" t="inlineStr">
        <is>
          <t>Disetujui</t>
        </is>
      </c>
      <c r="K23" t="n">
        <v>60</v>
      </c>
      <c r="L23" t="inlineStr">
        <is>
          <t>20 September 2026</t>
        </is>
      </c>
      <c r="M23" t="inlineStr">
        <is>
          <t>Bangunan Sipil Jembatan, Jalan Layang, Fly Over, dan Underpass, Konstruksi Jaringan Irigasi dan Drainase</t>
        </is>
      </c>
      <c r="N23" t="inlineStr">
        <is>
          <t>K</t>
        </is>
      </c>
      <c r="O23" t="inlineStr">
        <is>
          <t>20230919</t>
        </is>
      </c>
      <c r="P23" t="inlineStr">
        <is>
          <t>Sumatera Utara</t>
        </is>
      </c>
      <c r="Q23" t="inlineStr"/>
    </row>
    <row r="24">
      <c r="A24" t="inlineStr">
        <is>
          <t>ADHITAMA KARYA MANDIRI</t>
        </is>
      </c>
      <c r="B24" t="inlineStr">
        <is>
          <t>Kab. Sidoarjo</t>
        </is>
      </c>
      <c r="C24" t="inlineStr">
        <is>
          <t>081280847658</t>
        </is>
      </c>
      <c r="D24" t="inlineStr">
        <is>
          <t>adhitamakaryamandiri9@gmail.com</t>
        </is>
      </c>
      <c r="E24" t="inlineStr">
        <is>
          <t>https://lpjk.pu.go.id/search-badan-usaha-detail/M2ZFTEx4aUxzKzMrd2FIUkZ3cDJWUT09</t>
        </is>
      </c>
      <c r="F24" t="n">
        <v>2</v>
      </c>
      <c r="G24" t="inlineStr">
        <is>
          <t>BG006</t>
        </is>
      </c>
      <c r="H24" t="inlineStr">
        <is>
          <t>8 Agustus 2016</t>
        </is>
      </c>
      <c r="I24" s="2" t="n">
        <v>46285</v>
      </c>
      <c r="J24" t="inlineStr">
        <is>
          <t>Disetujui</t>
        </is>
      </c>
      <c r="K24" t="n">
        <v>60</v>
      </c>
      <c r="L24" t="inlineStr">
        <is>
          <t>20 September 2026</t>
        </is>
      </c>
      <c r="M24" t="inlineStr">
        <is>
          <t>Konstruksi Gedung Pendidikan</t>
        </is>
      </c>
      <c r="N24" t="inlineStr">
        <is>
          <t>K</t>
        </is>
      </c>
      <c r="O24" t="inlineStr">
        <is>
          <t>20230908</t>
        </is>
      </c>
      <c r="P24" t="inlineStr">
        <is>
          <t>Jawa Timur</t>
        </is>
      </c>
      <c r="Q24" t="inlineStr"/>
    </row>
    <row r="25">
      <c r="A25" t="inlineStr">
        <is>
          <t>AGUNG</t>
        </is>
      </c>
      <c r="B25" t="inlineStr">
        <is>
          <t>Kab. Banyuwangi</t>
        </is>
      </c>
      <c r="C25" t="inlineStr">
        <is>
          <t>081358174199</t>
        </is>
      </c>
      <c r="D25" t="inlineStr">
        <is>
          <t>agungcv@yahoo.com</t>
        </is>
      </c>
      <c r="E25" t="inlineStr">
        <is>
          <t>https://lpjk.pu.go.id/search-badan-usaha-detail/TVlrb2pVUjZXSEpkRjFaSDhaSGI3dz09</t>
        </is>
      </c>
      <c r="F25" t="n">
        <v>2</v>
      </c>
      <c r="G25" t="inlineStr">
        <is>
          <t>BG009</t>
        </is>
      </c>
      <c r="H25" t="inlineStr">
        <is>
          <t>3 November 1976</t>
        </is>
      </c>
      <c r="I25" s="2" t="n">
        <v>46285</v>
      </c>
      <c r="J25" t="inlineStr">
        <is>
          <t>Disetujui</t>
        </is>
      </c>
      <c r="K25" t="n">
        <v>60</v>
      </c>
      <c r="L25" t="inlineStr">
        <is>
          <t>20 September 2026</t>
        </is>
      </c>
      <c r="M25" t="inlineStr">
        <is>
          <t>Konstruksi Gedung Lainnya</t>
        </is>
      </c>
      <c r="N25" t="inlineStr">
        <is>
          <t>K</t>
        </is>
      </c>
      <c r="O25" t="inlineStr">
        <is>
          <t>20230915</t>
        </is>
      </c>
      <c r="P25" t="inlineStr">
        <is>
          <t>Jawa Timur</t>
        </is>
      </c>
      <c r="Q25" t="inlineStr"/>
    </row>
    <row r="26">
      <c r="A26" t="inlineStr">
        <is>
          <t>AGUNG ABADI</t>
        </is>
      </c>
      <c r="B26" t="inlineStr">
        <is>
          <t>Kab. Boyolali</t>
        </is>
      </c>
      <c r="C26" t="inlineStr">
        <is>
          <t>085728802913</t>
        </is>
      </c>
      <c r="D26" t="inlineStr">
        <is>
          <t>cv.agung.abadi.byl@gmail.com</t>
        </is>
      </c>
      <c r="E26" t="inlineStr">
        <is>
          <t>https://lpjk.pu.go.id/search-badan-usaha-detail/U1dobXpvMmk0dXB2RGtaWTFwcnl3Zz09</t>
        </is>
      </c>
      <c r="F26" t="n">
        <v>10</v>
      </c>
      <c r="G26" t="inlineStr">
        <is>
          <t>BG002, BG005, BG006, BS001, BS004</t>
        </is>
      </c>
      <c r="H26" t="inlineStr">
        <is>
          <t>7 Februari 1997</t>
        </is>
      </c>
      <c r="I26" s="2" t="n">
        <v>46285</v>
      </c>
      <c r="J26" t="inlineStr">
        <is>
          <t>Disetujui</t>
        </is>
      </c>
      <c r="K26" t="n">
        <v>60</v>
      </c>
      <c r="L26" t="inlineStr">
        <is>
          <t>20 September 2026</t>
        </is>
      </c>
      <c r="M26" t="inlineStr">
        <is>
          <t>Konstruksi Bangunan Sipil Jalan, Konstruksi Gedung Kesehatan, Konstruksi Gedung Pendidikan, Konstruksi Gedung Perkantoran, Konstruksi Jaringan Irigasi dan Drainase</t>
        </is>
      </c>
      <c r="N26" t="inlineStr">
        <is>
          <t>K</t>
        </is>
      </c>
      <c r="O26" t="inlineStr">
        <is>
          <t>20230918, 20230919</t>
        </is>
      </c>
      <c r="P26" t="inlineStr">
        <is>
          <t>Jawa Tengah</t>
        </is>
      </c>
      <c r="Q26" t="inlineStr"/>
    </row>
    <row r="27">
      <c r="A27" t="inlineStr">
        <is>
          <t>AKA DESIGN DAN ENGINEERING</t>
        </is>
      </c>
      <c r="B27" t="inlineStr">
        <is>
          <t>Kab. Malang</t>
        </is>
      </c>
      <c r="C27" t="inlineStr">
        <is>
          <t>081232662022</t>
        </is>
      </c>
      <c r="D27" t="inlineStr">
        <is>
          <t>akdesignengineering@gmail.com</t>
        </is>
      </c>
      <c r="E27" t="inlineStr">
        <is>
          <t>https://lpjk.pu.go.id/search-badan-usaha-detail/SE83M1hsLzJzVzVYS3BHYmR2Uno5dz09</t>
        </is>
      </c>
      <c r="F27" t="n">
        <v>1</v>
      </c>
      <c r="G27" t="inlineStr">
        <is>
          <t>AR001</t>
        </is>
      </c>
      <c r="H27" t="inlineStr">
        <is>
          <t>15 Mei 2017</t>
        </is>
      </c>
      <c r="I27" s="2" t="n">
        <v>46285</v>
      </c>
      <c r="J27" t="inlineStr">
        <is>
          <t>Disetujui</t>
        </is>
      </c>
      <c r="K27" t="n">
        <v>60</v>
      </c>
      <c r="L27" t="inlineStr">
        <is>
          <t>20 September 2026</t>
        </is>
      </c>
      <c r="M27" t="inlineStr">
        <is>
          <t>Jasa Arsitektural Bangunan Gedung Hunian dan Non Hunian</t>
        </is>
      </c>
      <c r="N27" t="inlineStr">
        <is>
          <t>K</t>
        </is>
      </c>
      <c r="O27" t="inlineStr">
        <is>
          <t>20230915</t>
        </is>
      </c>
      <c r="P27" t="inlineStr">
        <is>
          <t>Jawa Timur</t>
        </is>
      </c>
      <c r="Q27" t="inlineStr"/>
    </row>
    <row r="28">
      <c r="A28" t="inlineStr">
        <is>
          <t>AKASIA LIGAR MANDIRI</t>
        </is>
      </c>
      <c r="B28" t="inlineStr">
        <is>
          <t>Kab. Tasikmalaya</t>
        </is>
      </c>
      <c r="C28" t="inlineStr">
        <is>
          <t>081321650650</t>
        </is>
      </c>
      <c r="D28" t="inlineStr">
        <is>
          <t>cvakasialigarmandiri@gmail.com</t>
        </is>
      </c>
      <c r="E28" t="inlineStr">
        <is>
          <t>https://lpjk.pu.go.id/search-badan-usaha-detail/S281aVh0aTlVYWhacjdNSVhINGxlQT09</t>
        </is>
      </c>
      <c r="F28" t="n">
        <v>6</v>
      </c>
      <c r="G28" t="inlineStr">
        <is>
          <t>BG005, BG006, BG009</t>
        </is>
      </c>
      <c r="H28" t="inlineStr">
        <is>
          <t>24 Juli 2023</t>
        </is>
      </c>
      <c r="I28" s="2" t="n">
        <v>46285</v>
      </c>
      <c r="J28" t="inlineStr">
        <is>
          <t>Disetujui</t>
        </is>
      </c>
      <c r="K28" t="n">
        <v>60</v>
      </c>
      <c r="L28" t="inlineStr">
        <is>
          <t>20 September 2026</t>
        </is>
      </c>
      <c r="M28" t="inlineStr">
        <is>
          <t>Konstruksi Gedung Kesehatan, Konstruksi Gedung Lainnya, Konstruksi Gedung Pendidikan</t>
        </is>
      </c>
      <c r="N28" t="inlineStr">
        <is>
          <t>K</t>
        </is>
      </c>
      <c r="O28" t="inlineStr">
        <is>
          <t>20230901, 20230912</t>
        </is>
      </c>
      <c r="P28" t="inlineStr">
        <is>
          <t>Jawa Barat</t>
        </is>
      </c>
      <c r="Q28" t="inlineStr"/>
    </row>
    <row r="29">
      <c r="A29" t="inlineStr">
        <is>
          <t>AKSATA BINAR CONSULTAN</t>
        </is>
      </c>
      <c r="B29" t="inlineStr">
        <is>
          <t>Kab. Lombok Timur</t>
        </is>
      </c>
      <c r="C29" t="inlineStr">
        <is>
          <t>087846795900</t>
        </is>
      </c>
      <c r="D29" t="inlineStr">
        <is>
          <t>cvaksatabinarconsultant@gmail.com</t>
        </is>
      </c>
      <c r="E29" t="inlineStr">
        <is>
          <t>https://lpjk.pu.go.id/search-badan-usaha-detail/bUZOMmlRa2c0dFBGQUpIT2t6VjZWQT09</t>
        </is>
      </c>
      <c r="F29" t="n">
        <v>2</v>
      </c>
      <c r="G29" t="inlineStr">
        <is>
          <t>RK003</t>
        </is>
      </c>
      <c r="H29" t="inlineStr">
        <is>
          <t>18 Agustus 2023</t>
        </is>
      </c>
      <c r="I29" s="2" t="n">
        <v>46285</v>
      </c>
      <c r="J29" t="inlineStr">
        <is>
          <t>Disetujui</t>
        </is>
      </c>
      <c r="K29" t="n">
        <v>60</v>
      </c>
      <c r="L29" t="inlineStr">
        <is>
          <t>20 September 2026</t>
        </is>
      </c>
      <c r="M29" t="inlineStr">
        <is>
          <t>Jasa Rekayasa Pekerjaan Teknik Sipil Transportasi</t>
        </is>
      </c>
      <c r="N29" t="inlineStr">
        <is>
          <t>K</t>
        </is>
      </c>
      <c r="O29" t="inlineStr">
        <is>
          <t>20230831</t>
        </is>
      </c>
      <c r="P29" t="inlineStr">
        <is>
          <t>Nusa Tenggara Barat</t>
        </is>
      </c>
      <c r="Q29" t="inlineStr"/>
    </row>
    <row r="30">
      <c r="A30" t="inlineStr">
        <is>
          <t>ALMIRA BERJAYA</t>
        </is>
      </c>
      <c r="B30" t="inlineStr">
        <is>
          <t>Kab. Pahuwato</t>
        </is>
      </c>
      <c r="C30" t="inlineStr">
        <is>
          <t>081258025250</t>
        </is>
      </c>
      <c r="D30" t="inlineStr">
        <is>
          <t>almiraberjaya16@gmail.com</t>
        </is>
      </c>
      <c r="E30" t="inlineStr">
        <is>
          <t>https://lpjk.pu.go.id/search-badan-usaha-detail/dHlRem95MFFnUWhPS3FBWHBpdHRQUT09</t>
        </is>
      </c>
      <c r="F30" t="n">
        <v>1</v>
      </c>
      <c r="G30" t="inlineStr">
        <is>
          <t>BG009</t>
        </is>
      </c>
      <c r="H30" t="inlineStr">
        <is>
          <t>8 November 2022</t>
        </is>
      </c>
      <c r="I30" s="2" t="n">
        <v>46285</v>
      </c>
      <c r="J30" t="inlineStr">
        <is>
          <t>Disetujui</t>
        </is>
      </c>
      <c r="K30" t="n">
        <v>60</v>
      </c>
      <c r="L30" t="inlineStr">
        <is>
          <t>20 September 2026</t>
        </is>
      </c>
      <c r="M30" t="inlineStr">
        <is>
          <t>Konstruksi Gedung Lainnya</t>
        </is>
      </c>
      <c r="N30" t="inlineStr">
        <is>
          <t>K</t>
        </is>
      </c>
      <c r="O30" t="inlineStr">
        <is>
          <t>20230914</t>
        </is>
      </c>
      <c r="P30" t="inlineStr">
        <is>
          <t>Gorontalo</t>
        </is>
      </c>
      <c r="Q30" t="inlineStr"/>
    </row>
    <row r="31">
      <c r="A31" t="inlineStr">
        <is>
          <t>ALUNA KARYA INDONESIA</t>
        </is>
      </c>
      <c r="B31" t="inlineStr">
        <is>
          <t>Kab. Toba Samosir</t>
        </is>
      </c>
      <c r="C31" t="inlineStr">
        <is>
          <t>085260141163</t>
        </is>
      </c>
      <c r="D31" t="inlineStr">
        <is>
          <t>alunakaryaindonesia@gmail.com</t>
        </is>
      </c>
      <c r="E31" t="inlineStr">
        <is>
          <t>https://lpjk.pu.go.id/search-badan-usaha-detail/RHl6UnNHbW9GbUhQTU1jU3VOcjFPZz09</t>
        </is>
      </c>
      <c r="F31" t="n">
        <v>1</v>
      </c>
      <c r="G31" t="inlineStr">
        <is>
          <t>BS001</t>
        </is>
      </c>
      <c r="H31" t="inlineStr">
        <is>
          <t>25 April 2022</t>
        </is>
      </c>
      <c r="I31" s="2" t="n">
        <v>46285</v>
      </c>
      <c r="J31" t="inlineStr">
        <is>
          <t>Disetujui</t>
        </is>
      </c>
      <c r="K31" t="n">
        <v>60</v>
      </c>
      <c r="L31" t="inlineStr">
        <is>
          <t>20 September 2026</t>
        </is>
      </c>
      <c r="M31" t="inlineStr">
        <is>
          <t>Konstruksi Bangunan Sipil Jalan</t>
        </is>
      </c>
      <c r="N31" t="inlineStr">
        <is>
          <t>K</t>
        </is>
      </c>
      <c r="O31" t="inlineStr">
        <is>
          <t>20230920</t>
        </is>
      </c>
      <c r="P31" t="inlineStr">
        <is>
          <t>Sumatera Utara</t>
        </is>
      </c>
      <c r="Q31" t="inlineStr"/>
    </row>
    <row r="32">
      <c r="A32" t="inlineStr">
        <is>
          <t>ALVINDO JAYA</t>
        </is>
      </c>
      <c r="B32" t="inlineStr">
        <is>
          <t>Kab. Kubu Raya</t>
        </is>
      </c>
      <c r="C32" t="inlineStr">
        <is>
          <t>085738594106</t>
        </is>
      </c>
      <c r="D32" t="inlineStr">
        <is>
          <t>alvindo3078@gmail.com</t>
        </is>
      </c>
      <c r="E32" t="inlineStr">
        <is>
          <t>https://lpjk.pu.go.id/search-badan-usaha-detail/SFdrY3dmRTZaK1dvamxTRFRsN25LZz09</t>
        </is>
      </c>
      <c r="F32" t="n">
        <v>3</v>
      </c>
      <c r="G32" t="inlineStr">
        <is>
          <t>BS004</t>
        </is>
      </c>
      <c r="H32" t="inlineStr">
        <is>
          <t>19 Januari 2011</t>
        </is>
      </c>
      <c r="I32" s="2" t="n">
        <v>46285</v>
      </c>
      <c r="J32" t="inlineStr">
        <is>
          <t>Disetujui</t>
        </is>
      </c>
      <c r="K32" t="n">
        <v>60</v>
      </c>
      <c r="L32" t="inlineStr">
        <is>
          <t>20 September 2026</t>
        </is>
      </c>
      <c r="M32" t="inlineStr">
        <is>
          <t>Konstruksi Jaringan Irigasi dan Drainase</t>
        </is>
      </c>
      <c r="N32" t="inlineStr">
        <is>
          <t>K</t>
        </is>
      </c>
      <c r="O32" t="inlineStr">
        <is>
          <t>20230918</t>
        </is>
      </c>
      <c r="P32" t="inlineStr">
        <is>
          <t>Kalimantan Barat</t>
        </is>
      </c>
      <c r="Q32" t="inlineStr"/>
    </row>
    <row r="33">
      <c r="A33" t="inlineStr">
        <is>
          <t>AMERU</t>
        </is>
      </c>
      <c r="B33" t="inlineStr">
        <is>
          <t>Kota Makassar</t>
        </is>
      </c>
      <c r="C33" t="inlineStr">
        <is>
          <t>085299116591</t>
        </is>
      </c>
      <c r="D33" t="inlineStr">
        <is>
          <t>cv.ameru@gmail.com</t>
        </is>
      </c>
      <c r="E33" t="inlineStr">
        <is>
          <t>https://lpjk.pu.go.id/search-badan-usaha-detail/bWRZZHAvalpBMm5oZmZzK05JWnJqZz09</t>
        </is>
      </c>
      <c r="F33" t="n">
        <v>2</v>
      </c>
      <c r="G33" t="inlineStr">
        <is>
          <t>BG001, BG009</t>
        </is>
      </c>
      <c r="H33" t="inlineStr">
        <is>
          <t>18 Januari 2017</t>
        </is>
      </c>
      <c r="I33" s="2" t="n">
        <v>46285</v>
      </c>
      <c r="J33" t="inlineStr">
        <is>
          <t>Disetujui</t>
        </is>
      </c>
      <c r="K33" t="n">
        <v>60</v>
      </c>
      <c r="L33" t="inlineStr">
        <is>
          <t>20 September 2026</t>
        </is>
      </c>
      <c r="M33" t="inlineStr">
        <is>
          <t>Konstruksi Gedung Hunian, Konstruksi Gedung Lainnya</t>
        </is>
      </c>
      <c r="N33" t="inlineStr">
        <is>
          <t>K</t>
        </is>
      </c>
      <c r="O33" t="inlineStr">
        <is>
          <t>20230920</t>
        </is>
      </c>
      <c r="P33" t="inlineStr">
        <is>
          <t>Sulawesi Selatan</t>
        </is>
      </c>
      <c r="Q33" t="inlineStr"/>
    </row>
    <row r="34">
      <c r="A34" t="inlineStr">
        <is>
          <t>AMIRA PUTRI PERKASA</t>
        </is>
      </c>
      <c r="B34" t="inlineStr">
        <is>
          <t>Kab. Jeneponto</t>
        </is>
      </c>
      <c r="C34" t="inlineStr">
        <is>
          <t>082194370699</t>
        </is>
      </c>
      <c r="D34" t="inlineStr">
        <is>
          <t>amiraputriperkasa@gmail.com</t>
        </is>
      </c>
      <c r="E34" t="inlineStr">
        <is>
          <t>https://lpjk.pu.go.id/search-badan-usaha-detail/Qm82dEJNWXZtVTd4YTZMSFMvM0dhUT09</t>
        </is>
      </c>
      <c r="F34" t="n">
        <v>2</v>
      </c>
      <c r="G34" t="inlineStr">
        <is>
          <t>BG005, BG006</t>
        </is>
      </c>
      <c r="H34" t="inlineStr">
        <is>
          <t>15 September 2023</t>
        </is>
      </c>
      <c r="I34" s="2" t="n">
        <v>46285</v>
      </c>
      <c r="J34" t="inlineStr">
        <is>
          <t>Disetujui</t>
        </is>
      </c>
      <c r="K34" t="n">
        <v>60</v>
      </c>
      <c r="L34" t="inlineStr">
        <is>
          <t>20 September 2026</t>
        </is>
      </c>
      <c r="M34" t="inlineStr">
        <is>
          <t>Konstruksi Gedung Kesehatan, Konstruksi Gedung Pendidikan</t>
        </is>
      </c>
      <c r="N34" t="inlineStr">
        <is>
          <t>K</t>
        </is>
      </c>
      <c r="O34" t="inlineStr">
        <is>
          <t>20230920</t>
        </is>
      </c>
      <c r="P34" t="inlineStr">
        <is>
          <t>Sulawesi Selatan</t>
        </is>
      </c>
      <c r="Q34" t="inlineStr"/>
    </row>
    <row r="35">
      <c r="A35" t="inlineStr">
        <is>
          <t>ANDARA IDEHOME</t>
        </is>
      </c>
      <c r="B35" t="inlineStr">
        <is>
          <t>Kab. Kendal</t>
        </is>
      </c>
      <c r="C35" t="inlineStr">
        <is>
          <t>081310691396</t>
        </is>
      </c>
      <c r="D35" t="inlineStr">
        <is>
          <t>andaraindehome@gmail.com</t>
        </is>
      </c>
      <c r="E35" t="inlineStr">
        <is>
          <t>https://lpjk.pu.go.id/search-badan-usaha-detail/Y1RoVHZpdmNQcEh3SitkZjhCcFVNZz09</t>
        </is>
      </c>
      <c r="F35" t="n">
        <v>2</v>
      </c>
      <c r="G35" t="inlineStr">
        <is>
          <t>BG001</t>
        </is>
      </c>
      <c r="H35" t="inlineStr">
        <is>
          <t>28 Agustus 2023</t>
        </is>
      </c>
      <c r="I35" s="2" t="n">
        <v>46285</v>
      </c>
      <c r="J35" t="inlineStr">
        <is>
          <t>Disetujui</t>
        </is>
      </c>
      <c r="K35" t="n">
        <v>60</v>
      </c>
      <c r="L35" t="inlineStr">
        <is>
          <t>20 September 2026</t>
        </is>
      </c>
      <c r="M35" t="inlineStr">
        <is>
          <t>Konstruksi Gedung Hunian</t>
        </is>
      </c>
      <c r="N35" t="inlineStr">
        <is>
          <t>K</t>
        </is>
      </c>
      <c r="O35" t="inlineStr">
        <is>
          <t>20230919</t>
        </is>
      </c>
      <c r="P35" t="inlineStr">
        <is>
          <t>Jawa Tengah</t>
        </is>
      </c>
      <c r="Q35" t="inlineStr"/>
    </row>
    <row r="36">
      <c r="A36" t="inlineStr">
        <is>
          <t>ANEKA KARYA</t>
        </is>
      </c>
      <c r="B36" t="inlineStr">
        <is>
          <t>Kab. Tuban</t>
        </is>
      </c>
      <c r="C36" t="inlineStr">
        <is>
          <t>08113400840</t>
        </is>
      </c>
      <c r="D36" t="inlineStr">
        <is>
          <t>ikifath@gmail.com</t>
        </is>
      </c>
      <c r="E36" t="inlineStr">
        <is>
          <t>https://lpjk.pu.go.id/search-badan-usaha-detail/S1p3M05jQlJrblFselRtTFR0d2lidz09</t>
        </is>
      </c>
      <c r="F36" t="n">
        <v>2</v>
      </c>
      <c r="G36" t="inlineStr">
        <is>
          <t>BG005</t>
        </is>
      </c>
      <c r="H36" t="inlineStr">
        <is>
          <t>6 November 2015</t>
        </is>
      </c>
      <c r="I36" s="2" t="n">
        <v>46285</v>
      </c>
      <c r="J36" t="inlineStr">
        <is>
          <t>Disetujui</t>
        </is>
      </c>
      <c r="K36" t="n">
        <v>60</v>
      </c>
      <c r="L36" t="inlineStr">
        <is>
          <t>20 September 2026</t>
        </is>
      </c>
      <c r="M36" t="inlineStr">
        <is>
          <t>Konstruksi Gedung Kesehatan</t>
        </is>
      </c>
      <c r="N36" t="inlineStr">
        <is>
          <t>K</t>
        </is>
      </c>
      <c r="O36" t="inlineStr">
        <is>
          <t>20230912</t>
        </is>
      </c>
      <c r="P36" t="inlineStr">
        <is>
          <t>Jawa Timur</t>
        </is>
      </c>
      <c r="Q36" t="inlineStr"/>
    </row>
    <row r="37">
      <c r="A37" t="inlineStr">
        <is>
          <t>ANUGERAH RESTU IBU</t>
        </is>
      </c>
      <c r="B37" t="inlineStr">
        <is>
          <t>Kab. Tulungagung</t>
        </is>
      </c>
      <c r="C37" t="inlineStr">
        <is>
          <t>081553690203</t>
        </is>
      </c>
      <c r="D37" t="inlineStr">
        <is>
          <t>anugerahrestuibu@gmail.com</t>
        </is>
      </c>
      <c r="E37" t="inlineStr">
        <is>
          <t>https://lpjk.pu.go.id/search-badan-usaha-detail/L0pDY3dRZHQwZWhQY0pZT0ExUms2Zz09</t>
        </is>
      </c>
      <c r="F37" t="n">
        <v>3</v>
      </c>
      <c r="G37" t="inlineStr">
        <is>
          <t>BG002, BG004, BG006</t>
        </is>
      </c>
      <c r="H37" t="inlineStr">
        <is>
          <t>11 Januari 2017</t>
        </is>
      </c>
      <c r="I37" s="2" t="n">
        <v>46285</v>
      </c>
      <c r="J37" t="inlineStr">
        <is>
          <t>Disetujui</t>
        </is>
      </c>
      <c r="K37" t="n">
        <v>60</v>
      </c>
      <c r="L37" t="inlineStr">
        <is>
          <t>20 September 2026</t>
        </is>
      </c>
      <c r="M37" t="inlineStr">
        <is>
          <t>Konstruksi Gedung Pendidikan, Konstruksi Gedung Perbelanjaan, Konstruksi Gedung Perkantoran</t>
        </is>
      </c>
      <c r="N37" t="inlineStr">
        <is>
          <t>K</t>
        </is>
      </c>
      <c r="O37" t="inlineStr">
        <is>
          <t>20230919, 20230921</t>
        </is>
      </c>
      <c r="P37" t="inlineStr">
        <is>
          <t>Jawa Timur</t>
        </is>
      </c>
      <c r="Q37" t="inlineStr"/>
    </row>
    <row r="38">
      <c r="A38" t="inlineStr">
        <is>
          <t>ARDIAN RAYA</t>
        </is>
      </c>
      <c r="B38" t="inlineStr">
        <is>
          <t>Kota Kendari</t>
        </is>
      </c>
      <c r="C38" t="inlineStr">
        <is>
          <t>085241882572</t>
        </is>
      </c>
      <c r="D38" t="inlineStr">
        <is>
          <t>ardianrayacv@gmail.com</t>
        </is>
      </c>
      <c r="E38" t="inlineStr">
        <is>
          <t>https://lpjk.pu.go.id/search-badan-usaha-detail/eDZkaXNxT2dHa09sQVhQMTAvcTlkQT09</t>
        </is>
      </c>
      <c r="F38" t="n">
        <v>2</v>
      </c>
      <c r="G38" t="inlineStr">
        <is>
          <t>BS004</t>
        </is>
      </c>
      <c r="H38" t="inlineStr">
        <is>
          <t>4 Januari 2010</t>
        </is>
      </c>
      <c r="I38" s="2" t="n">
        <v>46285</v>
      </c>
      <c r="J38" t="inlineStr">
        <is>
          <t>Disetujui</t>
        </is>
      </c>
      <c r="K38" t="n">
        <v>60</v>
      </c>
      <c r="L38" t="inlineStr">
        <is>
          <t>20 September 2026</t>
        </is>
      </c>
      <c r="M38" t="inlineStr">
        <is>
          <t>Konstruksi Jaringan Irigasi dan Drainase</t>
        </is>
      </c>
      <c r="N38" t="inlineStr">
        <is>
          <t>K</t>
        </is>
      </c>
      <c r="O38" t="inlineStr">
        <is>
          <t>20230904</t>
        </is>
      </c>
      <c r="P38" t="inlineStr">
        <is>
          <t>Sulawesi Tenggara</t>
        </is>
      </c>
      <c r="Q38" t="inlineStr"/>
    </row>
    <row r="39">
      <c r="A39" t="inlineStr">
        <is>
          <t>ARIS GRAHA INDOTAMA</t>
        </is>
      </c>
      <c r="B39" t="inlineStr">
        <is>
          <t>Kab. Buton</t>
        </is>
      </c>
      <c r="C39" t="inlineStr">
        <is>
          <t>085298575469</t>
        </is>
      </c>
      <c r="D39" t="inlineStr">
        <is>
          <t>arisindotama@gmail.com</t>
        </is>
      </c>
      <c r="E39" t="inlineStr">
        <is>
          <t>https://lpjk.pu.go.id/search-badan-usaha-detail/ZDZVN0EyQTBhaGhVZlJRcTJwenp0QT09</t>
        </is>
      </c>
      <c r="F39" t="n">
        <v>3</v>
      </c>
      <c r="G39" t="inlineStr">
        <is>
          <t>RK001, RK002, RK003</t>
        </is>
      </c>
      <c r="H39" t="inlineStr">
        <is>
          <t>13 Juni 2020</t>
        </is>
      </c>
      <c r="I39" s="2" t="n">
        <v>46285</v>
      </c>
      <c r="J39" t="inlineStr">
        <is>
          <t>Disetujui</t>
        </is>
      </c>
      <c r="K39" t="n">
        <v>60</v>
      </c>
      <c r="L39" t="inlineStr">
        <is>
          <t>20 September 2026</t>
        </is>
      </c>
      <c r="M39" t="inlineStr">
        <is>
          <t>Jasa Rekayasa Konstruksi Bangunan Gedung Hunian dan Non Hunian, Jasa Rekayasa Pekerjaan Teknik Sipil Sumber Daya Air, Jasa Rekayasa Pekerjaan Teknik Sipil Transportasi</t>
        </is>
      </c>
      <c r="N39" t="inlineStr">
        <is>
          <t>K</t>
        </is>
      </c>
      <c r="O39" t="inlineStr">
        <is>
          <t>20230830</t>
        </is>
      </c>
      <c r="P39" t="inlineStr">
        <is>
          <t>Sulawesi Tenggara</t>
        </is>
      </c>
      <c r="Q39" t="inlineStr"/>
    </row>
    <row r="40">
      <c r="A40" t="inlineStr">
        <is>
          <t>ARKANANTA KARYA KONSTRUKSI</t>
        </is>
      </c>
      <c r="B40" t="inlineStr">
        <is>
          <t>Kota Samarinda</t>
        </is>
      </c>
      <c r="C40" t="inlineStr">
        <is>
          <t>08125476643</t>
        </is>
      </c>
      <c r="D40" t="inlineStr">
        <is>
          <t>cv.arkanantakaryakonstruksi@gmail.com</t>
        </is>
      </c>
      <c r="E40" t="inlineStr">
        <is>
          <t>https://lpjk.pu.go.id/search-badan-usaha-detail/bElRMzdNcFFFbU9icVd4Wmt2ZXFpUT09</t>
        </is>
      </c>
      <c r="F40" t="n">
        <v>4</v>
      </c>
      <c r="G40" t="inlineStr">
        <is>
          <t>BS004</t>
        </is>
      </c>
      <c r="H40" t="inlineStr">
        <is>
          <t>6 Januari 2023</t>
        </is>
      </c>
      <c r="I40" s="2" t="n">
        <v>46285</v>
      </c>
      <c r="J40" t="inlineStr">
        <is>
          <t>Disetujui</t>
        </is>
      </c>
      <c r="K40" t="n">
        <v>60</v>
      </c>
      <c r="L40" t="inlineStr">
        <is>
          <t>20 September 2026</t>
        </is>
      </c>
      <c r="M40" t="inlineStr">
        <is>
          <t>Konstruksi Jaringan Irigasi dan Drainase</t>
        </is>
      </c>
      <c r="N40" t="inlineStr">
        <is>
          <t>K</t>
        </is>
      </c>
      <c r="O40" t="inlineStr">
        <is>
          <t>20230921</t>
        </is>
      </c>
      <c r="P40" t="inlineStr">
        <is>
          <t>Kalimantan Timur</t>
        </is>
      </c>
      <c r="Q40" t="inlineStr"/>
    </row>
    <row r="41">
      <c r="A41" t="inlineStr">
        <is>
          <t>ARSITEKTURASIA</t>
        </is>
      </c>
      <c r="B41" t="inlineStr">
        <is>
          <t>Kota Denpasar</t>
        </is>
      </c>
      <c r="C41" t="inlineStr">
        <is>
          <t>081239401380</t>
        </is>
      </c>
      <c r="D41" t="inlineStr">
        <is>
          <t>arsitekturasia@gmail.com</t>
        </is>
      </c>
      <c r="E41" t="inlineStr">
        <is>
          <t>https://lpjk.pu.go.id/search-badan-usaha-detail/ZDFXRi8wVzN6Q243V251d3FBdFNYdz09</t>
        </is>
      </c>
      <c r="F41" t="n">
        <v>1</v>
      </c>
      <c r="G41" t="inlineStr">
        <is>
          <t>BG007</t>
        </is>
      </c>
      <c r="H41" t="inlineStr">
        <is>
          <t>3 Februari 2020</t>
        </is>
      </c>
      <c r="I41" s="2" t="n">
        <v>46285</v>
      </c>
      <c r="J41" t="inlineStr">
        <is>
          <t>Disetujui</t>
        </is>
      </c>
      <c r="K41" t="n">
        <v>60</v>
      </c>
      <c r="L41" t="inlineStr">
        <is>
          <t>20 September 2026</t>
        </is>
      </c>
      <c r="M41" t="inlineStr">
        <is>
          <t>Konstruksi Gedung Penginapan</t>
        </is>
      </c>
      <c r="N41" t="inlineStr">
        <is>
          <t>K</t>
        </is>
      </c>
      <c r="O41" t="inlineStr">
        <is>
          <t>20230921</t>
        </is>
      </c>
      <c r="P41" t="inlineStr">
        <is>
          <t>Bali</t>
        </is>
      </c>
      <c r="Q41" t="inlineStr"/>
    </row>
    <row r="42">
      <c r="A42" t="inlineStr">
        <is>
          <t>ARTA CITRA GEMILANG</t>
        </is>
      </c>
      <c r="B42" t="inlineStr">
        <is>
          <t>Kab. Tangerang</t>
        </is>
      </c>
      <c r="C42" t="inlineStr">
        <is>
          <t>08997576889</t>
        </is>
      </c>
      <c r="D42" t="inlineStr">
        <is>
          <t>artacitragemilang@gmail.com</t>
        </is>
      </c>
      <c r="E42" t="inlineStr">
        <is>
          <t>https://lpjk.pu.go.id/search-badan-usaha-detail/djV1dzN0RThEOWoxeGQzOXJmNTRYUT09</t>
        </is>
      </c>
      <c r="F42" t="n">
        <v>2</v>
      </c>
      <c r="G42" t="inlineStr">
        <is>
          <t>BG009, BS001</t>
        </is>
      </c>
      <c r="H42" t="inlineStr">
        <is>
          <t>19 Desember 2022</t>
        </is>
      </c>
      <c r="I42" s="2" t="n">
        <v>46285</v>
      </c>
      <c r="J42" t="inlineStr">
        <is>
          <t>Pencabutan</t>
        </is>
      </c>
      <c r="K42" t="n">
        <v>60</v>
      </c>
      <c r="L42" t="inlineStr">
        <is>
          <t>20 September 2026</t>
        </is>
      </c>
      <c r="M42" t="inlineStr">
        <is>
          <t>Konstruksi Bangunan Sipil Jalan, Konstruksi Gedung Lainnya</t>
        </is>
      </c>
      <c r="N42" t="inlineStr">
        <is>
          <t>K</t>
        </is>
      </c>
      <c r="O42" t="inlineStr">
        <is>
          <t>20230919</t>
        </is>
      </c>
      <c r="P42" t="inlineStr">
        <is>
          <t>Banten</t>
        </is>
      </c>
      <c r="Q42" t="inlineStr"/>
    </row>
    <row r="43">
      <c r="A43" t="inlineStr">
        <is>
          <t>ARTHA GRAHA CONSULTANT</t>
        </is>
      </c>
      <c r="B43" t="inlineStr">
        <is>
          <t>Kab. Murung Raya</t>
        </is>
      </c>
      <c r="C43" t="inlineStr">
        <is>
          <t>082162626260</t>
        </is>
      </c>
      <c r="D43" t="inlineStr">
        <is>
          <t>cvarthagrahaconsultant@gmail.com</t>
        </is>
      </c>
      <c r="E43" t="inlineStr">
        <is>
          <t>https://lpjk.pu.go.id/search-badan-usaha-detail/cy9pVWh5cDNHK1o2NGh3bEdwdDVqUT09</t>
        </is>
      </c>
      <c r="F43" t="n">
        <v>4</v>
      </c>
      <c r="G43" t="inlineStr">
        <is>
          <t>AR001, AR002, RK001, RK003</t>
        </is>
      </c>
      <c r="H43" t="inlineStr">
        <is>
          <t>16 Mei 2023</t>
        </is>
      </c>
      <c r="I43" s="2" t="n">
        <v>46285</v>
      </c>
      <c r="J43" t="inlineStr">
        <is>
          <t>Disetujui</t>
        </is>
      </c>
      <c r="K43" t="n">
        <v>60</v>
      </c>
      <c r="L43" t="inlineStr">
        <is>
          <t>20 September 2026</t>
        </is>
      </c>
      <c r="M43" t="inlineStr">
        <is>
          <t>Jasa Arsitektural Bangunan Gedung Hunian dan Non Hunian, Jasa Arsitektural Lainnya, Jasa Rekayasa Konstruksi Bangunan Gedung Hunian dan Non Hunian, Jasa Rekayasa Pekerjaan Teknik Sipil Transportasi</t>
        </is>
      </c>
      <c r="N43" t="inlineStr">
        <is>
          <t>K</t>
        </is>
      </c>
      <c r="O43" t="inlineStr">
        <is>
          <t>20230907, 20230908</t>
        </is>
      </c>
      <c r="P43" t="inlineStr">
        <is>
          <t>Kalimantan Tengah</t>
        </is>
      </c>
      <c r="Q43" t="inlineStr"/>
    </row>
    <row r="44">
      <c r="A44" t="inlineStr">
        <is>
          <t>ATLAS ADHI PERKASA</t>
        </is>
      </c>
      <c r="B44" t="inlineStr">
        <is>
          <t>Kota Adm. Jakarta Utara</t>
        </is>
      </c>
      <c r="C44" t="inlineStr">
        <is>
          <t>02165314315</t>
        </is>
      </c>
      <c r="D44" t="inlineStr">
        <is>
          <t>atlasadhiperkasa@gmail.com</t>
        </is>
      </c>
      <c r="E44" t="inlineStr">
        <is>
          <t>https://lpjk.pu.go.id/search-badan-usaha-detail/RlVWUjZuaUFGTkkvRnNNYm04RGdZQT09</t>
        </is>
      </c>
      <c r="F44" t="n">
        <v>3</v>
      </c>
      <c r="G44" t="inlineStr">
        <is>
          <t>BG001, BG003, BG009</t>
        </is>
      </c>
      <c r="H44" t="inlineStr">
        <is>
          <t>2 Februari 2018</t>
        </is>
      </c>
      <c r="I44" s="2" t="n">
        <v>46285</v>
      </c>
      <c r="J44" t="inlineStr">
        <is>
          <t>Disetujui</t>
        </is>
      </c>
      <c r="K44" t="n">
        <v>60</v>
      </c>
      <c r="L44" t="inlineStr">
        <is>
          <t>20 September 2026</t>
        </is>
      </c>
      <c r="M44" t="inlineStr">
        <is>
          <t>Konstruksi Gedung Hunian, Konstruksi Gedung Industri, Konstruksi Gedung Lainnya</t>
        </is>
      </c>
      <c r="N44" t="inlineStr">
        <is>
          <t>K</t>
        </is>
      </c>
      <c r="O44" t="inlineStr">
        <is>
          <t>20230918</t>
        </is>
      </c>
      <c r="P44" t="inlineStr">
        <is>
          <t>DKI Jakarta</t>
        </is>
      </c>
      <c r="Q44" t="inlineStr"/>
    </row>
    <row r="45">
      <c r="A45" t="inlineStr">
        <is>
          <t>AURA JONG CELEBES</t>
        </is>
      </c>
      <c r="B45" t="inlineStr">
        <is>
          <t>Kab. Bondowoso</t>
        </is>
      </c>
      <c r="C45" t="inlineStr">
        <is>
          <t>082234224303</t>
        </is>
      </c>
      <c r="D45" t="inlineStr">
        <is>
          <t>aurajongcelebes@gmail.com</t>
        </is>
      </c>
      <c r="E45" t="inlineStr">
        <is>
          <t>https://lpjk.pu.go.id/search-badan-usaha-detail/d1JoYjN3Sm4xSStXWG9pNDViMVRRdz09</t>
        </is>
      </c>
      <c r="F45" t="n">
        <v>2</v>
      </c>
      <c r="G45" t="inlineStr">
        <is>
          <t>BG001, BG005</t>
        </is>
      </c>
      <c r="H45" t="inlineStr">
        <is>
          <t>7 April 2015</t>
        </is>
      </c>
      <c r="I45" s="2" t="n">
        <v>46285</v>
      </c>
      <c r="J45" t="inlineStr">
        <is>
          <t>Disetujui</t>
        </is>
      </c>
      <c r="K45" t="n">
        <v>60</v>
      </c>
      <c r="L45" t="inlineStr">
        <is>
          <t>20 September 2026</t>
        </is>
      </c>
      <c r="M45" t="inlineStr">
        <is>
          <t>Konstruksi Gedung Hunian, Konstruksi Gedung Kesehatan</t>
        </is>
      </c>
      <c r="N45" t="inlineStr">
        <is>
          <t>K</t>
        </is>
      </c>
      <c r="O45" t="inlineStr">
        <is>
          <t>20230919, 20230920</t>
        </is>
      </c>
      <c r="P45" t="inlineStr">
        <is>
          <t>Jawa Timur</t>
        </is>
      </c>
      <c r="Q45" t="inlineStr"/>
    </row>
    <row r="46">
      <c r="A46" t="inlineStr">
        <is>
          <t>AWAN WIRAKARYA</t>
        </is>
      </c>
      <c r="B46" t="inlineStr">
        <is>
          <t>Kota Samarinda</t>
        </is>
      </c>
      <c r="C46" t="inlineStr">
        <is>
          <t>081549666696</t>
        </is>
      </c>
      <c r="D46" t="inlineStr">
        <is>
          <t>cv.awan.wirakarya@gmail.com</t>
        </is>
      </c>
      <c r="E46" t="inlineStr">
        <is>
          <t>https://lpjk.pu.go.id/search-badan-usaha-detail/NjlBd2ZGNDBZUWNkODNmMUZVOXd2UT09</t>
        </is>
      </c>
      <c r="F46" t="n">
        <v>3</v>
      </c>
      <c r="G46" t="inlineStr">
        <is>
          <t>BG002, BG006, BS004</t>
        </is>
      </c>
      <c r="H46" t="inlineStr">
        <is>
          <t>13 Februari 2023</t>
        </is>
      </c>
      <c r="I46" s="2" t="n">
        <v>46285</v>
      </c>
      <c r="J46" t="inlineStr">
        <is>
          <t>Disetujui</t>
        </is>
      </c>
      <c r="K46" t="n">
        <v>60</v>
      </c>
      <c r="L46" t="inlineStr">
        <is>
          <t>20 September 2026</t>
        </is>
      </c>
      <c r="M46" t="inlineStr">
        <is>
          <t>Konstruksi Gedung Pendidikan, Konstruksi Gedung Perkantoran, Konstruksi Jaringan Irigasi dan Drainase</t>
        </is>
      </c>
      <c r="N46" t="inlineStr">
        <is>
          <t>K</t>
        </is>
      </c>
      <c r="O46" t="inlineStr">
        <is>
          <t>20230918</t>
        </is>
      </c>
      <c r="P46" t="inlineStr">
        <is>
          <t>Kalimantan Timur</t>
        </is>
      </c>
      <c r="Q46" t="inlineStr"/>
    </row>
    <row r="47">
      <c r="A47" t="inlineStr">
        <is>
          <t>BADIA KARYA</t>
        </is>
      </c>
      <c r="B47" t="inlineStr">
        <is>
          <t>Kab. Pangandaran</t>
        </is>
      </c>
      <c r="C47" t="inlineStr">
        <is>
          <t>085280391199</t>
        </is>
      </c>
      <c r="D47" t="inlineStr">
        <is>
          <t>cv.badiakarya91@gmail.com</t>
        </is>
      </c>
      <c r="E47" t="inlineStr">
        <is>
          <t>https://lpjk.pu.go.id/search-badan-usaha-detail/c1Jwc25tY2dzempEREthUjFOMzIrdz09</t>
        </is>
      </c>
      <c r="F47" t="n">
        <v>3</v>
      </c>
      <c r="G47" t="inlineStr">
        <is>
          <t>BG006, BG009, BS001</t>
        </is>
      </c>
      <c r="H47" t="inlineStr">
        <is>
          <t>10 Februari 2012</t>
        </is>
      </c>
      <c r="I47" s="2" t="n">
        <v>46285</v>
      </c>
      <c r="J47" t="inlineStr">
        <is>
          <t>Disetujui</t>
        </is>
      </c>
      <c r="K47" t="n">
        <v>60</v>
      </c>
      <c r="L47" t="inlineStr">
        <is>
          <t>20 September 2026</t>
        </is>
      </c>
      <c r="M47" t="inlineStr">
        <is>
          <t>Konstruksi Bangunan Sipil Jalan, Konstruksi Gedung Lainnya, Konstruksi Gedung Pendidikan</t>
        </is>
      </c>
      <c r="N47" t="inlineStr">
        <is>
          <t>K</t>
        </is>
      </c>
      <c r="O47" t="inlineStr">
        <is>
          <t>20230912, 20230918</t>
        </is>
      </c>
      <c r="P47" t="inlineStr">
        <is>
          <t>Jawa Barat</t>
        </is>
      </c>
      <c r="Q47" t="inlineStr"/>
    </row>
    <row r="48">
      <c r="A48" t="inlineStr">
        <is>
          <t>BAGINDA ABABIEL</t>
        </is>
      </c>
      <c r="B48" t="inlineStr">
        <is>
          <t>Kab. Tuban</t>
        </is>
      </c>
      <c r="C48" t="inlineStr">
        <is>
          <t>0821790004444</t>
        </is>
      </c>
      <c r="D48" t="inlineStr">
        <is>
          <t>a.baginda@yahoo.com</t>
        </is>
      </c>
      <c r="E48" t="inlineStr">
        <is>
          <t>https://lpjk.pu.go.id/search-badan-usaha-detail/VENxc01qN0dmY01WOUVmNG10Vkp3UT09</t>
        </is>
      </c>
      <c r="F48" t="n">
        <v>1</v>
      </c>
      <c r="G48" t="inlineStr">
        <is>
          <t>BS004</t>
        </is>
      </c>
      <c r="H48" t="inlineStr">
        <is>
          <t>11 Desember 2017</t>
        </is>
      </c>
      <c r="I48" s="2" t="n">
        <v>46285</v>
      </c>
      <c r="J48" t="inlineStr">
        <is>
          <t>Disetujui</t>
        </is>
      </c>
      <c r="K48" t="n">
        <v>60</v>
      </c>
      <c r="L48" t="inlineStr">
        <is>
          <t>20 September 2026</t>
        </is>
      </c>
      <c r="M48" t="inlineStr">
        <is>
          <t>Konstruksi Jaringan Irigasi dan Drainase</t>
        </is>
      </c>
      <c r="N48" t="inlineStr">
        <is>
          <t>K</t>
        </is>
      </c>
      <c r="O48" t="inlineStr">
        <is>
          <t>20230917</t>
        </is>
      </c>
      <c r="P48" t="inlineStr">
        <is>
          <t>Jawa Timur</t>
        </is>
      </c>
      <c r="Q48" t="inlineStr"/>
    </row>
    <row r="49">
      <c r="A49" t="inlineStr">
        <is>
          <t>BANGUN BINTAN JAYA</t>
        </is>
      </c>
      <c r="B49" t="inlineStr">
        <is>
          <t>Kota Tanjung Pinang</t>
        </is>
      </c>
      <c r="C49" t="inlineStr">
        <is>
          <t>077128150</t>
        </is>
      </c>
      <c r="D49" t="inlineStr">
        <is>
          <t>bangunbintanjaya_cv@yahoo.co.id</t>
        </is>
      </c>
      <c r="E49" t="inlineStr">
        <is>
          <t>https://lpjk.pu.go.id/search-badan-usaha-detail/UXJOMW5VMzZ2WUI2TjJtYStWalFqQT09</t>
        </is>
      </c>
      <c r="F49" t="n">
        <v>2</v>
      </c>
      <c r="G49" t="inlineStr">
        <is>
          <t>BG005, BG006</t>
        </is>
      </c>
      <c r="H49" t="inlineStr">
        <is>
          <t>7 Juli 1999</t>
        </is>
      </c>
      <c r="I49" s="2" t="n">
        <v>46285</v>
      </c>
      <c r="J49" t="inlineStr">
        <is>
          <t>Pencabutan</t>
        </is>
      </c>
      <c r="K49" t="n">
        <v>60</v>
      </c>
      <c r="L49" t="inlineStr">
        <is>
          <t>20 September 2026</t>
        </is>
      </c>
      <c r="M49" t="inlineStr">
        <is>
          <t>Konstruksi Gedung Kesehatan, Konstruksi Gedung Pendidikan</t>
        </is>
      </c>
      <c r="N49" t="inlineStr">
        <is>
          <t>K</t>
        </is>
      </c>
      <c r="O49" t="inlineStr">
        <is>
          <t>20230914</t>
        </is>
      </c>
      <c r="P49" t="inlineStr">
        <is>
          <t>Kepulauan Riau</t>
        </is>
      </c>
      <c r="Q49" t="inlineStr"/>
    </row>
    <row r="50">
      <c r="A50" t="inlineStr">
        <is>
          <t>BANGUN PERSADA</t>
        </is>
      </c>
      <c r="B50" t="inlineStr">
        <is>
          <t>Kota Bandar Lampung</t>
        </is>
      </c>
      <c r="C50" t="inlineStr">
        <is>
          <t>082131614382</t>
        </is>
      </c>
      <c r="D50" t="inlineStr">
        <is>
          <t>CV_BANGUNPERSADA@YMAIL.COM</t>
        </is>
      </c>
      <c r="E50" t="inlineStr">
        <is>
          <t>https://lpjk.pu.go.id/search-badan-usaha-detail/QWpnbmZOQ1FzWFl3eXIxb1AyVVRiQT09</t>
        </is>
      </c>
      <c r="F50" t="n">
        <v>1</v>
      </c>
      <c r="G50" t="inlineStr">
        <is>
          <t>BG003</t>
        </is>
      </c>
      <c r="H50" t="inlineStr">
        <is>
          <t>16 Juli 2010</t>
        </is>
      </c>
      <c r="I50" s="2" t="n">
        <v>46285</v>
      </c>
      <c r="J50" t="inlineStr">
        <is>
          <t>Pencabutan</t>
        </is>
      </c>
      <c r="K50" t="n">
        <v>60</v>
      </c>
      <c r="L50" t="inlineStr">
        <is>
          <t>20 September 2026</t>
        </is>
      </c>
      <c r="M50" t="inlineStr">
        <is>
          <t>Konstruksi Gedung Industri</t>
        </is>
      </c>
      <c r="N50" t="inlineStr">
        <is>
          <t>K</t>
        </is>
      </c>
      <c r="O50" t="inlineStr">
        <is>
          <t>20230912</t>
        </is>
      </c>
      <c r="P50" t="inlineStr">
        <is>
          <t>Lampung</t>
        </is>
      </c>
      <c r="Q50" t="inlineStr"/>
    </row>
    <row r="51">
      <c r="A51" t="inlineStr">
        <is>
          <t>BARAKA INDO SINERGI</t>
        </is>
      </c>
      <c r="B51" t="inlineStr">
        <is>
          <t>Kota Adm. Jakarta Selatan</t>
        </is>
      </c>
      <c r="C51" t="inlineStr">
        <is>
          <t>081285001789</t>
        </is>
      </c>
      <c r="D51" t="inlineStr">
        <is>
          <t>barakaindosinergi@gmail.com</t>
        </is>
      </c>
      <c r="E51" t="inlineStr">
        <is>
          <t>https://lpjk.pu.go.id/search-badan-usaha-detail/UTBDR3B3cU1rdGovQ0hoaFl5NFlYZz09</t>
        </is>
      </c>
      <c r="F51" t="n">
        <v>2</v>
      </c>
      <c r="G51" t="inlineStr">
        <is>
          <t>BG001</t>
        </is>
      </c>
      <c r="H51" t="inlineStr">
        <is>
          <t>30 Agustus 2022</t>
        </is>
      </c>
      <c r="I51" s="2" t="n">
        <v>46285</v>
      </c>
      <c r="J51" t="inlineStr">
        <is>
          <t>Disetujui</t>
        </is>
      </c>
      <c r="K51" t="n">
        <v>60</v>
      </c>
      <c r="L51" t="inlineStr">
        <is>
          <t>20 September 2026</t>
        </is>
      </c>
      <c r="M51" t="inlineStr">
        <is>
          <t>Konstruksi Gedung Hunian</t>
        </is>
      </c>
      <c r="N51" t="inlineStr">
        <is>
          <t>K</t>
        </is>
      </c>
      <c r="O51" t="inlineStr">
        <is>
          <t>20230918</t>
        </is>
      </c>
      <c r="P51" t="inlineStr">
        <is>
          <t>DKI Jakarta</t>
        </is>
      </c>
      <c r="Q51" t="inlineStr"/>
    </row>
    <row r="52">
      <c r="A52" t="inlineStr">
        <is>
          <t>BERDAYA MEDIATAMA</t>
        </is>
      </c>
      <c r="B52" t="inlineStr">
        <is>
          <t>Kota Kendari</t>
        </is>
      </c>
      <c r="C52" t="inlineStr">
        <is>
          <t>085335531111</t>
        </is>
      </c>
      <c r="D52" t="inlineStr">
        <is>
          <t>berdayacv@gmail.com</t>
        </is>
      </c>
      <c r="E52" t="inlineStr">
        <is>
          <t>https://lpjk.pu.go.id/search-badan-usaha-detail/aFpKZVBZWElrdmR5czk0WUhmVDV0QT09</t>
        </is>
      </c>
      <c r="F52" t="n">
        <v>1</v>
      </c>
      <c r="G52" t="inlineStr">
        <is>
          <t>BG009</t>
        </is>
      </c>
      <c r="H52" t="inlineStr">
        <is>
          <t>13 November 2013</t>
        </is>
      </c>
      <c r="I52" s="2" t="n">
        <v>46285</v>
      </c>
      <c r="J52" t="inlineStr">
        <is>
          <t>Disetujui</t>
        </is>
      </c>
      <c r="K52" t="n">
        <v>60</v>
      </c>
      <c r="L52" t="inlineStr">
        <is>
          <t>20 September 2026</t>
        </is>
      </c>
      <c r="M52" t="inlineStr">
        <is>
          <t>Konstruksi Gedung Lainnya</t>
        </is>
      </c>
      <c r="N52" t="inlineStr">
        <is>
          <t>K</t>
        </is>
      </c>
      <c r="O52" t="inlineStr">
        <is>
          <t>20230919</t>
        </is>
      </c>
      <c r="P52" t="inlineStr">
        <is>
          <t>Sulawesi Tenggara</t>
        </is>
      </c>
      <c r="Q52" t="inlineStr"/>
    </row>
    <row r="53">
      <c r="A53" t="inlineStr">
        <is>
          <t>BERDIKARI PAPUA PERKASA</t>
        </is>
      </c>
      <c r="B53" t="inlineStr">
        <is>
          <t>Kab. Jayapura</t>
        </is>
      </c>
      <c r="C53" t="inlineStr">
        <is>
          <t>085244094848</t>
        </is>
      </c>
      <c r="D53" t="inlineStr">
        <is>
          <t>cvberdikaripp@gmail.com</t>
        </is>
      </c>
      <c r="E53" t="inlineStr">
        <is>
          <t>https://lpjk.pu.go.id/search-badan-usaha-detail/L3hJVWloeml2YmovMFNXVi8rcWdhZz09</t>
        </is>
      </c>
      <c r="F53" t="n">
        <v>1</v>
      </c>
      <c r="G53" t="inlineStr">
        <is>
          <t>BS002</t>
        </is>
      </c>
      <c r="H53" t="inlineStr">
        <is>
          <t>3 Februari 2016</t>
        </is>
      </c>
      <c r="I53" s="2" t="n">
        <v>46285</v>
      </c>
      <c r="J53" t="inlineStr">
        <is>
          <t>Disetujui</t>
        </is>
      </c>
      <c r="K53" t="n">
        <v>60</v>
      </c>
      <c r="L53" t="inlineStr">
        <is>
          <t>20 September 2026</t>
        </is>
      </c>
      <c r="M53" t="inlineStr">
        <is>
          <t>Bangunan Sipil Jembatan, Jalan Layang, Fly Over, dan Underpass</t>
        </is>
      </c>
      <c r="N53" t="inlineStr">
        <is>
          <t>K</t>
        </is>
      </c>
      <c r="O53" t="inlineStr">
        <is>
          <t>20230921</t>
        </is>
      </c>
      <c r="P53" t="inlineStr">
        <is>
          <t>Papua</t>
        </is>
      </c>
      <c r="Q53" t="inlineStr"/>
    </row>
    <row r="54">
      <c r="A54" t="inlineStr">
        <is>
          <t>BERKAH AKHDAN</t>
        </is>
      </c>
      <c r="B54" t="inlineStr">
        <is>
          <t>Kab. Bantul</t>
        </is>
      </c>
      <c r="C54" t="inlineStr">
        <is>
          <t>081324470078</t>
        </is>
      </c>
      <c r="D54" t="inlineStr">
        <is>
          <t>cv.berkahakhdan@gmail.com</t>
        </is>
      </c>
      <c r="E54" t="inlineStr">
        <is>
          <t>https://lpjk.pu.go.id/search-badan-usaha-detail/MTlBMHFFazBma1dUMVZyOWl1ME9PUT09</t>
        </is>
      </c>
      <c r="F54" t="n">
        <v>12</v>
      </c>
      <c r="G54" t="inlineStr">
        <is>
          <t>BG002, BG004, BG006, BS004, BS010</t>
        </is>
      </c>
      <c r="H54" t="inlineStr">
        <is>
          <t>20 Januari 2017</t>
        </is>
      </c>
      <c r="I54" s="2" t="n">
        <v>46285</v>
      </c>
      <c r="J54" t="inlineStr">
        <is>
          <t>Disetujui</t>
        </is>
      </c>
      <c r="K54" t="n">
        <v>60</v>
      </c>
      <c r="L54" t="inlineStr">
        <is>
          <t>20 September 2026</t>
        </is>
      </c>
      <c r="M54" t="inlineStr">
        <is>
          <t>Konstruksi Bangunan Prasarana Sumber Daya Air, Konstruksi Gedung Pendidikan, Konstruksi Gedung Perbelanjaan, Konstruksi Gedung Perkantoran, Konstruksi Jaringan Irigasi dan Drainase</t>
        </is>
      </c>
      <c r="N54" t="inlineStr">
        <is>
          <t>K</t>
        </is>
      </c>
      <c r="O54" t="inlineStr">
        <is>
          <t>20230913, 20230918, 20230919</t>
        </is>
      </c>
      <c r="P54" t="inlineStr">
        <is>
          <t>DI Yogyakarta</t>
        </is>
      </c>
      <c r="Q54" t="inlineStr"/>
    </row>
    <row r="55">
      <c r="A55" t="inlineStr">
        <is>
          <t>BERKAT BANJAR MANDIRI</t>
        </is>
      </c>
      <c r="B55" t="inlineStr">
        <is>
          <t>Kab. Banjar</t>
        </is>
      </c>
      <c r="C55" t="inlineStr">
        <is>
          <t>081351016221</t>
        </is>
      </c>
      <c r="D55" t="inlineStr">
        <is>
          <t>berkatbanjarm@gmail.com</t>
        </is>
      </c>
      <c r="E55" t="inlineStr">
        <is>
          <t>https://lpjk.pu.go.id/search-badan-usaha-detail/R3lZRk84bFhVR1hYalZReDdoL3NoZz09</t>
        </is>
      </c>
      <c r="F55" t="n">
        <v>2</v>
      </c>
      <c r="G55" t="inlineStr">
        <is>
          <t>PL004</t>
        </is>
      </c>
      <c r="H55" t="inlineStr">
        <is>
          <t>9 September 2023</t>
        </is>
      </c>
      <c r="I55" s="2" t="n">
        <v>46285</v>
      </c>
      <c r="J55" t="inlineStr">
        <is>
          <t>Pembekuan</t>
        </is>
      </c>
      <c r="K55" t="n">
        <v>60</v>
      </c>
      <c r="L55" t="inlineStr">
        <is>
          <t>20 September 2026</t>
        </is>
      </c>
      <c r="M55" t="inlineStr">
        <is>
          <t>Pekerjaan Tanah</t>
        </is>
      </c>
      <c r="N55" t="inlineStr">
        <is>
          <t>Spesialis</t>
        </is>
      </c>
      <c r="O55" t="inlineStr">
        <is>
          <t>20230913</t>
        </is>
      </c>
      <c r="P55" t="inlineStr">
        <is>
          <t>Kalimantan Selatan</t>
        </is>
      </c>
      <c r="Q55" t="inlineStr"/>
    </row>
    <row r="56">
      <c r="A56" t="inlineStr">
        <is>
          <t>BERKAT IKHLAS BATAM</t>
        </is>
      </c>
      <c r="B56" t="inlineStr">
        <is>
          <t>Kota Batam</t>
        </is>
      </c>
      <c r="C56" t="inlineStr">
        <is>
          <t>081372664373</t>
        </is>
      </c>
      <c r="D56" t="inlineStr">
        <is>
          <t>berkatikhlasbatam.cv@yahoo.com</t>
        </is>
      </c>
      <c r="E56" t="inlineStr">
        <is>
          <t>https://lpjk.pu.go.id/search-badan-usaha-detail/dStiUTJZRkIxdU8rdGYvUEp5aURnZz09</t>
        </is>
      </c>
      <c r="F56" t="n">
        <v>10</v>
      </c>
      <c r="G56" t="inlineStr">
        <is>
          <t>BG001, BG003, BG005, BG006, BG009</t>
        </is>
      </c>
      <c r="H56" t="inlineStr">
        <is>
          <t>19 Juli 2012</t>
        </is>
      </c>
      <c r="I56" s="2" t="n">
        <v>46285</v>
      </c>
      <c r="J56" t="inlineStr">
        <is>
          <t>Disetujui</t>
        </is>
      </c>
      <c r="K56" t="n">
        <v>60</v>
      </c>
      <c r="L56" t="inlineStr">
        <is>
          <t>20 September 2026</t>
        </is>
      </c>
      <c r="M56" t="inlineStr">
        <is>
          <t>Konstruksi Gedung Hunian, Konstruksi Gedung Industri, Konstruksi Gedung Kesehatan, Konstruksi Gedung Lainnya, Konstruksi Gedung Pendidikan</t>
        </is>
      </c>
      <c r="N56" t="inlineStr">
        <is>
          <t>K</t>
        </is>
      </c>
      <c r="O56" t="inlineStr">
        <is>
          <t>20230921</t>
        </is>
      </c>
      <c r="P56" t="inlineStr">
        <is>
          <t>Kepulauan Riau</t>
        </is>
      </c>
      <c r="Q56" t="inlineStr"/>
    </row>
    <row r="57">
      <c r="A57" t="inlineStr">
        <is>
          <t>BERKO</t>
        </is>
      </c>
      <c r="B57" t="inlineStr">
        <is>
          <t>Kota Ambon</t>
        </is>
      </c>
      <c r="C57" t="inlineStr">
        <is>
          <t>081356102153</t>
        </is>
      </c>
      <c r="D57" t="inlineStr">
        <is>
          <t>berko_cv@yahoo.co.id</t>
        </is>
      </c>
      <c r="E57" t="inlineStr">
        <is>
          <t>https://lpjk.pu.go.id/search-badan-usaha-detail/VEFSdEFIWGhSM3A3ZDhsY2FFVmJDQT09</t>
        </is>
      </c>
      <c r="F57" t="n">
        <v>1</v>
      </c>
      <c r="G57" t="inlineStr">
        <is>
          <t>RK002</t>
        </is>
      </c>
      <c r="H57" t="inlineStr">
        <is>
          <t>14 September 2007</t>
        </is>
      </c>
      <c r="I57" s="2" t="n">
        <v>46285</v>
      </c>
      <c r="J57" t="inlineStr">
        <is>
          <t>Disetujui</t>
        </is>
      </c>
      <c r="K57" t="n">
        <v>60</v>
      </c>
      <c r="L57" t="inlineStr">
        <is>
          <t>20 September 2026</t>
        </is>
      </c>
      <c r="M57" t="inlineStr">
        <is>
          <t>Jasa Rekayasa Pekerjaan Teknik Sipil Sumber Daya Air</t>
        </is>
      </c>
      <c r="N57" t="inlineStr">
        <is>
          <t>K</t>
        </is>
      </c>
      <c r="O57" t="inlineStr">
        <is>
          <t>20230826</t>
        </is>
      </c>
      <c r="P57" t="inlineStr">
        <is>
          <t>Maluku</t>
        </is>
      </c>
      <c r="Q57" t="inlineStr"/>
    </row>
    <row r="58">
      <c r="A58" t="inlineStr">
        <is>
          <t>BETA SEJAHTERA</t>
        </is>
      </c>
      <c r="B58" t="inlineStr">
        <is>
          <t>Kab. Kutai Timur</t>
        </is>
      </c>
      <c r="C58" t="inlineStr">
        <is>
          <t>085251641074</t>
        </is>
      </c>
      <c r="D58" t="inlineStr">
        <is>
          <t>cv.betasejahtera@gmail.com</t>
        </is>
      </c>
      <c r="E58" t="inlineStr">
        <is>
          <t>https://lpjk.pu.go.id/search-badan-usaha-detail/aVFmdGp3akdiZ0lnbWltN0pCaXVmdz09</t>
        </is>
      </c>
      <c r="F58" t="n">
        <v>2</v>
      </c>
      <c r="G58" t="inlineStr">
        <is>
          <t>BS001, BS004</t>
        </is>
      </c>
      <c r="H58" t="inlineStr">
        <is>
          <t>13 Maret 2023</t>
        </is>
      </c>
      <c r="I58" s="2" t="n">
        <v>46285</v>
      </c>
      <c r="J58" t="inlineStr">
        <is>
          <t>Disetujui</t>
        </is>
      </c>
      <c r="K58" t="n">
        <v>60</v>
      </c>
      <c r="L58" t="inlineStr">
        <is>
          <t>20 September 2026</t>
        </is>
      </c>
      <c r="M58" t="inlineStr">
        <is>
          <t>Konstruksi Bangunan Sipil Jalan, Konstruksi Jaringan Irigasi dan Drainase</t>
        </is>
      </c>
      <c r="N58" t="inlineStr">
        <is>
          <t>K</t>
        </is>
      </c>
      <c r="O58" t="inlineStr">
        <is>
          <t>20230919</t>
        </is>
      </c>
      <c r="P58" t="inlineStr">
        <is>
          <t>Kalimantan Timur</t>
        </is>
      </c>
      <c r="Q58" t="inlineStr"/>
    </row>
    <row r="59">
      <c r="A59" t="inlineStr">
        <is>
          <t>BIMA ADHIKARI KONSTRUKSI</t>
        </is>
      </c>
      <c r="B59" t="inlineStr">
        <is>
          <t>Kota Surabaya</t>
        </is>
      </c>
      <c r="C59" t="inlineStr">
        <is>
          <t>085850961799</t>
        </is>
      </c>
      <c r="D59" t="inlineStr">
        <is>
          <t>BIMAADHIKARIKONSTRUKSI@GMAIL.COM</t>
        </is>
      </c>
      <c r="E59" t="inlineStr">
        <is>
          <t>https://lpjk.pu.go.id/search-badan-usaha-detail/ZllVM1Zrd3BrZFROazZsOFJ6NE1jQT09</t>
        </is>
      </c>
      <c r="F59" t="n">
        <v>1</v>
      </c>
      <c r="G59" t="inlineStr">
        <is>
          <t>BS001</t>
        </is>
      </c>
      <c r="H59" t="inlineStr">
        <is>
          <t>8 Agustus 2023</t>
        </is>
      </c>
      <c r="I59" s="2" t="n">
        <v>46285</v>
      </c>
      <c r="J59" t="inlineStr">
        <is>
          <t>Disetujui</t>
        </is>
      </c>
      <c r="K59" t="n">
        <v>60</v>
      </c>
      <c r="L59" t="inlineStr">
        <is>
          <t>20 September 2026</t>
        </is>
      </c>
      <c r="M59" t="inlineStr">
        <is>
          <t>Konstruksi Bangunan Sipil Jalan</t>
        </is>
      </c>
      <c r="N59" t="inlineStr">
        <is>
          <t>K</t>
        </is>
      </c>
      <c r="O59" t="inlineStr">
        <is>
          <t>20230905</t>
        </is>
      </c>
      <c r="P59" t="inlineStr">
        <is>
          <t>Jawa Timur</t>
        </is>
      </c>
      <c r="Q59" t="inlineStr"/>
    </row>
    <row r="60">
      <c r="A60" t="inlineStr">
        <is>
          <t>BINA CIPTA CONSULTANT</t>
        </is>
      </c>
      <c r="B60" t="inlineStr">
        <is>
          <t>Kab. Berau</t>
        </is>
      </c>
      <c r="C60" t="inlineStr">
        <is>
          <t>082255585634</t>
        </is>
      </c>
      <c r="D60" t="inlineStr">
        <is>
          <t>binaciptaconsultant@yahoo.com</t>
        </is>
      </c>
      <c r="E60" t="inlineStr">
        <is>
          <t>https://lpjk.pu.go.id/search-badan-usaha-detail/Uit1L1NyUjgrVkhaMkxVSlhXVDJvQT09</t>
        </is>
      </c>
      <c r="F60" t="n">
        <v>3</v>
      </c>
      <c r="G60" t="inlineStr">
        <is>
          <t>AR001, RK002, RK003</t>
        </is>
      </c>
      <c r="H60" t="inlineStr">
        <is>
          <t>18 Maret 2003</t>
        </is>
      </c>
      <c r="I60" s="2" t="n">
        <v>46285</v>
      </c>
      <c r="J60" t="inlineStr">
        <is>
          <t>Disetujui</t>
        </is>
      </c>
      <c r="K60" t="n">
        <v>60</v>
      </c>
      <c r="L60" t="inlineStr">
        <is>
          <t>20 September 2026</t>
        </is>
      </c>
      <c r="M60" t="inlineStr">
        <is>
          <t>Jasa Arsitektural Bangunan Gedung Hunian dan Non Hunian, Jasa Rekayasa Pekerjaan Teknik Sipil Sumber Daya Air, Jasa Rekayasa Pekerjaan Teknik Sipil Transportasi</t>
        </is>
      </c>
      <c r="N60" t="inlineStr">
        <is>
          <t>K</t>
        </is>
      </c>
      <c r="O60" t="inlineStr">
        <is>
          <t>20230821, 20230914</t>
        </is>
      </c>
      <c r="P60" t="inlineStr">
        <is>
          <t>Kalimantan Timur</t>
        </is>
      </c>
      <c r="Q60" t="inlineStr"/>
    </row>
    <row r="61">
      <c r="A61" t="inlineStr">
        <is>
          <t>BINTANG ANUGRAH JAYA</t>
        </is>
      </c>
      <c r="B61" t="inlineStr">
        <is>
          <t>Kota Palembang</t>
        </is>
      </c>
      <c r="C61" t="inlineStr">
        <is>
          <t>-</t>
        </is>
      </c>
      <c r="D61" t="inlineStr">
        <is>
          <t>pt.bintanganugerahjaya@gmail.com</t>
        </is>
      </c>
      <c r="E61" t="inlineStr">
        <is>
          <t>https://lpjk.pu.go.id/search-badan-usaha-detail/S3AyZk5hYVNTcEhDTFhlZW1HWW9tZz09</t>
        </is>
      </c>
      <c r="F61" t="n">
        <v>2</v>
      </c>
      <c r="G61" t="inlineStr">
        <is>
          <t>BS005</t>
        </is>
      </c>
      <c r="H61" t="inlineStr">
        <is>
          <t>5 Februari 2004</t>
        </is>
      </c>
      <c r="I61" s="2" t="n">
        <v>46285</v>
      </c>
      <c r="J61" t="inlineStr">
        <is>
          <t>Disetujui</t>
        </is>
      </c>
      <c r="K61" t="n">
        <v>60</v>
      </c>
      <c r="L61" t="inlineStr">
        <is>
          <t>20 September 2026</t>
        </is>
      </c>
      <c r="M61" t="inlineStr">
        <is>
          <t>Konstruksi Bangunan Sipil Pengolahan Air Bersih</t>
        </is>
      </c>
      <c r="N61" t="inlineStr">
        <is>
          <t>M</t>
        </is>
      </c>
      <c r="O61" t="inlineStr">
        <is>
          <t>20230917</t>
        </is>
      </c>
      <c r="P61" t="inlineStr">
        <is>
          <t>Sumatera Selatan</t>
        </is>
      </c>
      <c r="Q61" t="inlineStr"/>
    </row>
    <row r="62">
      <c r="A62" t="inlineStr">
        <is>
          <t>BINTANG KARYA GEMILANG</t>
        </is>
      </c>
      <c r="B62" t="inlineStr">
        <is>
          <t>Kota Pekanbaru</t>
        </is>
      </c>
      <c r="C62" t="inlineStr">
        <is>
          <t>082389276307</t>
        </is>
      </c>
      <c r="D62" t="inlineStr">
        <is>
          <t>riau_andjaya@yahoo.com</t>
        </is>
      </c>
      <c r="E62" t="inlineStr">
        <is>
          <t>https://lpjk.pu.go.id/search-badan-usaha-detail/Y1hoeXJoeVhXMTBMN3JVOXorVXhlZz09</t>
        </is>
      </c>
      <c r="F62" t="n">
        <v>2</v>
      </c>
      <c r="G62" t="inlineStr">
        <is>
          <t>BS010</t>
        </is>
      </c>
      <c r="H62" t="inlineStr">
        <is>
          <t>21 Desember 2009</t>
        </is>
      </c>
      <c r="I62" s="2" t="n">
        <v>46285</v>
      </c>
      <c r="J62" t="inlineStr">
        <is>
          <t>Pencabutan</t>
        </is>
      </c>
      <c r="K62" t="n">
        <v>60</v>
      </c>
      <c r="L62" t="inlineStr">
        <is>
          <t>20 September 2026</t>
        </is>
      </c>
      <c r="M62" t="inlineStr">
        <is>
          <t>Konstruksi Bangunan Prasarana Sumber Daya Air</t>
        </is>
      </c>
      <c r="N62" t="inlineStr">
        <is>
          <t>K</t>
        </is>
      </c>
      <c r="O62" t="inlineStr">
        <is>
          <t>20230920</t>
        </is>
      </c>
      <c r="P62" t="inlineStr">
        <is>
          <t>Riau</t>
        </is>
      </c>
      <c r="Q62" t="inlineStr"/>
    </row>
    <row r="63">
      <c r="A63" t="inlineStr">
        <is>
          <t>BINTANG MANDIRI GROUP</t>
        </is>
      </c>
      <c r="B63" t="inlineStr">
        <is>
          <t>Kab. Mamuju</t>
        </is>
      </c>
      <c r="C63" t="inlineStr">
        <is>
          <t>081289957367</t>
        </is>
      </c>
      <c r="D63" t="inlineStr">
        <is>
          <t>pt.bintangmandirigroup@yahoo.com</t>
        </is>
      </c>
      <c r="E63" t="inlineStr">
        <is>
          <t>https://lpjk.pu.go.id/search-badan-usaha-detail/OWZCbWV2UDJaZmdNbVNGazlIc1VwZz09</t>
        </is>
      </c>
      <c r="F63" t="n">
        <v>2</v>
      </c>
      <c r="G63" t="inlineStr">
        <is>
          <t>BS010</t>
        </is>
      </c>
      <c r="H63" t="inlineStr">
        <is>
          <t>4 Maret 2015</t>
        </is>
      </c>
      <c r="I63" s="2" t="n">
        <v>46285</v>
      </c>
      <c r="J63" t="inlineStr">
        <is>
          <t>Disetujui</t>
        </is>
      </c>
      <c r="K63" t="n">
        <v>60</v>
      </c>
      <c r="L63" t="inlineStr">
        <is>
          <t>20 September 2026</t>
        </is>
      </c>
      <c r="M63" t="inlineStr">
        <is>
          <t>Konstruksi Bangunan Prasarana Sumber Daya Air</t>
        </is>
      </c>
      <c r="N63" t="inlineStr">
        <is>
          <t>K</t>
        </is>
      </c>
      <c r="O63" t="inlineStr">
        <is>
          <t>20230919</t>
        </is>
      </c>
      <c r="P63" t="inlineStr">
        <is>
          <t>Sulawesi Barat</t>
        </is>
      </c>
      <c r="Q63" t="inlineStr"/>
    </row>
    <row r="64">
      <c r="A64" t="inlineStr">
        <is>
          <t>BINTANG MAS</t>
        </is>
      </c>
      <c r="B64" t="inlineStr">
        <is>
          <t>Kab. Bandung</t>
        </is>
      </c>
      <c r="C64" t="inlineStr">
        <is>
          <t>082321855589</t>
        </is>
      </c>
      <c r="D64" t="inlineStr">
        <is>
          <t>cvbintangmas79@gmail.com</t>
        </is>
      </c>
      <c r="E64" t="inlineStr">
        <is>
          <t>https://lpjk.pu.go.id/search-badan-usaha-detail/NnpIMm81aHR2OXB4emp1Zkh6dWdMdz09</t>
        </is>
      </c>
      <c r="F64" t="n">
        <v>2</v>
      </c>
      <c r="G64" t="inlineStr">
        <is>
          <t>BG003</t>
        </is>
      </c>
      <c r="H64" t="inlineStr">
        <is>
          <t>14 Agustus 2023</t>
        </is>
      </c>
      <c r="I64" s="2" t="n">
        <v>46285</v>
      </c>
      <c r="J64" t="inlineStr">
        <is>
          <t>Disetujui</t>
        </is>
      </c>
      <c r="K64" t="n">
        <v>60</v>
      </c>
      <c r="L64" t="inlineStr">
        <is>
          <t>20 September 2026</t>
        </is>
      </c>
      <c r="M64" t="inlineStr">
        <is>
          <t>Konstruksi Gedung Industri</t>
        </is>
      </c>
      <c r="N64" t="inlineStr">
        <is>
          <t>K</t>
        </is>
      </c>
      <c r="O64" t="inlineStr">
        <is>
          <t>20230914</t>
        </is>
      </c>
      <c r="P64" t="inlineStr">
        <is>
          <t>Jawa Barat</t>
        </is>
      </c>
      <c r="Q64" t="inlineStr"/>
    </row>
    <row r="65">
      <c r="A65" t="inlineStr">
        <is>
          <t>BINTANG PALAPA</t>
        </is>
      </c>
      <c r="B65" t="inlineStr">
        <is>
          <t>Kab. Nganjuk</t>
        </is>
      </c>
      <c r="C65" t="inlineStr">
        <is>
          <t>082139060994</t>
        </is>
      </c>
      <c r="D65" t="inlineStr">
        <is>
          <t>bintangpalapacv@gmail.com</t>
        </is>
      </c>
      <c r="E65" t="inlineStr">
        <is>
          <t>https://lpjk.pu.go.id/search-badan-usaha-detail/aXF1UktkMEM1NkNJS3FsemJpVkhhQT09</t>
        </is>
      </c>
      <c r="F65" t="n">
        <v>2</v>
      </c>
      <c r="G65" t="inlineStr">
        <is>
          <t>BS004</t>
        </is>
      </c>
      <c r="H65" t="inlineStr">
        <is>
          <t>1 Februari 1984</t>
        </is>
      </c>
      <c r="I65" s="2" t="n">
        <v>46285</v>
      </c>
      <c r="J65" t="inlineStr">
        <is>
          <t>Disetujui</t>
        </is>
      </c>
      <c r="K65" t="n">
        <v>60</v>
      </c>
      <c r="L65" t="inlineStr">
        <is>
          <t>20 September 2026</t>
        </is>
      </c>
      <c r="M65" t="inlineStr">
        <is>
          <t>Konstruksi Jaringan Irigasi dan Drainase</t>
        </is>
      </c>
      <c r="N65" t="inlineStr">
        <is>
          <t>K</t>
        </is>
      </c>
      <c r="O65" t="inlineStr">
        <is>
          <t>20230918</t>
        </is>
      </c>
      <c r="P65" t="inlineStr">
        <is>
          <t>Jawa Timur</t>
        </is>
      </c>
      <c r="Q65" t="inlineStr"/>
    </row>
    <row r="66">
      <c r="A66" t="inlineStr">
        <is>
          <t>BINTANG TIMUR</t>
        </is>
      </c>
      <c r="B66" t="inlineStr">
        <is>
          <t>Kota Makassar</t>
        </is>
      </c>
      <c r="C66" t="inlineStr">
        <is>
          <t>081241111011</t>
        </is>
      </c>
      <c r="D66" t="inlineStr">
        <is>
          <t>bintangtimur734@gmail.com</t>
        </is>
      </c>
      <c r="E66" t="inlineStr">
        <is>
          <t>https://lpjk.pu.go.id/search-badan-usaha-detail/YXU0WWc1Y0pmVS8zR3l3dWJObGFadz09</t>
        </is>
      </c>
      <c r="F66" t="n">
        <v>2</v>
      </c>
      <c r="G66" t="inlineStr">
        <is>
          <t>BG006</t>
        </is>
      </c>
      <c r="H66" t="inlineStr">
        <is>
          <t>18 Februari 2007</t>
        </is>
      </c>
      <c r="I66" s="2" t="n">
        <v>46285</v>
      </c>
      <c r="J66" t="inlineStr">
        <is>
          <t>Disetujui</t>
        </is>
      </c>
      <c r="K66" t="n">
        <v>60</v>
      </c>
      <c r="L66" t="inlineStr">
        <is>
          <t>20 September 2026</t>
        </is>
      </c>
      <c r="M66" t="inlineStr">
        <is>
          <t>Konstruksi Gedung Pendidikan</t>
        </is>
      </c>
      <c r="N66" t="inlineStr">
        <is>
          <t>K</t>
        </is>
      </c>
      <c r="O66" t="inlineStr">
        <is>
          <t>20230911</t>
        </is>
      </c>
      <c r="P66" t="inlineStr">
        <is>
          <t>Sulawesi Selatan</t>
        </is>
      </c>
      <c r="Q66" t="inlineStr"/>
    </row>
    <row r="67">
      <c r="A67" t="inlineStr">
        <is>
          <t>BONANZA</t>
        </is>
      </c>
      <c r="B67" t="inlineStr">
        <is>
          <t>Kab. Sumenep</t>
        </is>
      </c>
      <c r="C67" t="inlineStr">
        <is>
          <t>082324393030</t>
        </is>
      </c>
      <c r="D67" t="inlineStr">
        <is>
          <t>mohsyafii1207@gmail.com</t>
        </is>
      </c>
      <c r="E67" t="inlineStr">
        <is>
          <t>https://lpjk.pu.go.id/search-badan-usaha-detail/WC9Na0tzRXdqcVhBQWhUbk9SbWkvUT09</t>
        </is>
      </c>
      <c r="F67" t="n">
        <v>2</v>
      </c>
      <c r="G67" t="inlineStr">
        <is>
          <t>BG006</t>
        </is>
      </c>
      <c r="H67" t="inlineStr">
        <is>
          <t>23 Desember 2016</t>
        </is>
      </c>
      <c r="I67" s="2" t="n">
        <v>46285</v>
      </c>
      <c r="J67" t="inlineStr">
        <is>
          <t>Disetujui</t>
        </is>
      </c>
      <c r="K67" t="n">
        <v>60</v>
      </c>
      <c r="L67" t="inlineStr">
        <is>
          <t>20 September 2026</t>
        </is>
      </c>
      <c r="M67" t="inlineStr">
        <is>
          <t>Konstruksi Gedung Pendidikan</t>
        </is>
      </c>
      <c r="N67" t="inlineStr">
        <is>
          <t>K</t>
        </is>
      </c>
      <c r="O67" t="inlineStr">
        <is>
          <t>20230918</t>
        </is>
      </c>
      <c r="P67" t="inlineStr">
        <is>
          <t>Jawa Timur</t>
        </is>
      </c>
      <c r="Q67" t="inlineStr"/>
    </row>
    <row r="68">
      <c r="A68" t="inlineStr">
        <is>
          <t>BORNEO DZIBAN SEJAHTERA</t>
        </is>
      </c>
      <c r="B68" t="inlineStr">
        <is>
          <t>Kab. Kutai Timur</t>
        </is>
      </c>
      <c r="C68" t="inlineStr">
        <is>
          <t>081347400545</t>
        </is>
      </c>
      <c r="D68" t="inlineStr">
        <is>
          <t>cvborneods@gmail.com</t>
        </is>
      </c>
      <c r="E68" t="inlineStr">
        <is>
          <t>https://lpjk.pu.go.id/search-badan-usaha-detail/QkFIL0xLUFE4OE9ENjY1ZTE2R2JlZz09</t>
        </is>
      </c>
      <c r="F68" t="n">
        <v>1</v>
      </c>
      <c r="G68" t="inlineStr">
        <is>
          <t>BG006</t>
        </is>
      </c>
      <c r="H68" t="inlineStr">
        <is>
          <t>14 April 2023</t>
        </is>
      </c>
      <c r="I68" s="2" t="n">
        <v>46285</v>
      </c>
      <c r="J68" t="inlineStr">
        <is>
          <t>Disetujui</t>
        </is>
      </c>
      <c r="K68" t="n">
        <v>60</v>
      </c>
      <c r="L68" t="inlineStr">
        <is>
          <t>20 September 2026</t>
        </is>
      </c>
      <c r="M68" t="inlineStr">
        <is>
          <t>Konstruksi Gedung Pendidikan</t>
        </is>
      </c>
      <c r="N68" t="inlineStr">
        <is>
          <t>K</t>
        </is>
      </c>
      <c r="O68" t="inlineStr">
        <is>
          <t>20230919</t>
        </is>
      </c>
      <c r="P68" t="inlineStr">
        <is>
          <t>Kalimantan Timur</t>
        </is>
      </c>
      <c r="Q68" t="inlineStr"/>
    </row>
    <row r="69">
      <c r="A69" t="inlineStr">
        <is>
          <t>BOUGENVILLE CIPTA ABADI</t>
        </is>
      </c>
      <c r="B69" t="inlineStr">
        <is>
          <t>Kota Bandung</t>
        </is>
      </c>
      <c r="C69" t="inlineStr">
        <is>
          <t>0227205844</t>
        </is>
      </c>
      <c r="D69" t="inlineStr">
        <is>
          <t>bcabougenville@gmail.com</t>
        </is>
      </c>
      <c r="E69" t="inlineStr">
        <is>
          <t>https://lpjk.pu.go.id/search-badan-usaha-detail/ejR3WHBBeGZqOTNBaUxsT3g5OVRPZz09</t>
        </is>
      </c>
      <c r="F69" t="n">
        <v>1</v>
      </c>
      <c r="G69" t="inlineStr">
        <is>
          <t>BS006</t>
        </is>
      </c>
      <c r="H69" t="inlineStr">
        <is>
          <t>7 Juni 2012</t>
        </is>
      </c>
      <c r="I69" s="2" t="n">
        <v>46285</v>
      </c>
      <c r="J69" t="inlineStr">
        <is>
          <t>Disetujui</t>
        </is>
      </c>
      <c r="K69" t="n">
        <v>60</v>
      </c>
      <c r="L69" t="inlineStr">
        <is>
          <t>20 September 2026</t>
        </is>
      </c>
      <c r="M69" t="inlineStr">
        <is>
          <t>Konstruksi Bangunan Sipil Prasarana dan Sarana Sistem Pengolahan Limbah Padat, Cair, dan Gas</t>
        </is>
      </c>
      <c r="N69" t="inlineStr">
        <is>
          <t>K</t>
        </is>
      </c>
      <c r="O69" t="inlineStr">
        <is>
          <t>20230919</t>
        </is>
      </c>
      <c r="P69" t="inlineStr">
        <is>
          <t>Jawa Barat</t>
        </is>
      </c>
      <c r="Q69" t="inlineStr"/>
    </row>
    <row r="70">
      <c r="A70" t="inlineStr">
        <is>
          <t>BUMI JAYA DILISTA</t>
        </is>
      </c>
      <c r="B70" t="inlineStr">
        <is>
          <t>Kota Banjarbaru</t>
        </is>
      </c>
      <c r="C70" t="inlineStr">
        <is>
          <t>082288221441</t>
        </is>
      </c>
      <c r="D70" t="inlineStr">
        <is>
          <t>ptbumijayadilista@gmail.com</t>
        </is>
      </c>
      <c r="E70" t="inlineStr">
        <is>
          <t>https://lpjk.pu.go.id/search-badan-usaha-detail/NDIvY3JTSVVwWDd1Wk9hOTlTVExIUT09</t>
        </is>
      </c>
      <c r="F70" t="n">
        <v>1</v>
      </c>
      <c r="G70" t="inlineStr">
        <is>
          <t>BG001</t>
        </is>
      </c>
      <c r="H70" t="inlineStr">
        <is>
          <t>20 September 2023</t>
        </is>
      </c>
      <c r="I70" s="2" t="n">
        <v>46285</v>
      </c>
      <c r="J70" t="inlineStr">
        <is>
          <t>Disetujui</t>
        </is>
      </c>
      <c r="K70" t="n">
        <v>60</v>
      </c>
      <c r="L70" t="inlineStr">
        <is>
          <t>20 September 2026</t>
        </is>
      </c>
      <c r="M70" t="inlineStr">
        <is>
          <t>Konstruksi Gedung Hunian</t>
        </is>
      </c>
      <c r="N70" t="inlineStr">
        <is>
          <t>K</t>
        </is>
      </c>
      <c r="O70" t="inlineStr">
        <is>
          <t>20230921</t>
        </is>
      </c>
      <c r="P70" t="inlineStr">
        <is>
          <t>Kalimantan Selatan</t>
        </is>
      </c>
      <c r="Q70" t="inlineStr"/>
    </row>
    <row r="71">
      <c r="A71" t="inlineStr">
        <is>
          <t>BUMI PADJAJARAN</t>
        </is>
      </c>
      <c r="B71" t="inlineStr">
        <is>
          <t>Kota Sukabumi</t>
        </is>
      </c>
      <c r="C71" t="inlineStr">
        <is>
          <t>082262161985</t>
        </is>
      </c>
      <c r="D71" t="inlineStr">
        <is>
          <t>padjajaran.cv@gmail.com</t>
        </is>
      </c>
      <c r="E71" t="inlineStr">
        <is>
          <t>https://lpjk.pu.go.id/search-badan-usaha-detail/bFhXTjBBcWc2Q3BZSlJRKzY0VjF3dz09</t>
        </is>
      </c>
      <c r="F71" t="n">
        <v>1</v>
      </c>
      <c r="G71" t="inlineStr">
        <is>
          <t>BS001</t>
        </is>
      </c>
      <c r="H71" t="inlineStr">
        <is>
          <t>13 Februari 2014</t>
        </is>
      </c>
      <c r="I71" s="2" t="n">
        <v>46285</v>
      </c>
      <c r="J71" t="inlineStr">
        <is>
          <t>Disetujui</t>
        </is>
      </c>
      <c r="K71" t="n">
        <v>60</v>
      </c>
      <c r="L71" t="inlineStr">
        <is>
          <t>20 September 2026</t>
        </is>
      </c>
      <c r="M71" t="inlineStr">
        <is>
          <t>Konstruksi Bangunan Sipil Jalan</t>
        </is>
      </c>
      <c r="N71" t="inlineStr">
        <is>
          <t>K</t>
        </is>
      </c>
      <c r="O71" t="inlineStr">
        <is>
          <t>20230918</t>
        </is>
      </c>
      <c r="P71" t="inlineStr">
        <is>
          <t>Jawa Barat</t>
        </is>
      </c>
      <c r="Q71" t="inlineStr"/>
    </row>
    <row r="72">
      <c r="A72" t="inlineStr">
        <is>
          <t>BUNGA KARYA KONSULTAN</t>
        </is>
      </c>
      <c r="B72" t="inlineStr">
        <is>
          <t>Kab. Bojonegoro</t>
        </is>
      </c>
      <c r="C72" t="inlineStr">
        <is>
          <t>08121606081</t>
        </is>
      </c>
      <c r="D72" t="inlineStr">
        <is>
          <t>bungakarya.konsultan01@gmail.com</t>
        </is>
      </c>
      <c r="E72" t="inlineStr">
        <is>
          <t>https://lpjk.pu.go.id/search-badan-usaha-detail/MStUWVpzZW1wTlp0Qmg3UU9wa1IyUT09</t>
        </is>
      </c>
      <c r="F72" t="n">
        <v>1</v>
      </c>
      <c r="G72" t="inlineStr">
        <is>
          <t>RK003</t>
        </is>
      </c>
      <c r="H72" t="inlineStr">
        <is>
          <t>27 Oktober 2022</t>
        </is>
      </c>
      <c r="I72" s="2" t="n">
        <v>46285</v>
      </c>
      <c r="J72" t="inlineStr">
        <is>
          <t>Disetujui</t>
        </is>
      </c>
      <c r="K72" t="n">
        <v>60</v>
      </c>
      <c r="L72" t="inlineStr">
        <is>
          <t>20 September 2026</t>
        </is>
      </c>
      <c r="M72" t="inlineStr">
        <is>
          <t>Jasa Rekayasa Pekerjaan Teknik Sipil Transportasi</t>
        </is>
      </c>
      <c r="N72" t="inlineStr">
        <is>
          <t>K</t>
        </is>
      </c>
      <c r="O72" t="inlineStr">
        <is>
          <t>20230918</t>
        </is>
      </c>
      <c r="P72" t="inlineStr">
        <is>
          <t>Jawa Timur</t>
        </is>
      </c>
      <c r="Q72" t="inlineStr"/>
    </row>
    <row r="73">
      <c r="A73" t="inlineStr">
        <is>
          <t>CAHAYA BARITO MANDIRI</t>
        </is>
      </c>
      <c r="B73" t="inlineStr">
        <is>
          <t>Kab. Barito Utara</t>
        </is>
      </c>
      <c r="C73" t="inlineStr">
        <is>
          <t>085225824038</t>
        </is>
      </c>
      <c r="D73" t="inlineStr">
        <is>
          <t>cahayabaritomandiri@yahoo.com</t>
        </is>
      </c>
      <c r="E73" t="inlineStr">
        <is>
          <t>https://lpjk.pu.go.id/search-badan-usaha-detail/bDRhcG9BL05ZZ054Z25NNjBSWCt4UT09</t>
        </is>
      </c>
      <c r="F73" t="n">
        <v>1</v>
      </c>
      <c r="G73" t="inlineStr">
        <is>
          <t>BS001</t>
        </is>
      </c>
      <c r="H73" t="inlineStr">
        <is>
          <t>20 Desember 2021</t>
        </is>
      </c>
      <c r="I73" s="2" t="n">
        <v>46285</v>
      </c>
      <c r="J73" t="inlineStr">
        <is>
          <t>Disetujui</t>
        </is>
      </c>
      <c r="K73" t="n">
        <v>60</v>
      </c>
      <c r="L73" t="inlineStr">
        <is>
          <t>20 September 2026</t>
        </is>
      </c>
      <c r="M73" t="inlineStr">
        <is>
          <t>Konstruksi Bangunan Sipil Jalan</t>
        </is>
      </c>
      <c r="N73" t="inlineStr">
        <is>
          <t>K</t>
        </is>
      </c>
      <c r="O73" t="inlineStr">
        <is>
          <t>20230920</t>
        </is>
      </c>
      <c r="P73" t="inlineStr">
        <is>
          <t>Kalimantan Tengah</t>
        </is>
      </c>
      <c r="Q73" t="inlineStr"/>
    </row>
    <row r="74">
      <c r="A74" t="inlineStr">
        <is>
          <t>CAHAYA BERKAH</t>
        </is>
      </c>
      <c r="B74" t="inlineStr">
        <is>
          <t>Kab. Bandung</t>
        </is>
      </c>
      <c r="C74" t="inlineStr">
        <is>
          <t>081322212787</t>
        </is>
      </c>
      <c r="D74" t="inlineStr">
        <is>
          <t>cahayaberkah32@yahoo.com</t>
        </is>
      </c>
      <c r="E74" t="inlineStr">
        <is>
          <t>https://lpjk.pu.go.id/search-badan-usaha-detail/U1R0VzZmNFdqUElvYWZ3Mko1Y0FZQT09</t>
        </is>
      </c>
      <c r="F74" t="n">
        <v>2</v>
      </c>
      <c r="G74" t="inlineStr">
        <is>
          <t>BS001, BS004</t>
        </is>
      </c>
      <c r="H74" t="inlineStr">
        <is>
          <t>12 Agustus 2016</t>
        </is>
      </c>
      <c r="I74" s="2" t="n">
        <v>46285</v>
      </c>
      <c r="J74" t="inlineStr">
        <is>
          <t>Disetujui</t>
        </is>
      </c>
      <c r="K74" t="n">
        <v>60</v>
      </c>
      <c r="L74" t="inlineStr">
        <is>
          <t>20 September 2026</t>
        </is>
      </c>
      <c r="M74" t="inlineStr">
        <is>
          <t>Konstruksi Bangunan Sipil Jalan, Konstruksi Jaringan Irigasi dan Drainase</t>
        </is>
      </c>
      <c r="N74" t="inlineStr">
        <is>
          <t>K</t>
        </is>
      </c>
      <c r="O74" t="inlineStr">
        <is>
          <t>20230912</t>
        </is>
      </c>
      <c r="P74" t="inlineStr">
        <is>
          <t>Jawa Barat</t>
        </is>
      </c>
      <c r="Q74" t="inlineStr"/>
    </row>
    <row r="75">
      <c r="A75" t="inlineStr">
        <is>
          <t>CAHAYA MANDIRI</t>
        </is>
      </c>
      <c r="B75" t="inlineStr">
        <is>
          <t>Kota Pontianak</t>
        </is>
      </c>
      <c r="C75" t="inlineStr">
        <is>
          <t>-</t>
        </is>
      </c>
      <c r="D75" t="inlineStr">
        <is>
          <t>cahayamandiri.cv01@yahoo.com</t>
        </is>
      </c>
      <c r="E75" t="inlineStr">
        <is>
          <t>https://lpjk.pu.go.id/search-badan-usaha-detail/UXg5c2p4OUcrbnJqUWpGbEh6UkFTUT09</t>
        </is>
      </c>
      <c r="F75" t="n">
        <v>1</v>
      </c>
      <c r="G75" t="inlineStr">
        <is>
          <t>BG009</t>
        </is>
      </c>
      <c r="H75" t="inlineStr">
        <is>
          <t>1 Desember 2010</t>
        </is>
      </c>
      <c r="I75" s="2" t="n">
        <v>46285</v>
      </c>
      <c r="J75" t="inlineStr">
        <is>
          <t>Disetujui</t>
        </is>
      </c>
      <c r="K75" t="n">
        <v>60</v>
      </c>
      <c r="L75" t="inlineStr">
        <is>
          <t>20 September 2026</t>
        </is>
      </c>
      <c r="M75" t="inlineStr">
        <is>
          <t>Konstruksi Gedung Lainnya</t>
        </is>
      </c>
      <c r="N75" t="inlineStr">
        <is>
          <t>K</t>
        </is>
      </c>
      <c r="O75" t="inlineStr">
        <is>
          <t>20230912</t>
        </is>
      </c>
      <c r="P75" t="inlineStr">
        <is>
          <t>Kalimantan Barat</t>
        </is>
      </c>
      <c r="Q75" t="inlineStr"/>
    </row>
    <row r="76">
      <c r="A76" t="inlineStr">
        <is>
          <t>CAKRAWALA BANUA</t>
        </is>
      </c>
      <c r="B76" t="inlineStr">
        <is>
          <t>Kab. Tapin</t>
        </is>
      </c>
      <c r="C76" t="inlineStr">
        <is>
          <t>081348698098</t>
        </is>
      </c>
      <c r="D76" t="inlineStr">
        <is>
          <t>CVCAKRAWALABANUA@GMAIL.COM</t>
        </is>
      </c>
      <c r="E76" t="inlineStr">
        <is>
          <t>https://lpjk.pu.go.id/search-badan-usaha-detail/VkRNRXA3Sk00aGlsNE43YnJUTWpxQT09</t>
        </is>
      </c>
      <c r="F76" t="n">
        <v>2</v>
      </c>
      <c r="G76" t="inlineStr">
        <is>
          <t>BG002, BG009</t>
        </is>
      </c>
      <c r="H76" t="inlineStr">
        <is>
          <t>22 Juni 2023</t>
        </is>
      </c>
      <c r="I76" s="2" t="n">
        <v>46285</v>
      </c>
      <c r="J76" t="inlineStr">
        <is>
          <t>Disetujui</t>
        </is>
      </c>
      <c r="K76" t="n">
        <v>60</v>
      </c>
      <c r="L76" t="inlineStr">
        <is>
          <t>20 September 2026</t>
        </is>
      </c>
      <c r="M76" t="inlineStr">
        <is>
          <t>Konstruksi Gedung Lainnya, Konstruksi Gedung Perkantoran</t>
        </is>
      </c>
      <c r="N76" t="inlineStr">
        <is>
          <t>K</t>
        </is>
      </c>
      <c r="O76" t="inlineStr">
        <is>
          <t>20230919</t>
        </is>
      </c>
      <c r="P76" t="inlineStr">
        <is>
          <t>Kalimantan Selatan</t>
        </is>
      </c>
      <c r="Q76" t="inlineStr"/>
    </row>
    <row r="77">
      <c r="A77" t="inlineStr">
        <is>
          <t>CEMERLANG GEMILANG GROUP</t>
        </is>
      </c>
      <c r="B77" t="inlineStr">
        <is>
          <t>Kab. Mandailing Natal</t>
        </is>
      </c>
      <c r="C77" t="inlineStr">
        <is>
          <t>081396794599</t>
        </is>
      </c>
      <c r="D77" t="inlineStr">
        <is>
          <t>cemerlanggemilanggrouo.cv@gmail.com</t>
        </is>
      </c>
      <c r="E77" t="inlineStr">
        <is>
          <t>https://lpjk.pu.go.id/search-badan-usaha-detail/Q3ZxWjhPQzA1S3F3dVdCOHVtQmZkQT09</t>
        </is>
      </c>
      <c r="F77" t="n">
        <v>1</v>
      </c>
      <c r="G77" t="inlineStr">
        <is>
          <t>BG002</t>
        </is>
      </c>
      <c r="H77" t="inlineStr">
        <is>
          <t>15 Januari 2019</t>
        </is>
      </c>
      <c r="I77" s="2" t="n">
        <v>46285</v>
      </c>
      <c r="J77" t="inlineStr">
        <is>
          <t>Disetujui</t>
        </is>
      </c>
      <c r="K77" t="n">
        <v>60</v>
      </c>
      <c r="L77" t="inlineStr">
        <is>
          <t>20 September 2026</t>
        </is>
      </c>
      <c r="M77" t="inlineStr">
        <is>
          <t>Konstruksi Gedung Perkantoran</t>
        </is>
      </c>
      <c r="N77" t="inlineStr">
        <is>
          <t>K</t>
        </is>
      </c>
      <c r="O77" t="inlineStr">
        <is>
          <t>20230914</t>
        </is>
      </c>
      <c r="P77" t="inlineStr">
        <is>
          <t>Sumatera Utara</t>
        </is>
      </c>
      <c r="Q77" t="inlineStr"/>
    </row>
    <row r="78">
      <c r="A78" t="inlineStr">
        <is>
          <t>CIPTA INTERNUSA KONSTRUKSI</t>
        </is>
      </c>
      <c r="B78" t="inlineStr">
        <is>
          <t>Kab. Kutai Kartanegara</t>
        </is>
      </c>
      <c r="C78" t="inlineStr">
        <is>
          <t>0818997476</t>
        </is>
      </c>
      <c r="D78" t="inlineStr">
        <is>
          <t>ciko.ik99@gmail.com</t>
        </is>
      </c>
      <c r="E78" t="inlineStr">
        <is>
          <t>https://lpjk.pu.go.id/search-badan-usaha-detail/aFdJak5BRFBicmFTLzMvSjFNRm53QT09</t>
        </is>
      </c>
      <c r="F78" t="n">
        <v>1</v>
      </c>
      <c r="G78" t="inlineStr">
        <is>
          <t>BS002</t>
        </is>
      </c>
      <c r="H78" t="inlineStr">
        <is>
          <t>28 Januari 2014</t>
        </is>
      </c>
      <c r="I78" s="2" t="n">
        <v>46285</v>
      </c>
      <c r="J78" t="inlineStr">
        <is>
          <t>Disetujui</t>
        </is>
      </c>
      <c r="K78" t="n">
        <v>60</v>
      </c>
      <c r="L78" t="inlineStr">
        <is>
          <t>20 September 2026</t>
        </is>
      </c>
      <c r="M78" t="inlineStr">
        <is>
          <t>Bangunan Sipil Jembatan, Jalan Layang, Fly Over, dan Underpass</t>
        </is>
      </c>
      <c r="N78" t="inlineStr">
        <is>
          <t>K</t>
        </is>
      </c>
      <c r="O78" t="inlineStr">
        <is>
          <t>20230918</t>
        </is>
      </c>
      <c r="P78" t="inlineStr">
        <is>
          <t>Kalimantan Timur</t>
        </is>
      </c>
      <c r="Q78" t="inlineStr"/>
    </row>
    <row r="79">
      <c r="A79" t="inlineStr">
        <is>
          <t>CIPTA NUANSA PRIMA</t>
        </is>
      </c>
      <c r="B79" t="inlineStr">
        <is>
          <t>Kota Tangerang Selatan</t>
        </is>
      </c>
      <c r="C79" t="inlineStr">
        <is>
          <t>02173446229</t>
        </is>
      </c>
      <c r="D79" t="inlineStr">
        <is>
          <t>hartantociptanuansa@gmail.com</t>
        </is>
      </c>
      <c r="E79" t="inlineStr">
        <is>
          <t>https://lpjk.pu.go.id/search-badan-usaha-detail/TFBLYktVOHRIZWkyV2NVN3d3MlNpUT09</t>
        </is>
      </c>
      <c r="F79" t="n">
        <v>6</v>
      </c>
      <c r="G79" t="inlineStr">
        <is>
          <t>BG002, BG005, BG009</t>
        </is>
      </c>
      <c r="H79" t="inlineStr">
        <is>
          <t>24 Maret 2008</t>
        </is>
      </c>
      <c r="I79" s="2" t="n">
        <v>46285</v>
      </c>
      <c r="J79" t="inlineStr">
        <is>
          <t>Disetujui</t>
        </is>
      </c>
      <c r="K79" t="n">
        <v>60</v>
      </c>
      <c r="L79" t="inlineStr">
        <is>
          <t>20 September 2026</t>
        </is>
      </c>
      <c r="M79" t="inlineStr">
        <is>
          <t>Konstruksi Gedung Kesehatan, Konstruksi Gedung Lainnya, Konstruksi Gedung Perkantoran</t>
        </is>
      </c>
      <c r="N79" t="inlineStr">
        <is>
          <t>M</t>
        </is>
      </c>
      <c r="O79" t="inlineStr">
        <is>
          <t>20230916</t>
        </is>
      </c>
      <c r="P79" t="inlineStr">
        <is>
          <t>Banten</t>
        </is>
      </c>
      <c r="Q79" t="inlineStr"/>
    </row>
    <row r="80">
      <c r="A80" t="inlineStr">
        <is>
          <t>CIRATA KARYA LESTARI</t>
        </is>
      </c>
      <c r="B80" t="inlineStr">
        <is>
          <t>Kab. Bandung Barat</t>
        </is>
      </c>
      <c r="C80" t="inlineStr">
        <is>
          <t>0226973740</t>
        </is>
      </c>
      <c r="D80" t="inlineStr">
        <is>
          <t>cikalcirata@gmail.com</t>
        </is>
      </c>
      <c r="E80" t="inlineStr">
        <is>
          <t>https://lpjk.pu.go.id/search-badan-usaha-detail/dVdCcGdNdXNWZmJnc1JCSmVqODZ1UT09</t>
        </is>
      </c>
      <c r="F80" t="n">
        <v>2</v>
      </c>
      <c r="G80" t="inlineStr">
        <is>
          <t>IN001</t>
        </is>
      </c>
      <c r="H80" t="inlineStr">
        <is>
          <t>24 Desember 1996</t>
        </is>
      </c>
      <c r="I80" s="2" t="n">
        <v>46285</v>
      </c>
      <c r="J80" t="inlineStr">
        <is>
          <t>Disetujui</t>
        </is>
      </c>
      <c r="K80" t="n">
        <v>60</v>
      </c>
      <c r="L80" t="inlineStr">
        <is>
          <t>20 September 2026</t>
        </is>
      </c>
      <c r="M80" t="inlineStr">
        <is>
          <t>Instalasi Mekanikal</t>
        </is>
      </c>
      <c r="N80" t="inlineStr">
        <is>
          <t>Spesialis</t>
        </is>
      </c>
      <c r="O80" t="inlineStr">
        <is>
          <t>20230831</t>
        </is>
      </c>
      <c r="P80" t="inlineStr">
        <is>
          <t>Jawa Barat</t>
        </is>
      </c>
      <c r="Q80" t="inlineStr"/>
    </row>
    <row r="81">
      <c r="A81" t="inlineStr">
        <is>
          <t>CITA KARYA POWERINDO</t>
        </is>
      </c>
      <c r="B81" t="inlineStr">
        <is>
          <t>Kota Adm. Jakarta Selatan</t>
        </is>
      </c>
      <c r="C81" t="inlineStr">
        <is>
          <t>082349651500</t>
        </is>
      </c>
      <c r="D81" t="inlineStr">
        <is>
          <t>cita.ckp@gmail.com</t>
        </is>
      </c>
      <c r="E81" t="inlineStr">
        <is>
          <t>https://lpjk.pu.go.id/search-badan-usaha-detail/Wkx6SXNUVDhkVklSSm5EdXllcytjQT09</t>
        </is>
      </c>
      <c r="F81" t="n">
        <v>1</v>
      </c>
      <c r="G81" t="inlineStr">
        <is>
          <t>BG001</t>
        </is>
      </c>
      <c r="H81" t="inlineStr">
        <is>
          <t>23 Desember 2022</t>
        </is>
      </c>
      <c r="I81" s="2" t="n">
        <v>46285</v>
      </c>
      <c r="J81" t="inlineStr">
        <is>
          <t>Disetujui</t>
        </is>
      </c>
      <c r="K81" t="n">
        <v>60</v>
      </c>
      <c r="L81" t="inlineStr">
        <is>
          <t>20 September 2026</t>
        </is>
      </c>
      <c r="M81" t="inlineStr">
        <is>
          <t>Konstruksi Gedung Hunian</t>
        </is>
      </c>
      <c r="N81" t="inlineStr">
        <is>
          <t>K</t>
        </is>
      </c>
      <c r="O81" t="inlineStr">
        <is>
          <t>20230921</t>
        </is>
      </c>
      <c r="P81" t="inlineStr">
        <is>
          <t>DKI Jakarta</t>
        </is>
      </c>
      <c r="Q81" t="inlineStr"/>
    </row>
    <row r="82">
      <c r="A82" t="inlineStr">
        <is>
          <t>CITRA ARSITAMA</t>
        </is>
      </c>
      <c r="B82" t="inlineStr">
        <is>
          <t>Kota Semarang</t>
        </is>
      </c>
      <c r="C82" t="inlineStr">
        <is>
          <t>02476602016</t>
        </is>
      </c>
      <c r="D82" t="inlineStr">
        <is>
          <t>citraarsitama@gmail.com</t>
        </is>
      </c>
      <c r="E82" t="inlineStr">
        <is>
          <t>https://lpjk.pu.go.id/search-badan-usaha-detail/bEpCMmgwSFpWSmFRL3k4b1N3RUFOQT09</t>
        </is>
      </c>
      <c r="F82" t="n">
        <v>6</v>
      </c>
      <c r="G82" t="inlineStr">
        <is>
          <t>AL002, AL003, AL004, AR001, AR002, RK002</t>
        </is>
      </c>
      <c r="H82" t="inlineStr">
        <is>
          <t>15 April 2011</t>
        </is>
      </c>
      <c r="I82" s="2" t="n">
        <v>46285</v>
      </c>
      <c r="J82" t="inlineStr">
        <is>
          <t>Disetujui</t>
        </is>
      </c>
      <c r="K82" t="n">
        <v>60</v>
      </c>
      <c r="L82" t="inlineStr">
        <is>
          <t>20 September 2026</t>
        </is>
      </c>
      <c r="M82" t="inlineStr">
        <is>
          <t>Jasa Arsitektural Bangunan Gedung Hunian dan Non Hunian, Jasa Arsitektural Lainnya, Jasa Pengembangan Lingkungan Bangunan dan Lanskap, Jasa Pengembangan Perkotaan, Jasa Pengembangan Wilayah, Jasa Rekayasa Pekerjaan Teknik Sipil Sumber Daya Air</t>
        </is>
      </c>
      <c r="N82" t="inlineStr">
        <is>
          <t>K</t>
        </is>
      </c>
      <c r="O82" t="inlineStr">
        <is>
          <t>20230915</t>
        </is>
      </c>
      <c r="P82" t="inlineStr">
        <is>
          <t>Jawa Tengah</t>
        </is>
      </c>
      <c r="Q82" t="inlineStr"/>
    </row>
    <row r="83">
      <c r="A83" t="inlineStr">
        <is>
          <t>CITRA ARYA PERSADA</t>
        </is>
      </c>
      <c r="B83" t="inlineStr">
        <is>
          <t>Kota Manado</t>
        </is>
      </c>
      <c r="C83" t="inlineStr">
        <is>
          <t>0431861014</t>
        </is>
      </c>
      <c r="D83" t="inlineStr">
        <is>
          <t>prc_cap@yahoo.com</t>
        </is>
      </c>
      <c r="E83" t="inlineStr">
        <is>
          <t>https://lpjk.pu.go.id/search-badan-usaha-detail/RzBKSG94REV4NGlwMWMyelhML2xuUT09</t>
        </is>
      </c>
      <c r="F83" t="n">
        <v>2</v>
      </c>
      <c r="G83" t="inlineStr">
        <is>
          <t>BS010, BS011</t>
        </is>
      </c>
      <c r="H83" t="inlineStr">
        <is>
          <t>9 September 1987</t>
        </is>
      </c>
      <c r="I83" s="2" t="n">
        <v>46285</v>
      </c>
      <c r="J83" t="inlineStr">
        <is>
          <t>Disetujui</t>
        </is>
      </c>
      <c r="K83" t="n">
        <v>60</v>
      </c>
      <c r="L83" t="inlineStr">
        <is>
          <t>20 September 2026</t>
        </is>
      </c>
      <c r="M83" t="inlineStr">
        <is>
          <t>Konstruksi Bangunan Pelabuhan Bukan Perikanan, Konstruksi Bangunan Prasarana Sumber Daya Air</t>
        </is>
      </c>
      <c r="N83" t="inlineStr">
        <is>
          <t>M</t>
        </is>
      </c>
      <c r="O83" t="inlineStr">
        <is>
          <t>20230911</t>
        </is>
      </c>
      <c r="P83" t="inlineStr">
        <is>
          <t>Sulawesi Utara</t>
        </is>
      </c>
      <c r="Q83" t="inlineStr"/>
    </row>
    <row r="84">
      <c r="A84" t="inlineStr">
        <is>
          <t>CITRA RAJAWALI MEMBANGUN</t>
        </is>
      </c>
      <c r="B84" t="inlineStr">
        <is>
          <t>Kab. Pulang Pisau</t>
        </is>
      </c>
      <c r="C84" t="inlineStr">
        <is>
          <t>08129850597</t>
        </is>
      </c>
      <c r="D84" t="inlineStr">
        <is>
          <t>asruntingkondrat@gmail.com</t>
        </is>
      </c>
      <c r="E84" t="inlineStr">
        <is>
          <t>https://lpjk.pu.go.id/search-badan-usaha-detail/Z2dUL1hlc3k1ZnVLMlh5d1E5bFpLUT09</t>
        </is>
      </c>
      <c r="F84" t="n">
        <v>1</v>
      </c>
      <c r="G84" t="inlineStr">
        <is>
          <t>BS005</t>
        </is>
      </c>
      <c r="H84" t="inlineStr">
        <is>
          <t>26 Juli 2013</t>
        </is>
      </c>
      <c r="I84" s="2" t="n">
        <v>46285</v>
      </c>
      <c r="J84" t="inlineStr">
        <is>
          <t>Disetujui</t>
        </is>
      </c>
      <c r="K84" t="n">
        <v>60</v>
      </c>
      <c r="L84" t="inlineStr">
        <is>
          <t>20 September 2026</t>
        </is>
      </c>
      <c r="M84" t="inlineStr">
        <is>
          <t>Konstruksi Bangunan Sipil Pengolahan Air Bersih</t>
        </is>
      </c>
      <c r="N84" t="inlineStr">
        <is>
          <t>K</t>
        </is>
      </c>
      <c r="O84" t="inlineStr">
        <is>
          <t>20230916</t>
        </is>
      </c>
      <c r="P84" t="inlineStr">
        <is>
          <t>Kalimantan Tengah</t>
        </is>
      </c>
      <c r="Q84" t="inlineStr"/>
    </row>
    <row r="85">
      <c r="A85" t="inlineStr">
        <is>
          <t>CV. INFOTECH BUILDING</t>
        </is>
      </c>
      <c r="B85" t="inlineStr">
        <is>
          <t>Kota Banda Aceh</t>
        </is>
      </c>
      <c r="C85" t="inlineStr">
        <is>
          <t>085277000999</t>
        </is>
      </c>
      <c r="D85" t="inlineStr">
        <is>
          <t>infotechbuilding@gmail.com</t>
        </is>
      </c>
      <c r="E85" t="inlineStr">
        <is>
          <t>https://lpjk.pu.go.id/search-badan-usaha-detail/MVkzSlpvbWhOczZKYjhtYys2cGZFQT09</t>
        </is>
      </c>
      <c r="F85" t="n">
        <v>2</v>
      </c>
      <c r="G85" t="inlineStr">
        <is>
          <t>BS004, BS010</t>
        </is>
      </c>
      <c r="H85" t="inlineStr">
        <is>
          <t>25 Januari 2006</t>
        </is>
      </c>
      <c r="I85" s="2" t="n">
        <v>46285</v>
      </c>
      <c r="J85" t="inlineStr">
        <is>
          <t>Disetujui</t>
        </is>
      </c>
      <c r="K85" t="n">
        <v>60</v>
      </c>
      <c r="L85" t="inlineStr">
        <is>
          <t>20 September 2026</t>
        </is>
      </c>
      <c r="M85" t="inlineStr">
        <is>
          <t>Konstruksi Bangunan Prasarana Sumber Daya Air, Konstruksi Jaringan Irigasi dan Drainase</t>
        </is>
      </c>
      <c r="N85" t="inlineStr">
        <is>
          <t>K</t>
        </is>
      </c>
      <c r="O85" t="inlineStr">
        <is>
          <t>20230919</t>
        </is>
      </c>
      <c r="P85" t="inlineStr">
        <is>
          <t>Aceh</t>
        </is>
      </c>
      <c r="Q85" t="inlineStr"/>
    </row>
    <row r="86">
      <c r="A86" t="inlineStr">
        <is>
          <t>DARMA BUANA</t>
        </is>
      </c>
      <c r="B86" t="inlineStr">
        <is>
          <t>Kota Palembang</t>
        </is>
      </c>
      <c r="C86" t="inlineStr">
        <is>
          <t>081273046441</t>
        </is>
      </c>
      <c r="D86" t="inlineStr">
        <is>
          <t>pt.darmabuana@rocketmail.com</t>
        </is>
      </c>
      <c r="E86" t="inlineStr">
        <is>
          <t>https://lpjk.pu.go.id/search-badan-usaha-detail/Qm1GOEVNclJUb2NMcG5LdHRVcjZndz09</t>
        </is>
      </c>
      <c r="F86" t="n">
        <v>2</v>
      </c>
      <c r="G86" t="inlineStr">
        <is>
          <t>BG002, BS001</t>
        </is>
      </c>
      <c r="H86" t="inlineStr">
        <is>
          <t>29 Januari 2007</t>
        </is>
      </c>
      <c r="I86" s="2" t="n">
        <v>46285</v>
      </c>
      <c r="J86" t="inlineStr">
        <is>
          <t>Disetujui</t>
        </is>
      </c>
      <c r="K86" t="n">
        <v>60</v>
      </c>
      <c r="L86" t="inlineStr">
        <is>
          <t>20 September 2026</t>
        </is>
      </c>
      <c r="M86" t="inlineStr">
        <is>
          <t>Konstruksi Bangunan Sipil Jalan, Konstruksi Gedung Perkantoran</t>
        </is>
      </c>
      <c r="N86" t="inlineStr">
        <is>
          <t>M</t>
        </is>
      </c>
      <c r="O86" t="inlineStr">
        <is>
          <t>20230914</t>
        </is>
      </c>
      <c r="P86" t="inlineStr">
        <is>
          <t>Sumatera Selatan</t>
        </is>
      </c>
      <c r="Q86" t="inlineStr"/>
    </row>
    <row r="87">
      <c r="A87" t="inlineStr">
        <is>
          <t>DASENA PRIMA</t>
        </is>
      </c>
      <c r="B87" t="inlineStr">
        <is>
          <t>Kota Bandung</t>
        </is>
      </c>
      <c r="C87" t="inlineStr">
        <is>
          <t>082128767676</t>
        </is>
      </c>
      <c r="D87" t="inlineStr">
        <is>
          <t>admin@dasenaprima.co.id</t>
        </is>
      </c>
      <c r="E87" t="inlineStr">
        <is>
          <t>https://lpjk.pu.go.id/search-badan-usaha-detail/cmNQekxXZ1BLME9sOFN2K2VEbVUxdz09</t>
        </is>
      </c>
      <c r="F87" t="n">
        <v>1</v>
      </c>
      <c r="G87" t="inlineStr">
        <is>
          <t>BS009</t>
        </is>
      </c>
      <c r="H87" t="inlineStr">
        <is>
          <t>1 Maret 2013</t>
        </is>
      </c>
      <c r="I87" s="2" t="n">
        <v>46285</v>
      </c>
      <c r="J87" t="inlineStr">
        <is>
          <t>Disetujui</t>
        </is>
      </c>
      <c r="K87" t="n">
        <v>60</v>
      </c>
      <c r="L87" t="inlineStr">
        <is>
          <t>20 September 2026</t>
        </is>
      </c>
      <c r="M87" t="inlineStr">
        <is>
          <t>Konstruksi Sentral Telekomunikasi</t>
        </is>
      </c>
      <c r="N87" t="inlineStr">
        <is>
          <t>K</t>
        </is>
      </c>
      <c r="O87" t="inlineStr">
        <is>
          <t>20230913</t>
        </is>
      </c>
      <c r="P87" t="inlineStr">
        <is>
          <t>Jawa Barat</t>
        </is>
      </c>
      <c r="Q87" t="inlineStr"/>
    </row>
    <row r="88">
      <c r="A88" t="inlineStr">
        <is>
          <t>DEMAK INDAH</t>
        </is>
      </c>
      <c r="B88" t="inlineStr">
        <is>
          <t>Kab. Merauke</t>
        </is>
      </c>
      <c r="C88" t="inlineStr">
        <is>
          <t>081225101111</t>
        </is>
      </c>
      <c r="D88" t="inlineStr">
        <is>
          <t>demakindah001@gmail.com</t>
        </is>
      </c>
      <c r="E88" t="inlineStr">
        <is>
          <t>https://lpjk.pu.go.id/search-badan-usaha-detail/VTVQcTY1RlhUZUh0UVl4U0ozdE9Bdz09</t>
        </is>
      </c>
      <c r="F88" t="n">
        <v>4</v>
      </c>
      <c r="G88" t="inlineStr">
        <is>
          <t>BG001, BS001</t>
        </is>
      </c>
      <c r="H88" t="inlineStr">
        <is>
          <t>23 Desember 2014</t>
        </is>
      </c>
      <c r="I88" s="2" t="n">
        <v>46285</v>
      </c>
      <c r="J88" t="inlineStr">
        <is>
          <t>Disetujui</t>
        </is>
      </c>
      <c r="K88" t="n">
        <v>60</v>
      </c>
      <c r="L88" t="inlineStr">
        <is>
          <t>20 September 2026</t>
        </is>
      </c>
      <c r="M88" t="inlineStr">
        <is>
          <t>Konstruksi Bangunan Sipil Jalan, Konstruksi Gedung Hunian</t>
        </is>
      </c>
      <c r="N88" t="inlineStr">
        <is>
          <t>K</t>
        </is>
      </c>
      <c r="O88" t="inlineStr">
        <is>
          <t>20230815, 20230816</t>
        </is>
      </c>
      <c r="P88" t="inlineStr">
        <is>
          <t>Papua</t>
        </is>
      </c>
      <c r="Q88" t="inlineStr"/>
    </row>
    <row r="89">
      <c r="A89" t="inlineStr">
        <is>
          <t>DENDY KURNIA</t>
        </is>
      </c>
      <c r="B89" t="inlineStr">
        <is>
          <t>Kab. Bengkalis</t>
        </is>
      </c>
      <c r="C89" t="inlineStr">
        <is>
          <t>082392129331</t>
        </is>
      </c>
      <c r="D89" t="inlineStr">
        <is>
          <t>cvdendyk@gmail.com</t>
        </is>
      </c>
      <c r="E89" t="inlineStr">
        <is>
          <t>https://lpjk.pu.go.id/search-badan-usaha-detail/LzlCamZwRUViU3VjeUp1bG1ibWNjQT09</t>
        </is>
      </c>
      <c r="F89" t="n">
        <v>6</v>
      </c>
      <c r="G89" t="inlineStr">
        <is>
          <t>BG004, BG007, BG008, BG009, BS002, BS004</t>
        </is>
      </c>
      <c r="H89" t="inlineStr">
        <is>
          <t>31 Maret 2000</t>
        </is>
      </c>
      <c r="I89" s="2" t="n">
        <v>46285</v>
      </c>
      <c r="J89" t="inlineStr">
        <is>
          <t>Disetujui, Pencabutan</t>
        </is>
      </c>
      <c r="K89" t="n">
        <v>60</v>
      </c>
      <c r="L89" t="inlineStr">
        <is>
          <t>20 September 2026</t>
        </is>
      </c>
      <c r="M89" t="inlineStr">
        <is>
          <t>Bangunan Sipil Jembatan, Jalan Layang, Fly Over, dan Underpass, Konstruksi Gedung Lainnya, Konstruksi Gedung Penginapan, Konstruksi Gedung Perbelanjaan, Konstruksi Gedung Tempat Hiburan dan Olahraga, Konstruksi Jaringan Irigasi dan Drainase</t>
        </is>
      </c>
      <c r="N89" t="inlineStr">
        <is>
          <t>K</t>
        </is>
      </c>
      <c r="O89" t="inlineStr">
        <is>
          <t>20230919, 20230920</t>
        </is>
      </c>
      <c r="P89" t="inlineStr">
        <is>
          <t>Riau</t>
        </is>
      </c>
      <c r="Q89" t="inlineStr"/>
    </row>
    <row r="90">
      <c r="A90" t="inlineStr">
        <is>
          <t>DEWANGGA SAKTI REKADAYA</t>
        </is>
      </c>
      <c r="B90" t="inlineStr">
        <is>
          <t>Kota Tangerang Selatan</t>
        </is>
      </c>
      <c r="C90" t="inlineStr">
        <is>
          <t>081218505861</t>
        </is>
      </c>
      <c r="D90" t="inlineStr">
        <is>
          <t>cvdsrd2020@gmail.com</t>
        </is>
      </c>
      <c r="E90" t="inlineStr">
        <is>
          <t>https://lpjk.pu.go.id/search-badan-usaha-detail/YXZuZnozQWU1Skc1SEJkSDdGNDlKQT09</t>
        </is>
      </c>
      <c r="F90" t="n">
        <v>4</v>
      </c>
      <c r="G90" t="inlineStr">
        <is>
          <t>BS001, BS004</t>
        </is>
      </c>
      <c r="H90" t="inlineStr">
        <is>
          <t>22 Februari 2019</t>
        </is>
      </c>
      <c r="I90" s="2" t="n">
        <v>46285</v>
      </c>
      <c r="J90" t="inlineStr">
        <is>
          <t>Disetujui</t>
        </is>
      </c>
      <c r="K90" t="n">
        <v>60</v>
      </c>
      <c r="L90" t="inlineStr">
        <is>
          <t>20 September 2026</t>
        </is>
      </c>
      <c r="M90" t="inlineStr">
        <is>
          <t>Konstruksi Bangunan Sipil Jalan, Konstruksi Jaringan Irigasi dan Drainase</t>
        </is>
      </c>
      <c r="N90" t="inlineStr">
        <is>
          <t>K</t>
        </is>
      </c>
      <c r="O90" t="inlineStr">
        <is>
          <t>20230919</t>
        </is>
      </c>
      <c r="P90" t="inlineStr">
        <is>
          <t>Banten</t>
        </is>
      </c>
      <c r="Q90" t="inlineStr"/>
    </row>
    <row r="91">
      <c r="A91" t="inlineStr">
        <is>
          <t>DEWI LESTARI</t>
        </is>
      </c>
      <c r="B91" t="inlineStr">
        <is>
          <t>Kab. Ketapang</t>
        </is>
      </c>
      <c r="C91" t="inlineStr">
        <is>
          <t>089694324690</t>
        </is>
      </c>
      <c r="D91" t="inlineStr">
        <is>
          <t>darmawan64k@gmail.com</t>
        </is>
      </c>
      <c r="E91" t="inlineStr">
        <is>
          <t>https://lpjk.pu.go.id/search-badan-usaha-detail/aC9sb1pvM2NTdlFqYm9hK2RwTzBvUT09</t>
        </is>
      </c>
      <c r="F91" t="n">
        <v>1</v>
      </c>
      <c r="G91" t="inlineStr">
        <is>
          <t>BS001</t>
        </is>
      </c>
      <c r="H91" t="inlineStr">
        <is>
          <t>9 Juni 2008</t>
        </is>
      </c>
      <c r="I91" s="2" t="n">
        <v>46285</v>
      </c>
      <c r="J91" t="inlineStr">
        <is>
          <t>Disetujui</t>
        </is>
      </c>
      <c r="K91" t="n">
        <v>60</v>
      </c>
      <c r="L91" t="inlineStr">
        <is>
          <t>20 September 2026</t>
        </is>
      </c>
      <c r="M91" t="inlineStr">
        <is>
          <t>Konstruksi Bangunan Sipil Jalan</t>
        </is>
      </c>
      <c r="N91" t="inlineStr">
        <is>
          <t>K</t>
        </is>
      </c>
      <c r="O91" t="inlineStr">
        <is>
          <t>20230921</t>
        </is>
      </c>
      <c r="P91" t="inlineStr">
        <is>
          <t>Kalimantan Barat</t>
        </is>
      </c>
      <c r="Q91" t="inlineStr"/>
    </row>
    <row r="92">
      <c r="A92" t="inlineStr">
        <is>
          <t>DINA UTAMA ABADI</t>
        </is>
      </c>
      <c r="B92" t="inlineStr">
        <is>
          <t>Kab. Tabalong</t>
        </is>
      </c>
      <c r="C92" t="inlineStr">
        <is>
          <t>08115133397</t>
        </is>
      </c>
      <c r="D92" t="inlineStr">
        <is>
          <t>cv.dinautamaabadi@gmail.com</t>
        </is>
      </c>
      <c r="E92" t="inlineStr">
        <is>
          <t>https://lpjk.pu.go.id/search-badan-usaha-detail/OGNKN1BJaEJyOU9mdlpCNVA4WEJ5UT09</t>
        </is>
      </c>
      <c r="F92" t="n">
        <v>2</v>
      </c>
      <c r="G92" t="inlineStr">
        <is>
          <t>BG001</t>
        </is>
      </c>
      <c r="H92" t="inlineStr">
        <is>
          <t>11 Agustus 2017</t>
        </is>
      </c>
      <c r="I92" s="2" t="n">
        <v>46285</v>
      </c>
      <c r="J92" t="inlineStr">
        <is>
          <t>Disetujui</t>
        </is>
      </c>
      <c r="K92" t="n">
        <v>60</v>
      </c>
      <c r="L92" t="inlineStr">
        <is>
          <t>20 September 2026</t>
        </is>
      </c>
      <c r="M92" t="inlineStr">
        <is>
          <t>Konstruksi Gedung Hunian</t>
        </is>
      </c>
      <c r="N92" t="inlineStr">
        <is>
          <t>K</t>
        </is>
      </c>
      <c r="O92" t="inlineStr">
        <is>
          <t>20230919</t>
        </is>
      </c>
      <c r="P92" t="inlineStr">
        <is>
          <t>Kalimantan Selatan</t>
        </is>
      </c>
      <c r="Q92" t="inlineStr"/>
    </row>
    <row r="93">
      <c r="A93" t="inlineStr">
        <is>
          <t>DINASTY MITRATAMA INDONESIA</t>
        </is>
      </c>
      <c r="B93" t="inlineStr">
        <is>
          <t>Kab. Tuban</t>
        </is>
      </c>
      <c r="C93" t="inlineStr">
        <is>
          <t>08123113042</t>
        </is>
      </c>
      <c r="D93" t="inlineStr">
        <is>
          <t>indonesiadinastimitratama@gmail.com</t>
        </is>
      </c>
      <c r="E93" t="inlineStr">
        <is>
          <t>https://lpjk.pu.go.id/search-badan-usaha-detail/ZmV5cFlZcEpoYnJsaFdTUVJDVkg2dz09</t>
        </is>
      </c>
      <c r="F93" t="n">
        <v>3</v>
      </c>
      <c r="G93" t="inlineStr">
        <is>
          <t>BS001</t>
        </is>
      </c>
      <c r="H93" t="inlineStr">
        <is>
          <t>27 Maret 2023</t>
        </is>
      </c>
      <c r="I93" s="2" t="n">
        <v>46285</v>
      </c>
      <c r="J93" t="inlineStr">
        <is>
          <t>Pencabutan</t>
        </is>
      </c>
      <c r="K93" t="n">
        <v>60</v>
      </c>
      <c r="L93" t="inlineStr">
        <is>
          <t>20 September 2026</t>
        </is>
      </c>
      <c r="M93" t="inlineStr">
        <is>
          <t>Konstruksi Bangunan Sipil Jalan</t>
        </is>
      </c>
      <c r="N93" t="inlineStr">
        <is>
          <t>K</t>
        </is>
      </c>
      <c r="O93" t="inlineStr">
        <is>
          <t>20230918</t>
        </is>
      </c>
      <c r="P93" t="inlineStr">
        <is>
          <t>Jawa Timur</t>
        </is>
      </c>
      <c r="Q93" t="inlineStr"/>
    </row>
    <row r="94">
      <c r="A94" t="inlineStr">
        <is>
          <t>ELANG JAYA</t>
        </is>
      </c>
      <c r="B94" t="inlineStr">
        <is>
          <t>Kab. Cirebon</t>
        </is>
      </c>
      <c r="C94" t="inlineStr">
        <is>
          <t>0813 9551 4469</t>
        </is>
      </c>
      <c r="D94" t="inlineStr">
        <is>
          <t>taganamandiri+20@gmail.com</t>
        </is>
      </c>
      <c r="E94" t="inlineStr">
        <is>
          <t>https://lpjk.pu.go.id/search-badan-usaha-detail/cmg2NnNMR3BsOGRHcWNkeXo4WmV1dz09</t>
        </is>
      </c>
      <c r="F94" t="n">
        <v>6</v>
      </c>
      <c r="G94" t="inlineStr">
        <is>
          <t>BG005, BG009, BS004</t>
        </is>
      </c>
      <c r="H94" t="inlineStr">
        <is>
          <t>6 Oktober 2010</t>
        </is>
      </c>
      <c r="I94" s="2" t="n">
        <v>46285</v>
      </c>
      <c r="J94" t="inlineStr">
        <is>
          <t>Disetujui</t>
        </is>
      </c>
      <c r="K94" t="n">
        <v>60</v>
      </c>
      <c r="L94" t="inlineStr">
        <is>
          <t>20 September 2026</t>
        </is>
      </c>
      <c r="M94" t="inlineStr">
        <is>
          <t>Konstruksi Gedung Kesehatan, Konstruksi Gedung Lainnya, Konstruksi Jaringan Irigasi dan Drainase</t>
        </is>
      </c>
      <c r="N94" t="inlineStr">
        <is>
          <t>K</t>
        </is>
      </c>
      <c r="O94" t="inlineStr">
        <is>
          <t>20230915, 20230918</t>
        </is>
      </c>
      <c r="P94" t="inlineStr">
        <is>
          <t>Jawa Barat</t>
        </is>
      </c>
      <c r="Q94" t="inlineStr"/>
    </row>
    <row r="95">
      <c r="A95" t="inlineStr">
        <is>
          <t>EMBUN RAYA</t>
        </is>
      </c>
      <c r="B95" t="inlineStr">
        <is>
          <t>Kab. Lombok Barat</t>
        </is>
      </c>
      <c r="C95" t="inlineStr">
        <is>
          <t>087858750554</t>
        </is>
      </c>
      <c r="D95" t="inlineStr">
        <is>
          <t>embun_raya.cv@yahoo.com</t>
        </is>
      </c>
      <c r="E95" t="inlineStr">
        <is>
          <t>https://lpjk.pu.go.id/search-badan-usaha-detail/NE9KK3VHZ09kck54UnY2OUE3eThtUT09</t>
        </is>
      </c>
      <c r="F95" t="n">
        <v>3</v>
      </c>
      <c r="G95" t="inlineStr">
        <is>
          <t>BG005, BG006, BS001</t>
        </is>
      </c>
      <c r="H95" t="inlineStr">
        <is>
          <t>15 Juni 2016</t>
        </is>
      </c>
      <c r="I95" s="2" t="n">
        <v>46285</v>
      </c>
      <c r="J95" t="inlineStr">
        <is>
          <t>Pencabutan</t>
        </is>
      </c>
      <c r="K95" t="n">
        <v>60</v>
      </c>
      <c r="L95" t="inlineStr">
        <is>
          <t>20 September 2026</t>
        </is>
      </c>
      <c r="M95" t="inlineStr">
        <is>
          <t>Konstruksi Bangunan Sipil Jalan, Konstruksi Gedung Kesehatan, Konstruksi Gedung Pendidikan</t>
        </is>
      </c>
      <c r="N95" t="inlineStr">
        <is>
          <t>K</t>
        </is>
      </c>
      <c r="O95" t="inlineStr">
        <is>
          <t>20230920</t>
        </is>
      </c>
      <c r="P95" t="inlineStr">
        <is>
          <t>Nusa Tenggara Barat</t>
        </is>
      </c>
      <c r="Q95" t="inlineStr"/>
    </row>
    <row r="96">
      <c r="A96" t="inlineStr">
        <is>
          <t>EMPAT KENA TIGA</t>
        </is>
      </c>
      <c r="B96" t="inlineStr">
        <is>
          <t>Kota Adm. Jakarta Selatan</t>
        </is>
      </c>
      <c r="C96" t="inlineStr">
        <is>
          <t>082125937969</t>
        </is>
      </c>
      <c r="D96" t="inlineStr">
        <is>
          <t>empatkenatiga3@gmail.com</t>
        </is>
      </c>
      <c r="E96" t="inlineStr">
        <is>
          <t>https://lpjk.pu.go.id/search-badan-usaha-detail/dXZaSUhFN1pTcS9naEh2RjA1a0RUZz09</t>
        </is>
      </c>
      <c r="F96" t="n">
        <v>1</v>
      </c>
      <c r="G96" t="inlineStr">
        <is>
          <t>BS009</t>
        </is>
      </c>
      <c r="H96" t="inlineStr">
        <is>
          <t>16 September 2023</t>
        </is>
      </c>
      <c r="I96" s="2" t="n">
        <v>46285</v>
      </c>
      <c r="J96" t="inlineStr">
        <is>
          <t>Disetujui</t>
        </is>
      </c>
      <c r="K96" t="n">
        <v>60</v>
      </c>
      <c r="L96" t="inlineStr">
        <is>
          <t>20 September 2026</t>
        </is>
      </c>
      <c r="M96" t="inlineStr">
        <is>
          <t>Konstruksi Sentral Telekomunikasi</t>
        </is>
      </c>
      <c r="N96" t="inlineStr">
        <is>
          <t>K</t>
        </is>
      </c>
      <c r="O96" t="inlineStr">
        <is>
          <t>20230921</t>
        </is>
      </c>
      <c r="P96" t="inlineStr">
        <is>
          <t>DKI Jakarta</t>
        </is>
      </c>
      <c r="Q96" t="inlineStr"/>
    </row>
    <row r="97">
      <c r="A97" t="inlineStr">
        <is>
          <t>ENAM SANDI UTAMA</t>
        </is>
      </c>
      <c r="B97" t="inlineStr">
        <is>
          <t>Kota Padang</t>
        </is>
      </c>
      <c r="C97" t="inlineStr">
        <is>
          <t>08126733441</t>
        </is>
      </c>
      <c r="D97" t="inlineStr">
        <is>
          <t>enamsandiutama@yahoo.co.id</t>
        </is>
      </c>
      <c r="E97" t="inlineStr">
        <is>
          <t>https://lpjk.pu.go.id/search-badan-usaha-detail/R0pLK2JON3JKQmFkT0EvWTdpZHkrdz09</t>
        </is>
      </c>
      <c r="F97" t="n">
        <v>2</v>
      </c>
      <c r="G97" t="inlineStr">
        <is>
          <t>BG005, BG006</t>
        </is>
      </c>
      <c r="H97" t="inlineStr">
        <is>
          <t>1 Februari 2023</t>
        </is>
      </c>
      <c r="I97" s="2" t="n">
        <v>46285</v>
      </c>
      <c r="J97" t="inlineStr">
        <is>
          <t>Disetujui</t>
        </is>
      </c>
      <c r="K97" t="n">
        <v>60</v>
      </c>
      <c r="L97" t="inlineStr">
        <is>
          <t>20 September 2026</t>
        </is>
      </c>
      <c r="M97" t="inlineStr">
        <is>
          <t>Konstruksi Gedung Kesehatan, Konstruksi Gedung Pendidikan</t>
        </is>
      </c>
      <c r="N97" t="inlineStr">
        <is>
          <t>K</t>
        </is>
      </c>
      <c r="O97" t="inlineStr">
        <is>
          <t>20230912</t>
        </is>
      </c>
      <c r="P97" t="inlineStr">
        <is>
          <t>Sumatera Barat</t>
        </is>
      </c>
      <c r="Q97" t="inlineStr"/>
    </row>
    <row r="98">
      <c r="A98" t="inlineStr">
        <is>
          <t>FAEYZA SUCCESS</t>
        </is>
      </c>
      <c r="B98" t="inlineStr">
        <is>
          <t>Kota Padang</t>
        </is>
      </c>
      <c r="C98" t="inlineStr">
        <is>
          <t>082284330053</t>
        </is>
      </c>
      <c r="D98" t="inlineStr">
        <is>
          <t>faeyza.success@gmail.com</t>
        </is>
      </c>
      <c r="E98" t="inlineStr">
        <is>
          <t>https://lpjk.pu.go.id/search-badan-usaha-detail/OFVZczBZR0NKNGFkdFhjU1M1ZUxwZz09</t>
        </is>
      </c>
      <c r="F98" t="n">
        <v>4</v>
      </c>
      <c r="G98" t="inlineStr">
        <is>
          <t>BG001, BG009, BS001, BS004</t>
        </is>
      </c>
      <c r="H98" t="inlineStr">
        <is>
          <t>3 Februari 2020</t>
        </is>
      </c>
      <c r="I98" s="2" t="n">
        <v>46285</v>
      </c>
      <c r="J98" t="inlineStr">
        <is>
          <t>Disetujui</t>
        </is>
      </c>
      <c r="K98" t="n">
        <v>60</v>
      </c>
      <c r="L98" t="inlineStr">
        <is>
          <t>20 September 2026</t>
        </is>
      </c>
      <c r="M98" t="inlineStr">
        <is>
          <t>Konstruksi Bangunan Sipil Jalan, Konstruksi Gedung Hunian, Konstruksi Gedung Lainnya, Konstruksi Jaringan Irigasi dan Drainase</t>
        </is>
      </c>
      <c r="N98" t="inlineStr">
        <is>
          <t>K</t>
        </is>
      </c>
      <c r="O98" t="inlineStr">
        <is>
          <t>20230911, 20230915</t>
        </is>
      </c>
      <c r="P98" t="inlineStr">
        <is>
          <t>Sumatera Barat</t>
        </is>
      </c>
      <c r="Q98" t="inlineStr"/>
    </row>
    <row r="99">
      <c r="A99" t="inlineStr">
        <is>
          <t>FAMILY JAYA LESTARI</t>
        </is>
      </c>
      <c r="B99" t="inlineStr">
        <is>
          <t>Kab. Kayong Utara</t>
        </is>
      </c>
      <c r="C99" t="inlineStr">
        <is>
          <t>081247533290</t>
        </is>
      </c>
      <c r="D99" t="inlineStr">
        <is>
          <t>familyjayalestari89@gmail.com</t>
        </is>
      </c>
      <c r="E99" t="inlineStr">
        <is>
          <t>https://lpjk.pu.go.id/search-badan-usaha-detail/SXNmK0REY2NEbm5ELzE3UTBLV2RsZz09</t>
        </is>
      </c>
      <c r="F99" t="n">
        <v>2</v>
      </c>
      <c r="G99" t="inlineStr">
        <is>
          <t>BG005, BG006</t>
        </is>
      </c>
      <c r="H99" t="inlineStr">
        <is>
          <t>7 Januari 2014</t>
        </is>
      </c>
      <c r="I99" s="2" t="n">
        <v>46285</v>
      </c>
      <c r="J99" t="inlineStr">
        <is>
          <t>Disetujui</t>
        </is>
      </c>
      <c r="K99" t="n">
        <v>60</v>
      </c>
      <c r="L99" t="inlineStr">
        <is>
          <t>20 September 2026</t>
        </is>
      </c>
      <c r="M99" t="inlineStr">
        <is>
          <t>Konstruksi Gedung Kesehatan, Konstruksi Gedung Pendidikan</t>
        </is>
      </c>
      <c r="N99" t="inlineStr">
        <is>
          <t>K</t>
        </is>
      </c>
      <c r="O99" t="inlineStr">
        <is>
          <t>20230918, 20230919</t>
        </is>
      </c>
      <c r="P99" t="inlineStr">
        <is>
          <t>Kalimantan Barat</t>
        </is>
      </c>
      <c r="Q99" t="inlineStr"/>
    </row>
    <row r="100">
      <c r="A100" t="inlineStr">
        <is>
          <t>GADA JAYA</t>
        </is>
      </c>
      <c r="B100" t="inlineStr">
        <is>
          <t>Kota Dumai</t>
        </is>
      </c>
      <c r="C100" t="inlineStr">
        <is>
          <t>085271224937</t>
        </is>
      </c>
      <c r="D100" t="inlineStr">
        <is>
          <t>gadajaya2008@yahoo.com</t>
        </is>
      </c>
      <c r="E100" t="inlineStr">
        <is>
          <t>https://lpjk.pu.go.id/search-badan-usaha-detail/UEJYZUtmMU15a3VIQ3RPa0ZqVFd4dz09</t>
        </is>
      </c>
      <c r="F100" t="n">
        <v>5</v>
      </c>
      <c r="G100" t="inlineStr">
        <is>
          <t>BG001, BG002, BG005, BG006, BG009</t>
        </is>
      </c>
      <c r="H100" t="inlineStr">
        <is>
          <t>28 Mei 2008</t>
        </is>
      </c>
      <c r="I100" s="2" t="n">
        <v>46285</v>
      </c>
      <c r="J100" t="inlineStr">
        <is>
          <t>Disetujui</t>
        </is>
      </c>
      <c r="K100" t="n">
        <v>60</v>
      </c>
      <c r="L100" t="inlineStr">
        <is>
          <t>20 September 2026</t>
        </is>
      </c>
      <c r="M100" t="inlineStr">
        <is>
          <t>Konstruksi Gedung Hunian, Konstruksi Gedung Kesehatan, Konstruksi Gedung Lainnya, Konstruksi Gedung Pendidikan, Konstruksi Gedung Perkantoran</t>
        </is>
      </c>
      <c r="N100" t="inlineStr">
        <is>
          <t>K</t>
        </is>
      </c>
      <c r="O100" t="inlineStr">
        <is>
          <t>20230912, 20230921</t>
        </is>
      </c>
      <c r="P100" t="inlineStr">
        <is>
          <t>Riau</t>
        </is>
      </c>
      <c r="Q100" t="inlineStr"/>
    </row>
    <row r="101">
      <c r="A101" t="inlineStr">
        <is>
          <t>GAJAH MANDALA JAYA</t>
        </is>
      </c>
      <c r="B101" t="inlineStr">
        <is>
          <t>Kota Adm. Jakarta Utara</t>
        </is>
      </c>
      <c r="C101" t="inlineStr">
        <is>
          <t>0214513922</t>
        </is>
      </c>
      <c r="D101" t="inlineStr">
        <is>
          <t>gmj@taitindo.com</t>
        </is>
      </c>
      <c r="E101" t="inlineStr">
        <is>
          <t>https://lpjk.pu.go.id/search-badan-usaha-detail/ZVRyeWJnc3B2ZDNTeGVweHkvaFkzdz09</t>
        </is>
      </c>
      <c r="F101" t="n">
        <v>1</v>
      </c>
      <c r="G101" t="inlineStr">
        <is>
          <t>BS009</t>
        </is>
      </c>
      <c r="H101" t="inlineStr">
        <is>
          <t>31 Juli 1996</t>
        </is>
      </c>
      <c r="I101" s="2" t="n">
        <v>46285</v>
      </c>
      <c r="J101" t="inlineStr">
        <is>
          <t>Pembekuan</t>
        </is>
      </c>
      <c r="K101" t="n">
        <v>60</v>
      </c>
      <c r="L101" t="inlineStr">
        <is>
          <t>20 September 2026</t>
        </is>
      </c>
      <c r="M101" t="inlineStr">
        <is>
          <t>Konstruksi Sentral Telekomunikasi</t>
        </is>
      </c>
      <c r="N101" t="inlineStr">
        <is>
          <t>M</t>
        </is>
      </c>
      <c r="O101" t="inlineStr">
        <is>
          <t>20230915</t>
        </is>
      </c>
      <c r="P101" t="inlineStr">
        <is>
          <t>DKI Jakarta</t>
        </is>
      </c>
      <c r="Q101" t="inlineStr"/>
    </row>
    <row r="102">
      <c r="A102" t="inlineStr">
        <is>
          <t>GALUH RAMADHITA</t>
        </is>
      </c>
      <c r="B102" t="inlineStr">
        <is>
          <t>Kota Bandung</t>
        </is>
      </c>
      <c r="C102" t="inlineStr">
        <is>
          <t>082262244624</t>
        </is>
      </c>
      <c r="D102" t="inlineStr">
        <is>
          <t>galuhramadhita@yahoo.com</t>
        </is>
      </c>
      <c r="E102" t="inlineStr">
        <is>
          <t>https://lpjk.pu.go.id/search-badan-usaha-detail/N0IxMXQ2cSswcHZhL0RHQXEzK1pkUT09</t>
        </is>
      </c>
      <c r="F102" t="n">
        <v>1</v>
      </c>
      <c r="G102" t="inlineStr">
        <is>
          <t>BG006</t>
        </is>
      </c>
      <c r="H102" t="inlineStr">
        <is>
          <t>22 Juni 2012</t>
        </is>
      </c>
      <c r="I102" s="2" t="n">
        <v>46285</v>
      </c>
      <c r="J102" t="inlineStr">
        <is>
          <t>Disetujui</t>
        </is>
      </c>
      <c r="K102" t="n">
        <v>60</v>
      </c>
      <c r="L102" t="inlineStr">
        <is>
          <t>20 September 2026</t>
        </is>
      </c>
      <c r="M102" t="inlineStr">
        <is>
          <t>Konstruksi Gedung Pendidikan</t>
        </is>
      </c>
      <c r="N102" t="inlineStr">
        <is>
          <t>K</t>
        </is>
      </c>
      <c r="O102" t="inlineStr">
        <is>
          <t>20230918</t>
        </is>
      </c>
      <c r="P102" t="inlineStr">
        <is>
          <t>Jawa Barat</t>
        </is>
      </c>
      <c r="Q102" t="inlineStr"/>
    </row>
    <row r="103">
      <c r="A103" t="inlineStr">
        <is>
          <t>GARIS RINGSAKTI</t>
        </is>
      </c>
      <c r="B103" t="inlineStr">
        <is>
          <t>Kota Adm. Jakarta Utara</t>
        </is>
      </c>
      <c r="C103" t="inlineStr">
        <is>
          <t>02129037142</t>
        </is>
      </c>
      <c r="D103" t="inlineStr">
        <is>
          <t>sales@garisring.com</t>
        </is>
      </c>
      <c r="E103" t="inlineStr">
        <is>
          <t>https://lpjk.pu.go.id/search-badan-usaha-detail/YmljalFGU2VCRDZUVWZnTWF4NXFvUT09</t>
        </is>
      </c>
      <c r="F103" t="n">
        <v>1</v>
      </c>
      <c r="G103" t="inlineStr">
        <is>
          <t>IN004</t>
        </is>
      </c>
      <c r="H103" t="inlineStr">
        <is>
          <t>4 Februari 2021</t>
        </is>
      </c>
      <c r="I103" s="2" t="n">
        <v>46285</v>
      </c>
      <c r="J103" t="inlineStr">
        <is>
          <t>Disetujui</t>
        </is>
      </c>
      <c r="K103" t="n">
        <v>60</v>
      </c>
      <c r="L103" t="inlineStr">
        <is>
          <t>20 September 2026</t>
        </is>
      </c>
      <c r="M103" t="inlineStr">
        <is>
          <t>Instalasi Minyak dan Gas</t>
        </is>
      </c>
      <c r="N103" t="inlineStr">
        <is>
          <t>Spesialis</t>
        </is>
      </c>
      <c r="O103" t="inlineStr">
        <is>
          <t>20230911</t>
        </is>
      </c>
      <c r="P103" t="inlineStr">
        <is>
          <t>DKI Jakarta</t>
        </is>
      </c>
      <c r="Q103" t="inlineStr"/>
    </row>
    <row r="104">
      <c r="A104" t="inlineStr">
        <is>
          <t>GEMILANG PRESTASI ABADI</t>
        </is>
      </c>
      <c r="B104" t="inlineStr">
        <is>
          <t>Kab. Sukabumi</t>
        </is>
      </c>
      <c r="C104" t="inlineStr">
        <is>
          <t>085793927738</t>
        </is>
      </c>
      <c r="D104" t="inlineStr">
        <is>
          <t>pt.gemilangprestasiabadi2021@gmail.com</t>
        </is>
      </c>
      <c r="E104" t="inlineStr">
        <is>
          <t>https://lpjk.pu.go.id/search-badan-usaha-detail/MXdvT0pyUXlobEhKRXhwYVVsMFYxUT09</t>
        </is>
      </c>
      <c r="F104" t="n">
        <v>2</v>
      </c>
      <c r="G104" t="inlineStr">
        <is>
          <t>BG002, BS001</t>
        </is>
      </c>
      <c r="H104" t="inlineStr">
        <is>
          <t>26 April 2016</t>
        </is>
      </c>
      <c r="I104" s="2" t="n">
        <v>46285</v>
      </c>
      <c r="J104" t="inlineStr">
        <is>
          <t>Disetujui</t>
        </is>
      </c>
      <c r="K104" t="n">
        <v>60</v>
      </c>
      <c r="L104" t="inlineStr">
        <is>
          <t>20 September 2026</t>
        </is>
      </c>
      <c r="M104" t="inlineStr">
        <is>
          <t>Konstruksi Bangunan Sipil Jalan, Konstruksi Gedung Perkantoran</t>
        </is>
      </c>
      <c r="N104" t="inlineStr">
        <is>
          <t>K</t>
        </is>
      </c>
      <c r="O104" t="inlineStr">
        <is>
          <t>20230920</t>
        </is>
      </c>
      <c r="P104" t="inlineStr">
        <is>
          <t>Jawa Barat</t>
        </is>
      </c>
      <c r="Q104" t="inlineStr"/>
    </row>
    <row r="105">
      <c r="A105" t="inlineStr">
        <is>
          <t>GIAN MULTI CIPTA</t>
        </is>
      </c>
      <c r="B105" t="inlineStr">
        <is>
          <t>Kota Palembang</t>
        </is>
      </c>
      <c r="C105" t="inlineStr">
        <is>
          <t>08127837728</t>
        </is>
      </c>
      <c r="D105" t="inlineStr">
        <is>
          <t>gianmulticipta2000@gmail.com</t>
        </is>
      </c>
      <c r="E105" t="inlineStr">
        <is>
          <t>https://lpjk.pu.go.id/search-badan-usaha-detail/WDlwdkU4Q2pLWXhveDRIOEhsdTVNUT09</t>
        </is>
      </c>
      <c r="F105" t="n">
        <v>1</v>
      </c>
      <c r="G105" t="inlineStr">
        <is>
          <t>BG002</t>
        </is>
      </c>
      <c r="H105" t="inlineStr">
        <is>
          <t>10 Mei 2010</t>
        </is>
      </c>
      <c r="I105" s="2" t="n">
        <v>46285</v>
      </c>
      <c r="J105" t="inlineStr">
        <is>
          <t>Pencabutan</t>
        </is>
      </c>
      <c r="K105" t="n">
        <v>60</v>
      </c>
      <c r="L105" t="inlineStr">
        <is>
          <t>20 September 2026</t>
        </is>
      </c>
      <c r="M105" t="inlineStr">
        <is>
          <t>Konstruksi Gedung Perkantoran</t>
        </is>
      </c>
      <c r="N105" t="inlineStr">
        <is>
          <t>K</t>
        </is>
      </c>
      <c r="O105" t="inlineStr">
        <is>
          <t>20230920</t>
        </is>
      </c>
      <c r="P105" t="inlineStr">
        <is>
          <t>Sumatera Selatan</t>
        </is>
      </c>
      <c r="Q105" t="inlineStr"/>
    </row>
    <row r="106">
      <c r="A106" t="inlineStr">
        <is>
          <t>GIRI KENCANA</t>
        </is>
      </c>
      <c r="B106" t="inlineStr">
        <is>
          <t>Kab. Gunungkidul</t>
        </is>
      </c>
      <c r="C106" t="inlineStr">
        <is>
          <t>085290509231</t>
        </is>
      </c>
      <c r="D106" t="inlineStr">
        <is>
          <t>girikencanacv29@gmail.com</t>
        </is>
      </c>
      <c r="E106" t="inlineStr">
        <is>
          <t>https://lpjk.pu.go.id/search-badan-usaha-detail/UUFFRUpBMXMxMWdHQkdkeTdvdDVPQT09</t>
        </is>
      </c>
      <c r="F106" t="n">
        <v>1</v>
      </c>
      <c r="G106" t="inlineStr">
        <is>
          <t>BS001</t>
        </is>
      </c>
      <c r="H106" t="inlineStr">
        <is>
          <t>19 Maret 1984</t>
        </is>
      </c>
      <c r="I106" s="2" t="n">
        <v>46285</v>
      </c>
      <c r="J106" t="inlineStr">
        <is>
          <t>Disetujui</t>
        </is>
      </c>
      <c r="K106" t="n">
        <v>60</v>
      </c>
      <c r="L106" t="inlineStr">
        <is>
          <t>20 September 2026</t>
        </is>
      </c>
      <c r="M106" t="inlineStr">
        <is>
          <t>Konstruksi Bangunan Sipil Jalan</t>
        </is>
      </c>
      <c r="N106" t="inlineStr">
        <is>
          <t>K</t>
        </is>
      </c>
      <c r="O106" t="inlineStr">
        <is>
          <t>20230919</t>
        </is>
      </c>
      <c r="P106" t="inlineStr">
        <is>
          <t>DI Yogyakarta</t>
        </is>
      </c>
      <c r="Q106" t="inlineStr"/>
    </row>
    <row r="107">
      <c r="A107" t="inlineStr">
        <is>
          <t>GIRI PUTRI SEJATI</t>
        </is>
      </c>
      <c r="B107" t="inlineStr">
        <is>
          <t>Kota Kendari</t>
        </is>
      </c>
      <c r="C107" t="inlineStr">
        <is>
          <t>085299446705</t>
        </is>
      </c>
      <c r="D107" t="inlineStr">
        <is>
          <t>cv.giri@yahoo.com</t>
        </is>
      </c>
      <c r="E107" t="inlineStr">
        <is>
          <t>https://lpjk.pu.go.id/search-badan-usaha-detail/MnRESEIxM0UvYXFzOVhnQkhXNXpkdz09</t>
        </is>
      </c>
      <c r="F107" t="n">
        <v>1</v>
      </c>
      <c r="G107" t="inlineStr">
        <is>
          <t>BG001</t>
        </is>
      </c>
      <c r="H107" t="inlineStr">
        <is>
          <t>1 Juli 2000</t>
        </is>
      </c>
      <c r="I107" s="2" t="n">
        <v>46285</v>
      </c>
      <c r="J107" t="inlineStr">
        <is>
          <t>Disetujui</t>
        </is>
      </c>
      <c r="K107" t="n">
        <v>60</v>
      </c>
      <c r="L107" t="inlineStr">
        <is>
          <t>20 September 2026</t>
        </is>
      </c>
      <c r="M107" t="inlineStr">
        <is>
          <t>Konstruksi Gedung Hunian</t>
        </is>
      </c>
      <c r="N107" t="inlineStr">
        <is>
          <t>K</t>
        </is>
      </c>
      <c r="O107" t="inlineStr">
        <is>
          <t>20230627</t>
        </is>
      </c>
      <c r="P107" t="inlineStr">
        <is>
          <t>Sulawesi Tenggara</t>
        </is>
      </c>
      <c r="Q107" t="inlineStr"/>
    </row>
    <row r="108">
      <c r="A108" t="inlineStr">
        <is>
          <t>GOLDEN BOY ELFICO</t>
        </is>
      </c>
      <c r="B108" t="inlineStr">
        <is>
          <t>Kota Banjar</t>
        </is>
      </c>
      <c r="C108" t="inlineStr">
        <is>
          <t>081313038357</t>
        </is>
      </c>
      <c r="D108" t="inlineStr">
        <is>
          <t>elficogoldenboy@gmail.com</t>
        </is>
      </c>
      <c r="E108" t="inlineStr">
        <is>
          <t>https://lpjk.pu.go.id/search-badan-usaha-detail/cHY1VWZNNmIvamt2NkZ1ZW5leUM0QT09</t>
        </is>
      </c>
      <c r="F108" t="n">
        <v>4</v>
      </c>
      <c r="G108" t="inlineStr">
        <is>
          <t>BS001, BS004</t>
        </is>
      </c>
      <c r="H108" t="inlineStr">
        <is>
          <t>21 Juni 2022</t>
        </is>
      </c>
      <c r="I108" s="2" t="n">
        <v>46285</v>
      </c>
      <c r="J108" t="inlineStr">
        <is>
          <t>Disetujui</t>
        </is>
      </c>
      <c r="K108" t="n">
        <v>60</v>
      </c>
      <c r="L108" t="inlineStr">
        <is>
          <t>20 September 2026</t>
        </is>
      </c>
      <c r="M108" t="inlineStr">
        <is>
          <t>Konstruksi Bangunan Sipil Jalan, Konstruksi Jaringan Irigasi dan Drainase</t>
        </is>
      </c>
      <c r="N108" t="inlineStr">
        <is>
          <t>K</t>
        </is>
      </c>
      <c r="O108" t="inlineStr">
        <is>
          <t>20230915</t>
        </is>
      </c>
      <c r="P108" t="inlineStr">
        <is>
          <t>Jawa Barat</t>
        </is>
      </c>
      <c r="Q108" t="inlineStr"/>
    </row>
    <row r="109">
      <c r="A109" t="inlineStr">
        <is>
          <t>GREEN KONSTRUKSI</t>
        </is>
      </c>
      <c r="B109" t="inlineStr">
        <is>
          <t>Kota Langsa</t>
        </is>
      </c>
      <c r="C109" t="inlineStr">
        <is>
          <t>085261629642</t>
        </is>
      </c>
      <c r="D109" t="inlineStr">
        <is>
          <t>greenkonstruksi@gmail.com</t>
        </is>
      </c>
      <c r="E109" t="inlineStr">
        <is>
          <t>https://lpjk.pu.go.id/search-badan-usaha-detail/LzhJZDdlNHVCQ2ZVbGlkOWVmQjBIdz09</t>
        </is>
      </c>
      <c r="F109" t="n">
        <v>2</v>
      </c>
      <c r="G109" t="inlineStr">
        <is>
          <t>BS004</t>
        </is>
      </c>
      <c r="H109" t="inlineStr">
        <is>
          <t>22 Juni 2012</t>
        </is>
      </c>
      <c r="I109" s="2" t="n">
        <v>46285</v>
      </c>
      <c r="J109" t="inlineStr">
        <is>
          <t>Disetujui</t>
        </is>
      </c>
      <c r="K109" t="n">
        <v>60</v>
      </c>
      <c r="L109" t="inlineStr">
        <is>
          <t>20 September 2026</t>
        </is>
      </c>
      <c r="M109" t="inlineStr">
        <is>
          <t>Konstruksi Jaringan Irigasi dan Drainase</t>
        </is>
      </c>
      <c r="N109" t="inlineStr">
        <is>
          <t>K</t>
        </is>
      </c>
      <c r="O109" t="inlineStr">
        <is>
          <t>20230920</t>
        </is>
      </c>
      <c r="P109" t="inlineStr">
        <is>
          <t>Aceh</t>
        </is>
      </c>
      <c r="Q109" t="inlineStr"/>
    </row>
    <row r="110">
      <c r="A110" t="inlineStr">
        <is>
          <t>GUNA KARYA</t>
        </is>
      </c>
      <c r="B110" t="inlineStr">
        <is>
          <t>Kab. Ciamis</t>
        </is>
      </c>
      <c r="C110" t="inlineStr">
        <is>
          <t>085224219881</t>
        </is>
      </c>
      <c r="D110" t="inlineStr">
        <is>
          <t>gunakarya06@yahoo.co.id</t>
        </is>
      </c>
      <c r="E110" t="inlineStr">
        <is>
          <t>https://lpjk.pu.go.id/search-badan-usaha-detail/VEhGSlVKdVhTWC9wZGVZYW1tdExoQT09</t>
        </is>
      </c>
      <c r="F110" t="n">
        <v>2</v>
      </c>
      <c r="G110" t="inlineStr">
        <is>
          <t>BG005, BG009</t>
        </is>
      </c>
      <c r="H110" t="inlineStr">
        <is>
          <t>28 September 2006</t>
        </is>
      </c>
      <c r="I110" s="2" t="n">
        <v>46285</v>
      </c>
      <c r="J110" t="inlineStr">
        <is>
          <t>Disetujui</t>
        </is>
      </c>
      <c r="K110" t="n">
        <v>60</v>
      </c>
      <c r="L110" t="inlineStr">
        <is>
          <t>20 September 2026</t>
        </is>
      </c>
      <c r="M110" t="inlineStr">
        <is>
          <t>Konstruksi Gedung Kesehatan, Konstruksi Gedung Lainnya</t>
        </is>
      </c>
      <c r="N110" t="inlineStr">
        <is>
          <t>K</t>
        </is>
      </c>
      <c r="O110" t="inlineStr">
        <is>
          <t>20230918</t>
        </is>
      </c>
      <c r="P110" t="inlineStr">
        <is>
          <t>Jawa Barat</t>
        </is>
      </c>
      <c r="Q110" t="inlineStr"/>
    </row>
    <row r="111">
      <c r="A111" t="inlineStr">
        <is>
          <t>GUNTUR PERKASA ENGINERING</t>
        </is>
      </c>
      <c r="B111" t="inlineStr">
        <is>
          <t>Kab. Karawang</t>
        </is>
      </c>
      <c r="C111" t="inlineStr">
        <is>
          <t>0267414802</t>
        </is>
      </c>
      <c r="D111" t="inlineStr">
        <is>
          <t>pt.gunturperkasa@yahoo.co.id</t>
        </is>
      </c>
      <c r="E111" t="inlineStr">
        <is>
          <t>https://lpjk.pu.go.id/search-badan-usaha-detail/Nk93cnhnL09UV2lndkZjc21TckZxdHdMWVkrb1VaeXRVSzhuOEpUaVFTdz0</t>
        </is>
      </c>
      <c r="F111" t="n">
        <v>1</v>
      </c>
      <c r="G111" t="inlineStr">
        <is>
          <t>BS002</t>
        </is>
      </c>
      <c r="H111" t="inlineStr">
        <is>
          <t>5 Juni 2015</t>
        </is>
      </c>
      <c r="I111" s="2" t="n">
        <v>46285</v>
      </c>
      <c r="J111" t="inlineStr">
        <is>
          <t>Disetujui</t>
        </is>
      </c>
      <c r="K111" t="n">
        <v>60</v>
      </c>
      <c r="L111" t="inlineStr">
        <is>
          <t>20 September 2026</t>
        </is>
      </c>
      <c r="M111" t="inlineStr">
        <is>
          <t>Bangunan Sipil Jembatan, Jalan Layang, Fly Over, dan Underpass</t>
        </is>
      </c>
      <c r="N111" t="inlineStr">
        <is>
          <t>K</t>
        </is>
      </c>
      <c r="O111" t="inlineStr">
        <is>
          <t>20230919</t>
        </is>
      </c>
      <c r="P111" t="inlineStr">
        <is>
          <t>Jawa Barat</t>
        </is>
      </c>
      <c r="Q111" t="inlineStr"/>
    </row>
    <row r="112">
      <c r="A112" t="inlineStr">
        <is>
          <t>GUNUNG KONDO</t>
        </is>
      </c>
      <c r="B112" t="inlineStr">
        <is>
          <t>Kab. Kepulauan Anambas</t>
        </is>
      </c>
      <c r="C112" t="inlineStr">
        <is>
          <t>081383833732</t>
        </is>
      </c>
      <c r="D112" t="inlineStr">
        <is>
          <t>gunungkondo.cv@gmail.com</t>
        </is>
      </c>
      <c r="E112" t="inlineStr">
        <is>
          <t>https://lpjk.pu.go.id/search-badan-usaha-detail/WFZrWllpbHBLQk92M1F5alVFZGJRQT09</t>
        </is>
      </c>
      <c r="F112" t="n">
        <v>4</v>
      </c>
      <c r="G112" t="inlineStr">
        <is>
          <t>BG005, BG006, BG009, BS001</t>
        </is>
      </c>
      <c r="H112" t="inlineStr">
        <is>
          <t>5 Maret 2018</t>
        </is>
      </c>
      <c r="I112" s="2" t="n">
        <v>46285</v>
      </c>
      <c r="J112" t="inlineStr">
        <is>
          <t>Disetujui</t>
        </is>
      </c>
      <c r="K112" t="n">
        <v>60</v>
      </c>
      <c r="L112" t="inlineStr">
        <is>
          <t>20 September 2026</t>
        </is>
      </c>
      <c r="M112" t="inlineStr">
        <is>
          <t>Konstruksi Bangunan Sipil Jalan, Konstruksi Gedung Kesehatan, Konstruksi Gedung Lainnya, Konstruksi Gedung Pendidikan</t>
        </is>
      </c>
      <c r="N112" t="inlineStr">
        <is>
          <t>K</t>
        </is>
      </c>
      <c r="O112" t="inlineStr">
        <is>
          <t>20230917</t>
        </is>
      </c>
      <c r="P112" t="inlineStr">
        <is>
          <t>Kepulauan Riau</t>
        </is>
      </c>
      <c r="Q112" t="inlineStr"/>
    </row>
    <row r="113">
      <c r="A113" t="inlineStr">
        <is>
          <t>GUYUB INTI TUNGGAL</t>
        </is>
      </c>
      <c r="B113" t="inlineStr">
        <is>
          <t>Kota Adm. Jakarta Selatan</t>
        </is>
      </c>
      <c r="C113" t="inlineStr">
        <is>
          <t>0217801460</t>
        </is>
      </c>
      <c r="D113" t="inlineStr">
        <is>
          <t>hrdlegal@guyub.co.id</t>
        </is>
      </c>
      <c r="E113" t="inlineStr">
        <is>
          <t>https://lpjk.pu.go.id/search-badan-usaha-detail/TFNuc2lkbDNlQTQ5M2ErcC9qcmFxZz09</t>
        </is>
      </c>
      <c r="F113" t="n">
        <v>1</v>
      </c>
      <c r="G113" t="inlineStr">
        <is>
          <t>BS009</t>
        </is>
      </c>
      <c r="H113" t="inlineStr">
        <is>
          <t>28 Oktober 2016</t>
        </is>
      </c>
      <c r="I113" s="2" t="n">
        <v>46285</v>
      </c>
      <c r="J113" t="inlineStr">
        <is>
          <t>Disetujui</t>
        </is>
      </c>
      <c r="K113" t="n">
        <v>60</v>
      </c>
      <c r="L113" t="inlineStr">
        <is>
          <t>20 September 2026</t>
        </is>
      </c>
      <c r="M113" t="inlineStr">
        <is>
          <t>Konstruksi Sentral Telekomunikasi</t>
        </is>
      </c>
      <c r="N113" t="inlineStr">
        <is>
          <t>K</t>
        </is>
      </c>
      <c r="O113" t="inlineStr">
        <is>
          <t>20230920</t>
        </is>
      </c>
      <c r="P113" t="inlineStr">
        <is>
          <t>DKI Jakarta</t>
        </is>
      </c>
      <c r="Q113" t="inlineStr"/>
    </row>
    <row r="114">
      <c r="A114" t="inlineStr">
        <is>
          <t>HADIGUNA PERKASA</t>
        </is>
      </c>
      <c r="B114" t="inlineStr">
        <is>
          <t>Kab. Tapanuli Selatan</t>
        </is>
      </c>
      <c r="C114" t="inlineStr">
        <is>
          <t>082364128882</t>
        </is>
      </c>
      <c r="D114" t="inlineStr">
        <is>
          <t>info@hadiguna.com</t>
        </is>
      </c>
      <c r="E114" t="inlineStr">
        <is>
          <t>https://lpjk.pu.go.id/search-badan-usaha-detail/cFhIUndqM1dDME9VbUVmMEJQR1Z1dz09</t>
        </is>
      </c>
      <c r="F114" t="n">
        <v>1</v>
      </c>
      <c r="G114" t="inlineStr">
        <is>
          <t>BG002</t>
        </is>
      </c>
      <c r="H114" t="inlineStr">
        <is>
          <t>11 Desember 2009</t>
        </is>
      </c>
      <c r="I114" s="2" t="n">
        <v>46285</v>
      </c>
      <c r="J114" t="inlineStr">
        <is>
          <t>Pencabutan</t>
        </is>
      </c>
      <c r="K114" t="n">
        <v>60</v>
      </c>
      <c r="L114" t="inlineStr">
        <is>
          <t>20 September 2026</t>
        </is>
      </c>
      <c r="M114" t="inlineStr">
        <is>
          <t>Konstruksi Gedung Perkantoran</t>
        </is>
      </c>
      <c r="N114" t="inlineStr">
        <is>
          <t>K</t>
        </is>
      </c>
      <c r="O114" t="inlineStr">
        <is>
          <t>20230919</t>
        </is>
      </c>
      <c r="P114" t="inlineStr">
        <is>
          <t>Sumatera Utara</t>
        </is>
      </c>
      <c r="Q114" t="inlineStr"/>
    </row>
    <row r="115">
      <c r="A115" t="inlineStr">
        <is>
          <t>HANDAL JAYA</t>
        </is>
      </c>
      <c r="B115" t="inlineStr">
        <is>
          <t>Kab. Subang</t>
        </is>
      </c>
      <c r="C115" t="inlineStr">
        <is>
          <t>081320588999</t>
        </is>
      </c>
      <c r="D115" t="inlineStr">
        <is>
          <t>handal.jaya@yahoo.com</t>
        </is>
      </c>
      <c r="E115" t="inlineStr">
        <is>
          <t>https://lpjk.pu.go.id/search-badan-usaha-detail/Q0VNVkFZMWNoK1RZOXdnamFqVEh6QT09</t>
        </is>
      </c>
      <c r="F115" t="n">
        <v>6</v>
      </c>
      <c r="G115" t="inlineStr">
        <is>
          <t>BG006, BG009, BS001</t>
        </is>
      </c>
      <c r="H115" t="inlineStr">
        <is>
          <t>4 Juli 2008</t>
        </is>
      </c>
      <c r="I115" s="2" t="n">
        <v>46285</v>
      </c>
      <c r="J115" t="inlineStr">
        <is>
          <t>Disetujui</t>
        </is>
      </c>
      <c r="K115" t="n">
        <v>60</v>
      </c>
      <c r="L115" t="inlineStr">
        <is>
          <t>20 September 2026</t>
        </is>
      </c>
      <c r="M115" t="inlineStr">
        <is>
          <t>Konstruksi Bangunan Sipil Jalan, Konstruksi Gedung Lainnya, Konstruksi Gedung Pendidikan</t>
        </is>
      </c>
      <c r="N115" t="inlineStr">
        <is>
          <t>K</t>
        </is>
      </c>
      <c r="O115" t="inlineStr">
        <is>
          <t>20230913</t>
        </is>
      </c>
      <c r="P115" t="inlineStr">
        <is>
          <t>Jawa Barat</t>
        </is>
      </c>
      <c r="Q115" t="inlineStr"/>
    </row>
    <row r="116">
      <c r="A116" t="inlineStr">
        <is>
          <t>HANDAYANI</t>
        </is>
      </c>
      <c r="B116" t="inlineStr">
        <is>
          <t>Kota Banjarbaru</t>
        </is>
      </c>
      <c r="C116" t="inlineStr">
        <is>
          <t>085248814369</t>
        </is>
      </c>
      <c r="D116" t="inlineStr">
        <is>
          <t>cv.handayanibjb@yahoo.com</t>
        </is>
      </c>
      <c r="E116" t="inlineStr">
        <is>
          <t>https://lpjk.pu.go.id/search-badan-usaha-detail/aEp5K3htWEs5OEdlQXkySWVlT0dCQT09</t>
        </is>
      </c>
      <c r="F116" t="n">
        <v>2</v>
      </c>
      <c r="G116" t="inlineStr">
        <is>
          <t>BS001</t>
        </is>
      </c>
      <c r="H116" t="inlineStr">
        <is>
          <t>11 Desember 1981</t>
        </is>
      </c>
      <c r="I116" s="2" t="n">
        <v>46285</v>
      </c>
      <c r="J116" t="inlineStr">
        <is>
          <t>Disetujui</t>
        </is>
      </c>
      <c r="K116" t="n">
        <v>60</v>
      </c>
      <c r="L116" t="inlineStr">
        <is>
          <t>20 September 2026</t>
        </is>
      </c>
      <c r="M116" t="inlineStr">
        <is>
          <t>Konstruksi Bangunan Sipil Jalan</t>
        </is>
      </c>
      <c r="N116" t="inlineStr">
        <is>
          <t>K</t>
        </is>
      </c>
      <c r="O116" t="inlineStr">
        <is>
          <t>20230914</t>
        </is>
      </c>
      <c r="P116" t="inlineStr">
        <is>
          <t>Kalimantan Selatan</t>
        </is>
      </c>
      <c r="Q116" t="inlineStr"/>
    </row>
    <row r="117">
      <c r="A117" t="inlineStr">
        <is>
          <t>HIKARI TEKNOLOGI INDONESIA</t>
        </is>
      </c>
      <c r="B117" t="inlineStr">
        <is>
          <t>Kab. Gresik</t>
        </is>
      </c>
      <c r="C117" t="inlineStr">
        <is>
          <t>081131141150</t>
        </is>
      </c>
      <c r="D117" t="inlineStr">
        <is>
          <t>hrd@pt-hikari.com</t>
        </is>
      </c>
      <c r="E117" t="inlineStr">
        <is>
          <t>https://lpjk.pu.go.id/search-badan-usaha-detail/WFpENFRXZFphaWJoTWtOa2ZRUm5VQT09</t>
        </is>
      </c>
      <c r="F117" t="n">
        <v>1</v>
      </c>
      <c r="G117" t="inlineStr">
        <is>
          <t>BG003</t>
        </is>
      </c>
      <c r="H117" t="inlineStr">
        <is>
          <t>6 November 2014</t>
        </is>
      </c>
      <c r="I117" s="2" t="n">
        <v>46285</v>
      </c>
      <c r="J117" t="inlineStr">
        <is>
          <t>Disetujui</t>
        </is>
      </c>
      <c r="K117" t="n">
        <v>60</v>
      </c>
      <c r="L117" t="inlineStr">
        <is>
          <t>20 September 2026</t>
        </is>
      </c>
      <c r="M117" t="inlineStr">
        <is>
          <t>Konstruksi Gedung Industri</t>
        </is>
      </c>
      <c r="N117" t="inlineStr">
        <is>
          <t>M</t>
        </is>
      </c>
      <c r="O117" t="inlineStr">
        <is>
          <t>20230918</t>
        </is>
      </c>
      <c r="P117" t="inlineStr">
        <is>
          <t>Jawa Timur</t>
        </is>
      </c>
      <c r="Q117" t="inlineStr"/>
    </row>
    <row r="118">
      <c r="A118" t="inlineStr">
        <is>
          <t>IKHLAS AMAL BERSAMA</t>
        </is>
      </c>
      <c r="B118" t="inlineStr">
        <is>
          <t>Kab. Cianjur</t>
        </is>
      </c>
      <c r="C118" t="inlineStr">
        <is>
          <t>085318859695</t>
        </is>
      </c>
      <c r="D118" t="inlineStr">
        <is>
          <t>ikhlasamalbersama.cjr@gmail.com</t>
        </is>
      </c>
      <c r="E118" t="inlineStr">
        <is>
          <t>https://lpjk.pu.go.id/search-badan-usaha-detail/emk1VnBBVlEraExvUGxIc1B4WUJEdz09</t>
        </is>
      </c>
      <c r="F118" t="n">
        <v>1</v>
      </c>
      <c r="G118" t="inlineStr">
        <is>
          <t>PL005</t>
        </is>
      </c>
      <c r="H118" t="inlineStr">
        <is>
          <t>19 September 1995</t>
        </is>
      </c>
      <c r="I118" s="2" t="n">
        <v>46285</v>
      </c>
      <c r="J118" t="inlineStr">
        <is>
          <t>Pembekuan</t>
        </is>
      </c>
      <c r="K118" t="n">
        <v>60</v>
      </c>
      <c r="L118" t="inlineStr">
        <is>
          <t>20 September 2026</t>
        </is>
      </c>
      <c r="M118" t="inlineStr">
        <is>
          <t>Pembuatan/Pengeboran Sumur Air Tanah</t>
        </is>
      </c>
      <c r="N118" t="inlineStr">
        <is>
          <t>Spesialis</t>
        </is>
      </c>
      <c r="O118" t="inlineStr">
        <is>
          <t>20230920</t>
        </is>
      </c>
      <c r="P118" t="inlineStr">
        <is>
          <t>Jawa Barat</t>
        </is>
      </c>
      <c r="Q118" t="inlineStr"/>
    </row>
    <row r="119">
      <c r="A119" t="inlineStr">
        <is>
          <t>INDO BANGUN GROUP</t>
        </is>
      </c>
      <c r="B119" t="inlineStr">
        <is>
          <t>Kota Padang</t>
        </is>
      </c>
      <c r="C119" t="inlineStr">
        <is>
          <t>0</t>
        </is>
      </c>
      <c r="D119" t="inlineStr">
        <is>
          <t>indobangun.pdg2@gmail.com</t>
        </is>
      </c>
      <c r="E119" t="inlineStr">
        <is>
          <t>https://lpjk.pu.go.id/search-badan-usaha-detail/WVZ4bW9qN3V6NlFEWlYvdDB5SDBnZz09</t>
        </is>
      </c>
      <c r="F119" t="n">
        <v>1</v>
      </c>
      <c r="G119" t="inlineStr">
        <is>
          <t>BS004</t>
        </is>
      </c>
      <c r="H119" t="inlineStr">
        <is>
          <t>22 Oktober 2009</t>
        </is>
      </c>
      <c r="I119" s="2" t="n">
        <v>46285</v>
      </c>
      <c r="J119" t="inlineStr">
        <is>
          <t>Pencabutan</t>
        </is>
      </c>
      <c r="K119" t="n">
        <v>60</v>
      </c>
      <c r="L119" t="inlineStr">
        <is>
          <t>20 September 2026</t>
        </is>
      </c>
      <c r="M119" t="inlineStr">
        <is>
          <t>Konstruksi Jaringan Irigasi dan Drainase</t>
        </is>
      </c>
      <c r="N119" t="inlineStr">
        <is>
          <t>B</t>
        </is>
      </c>
      <c r="O119" t="inlineStr">
        <is>
          <t>20230904</t>
        </is>
      </c>
      <c r="P119" t="inlineStr">
        <is>
          <t>Sumatera Barat</t>
        </is>
      </c>
      <c r="Q119" t="inlineStr"/>
    </row>
    <row r="120">
      <c r="A120" t="inlineStr">
        <is>
          <t>INDO PROPERTY PERMATA</t>
        </is>
      </c>
      <c r="B120" t="inlineStr">
        <is>
          <t>Kab. Polewali Mandar</t>
        </is>
      </c>
      <c r="C120" t="inlineStr">
        <is>
          <t>085242498350</t>
        </is>
      </c>
      <c r="D120" t="inlineStr">
        <is>
          <t>indopropertypermata@gmail.com</t>
        </is>
      </c>
      <c r="E120" t="inlineStr">
        <is>
          <t>https://lpjk.pu.go.id/search-badan-usaha-detail/Q0RuM0wwTktvb1Jyc3ZqdVoxSm00dz09</t>
        </is>
      </c>
      <c r="F120" t="n">
        <v>1</v>
      </c>
      <c r="G120" t="inlineStr">
        <is>
          <t>BG001</t>
        </is>
      </c>
      <c r="H120" t="inlineStr">
        <is>
          <t>1 September 2023</t>
        </is>
      </c>
      <c r="I120" s="2" t="n">
        <v>46285</v>
      </c>
      <c r="J120" t="inlineStr">
        <is>
          <t>Pencabutan</t>
        </is>
      </c>
      <c r="K120" t="n">
        <v>60</v>
      </c>
      <c r="L120" t="inlineStr">
        <is>
          <t>20 September 2026</t>
        </is>
      </c>
      <c r="M120" t="inlineStr">
        <is>
          <t>Konstruksi Gedung Hunian</t>
        </is>
      </c>
      <c r="N120" t="inlineStr">
        <is>
          <t>K</t>
        </is>
      </c>
      <c r="O120" t="inlineStr">
        <is>
          <t>20230905</t>
        </is>
      </c>
      <c r="P120" t="inlineStr">
        <is>
          <t>Sulawesi Barat</t>
        </is>
      </c>
      <c r="Q120" t="inlineStr"/>
    </row>
    <row r="121">
      <c r="A121" t="inlineStr">
        <is>
          <t>INDO STRONG KONSTRUKSI</t>
        </is>
      </c>
      <c r="B121" t="inlineStr">
        <is>
          <t>Kota Bau Bau</t>
        </is>
      </c>
      <c r="C121" t="inlineStr">
        <is>
          <t>082239969316</t>
        </is>
      </c>
      <c r="D121" t="inlineStr">
        <is>
          <t>hipotenusa.contraktor@gmail.com</t>
        </is>
      </c>
      <c r="E121" t="inlineStr">
        <is>
          <t>https://lpjk.pu.go.id/search-badan-usaha-detail/Y05veWUycDNLNGVCMVA5UFJrYmJUdz09</t>
        </is>
      </c>
      <c r="F121" t="n">
        <v>1</v>
      </c>
      <c r="G121" t="inlineStr">
        <is>
          <t>BS001</t>
        </is>
      </c>
      <c r="H121" t="inlineStr">
        <is>
          <t>16 Januari 2015</t>
        </is>
      </c>
      <c r="I121" s="2" t="n">
        <v>46285</v>
      </c>
      <c r="J121" t="inlineStr">
        <is>
          <t>Disetujui</t>
        </is>
      </c>
      <c r="K121" t="n">
        <v>60</v>
      </c>
      <c r="L121" t="inlineStr">
        <is>
          <t>20 September 2026</t>
        </is>
      </c>
      <c r="M121" t="inlineStr">
        <is>
          <t>Konstruksi Bangunan Sipil Jalan</t>
        </is>
      </c>
      <c r="N121" t="inlineStr">
        <is>
          <t>K</t>
        </is>
      </c>
      <c r="O121" t="inlineStr">
        <is>
          <t>20230915</t>
        </is>
      </c>
      <c r="P121" t="inlineStr">
        <is>
          <t>Sulawesi Tenggara</t>
        </is>
      </c>
      <c r="Q121" t="inlineStr"/>
    </row>
    <row r="122">
      <c r="A122" t="inlineStr">
        <is>
          <t>INDONESIA SEJAHTERA KONSULTAN</t>
        </is>
      </c>
      <c r="B122" t="inlineStr">
        <is>
          <t>Kab. Tulungagung</t>
        </is>
      </c>
      <c r="C122" t="inlineStr">
        <is>
          <t>081335878777</t>
        </is>
      </c>
      <c r="D122" t="inlineStr">
        <is>
          <t>rendydestryacaya@yahoo.co.id</t>
        </is>
      </c>
      <c r="E122" t="inlineStr">
        <is>
          <t>https://lpjk.pu.go.id/search-badan-usaha-detail/Q1Q0VXNJcUhwQ2w3OFQ4WUZoRnBiQT09</t>
        </is>
      </c>
      <c r="F122" t="n">
        <v>4</v>
      </c>
      <c r="G122" t="inlineStr">
        <is>
          <t>RK001, RK003</t>
        </is>
      </c>
      <c r="H122" t="inlineStr">
        <is>
          <t>15 Februari 2016</t>
        </is>
      </c>
      <c r="I122" s="2" t="n">
        <v>46285</v>
      </c>
      <c r="J122" t="inlineStr">
        <is>
          <t>Disetujui</t>
        </is>
      </c>
      <c r="K122" t="n">
        <v>60</v>
      </c>
      <c r="L122" t="inlineStr">
        <is>
          <t>20 September 2026</t>
        </is>
      </c>
      <c r="M122" t="inlineStr">
        <is>
          <t>Jasa Rekayasa Konstruksi Bangunan Gedung Hunian dan Non Hunian, Jasa Rekayasa Pekerjaan Teknik Sipil Transportasi</t>
        </is>
      </c>
      <c r="N122" t="inlineStr">
        <is>
          <t>K</t>
        </is>
      </c>
      <c r="O122" t="inlineStr">
        <is>
          <t>20230912</t>
        </is>
      </c>
      <c r="P122" t="inlineStr">
        <is>
          <t>Jawa Timur</t>
        </is>
      </c>
      <c r="Q122" t="inlineStr"/>
    </row>
    <row r="123">
      <c r="A123" t="inlineStr">
        <is>
          <t>ISTANA IMADAH MORA</t>
        </is>
      </c>
      <c r="B123" t="inlineStr">
        <is>
          <t>Kota Adm. Jakarta Utara</t>
        </is>
      </c>
      <c r="C123" t="inlineStr">
        <is>
          <t>02143933693</t>
        </is>
      </c>
      <c r="D123" t="inlineStr">
        <is>
          <t>istana.imadah@yahoo.com</t>
        </is>
      </c>
      <c r="E123" t="inlineStr">
        <is>
          <t>https://lpjk.pu.go.id/search-badan-usaha-detail/K0VEQjZFazJCdkIxVURwRnAzc0N4dz09</t>
        </is>
      </c>
      <c r="F123" t="n">
        <v>1</v>
      </c>
      <c r="G123" t="inlineStr">
        <is>
          <t>BG006</t>
        </is>
      </c>
      <c r="H123" t="inlineStr">
        <is>
          <t>21 Februari 2001</t>
        </is>
      </c>
      <c r="I123" s="2" t="n">
        <v>46285</v>
      </c>
      <c r="J123" t="inlineStr">
        <is>
          <t>Pencabutan</t>
        </is>
      </c>
      <c r="K123" t="n">
        <v>60</v>
      </c>
      <c r="L123" t="inlineStr">
        <is>
          <t>20 September 2026</t>
        </is>
      </c>
      <c r="M123" t="inlineStr">
        <is>
          <t>Konstruksi Gedung Pendidikan</t>
        </is>
      </c>
      <c r="N123" t="inlineStr">
        <is>
          <t>K</t>
        </is>
      </c>
      <c r="O123" t="inlineStr">
        <is>
          <t>20230914</t>
        </is>
      </c>
      <c r="P123" t="inlineStr">
        <is>
          <t>DKI Jakarta</t>
        </is>
      </c>
      <c r="Q123" t="inlineStr"/>
    </row>
    <row r="124">
      <c r="A124" t="inlineStr">
        <is>
          <t>JAYA ANUGERAH</t>
        </is>
      </c>
      <c r="B124" t="inlineStr">
        <is>
          <t>Kab. Tuban</t>
        </is>
      </c>
      <c r="C124" t="inlineStr">
        <is>
          <t>081330588325</t>
        </is>
      </c>
      <c r="D124" t="inlineStr">
        <is>
          <t>janugrah64@yahoo.com</t>
        </is>
      </c>
      <c r="E124" t="inlineStr">
        <is>
          <t>https://lpjk.pu.go.id/search-badan-usaha-detail/Ri9DWngyUGlvY3FuQXFsT3BpSmE2dz09</t>
        </is>
      </c>
      <c r="F124" t="n">
        <v>1</v>
      </c>
      <c r="G124" t="inlineStr">
        <is>
          <t>BG006</t>
        </is>
      </c>
      <c r="H124" t="inlineStr">
        <is>
          <t>3 Maret 2004</t>
        </is>
      </c>
      <c r="I124" s="2" t="n">
        <v>46285</v>
      </c>
      <c r="J124" t="inlineStr">
        <is>
          <t>Disetujui</t>
        </is>
      </c>
      <c r="K124" t="n">
        <v>60</v>
      </c>
      <c r="L124" t="inlineStr">
        <is>
          <t>20 September 2026</t>
        </is>
      </c>
      <c r="M124" t="inlineStr">
        <is>
          <t>Konstruksi Gedung Pendidikan</t>
        </is>
      </c>
      <c r="N124" t="inlineStr">
        <is>
          <t>K</t>
        </is>
      </c>
      <c r="O124" t="inlineStr">
        <is>
          <t>20230919</t>
        </is>
      </c>
      <c r="P124" t="inlineStr">
        <is>
          <t>Jawa Timur</t>
        </is>
      </c>
      <c r="Q124" t="inlineStr"/>
    </row>
    <row r="125">
      <c r="A125" t="inlineStr">
        <is>
          <t>JAYA BERSAUDARA</t>
        </is>
      </c>
      <c r="B125" t="inlineStr">
        <is>
          <t>Kab. Banjar</t>
        </is>
      </c>
      <c r="C125" t="inlineStr">
        <is>
          <t>082149054747</t>
        </is>
      </c>
      <c r="D125" t="inlineStr">
        <is>
          <t>jayabersaudara269@gmail.com</t>
        </is>
      </c>
      <c r="E125" t="inlineStr">
        <is>
          <t>https://lpjk.pu.go.id/search-badan-usaha-detail/eGMxdks3VUpiYXdWREI0UXdVRFlzUT09</t>
        </is>
      </c>
      <c r="F125" t="n">
        <v>1</v>
      </c>
      <c r="G125" t="inlineStr">
        <is>
          <t>BS001</t>
        </is>
      </c>
      <c r="H125" t="inlineStr">
        <is>
          <t>19 November 2009</t>
        </is>
      </c>
      <c r="I125" s="2" t="n">
        <v>46285</v>
      </c>
      <c r="J125" t="inlineStr">
        <is>
          <t>Disetujui</t>
        </is>
      </c>
      <c r="K125" t="n">
        <v>60</v>
      </c>
      <c r="L125" t="inlineStr">
        <is>
          <t>20 September 2026</t>
        </is>
      </c>
      <c r="M125" t="inlineStr">
        <is>
          <t>Konstruksi Bangunan Sipil Jalan</t>
        </is>
      </c>
      <c r="N125" t="inlineStr">
        <is>
          <t>K</t>
        </is>
      </c>
      <c r="O125" t="inlineStr">
        <is>
          <t>20230920</t>
        </is>
      </c>
      <c r="P125" t="inlineStr">
        <is>
          <t>Kalimantan Selatan</t>
        </is>
      </c>
      <c r="Q125" t="inlineStr"/>
    </row>
    <row r="126">
      <c r="A126" t="inlineStr">
        <is>
          <t>JAYA PRATAMA</t>
        </is>
      </c>
      <c r="B126" t="inlineStr">
        <is>
          <t>Kab. Purwakarta</t>
        </is>
      </c>
      <c r="C126" t="inlineStr">
        <is>
          <t>081912553435</t>
        </is>
      </c>
      <c r="D126" t="inlineStr">
        <is>
          <t>jayapratama705@gmail.com</t>
        </is>
      </c>
      <c r="E126" t="inlineStr">
        <is>
          <t>https://lpjk.pu.go.id/search-badan-usaha-detail/bGVJYjE2ajZETEE2MmlRU2s1eFFNdz09</t>
        </is>
      </c>
      <c r="F126" t="n">
        <v>1</v>
      </c>
      <c r="G126" t="inlineStr">
        <is>
          <t>BG002</t>
        </is>
      </c>
      <c r="H126" t="inlineStr">
        <is>
          <t>8 November 2010</t>
        </is>
      </c>
      <c r="I126" s="2" t="n">
        <v>46285</v>
      </c>
      <c r="J126" t="inlineStr">
        <is>
          <t>Disetujui</t>
        </is>
      </c>
      <c r="K126" t="n">
        <v>60</v>
      </c>
      <c r="L126" t="inlineStr">
        <is>
          <t>20 September 2026</t>
        </is>
      </c>
      <c r="M126" t="inlineStr">
        <is>
          <t>Konstruksi Gedung Perkantoran</t>
        </is>
      </c>
      <c r="N126" t="inlineStr">
        <is>
          <t>K</t>
        </is>
      </c>
      <c r="O126" t="inlineStr">
        <is>
          <t>20230913</t>
        </is>
      </c>
      <c r="P126" t="inlineStr">
        <is>
          <t>Jawa Barat</t>
        </is>
      </c>
      <c r="Q126" t="inlineStr"/>
    </row>
    <row r="127">
      <c r="A127" t="inlineStr">
        <is>
          <t>JAYA SEKAWAN ABADI</t>
        </is>
      </c>
      <c r="B127" t="inlineStr">
        <is>
          <t>Kab. Batu Bara</t>
        </is>
      </c>
      <c r="C127" t="inlineStr">
        <is>
          <t>082304278009</t>
        </is>
      </c>
      <c r="D127" t="inlineStr">
        <is>
          <t>jayasekawanabadi@gmail.com</t>
        </is>
      </c>
      <c r="E127" t="inlineStr">
        <is>
          <t>https://lpjk.pu.go.id/search-badan-usaha-detail/dDNQY3d4QklMb1U4VDhFZzlnaCtlQT09</t>
        </is>
      </c>
      <c r="F127" t="n">
        <v>1</v>
      </c>
      <c r="G127" t="inlineStr">
        <is>
          <t>BS004</t>
        </is>
      </c>
      <c r="H127" t="inlineStr">
        <is>
          <t>19 Februari 2021</t>
        </is>
      </c>
      <c r="I127" s="2" t="n">
        <v>46285</v>
      </c>
      <c r="J127" t="inlineStr">
        <is>
          <t>Disetujui</t>
        </is>
      </c>
      <c r="K127" t="n">
        <v>60</v>
      </c>
      <c r="L127" t="inlineStr">
        <is>
          <t>20 September 2026</t>
        </is>
      </c>
      <c r="M127" t="inlineStr">
        <is>
          <t>Konstruksi Jaringan Irigasi dan Drainase</t>
        </is>
      </c>
      <c r="N127" t="inlineStr">
        <is>
          <t>K</t>
        </is>
      </c>
      <c r="O127" t="inlineStr">
        <is>
          <t>20230920</t>
        </is>
      </c>
      <c r="P127" t="inlineStr">
        <is>
          <t>Sumatera Utara</t>
        </is>
      </c>
      <c r="Q127" t="inlineStr"/>
    </row>
    <row r="128">
      <c r="A128" t="inlineStr">
        <is>
          <t>JEJAK PAPUA BERSINAR</t>
        </is>
      </c>
      <c r="B128" t="inlineStr">
        <is>
          <t>Kab. Nabire</t>
        </is>
      </c>
      <c r="C128" t="inlineStr">
        <is>
          <t>085244142514</t>
        </is>
      </c>
      <c r="D128" t="inlineStr">
        <is>
          <t>jejakpapuabersinar01@gmail.com</t>
        </is>
      </c>
      <c r="E128" t="inlineStr">
        <is>
          <t>https://lpjk.pu.go.id/search-badan-usaha-detail/bTl5SWQvSkk5NldGL0VJTytJVCtCZz09</t>
        </is>
      </c>
      <c r="F128" t="n">
        <v>2</v>
      </c>
      <c r="G128" t="inlineStr">
        <is>
          <t>BG001, BG005</t>
        </is>
      </c>
      <c r="H128" t="inlineStr">
        <is>
          <t>13 Maret 2020</t>
        </is>
      </c>
      <c r="I128" s="2" t="n">
        <v>46285</v>
      </c>
      <c r="J128" t="inlineStr">
        <is>
          <t>Disetujui</t>
        </is>
      </c>
      <c r="K128" t="n">
        <v>60</v>
      </c>
      <c r="L128" t="inlineStr">
        <is>
          <t>20 September 2026</t>
        </is>
      </c>
      <c r="M128" t="inlineStr">
        <is>
          <t>Konstruksi Gedung Hunian, Konstruksi Gedung Kesehatan</t>
        </is>
      </c>
      <c r="N128" t="inlineStr">
        <is>
          <t>K</t>
        </is>
      </c>
      <c r="O128" t="inlineStr">
        <is>
          <t>20230920</t>
        </is>
      </c>
      <c r="P128" t="inlineStr">
        <is>
          <t>Papua</t>
        </is>
      </c>
      <c r="Q128" t="inlineStr"/>
    </row>
    <row r="129">
      <c r="A129" t="inlineStr">
        <is>
          <t>KARYA AGUNG</t>
        </is>
      </c>
      <c r="B129" t="inlineStr">
        <is>
          <t>Kab. Trenggalek</t>
        </is>
      </c>
      <c r="C129" t="inlineStr">
        <is>
          <t>081335708051</t>
        </is>
      </c>
      <c r="D129" t="inlineStr">
        <is>
          <t>karyaagung545@gmail.com</t>
        </is>
      </c>
      <c r="E129" t="inlineStr">
        <is>
          <t>https://lpjk.pu.go.id/search-badan-usaha-detail/TFJIRnpTbFNqRnU0WVc3TXZkUEplQT09</t>
        </is>
      </c>
      <c r="F129" t="n">
        <v>2</v>
      </c>
      <c r="G129" t="inlineStr">
        <is>
          <t>BG006, BS001</t>
        </is>
      </c>
      <c r="H129" t="inlineStr">
        <is>
          <t>10 Januari 2005</t>
        </is>
      </c>
      <c r="I129" s="2" t="n">
        <v>46285</v>
      </c>
      <c r="J129" t="inlineStr">
        <is>
          <t>Disetujui</t>
        </is>
      </c>
      <c r="K129" t="n">
        <v>60</v>
      </c>
      <c r="L129" t="inlineStr">
        <is>
          <t>20 September 2026</t>
        </is>
      </c>
      <c r="M129" t="inlineStr">
        <is>
          <t>Konstruksi Bangunan Sipil Jalan, Konstruksi Gedung Pendidikan</t>
        </is>
      </c>
      <c r="N129" t="inlineStr">
        <is>
          <t>K</t>
        </is>
      </c>
      <c r="O129" t="inlineStr">
        <is>
          <t>20230912</t>
        </is>
      </c>
      <c r="P129" t="inlineStr">
        <is>
          <t>Jawa Timur</t>
        </is>
      </c>
      <c r="Q129" t="inlineStr"/>
    </row>
    <row r="130">
      <c r="A130" t="inlineStr">
        <is>
          <t>KARYA GADING</t>
        </is>
      </c>
      <c r="B130" t="inlineStr">
        <is>
          <t>Kab. Hulu Sungai Utara</t>
        </is>
      </c>
      <c r="C130" t="inlineStr">
        <is>
          <t>085215401255</t>
        </is>
      </c>
      <c r="D130" t="inlineStr">
        <is>
          <t>Karyagading.Amt@Gmail.com</t>
        </is>
      </c>
      <c r="E130" t="inlineStr">
        <is>
          <t>https://lpjk.pu.go.id/search-badan-usaha-detail/eFZEc082cWJNTzk3eGdBckZML0lBZz09</t>
        </is>
      </c>
      <c r="F130" t="n">
        <v>1</v>
      </c>
      <c r="G130" t="inlineStr">
        <is>
          <t>BG009</t>
        </is>
      </c>
      <c r="H130" t="inlineStr">
        <is>
          <t>6 Januari 2022</t>
        </is>
      </c>
      <c r="I130" s="2" t="n">
        <v>46285</v>
      </c>
      <c r="J130" t="inlineStr">
        <is>
          <t>Disetujui</t>
        </is>
      </c>
      <c r="K130" t="n">
        <v>60</v>
      </c>
      <c r="L130" t="inlineStr">
        <is>
          <t>20 September 2026</t>
        </is>
      </c>
      <c r="M130" t="inlineStr">
        <is>
          <t>Konstruksi Gedung Lainnya</t>
        </is>
      </c>
      <c r="N130" t="inlineStr">
        <is>
          <t>K</t>
        </is>
      </c>
      <c r="O130" t="inlineStr">
        <is>
          <t>20230915</t>
        </is>
      </c>
      <c r="P130" t="inlineStr">
        <is>
          <t>Kalimantan Selatan</t>
        </is>
      </c>
      <c r="Q130" t="inlineStr"/>
    </row>
    <row r="131">
      <c r="A131" t="inlineStr">
        <is>
          <t>KARYA MANDIRI</t>
        </is>
      </c>
      <c r="B131" t="inlineStr">
        <is>
          <t>Kab. Konawe</t>
        </is>
      </c>
      <c r="C131" t="inlineStr">
        <is>
          <t>0823 9530 0723</t>
        </is>
      </c>
      <c r="D131" t="inlineStr">
        <is>
          <t>karyamandirikonawe@gmail.com</t>
        </is>
      </c>
      <c r="E131" t="inlineStr">
        <is>
          <t>https://lpjk.pu.go.id/search-badan-usaha-detail/cERpZ3ZMOE1DWkZidFhFRE9YNlVZdz09</t>
        </is>
      </c>
      <c r="F131" t="n">
        <v>3</v>
      </c>
      <c r="G131" t="inlineStr">
        <is>
          <t>BG005, BG006, BG009</t>
        </is>
      </c>
      <c r="H131" t="inlineStr">
        <is>
          <t>1 Maret 2010</t>
        </is>
      </c>
      <c r="I131" s="2" t="n">
        <v>46285</v>
      </c>
      <c r="J131" t="inlineStr">
        <is>
          <t>Disetujui</t>
        </is>
      </c>
      <c r="K131" t="n">
        <v>60</v>
      </c>
      <c r="L131" t="inlineStr">
        <is>
          <t>20 September 2026</t>
        </is>
      </c>
      <c r="M131" t="inlineStr">
        <is>
          <t>Konstruksi Gedung Kesehatan, Konstruksi Gedung Lainnya, Konstruksi Gedung Pendidikan</t>
        </is>
      </c>
      <c r="N131" t="inlineStr">
        <is>
          <t>K</t>
        </is>
      </c>
      <c r="O131" t="inlineStr">
        <is>
          <t>20230805, 20230807</t>
        </is>
      </c>
      <c r="P131" t="inlineStr">
        <is>
          <t>Sulawesi Tenggara</t>
        </is>
      </c>
      <c r="Q131" t="inlineStr"/>
    </row>
    <row r="132">
      <c r="A132" t="inlineStr">
        <is>
          <t>KARYA PUTRA ALRAFFI</t>
        </is>
      </c>
      <c r="B132" t="inlineStr">
        <is>
          <t>Kab. Banyuasin</t>
        </is>
      </c>
      <c r="C132" t="inlineStr">
        <is>
          <t>081373456914</t>
        </is>
      </c>
      <c r="D132" t="inlineStr">
        <is>
          <t>cvkaryaputraalraffi@gmail.com</t>
        </is>
      </c>
      <c r="E132" t="inlineStr">
        <is>
          <t>https://lpjk.pu.go.id/search-badan-usaha-detail/ZkltelE3b3RLcTZKT1hYU2s2YmlDZz09</t>
        </is>
      </c>
      <c r="F132" t="n">
        <v>2</v>
      </c>
      <c r="G132" t="inlineStr">
        <is>
          <t>BG002, BG006</t>
        </is>
      </c>
      <c r="H132" t="inlineStr">
        <is>
          <t>13 Oktober 2022</t>
        </is>
      </c>
      <c r="I132" s="2" t="n">
        <v>46285</v>
      </c>
      <c r="J132" t="inlineStr">
        <is>
          <t>Disetujui</t>
        </is>
      </c>
      <c r="K132" t="n">
        <v>60</v>
      </c>
      <c r="L132" t="inlineStr">
        <is>
          <t>20 September 2026</t>
        </is>
      </c>
      <c r="M132" t="inlineStr">
        <is>
          <t>Konstruksi Gedung Pendidikan, Konstruksi Gedung Perkantoran</t>
        </is>
      </c>
      <c r="N132" t="inlineStr">
        <is>
          <t>K</t>
        </is>
      </c>
      <c r="O132" t="inlineStr">
        <is>
          <t>20230920</t>
        </is>
      </c>
      <c r="P132" t="inlineStr">
        <is>
          <t>Sumatera Selatan</t>
        </is>
      </c>
      <c r="Q132" t="inlineStr"/>
    </row>
    <row r="133">
      <c r="A133" t="inlineStr">
        <is>
          <t>KARYA PUTRA PANDAWA</t>
        </is>
      </c>
      <c r="B133" t="inlineStr">
        <is>
          <t>Kab. Barito Kuala</t>
        </is>
      </c>
      <c r="C133" t="inlineStr">
        <is>
          <t>085386667303</t>
        </is>
      </c>
      <c r="D133" t="inlineStr">
        <is>
          <t>cv.karyaputrapandawa@gmail.com</t>
        </is>
      </c>
      <c r="E133" t="inlineStr">
        <is>
          <t>https://lpjk.pu.go.id/search-badan-usaha-detail/d3RyNmk3d29TOGs0aTVMckZyanBlUT09</t>
        </is>
      </c>
      <c r="F133" t="n">
        <v>3</v>
      </c>
      <c r="G133" t="inlineStr">
        <is>
          <t>BG005, BG006, BG009</t>
        </is>
      </c>
      <c r="H133" t="inlineStr">
        <is>
          <t>4 Maret 2013</t>
        </is>
      </c>
      <c r="I133" s="2" t="n">
        <v>46285</v>
      </c>
      <c r="J133" t="inlineStr">
        <is>
          <t>Disetujui</t>
        </is>
      </c>
      <c r="K133" t="n">
        <v>60</v>
      </c>
      <c r="L133" t="inlineStr">
        <is>
          <t>20 September 2026</t>
        </is>
      </c>
      <c r="M133" t="inlineStr">
        <is>
          <t>Konstruksi Gedung Kesehatan, Konstruksi Gedung Lainnya, Konstruksi Gedung Pendidikan</t>
        </is>
      </c>
      <c r="N133" t="inlineStr">
        <is>
          <t>K</t>
        </is>
      </c>
      <c r="O133" t="inlineStr">
        <is>
          <t>20230920</t>
        </is>
      </c>
      <c r="P133" t="inlineStr">
        <is>
          <t>Kalimantan Selatan</t>
        </is>
      </c>
      <c r="Q133" t="inlineStr"/>
    </row>
    <row r="134">
      <c r="A134" t="inlineStr">
        <is>
          <t>KARYA TIGA PUTERA</t>
        </is>
      </c>
      <c r="B134" t="inlineStr">
        <is>
          <t>Kota Cimahi</t>
        </is>
      </c>
      <c r="C134" t="inlineStr">
        <is>
          <t>081282091335</t>
        </is>
      </c>
      <c r="D134" t="inlineStr">
        <is>
          <t>karyatigaputera@gmail.com</t>
        </is>
      </c>
      <c r="E134" t="inlineStr">
        <is>
          <t>https://lpjk.pu.go.id/search-badan-usaha-detail/TG5KV1RlZkFWelJ2N1JycUozeGlvZz09</t>
        </is>
      </c>
      <c r="F134" t="n">
        <v>1</v>
      </c>
      <c r="G134" t="inlineStr">
        <is>
          <t>BG006</t>
        </is>
      </c>
      <c r="H134" t="inlineStr">
        <is>
          <t>22 Juni 2012</t>
        </is>
      </c>
      <c r="I134" s="2" t="n">
        <v>46285</v>
      </c>
      <c r="J134" t="inlineStr">
        <is>
          <t>Disetujui</t>
        </is>
      </c>
      <c r="K134" t="n">
        <v>60</v>
      </c>
      <c r="L134" t="inlineStr">
        <is>
          <t>20 September 2026</t>
        </is>
      </c>
      <c r="M134" t="inlineStr">
        <is>
          <t>Konstruksi Gedung Pendidikan</t>
        </is>
      </c>
      <c r="N134" t="inlineStr">
        <is>
          <t>K</t>
        </is>
      </c>
      <c r="O134" t="inlineStr">
        <is>
          <t>20230908</t>
        </is>
      </c>
      <c r="P134" t="inlineStr">
        <is>
          <t>Jawa Barat</t>
        </is>
      </c>
      <c r="Q134" t="inlineStr"/>
    </row>
    <row r="135">
      <c r="A135" t="inlineStr">
        <is>
          <t>KARYA UTAMA BANGKIT</t>
        </is>
      </c>
      <c r="B135" t="inlineStr">
        <is>
          <t>Kab. Boyolali</t>
        </is>
      </c>
      <c r="C135" t="inlineStr">
        <is>
          <t>085742559173</t>
        </is>
      </c>
      <c r="D135" t="inlineStr">
        <is>
          <t>karyautamaboyolali@yahoo.co.id</t>
        </is>
      </c>
      <c r="E135" t="inlineStr">
        <is>
          <t>https://lpjk.pu.go.id/search-badan-usaha-detail/ZzJ4UGxwV0JCNTlBb3hlSUpXU29zdz09</t>
        </is>
      </c>
      <c r="F135" t="n">
        <v>1</v>
      </c>
      <c r="G135" t="inlineStr">
        <is>
          <t>BG005</t>
        </is>
      </c>
      <c r="H135" t="inlineStr">
        <is>
          <t>22 Juni 2012</t>
        </is>
      </c>
      <c r="I135" s="2" t="n">
        <v>46285</v>
      </c>
      <c r="J135" t="inlineStr">
        <is>
          <t>Disetujui</t>
        </is>
      </c>
      <c r="K135" t="n">
        <v>60</v>
      </c>
      <c r="L135" t="inlineStr">
        <is>
          <t>20 September 2026</t>
        </is>
      </c>
      <c r="M135" t="inlineStr">
        <is>
          <t>Konstruksi Gedung Kesehatan</t>
        </is>
      </c>
      <c r="N135" t="inlineStr">
        <is>
          <t>K</t>
        </is>
      </c>
      <c r="O135" t="inlineStr">
        <is>
          <t>20230914</t>
        </is>
      </c>
      <c r="P135" t="inlineStr">
        <is>
          <t>Jawa Tengah</t>
        </is>
      </c>
      <c r="Q135" t="inlineStr"/>
    </row>
    <row r="136">
      <c r="A136" t="inlineStr">
        <is>
          <t>KONSEP RUMAH INDONESIA</t>
        </is>
      </c>
      <c r="B136" t="inlineStr">
        <is>
          <t>Kota Cimahi</t>
        </is>
      </c>
      <c r="C136" t="inlineStr">
        <is>
          <t>02229911966</t>
        </is>
      </c>
      <c r="D136" t="inlineStr">
        <is>
          <t>Konseprumah.com@gmail.com</t>
        </is>
      </c>
      <c r="E136" t="inlineStr">
        <is>
          <t>https://lpjk.pu.go.id/search-badan-usaha-detail/Vm83Z1dQTzFXWUdoMFRmbVRsOEFpUT09</t>
        </is>
      </c>
      <c r="F136" t="n">
        <v>1</v>
      </c>
      <c r="G136" t="inlineStr">
        <is>
          <t>BG001</t>
        </is>
      </c>
      <c r="H136" t="inlineStr">
        <is>
          <t>14 Januari 2020</t>
        </is>
      </c>
      <c r="I136" s="2" t="n">
        <v>46285</v>
      </c>
      <c r="J136" t="inlineStr">
        <is>
          <t>Disetujui</t>
        </is>
      </c>
      <c r="K136" t="n">
        <v>60</v>
      </c>
      <c r="L136" t="inlineStr">
        <is>
          <t>20 September 2026</t>
        </is>
      </c>
      <c r="M136" t="inlineStr">
        <is>
          <t>Konstruksi Gedung Hunian</t>
        </is>
      </c>
      <c r="N136" t="inlineStr">
        <is>
          <t>K</t>
        </is>
      </c>
      <c r="O136" t="inlineStr">
        <is>
          <t>20230919</t>
        </is>
      </c>
      <c r="P136" t="inlineStr">
        <is>
          <t>Jawa Barat</t>
        </is>
      </c>
      <c r="Q136" t="inlineStr"/>
    </row>
    <row r="137">
      <c r="A137" t="inlineStr">
        <is>
          <t>KREASI BERKAT MAJU</t>
        </is>
      </c>
      <c r="B137" t="inlineStr">
        <is>
          <t>Kota Tangerang</t>
        </is>
      </c>
      <c r="C137" t="inlineStr">
        <is>
          <t>085100436133</t>
        </is>
      </c>
      <c r="D137" t="inlineStr">
        <is>
          <t>kreasiberkatmaju@gmail.com</t>
        </is>
      </c>
      <c r="E137" t="inlineStr">
        <is>
          <t>https://lpjk.pu.go.id/search-badan-usaha-detail/VTB5Szg4bzh0Vm5IVUdWQ1VtMGcvdz09</t>
        </is>
      </c>
      <c r="F137" t="n">
        <v>1</v>
      </c>
      <c r="G137" t="inlineStr">
        <is>
          <t>BS001</t>
        </is>
      </c>
      <c r="H137" t="inlineStr">
        <is>
          <t>30 Juni 2020</t>
        </is>
      </c>
      <c r="I137" s="2" t="n">
        <v>46285</v>
      </c>
      <c r="J137" t="inlineStr">
        <is>
          <t>Disetujui</t>
        </is>
      </c>
      <c r="K137" t="n">
        <v>60</v>
      </c>
      <c r="L137" t="inlineStr">
        <is>
          <t>20 September 2026</t>
        </is>
      </c>
      <c r="M137" t="inlineStr">
        <is>
          <t>Konstruksi Bangunan Sipil Jalan</t>
        </is>
      </c>
      <c r="N137" t="inlineStr">
        <is>
          <t>K</t>
        </is>
      </c>
      <c r="O137" t="inlineStr">
        <is>
          <t>20230915</t>
        </is>
      </c>
      <c r="P137" t="inlineStr">
        <is>
          <t>Banten</t>
        </is>
      </c>
      <c r="Q137" t="inlineStr"/>
    </row>
    <row r="138">
      <c r="A138" t="inlineStr">
        <is>
          <t>KURNIA UTAMA JAYA</t>
        </is>
      </c>
      <c r="B138" t="inlineStr">
        <is>
          <t>Kab. Sidoarjo</t>
        </is>
      </c>
      <c r="C138" t="inlineStr">
        <is>
          <t>0318533342</t>
        </is>
      </c>
      <c r="D138" t="inlineStr">
        <is>
          <t>pt.kurnia_utama_Jaya@yahoo.co.id</t>
        </is>
      </c>
      <c r="E138" t="inlineStr">
        <is>
          <t>https://lpjk.pu.go.id/search-badan-usaha-detail/djczdGVGRnJoMU9MWTZDbXhpRXJpdz09</t>
        </is>
      </c>
      <c r="F138" t="n">
        <v>3</v>
      </c>
      <c r="G138" t="inlineStr">
        <is>
          <t>BS004, BS005, BS010</t>
        </is>
      </c>
      <c r="H138" t="inlineStr">
        <is>
          <t>24 April 2006</t>
        </is>
      </c>
      <c r="I138" s="2" t="n">
        <v>46285</v>
      </c>
      <c r="J138" t="inlineStr">
        <is>
          <t>Disetujui</t>
        </is>
      </c>
      <c r="K138" t="n">
        <v>60</v>
      </c>
      <c r="L138" t="inlineStr">
        <is>
          <t>20 September 2026</t>
        </is>
      </c>
      <c r="M138" t="inlineStr">
        <is>
          <t>Konstruksi Bangunan Prasarana Sumber Daya Air, Konstruksi Bangunan Sipil Pengolahan Air Bersih, Konstruksi Jaringan Irigasi dan Drainase</t>
        </is>
      </c>
      <c r="N138" t="inlineStr">
        <is>
          <t>K</t>
        </is>
      </c>
      <c r="O138" t="inlineStr">
        <is>
          <t>20230920</t>
        </is>
      </c>
      <c r="P138" t="inlineStr">
        <is>
          <t>Jawa Timur</t>
        </is>
      </c>
      <c r="Q138" t="inlineStr"/>
    </row>
    <row r="139">
      <c r="A139" t="inlineStr">
        <is>
          <t>LAMPUNG ANDALAS SHIPBUILDING &amp; ENGINEERING</t>
        </is>
      </c>
      <c r="B139" t="inlineStr">
        <is>
          <t>Kab. Lampung Selatan</t>
        </is>
      </c>
      <c r="C139" t="inlineStr">
        <is>
          <t>072131187</t>
        </is>
      </c>
      <c r="D139" t="inlineStr">
        <is>
          <t>legal@lampungandalas.com</t>
        </is>
      </c>
      <c r="E139" t="inlineStr">
        <is>
          <t>https://lpjk.pu.go.id/search-badan-usaha-detail/Sm56a3ZKREpWbm9BNC85T21tVTBLdz09</t>
        </is>
      </c>
      <c r="F139" t="n">
        <v>2</v>
      </c>
      <c r="G139" t="inlineStr">
        <is>
          <t>BS007, BS013</t>
        </is>
      </c>
      <c r="H139" t="inlineStr">
        <is>
          <t>1 Juli 2000</t>
        </is>
      </c>
      <c r="I139" s="2" t="n">
        <v>46285</v>
      </c>
      <c r="J139" t="inlineStr">
        <is>
          <t>Disetujui</t>
        </is>
      </c>
      <c r="K139" t="n">
        <v>60</v>
      </c>
      <c r="L139" t="inlineStr">
        <is>
          <t>20 September 2026</t>
        </is>
      </c>
      <c r="M139" t="inlineStr">
        <is>
          <t>Konstruksi Bangunan Sipil Elektrikal, Konstruksi Bangunan Sipil Minyak dan Gas Bumi</t>
        </is>
      </c>
      <c r="N139" t="inlineStr">
        <is>
          <t>M</t>
        </is>
      </c>
      <c r="O139" t="inlineStr">
        <is>
          <t>20230830, 20230831</t>
        </is>
      </c>
      <c r="P139" t="inlineStr">
        <is>
          <t>Lampung</t>
        </is>
      </c>
      <c r="Q139" t="inlineStr"/>
    </row>
    <row r="140">
      <c r="A140" t="inlineStr">
        <is>
          <t>LESTARI PRATAMA MANDIRI</t>
        </is>
      </c>
      <c r="B140" t="inlineStr">
        <is>
          <t>Kab. Tangerang</t>
        </is>
      </c>
      <c r="C140" t="inlineStr">
        <is>
          <t>085972567177</t>
        </is>
      </c>
      <c r="D140" t="inlineStr">
        <is>
          <t>cvlestarijayaabadi0708@gmail.com</t>
        </is>
      </c>
      <c r="E140" t="inlineStr">
        <is>
          <t>https://lpjk.pu.go.id/search-badan-usaha-detail/Qk5XUnF2TmIzSkliRTdia3FqUUNZdz09</t>
        </is>
      </c>
      <c r="F140" t="n">
        <v>3</v>
      </c>
      <c r="G140" t="inlineStr">
        <is>
          <t>BG009, BS001, BS004</t>
        </is>
      </c>
      <c r="H140" t="inlineStr">
        <is>
          <t>18 Maret 2020</t>
        </is>
      </c>
      <c r="I140" s="2" t="n">
        <v>46285</v>
      </c>
      <c r="J140" t="inlineStr">
        <is>
          <t>Disetujui</t>
        </is>
      </c>
      <c r="K140" t="n">
        <v>60</v>
      </c>
      <c r="L140" t="inlineStr">
        <is>
          <t>20 September 2026</t>
        </is>
      </c>
      <c r="M140" t="inlineStr">
        <is>
          <t>Konstruksi Bangunan Sipil Jalan, Konstruksi Gedung Lainnya, Konstruksi Jaringan Irigasi dan Drainase</t>
        </is>
      </c>
      <c r="N140" t="inlineStr">
        <is>
          <t>K</t>
        </is>
      </c>
      <c r="O140" t="inlineStr">
        <is>
          <t>20230919</t>
        </is>
      </c>
      <c r="P140" t="inlineStr">
        <is>
          <t>Banten</t>
        </is>
      </c>
      <c r="Q140" t="inlineStr"/>
    </row>
    <row r="141">
      <c r="A141" t="inlineStr">
        <is>
          <t>LIMA PUTRA</t>
        </is>
      </c>
      <c r="B141" t="inlineStr">
        <is>
          <t>Kab. Lombok Timur</t>
        </is>
      </c>
      <c r="C141" t="inlineStr">
        <is>
          <t>081918213589</t>
        </is>
      </c>
      <c r="D141" t="inlineStr">
        <is>
          <t>cv.limaputra2019@gmail.com</t>
        </is>
      </c>
      <c r="E141" t="inlineStr">
        <is>
          <t>https://lpjk.pu.go.id/search-badan-usaha-detail/RGN4SllYNUsxQnMxSjBJOFdYaVJrZz09</t>
        </is>
      </c>
      <c r="F141" t="n">
        <v>1</v>
      </c>
      <c r="G141" t="inlineStr">
        <is>
          <t>BG005</t>
        </is>
      </c>
      <c r="H141" t="inlineStr">
        <is>
          <t>20 Oktober 1993</t>
        </is>
      </c>
      <c r="I141" s="2" t="n">
        <v>46285</v>
      </c>
      <c r="J141" t="inlineStr">
        <is>
          <t>Disetujui</t>
        </is>
      </c>
      <c r="K141" t="n">
        <v>60</v>
      </c>
      <c r="L141" t="inlineStr">
        <is>
          <t>20 September 2026</t>
        </is>
      </c>
      <c r="M141" t="inlineStr">
        <is>
          <t>Konstruksi Gedung Kesehatan</t>
        </is>
      </c>
      <c r="N141" t="inlineStr">
        <is>
          <t>K</t>
        </is>
      </c>
      <c r="O141" t="inlineStr">
        <is>
          <t>20230914</t>
        </is>
      </c>
      <c r="P141" t="inlineStr">
        <is>
          <t>Nusa Tenggara Barat</t>
        </is>
      </c>
      <c r="Q141" t="inlineStr"/>
    </row>
    <row r="142">
      <c r="A142" t="inlineStr">
        <is>
          <t>MAESTRO IHSAN BAHAGIA</t>
        </is>
      </c>
      <c r="B142" t="inlineStr">
        <is>
          <t>Kota Adm. Jakarta Utara</t>
        </is>
      </c>
      <c r="C142" t="inlineStr">
        <is>
          <t>081322313111</t>
        </is>
      </c>
      <c r="D142" t="inlineStr">
        <is>
          <t>pt.maestroib@gmail.com</t>
        </is>
      </c>
      <c r="E142" t="inlineStr">
        <is>
          <t>https://lpjk.pu.go.id/search-badan-usaha-detail/NmZqdVNQc25OSUNqSitCbHJ0WlJIQT09</t>
        </is>
      </c>
      <c r="F142" t="n">
        <v>2</v>
      </c>
      <c r="G142" t="inlineStr">
        <is>
          <t>RK002, RK003</t>
        </is>
      </c>
      <c r="H142" t="inlineStr">
        <is>
          <t>12 Maret 2022</t>
        </is>
      </c>
      <c r="I142" s="2" t="n">
        <v>46285</v>
      </c>
      <c r="J142" t="inlineStr">
        <is>
          <t>Disetujui</t>
        </is>
      </c>
      <c r="K142" t="n">
        <v>60</v>
      </c>
      <c r="L142" t="inlineStr">
        <is>
          <t>20 September 2026</t>
        </is>
      </c>
      <c r="M142" t="inlineStr">
        <is>
          <t>Jasa Rekayasa Pekerjaan Teknik Sipil Sumber Daya Air, Jasa Rekayasa Pekerjaan Teknik Sipil Transportasi</t>
        </is>
      </c>
      <c r="N142" t="inlineStr">
        <is>
          <t>K</t>
        </is>
      </c>
      <c r="O142" t="inlineStr">
        <is>
          <t>20230829, 20230919</t>
        </is>
      </c>
      <c r="P142" t="inlineStr">
        <is>
          <t>DKI Jakarta</t>
        </is>
      </c>
      <c r="Q142" t="inlineStr"/>
    </row>
    <row r="143">
      <c r="A143" t="inlineStr">
        <is>
          <t>MAHAMERU CITRATAMA</t>
        </is>
      </c>
      <c r="B143" t="inlineStr">
        <is>
          <t>Kota Pontianak</t>
        </is>
      </c>
      <c r="C143" t="inlineStr">
        <is>
          <t>081256585658</t>
        </is>
      </c>
      <c r="D143" t="inlineStr">
        <is>
          <t>mahamerucitratama@gmail.com</t>
        </is>
      </c>
      <c r="E143" t="inlineStr">
        <is>
          <t>https://lpjk.pu.go.id/search-badan-usaha-detail/WkI1ZGt0RUx3RHR6Q1BkRzUzR3FjZz09</t>
        </is>
      </c>
      <c r="F143" t="n">
        <v>2</v>
      </c>
      <c r="G143" t="inlineStr">
        <is>
          <t>BG006</t>
        </is>
      </c>
      <c r="H143" t="inlineStr">
        <is>
          <t>4 Februari 2003</t>
        </is>
      </c>
      <c r="I143" s="2" t="n">
        <v>46285</v>
      </c>
      <c r="J143" t="inlineStr">
        <is>
          <t>Disetujui</t>
        </is>
      </c>
      <c r="K143" t="n">
        <v>60</v>
      </c>
      <c r="L143" t="inlineStr">
        <is>
          <t>20 September 2026</t>
        </is>
      </c>
      <c r="M143" t="inlineStr">
        <is>
          <t>Konstruksi Gedung Pendidikan</t>
        </is>
      </c>
      <c r="N143" t="inlineStr">
        <is>
          <t>K</t>
        </is>
      </c>
      <c r="O143" t="inlineStr">
        <is>
          <t>20230914</t>
        </is>
      </c>
      <c r="P143" t="inlineStr">
        <is>
          <t>Kalimantan Barat</t>
        </is>
      </c>
      <c r="Q143" t="inlineStr"/>
    </row>
    <row r="144">
      <c r="A144" t="inlineStr">
        <is>
          <t>MAHAPTRA JAYA MAKMUR</t>
        </is>
      </c>
      <c r="B144" t="inlineStr">
        <is>
          <t>Kota Banjarmasin</t>
        </is>
      </c>
      <c r="C144" t="inlineStr">
        <is>
          <t>0</t>
        </is>
      </c>
      <c r="D144" t="inlineStr">
        <is>
          <t>pt.mahaptrajayamakmur@yahoo.com</t>
        </is>
      </c>
      <c r="E144" t="inlineStr">
        <is>
          <t>https://lpjk.pu.go.id/search-badan-usaha-detail/ZWVkSHhMZXpZZGhkdlZYOGxrUTVnQT09</t>
        </is>
      </c>
      <c r="F144" t="n">
        <v>1</v>
      </c>
      <c r="G144" t="inlineStr">
        <is>
          <t>BG001</t>
        </is>
      </c>
      <c r="H144" t="inlineStr">
        <is>
          <t>28 Juni 2019</t>
        </is>
      </c>
      <c r="I144" s="2" t="n">
        <v>46285</v>
      </c>
      <c r="J144" t="inlineStr">
        <is>
          <t>Disetujui</t>
        </is>
      </c>
      <c r="K144" t="n">
        <v>60</v>
      </c>
      <c r="L144" t="inlineStr">
        <is>
          <t>20 September 2026</t>
        </is>
      </c>
      <c r="M144" t="inlineStr">
        <is>
          <t>Konstruksi Gedung Hunian</t>
        </is>
      </c>
      <c r="N144" t="inlineStr">
        <is>
          <t>K</t>
        </is>
      </c>
      <c r="O144" t="inlineStr">
        <is>
          <t>20230920</t>
        </is>
      </c>
      <c r="P144" t="inlineStr">
        <is>
          <t>Kalimantan Selatan</t>
        </is>
      </c>
      <c r="Q144" t="inlineStr"/>
    </row>
    <row r="145">
      <c r="A145" t="inlineStr">
        <is>
          <t>MAHKOTA ALAM JAYA</t>
        </is>
      </c>
      <c r="B145" t="inlineStr">
        <is>
          <t>Kab. Pangandaran</t>
        </is>
      </c>
      <c r="C145" t="inlineStr">
        <is>
          <t>082127778054</t>
        </is>
      </c>
      <c r="D145" t="inlineStr">
        <is>
          <t>mahkotaalamjaya.pnd@gmail.com</t>
        </is>
      </c>
      <c r="E145" t="inlineStr">
        <is>
          <t>https://lpjk.pu.go.id/search-badan-usaha-detail/aElaTjFKMW12UzZMN1BxTTV1N05hdz09</t>
        </is>
      </c>
      <c r="F145" t="n">
        <v>1</v>
      </c>
      <c r="G145" t="inlineStr">
        <is>
          <t>BG006</t>
        </is>
      </c>
      <c r="H145" t="inlineStr">
        <is>
          <t>24 Februari 2017</t>
        </is>
      </c>
      <c r="I145" s="2" t="n">
        <v>46285</v>
      </c>
      <c r="J145" t="inlineStr">
        <is>
          <t>Disetujui</t>
        </is>
      </c>
      <c r="K145" t="n">
        <v>60</v>
      </c>
      <c r="L145" t="inlineStr">
        <is>
          <t>20 September 2026</t>
        </is>
      </c>
      <c r="M145" t="inlineStr">
        <is>
          <t>Konstruksi Gedung Pendidikan</t>
        </is>
      </c>
      <c r="N145" t="inlineStr">
        <is>
          <t>K</t>
        </is>
      </c>
      <c r="O145" t="inlineStr">
        <is>
          <t>20230914</t>
        </is>
      </c>
      <c r="P145" t="inlineStr">
        <is>
          <t>Jawa Barat</t>
        </is>
      </c>
      <c r="Q145" t="inlineStr"/>
    </row>
    <row r="146">
      <c r="A146" t="inlineStr">
        <is>
          <t>MAJU BERSAMA</t>
        </is>
      </c>
      <c r="B146" t="inlineStr">
        <is>
          <t>Kab. Batu Bara</t>
        </is>
      </c>
      <c r="C146" t="inlineStr">
        <is>
          <t>081361794176</t>
        </is>
      </c>
      <c r="D146" t="inlineStr">
        <is>
          <t>cv.majubersamabatubb@gmail.com</t>
        </is>
      </c>
      <c r="E146" t="inlineStr">
        <is>
          <t>https://lpjk.pu.go.id/search-badan-usaha-detail/WGR5dG95UmduVDAvemxvaXBpQUNMQT09</t>
        </is>
      </c>
      <c r="F146" t="n">
        <v>1</v>
      </c>
      <c r="G146" t="inlineStr">
        <is>
          <t>BS017</t>
        </is>
      </c>
      <c r="H146" t="inlineStr">
        <is>
          <t>1 April 2003</t>
        </is>
      </c>
      <c r="I146" s="2" t="n">
        <v>46285</v>
      </c>
      <c r="J146" t="inlineStr">
        <is>
          <t>Disetujui</t>
        </is>
      </c>
      <c r="K146" t="n">
        <v>60</v>
      </c>
      <c r="L146" t="inlineStr">
        <is>
          <t>20 September 2026</t>
        </is>
      </c>
      <c r="M146" t="inlineStr">
        <is>
          <t>Konstruksi Bangunan Sipil Lainnya Ytdl</t>
        </is>
      </c>
      <c r="N146" t="inlineStr">
        <is>
          <t>K</t>
        </is>
      </c>
      <c r="O146" t="inlineStr">
        <is>
          <t>20230914</t>
        </is>
      </c>
      <c r="P146" t="inlineStr">
        <is>
          <t>Sumatera Utara</t>
        </is>
      </c>
      <c r="Q146" t="inlineStr"/>
    </row>
    <row r="147">
      <c r="A147" t="inlineStr">
        <is>
          <t>MAJU LANCAR</t>
        </is>
      </c>
      <c r="B147" t="inlineStr">
        <is>
          <t>Kab. Fak Fak</t>
        </is>
      </c>
      <c r="C147" t="inlineStr">
        <is>
          <t>081344012114</t>
        </is>
      </c>
      <c r="D147" t="inlineStr">
        <is>
          <t>majulancarfakfak@yahoo.com</t>
        </is>
      </c>
      <c r="E147" t="inlineStr">
        <is>
          <t>https://lpjk.pu.go.id/search-badan-usaha-detail/bWgrVWdleTJLalhYT3o3WWlnNXA5dz09</t>
        </is>
      </c>
      <c r="F147" t="n">
        <v>2</v>
      </c>
      <c r="G147" t="inlineStr">
        <is>
          <t>BS001, BS010</t>
        </is>
      </c>
      <c r="H147" t="inlineStr">
        <is>
          <t>22 Juni 2019</t>
        </is>
      </c>
      <c r="I147" s="2" t="n">
        <v>46285</v>
      </c>
      <c r="J147" t="inlineStr">
        <is>
          <t>Disetujui</t>
        </is>
      </c>
      <c r="K147" t="n">
        <v>60</v>
      </c>
      <c r="L147" t="inlineStr">
        <is>
          <t>20 September 2026</t>
        </is>
      </c>
      <c r="M147" t="inlineStr">
        <is>
          <t>Konstruksi Bangunan Prasarana Sumber Daya Air, Konstruksi Bangunan Sipil Jalan</t>
        </is>
      </c>
      <c r="N147" t="inlineStr">
        <is>
          <t>K</t>
        </is>
      </c>
      <c r="O147" t="inlineStr">
        <is>
          <t>20230920</t>
        </is>
      </c>
      <c r="P147" t="inlineStr">
        <is>
          <t>Papua Barat</t>
        </is>
      </c>
      <c r="Q147" t="inlineStr"/>
    </row>
    <row r="148">
      <c r="A148" t="inlineStr">
        <is>
          <t>MAKMUR PRATAMA</t>
        </is>
      </c>
      <c r="B148" t="inlineStr">
        <is>
          <t>Kab. Langkat</t>
        </is>
      </c>
      <c r="C148" t="inlineStr">
        <is>
          <t>082163051292</t>
        </is>
      </c>
      <c r="D148" t="inlineStr">
        <is>
          <t>cv.makmurpratama12@gmail.com</t>
        </is>
      </c>
      <c r="E148" t="inlineStr">
        <is>
          <t>https://lpjk.pu.go.id/search-badan-usaha-detail/eGtsWnZPVXFpamlFNURwaHhzUnMyUT09</t>
        </is>
      </c>
      <c r="F148" t="n">
        <v>1</v>
      </c>
      <c r="G148" t="inlineStr">
        <is>
          <t>BS001</t>
        </is>
      </c>
      <c r="H148" t="inlineStr">
        <is>
          <t>21 Januari 2008</t>
        </is>
      </c>
      <c r="I148" s="2" t="n">
        <v>46285</v>
      </c>
      <c r="J148" t="inlineStr">
        <is>
          <t>Disetujui</t>
        </is>
      </c>
      <c r="K148" t="n">
        <v>60</v>
      </c>
      <c r="L148" t="inlineStr">
        <is>
          <t>20 September 2026</t>
        </is>
      </c>
      <c r="M148" t="inlineStr">
        <is>
          <t>Konstruksi Bangunan Sipil Jalan</t>
        </is>
      </c>
      <c r="N148" t="inlineStr">
        <is>
          <t>K</t>
        </is>
      </c>
      <c r="O148" t="inlineStr">
        <is>
          <t>20230920</t>
        </is>
      </c>
      <c r="P148" t="inlineStr">
        <is>
          <t>Sumatera Utara</t>
        </is>
      </c>
      <c r="Q148" t="inlineStr"/>
    </row>
    <row r="149">
      <c r="A149" t="inlineStr">
        <is>
          <t>MANDIRI JAYA</t>
        </is>
      </c>
      <c r="B149" t="inlineStr">
        <is>
          <t>Kab. Jayapura</t>
        </is>
      </c>
      <c r="C149" t="inlineStr">
        <is>
          <t>0</t>
        </is>
      </c>
      <c r="D149" t="inlineStr">
        <is>
          <t>pt.mikrojaya2018@gmail.com</t>
        </is>
      </c>
      <c r="E149" t="inlineStr">
        <is>
          <t>https://lpjk.pu.go.id/search-badan-usaha-detail/eGhMaDFNN2JkNlhmT3BlUEVkcTloZz09</t>
        </is>
      </c>
      <c r="F149" t="n">
        <v>1</v>
      </c>
      <c r="G149" t="inlineStr">
        <is>
          <t>PB004</t>
        </is>
      </c>
      <c r="H149" t="inlineStr">
        <is>
          <t>11 Februari 2002</t>
        </is>
      </c>
      <c r="I149" s="2" t="n">
        <v>46285</v>
      </c>
      <c r="J149" t="inlineStr">
        <is>
          <t>Disetujui</t>
        </is>
      </c>
      <c r="K149" t="n">
        <v>60</v>
      </c>
      <c r="L149" t="inlineStr">
        <is>
          <t>20 September 2026</t>
        </is>
      </c>
      <c r="M149" t="inlineStr">
        <is>
          <t>Dekorasi Interior</t>
        </is>
      </c>
      <c r="N149" t="inlineStr">
        <is>
          <t>Spesialis</t>
        </is>
      </c>
      <c r="O149" t="inlineStr">
        <is>
          <t>20230920</t>
        </is>
      </c>
      <c r="P149" t="inlineStr">
        <is>
          <t>Papua</t>
        </is>
      </c>
      <c r="Q149" t="inlineStr"/>
    </row>
    <row r="150">
      <c r="A150" t="inlineStr">
        <is>
          <t>MANDIRI USAHA SUKSES</t>
        </is>
      </c>
      <c r="B150" t="inlineStr">
        <is>
          <t>Kota Bima</t>
        </is>
      </c>
      <c r="C150" t="inlineStr">
        <is>
          <t>082341989956</t>
        </is>
      </c>
      <c r="D150" t="inlineStr">
        <is>
          <t>cvmandiriusahasukses@gmail.com</t>
        </is>
      </c>
      <c r="E150" t="inlineStr">
        <is>
          <t>https://lpjk.pu.go.id/search-badan-usaha-detail/QzBnTWJ0R0g5M0lZOXlseWNLdWRHQT09</t>
        </is>
      </c>
      <c r="F150" t="n">
        <v>1</v>
      </c>
      <c r="G150" t="inlineStr">
        <is>
          <t>PL005</t>
        </is>
      </c>
      <c r="H150" t="inlineStr">
        <is>
          <t>18 Desember 2019</t>
        </is>
      </c>
      <c r="I150" s="2" t="n">
        <v>46285</v>
      </c>
      <c r="J150" t="inlineStr">
        <is>
          <t>Disetujui</t>
        </is>
      </c>
      <c r="K150" t="n">
        <v>60</v>
      </c>
      <c r="L150" t="inlineStr">
        <is>
          <t>20 September 2026</t>
        </is>
      </c>
      <c r="M150" t="inlineStr">
        <is>
          <t>Pembuatan/Pengeboran Sumur Air Tanah</t>
        </is>
      </c>
      <c r="N150" t="inlineStr">
        <is>
          <t>Spesialis</t>
        </is>
      </c>
      <c r="O150" t="inlineStr">
        <is>
          <t>20230920</t>
        </is>
      </c>
      <c r="P150" t="inlineStr">
        <is>
          <t>Nusa Tenggara Barat</t>
        </is>
      </c>
      <c r="Q150" t="inlineStr"/>
    </row>
    <row r="151">
      <c r="A151" t="inlineStr">
        <is>
          <t>MANGGALA KARYA</t>
        </is>
      </c>
      <c r="B151" t="inlineStr">
        <is>
          <t>Kota Banjar</t>
        </is>
      </c>
      <c r="C151" t="inlineStr">
        <is>
          <t>085353309535</t>
        </is>
      </c>
      <c r="D151" t="inlineStr">
        <is>
          <t>cv.manggalakarya@gmail.com</t>
        </is>
      </c>
      <c r="E151" t="inlineStr">
        <is>
          <t>https://lpjk.pu.go.id/search-badan-usaha-detail/K20wK1VvVjd6Znhmbk1GbnRaSVkwUT09</t>
        </is>
      </c>
      <c r="F151" t="n">
        <v>2</v>
      </c>
      <c r="G151" t="inlineStr">
        <is>
          <t>BS001, BS004</t>
        </is>
      </c>
      <c r="H151" t="inlineStr">
        <is>
          <t>16 Maret 2016</t>
        </is>
      </c>
      <c r="I151" s="2" t="n">
        <v>46285</v>
      </c>
      <c r="J151" t="inlineStr">
        <is>
          <t>Disetujui</t>
        </is>
      </c>
      <c r="K151" t="n">
        <v>60</v>
      </c>
      <c r="L151" t="inlineStr">
        <is>
          <t>20 September 2026</t>
        </is>
      </c>
      <c r="M151" t="inlineStr">
        <is>
          <t>Konstruksi Bangunan Sipil Jalan, Konstruksi Jaringan Irigasi dan Drainase</t>
        </is>
      </c>
      <c r="N151" t="inlineStr">
        <is>
          <t>K</t>
        </is>
      </c>
      <c r="O151" t="inlineStr">
        <is>
          <t>20230919</t>
        </is>
      </c>
      <c r="P151" t="inlineStr">
        <is>
          <t>Jawa Barat</t>
        </is>
      </c>
      <c r="Q151" t="inlineStr"/>
    </row>
    <row r="152">
      <c r="A152" t="inlineStr">
        <is>
          <t>MANUNGGAL MULTIDAYA</t>
        </is>
      </c>
      <c r="B152" t="inlineStr">
        <is>
          <t>Kota Adm. Jakarta Utara</t>
        </is>
      </c>
      <c r="C152" t="inlineStr">
        <is>
          <t>0214522894</t>
        </is>
      </c>
      <c r="D152" t="inlineStr">
        <is>
          <t>manunggalmultidaya@gmail.com</t>
        </is>
      </c>
      <c r="E152" t="inlineStr">
        <is>
          <t>https://lpjk.pu.go.id/search-badan-usaha-detail/LzVOMDNVQ1pjWHZHQ0dLc0NGNFlsUT09</t>
        </is>
      </c>
      <c r="F152" t="n">
        <v>4</v>
      </c>
      <c r="G152" t="inlineStr">
        <is>
          <t>BG001, BG002</t>
        </is>
      </c>
      <c r="H152" t="inlineStr">
        <is>
          <t>7 Juli 1994</t>
        </is>
      </c>
      <c r="I152" s="2" t="n">
        <v>46285</v>
      </c>
      <c r="J152" t="inlineStr">
        <is>
          <t>Disetujui</t>
        </is>
      </c>
      <c r="K152" t="n">
        <v>60</v>
      </c>
      <c r="L152" t="inlineStr">
        <is>
          <t>20 September 2026</t>
        </is>
      </c>
      <c r="M152" t="inlineStr">
        <is>
          <t>Konstruksi Gedung Hunian, Konstruksi Gedung Perkantoran</t>
        </is>
      </c>
      <c r="N152" t="inlineStr">
        <is>
          <t>K</t>
        </is>
      </c>
      <c r="O152" t="inlineStr">
        <is>
          <t>20230831, 20230911</t>
        </is>
      </c>
      <c r="P152" t="inlineStr">
        <is>
          <t>DKI Jakarta</t>
        </is>
      </c>
      <c r="Q152" t="inlineStr"/>
    </row>
    <row r="153">
      <c r="A153" t="inlineStr">
        <is>
          <t>MEDALA CIPTA PRATAMA</t>
        </is>
      </c>
      <c r="B153" t="inlineStr">
        <is>
          <t>Kab. Pesisir Selatan</t>
        </is>
      </c>
      <c r="C153" t="inlineStr">
        <is>
          <t>082386633363</t>
        </is>
      </c>
      <c r="D153" t="inlineStr">
        <is>
          <t>metraaries2@gmail.com</t>
        </is>
      </c>
      <c r="E153" t="inlineStr">
        <is>
          <t>https://lpjk.pu.go.id/search-badan-usaha-detail/SXhHd3pqZFF4T295VlZBaTlHOFp6dz09</t>
        </is>
      </c>
      <c r="F153" t="n">
        <v>1</v>
      </c>
      <c r="G153" t="inlineStr">
        <is>
          <t>BG009</t>
        </is>
      </c>
      <c r="H153" t="inlineStr">
        <is>
          <t>8 Januari 2019</t>
        </is>
      </c>
      <c r="I153" s="2" t="n">
        <v>46285</v>
      </c>
      <c r="J153" t="inlineStr">
        <is>
          <t>Disetujui</t>
        </is>
      </c>
      <c r="K153" t="n">
        <v>60</v>
      </c>
      <c r="L153" t="inlineStr">
        <is>
          <t>20 September 2026</t>
        </is>
      </c>
      <c r="M153" t="inlineStr">
        <is>
          <t>Konstruksi Gedung Lainnya</t>
        </is>
      </c>
      <c r="N153" t="inlineStr">
        <is>
          <t>K</t>
        </is>
      </c>
      <c r="O153" t="inlineStr">
        <is>
          <t>20230919</t>
        </is>
      </c>
      <c r="P153" t="inlineStr">
        <is>
          <t>Sumatera Barat</t>
        </is>
      </c>
      <c r="Q153" t="inlineStr"/>
    </row>
    <row r="154">
      <c r="A154" t="inlineStr">
        <is>
          <t>MEGA KENCANA PUTRA</t>
        </is>
      </c>
      <c r="B154" t="inlineStr">
        <is>
          <t>Kota Tangerang</t>
        </is>
      </c>
      <c r="C154" t="inlineStr">
        <is>
          <t>08128537012</t>
        </is>
      </c>
      <c r="D154" t="inlineStr">
        <is>
          <t>megakencanaputra.cv@gmail.com</t>
        </is>
      </c>
      <c r="E154" t="inlineStr">
        <is>
          <t>https://lpjk.pu.go.id/search-badan-usaha-detail/eTRFaWhxTXV2a3U1VVZQRjVpNGNMdz09</t>
        </is>
      </c>
      <c r="F154" t="n">
        <v>5</v>
      </c>
      <c r="G154" t="inlineStr">
        <is>
          <t>BG002, BG003, BG005, BG006, BG008</t>
        </is>
      </c>
      <c r="H154" t="inlineStr">
        <is>
          <t>20 Mei 2021</t>
        </is>
      </c>
      <c r="I154" s="2" t="n">
        <v>46285</v>
      </c>
      <c r="J154" t="inlineStr">
        <is>
          <t>Disetujui</t>
        </is>
      </c>
      <c r="K154" t="n">
        <v>60</v>
      </c>
      <c r="L154" t="inlineStr">
        <is>
          <t>20 September 2026</t>
        </is>
      </c>
      <c r="M154" t="inlineStr">
        <is>
          <t>Konstruksi Gedung Industri, Konstruksi Gedung Kesehatan, Konstruksi Gedung Pendidikan, Konstruksi Gedung Perkantoran, Konstruksi Gedung Tempat Hiburan dan Olahraga</t>
        </is>
      </c>
      <c r="N154" t="inlineStr">
        <is>
          <t>K</t>
        </is>
      </c>
      <c r="O154" t="inlineStr">
        <is>
          <t>20211210, 20230826, 20230904, 20230918</t>
        </is>
      </c>
      <c r="P154" t="inlineStr">
        <is>
          <t>Banten</t>
        </is>
      </c>
      <c r="Q154" t="inlineStr"/>
    </row>
    <row r="155">
      <c r="A155" t="inlineStr">
        <is>
          <t>MEGAH HALIM ABADI</t>
        </is>
      </c>
      <c r="B155" t="inlineStr">
        <is>
          <t>Kota Batam</t>
        </is>
      </c>
      <c r="C155" t="inlineStr">
        <is>
          <t>08128688385</t>
        </is>
      </c>
      <c r="D155" t="inlineStr">
        <is>
          <t>ptmegahhalimabadi@gmail.com</t>
        </is>
      </c>
      <c r="E155" t="inlineStr">
        <is>
          <t>https://lpjk.pu.go.id/search-badan-usaha-detail/RGl4RWpIUjhvWHUwZzJ6SDlHY0ljZz09</t>
        </is>
      </c>
      <c r="F155" t="n">
        <v>6</v>
      </c>
      <c r="G155" t="inlineStr">
        <is>
          <t>BG002, BG003, BG009</t>
        </is>
      </c>
      <c r="H155" t="inlineStr">
        <is>
          <t>6 April 2023</t>
        </is>
      </c>
      <c r="I155" s="2" t="n">
        <v>46285</v>
      </c>
      <c r="J155" t="inlineStr">
        <is>
          <t>Disetujui</t>
        </is>
      </c>
      <c r="K155" t="n">
        <v>60</v>
      </c>
      <c r="L155" t="inlineStr">
        <is>
          <t>20 September 2026</t>
        </is>
      </c>
      <c r="M155" t="inlineStr">
        <is>
          <t>Konstruksi Gedung Industri, Konstruksi Gedung Lainnya, Konstruksi Gedung Perkantoran</t>
        </is>
      </c>
      <c r="N155" t="inlineStr">
        <is>
          <t>K</t>
        </is>
      </c>
      <c r="O155" t="inlineStr">
        <is>
          <t>20230921</t>
        </is>
      </c>
      <c r="P155" t="inlineStr">
        <is>
          <t>Kepulauan Riau</t>
        </is>
      </c>
      <c r="Q155" t="inlineStr"/>
    </row>
    <row r="156">
      <c r="A156" t="inlineStr">
        <is>
          <t>MEGAH KARYA TIKA PRATAMA</t>
        </is>
      </c>
      <c r="B156" t="inlineStr">
        <is>
          <t>Kota Semarang</t>
        </is>
      </c>
      <c r="C156" t="inlineStr">
        <is>
          <t>0247623792</t>
        </is>
      </c>
      <c r="D156" t="inlineStr">
        <is>
          <t>megah_group@yahoo.com</t>
        </is>
      </c>
      <c r="E156" t="inlineStr">
        <is>
          <t>https://lpjk.pu.go.id/search-badan-usaha-detail/RUh6aEpnSXFRUnF2Q1hqNlc5TFFXUT09</t>
        </is>
      </c>
      <c r="F156" t="n">
        <v>6</v>
      </c>
      <c r="G156" t="inlineStr">
        <is>
          <t>BG002, BG003, BG009</t>
        </is>
      </c>
      <c r="H156" t="inlineStr">
        <is>
          <t>25 Mei 1990</t>
        </is>
      </c>
      <c r="I156" s="2" t="n">
        <v>46285</v>
      </c>
      <c r="J156" t="inlineStr">
        <is>
          <t>Disetujui</t>
        </is>
      </c>
      <c r="K156" t="n">
        <v>60</v>
      </c>
      <c r="L156" t="inlineStr">
        <is>
          <t>20 September 2026</t>
        </is>
      </c>
      <c r="M156" t="inlineStr">
        <is>
          <t>Konstruksi Gedung Industri, Konstruksi Gedung Lainnya, Konstruksi Gedung Perkantoran</t>
        </is>
      </c>
      <c r="N156" t="inlineStr">
        <is>
          <t>M</t>
        </is>
      </c>
      <c r="O156" t="inlineStr">
        <is>
          <t>20230918</t>
        </is>
      </c>
      <c r="P156" t="inlineStr">
        <is>
          <t>Jawa Tengah</t>
        </is>
      </c>
      <c r="Q156" t="inlineStr"/>
    </row>
    <row r="157">
      <c r="A157" t="inlineStr">
        <is>
          <t>MEKAR MANDIRI SEJAHTERA</t>
        </is>
      </c>
      <c r="B157" t="inlineStr">
        <is>
          <t>Kab. Bantul</t>
        </is>
      </c>
      <c r="C157" t="inlineStr">
        <is>
          <t>02742814101</t>
        </is>
      </c>
      <c r="D157" t="inlineStr">
        <is>
          <t>mms_sejahtera11@yahoo.com</t>
        </is>
      </c>
      <c r="E157" t="inlineStr">
        <is>
          <t>https://lpjk.pu.go.id/search-badan-usaha-detail/YjFxVTg4UjE1STBqdXV1TW9lNmdZZz09</t>
        </is>
      </c>
      <c r="F157" t="n">
        <v>2</v>
      </c>
      <c r="G157" t="inlineStr">
        <is>
          <t>BS001</t>
        </is>
      </c>
      <c r="H157" t="inlineStr">
        <is>
          <t>25 Februari 2016</t>
        </is>
      </c>
      <c r="I157" s="2" t="n">
        <v>46285</v>
      </c>
      <c r="J157" t="inlineStr">
        <is>
          <t>Disetujui</t>
        </is>
      </c>
      <c r="K157" t="n">
        <v>60</v>
      </c>
      <c r="L157" t="inlineStr">
        <is>
          <t>20 September 2026</t>
        </is>
      </c>
      <c r="M157" t="inlineStr">
        <is>
          <t>Konstruksi Bangunan Sipil Jalan</t>
        </is>
      </c>
      <c r="N157" t="inlineStr">
        <is>
          <t>K</t>
        </is>
      </c>
      <c r="O157" t="inlineStr">
        <is>
          <t>20230908</t>
        </is>
      </c>
      <c r="P157" t="inlineStr">
        <is>
          <t>DI Yogyakarta</t>
        </is>
      </c>
      <c r="Q157" t="inlineStr"/>
    </row>
    <row r="158">
      <c r="A158" t="inlineStr">
        <is>
          <t>MENARA DHAHABI</t>
        </is>
      </c>
      <c r="B158" t="inlineStr">
        <is>
          <t>Kab. Tuban</t>
        </is>
      </c>
      <c r="C158" t="inlineStr">
        <is>
          <t>082234676786</t>
        </is>
      </c>
      <c r="D158" t="inlineStr">
        <is>
          <t>menara.dhahabi@gmail.com</t>
        </is>
      </c>
      <c r="E158" t="inlineStr">
        <is>
          <t>https://lpjk.pu.go.id/search-badan-usaha-detail/QnFhbGhvNXVXQWcrUzhvczlDK3piQT09</t>
        </is>
      </c>
      <c r="F158" t="n">
        <v>1</v>
      </c>
      <c r="G158" t="inlineStr">
        <is>
          <t>BS004</t>
        </is>
      </c>
      <c r="H158" t="inlineStr">
        <is>
          <t>21 Agustus 2023</t>
        </is>
      </c>
      <c r="I158" s="2" t="n">
        <v>46285</v>
      </c>
      <c r="J158" t="inlineStr">
        <is>
          <t>Disetujui</t>
        </is>
      </c>
      <c r="K158" t="n">
        <v>60</v>
      </c>
      <c r="L158" t="inlineStr">
        <is>
          <t>20 September 2026</t>
        </is>
      </c>
      <c r="M158" t="inlineStr">
        <is>
          <t>Konstruksi Jaringan Irigasi dan Drainase</t>
        </is>
      </c>
      <c r="N158" t="inlineStr">
        <is>
          <t>K</t>
        </is>
      </c>
      <c r="O158" t="inlineStr">
        <is>
          <t>20230917</t>
        </is>
      </c>
      <c r="P158" t="inlineStr">
        <is>
          <t>Jawa Timur</t>
        </is>
      </c>
      <c r="Q158" t="inlineStr"/>
    </row>
    <row r="159">
      <c r="A159" t="inlineStr">
        <is>
          <t>MITRA KARYA PEMBANGUNAN</t>
        </is>
      </c>
      <c r="B159" t="inlineStr">
        <is>
          <t>Kota Tarakan</t>
        </is>
      </c>
      <c r="C159" t="inlineStr">
        <is>
          <t>081220449729</t>
        </is>
      </c>
      <c r="D159" t="inlineStr">
        <is>
          <t>cv_karyapembangunan@yahoo.com</t>
        </is>
      </c>
      <c r="E159" t="inlineStr">
        <is>
          <t>https://lpjk.pu.go.id/search-badan-usaha-detail/ZDBlMWg0VGt3b1NYVFlhWWc2ejBJdz09</t>
        </is>
      </c>
      <c r="F159" t="n">
        <v>1</v>
      </c>
      <c r="G159" t="inlineStr">
        <is>
          <t>BG002</t>
        </is>
      </c>
      <c r="H159" t="inlineStr">
        <is>
          <t>31 Januari 2020</t>
        </is>
      </c>
      <c r="I159" s="2" t="n">
        <v>46285</v>
      </c>
      <c r="J159" t="inlineStr">
        <is>
          <t>Disetujui</t>
        </is>
      </c>
      <c r="K159" t="n">
        <v>60</v>
      </c>
      <c r="L159" t="inlineStr">
        <is>
          <t>20 September 2026</t>
        </is>
      </c>
      <c r="M159" t="inlineStr">
        <is>
          <t>Konstruksi Gedung Perkantoran</t>
        </is>
      </c>
      <c r="N159" t="inlineStr">
        <is>
          <t>K</t>
        </is>
      </c>
      <c r="O159" t="inlineStr">
        <is>
          <t>20230919</t>
        </is>
      </c>
      <c r="P159" t="inlineStr">
        <is>
          <t>Kalimantan Utara</t>
        </is>
      </c>
      <c r="Q159" t="inlineStr"/>
    </row>
    <row r="160">
      <c r="A160" t="inlineStr">
        <is>
          <t>MITRA PEMUDA ABADI</t>
        </is>
      </c>
      <c r="B160" t="inlineStr">
        <is>
          <t>Kota Tebing Tinggi</t>
        </is>
      </c>
      <c r="C160" t="inlineStr">
        <is>
          <t>082369007242</t>
        </is>
      </c>
      <c r="D160" t="inlineStr">
        <is>
          <t>cvmitrapemudaabadi@gmail.com</t>
        </is>
      </c>
      <c r="E160" t="inlineStr">
        <is>
          <t>https://lpjk.pu.go.id/search-badan-usaha-detail/SG5Xc095a1ZTeUtjd3lKdkdTM0s0dz09</t>
        </is>
      </c>
      <c r="F160" t="n">
        <v>1</v>
      </c>
      <c r="G160" t="inlineStr">
        <is>
          <t>BS004</t>
        </is>
      </c>
      <c r="H160" t="inlineStr">
        <is>
          <t>1 Desember 2021</t>
        </is>
      </c>
      <c r="I160" s="2" t="n">
        <v>46285</v>
      </c>
      <c r="J160" t="inlineStr">
        <is>
          <t>Disetujui</t>
        </is>
      </c>
      <c r="K160" t="n">
        <v>60</v>
      </c>
      <c r="L160" t="inlineStr">
        <is>
          <t>20 September 2026</t>
        </is>
      </c>
      <c r="M160" t="inlineStr">
        <is>
          <t>Konstruksi Jaringan Irigasi dan Drainase</t>
        </is>
      </c>
      <c r="N160" t="inlineStr">
        <is>
          <t>K</t>
        </is>
      </c>
      <c r="O160" t="inlineStr">
        <is>
          <t>20230918</t>
        </is>
      </c>
      <c r="P160" t="inlineStr">
        <is>
          <t>Sumatera Utara</t>
        </is>
      </c>
      <c r="Q160" t="inlineStr"/>
    </row>
    <row r="161">
      <c r="A161" t="inlineStr">
        <is>
          <t>MITRA TUNGGAL SENTOSA</t>
        </is>
      </c>
      <c r="B161" t="inlineStr">
        <is>
          <t>Kab. Tuban</t>
        </is>
      </c>
      <c r="C161" t="inlineStr">
        <is>
          <t>082140384955</t>
        </is>
      </c>
      <c r="D161" t="inlineStr">
        <is>
          <t>mitratunggalsentosa79@gmail.com</t>
        </is>
      </c>
      <c r="E161" t="inlineStr">
        <is>
          <t>https://lpjk.pu.go.id/search-badan-usaha-detail/c3FOeTZYMzVYejVwQnE1K21IRkE5dz09</t>
        </is>
      </c>
      <c r="F161" t="n">
        <v>1</v>
      </c>
      <c r="G161" t="inlineStr">
        <is>
          <t>IN001</t>
        </is>
      </c>
      <c r="H161" t="inlineStr">
        <is>
          <t>2 Maret 2018</t>
        </is>
      </c>
      <c r="I161" s="2" t="n">
        <v>46285</v>
      </c>
      <c r="J161" t="inlineStr">
        <is>
          <t>Pembekuan</t>
        </is>
      </c>
      <c r="K161" t="n">
        <v>60</v>
      </c>
      <c r="L161" t="inlineStr">
        <is>
          <t>20 September 2026</t>
        </is>
      </c>
      <c r="M161" t="inlineStr">
        <is>
          <t>Instalasi Mekanikal</t>
        </is>
      </c>
      <c r="N161" t="inlineStr">
        <is>
          <t>Spesialis</t>
        </is>
      </c>
      <c r="O161" t="inlineStr">
        <is>
          <t>20230920</t>
        </is>
      </c>
      <c r="P161" t="inlineStr">
        <is>
          <t>Jawa Timur</t>
        </is>
      </c>
      <c r="Q161" t="inlineStr"/>
    </row>
    <row r="162">
      <c r="A162" t="inlineStr">
        <is>
          <t>MITRA UTAMA</t>
        </is>
      </c>
      <c r="B162" t="inlineStr">
        <is>
          <t>Kab. Barito Selatan</t>
        </is>
      </c>
      <c r="C162" t="inlineStr">
        <is>
          <t>081348037447</t>
        </is>
      </c>
      <c r="D162" t="inlineStr">
        <is>
          <t>mitrautama.cv23@gmail.com</t>
        </is>
      </c>
      <c r="E162" t="inlineStr">
        <is>
          <t>https://lpjk.pu.go.id/search-badan-usaha-detail/dFI4SzBmRGRwekNYa1dReXJhTC9OQT09</t>
        </is>
      </c>
      <c r="F162" t="n">
        <v>1</v>
      </c>
      <c r="G162" t="inlineStr">
        <is>
          <t>BG002</t>
        </is>
      </c>
      <c r="H162" t="inlineStr">
        <is>
          <t>26 Maret 1990</t>
        </is>
      </c>
      <c r="I162" s="2" t="n">
        <v>46285</v>
      </c>
      <c r="J162" t="inlineStr">
        <is>
          <t>Disetujui</t>
        </is>
      </c>
      <c r="K162" t="n">
        <v>60</v>
      </c>
      <c r="L162" t="inlineStr">
        <is>
          <t>20 September 2026</t>
        </is>
      </c>
      <c r="M162" t="inlineStr">
        <is>
          <t>Konstruksi Gedung Perkantoran</t>
        </is>
      </c>
      <c r="N162" t="inlineStr">
        <is>
          <t>K</t>
        </is>
      </c>
      <c r="O162" t="inlineStr">
        <is>
          <t>20230917</t>
        </is>
      </c>
      <c r="P162" t="inlineStr">
        <is>
          <t>Kalimantan Tengah</t>
        </is>
      </c>
      <c r="Q162" t="inlineStr"/>
    </row>
    <row r="163">
      <c r="A163" t="inlineStr">
        <is>
          <t>MOBAR NUSANTARA</t>
        </is>
      </c>
      <c r="B163" t="inlineStr">
        <is>
          <t>Kab. Poso</t>
        </is>
      </c>
      <c r="C163" t="inlineStr">
        <is>
          <t>081341311755</t>
        </is>
      </c>
      <c r="D163" t="inlineStr">
        <is>
          <t>bimmobar@gmail.com</t>
        </is>
      </c>
      <c r="E163" t="inlineStr">
        <is>
          <t>https://lpjk.pu.go.id/search-badan-usaha-detail/Z1RmNkIvKzFQNzZFVEtrcEg5czlZdz09</t>
        </is>
      </c>
      <c r="F163" t="n">
        <v>2</v>
      </c>
      <c r="G163" t="inlineStr">
        <is>
          <t>BG006, BG009</t>
        </is>
      </c>
      <c r="H163" t="inlineStr">
        <is>
          <t>15 Desember 2015</t>
        </is>
      </c>
      <c r="I163" s="2" t="n">
        <v>46285</v>
      </c>
      <c r="J163" t="inlineStr">
        <is>
          <t>Disetujui</t>
        </is>
      </c>
      <c r="K163" t="n">
        <v>60</v>
      </c>
      <c r="L163" t="inlineStr">
        <is>
          <t>20 September 2026</t>
        </is>
      </c>
      <c r="M163" t="inlineStr">
        <is>
          <t>Konstruksi Gedung Lainnya, Konstruksi Gedung Pendidikan</t>
        </is>
      </c>
      <c r="N163" t="inlineStr">
        <is>
          <t>K</t>
        </is>
      </c>
      <c r="O163" t="inlineStr">
        <is>
          <t>20230912</t>
        </is>
      </c>
      <c r="P163" t="inlineStr">
        <is>
          <t>Sulawesi Tengah</t>
        </is>
      </c>
      <c r="Q163" t="inlineStr"/>
    </row>
    <row r="164">
      <c r="A164" t="inlineStr">
        <is>
          <t>MUARA KARYA KONSULTAN</t>
        </is>
      </c>
      <c r="B164" t="inlineStr">
        <is>
          <t>Kab. Situbondo</t>
        </is>
      </c>
      <c r="C164" t="inlineStr">
        <is>
          <t>085330808604</t>
        </is>
      </c>
      <c r="D164" t="inlineStr">
        <is>
          <t>mukakonsultan@gmail.com</t>
        </is>
      </c>
      <c r="E164" t="inlineStr">
        <is>
          <t>https://lpjk.pu.go.id/search-badan-usaha-detail/ZWxWK29aMkYyampzQStLam84NGg1QT09</t>
        </is>
      </c>
      <c r="F164" t="n">
        <v>2</v>
      </c>
      <c r="G164" t="inlineStr">
        <is>
          <t>RK001, RK002</t>
        </is>
      </c>
      <c r="H164" t="inlineStr">
        <is>
          <t>12 April 2023</t>
        </is>
      </c>
      <c r="I164" s="2" t="n">
        <v>46285</v>
      </c>
      <c r="J164" t="inlineStr">
        <is>
          <t>Disetujui</t>
        </is>
      </c>
      <c r="K164" t="n">
        <v>60</v>
      </c>
      <c r="L164" t="inlineStr">
        <is>
          <t>20 September 2026</t>
        </is>
      </c>
      <c r="M164" t="inlineStr">
        <is>
          <t>Jasa Rekayasa Konstruksi Bangunan Gedung Hunian dan Non Hunian, Jasa Rekayasa Pekerjaan Teknik Sipil Sumber Daya Air</t>
        </is>
      </c>
      <c r="N164" t="inlineStr">
        <is>
          <t>K</t>
        </is>
      </c>
      <c r="O164" t="inlineStr">
        <is>
          <t>20230914</t>
        </is>
      </c>
      <c r="P164" t="inlineStr">
        <is>
          <t>Jawa Timur</t>
        </is>
      </c>
      <c r="Q164" t="inlineStr"/>
    </row>
    <row r="165">
      <c r="A165" t="inlineStr">
        <is>
          <t>MULYATAMA JAYA KONSULINDO</t>
        </is>
      </c>
      <c r="B165" t="inlineStr">
        <is>
          <t>Kota Serang</t>
        </is>
      </c>
      <c r="C165" t="inlineStr">
        <is>
          <t>081211641942</t>
        </is>
      </c>
      <c r="D165" t="inlineStr">
        <is>
          <t>mulyatamajayakons.pt@gmail.com</t>
        </is>
      </c>
      <c r="E165" t="inlineStr">
        <is>
          <t>https://lpjk.pu.go.id/search-badan-usaha-detail/R3BxcGUvZEhQRXJSalNBanZac1FEZz09</t>
        </is>
      </c>
      <c r="F165" t="n">
        <v>2</v>
      </c>
      <c r="G165" t="inlineStr">
        <is>
          <t>RK001</t>
        </is>
      </c>
      <c r="H165" t="inlineStr">
        <is>
          <t>10 September 2019</t>
        </is>
      </c>
      <c r="I165" s="2" t="n">
        <v>46285</v>
      </c>
      <c r="J165" t="inlineStr">
        <is>
          <t>Pencabutan</t>
        </is>
      </c>
      <c r="K165" t="n">
        <v>60</v>
      </c>
      <c r="L165" t="inlineStr">
        <is>
          <t>20 September 2026</t>
        </is>
      </c>
      <c r="M165" t="inlineStr">
        <is>
          <t>Jasa Rekayasa Konstruksi Bangunan Gedung Hunian dan Non Hunian</t>
        </is>
      </c>
      <c r="N165" t="inlineStr">
        <is>
          <t>K</t>
        </is>
      </c>
      <c r="O165" t="inlineStr">
        <is>
          <t>20230903</t>
        </is>
      </c>
      <c r="P165" t="inlineStr">
        <is>
          <t>Banten</t>
        </is>
      </c>
      <c r="Q165" t="inlineStr"/>
    </row>
    <row r="166">
      <c r="A166" t="inlineStr">
        <is>
          <t>MUTIARA NAGA</t>
        </is>
      </c>
      <c r="B166" t="inlineStr">
        <is>
          <t>Kab. Tangerang</t>
        </is>
      </c>
      <c r="C166" t="inlineStr">
        <is>
          <t>085882935015</t>
        </is>
      </c>
      <c r="D166" t="inlineStr">
        <is>
          <t>cv.mutiaranaga@hotmail.com</t>
        </is>
      </c>
      <c r="E166" t="inlineStr">
        <is>
          <t>https://lpjk.pu.go.id/search-badan-usaha-detail/Q2wyc1U2eTcvNlVickREenByWHNrQT09</t>
        </is>
      </c>
      <c r="F166" t="n">
        <v>2</v>
      </c>
      <c r="G166" t="inlineStr">
        <is>
          <t>BS004</t>
        </is>
      </c>
      <c r="H166" t="inlineStr">
        <is>
          <t>15 Desember 2014</t>
        </is>
      </c>
      <c r="I166" s="2" t="n">
        <v>46285</v>
      </c>
      <c r="J166" t="inlineStr">
        <is>
          <t>Disetujui</t>
        </is>
      </c>
      <c r="K166" t="n">
        <v>60</v>
      </c>
      <c r="L166" t="inlineStr">
        <is>
          <t>20 September 2026</t>
        </is>
      </c>
      <c r="M166" t="inlineStr">
        <is>
          <t>Konstruksi Jaringan Irigasi dan Drainase</t>
        </is>
      </c>
      <c r="N166" t="inlineStr">
        <is>
          <t>K</t>
        </is>
      </c>
      <c r="O166" t="inlineStr">
        <is>
          <t>20230921</t>
        </is>
      </c>
      <c r="P166" t="inlineStr">
        <is>
          <t>Banten</t>
        </is>
      </c>
      <c r="Q166" t="inlineStr"/>
    </row>
    <row r="167">
      <c r="A167" t="inlineStr">
        <is>
          <t>MUTIARA REZEKI PERKASA</t>
        </is>
      </c>
      <c r="B167" t="inlineStr">
        <is>
          <t>Kab. Garut</t>
        </is>
      </c>
      <c r="C167" t="inlineStr">
        <is>
          <t>0821 2184 6747</t>
        </is>
      </c>
      <c r="D167" t="inlineStr">
        <is>
          <t>mutiararezekiperkasa@gmail.com</t>
        </is>
      </c>
      <c r="E167" t="inlineStr">
        <is>
          <t>https://lpjk.pu.go.id/search-badan-usaha-detail/TTdrWnEram1uRCtQMCsvMCtOb2IyUT09</t>
        </is>
      </c>
      <c r="F167" t="n">
        <v>10</v>
      </c>
      <c r="G167" t="inlineStr">
        <is>
          <t>BG002, BG006, BG008, BG009, BS001</t>
        </is>
      </c>
      <c r="H167" t="inlineStr">
        <is>
          <t>24 Januari 2019</t>
        </is>
      </c>
      <c r="I167" s="2" t="n">
        <v>46285</v>
      </c>
      <c r="J167" t="inlineStr">
        <is>
          <t>Disetujui</t>
        </is>
      </c>
      <c r="K167" t="n">
        <v>60</v>
      </c>
      <c r="L167" t="inlineStr">
        <is>
          <t>20 September 2026</t>
        </is>
      </c>
      <c r="M167" t="inlineStr">
        <is>
          <t>Konstruksi Bangunan Sipil Jalan, Konstruksi Gedung Lainnya, Konstruksi Gedung Pendidikan, Konstruksi Gedung Perkantoran, Konstruksi Gedung Tempat Hiburan dan Olahraga</t>
        </is>
      </c>
      <c r="N167" t="inlineStr">
        <is>
          <t>K</t>
        </is>
      </c>
      <c r="O167" t="inlineStr">
        <is>
          <t>20230914</t>
        </is>
      </c>
      <c r="P167" t="inlineStr">
        <is>
          <t>Jawa Barat</t>
        </is>
      </c>
      <c r="Q167" t="inlineStr"/>
    </row>
    <row r="168">
      <c r="A168" t="inlineStr">
        <is>
          <t>MUTIARA SELATAN</t>
        </is>
      </c>
      <c r="B168" t="inlineStr">
        <is>
          <t>Kab. Trenggalek</t>
        </is>
      </c>
      <c r="C168" t="inlineStr">
        <is>
          <t>085236038738</t>
        </is>
      </c>
      <c r="D168" t="inlineStr">
        <is>
          <t>rofikmasruri2@gmail.com</t>
        </is>
      </c>
      <c r="E168" t="inlineStr">
        <is>
          <t>https://lpjk.pu.go.id/search-badan-usaha-detail/QkpIMTU5c2p2ZXpPTE41ZWkwUWNrQT09</t>
        </is>
      </c>
      <c r="F168" t="n">
        <v>6</v>
      </c>
      <c r="G168" t="inlineStr">
        <is>
          <t>BG006, BG009, BS001</t>
        </is>
      </c>
      <c r="H168" t="inlineStr">
        <is>
          <t>18 Februari 2017</t>
        </is>
      </c>
      <c r="I168" s="2" t="n">
        <v>46285</v>
      </c>
      <c r="J168" t="inlineStr">
        <is>
          <t>Disetujui</t>
        </is>
      </c>
      <c r="K168" t="n">
        <v>60</v>
      </c>
      <c r="L168" t="inlineStr">
        <is>
          <t>20 September 2026</t>
        </is>
      </c>
      <c r="M168" t="inlineStr">
        <is>
          <t>Konstruksi Bangunan Sipil Jalan, Konstruksi Gedung Lainnya, Konstruksi Gedung Pendidikan</t>
        </is>
      </c>
      <c r="N168" t="inlineStr">
        <is>
          <t>K</t>
        </is>
      </c>
      <c r="O168" t="inlineStr">
        <is>
          <t>20230919</t>
        </is>
      </c>
      <c r="P168" t="inlineStr">
        <is>
          <t>Jawa Timur</t>
        </is>
      </c>
      <c r="Q168" t="inlineStr"/>
    </row>
    <row r="169">
      <c r="A169" t="inlineStr">
        <is>
          <t>NADA UTAMA</t>
        </is>
      </c>
      <c r="B169" t="inlineStr">
        <is>
          <t>Kab. Tangerang</t>
        </is>
      </c>
      <c r="C169" t="inlineStr">
        <is>
          <t>081282308100</t>
        </is>
      </c>
      <c r="D169" t="inlineStr">
        <is>
          <t>cvnadautama@yahoo.com</t>
        </is>
      </c>
      <c r="E169" t="inlineStr">
        <is>
          <t>https://lpjk.pu.go.id/search-badan-usaha-detail/QkxnTHhxeEF4QkxTVkFSV0wxWXVtZz09</t>
        </is>
      </c>
      <c r="F169" t="n">
        <v>3</v>
      </c>
      <c r="G169" t="inlineStr">
        <is>
          <t>BG009, BS001, BS004</t>
        </is>
      </c>
      <c r="H169" t="inlineStr">
        <is>
          <t>29 Juli 2019</t>
        </is>
      </c>
      <c r="I169" s="2" t="n">
        <v>46285</v>
      </c>
      <c r="J169" t="inlineStr">
        <is>
          <t>Disetujui</t>
        </is>
      </c>
      <c r="K169" t="n">
        <v>60</v>
      </c>
      <c r="L169" t="inlineStr">
        <is>
          <t>20 September 2026</t>
        </is>
      </c>
      <c r="M169" t="inlineStr">
        <is>
          <t>Konstruksi Bangunan Sipil Jalan, Konstruksi Gedung Lainnya, Konstruksi Jaringan Irigasi dan Drainase</t>
        </is>
      </c>
      <c r="N169" t="inlineStr">
        <is>
          <t>K</t>
        </is>
      </c>
      <c r="O169" t="inlineStr">
        <is>
          <t>20230919</t>
        </is>
      </c>
      <c r="P169" t="inlineStr">
        <is>
          <t>Banten</t>
        </is>
      </c>
      <c r="Q169" t="inlineStr"/>
    </row>
    <row r="170">
      <c r="A170" t="inlineStr">
        <is>
          <t>NAGATAMA SEJAHTERA</t>
        </is>
      </c>
      <c r="B170" t="inlineStr">
        <is>
          <t>Kota Metro</t>
        </is>
      </c>
      <c r="C170" t="inlineStr">
        <is>
          <t>085379064797</t>
        </is>
      </c>
      <c r="D170" t="inlineStr">
        <is>
          <t>cvnagatamasejahtera@gmail.com</t>
        </is>
      </c>
      <c r="E170" t="inlineStr">
        <is>
          <t>https://lpjk.pu.go.id/search-badan-usaha-detail/RldkV0gwdzlHTDh1cHMyWEN5azNrQT09</t>
        </is>
      </c>
      <c r="F170" t="n">
        <v>3</v>
      </c>
      <c r="G170" t="inlineStr">
        <is>
          <t>BG009, BS001, BS004</t>
        </is>
      </c>
      <c r="H170" t="inlineStr">
        <is>
          <t>15 Agustus 2023</t>
        </is>
      </c>
      <c r="I170" s="2" t="n">
        <v>46285</v>
      </c>
      <c r="J170" t="inlineStr">
        <is>
          <t>Disetujui</t>
        </is>
      </c>
      <c r="K170" t="n">
        <v>60</v>
      </c>
      <c r="L170" t="inlineStr">
        <is>
          <t>20 September 2026</t>
        </is>
      </c>
      <c r="M170" t="inlineStr">
        <is>
          <t>Konstruksi Bangunan Sipil Jalan, Konstruksi Gedung Lainnya, Konstruksi Jaringan Irigasi dan Drainase</t>
        </is>
      </c>
      <c r="N170" t="inlineStr">
        <is>
          <t>K</t>
        </is>
      </c>
      <c r="O170" t="inlineStr">
        <is>
          <t>20230919, 20230921</t>
        </is>
      </c>
      <c r="P170" t="inlineStr">
        <is>
          <t>Lampung</t>
        </is>
      </c>
      <c r="Q170" t="inlineStr"/>
    </row>
    <row r="171">
      <c r="A171" t="inlineStr">
        <is>
          <t>NASYA MAS</t>
        </is>
      </c>
      <c r="B171" t="inlineStr">
        <is>
          <t>Kab. Cirebon</t>
        </is>
      </c>
      <c r="C171" t="inlineStr">
        <is>
          <t>082216935544</t>
        </is>
      </c>
      <c r="D171" t="inlineStr">
        <is>
          <t>cv.nasyamascrb@yahoo.com</t>
        </is>
      </c>
      <c r="E171" t="inlineStr">
        <is>
          <t>https://lpjk.pu.go.id/search-badan-usaha-detail/WkNyUkJqK3pGdUlPUk9vRXJXd0RnQT09</t>
        </is>
      </c>
      <c r="F171" t="n">
        <v>1</v>
      </c>
      <c r="G171" t="inlineStr">
        <is>
          <t>BS004</t>
        </is>
      </c>
      <c r="H171" t="inlineStr">
        <is>
          <t>20 September 2003</t>
        </is>
      </c>
      <c r="I171" s="2" t="n">
        <v>46285</v>
      </c>
      <c r="J171" t="inlineStr">
        <is>
          <t>Disetujui</t>
        </is>
      </c>
      <c r="K171" t="n">
        <v>60</v>
      </c>
      <c r="L171" t="inlineStr">
        <is>
          <t>20 September 2026</t>
        </is>
      </c>
      <c r="M171" t="inlineStr">
        <is>
          <t>Konstruksi Jaringan Irigasi dan Drainase</t>
        </is>
      </c>
      <c r="N171" t="inlineStr">
        <is>
          <t>K</t>
        </is>
      </c>
      <c r="O171" t="inlineStr">
        <is>
          <t>20230919</t>
        </is>
      </c>
      <c r="P171" t="inlineStr">
        <is>
          <t>Jawa Barat</t>
        </is>
      </c>
      <c r="Q171" t="inlineStr"/>
    </row>
    <row r="172">
      <c r="A172" t="inlineStr">
        <is>
          <t>NUR KREASI MANDIRI</t>
        </is>
      </c>
      <c r="B172" t="inlineStr">
        <is>
          <t>Kota Adm. Jakarta Barat</t>
        </is>
      </c>
      <c r="C172" t="inlineStr">
        <is>
          <t>0215664869</t>
        </is>
      </c>
      <c r="D172" t="inlineStr">
        <is>
          <t>ptnurkreasimandiri@gmail.com</t>
        </is>
      </c>
      <c r="E172" t="inlineStr">
        <is>
          <t>https://lpjk.pu.go.id/search-badan-usaha-detail/eDlLWEtIdGtKWFAzbG1iRGFvZFdPUT09</t>
        </is>
      </c>
      <c r="F172" t="n">
        <v>1</v>
      </c>
      <c r="G172" t="inlineStr">
        <is>
          <t>BG003</t>
        </is>
      </c>
      <c r="H172" t="inlineStr">
        <is>
          <t>30 November 2020</t>
        </is>
      </c>
      <c r="I172" s="2" t="n">
        <v>46285</v>
      </c>
      <c r="J172" t="inlineStr">
        <is>
          <t>Disetujui</t>
        </is>
      </c>
      <c r="K172" t="n">
        <v>60</v>
      </c>
      <c r="L172" t="inlineStr">
        <is>
          <t>20 September 2026</t>
        </is>
      </c>
      <c r="M172" t="inlineStr">
        <is>
          <t>Konstruksi Gedung Industri</t>
        </is>
      </c>
      <c r="N172" t="inlineStr">
        <is>
          <t>K</t>
        </is>
      </c>
      <c r="O172" t="inlineStr">
        <is>
          <t>20230911</t>
        </is>
      </c>
      <c r="P172" t="inlineStr">
        <is>
          <t>DKI Jakarta</t>
        </is>
      </c>
      <c r="Q172" t="inlineStr"/>
    </row>
    <row r="173">
      <c r="A173" t="inlineStr">
        <is>
          <t>NURA KARYA KONSULTAN</t>
        </is>
      </c>
      <c r="B173" t="inlineStr">
        <is>
          <t>Kota Serang</t>
        </is>
      </c>
      <c r="C173" t="inlineStr">
        <is>
          <t>082127233911</t>
        </is>
      </c>
      <c r="D173" t="inlineStr">
        <is>
          <t>cv.nurakaryakonsultan@gmail.com</t>
        </is>
      </c>
      <c r="E173" t="inlineStr">
        <is>
          <t>https://lpjk.pu.go.id/search-badan-usaha-detail/SStpVk5aemorYjY3TTlTVzBTd3RJZz09</t>
        </is>
      </c>
      <c r="F173" t="n">
        <v>1</v>
      </c>
      <c r="G173" t="inlineStr">
        <is>
          <t>RK003</t>
        </is>
      </c>
      <c r="H173" t="inlineStr">
        <is>
          <t>7 Januari 2021</t>
        </is>
      </c>
      <c r="I173" s="2" t="n">
        <v>46285</v>
      </c>
      <c r="J173" t="inlineStr">
        <is>
          <t>Disetujui</t>
        </is>
      </c>
      <c r="K173" t="n">
        <v>60</v>
      </c>
      <c r="L173" t="inlineStr">
        <is>
          <t>20 September 2026</t>
        </is>
      </c>
      <c r="M173" t="inlineStr">
        <is>
          <t>Jasa Rekayasa Pekerjaan Teknik Sipil Transportasi</t>
        </is>
      </c>
      <c r="N173" t="inlineStr">
        <is>
          <t>K</t>
        </is>
      </c>
      <c r="O173" t="inlineStr">
        <is>
          <t>20230427</t>
        </is>
      </c>
      <c r="P173" t="inlineStr">
        <is>
          <t>Banten</t>
        </is>
      </c>
      <c r="Q173" t="inlineStr"/>
    </row>
    <row r="174">
      <c r="A174" t="inlineStr">
        <is>
          <t>NUSA JAYA</t>
        </is>
      </c>
      <c r="B174" t="inlineStr">
        <is>
          <t>Kab. Cianjur</t>
        </is>
      </c>
      <c r="C174" t="inlineStr">
        <is>
          <t>085863529000</t>
        </is>
      </c>
      <c r="D174" t="inlineStr">
        <is>
          <t>nusajaya.cianjur@gmail.com</t>
        </is>
      </c>
      <c r="E174" t="inlineStr">
        <is>
          <t>https://lpjk.pu.go.id/search-badan-usaha-detail/cnc5WTRpaVdPS3gzL2RERHJVdlZUdz09</t>
        </is>
      </c>
      <c r="F174" t="n">
        <v>1</v>
      </c>
      <c r="G174" t="inlineStr">
        <is>
          <t>BG009</t>
        </is>
      </c>
      <c r="H174" t="inlineStr">
        <is>
          <t>29 November 1994</t>
        </is>
      </c>
      <c r="I174" s="2" t="n">
        <v>46285</v>
      </c>
      <c r="J174" t="inlineStr">
        <is>
          <t>Disetujui</t>
        </is>
      </c>
      <c r="K174" t="n">
        <v>60</v>
      </c>
      <c r="L174" t="inlineStr">
        <is>
          <t>20 September 2026</t>
        </is>
      </c>
      <c r="M174" t="inlineStr">
        <is>
          <t>Konstruksi Gedung Lainnya</t>
        </is>
      </c>
      <c r="N174" t="inlineStr">
        <is>
          <t>K</t>
        </is>
      </c>
      <c r="O174" t="inlineStr">
        <is>
          <t>20230916</t>
        </is>
      </c>
      <c r="P174" t="inlineStr">
        <is>
          <t>Jawa Barat</t>
        </is>
      </c>
      <c r="Q174" t="inlineStr"/>
    </row>
    <row r="175">
      <c r="A175" t="inlineStr">
        <is>
          <t>NUSAKURA KARYA MANDIRI</t>
        </is>
      </c>
      <c r="B175" t="inlineStr">
        <is>
          <t>Kota Ambon</t>
        </is>
      </c>
      <c r="C175" t="inlineStr">
        <is>
          <t>082248165320</t>
        </is>
      </c>
      <c r="D175" t="inlineStr">
        <is>
          <t>nusakurakaryamandiri@gmail.com</t>
        </is>
      </c>
      <c r="E175" t="inlineStr">
        <is>
          <t>https://lpjk.pu.go.id/search-badan-usaha-detail/SEZxbGtyM1dtZ2pnUk04MnFrR1p1dz09</t>
        </is>
      </c>
      <c r="F175" t="n">
        <v>1</v>
      </c>
      <c r="G175" t="inlineStr">
        <is>
          <t>BG001</t>
        </is>
      </c>
      <c r="H175" t="inlineStr">
        <is>
          <t>27 Oktober 2021</t>
        </is>
      </c>
      <c r="I175" s="2" t="n">
        <v>46285</v>
      </c>
      <c r="J175" t="inlineStr">
        <is>
          <t>Disetujui</t>
        </is>
      </c>
      <c r="K175" t="n">
        <v>60</v>
      </c>
      <c r="L175" t="inlineStr">
        <is>
          <t>20 September 2026</t>
        </is>
      </c>
      <c r="M175" t="inlineStr">
        <is>
          <t>Konstruksi Gedung Hunian</t>
        </is>
      </c>
      <c r="N175" t="inlineStr">
        <is>
          <t>K</t>
        </is>
      </c>
      <c r="O175" t="inlineStr">
        <is>
          <t>20230918</t>
        </is>
      </c>
      <c r="P175" t="inlineStr">
        <is>
          <t>Maluku</t>
        </is>
      </c>
      <c r="Q175" t="inlineStr"/>
    </row>
    <row r="176">
      <c r="A176" t="inlineStr">
        <is>
          <t>PAHALA ABADI</t>
        </is>
      </c>
      <c r="B176" t="inlineStr">
        <is>
          <t>Kab. Bojonegoro</t>
        </is>
      </c>
      <c r="C176" t="inlineStr">
        <is>
          <t>081335702788</t>
        </is>
      </c>
      <c r="D176" t="inlineStr">
        <is>
          <t>cv_pahalaabadi@yahoo.com</t>
        </is>
      </c>
      <c r="E176" t="inlineStr">
        <is>
          <t>https://lpjk.pu.go.id/search-badan-usaha-detail/OUk3bkVXemwraDdLRFQxclozbmxRQT09</t>
        </is>
      </c>
      <c r="F176" t="n">
        <v>2</v>
      </c>
      <c r="G176" t="inlineStr">
        <is>
          <t>BG002, BG006</t>
        </is>
      </c>
      <c r="H176" t="inlineStr">
        <is>
          <t>30 Desember 2003</t>
        </is>
      </c>
      <c r="I176" s="2" t="n">
        <v>46285</v>
      </c>
      <c r="J176" t="inlineStr">
        <is>
          <t>Disetujui</t>
        </is>
      </c>
      <c r="K176" t="n">
        <v>60</v>
      </c>
      <c r="L176" t="inlineStr">
        <is>
          <t>20 September 2026</t>
        </is>
      </c>
      <c r="M176" t="inlineStr">
        <is>
          <t>Konstruksi Gedung Pendidikan, Konstruksi Gedung Perkantoran</t>
        </is>
      </c>
      <c r="N176" t="inlineStr">
        <is>
          <t>K</t>
        </is>
      </c>
      <c r="O176" t="inlineStr">
        <is>
          <t>20230915</t>
        </is>
      </c>
      <c r="P176" t="inlineStr">
        <is>
          <t>Jawa Timur</t>
        </is>
      </c>
      <c r="Q176" t="inlineStr"/>
    </row>
    <row r="177">
      <c r="A177" t="inlineStr">
        <is>
          <t>PANCA MANDIRI ENGINEERING</t>
        </is>
      </c>
      <c r="B177" t="inlineStr">
        <is>
          <t>Kota Pekanbaru</t>
        </is>
      </c>
      <c r="C177" t="inlineStr">
        <is>
          <t>085363830003</t>
        </is>
      </c>
      <c r="D177" t="inlineStr">
        <is>
          <t>mandiriptpanca@gmail.com</t>
        </is>
      </c>
      <c r="E177" t="inlineStr">
        <is>
          <t>https://lpjk.pu.go.id/search-badan-usaha-detail/aDYrVDhZNFcyU2NSMzVDMjJ0eGlrZz09</t>
        </is>
      </c>
      <c r="F177" t="n">
        <v>3</v>
      </c>
      <c r="G177" t="inlineStr">
        <is>
          <t>AR001, AR002, RK005</t>
        </is>
      </c>
      <c r="H177" t="inlineStr">
        <is>
          <t>14 Agustus 2001</t>
        </is>
      </c>
      <c r="I177" s="2" t="n">
        <v>46285</v>
      </c>
      <c r="J177" t="inlineStr">
        <is>
          <t>Disetujui</t>
        </is>
      </c>
      <c r="K177" t="n">
        <v>60</v>
      </c>
      <c r="L177" t="inlineStr">
        <is>
          <t>20 September 2026</t>
        </is>
      </c>
      <c r="M177" t="inlineStr">
        <is>
          <t>Jasa Arsitektural Bangunan Gedung Hunian dan Non Hunian, Jasa Arsitektural Lainnya, Jasa Rekayasa Lainnya</t>
        </is>
      </c>
      <c r="N177" t="inlineStr">
        <is>
          <t>K</t>
        </is>
      </c>
      <c r="O177" t="inlineStr">
        <is>
          <t>20230912</t>
        </is>
      </c>
      <c r="P177" t="inlineStr">
        <is>
          <t>Riau</t>
        </is>
      </c>
      <c r="Q177" t="inlineStr"/>
    </row>
    <row r="178">
      <c r="A178" t="inlineStr">
        <is>
          <t>PANCANG</t>
        </is>
      </c>
      <c r="B178" t="inlineStr">
        <is>
          <t>Kota Bandung</t>
        </is>
      </c>
      <c r="C178" t="inlineStr">
        <is>
          <t>0227536952</t>
        </is>
      </c>
      <c r="D178" t="inlineStr">
        <is>
          <t>pancang.pt@yahoo.com</t>
        </is>
      </c>
      <c r="E178" t="inlineStr">
        <is>
          <t>https://lpjk.pu.go.id/search-badan-usaha-detail/cFpFY1MwbFA4dERuYWZ1VHJJNXJBUT09</t>
        </is>
      </c>
      <c r="F178" t="n">
        <v>8</v>
      </c>
      <c r="G178" t="inlineStr">
        <is>
          <t>BG006, BG009, BS001, PB004</t>
        </is>
      </c>
      <c r="H178" t="inlineStr">
        <is>
          <t>10 April 2004</t>
        </is>
      </c>
      <c r="I178" s="2" t="n">
        <v>46285</v>
      </c>
      <c r="J178" t="inlineStr">
        <is>
          <t>Disetujui</t>
        </is>
      </c>
      <c r="K178" t="n">
        <v>60</v>
      </c>
      <c r="L178" t="inlineStr">
        <is>
          <t>20 September 2026</t>
        </is>
      </c>
      <c r="M178" t="inlineStr">
        <is>
          <t>Dekorasi Interior, Konstruksi Bangunan Sipil Jalan, Konstruksi Gedung Lainnya, Konstruksi Gedung Pendidikan</t>
        </is>
      </c>
      <c r="N178" t="inlineStr">
        <is>
          <t>K, Spesialis</t>
        </is>
      </c>
      <c r="O178" t="inlineStr">
        <is>
          <t>20230918</t>
        </is>
      </c>
      <c r="P178" t="inlineStr">
        <is>
          <t>Jawa Barat</t>
        </is>
      </c>
      <c r="Q178" t="inlineStr"/>
    </row>
    <row r="179">
      <c r="A179" t="inlineStr">
        <is>
          <t>PARSAORAN MEMBANGUN</t>
        </is>
      </c>
      <c r="B179" t="inlineStr">
        <is>
          <t>Kota Medan</t>
        </is>
      </c>
      <c r="C179" t="inlineStr">
        <is>
          <t>0</t>
        </is>
      </c>
      <c r="D179" t="inlineStr">
        <is>
          <t>parsaoranmembangun@gmail.com</t>
        </is>
      </c>
      <c r="E179" t="inlineStr">
        <is>
          <t>https://lpjk.pu.go.id/search-badan-usaha-detail/MjQra2NHczM3QXNPaCtxTU4zcGNZUT09</t>
        </is>
      </c>
      <c r="F179" t="n">
        <v>1</v>
      </c>
      <c r="G179" t="inlineStr">
        <is>
          <t>BS005</t>
        </is>
      </c>
      <c r="H179" t="inlineStr">
        <is>
          <t>28 November 2012</t>
        </is>
      </c>
      <c r="I179" s="2" t="n">
        <v>46285</v>
      </c>
      <c r="J179" t="inlineStr">
        <is>
          <t>Pembekuan</t>
        </is>
      </c>
      <c r="K179" t="n">
        <v>60</v>
      </c>
      <c r="L179" t="inlineStr">
        <is>
          <t>20 September 2026</t>
        </is>
      </c>
      <c r="M179" t="inlineStr">
        <is>
          <t>Konstruksi Bangunan Sipil Pengolahan Air Bersih</t>
        </is>
      </c>
      <c r="N179" t="inlineStr">
        <is>
          <t>M</t>
        </is>
      </c>
      <c r="O179" t="inlineStr">
        <is>
          <t>20230911</t>
        </is>
      </c>
      <c r="P179" t="inlineStr">
        <is>
          <t>Sumatera Utara</t>
        </is>
      </c>
      <c r="Q179" t="inlineStr"/>
    </row>
    <row r="180">
      <c r="A180" t="inlineStr">
        <is>
          <t>PASUNDAN JAYA</t>
        </is>
      </c>
      <c r="B180" t="inlineStr">
        <is>
          <t>Kota Bandung</t>
        </is>
      </c>
      <c r="C180" t="inlineStr">
        <is>
          <t>08112322999</t>
        </is>
      </c>
      <c r="D180" t="inlineStr">
        <is>
          <t>pasundanjaya.cv@yahoo.com</t>
        </is>
      </c>
      <c r="E180" t="inlineStr">
        <is>
          <t>https://lpjk.pu.go.id/search-badan-usaha-detail/YjYraWljOW5Jb1dEcDM1V21EZ1FwUT09</t>
        </is>
      </c>
      <c r="F180" t="n">
        <v>4</v>
      </c>
      <c r="G180" t="inlineStr">
        <is>
          <t>BG004, BG005</t>
        </is>
      </c>
      <c r="H180" t="inlineStr">
        <is>
          <t>12 Maret 2007</t>
        </is>
      </c>
      <c r="I180" s="2" t="n">
        <v>46285</v>
      </c>
      <c r="J180" t="inlineStr">
        <is>
          <t>Disetujui</t>
        </is>
      </c>
      <c r="K180" t="n">
        <v>60</v>
      </c>
      <c r="L180" t="inlineStr">
        <is>
          <t>20 September 2026</t>
        </is>
      </c>
      <c r="M180" t="inlineStr">
        <is>
          <t>Konstruksi Gedung Kesehatan, Konstruksi Gedung Perbelanjaan</t>
        </is>
      </c>
      <c r="N180" t="inlineStr">
        <is>
          <t>K</t>
        </is>
      </c>
      <c r="O180" t="inlineStr">
        <is>
          <t>20230920, 20230921</t>
        </is>
      </c>
      <c r="P180" t="inlineStr">
        <is>
          <t>Jawa Barat</t>
        </is>
      </c>
      <c r="Q180" t="inlineStr"/>
    </row>
    <row r="181">
      <c r="A181" t="inlineStr">
        <is>
          <t>PELANGI KRIDA BHAKTI</t>
        </is>
      </c>
      <c r="B181" t="inlineStr">
        <is>
          <t>Kota Samarinda</t>
        </is>
      </c>
      <c r="C181" t="inlineStr">
        <is>
          <t>081283780827</t>
        </is>
      </c>
      <c r="D181" t="inlineStr">
        <is>
          <t>pelangikridabhakti@gmail.com</t>
        </is>
      </c>
      <c r="E181" t="inlineStr">
        <is>
          <t>https://lpjk.pu.go.id/search-badan-usaha-detail/K1pLUW0yVHJ6bVBFdmRCMUZZTkdpQT09</t>
        </is>
      </c>
      <c r="F181" t="n">
        <v>1</v>
      </c>
      <c r="G181" t="inlineStr">
        <is>
          <t>BS001</t>
        </is>
      </c>
      <c r="H181" t="inlineStr">
        <is>
          <t>17 Juli 2017</t>
        </is>
      </c>
      <c r="I181" s="2" t="n">
        <v>46285</v>
      </c>
      <c r="J181" t="inlineStr">
        <is>
          <t>Disetujui</t>
        </is>
      </c>
      <c r="K181" t="n">
        <v>60</v>
      </c>
      <c r="L181" t="inlineStr">
        <is>
          <t>20 September 2026</t>
        </is>
      </c>
      <c r="M181" t="inlineStr">
        <is>
          <t>Konstruksi Bangunan Sipil Jalan</t>
        </is>
      </c>
      <c r="N181" t="inlineStr">
        <is>
          <t>K</t>
        </is>
      </c>
      <c r="O181" t="inlineStr">
        <is>
          <t>20230920</t>
        </is>
      </c>
      <c r="P181" t="inlineStr">
        <is>
          <t>Kalimantan Timur</t>
        </is>
      </c>
      <c r="Q181" t="inlineStr"/>
    </row>
    <row r="182">
      <c r="A182" t="inlineStr">
        <is>
          <t>PERDANA</t>
        </is>
      </c>
      <c r="B182" t="inlineStr">
        <is>
          <t>Kota Surabaya</t>
        </is>
      </c>
      <c r="C182" t="inlineStr">
        <is>
          <t>0818331309</t>
        </is>
      </c>
      <c r="D182" t="inlineStr">
        <is>
          <t>Cvperdana38@gmail.com</t>
        </is>
      </c>
      <c r="E182" t="inlineStr">
        <is>
          <t>https://lpjk.pu.go.id/search-badan-usaha-detail/TlVpak81OG82WDRleDlIV3ZVb3NLZz09</t>
        </is>
      </c>
      <c r="F182" t="n">
        <v>1</v>
      </c>
      <c r="G182" t="inlineStr">
        <is>
          <t>BG009</t>
        </is>
      </c>
      <c r="H182" t="inlineStr">
        <is>
          <t>19 November 1983</t>
        </is>
      </c>
      <c r="I182" s="2" t="n">
        <v>46285</v>
      </c>
      <c r="J182" t="inlineStr">
        <is>
          <t>Disetujui</t>
        </is>
      </c>
      <c r="K182" t="n">
        <v>60</v>
      </c>
      <c r="L182" t="inlineStr">
        <is>
          <t>20 September 2026</t>
        </is>
      </c>
      <c r="M182" t="inlineStr">
        <is>
          <t>Konstruksi Gedung Lainnya</t>
        </is>
      </c>
      <c r="N182" t="inlineStr">
        <is>
          <t>K</t>
        </is>
      </c>
      <c r="O182" t="inlineStr">
        <is>
          <t>20230815</t>
        </is>
      </c>
      <c r="P182" t="inlineStr">
        <is>
          <t>Jawa Timur</t>
        </is>
      </c>
      <c r="Q182" t="inlineStr"/>
    </row>
    <row r="183">
      <c r="A183" t="inlineStr">
        <is>
          <t>PERMATA</t>
        </is>
      </c>
      <c r="B183" t="inlineStr">
        <is>
          <t>Kab. Bandung Barat</t>
        </is>
      </c>
      <c r="C183" t="inlineStr">
        <is>
          <t>082121206969</t>
        </is>
      </c>
      <c r="D183" t="inlineStr">
        <is>
          <t>cvpermatakbb@gmail.com</t>
        </is>
      </c>
      <c r="E183" t="inlineStr">
        <is>
          <t>https://lpjk.pu.go.id/search-badan-usaha-detail/UHdEdzQrcHJnZmpzY2tYSmk5ZWFMUT09</t>
        </is>
      </c>
      <c r="F183" t="n">
        <v>1</v>
      </c>
      <c r="G183" t="inlineStr">
        <is>
          <t>BS001</t>
        </is>
      </c>
      <c r="H183" t="inlineStr">
        <is>
          <t>31 Januari 2011</t>
        </is>
      </c>
      <c r="I183" s="2" t="n">
        <v>46285</v>
      </c>
      <c r="J183" t="inlineStr">
        <is>
          <t>Disetujui</t>
        </is>
      </c>
      <c r="K183" t="n">
        <v>60</v>
      </c>
      <c r="L183" t="inlineStr">
        <is>
          <t>20 September 2026</t>
        </is>
      </c>
      <c r="M183" t="inlineStr">
        <is>
          <t>Konstruksi Bangunan Sipil Jalan</t>
        </is>
      </c>
      <c r="N183" t="inlineStr">
        <is>
          <t>K</t>
        </is>
      </c>
      <c r="O183" t="inlineStr">
        <is>
          <t>20230914</t>
        </is>
      </c>
      <c r="P183" t="inlineStr">
        <is>
          <t>Jawa Barat</t>
        </is>
      </c>
      <c r="Q183" t="inlineStr"/>
    </row>
    <row r="184">
      <c r="A184" t="inlineStr">
        <is>
          <t>PERSADA BATU MULIA</t>
        </is>
      </c>
      <c r="B184" t="inlineStr">
        <is>
          <t>Kota Yogyakarta</t>
        </is>
      </c>
      <c r="C184" t="inlineStr">
        <is>
          <t>082223608445</t>
        </is>
      </c>
      <c r="D184" t="inlineStr">
        <is>
          <t>persadabatumulia@gmail.com</t>
        </is>
      </c>
      <c r="E184" t="inlineStr">
        <is>
          <t>https://lpjk.pu.go.id/search-badan-usaha-detail/Z2N2S0duTjFsTDEwOG5pUktwdWZPdz09</t>
        </is>
      </c>
      <c r="F184" t="n">
        <v>1</v>
      </c>
      <c r="G184" t="inlineStr">
        <is>
          <t>PB007</t>
        </is>
      </c>
      <c r="H184" t="inlineStr">
        <is>
          <t>10 Februari 2023</t>
        </is>
      </c>
      <c r="I184" s="2" t="n">
        <v>46285</v>
      </c>
      <c r="J184" t="inlineStr">
        <is>
          <t>Pencabutan</t>
        </is>
      </c>
      <c r="K184" t="n">
        <v>60</v>
      </c>
      <c r="L184" t="inlineStr">
        <is>
          <t>20 September 2026</t>
        </is>
      </c>
      <c r="M184" t="inlineStr">
        <is>
          <t>Pengecatan</t>
        </is>
      </c>
      <c r="N184" t="inlineStr">
        <is>
          <t>Spesialis</t>
        </is>
      </c>
      <c r="O184" t="inlineStr">
        <is>
          <t>20230920</t>
        </is>
      </c>
      <c r="P184" t="inlineStr">
        <is>
          <t>DI Yogyakarta</t>
        </is>
      </c>
      <c r="Q184" t="inlineStr"/>
    </row>
    <row r="185">
      <c r="A185" t="inlineStr">
        <is>
          <t>PILAR ABADI SEMESTA</t>
        </is>
      </c>
      <c r="B185" t="inlineStr">
        <is>
          <t>Kota Pangkal Pinang</t>
        </is>
      </c>
      <c r="C185" t="inlineStr">
        <is>
          <t>082281974983</t>
        </is>
      </c>
      <c r="D185" t="inlineStr">
        <is>
          <t>cvpilarabadisemesta@gmail.com</t>
        </is>
      </c>
      <c r="E185" t="inlineStr">
        <is>
          <t>https://lpjk.pu.go.id/search-badan-usaha-detail/OVpHL3NxRXVQKzViTzViT09XZElIdz09</t>
        </is>
      </c>
      <c r="F185" t="n">
        <v>4</v>
      </c>
      <c r="G185" t="inlineStr">
        <is>
          <t>BG002, BG005, BG006, BG009</t>
        </is>
      </c>
      <c r="H185" t="inlineStr">
        <is>
          <t>13 September 2023</t>
        </is>
      </c>
      <c r="I185" s="2" t="n">
        <v>46285</v>
      </c>
      <c r="J185" t="inlineStr">
        <is>
          <t>Disetujui</t>
        </is>
      </c>
      <c r="K185" t="n">
        <v>60</v>
      </c>
      <c r="L185" t="inlineStr">
        <is>
          <t>20 September 2026</t>
        </is>
      </c>
      <c r="M185" t="inlineStr">
        <is>
          <t>Konstruksi Gedung Kesehatan, Konstruksi Gedung Lainnya, Konstruksi Gedung Pendidikan, Konstruksi Gedung Perkantoran</t>
        </is>
      </c>
      <c r="N185" t="inlineStr">
        <is>
          <t>K</t>
        </is>
      </c>
      <c r="O185" t="inlineStr">
        <is>
          <t>20230921</t>
        </is>
      </c>
      <c r="P185" t="inlineStr">
        <is>
          <t>Kepulauan Bangka Belitung</t>
        </is>
      </c>
      <c r="Q185" t="inlineStr"/>
    </row>
    <row r="186">
      <c r="A186" t="inlineStr">
        <is>
          <t>PRAKARSA</t>
        </is>
      </c>
      <c r="B186" t="inlineStr">
        <is>
          <t>Kab. Nunukan</t>
        </is>
      </c>
      <c r="C186" t="inlineStr">
        <is>
          <t>085387877878</t>
        </is>
      </c>
      <c r="D186" t="inlineStr">
        <is>
          <t>ahmadfauzi.pmi@gmail.com</t>
        </is>
      </c>
      <c r="E186" t="inlineStr">
        <is>
          <t>https://lpjk.pu.go.id/search-badan-usaha-detail/VFJXMSsxSVY2dWNpRjZnaHBrS2FRZz09</t>
        </is>
      </c>
      <c r="F186" t="n">
        <v>1</v>
      </c>
      <c r="G186" t="inlineStr">
        <is>
          <t>BG001</t>
        </is>
      </c>
      <c r="H186" t="inlineStr">
        <is>
          <t>17 November 2008</t>
        </is>
      </c>
      <c r="I186" s="2" t="n">
        <v>46285</v>
      </c>
      <c r="J186" t="inlineStr">
        <is>
          <t>Disetujui</t>
        </is>
      </c>
      <c r="K186" t="n">
        <v>60</v>
      </c>
      <c r="L186" t="inlineStr">
        <is>
          <t>20 September 2026</t>
        </is>
      </c>
      <c r="M186" t="inlineStr">
        <is>
          <t>Konstruksi Gedung Hunian</t>
        </is>
      </c>
      <c r="N186" t="inlineStr">
        <is>
          <t>K</t>
        </is>
      </c>
      <c r="O186" t="inlineStr">
        <is>
          <t>20230917</t>
        </is>
      </c>
      <c r="P186" t="inlineStr">
        <is>
          <t>Kalimantan Utara</t>
        </is>
      </c>
      <c r="Q186" t="inlineStr"/>
    </row>
    <row r="187">
      <c r="A187" t="inlineStr">
        <is>
          <t>PRIMA HASIL DANA SEJAHTERA</t>
        </is>
      </c>
      <c r="B187" t="inlineStr">
        <is>
          <t>Kota Denpasar</t>
        </is>
      </c>
      <c r="C187" t="inlineStr">
        <is>
          <t>082236618907</t>
        </is>
      </c>
      <c r="D187" t="inlineStr">
        <is>
          <t>cvprimahasildanasejahtera@gmail.com</t>
        </is>
      </c>
      <c r="E187" t="inlineStr">
        <is>
          <t>https://lpjk.pu.go.id/search-badan-usaha-detail/czhEZlRzZ09vbkhEbkZIbHBSb3ByUT09</t>
        </is>
      </c>
      <c r="F187" t="n">
        <v>2</v>
      </c>
      <c r="G187" t="inlineStr">
        <is>
          <t>AR001, AR002</t>
        </is>
      </c>
      <c r="H187" t="inlineStr">
        <is>
          <t>11 September 2023</t>
        </is>
      </c>
      <c r="I187" s="2" t="n">
        <v>46285</v>
      </c>
      <c r="J187" t="inlineStr">
        <is>
          <t>Disetujui</t>
        </is>
      </c>
      <c r="K187" t="n">
        <v>60</v>
      </c>
      <c r="L187" t="inlineStr">
        <is>
          <t>20 September 2026</t>
        </is>
      </c>
      <c r="M187" t="inlineStr">
        <is>
          <t>Jasa Arsitektural Bangunan Gedung Hunian dan Non Hunian, Jasa Arsitektural Lainnya</t>
        </is>
      </c>
      <c r="N187" t="inlineStr">
        <is>
          <t>K</t>
        </is>
      </c>
      <c r="O187" t="inlineStr">
        <is>
          <t>20230918</t>
        </is>
      </c>
      <c r="P187" t="inlineStr">
        <is>
          <t>Bali</t>
        </is>
      </c>
      <c r="Q187" t="inlineStr"/>
    </row>
    <row r="188">
      <c r="A188" t="inlineStr">
        <is>
          <t>PRISMA ANDHAKA RAJASUKHA</t>
        </is>
      </c>
      <c r="B188" t="inlineStr">
        <is>
          <t>Kota Tangerang Selatan</t>
        </is>
      </c>
      <c r="C188" t="inlineStr">
        <is>
          <t>85236521761</t>
        </is>
      </c>
      <c r="D188" t="inlineStr">
        <is>
          <t>prisma.ar.sukha@gmail.com</t>
        </is>
      </c>
      <c r="E188" t="inlineStr">
        <is>
          <t>https://lpjk.pu.go.id/search-badan-usaha-detail/b1NlZWRDck5ORzRmNU9iZnBNV0FxUT09</t>
        </is>
      </c>
      <c r="F188" t="n">
        <v>3</v>
      </c>
      <c r="G188" t="inlineStr">
        <is>
          <t>BG002, BG004, BG009</t>
        </is>
      </c>
      <c r="H188" t="inlineStr">
        <is>
          <t>22 Agustus 2018</t>
        </is>
      </c>
      <c r="I188" s="2" t="n">
        <v>46285</v>
      </c>
      <c r="J188" t="inlineStr">
        <is>
          <t>Pembekuan</t>
        </is>
      </c>
      <c r="K188" t="n">
        <v>60</v>
      </c>
      <c r="L188" t="inlineStr">
        <is>
          <t>20 September 2026</t>
        </is>
      </c>
      <c r="M188" t="inlineStr">
        <is>
          <t>Konstruksi Gedung Lainnya, Konstruksi Gedung Perbelanjaan, Konstruksi Gedung Perkantoran</t>
        </is>
      </c>
      <c r="N188" t="inlineStr">
        <is>
          <t>K</t>
        </is>
      </c>
      <c r="O188" t="inlineStr">
        <is>
          <t>20230919, 20230920</t>
        </is>
      </c>
      <c r="P188" t="inlineStr">
        <is>
          <t>Banten</t>
        </is>
      </c>
      <c r="Q188" t="inlineStr"/>
    </row>
    <row r="189">
      <c r="A189" t="inlineStr">
        <is>
          <t>PUTRA BUMI KHATULISTIWA</t>
        </is>
      </c>
      <c r="B189" t="inlineStr">
        <is>
          <t>Kota Padang</t>
        </is>
      </c>
      <c r="C189" t="inlineStr">
        <is>
          <t>085274821633</t>
        </is>
      </c>
      <c r="D189" t="inlineStr">
        <is>
          <t>putrabumikhatulistiwa@gmail.com</t>
        </is>
      </c>
      <c r="E189" t="inlineStr">
        <is>
          <t>https://lpjk.pu.go.id/search-badan-usaha-detail/Z0FxUkdSbmNqMXNENUVhK3haajJ2UT09</t>
        </is>
      </c>
      <c r="F189" t="n">
        <v>6</v>
      </c>
      <c r="G189" t="inlineStr">
        <is>
          <t>BG001, BG002, BG006, BG009, BS001, BS004</t>
        </is>
      </c>
      <c r="H189" t="inlineStr">
        <is>
          <t>20 November 2019</t>
        </is>
      </c>
      <c r="I189" s="2" t="n">
        <v>46285</v>
      </c>
      <c r="J189" t="inlineStr">
        <is>
          <t>Disetujui</t>
        </is>
      </c>
      <c r="K189" t="n">
        <v>60</v>
      </c>
      <c r="L189" t="inlineStr">
        <is>
          <t>20 September 2026</t>
        </is>
      </c>
      <c r="M189" t="inlineStr">
        <is>
          <t>Konstruksi Bangunan Sipil Jalan, Konstruksi Gedung Hunian, Konstruksi Gedung Lainnya, Konstruksi Gedung Pendidikan, Konstruksi Gedung Perkantoran, Konstruksi Jaringan Irigasi dan Drainase</t>
        </is>
      </c>
      <c r="N189" t="inlineStr">
        <is>
          <t>K</t>
        </is>
      </c>
      <c r="O189" t="inlineStr">
        <is>
          <t>20230907, 20230908</t>
        </is>
      </c>
      <c r="P189" t="inlineStr">
        <is>
          <t>Sumatera Barat</t>
        </is>
      </c>
      <c r="Q189" t="inlineStr"/>
    </row>
    <row r="190">
      <c r="A190" t="inlineStr">
        <is>
          <t>PUTRA CELEBES PAPUA ENGINEERING</t>
        </is>
      </c>
      <c r="B190" t="inlineStr">
        <is>
          <t>Kota Makassar</t>
        </is>
      </c>
      <c r="C190" t="inlineStr">
        <is>
          <t>085327544446</t>
        </is>
      </c>
      <c r="D190" t="inlineStr">
        <is>
          <t>PCP.ENG01@GMAIL.COM</t>
        </is>
      </c>
      <c r="E190" t="inlineStr">
        <is>
          <t>https://lpjk.pu.go.id/search-badan-usaha-detail/ZGNOdzgyc2l0T3Nrelh5dU11TnJUZz09</t>
        </is>
      </c>
      <c r="F190" t="n">
        <v>1</v>
      </c>
      <c r="G190" t="inlineStr">
        <is>
          <t>RK001</t>
        </is>
      </c>
      <c r="H190" t="inlineStr">
        <is>
          <t>29 November 2013</t>
        </is>
      </c>
      <c r="I190" s="2" t="n">
        <v>46285</v>
      </c>
      <c r="J190" t="inlineStr">
        <is>
          <t>Disetujui</t>
        </is>
      </c>
      <c r="K190" t="n">
        <v>60</v>
      </c>
      <c r="L190" t="inlineStr">
        <is>
          <t>20 September 2026</t>
        </is>
      </c>
      <c r="M190" t="inlineStr">
        <is>
          <t>Jasa Rekayasa Konstruksi Bangunan Gedung Hunian dan Non Hunian</t>
        </is>
      </c>
      <c r="N190" t="inlineStr">
        <is>
          <t>K</t>
        </is>
      </c>
      <c r="O190" t="inlineStr">
        <is>
          <t>20230901</t>
        </is>
      </c>
      <c r="P190" t="inlineStr">
        <is>
          <t>Sulawesi Selatan</t>
        </is>
      </c>
      <c r="Q190" t="inlineStr"/>
    </row>
    <row r="191">
      <c r="A191" t="inlineStr">
        <is>
          <t>PUTRA KOTA SELARAS</t>
        </is>
      </c>
      <c r="B191" t="inlineStr">
        <is>
          <t>Kota Pematangsiantar</t>
        </is>
      </c>
      <c r="C191" t="inlineStr">
        <is>
          <t>811526060</t>
        </is>
      </c>
      <c r="D191" t="inlineStr">
        <is>
          <t>7putraselaras@gmail.com</t>
        </is>
      </c>
      <c r="E191" t="inlineStr">
        <is>
          <t>https://lpjk.pu.go.id/search-badan-usaha-detail/cGNPdXZRNzNabUFFWk01aEgwbUNpUT09</t>
        </is>
      </c>
      <c r="F191" t="n">
        <v>1</v>
      </c>
      <c r="G191" t="inlineStr">
        <is>
          <t>BS004</t>
        </is>
      </c>
      <c r="H191" t="inlineStr">
        <is>
          <t>30 November 2001</t>
        </is>
      </c>
      <c r="I191" s="2" t="n">
        <v>46285</v>
      </c>
      <c r="J191" t="inlineStr">
        <is>
          <t>Disetujui</t>
        </is>
      </c>
      <c r="K191" t="n">
        <v>60</v>
      </c>
      <c r="L191" t="inlineStr">
        <is>
          <t>20 September 2026</t>
        </is>
      </c>
      <c r="M191" t="inlineStr">
        <is>
          <t>Konstruksi Jaringan Irigasi dan Drainase</t>
        </is>
      </c>
      <c r="N191" t="inlineStr">
        <is>
          <t>K</t>
        </is>
      </c>
      <c r="O191" t="inlineStr">
        <is>
          <t>20230915</t>
        </is>
      </c>
      <c r="P191" t="inlineStr">
        <is>
          <t>Sumatera Utara</t>
        </is>
      </c>
      <c r="Q191" t="inlineStr"/>
    </row>
    <row r="192">
      <c r="A192" t="inlineStr">
        <is>
          <t>PUTRA MUTIARA JAYA</t>
        </is>
      </c>
      <c r="B192" t="inlineStr">
        <is>
          <t>Kab. Probolinggo</t>
        </is>
      </c>
      <c r="C192" t="inlineStr">
        <is>
          <t>085204850688</t>
        </is>
      </c>
      <c r="D192" t="inlineStr">
        <is>
          <t>cvpmj31@gmail.com</t>
        </is>
      </c>
      <c r="E192" t="inlineStr">
        <is>
          <t>https://lpjk.pu.go.id/search-badan-usaha-detail/SEZVTEZDc01yT2FVMTJ3eVVCall1UT09</t>
        </is>
      </c>
      <c r="F192" t="n">
        <v>1</v>
      </c>
      <c r="G192" t="inlineStr">
        <is>
          <t>BG005</t>
        </is>
      </c>
      <c r="H192" t="inlineStr">
        <is>
          <t>1 Desember 2021</t>
        </is>
      </c>
      <c r="I192" s="2" t="n">
        <v>46285</v>
      </c>
      <c r="J192" t="inlineStr">
        <is>
          <t>Disetujui</t>
        </is>
      </c>
      <c r="K192" t="n">
        <v>60</v>
      </c>
      <c r="L192" t="inlineStr">
        <is>
          <t>20 September 2026</t>
        </is>
      </c>
      <c r="M192" t="inlineStr">
        <is>
          <t>Konstruksi Gedung Kesehatan</t>
        </is>
      </c>
      <c r="N192" t="inlineStr">
        <is>
          <t>K</t>
        </is>
      </c>
      <c r="O192" t="inlineStr">
        <is>
          <t>20230913</t>
        </is>
      </c>
      <c r="P192" t="inlineStr">
        <is>
          <t>Jawa Timur</t>
        </is>
      </c>
      <c r="Q192" t="inlineStr"/>
    </row>
    <row r="193">
      <c r="A193" t="inlineStr">
        <is>
          <t>PUTRA PANGLIMA</t>
        </is>
      </c>
      <c r="B193" t="inlineStr">
        <is>
          <t>Kab. Tanjung Jabung Barat</t>
        </is>
      </c>
      <c r="C193" t="inlineStr">
        <is>
          <t>08163264125</t>
        </is>
      </c>
      <c r="D193" t="inlineStr">
        <is>
          <t>Cv.putrapanglima88@gmail.com</t>
        </is>
      </c>
      <c r="E193" t="inlineStr">
        <is>
          <t>https://lpjk.pu.go.id/search-badan-usaha-detail/V1F2aWtSeXZDclM4VjNXR2daUHNWQT09</t>
        </is>
      </c>
      <c r="F193" t="n">
        <v>1</v>
      </c>
      <c r="G193" t="inlineStr">
        <is>
          <t>BG005</t>
        </is>
      </c>
      <c r="H193" t="inlineStr">
        <is>
          <t>4 Desember 2019</t>
        </is>
      </c>
      <c r="I193" s="2" t="n">
        <v>46285</v>
      </c>
      <c r="J193" t="inlineStr">
        <is>
          <t>Disetujui</t>
        </is>
      </c>
      <c r="K193" t="n">
        <v>60</v>
      </c>
      <c r="L193" t="inlineStr">
        <is>
          <t>20 September 2026</t>
        </is>
      </c>
      <c r="M193" t="inlineStr">
        <is>
          <t>Konstruksi Gedung Kesehatan</t>
        </is>
      </c>
      <c r="N193" t="inlineStr">
        <is>
          <t>K</t>
        </is>
      </c>
      <c r="O193" t="inlineStr">
        <is>
          <t>20230921</t>
        </is>
      </c>
      <c r="P193" t="inlineStr">
        <is>
          <t>Jambi</t>
        </is>
      </c>
      <c r="Q193" t="inlineStr"/>
    </row>
    <row r="194">
      <c r="A194" t="inlineStr">
        <is>
          <t>PUTRA RATUHAPIS</t>
        </is>
      </c>
      <c r="B194" t="inlineStr">
        <is>
          <t>Kota Padang Sidempuan</t>
        </is>
      </c>
      <c r="C194" t="inlineStr">
        <is>
          <t>081370977542</t>
        </is>
      </c>
      <c r="D194" t="inlineStr">
        <is>
          <t>cvrajaratuhapis@yahoo.com</t>
        </is>
      </c>
      <c r="E194" t="inlineStr">
        <is>
          <t>https://lpjk.pu.go.id/search-badan-usaha-detail/QmdIK2ZjM1NBRWlPakpBMWdFOTZLQT09</t>
        </is>
      </c>
      <c r="F194" t="n">
        <v>2</v>
      </c>
      <c r="G194" t="inlineStr">
        <is>
          <t>BS001, BS004</t>
        </is>
      </c>
      <c r="H194" t="inlineStr">
        <is>
          <t>3 Februari 2023</t>
        </is>
      </c>
      <c r="I194" s="2" t="n">
        <v>46285</v>
      </c>
      <c r="J194" t="inlineStr">
        <is>
          <t>Disetujui</t>
        </is>
      </c>
      <c r="K194" t="n">
        <v>60</v>
      </c>
      <c r="L194" t="inlineStr">
        <is>
          <t>20 September 2026</t>
        </is>
      </c>
      <c r="M194" t="inlineStr">
        <is>
          <t>Konstruksi Bangunan Sipil Jalan, Konstruksi Jaringan Irigasi dan Drainase</t>
        </is>
      </c>
      <c r="N194" t="inlineStr">
        <is>
          <t>K</t>
        </is>
      </c>
      <c r="O194" t="inlineStr">
        <is>
          <t>20230707, 20230920</t>
        </is>
      </c>
      <c r="P194" t="inlineStr">
        <is>
          <t>Sumatera Utara</t>
        </is>
      </c>
      <c r="Q194" t="inlineStr"/>
    </row>
    <row r="195">
      <c r="A195" t="inlineStr">
        <is>
          <t>PUTRA SASAK MANDIRI</t>
        </is>
      </c>
      <c r="B195" t="inlineStr">
        <is>
          <t>Kota Tangerang Selatan</t>
        </is>
      </c>
      <c r="C195" t="inlineStr">
        <is>
          <t>085772690921</t>
        </is>
      </c>
      <c r="D195" t="inlineStr">
        <is>
          <t>cv.putrasasakmandiri1@gmail.com</t>
        </is>
      </c>
      <c r="E195" t="inlineStr">
        <is>
          <t>https://lpjk.pu.go.id/search-badan-usaha-detail/Vm9ObUd2RXQvWkREbDlNSGNsbzZMUT09</t>
        </is>
      </c>
      <c r="F195" t="n">
        <v>1</v>
      </c>
      <c r="G195" t="inlineStr">
        <is>
          <t>BS004</t>
        </is>
      </c>
      <c r="H195" t="inlineStr">
        <is>
          <t>26 Januari 2015</t>
        </is>
      </c>
      <c r="I195" s="2" t="n">
        <v>46285</v>
      </c>
      <c r="J195" t="inlineStr">
        <is>
          <t>Disetujui</t>
        </is>
      </c>
      <c r="K195" t="n">
        <v>60</v>
      </c>
      <c r="L195" t="inlineStr">
        <is>
          <t>20 September 2026</t>
        </is>
      </c>
      <c r="M195" t="inlineStr">
        <is>
          <t>Konstruksi Jaringan Irigasi dan Drainase</t>
        </is>
      </c>
      <c r="N195" t="inlineStr">
        <is>
          <t>K</t>
        </is>
      </c>
      <c r="O195" t="inlineStr">
        <is>
          <t>20230918</t>
        </is>
      </c>
      <c r="P195" t="inlineStr">
        <is>
          <t>Banten</t>
        </is>
      </c>
      <c r="Q195" t="inlineStr"/>
    </row>
    <row r="196">
      <c r="A196" t="inlineStr">
        <is>
          <t>PUTRA TUNGGAL DESIGN</t>
        </is>
      </c>
      <c r="B196" t="inlineStr">
        <is>
          <t>Kota Makassar</t>
        </is>
      </c>
      <c r="C196" t="inlineStr">
        <is>
          <t>081344017466</t>
        </is>
      </c>
      <c r="D196" t="inlineStr">
        <is>
          <t>putratunggaldesign@gmail.com</t>
        </is>
      </c>
      <c r="E196" t="inlineStr">
        <is>
          <t>https://lpjk.pu.go.id/search-badan-usaha-detail/WDBMYzNMajBkMlM2bzE3enBEV0Jhdz09</t>
        </is>
      </c>
      <c r="F196" t="n">
        <v>3</v>
      </c>
      <c r="G196" t="inlineStr">
        <is>
          <t>RK001</t>
        </is>
      </c>
      <c r="H196" t="inlineStr">
        <is>
          <t>11 September 2015</t>
        </is>
      </c>
      <c r="I196" s="2" t="n">
        <v>46285</v>
      </c>
      <c r="J196" t="inlineStr">
        <is>
          <t>Disetujui</t>
        </is>
      </c>
      <c r="K196" t="n">
        <v>60</v>
      </c>
      <c r="L196" t="inlineStr">
        <is>
          <t>20 September 2026</t>
        </is>
      </c>
      <c r="M196" t="inlineStr">
        <is>
          <t>Jasa Rekayasa Konstruksi Bangunan Gedung Hunian dan Non Hunian</t>
        </is>
      </c>
      <c r="N196" t="inlineStr">
        <is>
          <t>K</t>
        </is>
      </c>
      <c r="O196" t="inlineStr">
        <is>
          <t>20230830</t>
        </is>
      </c>
      <c r="P196" t="inlineStr">
        <is>
          <t>Sulawesi Selatan</t>
        </is>
      </c>
      <c r="Q196" t="inlineStr"/>
    </row>
    <row r="197">
      <c r="A197" t="inlineStr">
        <is>
          <t>PUTRA UTAMA BETON DJATI</t>
        </is>
      </c>
      <c r="B197" t="inlineStr">
        <is>
          <t>Kota Tangerang Selatan</t>
        </is>
      </c>
      <c r="C197" t="inlineStr">
        <is>
          <t>08986767808</t>
        </is>
      </c>
      <c r="D197" t="inlineStr">
        <is>
          <t>betondjati@gmail.com</t>
        </is>
      </c>
      <c r="E197" t="inlineStr">
        <is>
          <t>https://lpjk.pu.go.id/search-badan-usaha-detail/a0F4QlYyRmdWMVUzam40dnZLRjZyZz09</t>
        </is>
      </c>
      <c r="F197" t="n">
        <v>1</v>
      </c>
      <c r="G197" t="inlineStr">
        <is>
          <t>BG001</t>
        </is>
      </c>
      <c r="H197" t="inlineStr">
        <is>
          <t>28 Desember 2021</t>
        </is>
      </c>
      <c r="I197" s="2" t="n">
        <v>46285</v>
      </c>
      <c r="J197" t="inlineStr">
        <is>
          <t>Disetujui</t>
        </is>
      </c>
      <c r="K197" t="n">
        <v>60</v>
      </c>
      <c r="L197" t="inlineStr">
        <is>
          <t>20 September 2026</t>
        </is>
      </c>
      <c r="M197" t="inlineStr">
        <is>
          <t>Konstruksi Gedung Hunian</t>
        </is>
      </c>
      <c r="N197" t="inlineStr">
        <is>
          <t>K</t>
        </is>
      </c>
      <c r="O197" t="inlineStr">
        <is>
          <t>20230920</t>
        </is>
      </c>
      <c r="P197" t="inlineStr">
        <is>
          <t>Banten</t>
        </is>
      </c>
      <c r="Q197" t="inlineStr"/>
    </row>
    <row r="198">
      <c r="A198" t="inlineStr">
        <is>
          <t>QUEEN</t>
        </is>
      </c>
      <c r="B198" t="inlineStr">
        <is>
          <t>Kab. Banyumas</t>
        </is>
      </c>
      <c r="C198" t="inlineStr">
        <is>
          <t>0281640062</t>
        </is>
      </c>
      <c r="D198" t="inlineStr">
        <is>
          <t>queen15.cv@gmail.com</t>
        </is>
      </c>
      <c r="E198" t="inlineStr">
        <is>
          <t>https://lpjk.pu.go.id/search-badan-usaha-detail/QTlVYlI1WHg4SVFOV3FXSWZUS2NvZz09</t>
        </is>
      </c>
      <c r="F198" t="n">
        <v>1</v>
      </c>
      <c r="G198" t="inlineStr">
        <is>
          <t>BG009</t>
        </is>
      </c>
      <c r="H198" t="inlineStr">
        <is>
          <t>22 Juni 2012</t>
        </is>
      </c>
      <c r="I198" s="2" t="n">
        <v>46285</v>
      </c>
      <c r="J198" t="inlineStr">
        <is>
          <t>Disetujui</t>
        </is>
      </c>
      <c r="K198" t="n">
        <v>60</v>
      </c>
      <c r="L198" t="inlineStr">
        <is>
          <t>20 September 2026</t>
        </is>
      </c>
      <c r="M198" t="inlineStr">
        <is>
          <t>Konstruksi Gedung Lainnya</t>
        </is>
      </c>
      <c r="N198" t="inlineStr">
        <is>
          <t>K</t>
        </is>
      </c>
      <c r="O198" t="inlineStr">
        <is>
          <t>20230919</t>
        </is>
      </c>
      <c r="P198" t="inlineStr">
        <is>
          <t>Jawa Tengah</t>
        </is>
      </c>
      <c r="Q198" t="inlineStr"/>
    </row>
    <row r="199">
      <c r="A199" t="inlineStr">
        <is>
          <t>RAHMA JAYA</t>
        </is>
      </c>
      <c r="B199" t="inlineStr">
        <is>
          <t>Kab. Bone Bolango</t>
        </is>
      </c>
      <c r="C199" t="inlineStr">
        <is>
          <t>082191346255</t>
        </is>
      </c>
      <c r="D199" t="inlineStr">
        <is>
          <t>cvrahmajaya418@gmail.com</t>
        </is>
      </c>
      <c r="E199" t="inlineStr">
        <is>
          <t>https://lpjk.pu.go.id/search-badan-usaha-detail/ZXZwRTM1RzRUVHpmTG9CRFlZR2dYQT09</t>
        </is>
      </c>
      <c r="F199" t="n">
        <v>2</v>
      </c>
      <c r="G199" t="inlineStr">
        <is>
          <t>BG006, BG009</t>
        </is>
      </c>
      <c r="H199" t="inlineStr">
        <is>
          <t>28 Februari 2013</t>
        </is>
      </c>
      <c r="I199" s="2" t="n">
        <v>46285</v>
      </c>
      <c r="J199" t="inlineStr">
        <is>
          <t>Disetujui</t>
        </is>
      </c>
      <c r="K199" t="n">
        <v>60</v>
      </c>
      <c r="L199" t="inlineStr">
        <is>
          <t>20 September 2026</t>
        </is>
      </c>
      <c r="M199" t="inlineStr">
        <is>
          <t>Konstruksi Gedung Lainnya, Konstruksi Gedung Pendidikan</t>
        </is>
      </c>
      <c r="N199" t="inlineStr">
        <is>
          <t>K</t>
        </is>
      </c>
      <c r="O199" t="inlineStr">
        <is>
          <t>20230727, 20230802</t>
        </is>
      </c>
      <c r="P199" t="inlineStr">
        <is>
          <t>Gorontalo</t>
        </is>
      </c>
      <c r="Q199" t="inlineStr"/>
    </row>
    <row r="200">
      <c r="A200" t="inlineStr">
        <is>
          <t>RAMDANI MAJU BERSAMA</t>
        </is>
      </c>
      <c r="B200" t="inlineStr">
        <is>
          <t>Kab. Bandung Barat</t>
        </is>
      </c>
      <c r="C200" t="inlineStr">
        <is>
          <t>08172390634</t>
        </is>
      </c>
      <c r="D200" t="inlineStr">
        <is>
          <t>ramdani.majubersama@gmail.com</t>
        </is>
      </c>
      <c r="E200" t="inlineStr">
        <is>
          <t>https://lpjk.pu.go.id/search-badan-usaha-detail/Qll4SkNJMlBUaFoxcmJOU1Q4V1BIQT09</t>
        </is>
      </c>
      <c r="F200" t="n">
        <v>4</v>
      </c>
      <c r="G200" t="inlineStr">
        <is>
          <t>BG003, BG009, BS001, BS004</t>
        </is>
      </c>
      <c r="H200" t="inlineStr">
        <is>
          <t>25 Mei 2023</t>
        </is>
      </c>
      <c r="I200" s="2" t="n">
        <v>46285</v>
      </c>
      <c r="J200" t="inlineStr">
        <is>
          <t>Disetujui, Pencabutan</t>
        </is>
      </c>
      <c r="K200" t="n">
        <v>60</v>
      </c>
      <c r="L200" t="inlineStr">
        <is>
          <t>20 September 2026</t>
        </is>
      </c>
      <c r="M200" t="inlineStr">
        <is>
          <t>Konstruksi Bangunan Sipil Jalan, Konstruksi Gedung Industri, Konstruksi Gedung Lainnya, Konstruksi Jaringan Irigasi dan Drainase</t>
        </is>
      </c>
      <c r="N200" t="inlineStr">
        <is>
          <t>K</t>
        </is>
      </c>
      <c r="O200" t="inlineStr">
        <is>
          <t>20230814, 20230915</t>
        </is>
      </c>
      <c r="P200" t="inlineStr">
        <is>
          <t>Jawa Barat</t>
        </is>
      </c>
      <c r="Q200" t="inlineStr"/>
    </row>
    <row r="201">
      <c r="A201" t="inlineStr">
        <is>
          <t>RANDY PUTRA PRATAMA</t>
        </is>
      </c>
      <c r="B201" t="inlineStr">
        <is>
          <t>Kab. Garut</t>
        </is>
      </c>
      <c r="C201" t="inlineStr">
        <is>
          <t>081323284567</t>
        </is>
      </c>
      <c r="D201" t="inlineStr">
        <is>
          <t>cvrandyputrapratama5@gmail.com</t>
        </is>
      </c>
      <c r="E201" t="inlineStr">
        <is>
          <t>https://lpjk.pu.go.id/search-badan-usaha-detail/bWxNUVZKb1lNYmtDNStEamg5RHhVUT09</t>
        </is>
      </c>
      <c r="F201" t="n">
        <v>1</v>
      </c>
      <c r="G201" t="inlineStr">
        <is>
          <t>BG009</t>
        </is>
      </c>
      <c r="H201" t="inlineStr">
        <is>
          <t>11 April 2013</t>
        </is>
      </c>
      <c r="I201" s="2" t="n">
        <v>46285</v>
      </c>
      <c r="J201" t="inlineStr">
        <is>
          <t>Pencabutan</t>
        </is>
      </c>
      <c r="K201" t="n">
        <v>60</v>
      </c>
      <c r="L201" t="inlineStr">
        <is>
          <t>20 September 2026</t>
        </is>
      </c>
      <c r="M201" t="inlineStr">
        <is>
          <t>Konstruksi Gedung Lainnya</t>
        </is>
      </c>
      <c r="N201" t="inlineStr">
        <is>
          <t>K</t>
        </is>
      </c>
      <c r="O201" t="inlineStr">
        <is>
          <t>20230918</t>
        </is>
      </c>
      <c r="P201" t="inlineStr">
        <is>
          <t>Jawa Barat</t>
        </is>
      </c>
      <c r="Q201" t="inlineStr"/>
    </row>
    <row r="202">
      <c r="A202" t="inlineStr">
        <is>
          <t>RAYYAN</t>
        </is>
      </c>
      <c r="B202" t="inlineStr">
        <is>
          <t>Kab. Bima</t>
        </is>
      </c>
      <c r="C202" t="inlineStr">
        <is>
          <t>082339621999</t>
        </is>
      </c>
      <c r="D202" t="inlineStr">
        <is>
          <t>mantikarino@gmail.com</t>
        </is>
      </c>
      <c r="E202" t="inlineStr">
        <is>
          <t>https://lpjk.pu.go.id/search-badan-usaha-detail/bmNnODRHbWZCdFBMRzBCb2QzYVppZz09</t>
        </is>
      </c>
      <c r="F202" t="n">
        <v>2</v>
      </c>
      <c r="G202" t="inlineStr">
        <is>
          <t>BG008</t>
        </is>
      </c>
      <c r="H202" t="inlineStr">
        <is>
          <t>29 September 2018</t>
        </is>
      </c>
      <c r="I202" s="2" t="n">
        <v>46285</v>
      </c>
      <c r="J202" t="inlineStr">
        <is>
          <t>Pencabutan</t>
        </is>
      </c>
      <c r="K202" t="n">
        <v>60</v>
      </c>
      <c r="L202" t="inlineStr">
        <is>
          <t>20 September 2026</t>
        </is>
      </c>
      <c r="M202" t="inlineStr">
        <is>
          <t>Konstruksi Gedung Tempat Hiburan dan Olahraga</t>
        </is>
      </c>
      <c r="N202" t="inlineStr">
        <is>
          <t>K</t>
        </is>
      </c>
      <c r="O202" t="inlineStr">
        <is>
          <t>20230920</t>
        </is>
      </c>
      <c r="P202" t="inlineStr">
        <is>
          <t>Nusa Tenggara Barat</t>
        </is>
      </c>
      <c r="Q202" t="inlineStr"/>
    </row>
    <row r="203">
      <c r="A203" t="inlineStr">
        <is>
          <t>REKA CIPTA UTAMA</t>
        </is>
      </c>
      <c r="B203" t="inlineStr">
        <is>
          <t>Kota Pekanbaru</t>
        </is>
      </c>
      <c r="C203" t="inlineStr">
        <is>
          <t>082387854543</t>
        </is>
      </c>
      <c r="D203" t="inlineStr">
        <is>
          <t>cv.rekaciptautamapku@gmail.com</t>
        </is>
      </c>
      <c r="E203" t="inlineStr">
        <is>
          <t>https://lpjk.pu.go.id/search-badan-usaha-detail/b1RlZTdvNC9VZ1dFTzZXSjUzeUdRUT09</t>
        </is>
      </c>
      <c r="F203" t="n">
        <v>1</v>
      </c>
      <c r="G203" t="inlineStr">
        <is>
          <t>RK001</t>
        </is>
      </c>
      <c r="H203" t="inlineStr">
        <is>
          <t>18 Maret 2005</t>
        </is>
      </c>
      <c r="I203" s="2" t="n">
        <v>46285</v>
      </c>
      <c r="J203" t="inlineStr">
        <is>
          <t>Disetujui</t>
        </is>
      </c>
      <c r="K203" t="n">
        <v>60</v>
      </c>
      <c r="L203" t="inlineStr">
        <is>
          <t>20 September 2026</t>
        </is>
      </c>
      <c r="M203" t="inlineStr">
        <is>
          <t>Jasa Rekayasa Konstruksi Bangunan Gedung Hunian dan Non Hunian</t>
        </is>
      </c>
      <c r="N203" t="inlineStr">
        <is>
          <t>K</t>
        </is>
      </c>
      <c r="O203" t="inlineStr">
        <is>
          <t>20230912</t>
        </is>
      </c>
      <c r="P203" t="inlineStr">
        <is>
          <t>Riau</t>
        </is>
      </c>
      <c r="Q203" t="inlineStr"/>
    </row>
    <row r="204">
      <c r="A204" t="inlineStr">
        <is>
          <t>RIA JAYA UTAMA</t>
        </is>
      </c>
      <c r="B204" t="inlineStr">
        <is>
          <t>Kota Bontang</t>
        </is>
      </c>
      <c r="C204" t="inlineStr">
        <is>
          <t>081345785758</t>
        </is>
      </c>
      <c r="D204" t="inlineStr">
        <is>
          <t>riajayasamuel@gmail.com</t>
        </is>
      </c>
      <c r="E204" t="inlineStr">
        <is>
          <t>https://lpjk.pu.go.id/search-badan-usaha-detail/Q0hpeTA2Q0ZHdElmeUdJUEt1MUdWQT09</t>
        </is>
      </c>
      <c r="F204" t="n">
        <v>3</v>
      </c>
      <c r="G204" t="inlineStr">
        <is>
          <t>BG005, BG006, BG009</t>
        </is>
      </c>
      <c r="H204" t="inlineStr">
        <is>
          <t>11 April 2007</t>
        </is>
      </c>
      <c r="I204" s="2" t="n">
        <v>46285</v>
      </c>
      <c r="J204" t="inlineStr">
        <is>
          <t>Disetujui</t>
        </is>
      </c>
      <c r="K204" t="n">
        <v>60</v>
      </c>
      <c r="L204" t="inlineStr">
        <is>
          <t>20 September 2026</t>
        </is>
      </c>
      <c r="M204" t="inlineStr">
        <is>
          <t>Konstruksi Gedung Kesehatan, Konstruksi Gedung Lainnya, Konstruksi Gedung Pendidikan</t>
        </is>
      </c>
      <c r="N204" t="inlineStr">
        <is>
          <t>K</t>
        </is>
      </c>
      <c r="O204" t="inlineStr">
        <is>
          <t>20230920</t>
        </is>
      </c>
      <c r="P204" t="inlineStr">
        <is>
          <t>Kalimantan Timur</t>
        </is>
      </c>
      <c r="Q204" t="inlineStr"/>
    </row>
    <row r="205">
      <c r="A205" t="inlineStr">
        <is>
          <t>RIDHA MAROS</t>
        </is>
      </c>
      <c r="B205" t="inlineStr">
        <is>
          <t>Kab. Maros</t>
        </is>
      </c>
      <c r="C205" t="inlineStr">
        <is>
          <t>081342478965</t>
        </is>
      </c>
      <c r="D205" t="inlineStr">
        <is>
          <t>ridhamaros71@gmail.com</t>
        </is>
      </c>
      <c r="E205" t="inlineStr">
        <is>
          <t>https://lpjk.pu.go.id/search-badan-usaha-detail/RjVlR211Z0JZT1hwclAzazFwUGNWUT09</t>
        </is>
      </c>
      <c r="F205" t="n">
        <v>1</v>
      </c>
      <c r="G205" t="inlineStr">
        <is>
          <t>BG002</t>
        </is>
      </c>
      <c r="H205" t="inlineStr">
        <is>
          <t>18 April 2023</t>
        </is>
      </c>
      <c r="I205" s="2" t="n">
        <v>46285</v>
      </c>
      <c r="J205" t="inlineStr">
        <is>
          <t>Disetujui</t>
        </is>
      </c>
      <c r="K205" t="n">
        <v>60</v>
      </c>
      <c r="L205" t="inlineStr">
        <is>
          <t>20 September 2026</t>
        </is>
      </c>
      <c r="M205" t="inlineStr">
        <is>
          <t>Konstruksi Gedung Perkantoran</t>
        </is>
      </c>
      <c r="N205" t="inlineStr">
        <is>
          <t>K</t>
        </is>
      </c>
      <c r="O205" t="inlineStr">
        <is>
          <t>20230918</t>
        </is>
      </c>
      <c r="P205" t="inlineStr">
        <is>
          <t>Sulawesi Selatan</t>
        </is>
      </c>
      <c r="Q205" t="inlineStr"/>
    </row>
    <row r="206">
      <c r="A206" t="inlineStr">
        <is>
          <t>RIDHO BERKAH SARANA</t>
        </is>
      </c>
      <c r="B206" t="inlineStr">
        <is>
          <t>Kab. Cirebon</t>
        </is>
      </c>
      <c r="C206" t="inlineStr">
        <is>
          <t>082127942111</t>
        </is>
      </c>
      <c r="D206" t="inlineStr">
        <is>
          <t>ridhoberkahsarana@gmail.com</t>
        </is>
      </c>
      <c r="E206" t="inlineStr">
        <is>
          <t>https://lpjk.pu.go.id/search-badan-usaha-detail/R2FFbFArTnVCeUsrQll4QUR3NEsrdz09</t>
        </is>
      </c>
      <c r="F206" t="n">
        <v>1</v>
      </c>
      <c r="G206" t="inlineStr">
        <is>
          <t>BG001</t>
        </is>
      </c>
      <c r="H206" t="inlineStr">
        <is>
          <t>10 April 2023</t>
        </is>
      </c>
      <c r="I206" s="2" t="n">
        <v>46285</v>
      </c>
      <c r="J206" t="inlineStr">
        <is>
          <t>Disetujui</t>
        </is>
      </c>
      <c r="K206" t="n">
        <v>60</v>
      </c>
      <c r="L206" t="inlineStr">
        <is>
          <t>20 September 2026</t>
        </is>
      </c>
      <c r="M206" t="inlineStr">
        <is>
          <t>Konstruksi Gedung Hunian</t>
        </is>
      </c>
      <c r="N206" t="inlineStr">
        <is>
          <t>K</t>
        </is>
      </c>
      <c r="O206" t="inlineStr">
        <is>
          <t>20230907</t>
        </is>
      </c>
      <c r="P206" t="inlineStr">
        <is>
          <t>Jawa Barat</t>
        </is>
      </c>
      <c r="Q206" t="inlineStr"/>
    </row>
    <row r="207">
      <c r="A207" t="inlineStr">
        <is>
          <t>RIVALANDO JAYA CONSULTANT</t>
        </is>
      </c>
      <c r="B207" t="inlineStr">
        <is>
          <t>Kota Kupang</t>
        </is>
      </c>
      <c r="C207" t="inlineStr">
        <is>
          <t>082147985500</t>
        </is>
      </c>
      <c r="D207" t="inlineStr">
        <is>
          <t>rivalando_jaya@yahoo.com</t>
        </is>
      </c>
      <c r="E207" t="inlineStr">
        <is>
          <t>https://lpjk.pu.go.id/search-badan-usaha-detail/aHdtRmllY2M2NE5SSEplckRzS0J5dz09</t>
        </is>
      </c>
      <c r="F207" t="n">
        <v>4</v>
      </c>
      <c r="G207" t="inlineStr">
        <is>
          <t>RK002, RK003</t>
        </is>
      </c>
      <c r="H207" t="inlineStr">
        <is>
          <t>22 Juli 2015</t>
        </is>
      </c>
      <c r="I207" s="2" t="n">
        <v>46285</v>
      </c>
      <c r="J207" t="inlineStr">
        <is>
          <t>Disetujui</t>
        </is>
      </c>
      <c r="K207" t="n">
        <v>60</v>
      </c>
      <c r="L207" t="inlineStr">
        <is>
          <t>20 September 2026</t>
        </is>
      </c>
      <c r="M207" t="inlineStr">
        <is>
          <t>Jasa Rekayasa Pekerjaan Teknik Sipil Sumber Daya Air, Jasa Rekayasa Pekerjaan Teknik Sipil Transportasi</t>
        </is>
      </c>
      <c r="N207" t="inlineStr">
        <is>
          <t>K</t>
        </is>
      </c>
      <c r="O207" t="inlineStr">
        <is>
          <t>20230808, 20230814</t>
        </is>
      </c>
      <c r="P207" t="inlineStr">
        <is>
          <t>Nusa Tenggara Timur</t>
        </is>
      </c>
      <c r="Q207" t="inlineStr"/>
    </row>
    <row r="208">
      <c r="A208" t="inlineStr">
        <is>
          <t>RIZKA RIZKI BAROKAH</t>
        </is>
      </c>
      <c r="B208" t="inlineStr">
        <is>
          <t>Kota Gorontalo</t>
        </is>
      </c>
      <c r="C208" t="inlineStr">
        <is>
          <t>082314222978</t>
        </is>
      </c>
      <c r="D208" t="inlineStr">
        <is>
          <t>cv.rizkarizkibarokah@gmail.com</t>
        </is>
      </c>
      <c r="E208" t="inlineStr">
        <is>
          <t>https://lpjk.pu.go.id/search-badan-usaha-detail/cXFzSGpXbnhUNEVVUWNnKzF5a2lydz09</t>
        </is>
      </c>
      <c r="F208" t="n">
        <v>2</v>
      </c>
      <c r="G208" t="inlineStr">
        <is>
          <t>BG002, BS001</t>
        </is>
      </c>
      <c r="H208" t="inlineStr">
        <is>
          <t>24 Agustus 2023</t>
        </is>
      </c>
      <c r="I208" s="2" t="n">
        <v>46285</v>
      </c>
      <c r="J208" t="inlineStr">
        <is>
          <t>Disetujui</t>
        </is>
      </c>
      <c r="K208" t="n">
        <v>60</v>
      </c>
      <c r="L208" t="inlineStr">
        <is>
          <t>20 September 2026</t>
        </is>
      </c>
      <c r="M208" t="inlineStr">
        <is>
          <t>Konstruksi Bangunan Sipil Jalan, Konstruksi Gedung Perkantoran</t>
        </is>
      </c>
      <c r="N208" t="inlineStr">
        <is>
          <t>K</t>
        </is>
      </c>
      <c r="O208" t="inlineStr">
        <is>
          <t>20230920, 20230921</t>
        </is>
      </c>
      <c r="P208" t="inlineStr">
        <is>
          <t>Gorontalo</t>
        </is>
      </c>
      <c r="Q208" t="inlineStr"/>
    </row>
    <row r="209">
      <c r="A209" t="inlineStr">
        <is>
          <t>RIZKY AKBAR CEMERLANG</t>
        </is>
      </c>
      <c r="B209" t="inlineStr">
        <is>
          <t>Kab. Deli Serdang</t>
        </is>
      </c>
      <c r="C209" t="inlineStr">
        <is>
          <t>085260484094</t>
        </is>
      </c>
      <c r="D209" t="inlineStr">
        <is>
          <t>CVRIZKYAKBARCEMERLANG@GMAIL.COM</t>
        </is>
      </c>
      <c r="E209" t="inlineStr">
        <is>
          <t>https://lpjk.pu.go.id/search-badan-usaha-detail/TVoyUnVPQWU2SmxaZW1VVGZJNGJ1UT09</t>
        </is>
      </c>
      <c r="F209" t="n">
        <v>5</v>
      </c>
      <c r="G209" t="inlineStr">
        <is>
          <t>BG006, BG009, BS001, BS002, BS004</t>
        </is>
      </c>
      <c r="H209" t="inlineStr">
        <is>
          <t>23 Agustus 2023</t>
        </is>
      </c>
      <c r="I209" s="2" t="n">
        <v>46285</v>
      </c>
      <c r="J209" t="inlineStr">
        <is>
          <t>Disetujui</t>
        </is>
      </c>
      <c r="K209" t="n">
        <v>60</v>
      </c>
      <c r="L209" t="inlineStr">
        <is>
          <t>20 September 2026</t>
        </is>
      </c>
      <c r="M209" t="inlineStr">
        <is>
          <t>Bangunan Sipil Jembatan, Jalan Layang, Fly Over, dan Underpass, Konstruksi Bangunan Sipil Jalan, Konstruksi Gedung Lainnya, Konstruksi Gedung Pendidikan, Konstruksi Jaringan Irigasi dan Drainase</t>
        </is>
      </c>
      <c r="N209" t="inlineStr">
        <is>
          <t>K</t>
        </is>
      </c>
      <c r="O209" t="inlineStr">
        <is>
          <t>20230917, 20230918</t>
        </is>
      </c>
      <c r="P209" t="inlineStr">
        <is>
          <t>Sumatera Utara</t>
        </is>
      </c>
      <c r="Q209" t="inlineStr"/>
    </row>
    <row r="210">
      <c r="A210" t="inlineStr">
        <is>
          <t>RIZQIANA DAFFA PERTAMA</t>
        </is>
      </c>
      <c r="B210" t="inlineStr">
        <is>
          <t>Kab. Jeneponto</t>
        </is>
      </c>
      <c r="C210" t="inlineStr">
        <is>
          <t>081241070555</t>
        </is>
      </c>
      <c r="D210" t="inlineStr">
        <is>
          <t>cvrizqianadaffapertama@gmail.com</t>
        </is>
      </c>
      <c r="E210" t="inlineStr">
        <is>
          <t>https://lpjk.pu.go.id/search-badan-usaha-detail/WjRDUWVSYnZKdXhKU2g5WFV2Mll6UT09</t>
        </is>
      </c>
      <c r="F210" t="n">
        <v>6</v>
      </c>
      <c r="G210" t="inlineStr">
        <is>
          <t>BG002, BG006, BG009</t>
        </is>
      </c>
      <c r="H210" t="inlineStr">
        <is>
          <t>6 Maret 2018</t>
        </is>
      </c>
      <c r="I210" s="2" t="n">
        <v>46285</v>
      </c>
      <c r="J210" t="inlineStr">
        <is>
          <t>Pencabutan</t>
        </is>
      </c>
      <c r="K210" t="n">
        <v>60</v>
      </c>
      <c r="L210" t="inlineStr">
        <is>
          <t>20 September 2026</t>
        </is>
      </c>
      <c r="M210" t="inlineStr">
        <is>
          <t>Konstruksi Gedung Lainnya, Konstruksi Gedung Pendidikan, Konstruksi Gedung Perkantoran</t>
        </is>
      </c>
      <c r="N210" t="inlineStr">
        <is>
          <t>K</t>
        </is>
      </c>
      <c r="O210" t="inlineStr">
        <is>
          <t>20230919</t>
        </is>
      </c>
      <c r="P210" t="inlineStr">
        <is>
          <t>Sulawesi Selatan</t>
        </is>
      </c>
      <c r="Q210" t="inlineStr"/>
    </row>
    <row r="211">
      <c r="A211" t="inlineStr">
        <is>
          <t>SADEWA</t>
        </is>
      </c>
      <c r="B211" t="inlineStr">
        <is>
          <t>Kab. Merangin</t>
        </is>
      </c>
      <c r="C211" t="inlineStr">
        <is>
          <t>082173064677</t>
        </is>
      </c>
      <c r="D211" t="inlineStr">
        <is>
          <t>inuri.amd@yahoo.com</t>
        </is>
      </c>
      <c r="E211" t="inlineStr">
        <is>
          <t>https://lpjk.pu.go.id/search-badan-usaha-detail/M1FiUkdQSVQ5UjRjSExKLzJWMExqZz09</t>
        </is>
      </c>
      <c r="F211" t="n">
        <v>3</v>
      </c>
      <c r="G211" t="inlineStr">
        <is>
          <t>BG005, BS010</t>
        </is>
      </c>
      <c r="H211" t="inlineStr">
        <is>
          <t>5 Agustus 1999</t>
        </is>
      </c>
      <c r="I211" s="2" t="n">
        <v>46285</v>
      </c>
      <c r="J211" t="inlineStr">
        <is>
          <t>Disetujui</t>
        </is>
      </c>
      <c r="K211" t="n">
        <v>60</v>
      </c>
      <c r="L211" t="inlineStr">
        <is>
          <t>20 September 2026</t>
        </is>
      </c>
      <c r="M211" t="inlineStr">
        <is>
          <t>Konstruksi Bangunan Prasarana Sumber Daya Air, Konstruksi Gedung Kesehatan</t>
        </is>
      </c>
      <c r="N211" t="inlineStr">
        <is>
          <t>K</t>
        </is>
      </c>
      <c r="O211" t="inlineStr">
        <is>
          <t>20230918, 20230920</t>
        </is>
      </c>
      <c r="P211" t="inlineStr">
        <is>
          <t>Jambi</t>
        </is>
      </c>
      <c r="Q211" t="inlineStr"/>
    </row>
    <row r="212">
      <c r="A212" t="inlineStr">
        <is>
          <t>SAGALA JAYA</t>
        </is>
      </c>
      <c r="B212" t="inlineStr">
        <is>
          <t>Kab. Asahan</t>
        </is>
      </c>
      <c r="C212" t="inlineStr">
        <is>
          <t>085362787158</t>
        </is>
      </c>
      <c r="D212" t="inlineStr">
        <is>
          <t>SAGALAJAYA@YAHOO.COM</t>
        </is>
      </c>
      <c r="E212" t="inlineStr">
        <is>
          <t>https://lpjk.pu.go.id/search-badan-usaha-detail/aTVmNWFwWi9CdGNBVkZhUHNRUjRoQT09</t>
        </is>
      </c>
      <c r="F212" t="n">
        <v>1</v>
      </c>
      <c r="G212" t="inlineStr">
        <is>
          <t>BG006</t>
        </is>
      </c>
      <c r="H212" t="inlineStr">
        <is>
          <t>22 Februari 2017</t>
        </is>
      </c>
      <c r="I212" s="2" t="n">
        <v>46285</v>
      </c>
      <c r="J212" t="inlineStr">
        <is>
          <t>Disetujui</t>
        </is>
      </c>
      <c r="K212" t="n">
        <v>60</v>
      </c>
      <c r="L212" t="inlineStr">
        <is>
          <t>20 September 2026</t>
        </is>
      </c>
      <c r="M212" t="inlineStr">
        <is>
          <t>Konstruksi Gedung Pendidikan</t>
        </is>
      </c>
      <c r="N212" t="inlineStr">
        <is>
          <t>K</t>
        </is>
      </c>
      <c r="O212" t="inlineStr">
        <is>
          <t>20230920</t>
        </is>
      </c>
      <c r="P212" t="inlineStr">
        <is>
          <t>Sumatera Utara</t>
        </is>
      </c>
      <c r="Q212" t="inlineStr"/>
    </row>
    <row r="213">
      <c r="A213" t="inlineStr">
        <is>
          <t>SAKA WIRA UTAMA</t>
        </is>
      </c>
      <c r="B213" t="inlineStr">
        <is>
          <t>Kota Surabaya</t>
        </is>
      </c>
      <c r="C213" t="inlineStr">
        <is>
          <t>0822322220114</t>
        </is>
      </c>
      <c r="D213" t="inlineStr">
        <is>
          <t>cvsakawirautama@gmail.com</t>
        </is>
      </c>
      <c r="E213" t="inlineStr">
        <is>
          <t>https://lpjk.pu.go.id/search-badan-usaha-detail/c0l5NDU0ZXYzR2pvNTBaaFRLblp0QT09</t>
        </is>
      </c>
      <c r="F213" t="n">
        <v>1</v>
      </c>
      <c r="G213" t="inlineStr">
        <is>
          <t>BS001</t>
        </is>
      </c>
      <c r="H213" t="inlineStr">
        <is>
          <t>26 Januari 2023</t>
        </is>
      </c>
      <c r="I213" s="2" t="n">
        <v>46285</v>
      </c>
      <c r="J213" t="inlineStr">
        <is>
          <t>Disetujui</t>
        </is>
      </c>
      <c r="K213" t="n">
        <v>60</v>
      </c>
      <c r="L213" t="inlineStr">
        <is>
          <t>20 September 2026</t>
        </is>
      </c>
      <c r="M213" t="inlineStr">
        <is>
          <t>Konstruksi Bangunan Sipil Jalan</t>
        </is>
      </c>
      <c r="N213" t="inlineStr">
        <is>
          <t>K</t>
        </is>
      </c>
      <c r="O213" t="inlineStr">
        <is>
          <t>20230919</t>
        </is>
      </c>
      <c r="P213" t="inlineStr">
        <is>
          <t>Jawa Timur</t>
        </is>
      </c>
      <c r="Q213" t="inlineStr"/>
    </row>
    <row r="214">
      <c r="A214" t="inlineStr">
        <is>
          <t>SAMPOERNA KONS</t>
        </is>
      </c>
      <c r="B214" t="inlineStr">
        <is>
          <t>Kab. Tanah Bumbu</t>
        </is>
      </c>
      <c r="C214" t="inlineStr">
        <is>
          <t>082250456679</t>
        </is>
      </c>
      <c r="D214" t="inlineStr">
        <is>
          <t>sampoerna_kons@yahoo.com</t>
        </is>
      </c>
      <c r="E214" t="inlineStr">
        <is>
          <t>https://lpjk.pu.go.id/search-badan-usaha-detail/ZkF5YU45dmcrV0tsMitkcDlLT3BWZz09</t>
        </is>
      </c>
      <c r="F214" t="n">
        <v>1</v>
      </c>
      <c r="G214" t="inlineStr">
        <is>
          <t>RK003</t>
        </is>
      </c>
      <c r="H214" t="inlineStr">
        <is>
          <t>9 April 2013</t>
        </is>
      </c>
      <c r="I214" s="2" t="n">
        <v>46285</v>
      </c>
      <c r="J214" t="inlineStr">
        <is>
          <t>Disetujui</t>
        </is>
      </c>
      <c r="K214" t="n">
        <v>60</v>
      </c>
      <c r="L214" t="inlineStr">
        <is>
          <t>20 September 2026</t>
        </is>
      </c>
      <c r="M214" t="inlineStr">
        <is>
          <t>Jasa Rekayasa Pekerjaan Teknik Sipil Transportasi</t>
        </is>
      </c>
      <c r="N214" t="inlineStr">
        <is>
          <t>K</t>
        </is>
      </c>
      <c r="O214" t="inlineStr">
        <is>
          <t>20230825</t>
        </is>
      </c>
      <c r="P214" t="inlineStr">
        <is>
          <t>Kalimantan Selatan</t>
        </is>
      </c>
      <c r="Q214" t="inlineStr"/>
    </row>
    <row r="215">
      <c r="A215" t="inlineStr">
        <is>
          <t>SAMSUNG C&amp;T CORPORATION</t>
        </is>
      </c>
      <c r="B215" t="inlineStr">
        <is>
          <t>Kota Adm. Jakarta Selatan</t>
        </is>
      </c>
      <c r="C215" t="inlineStr">
        <is>
          <t>02129880418</t>
        </is>
      </c>
      <c r="D215" t="inlineStr">
        <is>
          <t>secc.ina@samsung.com</t>
        </is>
      </c>
      <c r="E215" t="inlineStr">
        <is>
          <t>https://lpjk.pu.go.id/search-badan-usaha-detail/VVpBZHFpYXZqcmdGNVVDbFpnekV1UT09</t>
        </is>
      </c>
      <c r="F215" t="n">
        <v>1</v>
      </c>
      <c r="G215" t="inlineStr">
        <is>
          <t>BG002</t>
        </is>
      </c>
      <c r="H215" t="inlineStr">
        <is>
          <t>23 Desember 1963</t>
        </is>
      </c>
      <c r="I215" s="2" t="n">
        <v>46285</v>
      </c>
      <c r="J215" t="inlineStr">
        <is>
          <t>Disetujui</t>
        </is>
      </c>
      <c r="K215" t="n">
        <v>60</v>
      </c>
      <c r="L215" t="inlineStr">
        <is>
          <t>20 September 2026</t>
        </is>
      </c>
      <c r="M215" t="inlineStr">
        <is>
          <t>Konstruksi Gedung Perkantoran</t>
        </is>
      </c>
      <c r="N215" t="inlineStr">
        <is>
          <t>B</t>
        </is>
      </c>
      <c r="O215" t="inlineStr">
        <is>
          <t>20230907</t>
        </is>
      </c>
      <c r="P215" t="inlineStr">
        <is>
          <t>DKI Jakarta</t>
        </is>
      </c>
      <c r="Q215" t="inlineStr"/>
    </row>
    <row r="216">
      <c r="A216" t="inlineStr">
        <is>
          <t>SAMUDERA INDOTAMA</t>
        </is>
      </c>
      <c r="B216" t="inlineStr">
        <is>
          <t>Kota Medan</t>
        </is>
      </c>
      <c r="C216" t="inlineStr">
        <is>
          <t>0821643812000</t>
        </is>
      </c>
      <c r="D216" t="inlineStr">
        <is>
          <t>samuderaindotama@gmail.com</t>
        </is>
      </c>
      <c r="E216" t="inlineStr">
        <is>
          <t>https://lpjk.pu.go.id/search-badan-usaha-detail/bHA0TGFZc08rekI0eTl4aG1ocDVpdz09</t>
        </is>
      </c>
      <c r="F216" t="n">
        <v>1</v>
      </c>
      <c r="G216" t="inlineStr">
        <is>
          <t>BG009</t>
        </is>
      </c>
      <c r="H216" t="inlineStr">
        <is>
          <t>4 November 2019</t>
        </is>
      </c>
      <c r="I216" s="2" t="n">
        <v>46285</v>
      </c>
      <c r="J216" t="inlineStr">
        <is>
          <t>Disetujui</t>
        </is>
      </c>
      <c r="K216" t="n">
        <v>60</v>
      </c>
      <c r="L216" t="inlineStr">
        <is>
          <t>20 September 2026</t>
        </is>
      </c>
      <c r="M216" t="inlineStr">
        <is>
          <t>Konstruksi Gedung Lainnya</t>
        </is>
      </c>
      <c r="N216" t="inlineStr">
        <is>
          <t>K</t>
        </is>
      </c>
      <c r="O216" t="inlineStr">
        <is>
          <t>20230905</t>
        </is>
      </c>
      <c r="P216" t="inlineStr">
        <is>
          <t>Sumatera Utara</t>
        </is>
      </c>
      <c r="Q216" t="inlineStr"/>
    </row>
    <row r="217">
      <c r="A217" t="inlineStr">
        <is>
          <t>SARAH PERMATA KHATULISTIWA</t>
        </is>
      </c>
      <c r="B217" t="inlineStr">
        <is>
          <t>Kota Pontianak</t>
        </is>
      </c>
      <c r="C217" t="inlineStr">
        <is>
          <t>082153212100</t>
        </is>
      </c>
      <c r="D217" t="inlineStr">
        <is>
          <t>sarahpermata2021@gmail.com</t>
        </is>
      </c>
      <c r="E217" t="inlineStr">
        <is>
          <t>https://lpjk.pu.go.id/search-badan-usaha-detail/TktWa09LRC9CTktsT2NZRytVaTdWZz09</t>
        </is>
      </c>
      <c r="F217" t="n">
        <v>2</v>
      </c>
      <c r="G217" t="inlineStr">
        <is>
          <t>BG006, BG009</t>
        </is>
      </c>
      <c r="H217" t="inlineStr">
        <is>
          <t>10 Desember 2009</t>
        </is>
      </c>
      <c r="I217" s="2" t="n">
        <v>46285</v>
      </c>
      <c r="J217" t="inlineStr">
        <is>
          <t>Disetujui</t>
        </is>
      </c>
      <c r="K217" t="n">
        <v>60</v>
      </c>
      <c r="L217" t="inlineStr">
        <is>
          <t>20 September 2026</t>
        </is>
      </c>
      <c r="M217" t="inlineStr">
        <is>
          <t>Konstruksi Gedung Lainnya, Konstruksi Gedung Pendidikan</t>
        </is>
      </c>
      <c r="N217" t="inlineStr">
        <is>
          <t>K</t>
        </is>
      </c>
      <c r="O217" t="inlineStr">
        <is>
          <t>20230920, 20230921</t>
        </is>
      </c>
      <c r="P217" t="inlineStr">
        <is>
          <t>Kalimantan Barat</t>
        </is>
      </c>
      <c r="Q217" t="inlineStr"/>
    </row>
    <row r="218">
      <c r="A218" t="inlineStr">
        <is>
          <t>SARI NUGRAHA</t>
        </is>
      </c>
      <c r="B218" t="inlineStr">
        <is>
          <t>Kab. Lombok Barat</t>
        </is>
      </c>
      <c r="C218" t="inlineStr">
        <is>
          <t>0370673116</t>
        </is>
      </c>
      <c r="D218" t="inlineStr">
        <is>
          <t>sarinugraha64@yahoo.com</t>
        </is>
      </c>
      <c r="E218" t="inlineStr">
        <is>
          <t>https://lpjk.pu.go.id/search-badan-usaha-detail/SVJZV3VLdkFrUzVVanl5aTVFMEVJQT09</t>
        </is>
      </c>
      <c r="F218" t="n">
        <v>1</v>
      </c>
      <c r="G218" t="inlineStr">
        <is>
          <t>BS001</t>
        </is>
      </c>
      <c r="H218" t="inlineStr">
        <is>
          <t>21 Juni 1975</t>
        </is>
      </c>
      <c r="I218" s="2" t="n">
        <v>46285</v>
      </c>
      <c r="J218" t="inlineStr">
        <is>
          <t>Disetujui</t>
        </is>
      </c>
      <c r="K218" t="n">
        <v>60</v>
      </c>
      <c r="L218" t="inlineStr">
        <is>
          <t>20 September 2026</t>
        </is>
      </c>
      <c r="M218" t="inlineStr">
        <is>
          <t>Konstruksi Bangunan Sipil Jalan</t>
        </is>
      </c>
      <c r="N218" t="inlineStr">
        <is>
          <t>K</t>
        </is>
      </c>
      <c r="O218" t="inlineStr">
        <is>
          <t>20230907</t>
        </is>
      </c>
      <c r="P218" t="inlineStr">
        <is>
          <t>Nusa Tenggara Barat</t>
        </is>
      </c>
      <c r="Q218" t="inlineStr"/>
    </row>
    <row r="219">
      <c r="A219" t="inlineStr">
        <is>
          <t>SATUI SARANA JAYA</t>
        </is>
      </c>
      <c r="B219" t="inlineStr">
        <is>
          <t>Kab. Tanah Bumbu</t>
        </is>
      </c>
      <c r="C219" t="inlineStr">
        <is>
          <t>081293577461</t>
        </is>
      </c>
      <c r="D219" t="inlineStr">
        <is>
          <t>satuisaranajaya@gmail.com</t>
        </is>
      </c>
      <c r="E219" t="inlineStr">
        <is>
          <t>https://lpjk.pu.go.id/search-badan-usaha-detail/WHNOZWpKQUZvU1VWV250QUQ4UUVudz09</t>
        </is>
      </c>
      <c r="F219" t="n">
        <v>4</v>
      </c>
      <c r="G219" t="inlineStr">
        <is>
          <t>BG001, BS001, BS002, BS011</t>
        </is>
      </c>
      <c r="H219" t="inlineStr">
        <is>
          <t>1 September 2020</t>
        </is>
      </c>
      <c r="I219" s="2" t="n">
        <v>46285</v>
      </c>
      <c r="J219" t="inlineStr">
        <is>
          <t>Disetujui, Pencabutan</t>
        </is>
      </c>
      <c r="K219" t="n">
        <v>60</v>
      </c>
      <c r="L219" t="inlineStr">
        <is>
          <t>20 September 2026</t>
        </is>
      </c>
      <c r="M219" t="inlineStr">
        <is>
          <t>Bangunan Sipil Jembatan, Jalan Layang, Fly Over, dan Underpass, Konstruksi Bangunan Pelabuhan Bukan Perikanan, Konstruksi Bangunan Sipil Jalan, Konstruksi Gedung Hunian</t>
        </is>
      </c>
      <c r="N219" t="inlineStr">
        <is>
          <t>K</t>
        </is>
      </c>
      <c r="O219" t="inlineStr">
        <is>
          <t>20230921</t>
        </is>
      </c>
      <c r="P219" t="inlineStr">
        <is>
          <t>Kalimantan Selatan</t>
        </is>
      </c>
      <c r="Q219" t="inlineStr"/>
    </row>
    <row r="220">
      <c r="A220" t="inlineStr">
        <is>
          <t>SAVAQIRA LIMA EMPAT</t>
        </is>
      </c>
      <c r="B220" t="inlineStr">
        <is>
          <t>Kab. Lampung Tengah</t>
        </is>
      </c>
      <c r="C220" t="inlineStr">
        <is>
          <t>082179843351</t>
        </is>
      </c>
      <c r="D220" t="inlineStr">
        <is>
          <t>cvsavaqiral54@gmail.com</t>
        </is>
      </c>
      <c r="E220" t="inlineStr">
        <is>
          <t>https://lpjk.pu.go.id/search-badan-usaha-detail/T0JNWnJvMlM2UTc0RHdYaitZSUhRdz09</t>
        </is>
      </c>
      <c r="F220" t="n">
        <v>2</v>
      </c>
      <c r="G220" t="inlineStr">
        <is>
          <t>BG006, BG009</t>
        </is>
      </c>
      <c r="H220" t="inlineStr">
        <is>
          <t>24 September 2021</t>
        </is>
      </c>
      <c r="I220" s="2" t="n">
        <v>46285</v>
      </c>
      <c r="J220" t="inlineStr">
        <is>
          <t>Disetujui</t>
        </is>
      </c>
      <c r="K220" t="n">
        <v>60</v>
      </c>
      <c r="L220" t="inlineStr">
        <is>
          <t>20 September 2026</t>
        </is>
      </c>
      <c r="M220" t="inlineStr">
        <is>
          <t>Konstruksi Gedung Lainnya, Konstruksi Gedung Pendidikan</t>
        </is>
      </c>
      <c r="N220" t="inlineStr">
        <is>
          <t>K</t>
        </is>
      </c>
      <c r="O220" t="inlineStr">
        <is>
          <t>20230916, 20230919</t>
        </is>
      </c>
      <c r="P220" t="inlineStr">
        <is>
          <t>Lampung</t>
        </is>
      </c>
      <c r="Q220" t="inlineStr"/>
    </row>
    <row r="221">
      <c r="A221" t="inlineStr">
        <is>
          <t>SENDY RIZKY</t>
        </is>
      </c>
      <c r="B221" t="inlineStr">
        <is>
          <t>Kab. Bandung</t>
        </is>
      </c>
      <c r="C221" t="inlineStr">
        <is>
          <t>082218677484</t>
        </is>
      </c>
      <c r="D221" t="inlineStr">
        <is>
          <t>sendyrizky.cv@gmail.com</t>
        </is>
      </c>
      <c r="E221" t="inlineStr">
        <is>
          <t>https://lpjk.pu.go.id/search-badan-usaha-detail/M3V3eWdJOHRFelV0T1ZyS3M4NTRRdz09</t>
        </is>
      </c>
      <c r="F221" t="n">
        <v>1</v>
      </c>
      <c r="G221" t="inlineStr">
        <is>
          <t>BS001</t>
        </is>
      </c>
      <c r="H221" t="inlineStr">
        <is>
          <t>1 Maret 2023</t>
        </is>
      </c>
      <c r="I221" s="2" t="n">
        <v>46285</v>
      </c>
      <c r="J221" t="inlineStr">
        <is>
          <t>Disetujui</t>
        </is>
      </c>
      <c r="K221" t="n">
        <v>60</v>
      </c>
      <c r="L221" t="inlineStr">
        <is>
          <t>20 September 2026</t>
        </is>
      </c>
      <c r="M221" t="inlineStr">
        <is>
          <t>Konstruksi Bangunan Sipil Jalan</t>
        </is>
      </c>
      <c r="N221" t="inlineStr">
        <is>
          <t>K</t>
        </is>
      </c>
      <c r="O221" t="inlineStr">
        <is>
          <t>20230915</t>
        </is>
      </c>
      <c r="P221" t="inlineStr">
        <is>
          <t>Jawa Barat</t>
        </is>
      </c>
      <c r="Q221" t="inlineStr"/>
    </row>
    <row r="222">
      <c r="A222" t="inlineStr">
        <is>
          <t>SEPAKAT JAYA</t>
        </is>
      </c>
      <c r="B222" t="inlineStr">
        <is>
          <t>Kota Pontianak</t>
        </is>
      </c>
      <c r="C222" t="inlineStr">
        <is>
          <t>082159824895</t>
        </is>
      </c>
      <c r="D222" t="inlineStr">
        <is>
          <t>cv.sepakatjaya77@gmail.com</t>
        </is>
      </c>
      <c r="E222" t="inlineStr">
        <is>
          <t>https://lpjk.pu.go.id/search-badan-usaha-detail/NWNtTit2U1BHYzlXT1puN2VrdC9pdz09</t>
        </is>
      </c>
      <c r="F222" t="n">
        <v>1</v>
      </c>
      <c r="G222" t="inlineStr">
        <is>
          <t>BS004</t>
        </is>
      </c>
      <c r="H222" t="inlineStr">
        <is>
          <t>6 Desember 2016</t>
        </is>
      </c>
      <c r="I222" s="2" t="n">
        <v>46285</v>
      </c>
      <c r="J222" t="inlineStr">
        <is>
          <t>Pencabutan</t>
        </is>
      </c>
      <c r="K222" t="n">
        <v>60</v>
      </c>
      <c r="L222" t="inlineStr">
        <is>
          <t>20 September 2026</t>
        </is>
      </c>
      <c r="M222" t="inlineStr">
        <is>
          <t>Konstruksi Jaringan Irigasi dan Drainase</t>
        </is>
      </c>
      <c r="N222" t="inlineStr">
        <is>
          <t>K</t>
        </is>
      </c>
      <c r="O222" t="inlineStr">
        <is>
          <t>20230915</t>
        </is>
      </c>
      <c r="P222" t="inlineStr">
        <is>
          <t>Kalimantan Barat</t>
        </is>
      </c>
      <c r="Q222" t="inlineStr"/>
    </row>
    <row r="223">
      <c r="A223" t="inlineStr">
        <is>
          <t>SETIAWAN ABADI GRUP</t>
        </is>
      </c>
      <c r="B223" t="inlineStr">
        <is>
          <t>Kab. Sidoarjo</t>
        </is>
      </c>
      <c r="C223" t="inlineStr">
        <is>
          <t>082336354005</t>
        </is>
      </c>
      <c r="D223" t="inlineStr">
        <is>
          <t>setiawanabadi64@gmail.com</t>
        </is>
      </c>
      <c r="E223" t="inlineStr">
        <is>
          <t>https://lpjk.pu.go.id/search-badan-usaha-detail/bm9tcVhXdlRJS3ZsK0RnQWMxZmYxdz09</t>
        </is>
      </c>
      <c r="F223" t="n">
        <v>5</v>
      </c>
      <c r="G223" t="inlineStr">
        <is>
          <t>BG009, BS001, BS004, BS005</t>
        </is>
      </c>
      <c r="H223" t="inlineStr">
        <is>
          <t>25 Agustus 2021</t>
        </is>
      </c>
      <c r="I223" s="2" t="n">
        <v>46285</v>
      </c>
      <c r="J223" t="inlineStr">
        <is>
          <t>Disetujui</t>
        </is>
      </c>
      <c r="K223" t="n">
        <v>60</v>
      </c>
      <c r="L223" t="inlineStr">
        <is>
          <t>20 September 2026</t>
        </is>
      </c>
      <c r="M223" t="inlineStr">
        <is>
          <t>Konstruksi Bangunan Sipil Jalan, Konstruksi Bangunan Sipil Pengolahan Air Bersih, Konstruksi Gedung Lainnya, Konstruksi Jaringan Irigasi dan Drainase</t>
        </is>
      </c>
      <c r="N223" t="inlineStr">
        <is>
          <t>K</t>
        </is>
      </c>
      <c r="O223" t="inlineStr">
        <is>
          <t>20230912, 20230919</t>
        </is>
      </c>
      <c r="P223" t="inlineStr">
        <is>
          <t>Jawa Timur</t>
        </is>
      </c>
      <c r="Q223" t="inlineStr"/>
    </row>
    <row r="224">
      <c r="A224" t="inlineStr">
        <is>
          <t>SHAFAMA PRIMA KONSULTAN</t>
        </is>
      </c>
      <c r="B224" t="inlineStr">
        <is>
          <t>Kota Tangerang</t>
        </is>
      </c>
      <c r="C224" t="inlineStr">
        <is>
          <t>087713874686</t>
        </is>
      </c>
      <c r="D224" t="inlineStr">
        <is>
          <t>shafamaprima@gmail.com</t>
        </is>
      </c>
      <c r="E224" t="inlineStr">
        <is>
          <t>https://lpjk.pu.go.id/search-badan-usaha-detail/MS95ajg3T0FRSm00Y0FWWXFRdVdhdz09</t>
        </is>
      </c>
      <c r="F224" t="n">
        <v>1</v>
      </c>
      <c r="G224" t="inlineStr">
        <is>
          <t>RK001</t>
        </is>
      </c>
      <c r="H224" t="inlineStr">
        <is>
          <t>20 Maret 2019</t>
        </is>
      </c>
      <c r="I224" s="2" t="n">
        <v>46285</v>
      </c>
      <c r="J224" t="inlineStr">
        <is>
          <t>Disetujui</t>
        </is>
      </c>
      <c r="K224" t="n">
        <v>60</v>
      </c>
      <c r="L224" t="inlineStr">
        <is>
          <t>20 September 2026</t>
        </is>
      </c>
      <c r="M224" t="inlineStr">
        <is>
          <t>Jasa Rekayasa Konstruksi Bangunan Gedung Hunian dan Non Hunian</t>
        </is>
      </c>
      <c r="N224" t="inlineStr">
        <is>
          <t>K</t>
        </is>
      </c>
      <c r="O224" t="inlineStr">
        <is>
          <t>20230914</t>
        </is>
      </c>
      <c r="P224" t="inlineStr">
        <is>
          <t>Banten</t>
        </is>
      </c>
      <c r="Q224" t="inlineStr"/>
    </row>
    <row r="225">
      <c r="A225" t="inlineStr">
        <is>
          <t>SINAR BINTANG</t>
        </is>
      </c>
      <c r="B225" t="inlineStr">
        <is>
          <t>Kab. Bandung</t>
        </is>
      </c>
      <c r="C225" t="inlineStr">
        <is>
          <t>081322964044</t>
        </is>
      </c>
      <c r="D225" t="inlineStr">
        <is>
          <t>sb681538@gmail.com</t>
        </is>
      </c>
      <c r="E225" t="inlineStr">
        <is>
          <t>https://lpjk.pu.go.id/search-badan-usaha-detail/OWk3eERUaTloOVhmNXBjVDlISjVMUT09</t>
        </is>
      </c>
      <c r="F225" t="n">
        <v>1</v>
      </c>
      <c r="G225" t="inlineStr">
        <is>
          <t>BG002</t>
        </is>
      </c>
      <c r="H225" t="inlineStr">
        <is>
          <t>8 Maret 2016</t>
        </is>
      </c>
      <c r="I225" s="2" t="n">
        <v>46285</v>
      </c>
      <c r="J225" t="inlineStr">
        <is>
          <t>Pencabutan</t>
        </is>
      </c>
      <c r="K225" t="n">
        <v>60</v>
      </c>
      <c r="L225" t="inlineStr">
        <is>
          <t>20 September 2026</t>
        </is>
      </c>
      <c r="M225" t="inlineStr">
        <is>
          <t>Konstruksi Gedung Perkantoran</t>
        </is>
      </c>
      <c r="N225" t="inlineStr">
        <is>
          <t>K</t>
        </is>
      </c>
      <c r="O225" t="inlineStr">
        <is>
          <t>20230921</t>
        </is>
      </c>
      <c r="P225" t="inlineStr">
        <is>
          <t>Jawa Barat</t>
        </is>
      </c>
      <c r="Q225" t="inlineStr"/>
    </row>
    <row r="226">
      <c r="A226" t="inlineStr">
        <is>
          <t>SINAR DODO</t>
        </is>
      </c>
      <c r="B226" t="inlineStr">
        <is>
          <t>Kab. Tapin</t>
        </is>
      </c>
      <c r="C226" t="inlineStr">
        <is>
          <t>085350055167</t>
        </is>
      </c>
      <c r="D226" t="inlineStr">
        <is>
          <t>cvsinardodo@gmail.com</t>
        </is>
      </c>
      <c r="E226" t="inlineStr">
        <is>
          <t>https://lpjk.pu.go.id/search-badan-usaha-detail/ZE0wNTM5NXArU3k0M1Q1eHFKTStsUT09</t>
        </is>
      </c>
      <c r="F226" t="n">
        <v>8</v>
      </c>
      <c r="G226" t="inlineStr">
        <is>
          <t>BG006, BG009, BS001, BS004, BS010</t>
        </is>
      </c>
      <c r="H226" t="inlineStr">
        <is>
          <t>29 Agustus 2023</t>
        </is>
      </c>
      <c r="I226" s="2" t="n">
        <v>46285</v>
      </c>
      <c r="J226" t="inlineStr">
        <is>
          <t>Disetujui</t>
        </is>
      </c>
      <c r="K226" t="n">
        <v>60</v>
      </c>
      <c r="L226" t="inlineStr">
        <is>
          <t>20 September 2026</t>
        </is>
      </c>
      <c r="M226" t="inlineStr">
        <is>
          <t>Konstruksi Bangunan Prasarana Sumber Daya Air, Konstruksi Bangunan Sipil Jalan, Konstruksi Gedung Lainnya, Konstruksi Gedung Pendidikan, Konstruksi Jaringan Irigasi dan Drainase</t>
        </is>
      </c>
      <c r="N226" t="inlineStr">
        <is>
          <t>K</t>
        </is>
      </c>
      <c r="O226" t="inlineStr">
        <is>
          <t>20230920, 20230921</t>
        </is>
      </c>
      <c r="P226" t="inlineStr">
        <is>
          <t>Kalimantan Selatan</t>
        </is>
      </c>
      <c r="Q226" t="inlineStr"/>
    </row>
    <row r="227">
      <c r="A227" t="inlineStr">
        <is>
          <t>SINAR GEMILANG</t>
        </is>
      </c>
      <c r="B227" t="inlineStr">
        <is>
          <t>Kab. Tuban</t>
        </is>
      </c>
      <c r="C227" t="inlineStr">
        <is>
          <t>081332413436</t>
        </is>
      </c>
      <c r="D227" t="inlineStr">
        <is>
          <t>sinargemilang25@gmail.com</t>
        </is>
      </c>
      <c r="E227" t="inlineStr">
        <is>
          <t>https://lpjk.pu.go.id/search-badan-usaha-detail/Vk93S3Z1bmQ5S2pKRlRQNW9hR1lqQT09</t>
        </is>
      </c>
      <c r="F227" t="n">
        <v>1</v>
      </c>
      <c r="G227" t="inlineStr">
        <is>
          <t>BS001</t>
        </is>
      </c>
      <c r="H227" t="inlineStr">
        <is>
          <t>23 Desember 2015</t>
        </is>
      </c>
      <c r="I227" s="2" t="n">
        <v>46285</v>
      </c>
      <c r="J227" t="inlineStr">
        <is>
          <t>Disetujui</t>
        </is>
      </c>
      <c r="K227" t="n">
        <v>60</v>
      </c>
      <c r="L227" t="inlineStr">
        <is>
          <t>20 September 2026</t>
        </is>
      </c>
      <c r="M227" t="inlineStr">
        <is>
          <t>Konstruksi Bangunan Sipil Jalan</t>
        </is>
      </c>
      <c r="N227" t="inlineStr">
        <is>
          <t>K</t>
        </is>
      </c>
      <c r="O227" t="inlineStr">
        <is>
          <t>20230918</t>
        </is>
      </c>
      <c r="P227" t="inlineStr">
        <is>
          <t>Jawa Timur</t>
        </is>
      </c>
      <c r="Q227" t="inlineStr"/>
    </row>
    <row r="228">
      <c r="A228" t="inlineStr">
        <is>
          <t>SINAR PURNAMA GEMILANG</t>
        </is>
      </c>
      <c r="B228" t="inlineStr">
        <is>
          <t>Kota Batu</t>
        </is>
      </c>
      <c r="C228" t="inlineStr">
        <is>
          <t>081935176514</t>
        </is>
      </c>
      <c r="D228" t="inlineStr">
        <is>
          <t>sinarpurnamagemilang@gmail.com</t>
        </is>
      </c>
      <c r="E228" t="inlineStr">
        <is>
          <t>https://lpjk.pu.go.id/search-badan-usaha-detail/eHZ1cUhtRTM3QmRQeVg1VVRNT3RiZz09</t>
        </is>
      </c>
      <c r="F228" t="n">
        <v>1</v>
      </c>
      <c r="G228" t="inlineStr">
        <is>
          <t>BS004</t>
        </is>
      </c>
      <c r="H228" t="inlineStr">
        <is>
          <t>7 April 2020</t>
        </is>
      </c>
      <c r="I228" s="2" t="n">
        <v>46285</v>
      </c>
      <c r="J228" t="inlineStr">
        <is>
          <t>Disetujui</t>
        </is>
      </c>
      <c r="K228" t="n">
        <v>60</v>
      </c>
      <c r="L228" t="inlineStr">
        <is>
          <t>20 September 2026</t>
        </is>
      </c>
      <c r="M228" t="inlineStr">
        <is>
          <t>Konstruksi Jaringan Irigasi dan Drainase</t>
        </is>
      </c>
      <c r="N228" t="inlineStr">
        <is>
          <t>K</t>
        </is>
      </c>
      <c r="O228" t="inlineStr">
        <is>
          <t>20230907</t>
        </is>
      </c>
      <c r="P228" t="inlineStr">
        <is>
          <t>Jawa Timur</t>
        </is>
      </c>
      <c r="Q228" t="inlineStr"/>
    </row>
    <row r="229">
      <c r="A229" t="inlineStr">
        <is>
          <t>SINAR TANTINA</t>
        </is>
      </c>
      <c r="B229" t="inlineStr">
        <is>
          <t>Kab. Kutai Timur</t>
        </is>
      </c>
      <c r="C229" t="inlineStr">
        <is>
          <t>085250853833</t>
        </is>
      </c>
      <c r="D229" t="inlineStr">
        <is>
          <t>cvsinartantina@yahoo.com</t>
        </is>
      </c>
      <c r="E229" t="inlineStr">
        <is>
          <t>https://lpjk.pu.go.id/search-badan-usaha-detail/anN4cG9xMFVoQWhwNDB3RG5LdjdNdz09</t>
        </is>
      </c>
      <c r="F229" t="n">
        <v>3</v>
      </c>
      <c r="G229" t="inlineStr">
        <is>
          <t>BG006, BS001, BS010</t>
        </is>
      </c>
      <c r="H229" t="inlineStr">
        <is>
          <t>1 November 2022</t>
        </is>
      </c>
      <c r="I229" s="2" t="n">
        <v>46285</v>
      </c>
      <c r="J229" t="inlineStr">
        <is>
          <t>Disetujui, Pencabutan</t>
        </is>
      </c>
      <c r="K229" t="n">
        <v>60</v>
      </c>
      <c r="L229" t="inlineStr">
        <is>
          <t>20 September 2026</t>
        </is>
      </c>
      <c r="M229" t="inlineStr">
        <is>
          <t>Konstruksi Bangunan Prasarana Sumber Daya Air, Konstruksi Bangunan Sipil Jalan, Konstruksi Gedung Pendidikan</t>
        </is>
      </c>
      <c r="N229" t="inlineStr">
        <is>
          <t>K</t>
        </is>
      </c>
      <c r="O229" t="inlineStr">
        <is>
          <t>20230917, 20230919</t>
        </is>
      </c>
      <c r="P229" t="inlineStr">
        <is>
          <t>Kalimantan Timur</t>
        </is>
      </c>
      <c r="Q229" t="inlineStr"/>
    </row>
    <row r="230">
      <c r="A230" t="inlineStr">
        <is>
          <t>SINARA &amp; BROTHERS</t>
        </is>
      </c>
      <c r="B230" t="inlineStr">
        <is>
          <t>Kota Adm. Jakarta Selatan</t>
        </is>
      </c>
      <c r="C230" t="inlineStr">
        <is>
          <t>0217694906</t>
        </is>
      </c>
      <c r="D230" t="inlineStr">
        <is>
          <t>sinarabrothers09@gmail.com</t>
        </is>
      </c>
      <c r="E230" t="inlineStr">
        <is>
          <t>https://lpjk.pu.go.id/search-badan-usaha-detail/SFdkclI1dWpyamNwRXBrUkQwZmFhQT09</t>
        </is>
      </c>
      <c r="F230" t="n">
        <v>1</v>
      </c>
      <c r="G230" t="inlineStr">
        <is>
          <t>BG009</t>
        </is>
      </c>
      <c r="H230" t="inlineStr">
        <is>
          <t>31 Oktober 2009</t>
        </is>
      </c>
      <c r="I230" s="2" t="n">
        <v>46285</v>
      </c>
      <c r="J230" t="inlineStr">
        <is>
          <t>Disetujui</t>
        </is>
      </c>
      <c r="K230" t="n">
        <v>60</v>
      </c>
      <c r="L230" t="inlineStr">
        <is>
          <t>20 September 2026</t>
        </is>
      </c>
      <c r="M230" t="inlineStr">
        <is>
          <t>Konstruksi Gedung Lainnya</t>
        </is>
      </c>
      <c r="N230" t="inlineStr">
        <is>
          <t>K</t>
        </is>
      </c>
      <c r="O230" t="inlineStr">
        <is>
          <t>20230531</t>
        </is>
      </c>
      <c r="P230" t="inlineStr">
        <is>
          <t>DKI Jakarta</t>
        </is>
      </c>
      <c r="Q230" t="inlineStr"/>
    </row>
    <row r="231">
      <c r="A231" t="inlineStr">
        <is>
          <t>SINERGI JOMBANG PATRIOT</t>
        </is>
      </c>
      <c r="B231" t="inlineStr">
        <is>
          <t>Kab. Jombang</t>
        </is>
      </c>
      <c r="C231" t="inlineStr">
        <is>
          <t>0321866668</t>
        </is>
      </c>
      <c r="D231" t="inlineStr">
        <is>
          <t>sinergijombangpatriot@gmail.com</t>
        </is>
      </c>
      <c r="E231" t="inlineStr">
        <is>
          <t>https://lpjk.pu.go.id/search-badan-usaha-detail/bVk3S09zSW5TWHdZS0hTSWJqTlRhQT09</t>
        </is>
      </c>
      <c r="F231" t="n">
        <v>2</v>
      </c>
      <c r="G231" t="inlineStr">
        <is>
          <t>BS008, BS009</t>
        </is>
      </c>
      <c r="H231" t="inlineStr">
        <is>
          <t>31 Maret 2021</t>
        </is>
      </c>
      <c r="I231" s="2" t="n">
        <v>46285</v>
      </c>
      <c r="J231" t="inlineStr">
        <is>
          <t>Disetujui</t>
        </is>
      </c>
      <c r="K231" t="n">
        <v>60</v>
      </c>
      <c r="L231" t="inlineStr">
        <is>
          <t>20 September 2026</t>
        </is>
      </c>
      <c r="M231" t="inlineStr">
        <is>
          <t>Konstruksi Bangunan Sipil Telekomunikasi untuk Prasarana Transportasi, Konstruksi Sentral Telekomunikasi</t>
        </is>
      </c>
      <c r="N231" t="inlineStr">
        <is>
          <t>K</t>
        </is>
      </c>
      <c r="O231" t="inlineStr">
        <is>
          <t>20230921</t>
        </is>
      </c>
      <c r="P231" t="inlineStr">
        <is>
          <t>Jawa Timur</t>
        </is>
      </c>
      <c r="Q231" t="inlineStr"/>
    </row>
    <row r="232">
      <c r="A232" t="inlineStr">
        <is>
          <t>SOLID LYBAZ SEMESTA</t>
        </is>
      </c>
      <c r="B232" t="inlineStr">
        <is>
          <t>Kab. Malang</t>
        </is>
      </c>
      <c r="C232" t="inlineStr">
        <is>
          <t>08568375512</t>
        </is>
      </c>
      <c r="D232" t="inlineStr">
        <is>
          <t>solidlybaz.semesta@gmail.com</t>
        </is>
      </c>
      <c r="E232" t="inlineStr">
        <is>
          <t>https://lpjk.pu.go.id/search-badan-usaha-detail/eno0WjVJWTl2SVozZkV6TTF3YUx1Zz09</t>
        </is>
      </c>
      <c r="F232" t="n">
        <v>1</v>
      </c>
      <c r="G232" t="inlineStr">
        <is>
          <t>PL005</t>
        </is>
      </c>
      <c r="H232" t="inlineStr">
        <is>
          <t>16 Mei 2023</t>
        </is>
      </c>
      <c r="I232" s="2" t="n">
        <v>46285</v>
      </c>
      <c r="J232" t="inlineStr">
        <is>
          <t>Pembekuan</t>
        </is>
      </c>
      <c r="K232" t="n">
        <v>60</v>
      </c>
      <c r="L232" t="inlineStr">
        <is>
          <t>20 September 2026</t>
        </is>
      </c>
      <c r="M232" t="inlineStr">
        <is>
          <t>Pembuatan/Pengeboran Sumur Air Tanah</t>
        </is>
      </c>
      <c r="N232" t="inlineStr">
        <is>
          <t>Spesialis</t>
        </is>
      </c>
      <c r="O232" t="inlineStr">
        <is>
          <t>20230624</t>
        </is>
      </c>
      <c r="P232" t="inlineStr">
        <is>
          <t>Jawa Timur</t>
        </is>
      </c>
      <c r="Q232" t="inlineStr"/>
    </row>
    <row r="233">
      <c r="A233" t="inlineStr">
        <is>
          <t>TAHASAK JAYA KONSTRUKSI</t>
        </is>
      </c>
      <c r="B233" t="inlineStr">
        <is>
          <t>Kota Palangkaraya</t>
        </is>
      </c>
      <c r="C233" t="inlineStr">
        <is>
          <t>081250122116</t>
        </is>
      </c>
      <c r="D233" t="inlineStr">
        <is>
          <t>TAHASAKJ@gmail.com</t>
        </is>
      </c>
      <c r="E233" t="inlineStr">
        <is>
          <t>https://lpjk.pu.go.id/search-badan-usaha-detail/YkRNSDN3MXBXa2F5Mk5FdnQzOVBuZz09</t>
        </is>
      </c>
      <c r="F233" t="n">
        <v>6</v>
      </c>
      <c r="G233" t="inlineStr">
        <is>
          <t>BG001, BG002, BG005, BG006, BG009, BS001</t>
        </is>
      </c>
      <c r="H233" t="inlineStr">
        <is>
          <t>8 September 2023</t>
        </is>
      </c>
      <c r="I233" s="2" t="n">
        <v>46285</v>
      </c>
      <c r="J233" t="inlineStr">
        <is>
          <t>Disetujui</t>
        </is>
      </c>
      <c r="K233" t="n">
        <v>60</v>
      </c>
      <c r="L233" t="inlineStr">
        <is>
          <t>20 September 2026</t>
        </is>
      </c>
      <c r="M233" t="inlineStr">
        <is>
          <t>Konstruksi Bangunan Sipil Jalan, Konstruksi Gedung Hunian, Konstruksi Gedung Kesehatan, Konstruksi Gedung Lainnya, Konstruksi Gedung Pendidikan, Konstruksi Gedung Perkantoran</t>
        </is>
      </c>
      <c r="N233" t="inlineStr">
        <is>
          <t>K</t>
        </is>
      </c>
      <c r="O233" t="inlineStr">
        <is>
          <t>20230920</t>
        </is>
      </c>
      <c r="P233" t="inlineStr">
        <is>
          <t>Kalimantan Tengah</t>
        </is>
      </c>
      <c r="Q233" t="inlineStr"/>
    </row>
    <row r="234">
      <c r="A234" t="inlineStr">
        <is>
          <t>TANGGA BATU</t>
        </is>
      </c>
      <c r="B234" t="inlineStr">
        <is>
          <t>Kota Medan</t>
        </is>
      </c>
      <c r="C234" t="inlineStr">
        <is>
          <t>081228132677</t>
        </is>
      </c>
      <c r="D234" t="inlineStr">
        <is>
          <t>tanggabatucv@gmail.com</t>
        </is>
      </c>
      <c r="E234" t="inlineStr">
        <is>
          <t>https://lpjk.pu.go.id/search-badan-usaha-detail/b3E0OSsrcGI0MytDeHgxcC94UmRxdz09</t>
        </is>
      </c>
      <c r="F234" t="n">
        <v>1</v>
      </c>
      <c r="G234" t="inlineStr">
        <is>
          <t>BS001</t>
        </is>
      </c>
      <c r="H234" t="inlineStr">
        <is>
          <t>11 Mei 2016</t>
        </is>
      </c>
      <c r="I234" s="2" t="n">
        <v>46285</v>
      </c>
      <c r="J234" t="inlineStr">
        <is>
          <t>Disetujui</t>
        </is>
      </c>
      <c r="K234" t="n">
        <v>60</v>
      </c>
      <c r="L234" t="inlineStr">
        <is>
          <t>20 September 2026</t>
        </is>
      </c>
      <c r="M234" t="inlineStr">
        <is>
          <t>Konstruksi Bangunan Sipil Jalan</t>
        </is>
      </c>
      <c r="N234" t="inlineStr">
        <is>
          <t>K</t>
        </is>
      </c>
      <c r="O234" t="inlineStr">
        <is>
          <t>20230918</t>
        </is>
      </c>
      <c r="P234" t="inlineStr">
        <is>
          <t>Sumatera Utara</t>
        </is>
      </c>
      <c r="Q234" t="inlineStr"/>
    </row>
    <row r="235">
      <c r="A235" t="inlineStr">
        <is>
          <t>TIGA PUTRA</t>
        </is>
      </c>
      <c r="B235" t="inlineStr">
        <is>
          <t>Kab. Banjarnegara</t>
        </is>
      </c>
      <c r="C235" t="inlineStr">
        <is>
          <t>089665674878</t>
        </is>
      </c>
      <c r="D235" t="inlineStr">
        <is>
          <t>cv_tigaputra93@yahoo.com</t>
        </is>
      </c>
      <c r="E235" t="inlineStr">
        <is>
          <t>https://lpjk.pu.go.id/search-badan-usaha-detail/ekJtcDFUVnNaYTNSSjFPeitZQVRBZz09</t>
        </is>
      </c>
      <c r="F235" t="n">
        <v>1</v>
      </c>
      <c r="G235" t="inlineStr">
        <is>
          <t>BS004</t>
        </is>
      </c>
      <c r="H235" t="inlineStr">
        <is>
          <t>5 April 2013</t>
        </is>
      </c>
      <c r="I235" s="2" t="n">
        <v>46285</v>
      </c>
      <c r="J235" t="inlineStr">
        <is>
          <t>Disetujui</t>
        </is>
      </c>
      <c r="K235" t="n">
        <v>60</v>
      </c>
      <c r="L235" t="inlineStr">
        <is>
          <t>20 September 2026</t>
        </is>
      </c>
      <c r="M235" t="inlineStr">
        <is>
          <t>Konstruksi Jaringan Irigasi dan Drainase</t>
        </is>
      </c>
      <c r="N235" t="inlineStr">
        <is>
          <t>K</t>
        </is>
      </c>
      <c r="O235" t="inlineStr">
        <is>
          <t>20230911</t>
        </is>
      </c>
      <c r="P235" t="inlineStr">
        <is>
          <t>Jawa Tengah</t>
        </is>
      </c>
      <c r="Q235" t="inlineStr"/>
    </row>
    <row r="236">
      <c r="A236" t="inlineStr">
        <is>
          <t>TRADA STETIKA</t>
        </is>
      </c>
      <c r="B236" t="inlineStr">
        <is>
          <t>Kota Tangerang Selatan</t>
        </is>
      </c>
      <c r="C236" t="inlineStr">
        <is>
          <t>02129511775</t>
        </is>
      </c>
      <c r="D236" t="inlineStr">
        <is>
          <t>trada_stetika@yahoo.co.id</t>
        </is>
      </c>
      <c r="E236" t="inlineStr">
        <is>
          <t>https://lpjk.pu.go.id/search-badan-usaha-detail/TjIvaUFubjJwcEkzR2tDdmNEQS83dz09</t>
        </is>
      </c>
      <c r="F236" t="n">
        <v>6</v>
      </c>
      <c r="G236" t="inlineStr">
        <is>
          <t>BG001, BG002, BG003, BG004, BG007, BG009</t>
        </is>
      </c>
      <c r="H236" t="inlineStr">
        <is>
          <t>3 Mei 2011</t>
        </is>
      </c>
      <c r="I236" s="2" t="n">
        <v>46285</v>
      </c>
      <c r="J236" t="inlineStr">
        <is>
          <t>Disetujui</t>
        </is>
      </c>
      <c r="K236" t="n">
        <v>60</v>
      </c>
      <c r="L236" t="inlineStr">
        <is>
          <t>20 September 2026</t>
        </is>
      </c>
      <c r="M236" t="inlineStr">
        <is>
          <t>Konstruksi Gedung Hunian, Konstruksi Gedung Industri, Konstruksi Gedung Lainnya, Konstruksi Gedung Penginapan, Konstruksi Gedung Perbelanjaan, Konstruksi Gedung Perkantoran</t>
        </is>
      </c>
      <c r="N236" t="inlineStr">
        <is>
          <t>K</t>
        </is>
      </c>
      <c r="O236" t="inlineStr">
        <is>
          <t>20230919</t>
        </is>
      </c>
      <c r="P236" t="inlineStr">
        <is>
          <t>Banten</t>
        </is>
      </c>
      <c r="Q236" t="inlineStr"/>
    </row>
    <row r="237">
      <c r="A237" t="inlineStr">
        <is>
          <t>TRI ENERGI TEKNOLOGI</t>
        </is>
      </c>
      <c r="B237" t="inlineStr">
        <is>
          <t>Kota Bandung</t>
        </is>
      </c>
      <c r="C237" t="inlineStr">
        <is>
          <t>02220513757</t>
        </is>
      </c>
      <c r="D237" t="inlineStr">
        <is>
          <t>trietek@gmail.com</t>
        </is>
      </c>
      <c r="E237" t="inlineStr">
        <is>
          <t>https://lpjk.pu.go.id/search-badan-usaha-detail/YzFKVXJHUllWdFZ4Z3VLamlueDlEQT09</t>
        </is>
      </c>
      <c r="F237" t="n">
        <v>2</v>
      </c>
      <c r="G237" t="inlineStr">
        <is>
          <t>BG009, BS007</t>
        </is>
      </c>
      <c r="H237" t="inlineStr">
        <is>
          <t>25 Maret 2009</t>
        </is>
      </c>
      <c r="I237" s="2" t="n">
        <v>46285</v>
      </c>
      <c r="J237" t="inlineStr">
        <is>
          <t>Disetujui</t>
        </is>
      </c>
      <c r="K237" t="n">
        <v>60</v>
      </c>
      <c r="L237" t="inlineStr">
        <is>
          <t>20 September 2026</t>
        </is>
      </c>
      <c r="M237" t="inlineStr">
        <is>
          <t>Konstruksi Bangunan Sipil Elektrikal, Konstruksi Gedung Lainnya</t>
        </is>
      </c>
      <c r="N237" t="inlineStr">
        <is>
          <t>K</t>
        </is>
      </c>
      <c r="O237" t="inlineStr">
        <is>
          <t>20230919</t>
        </is>
      </c>
      <c r="P237" t="inlineStr">
        <is>
          <t>Jawa Barat</t>
        </is>
      </c>
      <c r="Q237" t="inlineStr"/>
    </row>
    <row r="238">
      <c r="A238" t="inlineStr">
        <is>
          <t>TRI KARYA BORNEO</t>
        </is>
      </c>
      <c r="B238" t="inlineStr">
        <is>
          <t>Kota Adm. Jakarta Barat</t>
        </is>
      </c>
      <c r="C238" t="inlineStr">
        <is>
          <t>0215872222</t>
        </is>
      </c>
      <c r="D238" t="inlineStr">
        <is>
          <t>pttrikaryaborneo@gmail.com</t>
        </is>
      </c>
      <c r="E238" t="inlineStr">
        <is>
          <t>https://lpjk.pu.go.id/search-badan-usaha-detail/SDBrN0xMWjNGdXYrZk9tUHZOcjRTdz09</t>
        </is>
      </c>
      <c r="F238" t="n">
        <v>1</v>
      </c>
      <c r="G238" t="inlineStr">
        <is>
          <t>BG004</t>
        </is>
      </c>
      <c r="H238" t="inlineStr">
        <is>
          <t>7 Juli 2012</t>
        </is>
      </c>
      <c r="I238" s="2" t="n">
        <v>46285</v>
      </c>
      <c r="J238" t="inlineStr">
        <is>
          <t>Disetujui</t>
        </is>
      </c>
      <c r="K238" t="n">
        <v>60</v>
      </c>
      <c r="L238" t="inlineStr">
        <is>
          <t>20 September 2026</t>
        </is>
      </c>
      <c r="M238" t="inlineStr">
        <is>
          <t>Konstruksi Gedung Perbelanjaan</t>
        </is>
      </c>
      <c r="N238" t="inlineStr">
        <is>
          <t>K</t>
        </is>
      </c>
      <c r="O238" t="inlineStr">
        <is>
          <t>20230914</t>
        </is>
      </c>
      <c r="P238" t="inlineStr">
        <is>
          <t>DKI Jakarta</t>
        </is>
      </c>
      <c r="Q238" t="inlineStr"/>
    </row>
    <row r="239">
      <c r="A239" t="inlineStr">
        <is>
          <t>TRIBUANA TUNGGADEWI</t>
        </is>
      </c>
      <c r="B239" t="inlineStr">
        <is>
          <t>Kab. Tulungagung</t>
        </is>
      </c>
      <c r="C239" t="inlineStr">
        <is>
          <t>085645863213</t>
        </is>
      </c>
      <c r="D239" t="inlineStr">
        <is>
          <t>tunggadewitribuana22@gmail.com</t>
        </is>
      </c>
      <c r="E239" t="inlineStr">
        <is>
          <t>https://lpjk.pu.go.id/search-badan-usaha-detail/MVVMMjNBamFjRG9KZU1FMUVUVzFVUT09</t>
        </is>
      </c>
      <c r="F239" t="n">
        <v>1</v>
      </c>
      <c r="G239" t="inlineStr">
        <is>
          <t>BS001</t>
        </is>
      </c>
      <c r="H239" t="inlineStr">
        <is>
          <t>22 Maret 2017</t>
        </is>
      </c>
      <c r="I239" s="2" t="n">
        <v>46285</v>
      </c>
      <c r="J239" t="inlineStr">
        <is>
          <t>Disetujui</t>
        </is>
      </c>
      <c r="K239" t="n">
        <v>60</v>
      </c>
      <c r="L239" t="inlineStr">
        <is>
          <t>20 September 2026</t>
        </is>
      </c>
      <c r="M239" t="inlineStr">
        <is>
          <t>Konstruksi Bangunan Sipil Jalan</t>
        </is>
      </c>
      <c r="N239" t="inlineStr">
        <is>
          <t>K</t>
        </is>
      </c>
      <c r="O239" t="inlineStr">
        <is>
          <t>20230918</t>
        </is>
      </c>
      <c r="P239" t="inlineStr">
        <is>
          <t>Jawa Timur</t>
        </is>
      </c>
      <c r="Q239" t="inlineStr"/>
    </row>
    <row r="240">
      <c r="A240" t="inlineStr">
        <is>
          <t>TRIPLE S PUTRA KEDIRI</t>
        </is>
      </c>
      <c r="B240" t="inlineStr">
        <is>
          <t>Kab. Kediri</t>
        </is>
      </c>
      <c r="C240" t="inlineStr">
        <is>
          <t>0354772495</t>
        </is>
      </c>
      <c r="D240" t="inlineStr">
        <is>
          <t>tspk_kdr@yahoo.co.id</t>
        </is>
      </c>
      <c r="E240" t="inlineStr">
        <is>
          <t>https://lpjk.pu.go.id/search-badan-usaha-detail/RG9uS1EvVFljR1pJcHRab0JwT0FNUT09</t>
        </is>
      </c>
      <c r="F240" t="n">
        <v>1</v>
      </c>
      <c r="G240" t="inlineStr">
        <is>
          <t>BS001</t>
        </is>
      </c>
      <c r="H240" t="inlineStr">
        <is>
          <t>9 Maret 2004</t>
        </is>
      </c>
      <c r="I240" s="2" t="n">
        <v>46285</v>
      </c>
      <c r="J240" t="inlineStr">
        <is>
          <t>Pencabutan</t>
        </is>
      </c>
      <c r="K240" t="n">
        <v>60</v>
      </c>
      <c r="L240" t="inlineStr">
        <is>
          <t>20 September 2026</t>
        </is>
      </c>
      <c r="M240" t="inlineStr">
        <is>
          <t>Konstruksi Bangunan Sipil Jalan</t>
        </is>
      </c>
      <c r="N240" t="inlineStr">
        <is>
          <t>M</t>
        </is>
      </c>
      <c r="O240" t="inlineStr">
        <is>
          <t>20230906</t>
        </is>
      </c>
      <c r="P240" t="inlineStr">
        <is>
          <t>Jawa Timur</t>
        </is>
      </c>
      <c r="Q240" t="inlineStr"/>
    </row>
    <row r="241">
      <c r="A241" t="inlineStr">
        <is>
          <t>TRITUNGGAL TERANG BERSAMA</t>
        </is>
      </c>
      <c r="B241" t="inlineStr">
        <is>
          <t>Kab. Tangerang</t>
        </is>
      </c>
      <c r="C241" t="inlineStr">
        <is>
          <t>082111277796</t>
        </is>
      </c>
      <c r="D241" t="inlineStr">
        <is>
          <t>tritunggalterangbersama@gmail.com</t>
        </is>
      </c>
      <c r="E241" t="inlineStr">
        <is>
          <t>https://lpjk.pu.go.id/search-badan-usaha-detail/K21PbEJ2OFFKaHRXZ1V6MzJPSXFuZz09</t>
        </is>
      </c>
      <c r="F241" t="n">
        <v>1</v>
      </c>
      <c r="G241" t="inlineStr">
        <is>
          <t>BG003</t>
        </is>
      </c>
      <c r="H241" t="inlineStr">
        <is>
          <t>1 September 2023</t>
        </is>
      </c>
      <c r="I241" s="2" t="n">
        <v>46285</v>
      </c>
      <c r="J241" t="inlineStr">
        <is>
          <t>Pencabutan</t>
        </is>
      </c>
      <c r="K241" t="n">
        <v>60</v>
      </c>
      <c r="L241" t="inlineStr">
        <is>
          <t>20 September 2026</t>
        </is>
      </c>
      <c r="M241" t="inlineStr">
        <is>
          <t>Konstruksi Gedung Industri</t>
        </is>
      </c>
      <c r="N241" t="inlineStr">
        <is>
          <t>K</t>
        </is>
      </c>
      <c r="O241" t="inlineStr">
        <is>
          <t>20230919</t>
        </is>
      </c>
      <c r="P241" t="inlineStr">
        <is>
          <t>Banten</t>
        </is>
      </c>
      <c r="Q241" t="inlineStr"/>
    </row>
    <row r="242">
      <c r="A242" t="inlineStr">
        <is>
          <t>TUNAS AGUNG SENTOSA</t>
        </is>
      </c>
      <c r="B242" t="inlineStr">
        <is>
          <t>Kota Surabaya</t>
        </is>
      </c>
      <c r="C242" t="inlineStr">
        <is>
          <t>0318497279</t>
        </is>
      </c>
      <c r="D242" t="inlineStr">
        <is>
          <t>ptassurabaya@gmail.com</t>
        </is>
      </c>
      <c r="E242" t="inlineStr">
        <is>
          <t>https://lpjk.pu.go.id/search-badan-usaha-detail/TjZvUStva3dTc3ZjZmFMU21QVlZyZz09</t>
        </is>
      </c>
      <c r="F242" t="n">
        <v>1</v>
      </c>
      <c r="G242" t="inlineStr">
        <is>
          <t>KP002</t>
        </is>
      </c>
      <c r="H242" t="inlineStr">
        <is>
          <t>28 September 2012</t>
        </is>
      </c>
      <c r="I242" s="2" t="n">
        <v>46285</v>
      </c>
      <c r="J242" t="inlineStr">
        <is>
          <t>Disetujui</t>
        </is>
      </c>
      <c r="K242" t="n">
        <v>60</v>
      </c>
      <c r="L242" t="inlineStr">
        <is>
          <t>20 September 2026</t>
        </is>
      </c>
      <c r="M242" t="inlineStr">
        <is>
          <t>Pekerjaan Konstruksi Prapabrikasi Bangunan Sipil</t>
        </is>
      </c>
      <c r="N242" t="inlineStr">
        <is>
          <t>Spesialis</t>
        </is>
      </c>
      <c r="O242" t="inlineStr">
        <is>
          <t>20230916</t>
        </is>
      </c>
      <c r="P242" t="inlineStr">
        <is>
          <t>Jawa Timur</t>
        </is>
      </c>
      <c r="Q242" t="inlineStr"/>
    </row>
    <row r="243">
      <c r="A243" t="inlineStr">
        <is>
          <t>USAHA SUKSES EMPAT SEKAWAN</t>
        </is>
      </c>
      <c r="B243" t="inlineStr">
        <is>
          <t>Kab. Lombok Barat</t>
        </is>
      </c>
      <c r="C243" t="inlineStr">
        <is>
          <t>081935953505</t>
        </is>
      </c>
      <c r="D243" t="inlineStr">
        <is>
          <t>cv.usahasuksesempatsekawan@gmail.com</t>
        </is>
      </c>
      <c r="E243" t="inlineStr">
        <is>
          <t>https://lpjk.pu.go.id/search-badan-usaha-detail/MS9hOG9mSy8wY015bVBKT2g3MUVUQT09</t>
        </is>
      </c>
      <c r="F243" t="n">
        <v>3</v>
      </c>
      <c r="G243" t="inlineStr">
        <is>
          <t>BG009, BS001, BS004</t>
        </is>
      </c>
      <c r="H243" t="inlineStr">
        <is>
          <t>4 November 2019</t>
        </is>
      </c>
      <c r="I243" s="2" t="n">
        <v>46285</v>
      </c>
      <c r="J243" t="inlineStr">
        <is>
          <t>Disetujui</t>
        </is>
      </c>
      <c r="K243" t="n">
        <v>60</v>
      </c>
      <c r="L243" t="inlineStr">
        <is>
          <t>20 September 2026</t>
        </is>
      </c>
      <c r="M243" t="inlineStr">
        <is>
          <t>Konstruksi Bangunan Sipil Jalan, Konstruksi Gedung Lainnya, Konstruksi Jaringan Irigasi dan Drainase</t>
        </is>
      </c>
      <c r="N243" t="inlineStr">
        <is>
          <t>K</t>
        </is>
      </c>
      <c r="O243" t="inlineStr">
        <is>
          <t>20230919</t>
        </is>
      </c>
      <c r="P243" t="inlineStr">
        <is>
          <t>Nusa Tenggara Barat</t>
        </is>
      </c>
      <c r="Q243" t="inlineStr"/>
    </row>
    <row r="244">
      <c r="A244" t="inlineStr">
        <is>
          <t>UTAMA KARYA</t>
        </is>
      </c>
      <c r="B244" t="inlineStr">
        <is>
          <t>Kab. Klaten</t>
        </is>
      </c>
      <c r="C244" t="inlineStr">
        <is>
          <t>082322220012</t>
        </is>
      </c>
      <c r="D244" t="inlineStr">
        <is>
          <t>surat_utamakarya@yahoo.co.id</t>
        </is>
      </c>
      <c r="E244" t="inlineStr">
        <is>
          <t>https://lpjk.pu.go.id/search-badan-usaha-detail/T25xR1czMHRrMXRNQlZxaVBxcHlCQT09</t>
        </is>
      </c>
      <c r="F244" t="n">
        <v>2</v>
      </c>
      <c r="G244" t="inlineStr">
        <is>
          <t>BG004, BG005</t>
        </is>
      </c>
      <c r="H244" t="inlineStr">
        <is>
          <t>8 Oktober 1990</t>
        </is>
      </c>
      <c r="I244" s="2" t="n">
        <v>46285</v>
      </c>
      <c r="J244" t="inlineStr">
        <is>
          <t>Disetujui</t>
        </is>
      </c>
      <c r="K244" t="n">
        <v>60</v>
      </c>
      <c r="L244" t="inlineStr">
        <is>
          <t>20 September 2026</t>
        </is>
      </c>
      <c r="M244" t="inlineStr">
        <is>
          <t>Konstruksi Gedung Kesehatan, Konstruksi Gedung Perbelanjaan</t>
        </is>
      </c>
      <c r="N244" t="inlineStr">
        <is>
          <t>K</t>
        </is>
      </c>
      <c r="O244" t="inlineStr">
        <is>
          <t>20230914</t>
        </is>
      </c>
      <c r="P244" t="inlineStr">
        <is>
          <t>Jawa Tengah</t>
        </is>
      </c>
      <c r="Q244" t="inlineStr"/>
    </row>
    <row r="245">
      <c r="A245" t="inlineStr">
        <is>
          <t>VICTORY OKA CIPTA</t>
        </is>
      </c>
      <c r="B245" t="inlineStr">
        <is>
          <t>Kab. Karanganyar</t>
        </is>
      </c>
      <c r="C245" t="inlineStr">
        <is>
          <t>02714991208</t>
        </is>
      </c>
      <c r="D245" t="inlineStr">
        <is>
          <t>cv.victory.voc@gmail.com</t>
        </is>
      </c>
      <c r="E245" t="inlineStr">
        <is>
          <t>https://lpjk.pu.go.id/search-badan-usaha-detail/QnRwVi9BenNhb1U0cFBUQVNqaW1pZz09</t>
        </is>
      </c>
      <c r="F245" t="n">
        <v>1</v>
      </c>
      <c r="G245" t="inlineStr">
        <is>
          <t>RK002</t>
        </is>
      </c>
      <c r="H245" t="inlineStr">
        <is>
          <t>21 Mei 2019</t>
        </is>
      </c>
      <c r="I245" s="2" t="n">
        <v>46285</v>
      </c>
      <c r="J245" t="inlineStr">
        <is>
          <t>Disetujui</t>
        </is>
      </c>
      <c r="K245" t="n">
        <v>60</v>
      </c>
      <c r="L245" t="inlineStr">
        <is>
          <t>20 September 2026</t>
        </is>
      </c>
      <c r="M245" t="inlineStr">
        <is>
          <t>Jasa Rekayasa Pekerjaan Teknik Sipil Sumber Daya Air</t>
        </is>
      </c>
      <c r="N245" t="inlineStr">
        <is>
          <t>K</t>
        </is>
      </c>
      <c r="O245" t="inlineStr">
        <is>
          <t>20230914</t>
        </is>
      </c>
      <c r="P245" t="inlineStr">
        <is>
          <t>Jawa Tengah</t>
        </is>
      </c>
      <c r="Q245" t="inlineStr"/>
    </row>
    <row r="246">
      <c r="A246" t="inlineStr">
        <is>
          <t>WANDANI BUMI KONSTRUKSI</t>
        </is>
      </c>
      <c r="B246" t="inlineStr">
        <is>
          <t>Kab. Sidoarjo</t>
        </is>
      </c>
      <c r="C246" t="inlineStr">
        <is>
          <t>085186001333</t>
        </is>
      </c>
      <c r="D246" t="inlineStr">
        <is>
          <t>ptwandani@gmail.com</t>
        </is>
      </c>
      <c r="E246" t="inlineStr">
        <is>
          <t>https://lpjk.pu.go.id/search-badan-usaha-detail/aHNUQXR4T201T1RIWUw4YW8vVUdydz09</t>
        </is>
      </c>
      <c r="F246" t="n">
        <v>2</v>
      </c>
      <c r="G246" t="inlineStr">
        <is>
          <t>BG003</t>
        </is>
      </c>
      <c r="H246" t="inlineStr">
        <is>
          <t>31 Mei 2023</t>
        </is>
      </c>
      <c r="I246" s="2" t="n">
        <v>46285</v>
      </c>
      <c r="J246" t="inlineStr">
        <is>
          <t>Disetujui</t>
        </is>
      </c>
      <c r="K246" t="n">
        <v>60</v>
      </c>
      <c r="L246" t="inlineStr">
        <is>
          <t>20 September 2026</t>
        </is>
      </c>
      <c r="M246" t="inlineStr">
        <is>
          <t>Konstruksi Gedung Industri</t>
        </is>
      </c>
      <c r="N246" t="inlineStr">
        <is>
          <t>K</t>
        </is>
      </c>
      <c r="O246" t="inlineStr">
        <is>
          <t>20230920</t>
        </is>
      </c>
      <c r="P246" t="inlineStr">
        <is>
          <t>Jawa Timur</t>
        </is>
      </c>
      <c r="Q246" t="inlineStr"/>
    </row>
    <row r="247">
      <c r="A247" t="inlineStr">
        <is>
          <t>WIDHY ARYA PRATAMA</t>
        </is>
      </c>
      <c r="B247" t="inlineStr">
        <is>
          <t>Kab. Kubu Raya</t>
        </is>
      </c>
      <c r="C247" t="inlineStr">
        <is>
          <t>085245484444</t>
        </is>
      </c>
      <c r="D247" t="inlineStr">
        <is>
          <t>ptwidhyatama@gmail.com</t>
        </is>
      </c>
      <c r="E247" t="inlineStr">
        <is>
          <t>https://lpjk.pu.go.id/search-badan-usaha-detail/Y2czZm8yZGt2MGZoQWYwNnRkV3NRQT09</t>
        </is>
      </c>
      <c r="F247" t="n">
        <v>1</v>
      </c>
      <c r="G247" t="inlineStr">
        <is>
          <t>BG001</t>
        </is>
      </c>
      <c r="H247" t="inlineStr">
        <is>
          <t>5 September 2018</t>
        </is>
      </c>
      <c r="I247" s="2" t="n">
        <v>46285</v>
      </c>
      <c r="J247" t="inlineStr">
        <is>
          <t>Disetujui</t>
        </is>
      </c>
      <c r="K247" t="n">
        <v>60</v>
      </c>
      <c r="L247" t="inlineStr">
        <is>
          <t>20 September 2026</t>
        </is>
      </c>
      <c r="M247" t="inlineStr">
        <is>
          <t>Konstruksi Gedung Hunian</t>
        </is>
      </c>
      <c r="N247" t="inlineStr">
        <is>
          <t>K</t>
        </is>
      </c>
      <c r="O247" t="inlineStr">
        <is>
          <t>20230919</t>
        </is>
      </c>
      <c r="P247" t="inlineStr">
        <is>
          <t>Kalimantan Barat</t>
        </is>
      </c>
      <c r="Q247" t="inlineStr"/>
    </row>
    <row r="248">
      <c r="A248" t="inlineStr">
        <is>
          <t>WIJAYA PERDANA</t>
        </is>
      </c>
      <c r="B248" t="inlineStr">
        <is>
          <t>Kota Adm. Jakarta Selatan</t>
        </is>
      </c>
      <c r="C248" t="inlineStr">
        <is>
          <t>0217507322</t>
        </is>
      </c>
      <c r="D248" t="inlineStr">
        <is>
          <t>info@wijayaperdana.id</t>
        </is>
      </c>
      <c r="E248" t="inlineStr">
        <is>
          <t>https://lpjk.pu.go.id/search-badan-usaha-detail/OHhuR1gyWVZyVFFPS1RiOTZVNWRyQT09</t>
        </is>
      </c>
      <c r="F248" t="n">
        <v>2</v>
      </c>
      <c r="G248" t="inlineStr">
        <is>
          <t>BG001</t>
        </is>
      </c>
      <c r="H248" t="inlineStr">
        <is>
          <t>26 Februari 1980</t>
        </is>
      </c>
      <c r="I248" s="2" t="n">
        <v>46285</v>
      </c>
      <c r="J248" t="inlineStr">
        <is>
          <t>Pencabutan</t>
        </is>
      </c>
      <c r="K248" t="n">
        <v>60</v>
      </c>
      <c r="L248" t="inlineStr">
        <is>
          <t>20 September 2026</t>
        </is>
      </c>
      <c r="M248" t="inlineStr">
        <is>
          <t>Konstruksi Gedung Hunian</t>
        </is>
      </c>
      <c r="N248" t="inlineStr">
        <is>
          <t>B</t>
        </is>
      </c>
      <c r="O248" t="inlineStr">
        <is>
          <t>20230918</t>
        </is>
      </c>
      <c r="P248" t="inlineStr">
        <is>
          <t>DKI Jakarta</t>
        </is>
      </c>
      <c r="Q248" t="inlineStr"/>
    </row>
    <row r="249">
      <c r="A249" t="inlineStr">
        <is>
          <t>WINATA JAYA UTAMA</t>
        </is>
      </c>
      <c r="B249" t="inlineStr">
        <is>
          <t>Kota Tangerang Selatan</t>
        </is>
      </c>
      <c r="C249" t="inlineStr">
        <is>
          <t>081112001479</t>
        </is>
      </c>
      <c r="D249" t="inlineStr">
        <is>
          <t>winatajayautama@gmail.com</t>
        </is>
      </c>
      <c r="E249" t="inlineStr">
        <is>
          <t>https://lpjk.pu.go.id/search-badan-usaha-detail/am1kQUtXMmxWRTNjaHJKNHVVWXdVdz09</t>
        </is>
      </c>
      <c r="F249" t="n">
        <v>8</v>
      </c>
      <c r="G249" t="inlineStr">
        <is>
          <t>BG003, BG004, BG005, BG009</t>
        </is>
      </c>
      <c r="H249" t="inlineStr">
        <is>
          <t>25 November 2022</t>
        </is>
      </c>
      <c r="I249" s="2" t="n">
        <v>46285</v>
      </c>
      <c r="J249" t="inlineStr">
        <is>
          <t>Disetujui</t>
        </is>
      </c>
      <c r="K249" t="n">
        <v>60</v>
      </c>
      <c r="L249" t="inlineStr">
        <is>
          <t>20 September 2026</t>
        </is>
      </c>
      <c r="M249" t="inlineStr">
        <is>
          <t>Konstruksi Gedung Industri, Konstruksi Gedung Kesehatan, Konstruksi Gedung Lainnya, Konstruksi Gedung Perbelanjaan</t>
        </is>
      </c>
      <c r="N249" t="inlineStr">
        <is>
          <t>K</t>
        </is>
      </c>
      <c r="O249" t="inlineStr">
        <is>
          <t>20230914</t>
        </is>
      </c>
      <c r="P249" t="inlineStr">
        <is>
          <t>Banten</t>
        </is>
      </c>
      <c r="Q249" t="inlineStr"/>
    </row>
    <row r="250">
      <c r="A250" t="inlineStr">
        <is>
          <t>WIRA BIMA KARYA</t>
        </is>
      </c>
      <c r="B250" t="inlineStr">
        <is>
          <t>Kota Medan</t>
        </is>
      </c>
      <c r="C250" t="inlineStr">
        <is>
          <t>081360388960</t>
        </is>
      </c>
      <c r="D250" t="inlineStr">
        <is>
          <t>Wirabimakarya@gmail.com</t>
        </is>
      </c>
      <c r="E250" t="inlineStr">
        <is>
          <t>https://lpjk.pu.go.id/search-badan-usaha-detail/YkllTzZpNjlRczJTR1B6RVFKTlVzZz09</t>
        </is>
      </c>
      <c r="F250" t="n">
        <v>1</v>
      </c>
      <c r="G250" t="inlineStr">
        <is>
          <t>BG009</t>
        </is>
      </c>
      <c r="H250" t="inlineStr">
        <is>
          <t>6 Juli 2023</t>
        </is>
      </c>
      <c r="I250" s="2" t="n">
        <v>46285</v>
      </c>
      <c r="J250" t="inlineStr">
        <is>
          <t>Disetujui</t>
        </is>
      </c>
      <c r="K250" t="n">
        <v>60</v>
      </c>
      <c r="L250" t="inlineStr">
        <is>
          <t>20 September 2026</t>
        </is>
      </c>
      <c r="M250" t="inlineStr">
        <is>
          <t>Konstruksi Gedung Lainnya</t>
        </is>
      </c>
      <c r="N250" t="inlineStr">
        <is>
          <t>K</t>
        </is>
      </c>
      <c r="O250" t="inlineStr">
        <is>
          <t>20230919</t>
        </is>
      </c>
      <c r="P250" t="inlineStr">
        <is>
          <t>Sumatera Utara</t>
        </is>
      </c>
      <c r="Q250" t="inlineStr"/>
    </row>
    <row r="251">
      <c r="A251" t="inlineStr">
        <is>
          <t>YOGA UMBARA</t>
        </is>
      </c>
      <c r="B251" t="inlineStr">
        <is>
          <t>Kab. Bangka Barat</t>
        </is>
      </c>
      <c r="C251" t="inlineStr">
        <is>
          <t>081929083638</t>
        </is>
      </c>
      <c r="D251" t="inlineStr">
        <is>
          <t>de_ven@ymail.com</t>
        </is>
      </c>
      <c r="E251" t="inlineStr">
        <is>
          <t>https://lpjk.pu.go.id/search-badan-usaha-detail/VHhSUzc2alByTVlxVk4vVnBMMVlTZz09</t>
        </is>
      </c>
      <c r="F251" t="n">
        <v>1</v>
      </c>
      <c r="G251" t="inlineStr">
        <is>
          <t>BS004</t>
        </is>
      </c>
      <c r="H251" t="inlineStr">
        <is>
          <t>11 Januari 2021</t>
        </is>
      </c>
      <c r="I251" s="2" t="n">
        <v>46285</v>
      </c>
      <c r="J251" t="inlineStr">
        <is>
          <t>Disetujui</t>
        </is>
      </c>
      <c r="K251" t="n">
        <v>60</v>
      </c>
      <c r="L251" t="inlineStr">
        <is>
          <t>20 September 2026</t>
        </is>
      </c>
      <c r="M251" t="inlineStr">
        <is>
          <t>Konstruksi Jaringan Irigasi dan Drainase</t>
        </is>
      </c>
      <c r="N251" t="inlineStr">
        <is>
          <t>K</t>
        </is>
      </c>
      <c r="O251" t="inlineStr">
        <is>
          <t>20230921</t>
        </is>
      </c>
      <c r="P251" t="inlineStr">
        <is>
          <t>Kepulauan Bangka Belitung</t>
        </is>
      </c>
      <c r="Q251" t="inlineStr"/>
    </row>
    <row r="252">
      <c r="A252" t="inlineStr">
        <is>
          <t>ZIDAN RAIHAN</t>
        </is>
      </c>
      <c r="B252" t="inlineStr">
        <is>
          <t>Kab. Cilacap</t>
        </is>
      </c>
      <c r="C252" t="inlineStr">
        <is>
          <t>081226113344</t>
        </is>
      </c>
      <c r="D252" t="inlineStr">
        <is>
          <t>cv.zidanraihan@gmail.com</t>
        </is>
      </c>
      <c r="E252" t="inlineStr">
        <is>
          <t>https://lpjk.pu.go.id/search-badan-usaha-detail/cm1UUXRMajJBMTBoVHVLUFZwZWd3dz09</t>
        </is>
      </c>
      <c r="F252" t="n">
        <v>2</v>
      </c>
      <c r="G252" t="inlineStr">
        <is>
          <t>BG002, BG006</t>
        </is>
      </c>
      <c r="H252" t="inlineStr">
        <is>
          <t>12 November 2016</t>
        </is>
      </c>
      <c r="I252" s="2" t="n">
        <v>46285</v>
      </c>
      <c r="J252" t="inlineStr">
        <is>
          <t>Disetujui</t>
        </is>
      </c>
      <c r="K252" t="n">
        <v>60</v>
      </c>
      <c r="L252" t="inlineStr">
        <is>
          <t>20 September 2026</t>
        </is>
      </c>
      <c r="M252" t="inlineStr">
        <is>
          <t>Konstruksi Gedung Pendidikan, Konstruksi Gedung Perkantoran</t>
        </is>
      </c>
      <c r="N252" t="inlineStr">
        <is>
          <t>K</t>
        </is>
      </c>
      <c r="O252" t="inlineStr">
        <is>
          <t>20230920</t>
        </is>
      </c>
      <c r="P252" t="inlineStr">
        <is>
          <t>Jawa Tengah</t>
        </is>
      </c>
      <c r="Q252" t="inlineStr"/>
    </row>
    <row r="253">
      <c r="A253" t="inlineStr">
        <is>
          <t>ZIFADA SEJAHTERA</t>
        </is>
      </c>
      <c r="B253" t="inlineStr">
        <is>
          <t>Kab. Malang</t>
        </is>
      </c>
      <c r="C253" t="inlineStr">
        <is>
          <t>085100427133</t>
        </is>
      </c>
      <c r="D253" t="inlineStr">
        <is>
          <t>zifadasejahtera@yahoo.com</t>
        </is>
      </c>
      <c r="E253" t="inlineStr">
        <is>
          <t>https://lpjk.pu.go.id/search-badan-usaha-detail/MjlsSEs1RC81MFl0Y2hJQXNjSEF0QT09</t>
        </is>
      </c>
      <c r="F253" t="n">
        <v>2</v>
      </c>
      <c r="G253" t="inlineStr">
        <is>
          <t>BG005</t>
        </is>
      </c>
      <c r="H253" t="inlineStr">
        <is>
          <t>13 Januari 2010</t>
        </is>
      </c>
      <c r="I253" s="2" t="n">
        <v>46285</v>
      </c>
      <c r="J253" t="inlineStr">
        <is>
          <t>Disetujui</t>
        </is>
      </c>
      <c r="K253" t="n">
        <v>60</v>
      </c>
      <c r="L253" t="inlineStr">
        <is>
          <t>20 September 2026</t>
        </is>
      </c>
      <c r="M253" t="inlineStr">
        <is>
          <t>Konstruksi Gedung Kesehatan</t>
        </is>
      </c>
      <c r="N253" t="inlineStr">
        <is>
          <t>K</t>
        </is>
      </c>
      <c r="O253" t="inlineStr">
        <is>
          <t>20230920</t>
        </is>
      </c>
      <c r="P253" t="inlineStr">
        <is>
          <t>Jawa Timur</t>
        </is>
      </c>
      <c r="Q25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1"/>
  <sheetViews>
    <sheetView workbookViewId="0">
      <selection activeCell="A1" sqref="A1"/>
    </sheetView>
  </sheetViews>
  <sheetFormatPr baseColWidth="8" defaultRowHeight="15"/>
  <cols>
    <col width="17" customWidth="1" min="1" max="1"/>
    <col width="16" customWidth="1" min="2" max="2"/>
    <col width="9" customWidth="1" min="3" max="3"/>
    <col width="7" customWidth="1" min="4" max="4"/>
    <col width="6" customWidth="1" min="5" max="5"/>
    <col width="18" customWidth="1" min="6" max="6"/>
    <col width="21" customWidth="1" min="7" max="7"/>
    <col width="20" customWidth="1" min="8" max="8"/>
    <col width="28" customWidth="1" min="9" max="9"/>
    <col width="8" customWidth="1" min="10" max="10"/>
    <col width="11" customWidth="1" min="11" max="11"/>
    <col width="17" customWidth="1" min="12" max="12"/>
    <col width="16" customWidth="1" min="13" max="13"/>
    <col width="13" customWidth="1" min="14" max="14"/>
    <col width="19" customWidth="1" min="15" max="15"/>
    <col width="10" customWidth="1" min="16" max="16"/>
    <col width="15" customWidth="1" min="17" max="17"/>
  </cols>
  <sheetData>
    <row r="1">
      <c r="A1" s="1" t="inlineStr">
        <is>
          <t>Nama Perusahaan</t>
        </is>
      </c>
      <c r="B1" s="1" t="inlineStr">
        <is>
          <t>Kabupaten/Kota</t>
        </is>
      </c>
      <c r="C1" s="1" t="inlineStr">
        <is>
          <t>Telepon</t>
        </is>
      </c>
      <c r="D1" s="1" t="inlineStr">
        <is>
          <t>Email</t>
        </is>
      </c>
      <c r="E1" s="1" t="inlineStr">
        <is>
          <t>Link</t>
        </is>
      </c>
      <c r="F1" s="1" t="inlineStr">
        <is>
          <t>Jumlah KBLI 2020</t>
        </is>
      </c>
      <c r="G1" s="1" t="inlineStr">
        <is>
          <t>Kode Subklasifikasi</t>
        </is>
      </c>
      <c r="H1" s="1" t="inlineStr">
        <is>
          <t>Tanggal Ditetapkan</t>
        </is>
      </c>
      <c r="I1" s="1" t="inlineStr">
        <is>
          <t>Tanggal Habis Masa Berlaku</t>
        </is>
      </c>
      <c r="J1" s="1" t="inlineStr">
        <is>
          <t>Status</t>
        </is>
      </c>
      <c r="K1" s="1" t="inlineStr">
        <is>
          <t>Sisa Hari</t>
        </is>
      </c>
      <c r="L1" s="1" t="inlineStr">
        <is>
          <t>Tanggal Expired</t>
        </is>
      </c>
      <c r="M1" s="1" t="inlineStr">
        <is>
          <t>Subklasifikasi</t>
        </is>
      </c>
      <c r="N1" s="1" t="inlineStr">
        <is>
          <t>Kualifikasi</t>
        </is>
      </c>
      <c r="O1" s="1" t="inlineStr">
        <is>
          <t>ID Subklasifikasi</t>
        </is>
      </c>
      <c r="P1" s="1" t="inlineStr">
        <is>
          <t>Provinsi</t>
        </is>
      </c>
      <c r="Q1" s="1" t="inlineStr">
        <is>
          <t>Link WhatsApp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2026-07-22T09:55:07Z</dcterms:created>
  <dcterms:modified xsi:type="dcterms:W3CDTF">2026-07-22T09:55:07Z</dcterms:modified>
</cp:coreProperties>
</file>