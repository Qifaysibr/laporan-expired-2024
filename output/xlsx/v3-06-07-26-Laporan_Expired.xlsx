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4"/>
  <sheetViews>
    <sheetView workbookViewId="0">
      <selection activeCell="A1" sqref="A1"/>
    </sheetView>
  </sheetViews>
  <sheetFormatPr baseColWidth="8" defaultRowHeight="15"/>
  <cols>
    <col width="33" customWidth="1" min="1" max="1"/>
    <col width="27" customWidth="1" min="2" max="2"/>
    <col width="16" customWidth="1" min="3" max="3"/>
    <col width="44" customWidth="1" min="4" max="4"/>
    <col width="50" customWidth="1" min="5" max="5"/>
    <col width="18" customWidth="1" min="6" max="6"/>
    <col width="49" customWidth="1" min="7" max="7"/>
    <col width="20" customWidth="1" min="8" max="8"/>
    <col width="28" customWidth="1" min="9" max="9"/>
    <col width="25"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AGUNG JAYA MAKMUR</t>
        </is>
      </c>
      <c r="B2" t="inlineStr">
        <is>
          <t>Kota Depok</t>
        </is>
      </c>
      <c r="C2" t="inlineStr">
        <is>
          <t>02187701210</t>
        </is>
      </c>
      <c r="D2" t="inlineStr">
        <is>
          <t>540qi.66@gmail.com</t>
        </is>
      </c>
      <c r="E2" t="inlineStr">
        <is>
          <t>https://lpjk.pu.go.id/search-badan-usaha-detail/VUVXMEZBajB6SkNueXNVZHVJbUlYUT09</t>
        </is>
      </c>
      <c r="F2" t="n">
        <v>10</v>
      </c>
      <c r="G2" t="inlineStr">
        <is>
          <t>BS001, BS004, BS005</t>
        </is>
      </c>
      <c r="H2" t="inlineStr">
        <is>
          <t>24 Januari 2006</t>
        </is>
      </c>
      <c r="I2" s="2" t="n">
        <v>46299</v>
      </c>
      <c r="J2" t="inlineStr">
        <is>
          <t>Disetujui</t>
        </is>
      </c>
      <c r="K2" t="n">
        <v>90</v>
      </c>
      <c r="L2" t="inlineStr">
        <is>
          <t>4 Oktober 2026</t>
        </is>
      </c>
      <c r="M2" t="inlineStr">
        <is>
          <t>Konstruksi Bangunan Sipil Jalan, Konstruksi Bangunan Sipil Pengolahan Air Bersih, Konstruksi Jaringan Irigasi dan Drainase</t>
        </is>
      </c>
      <c r="N2" t="inlineStr">
        <is>
          <t>K</t>
        </is>
      </c>
      <c r="O2" t="inlineStr">
        <is>
          <t>20231004</t>
        </is>
      </c>
      <c r="P2" t="inlineStr">
        <is>
          <t>Jawa Barat</t>
        </is>
      </c>
      <c r="Q2" t="inlineStr"/>
    </row>
    <row r="3">
      <c r="A3" t="inlineStr">
        <is>
          <t>BANGUN SARI AGUNG</t>
        </is>
      </c>
      <c r="B3" t="inlineStr">
        <is>
          <t>Kota Bekasi</t>
        </is>
      </c>
      <c r="C3" t="inlineStr">
        <is>
          <t>02182738846</t>
        </is>
      </c>
      <c r="D3" t="inlineStr">
        <is>
          <t>shafirasaraswati@gmail.com</t>
        </is>
      </c>
      <c r="E3" t="inlineStr">
        <is>
          <t>https://lpjk.pu.go.id/search-badan-usaha-detail/TWJTdkVnQlozamh0V1kyRFFsbU1xQT09</t>
        </is>
      </c>
      <c r="F3" t="n">
        <v>2</v>
      </c>
      <c r="G3" t="inlineStr">
        <is>
          <t>BG001, BG002</t>
        </is>
      </c>
      <c r="H3" t="inlineStr">
        <is>
          <t>18 Agustus 2023</t>
        </is>
      </c>
      <c r="I3" s="2" t="n">
        <v>46299</v>
      </c>
      <c r="J3" t="inlineStr">
        <is>
          <t>Disetujui</t>
        </is>
      </c>
      <c r="K3" t="n">
        <v>90</v>
      </c>
      <c r="L3" t="inlineStr">
        <is>
          <t>4 Oktober 2026</t>
        </is>
      </c>
      <c r="M3" t="inlineStr">
        <is>
          <t>Konstruksi Gedung Hunian, Konstruksi Gedung Perkantoran</t>
        </is>
      </c>
      <c r="N3" t="inlineStr">
        <is>
          <t>K</t>
        </is>
      </c>
      <c r="O3" t="inlineStr">
        <is>
          <t>20231003</t>
        </is>
      </c>
      <c r="P3" t="inlineStr">
        <is>
          <t>Jawa Barat</t>
        </is>
      </c>
      <c r="Q3" t="inlineStr"/>
    </row>
    <row r="4">
      <c r="A4" t="inlineStr">
        <is>
          <t>BUSTAN JAYA</t>
        </is>
      </c>
      <c r="B4" t="inlineStr">
        <is>
          <t>Kota Bekasi</t>
        </is>
      </c>
      <c r="C4" t="inlineStr">
        <is>
          <t>081291657063</t>
        </is>
      </c>
      <c r="D4" t="inlineStr">
        <is>
          <t>bustanjaya.2023@gmail.com</t>
        </is>
      </c>
      <c r="E4" t="inlineStr">
        <is>
          <t>https://lpjk.pu.go.id/search-badan-usaha-detail/eEtDdUdFWnByS0p4TlpyZDBIV2tMQT09</t>
        </is>
      </c>
      <c r="F4" t="n">
        <v>2</v>
      </c>
      <c r="G4" t="inlineStr">
        <is>
          <t>BG006, BG009</t>
        </is>
      </c>
      <c r="H4" t="inlineStr">
        <is>
          <t>19 Mei 2023</t>
        </is>
      </c>
      <c r="I4" s="2" t="n">
        <v>46299</v>
      </c>
      <c r="J4" t="inlineStr">
        <is>
          <t>Pencabutan</t>
        </is>
      </c>
      <c r="K4" t="n">
        <v>90</v>
      </c>
      <c r="L4" t="inlineStr">
        <is>
          <t>4 Oktober 2026</t>
        </is>
      </c>
      <c r="M4" t="inlineStr">
        <is>
          <t>Konstruksi Gedung Lainnya, Konstruksi Gedung Pendidikan</t>
        </is>
      </c>
      <c r="N4" t="inlineStr">
        <is>
          <t>K</t>
        </is>
      </c>
      <c r="O4" t="inlineStr">
        <is>
          <t>20231004</t>
        </is>
      </c>
      <c r="P4" t="inlineStr">
        <is>
          <t>Jawa Barat</t>
        </is>
      </c>
      <c r="Q4" s="3">
        <f>HYPERLINK("https://wa.me/6281291657063?text=Selamat siang Bapak/Ibu pimpinan BUSTAN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CAHAYA BERKAH SENTAUSA</t>
        </is>
      </c>
      <c r="B5" t="inlineStr">
        <is>
          <t>Kota Bekasi</t>
        </is>
      </c>
      <c r="C5" t="inlineStr">
        <is>
          <t>081212717429</t>
        </is>
      </c>
      <c r="D5" t="inlineStr">
        <is>
          <t>cahayaberkahsentausa@gmail.com</t>
        </is>
      </c>
      <c r="E5" t="inlineStr">
        <is>
          <t>https://lpjk.pu.go.id/search-badan-usaha-detail/THB6d2htRUVPMlpOWHNaZ21xbVQydz09</t>
        </is>
      </c>
      <c r="F5" t="n">
        <v>4</v>
      </c>
      <c r="G5" t="inlineStr">
        <is>
          <t>BG008, BG009, BS001, BS004</t>
        </is>
      </c>
      <c r="H5" t="inlineStr">
        <is>
          <t>13 September 2023</t>
        </is>
      </c>
      <c r="I5" s="2" t="n">
        <v>46299</v>
      </c>
      <c r="J5" t="inlineStr">
        <is>
          <t>Disetujui</t>
        </is>
      </c>
      <c r="K5" t="n">
        <v>90</v>
      </c>
      <c r="L5" t="inlineStr">
        <is>
          <t>4 Oktober 2026</t>
        </is>
      </c>
      <c r="M5" t="inlineStr">
        <is>
          <t>Konstruksi Bangunan Sipil Jalan, Konstruksi Gedung Lainnya, Konstruksi Gedung Tempat Hiburan dan Olahraga, Konstruksi Jaringan Irigasi dan Drainase</t>
        </is>
      </c>
      <c r="N5" t="inlineStr">
        <is>
          <t>K</t>
        </is>
      </c>
      <c r="O5" t="inlineStr">
        <is>
          <t>20231004</t>
        </is>
      </c>
      <c r="P5" t="inlineStr">
        <is>
          <t>Jawa Barat</t>
        </is>
      </c>
      <c r="Q5" s="3">
        <f>HYPERLINK("https://wa.me/6281212717429?text=Selamat siang Bapak/Ibu pimpinan CAHAYA BERKAH SENTAUSA,%0A%0ASemoga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HARMONI JAYA SEJAHTERA</t>
        </is>
      </c>
      <c r="B6" t="inlineStr">
        <is>
          <t>Kab. Bekasi</t>
        </is>
      </c>
      <c r="C6" t="inlineStr">
        <is>
          <t>02189902828</t>
        </is>
      </c>
      <c r="D6" t="inlineStr">
        <is>
          <t>harmonijayasejahtera@gmail.com</t>
        </is>
      </c>
      <c r="E6" t="inlineStr">
        <is>
          <t>https://lpjk.pu.go.id/search-badan-usaha-detail/R0FFNmMyYkVKb3ZiRlluNUIyTXNiZz09</t>
        </is>
      </c>
      <c r="F6" t="n">
        <v>1</v>
      </c>
      <c r="G6" t="inlineStr">
        <is>
          <t>BS001</t>
        </is>
      </c>
      <c r="H6" t="inlineStr">
        <is>
          <t>5 Desember 2006</t>
        </is>
      </c>
      <c r="I6" s="2" t="n">
        <v>46299</v>
      </c>
      <c r="J6" t="inlineStr">
        <is>
          <t>Disetujui</t>
        </is>
      </c>
      <c r="K6" t="n">
        <v>90</v>
      </c>
      <c r="L6" t="inlineStr">
        <is>
          <t>4 Oktober 2026</t>
        </is>
      </c>
      <c r="M6" t="inlineStr">
        <is>
          <t>Konstruksi Bangunan Sipil Jalan</t>
        </is>
      </c>
      <c r="N6" t="inlineStr">
        <is>
          <t>B</t>
        </is>
      </c>
      <c r="O6" t="inlineStr">
        <is>
          <t>20230912</t>
        </is>
      </c>
      <c r="P6" t="inlineStr">
        <is>
          <t>Jawa Barat</t>
        </is>
      </c>
      <c r="Q6" t="inlineStr"/>
    </row>
    <row r="7">
      <c r="A7" t="inlineStr">
        <is>
          <t>KARYA CAHAYA BUMI</t>
        </is>
      </c>
      <c r="B7" t="inlineStr">
        <is>
          <t>Kota Bekasi</t>
        </is>
      </c>
      <c r="C7" t="inlineStr">
        <is>
          <t>081286503112</t>
        </is>
      </c>
      <c r="D7" t="inlineStr">
        <is>
          <t>karyacahayabumi@gmail.com</t>
        </is>
      </c>
      <c r="E7" t="inlineStr">
        <is>
          <t>https://lpjk.pu.go.id/search-badan-usaha-detail/TDlxMEpTRVN4Q2tIeFpTN1hPQks4UT09</t>
        </is>
      </c>
      <c r="F7" t="n">
        <v>1</v>
      </c>
      <c r="G7" t="inlineStr">
        <is>
          <t>BS002</t>
        </is>
      </c>
      <c r="H7" t="inlineStr">
        <is>
          <t>15 Juni 2023</t>
        </is>
      </c>
      <c r="I7" s="2" t="n">
        <v>46299</v>
      </c>
      <c r="J7" t="inlineStr">
        <is>
          <t>Disetujui</t>
        </is>
      </c>
      <c r="K7" t="n">
        <v>90</v>
      </c>
      <c r="L7" t="inlineStr">
        <is>
          <t>4 Oktober 2026</t>
        </is>
      </c>
      <c r="M7" t="inlineStr">
        <is>
          <t>Bangunan Sipil Jembatan, Jalan Layang, Fly Over, dan Underpass</t>
        </is>
      </c>
      <c r="N7" t="inlineStr">
        <is>
          <t>K</t>
        </is>
      </c>
      <c r="O7" t="inlineStr">
        <is>
          <t>20230713</t>
        </is>
      </c>
      <c r="P7" t="inlineStr">
        <is>
          <t>Jawa Barat</t>
        </is>
      </c>
      <c r="Q7" s="3">
        <f>HYPERLINK("https://wa.me/6281286503112?text=Selamat siang Bapak/Ibu pimpinan KARYA CAHAYA BUMI,%0A%0ASemoga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MITRATALENTA KONSULTINDO</t>
        </is>
      </c>
      <c r="B8" t="inlineStr">
        <is>
          <t>Kota Adm. Jakarta Timur</t>
        </is>
      </c>
      <c r="C8" t="inlineStr">
        <is>
          <t>0214614628</t>
        </is>
      </c>
      <c r="D8" t="inlineStr">
        <is>
          <t>mitakon_kgp@yahoo.com</t>
        </is>
      </c>
      <c r="E8" t="inlineStr">
        <is>
          <t>https://lpjk.pu.go.id/search-badan-usaha-detail/WVdaYUVPZjhPTnlVTXc2MFk5cXQvUT09</t>
        </is>
      </c>
      <c r="F8" t="n">
        <v>3</v>
      </c>
      <c r="G8" t="inlineStr">
        <is>
          <t>RK001</t>
        </is>
      </c>
      <c r="H8" t="inlineStr">
        <is>
          <t>16 Januari 2012</t>
        </is>
      </c>
      <c r="I8" s="2" t="n">
        <v>46299</v>
      </c>
      <c r="J8" t="inlineStr">
        <is>
          <t>Disetujui</t>
        </is>
      </c>
      <c r="K8" t="n">
        <v>90</v>
      </c>
      <c r="L8" t="inlineStr">
        <is>
          <t>4 Oktober 2026</t>
        </is>
      </c>
      <c r="M8" t="inlineStr">
        <is>
          <t>Jasa Rekayasa Konstruksi Bangunan Gedung Hunian dan Non Hunian</t>
        </is>
      </c>
      <c r="N8" t="inlineStr">
        <is>
          <t>K</t>
        </is>
      </c>
      <c r="O8" t="inlineStr">
        <is>
          <t>20231003</t>
        </is>
      </c>
      <c r="P8" t="inlineStr">
        <is>
          <t>DKI Jakarta</t>
        </is>
      </c>
      <c r="Q8" t="inlineStr"/>
    </row>
    <row r="9">
      <c r="A9" t="inlineStr">
        <is>
          <t>RISKA PUTRI SULUNG</t>
        </is>
      </c>
      <c r="B9" t="inlineStr">
        <is>
          <t>Kota Depok</t>
        </is>
      </c>
      <c r="C9" t="inlineStr">
        <is>
          <t>085296848435</t>
        </is>
      </c>
      <c r="D9" t="inlineStr">
        <is>
          <t>ptriskaputrisulung@yahoo.com</t>
        </is>
      </c>
      <c r="E9" t="inlineStr">
        <is>
          <t>https://lpjk.pu.go.id/search-badan-usaha-detail/bkVkRlBxcGZLbHk0S01GRUYrVGNmdz09</t>
        </is>
      </c>
      <c r="F9" t="n">
        <v>1</v>
      </c>
      <c r="G9" t="inlineStr">
        <is>
          <t>BS006</t>
        </is>
      </c>
      <c r="H9" t="inlineStr">
        <is>
          <t>25 Juli 2022</t>
        </is>
      </c>
      <c r="I9" s="2" t="n">
        <v>46299</v>
      </c>
      <c r="J9" t="inlineStr">
        <is>
          <t>Disetujui</t>
        </is>
      </c>
      <c r="K9" t="n">
        <v>90</v>
      </c>
      <c r="L9" t="inlineStr">
        <is>
          <t>4 Oktober 2026</t>
        </is>
      </c>
      <c r="M9" t="inlineStr">
        <is>
          <t>Konstruksi Bangunan Sipil Prasarana dan Sarana Sistem Pengolahan Limbah Padat, Cair, dan Gas</t>
        </is>
      </c>
      <c r="N9" t="inlineStr">
        <is>
          <t>K</t>
        </is>
      </c>
      <c r="O9" t="inlineStr">
        <is>
          <t>20231002</t>
        </is>
      </c>
      <c r="P9" t="inlineStr">
        <is>
          <t>Jawa Barat</t>
        </is>
      </c>
      <c r="Q9" s="3">
        <f>HYPERLINK("https://wa.me/6285296848435?text=Selamat siang Bapak/Ibu pimpinan RISKA PUTRI SULUNG,%0A%0ASemoga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SATRIANI MITRA PERTAMA</t>
        </is>
      </c>
      <c r="B10" t="inlineStr">
        <is>
          <t>Kota Adm. Jakarta Timur</t>
        </is>
      </c>
      <c r="C10" t="inlineStr">
        <is>
          <t>02188968849</t>
        </is>
      </c>
      <c r="D10" t="inlineStr">
        <is>
          <t>Satriani_mitra@yahoo.co.id</t>
        </is>
      </c>
      <c r="E10" t="inlineStr">
        <is>
          <t>https://lpjk.pu.go.id/search-badan-usaha-detail/N0dIbnQ2SDlycmVzVGh6RHQ0eFFFQT09</t>
        </is>
      </c>
      <c r="F10" t="n">
        <v>2</v>
      </c>
      <c r="G10" t="inlineStr">
        <is>
          <t>BG003, BG009</t>
        </is>
      </c>
      <c r="H10" t="inlineStr">
        <is>
          <t>8 September 2021</t>
        </is>
      </c>
      <c r="I10" s="2" t="n">
        <v>46299</v>
      </c>
      <c r="J10" t="inlineStr">
        <is>
          <t>Disetujui</t>
        </is>
      </c>
      <c r="K10" t="n">
        <v>90</v>
      </c>
      <c r="L10" t="inlineStr">
        <is>
          <t>4 Oktober 2026</t>
        </is>
      </c>
      <c r="M10" t="inlineStr">
        <is>
          <t>Konstruksi Gedung Industri, Konstruksi Gedung Lainnya</t>
        </is>
      </c>
      <c r="N10" t="inlineStr">
        <is>
          <t>K</t>
        </is>
      </c>
      <c r="O10" t="inlineStr">
        <is>
          <t>20230929</t>
        </is>
      </c>
      <c r="P10" t="inlineStr">
        <is>
          <t>DKI Jakarta</t>
        </is>
      </c>
      <c r="Q10" t="inlineStr"/>
    </row>
    <row r="11">
      <c r="A11" t="inlineStr">
        <is>
          <t>TATA BANGUN SARANA</t>
        </is>
      </c>
      <c r="B11" t="inlineStr">
        <is>
          <t>Kab. Bekasi</t>
        </is>
      </c>
      <c r="C11" t="inlineStr">
        <is>
          <t>02129086891</t>
        </is>
      </c>
      <c r="D11" t="inlineStr">
        <is>
          <t>tata_bangunsarana@yahoo.com</t>
        </is>
      </c>
      <c r="E11" t="inlineStr">
        <is>
          <t>https://lpjk.pu.go.id/search-badan-usaha-detail/emdSQkNLc3BYSURWWXJ1VVQzY2p2dz09</t>
        </is>
      </c>
      <c r="F11" t="n">
        <v>1</v>
      </c>
      <c r="G11" t="inlineStr">
        <is>
          <t>BG001</t>
        </is>
      </c>
      <c r="H11" t="inlineStr">
        <is>
          <t>6 Agustus 2011</t>
        </is>
      </c>
      <c r="I11" s="2" t="n">
        <v>46299</v>
      </c>
      <c r="J11" t="inlineStr">
        <is>
          <t>Disetujui</t>
        </is>
      </c>
      <c r="K11" t="n">
        <v>90</v>
      </c>
      <c r="L11" t="inlineStr">
        <is>
          <t>4 Oktober 2026</t>
        </is>
      </c>
      <c r="M11" t="inlineStr">
        <is>
          <t>Konstruksi Gedung Hunian</t>
        </is>
      </c>
      <c r="N11" t="inlineStr">
        <is>
          <t>K</t>
        </is>
      </c>
      <c r="O11" t="inlineStr">
        <is>
          <t>20231001</t>
        </is>
      </c>
      <c r="P11" t="inlineStr">
        <is>
          <t>Jawa Barat</t>
        </is>
      </c>
      <c r="Q11" t="inlineStr"/>
    </row>
    <row r="12">
      <c r="A12" t="inlineStr">
        <is>
          <t>WIDAL KREASI WISESA</t>
        </is>
      </c>
      <c r="B12" t="inlineStr">
        <is>
          <t>Kota Bekasi</t>
        </is>
      </c>
      <c r="C12" t="inlineStr">
        <is>
          <t>-</t>
        </is>
      </c>
      <c r="D12" t="inlineStr">
        <is>
          <t>-</t>
        </is>
      </c>
      <c r="E12" t="inlineStr">
        <is>
          <t>https://lpjk.pu.go.id/search-badan-usaha-detail/cnlhWVh5ODJIV0cvNmZWelQyMyt4dz09</t>
        </is>
      </c>
      <c r="F12" t="n">
        <v>1</v>
      </c>
      <c r="G12" t="inlineStr">
        <is>
          <t>PB001</t>
        </is>
      </c>
      <c r="H12" t="inlineStr">
        <is>
          <t>18 Agustus 2017</t>
        </is>
      </c>
      <c r="I12" s="2" t="n">
        <v>46299</v>
      </c>
      <c r="J12" t="inlineStr">
        <is>
          <t>Disetujui</t>
        </is>
      </c>
      <c r="K12" t="n">
        <v>90</v>
      </c>
      <c r="L12" t="inlineStr">
        <is>
          <t>4 Oktober 2026</t>
        </is>
      </c>
      <c r="M12" t="inlineStr">
        <is>
          <t>Pengerjaan Pemasangan Kaca dan Alumunium</t>
        </is>
      </c>
      <c r="N12" t="inlineStr">
        <is>
          <t>Spesialis</t>
        </is>
      </c>
      <c r="O12" t="inlineStr">
        <is>
          <t>20230927</t>
        </is>
      </c>
      <c r="P12" t="inlineStr">
        <is>
          <t>Jawa Barat</t>
        </is>
      </c>
      <c r="Q12" t="inlineStr"/>
    </row>
    <row r="13">
      <c r="A13" t="inlineStr">
        <is>
          <t>ADI CIPTA</t>
        </is>
      </c>
      <c r="B13" t="inlineStr">
        <is>
          <t>Kota Mataram</t>
        </is>
      </c>
      <c r="C13" t="inlineStr">
        <is>
          <t>08123782303</t>
        </is>
      </c>
      <c r="D13" t="inlineStr">
        <is>
          <t>cv_adi_cipta@yahoo.co.id</t>
        </is>
      </c>
      <c r="E13" t="inlineStr">
        <is>
          <t>https://lpjk.pu.go.id/search-badan-usaha-detail/dExxVVBQYnU5UlphM1VXVzdiQlF1dz09</t>
        </is>
      </c>
      <c r="F13" t="n">
        <v>2</v>
      </c>
      <c r="G13" t="inlineStr">
        <is>
          <t>AL002, AL003</t>
        </is>
      </c>
      <c r="H13" t="inlineStr">
        <is>
          <t>27 September 1993</t>
        </is>
      </c>
      <c r="I13" s="2" t="n">
        <v>46299</v>
      </c>
      <c r="J13" t="inlineStr">
        <is>
          <t>Disetujui</t>
        </is>
      </c>
      <c r="K13" t="n">
        <v>90</v>
      </c>
      <c r="L13" t="inlineStr">
        <is>
          <t>4 Oktober 2026</t>
        </is>
      </c>
      <c r="M13" t="inlineStr">
        <is>
          <t>Jasa Pengembangan Perkotaan, Jasa Pengembangan Wilayah</t>
        </is>
      </c>
      <c r="N13" t="inlineStr">
        <is>
          <t>K</t>
        </is>
      </c>
      <c r="O13" t="inlineStr">
        <is>
          <t>20230907, 20230926</t>
        </is>
      </c>
      <c r="P13" t="inlineStr">
        <is>
          <t>Nusa Tenggara Barat</t>
        </is>
      </c>
      <c r="Q13" t="inlineStr"/>
    </row>
    <row r="14">
      <c r="A14" t="inlineStr">
        <is>
          <t>ADIDAYA GLOBAL ABADI</t>
        </is>
      </c>
      <c r="B14" t="inlineStr">
        <is>
          <t>Kab. Majalengka</t>
        </is>
      </c>
      <c r="C14" t="inlineStr">
        <is>
          <t>085523553526</t>
        </is>
      </c>
      <c r="D14" t="inlineStr">
        <is>
          <t>adidayaglobalabadi@gmail.com</t>
        </is>
      </c>
      <c r="E14" t="inlineStr">
        <is>
          <t>https://lpjk.pu.go.id/search-badan-usaha-detail/d0RWOGVNVDFGY2lERzZ4VnhKcVpDQT09</t>
        </is>
      </c>
      <c r="F14" t="n">
        <v>2</v>
      </c>
      <c r="G14" t="inlineStr">
        <is>
          <t>BS001, BS004</t>
        </is>
      </c>
      <c r="H14" t="inlineStr">
        <is>
          <t>3 Oktober 2019</t>
        </is>
      </c>
      <c r="I14" s="2" t="n">
        <v>46299</v>
      </c>
      <c r="J14" t="inlineStr">
        <is>
          <t>Disetujui</t>
        </is>
      </c>
      <c r="K14" t="n">
        <v>90</v>
      </c>
      <c r="L14" t="inlineStr">
        <is>
          <t>4 Oktober 2026</t>
        </is>
      </c>
      <c r="M14" t="inlineStr">
        <is>
          <t>Konstruksi Bangunan Sipil Jalan, Konstruksi Jaringan Irigasi dan Drainase</t>
        </is>
      </c>
      <c r="N14" t="inlineStr">
        <is>
          <t>K</t>
        </is>
      </c>
      <c r="O14" t="inlineStr">
        <is>
          <t>20231004</t>
        </is>
      </c>
      <c r="P14" t="inlineStr">
        <is>
          <t>Jawa Barat</t>
        </is>
      </c>
      <c r="Q14" t="inlineStr"/>
    </row>
    <row r="15">
      <c r="A15" t="inlineStr">
        <is>
          <t>ADIKARYA GUNA NUSANTARA</t>
        </is>
      </c>
      <c r="B15" t="inlineStr">
        <is>
          <t>Kota Adm. Jakarta Selatan</t>
        </is>
      </c>
      <c r="C15" t="inlineStr">
        <is>
          <t>02183707320</t>
        </is>
      </c>
      <c r="D15" t="inlineStr">
        <is>
          <t>dinagn@yahoo.com</t>
        </is>
      </c>
      <c r="E15" t="inlineStr">
        <is>
          <t>https://lpjk.pu.go.id/search-badan-usaha-detail/MjNYNFlRUkc3LzFkNU1VU09yU05hZz09</t>
        </is>
      </c>
      <c r="F15" t="n">
        <v>2</v>
      </c>
      <c r="G15" t="inlineStr">
        <is>
          <t>BG001</t>
        </is>
      </c>
      <c r="H15" t="inlineStr">
        <is>
          <t>12 Februari 2002</t>
        </is>
      </c>
      <c r="I15" s="2" t="n">
        <v>46299</v>
      </c>
      <c r="J15" t="inlineStr">
        <is>
          <t>Disetujui</t>
        </is>
      </c>
      <c r="K15" t="n">
        <v>90</v>
      </c>
      <c r="L15" t="inlineStr">
        <is>
          <t>4 Oktober 2026</t>
        </is>
      </c>
      <c r="M15" t="inlineStr">
        <is>
          <t>Konstruksi Gedung Hunian</t>
        </is>
      </c>
      <c r="N15" t="inlineStr">
        <is>
          <t>M</t>
        </is>
      </c>
      <c r="O15" t="inlineStr">
        <is>
          <t>20230714</t>
        </is>
      </c>
      <c r="P15" t="inlineStr">
        <is>
          <t>DKI Jakarta</t>
        </is>
      </c>
      <c r="Q15" t="inlineStr"/>
    </row>
    <row r="16">
      <c r="A16" t="inlineStr">
        <is>
          <t>ADITYA KARYA KONSTRUKSI</t>
        </is>
      </c>
      <c r="B16" t="inlineStr">
        <is>
          <t>Kota Makassar</t>
        </is>
      </c>
      <c r="C16" t="inlineStr">
        <is>
          <t>04114672747</t>
        </is>
      </c>
      <c r="D16" t="inlineStr">
        <is>
          <t>nursang207@gmail.com</t>
        </is>
      </c>
      <c r="E16" t="inlineStr">
        <is>
          <t>https://lpjk.pu.go.id/search-badan-usaha-detail/VmJLSkNibzNyYkhNVjJlZm1IaEc4dz09</t>
        </is>
      </c>
      <c r="F16" t="n">
        <v>1</v>
      </c>
      <c r="G16" t="inlineStr">
        <is>
          <t>PB010</t>
        </is>
      </c>
      <c r="H16" t="inlineStr">
        <is>
          <t>13 September 2019</t>
        </is>
      </c>
      <c r="I16" s="2" t="n">
        <v>46299</v>
      </c>
      <c r="J16" t="inlineStr">
        <is>
          <t>Pembekuan</t>
        </is>
      </c>
      <c r="K16" t="n">
        <v>90</v>
      </c>
      <c r="L16" t="inlineStr">
        <is>
          <t>4 Oktober 2026</t>
        </is>
      </c>
      <c r="M16" t="inlineStr">
        <is>
          <t>Pekerjaan Lanskap, Pertamanan, dan Penanaman Vegetasi</t>
        </is>
      </c>
      <c r="N16" t="inlineStr">
        <is>
          <t>Spesialis</t>
        </is>
      </c>
      <c r="O16" t="inlineStr">
        <is>
          <t>20230928</t>
        </is>
      </c>
      <c r="P16" t="inlineStr">
        <is>
          <t>Sulawesi Selatan</t>
        </is>
      </c>
      <c r="Q16" t="inlineStr"/>
    </row>
    <row r="17">
      <c r="A17" t="inlineStr">
        <is>
          <t>AGAPE MULIA</t>
        </is>
      </c>
      <c r="B17" t="inlineStr">
        <is>
          <t>Kota Manado</t>
        </is>
      </c>
      <c r="C17" t="inlineStr">
        <is>
          <t>085298221818</t>
        </is>
      </c>
      <c r="D17" t="inlineStr">
        <is>
          <t>cv_agapemulia@yahoo.com</t>
        </is>
      </c>
      <c r="E17" t="inlineStr">
        <is>
          <t>https://lpjk.pu.go.id/search-badan-usaha-detail/V0pHb3QyZGlZSzRUUHNrTlRjOE1QUT09</t>
        </is>
      </c>
      <c r="F17" t="n">
        <v>5</v>
      </c>
      <c r="G17" t="inlineStr">
        <is>
          <t>BG001, BG002</t>
        </is>
      </c>
      <c r="H17" t="inlineStr">
        <is>
          <t>26 September 1987</t>
        </is>
      </c>
      <c r="I17" s="2" t="n">
        <v>46299</v>
      </c>
      <c r="J17" t="inlineStr">
        <is>
          <t>Disetujui</t>
        </is>
      </c>
      <c r="K17" t="n">
        <v>90</v>
      </c>
      <c r="L17" t="inlineStr">
        <is>
          <t>4 Oktober 2026</t>
        </is>
      </c>
      <c r="M17" t="inlineStr">
        <is>
          <t>Konstruksi Gedung Hunian, Konstruksi Gedung Perkantoran</t>
        </is>
      </c>
      <c r="N17" t="inlineStr">
        <is>
          <t>K</t>
        </is>
      </c>
      <c r="O17" t="inlineStr">
        <is>
          <t>20231004</t>
        </is>
      </c>
      <c r="P17" t="inlineStr">
        <is>
          <t>Sulawesi Utara</t>
        </is>
      </c>
      <c r="Q17" t="inlineStr"/>
    </row>
    <row r="18">
      <c r="A18" t="inlineStr">
        <is>
          <t>AGRAPANA SADAJIWA</t>
        </is>
      </c>
      <c r="B18" t="inlineStr">
        <is>
          <t>Kota Surabaya</t>
        </is>
      </c>
      <c r="C18" t="inlineStr">
        <is>
          <t>0317664388</t>
        </is>
      </c>
      <c r="D18" t="inlineStr">
        <is>
          <t>agrapanasadajiwa@gmail.com</t>
        </is>
      </c>
      <c r="E18" t="inlineStr">
        <is>
          <t>https://lpjk.pu.go.id/search-badan-usaha-detail/bFRPeWZNR1gwaW1KVk1GUFM3S0ZaZz09</t>
        </is>
      </c>
      <c r="F18" t="n">
        <v>2</v>
      </c>
      <c r="G18" t="inlineStr">
        <is>
          <t>BG005</t>
        </is>
      </c>
      <c r="H18" t="inlineStr">
        <is>
          <t>22 September 2023</t>
        </is>
      </c>
      <c r="I18" s="2" t="n">
        <v>46299</v>
      </c>
      <c r="J18" t="inlineStr">
        <is>
          <t>Disetujui</t>
        </is>
      </c>
      <c r="K18" t="n">
        <v>90</v>
      </c>
      <c r="L18" t="inlineStr">
        <is>
          <t>4 Oktober 2026</t>
        </is>
      </c>
      <c r="M18" t="inlineStr">
        <is>
          <t>Konstruksi Gedung Kesehatan</t>
        </is>
      </c>
      <c r="N18" t="inlineStr">
        <is>
          <t>K</t>
        </is>
      </c>
      <c r="O18" t="inlineStr">
        <is>
          <t>20231003</t>
        </is>
      </c>
      <c r="P18" t="inlineStr">
        <is>
          <t>Jawa Timur</t>
        </is>
      </c>
      <c r="Q18" t="inlineStr"/>
    </row>
    <row r="19">
      <c r="A19" t="inlineStr">
        <is>
          <t>AKA DESIGN DAN ENGINEERING</t>
        </is>
      </c>
      <c r="B19" t="inlineStr">
        <is>
          <t>Kab. Malang</t>
        </is>
      </c>
      <c r="C19" t="inlineStr">
        <is>
          <t>081232662022</t>
        </is>
      </c>
      <c r="D19" t="inlineStr">
        <is>
          <t>akdesignengineering@gmail.com</t>
        </is>
      </c>
      <c r="E19" t="inlineStr">
        <is>
          <t>https://lpjk.pu.go.id/search-badan-usaha-detail/SE83M1hsLzJzVzVYS3BHYmR2Uno5dz09</t>
        </is>
      </c>
      <c r="F19" t="n">
        <v>1</v>
      </c>
      <c r="G19" t="inlineStr">
        <is>
          <t>RK003</t>
        </is>
      </c>
      <c r="H19" t="inlineStr">
        <is>
          <t>15 Mei 2017</t>
        </is>
      </c>
      <c r="I19" s="2" t="n">
        <v>46299</v>
      </c>
      <c r="J19" t="inlineStr">
        <is>
          <t>Pencabutan</t>
        </is>
      </c>
      <c r="K19" t="n">
        <v>90</v>
      </c>
      <c r="L19" t="inlineStr">
        <is>
          <t>4 Oktober 2026</t>
        </is>
      </c>
      <c r="M19" t="inlineStr">
        <is>
          <t>Jasa Rekayasa Pekerjaan Teknik Sipil Transportasi</t>
        </is>
      </c>
      <c r="N19" t="inlineStr">
        <is>
          <t>K</t>
        </is>
      </c>
      <c r="O19" t="inlineStr">
        <is>
          <t>20230920</t>
        </is>
      </c>
      <c r="P19" t="inlineStr">
        <is>
          <t>Jawa Timur</t>
        </is>
      </c>
      <c r="Q19" t="inlineStr"/>
    </row>
    <row r="20">
      <c r="A20" t="inlineStr">
        <is>
          <t>AKWA ANUGRAH</t>
        </is>
      </c>
      <c r="B20" t="inlineStr">
        <is>
          <t>Kota Palembang</t>
        </is>
      </c>
      <c r="C20" t="inlineStr">
        <is>
          <t>081373110302</t>
        </is>
      </c>
      <c r="D20" t="inlineStr">
        <is>
          <t>anugrahakwa@gmail.com</t>
        </is>
      </c>
      <c r="E20" t="inlineStr">
        <is>
          <t>https://lpjk.pu.go.id/search-badan-usaha-detail/cVdCWHhmdk41eDVER1dybDRCSTRUQT09</t>
        </is>
      </c>
      <c r="F20" t="n">
        <v>1</v>
      </c>
      <c r="G20" t="inlineStr">
        <is>
          <t>BS001</t>
        </is>
      </c>
      <c r="H20" t="inlineStr">
        <is>
          <t>23 Desember 2019</t>
        </is>
      </c>
      <c r="I20" s="2" t="n">
        <v>46299</v>
      </c>
      <c r="J20" t="inlineStr">
        <is>
          <t>Disetujui</t>
        </is>
      </c>
      <c r="K20" t="n">
        <v>90</v>
      </c>
      <c r="L20" t="inlineStr">
        <is>
          <t>4 Oktober 2026</t>
        </is>
      </c>
      <c r="M20" t="inlineStr">
        <is>
          <t>Konstruksi Bangunan Sipil Jalan</t>
        </is>
      </c>
      <c r="N20" t="inlineStr">
        <is>
          <t>K</t>
        </is>
      </c>
      <c r="O20" t="inlineStr">
        <is>
          <t>20231002</t>
        </is>
      </c>
      <c r="P20" t="inlineStr">
        <is>
          <t>Sumatera Selatan</t>
        </is>
      </c>
      <c r="Q20" t="inlineStr"/>
    </row>
    <row r="21">
      <c r="A21" t="inlineStr">
        <is>
          <t>ALFATH</t>
        </is>
      </c>
      <c r="B21" t="inlineStr">
        <is>
          <t>Kab. Kotawaringin Timur</t>
        </is>
      </c>
      <c r="C21" t="inlineStr">
        <is>
          <t>082159056179</t>
        </is>
      </c>
      <c r="D21" t="inlineStr">
        <is>
          <t>sunarto.kbs@gmail.com</t>
        </is>
      </c>
      <c r="E21" t="inlineStr">
        <is>
          <t>https://lpjk.pu.go.id/search-badan-usaha-detail/N3pvVVJjYW00QnFZVjVFejlvSXZxUT09</t>
        </is>
      </c>
      <c r="F21" t="n">
        <v>9</v>
      </c>
      <c r="G21" t="inlineStr">
        <is>
          <t>BG009, BS001, BS004</t>
        </is>
      </c>
      <c r="H21" t="inlineStr">
        <is>
          <t>7 November 2018</t>
        </is>
      </c>
      <c r="I21" s="2" t="n">
        <v>46299</v>
      </c>
      <c r="J21" t="inlineStr">
        <is>
          <t>Disetujui</t>
        </is>
      </c>
      <c r="K21" t="n">
        <v>90</v>
      </c>
      <c r="L21" t="inlineStr">
        <is>
          <t>4 Oktober 2026</t>
        </is>
      </c>
      <c r="M21" t="inlineStr">
        <is>
          <t>Konstruksi Bangunan Sipil Jalan, Konstruksi Gedung Lainnya, Konstruksi Jaringan Irigasi dan Drainase</t>
        </is>
      </c>
      <c r="N21" t="inlineStr">
        <is>
          <t>K</t>
        </is>
      </c>
      <c r="O21" t="inlineStr">
        <is>
          <t>20231004</t>
        </is>
      </c>
      <c r="P21" t="inlineStr">
        <is>
          <t>Kalimantan Tengah</t>
        </is>
      </c>
      <c r="Q21" t="inlineStr"/>
    </row>
    <row r="22">
      <c r="A22" t="inlineStr">
        <is>
          <t>ALIYAH DEWA</t>
        </is>
      </c>
      <c r="B22" t="inlineStr">
        <is>
          <t>Kab. Luwu</t>
        </is>
      </c>
      <c r="C22" t="inlineStr">
        <is>
          <t>081355881156</t>
        </is>
      </c>
      <c r="D22" t="inlineStr">
        <is>
          <t>andimuliadi1971@gmail.com</t>
        </is>
      </c>
      <c r="E22" t="inlineStr">
        <is>
          <t>https://lpjk.pu.go.id/search-badan-usaha-detail/bnFkd0hadnpFVU1sdm9uck1qVHNxUT09</t>
        </is>
      </c>
      <c r="F22" t="n">
        <v>2</v>
      </c>
      <c r="G22" t="inlineStr">
        <is>
          <t>BS001</t>
        </is>
      </c>
      <c r="H22" t="inlineStr">
        <is>
          <t>9 Januari 2017</t>
        </is>
      </c>
      <c r="I22" s="2" t="n">
        <v>46299</v>
      </c>
      <c r="J22" t="inlineStr">
        <is>
          <t>Disetujui</t>
        </is>
      </c>
      <c r="K22" t="n">
        <v>90</v>
      </c>
      <c r="L22" t="inlineStr">
        <is>
          <t>4 Oktober 2026</t>
        </is>
      </c>
      <c r="M22" t="inlineStr">
        <is>
          <t>Konstruksi Bangunan Sipil Jalan</t>
        </is>
      </c>
      <c r="N22" t="inlineStr">
        <is>
          <t>K</t>
        </is>
      </c>
      <c r="O22" t="inlineStr">
        <is>
          <t>20231005</t>
        </is>
      </c>
      <c r="P22" t="inlineStr">
        <is>
          <t>Sulawesi Selatan</t>
        </is>
      </c>
      <c r="Q22" t="inlineStr"/>
    </row>
    <row r="23">
      <c r="A23" t="inlineStr">
        <is>
          <t>ALKONUSA TEKNIK INTERKON</t>
        </is>
      </c>
      <c r="B23" t="inlineStr">
        <is>
          <t>Kota Surabaya</t>
        </is>
      </c>
      <c r="C23" t="inlineStr">
        <is>
          <t>082338066433</t>
        </is>
      </c>
      <c r="D23" t="inlineStr">
        <is>
          <t>alkonusateknikinterkon@gmail.com</t>
        </is>
      </c>
      <c r="E23" t="inlineStr">
        <is>
          <t>https://lpjk.pu.go.id/search-badan-usaha-detail/QTBWTnk1VlNqTkREWGJFVFJ6OWxHdz09</t>
        </is>
      </c>
      <c r="F23" t="n">
        <v>6</v>
      </c>
      <c r="G23" t="inlineStr">
        <is>
          <t>IN004, IN007, IN008</t>
        </is>
      </c>
      <c r="H23" t="inlineStr">
        <is>
          <t>22 Juni 2012</t>
        </is>
      </c>
      <c r="I23" s="2" t="n">
        <v>46299</v>
      </c>
      <c r="J23" t="inlineStr">
        <is>
          <t>Disetujui</t>
        </is>
      </c>
      <c r="K23" t="n">
        <v>90</v>
      </c>
      <c r="L23" t="inlineStr">
        <is>
          <t>4 Oktober 2026</t>
        </is>
      </c>
      <c r="M23" t="inlineStr">
        <is>
          <t>Instalasi Minyak dan Gas, Instalasi Pendingin Dan Ventilasi Udara, Instalasi Saluran Air (Plambing)</t>
        </is>
      </c>
      <c r="N23" t="inlineStr">
        <is>
          <t>Spesialis</t>
        </is>
      </c>
      <c r="O23" t="inlineStr">
        <is>
          <t>20231004</t>
        </is>
      </c>
      <c r="P23" t="inlineStr">
        <is>
          <t>Jawa Timur</t>
        </is>
      </c>
      <c r="Q23" t="inlineStr"/>
    </row>
    <row r="24">
      <c r="A24" t="inlineStr">
        <is>
          <t>ALSHADIK KARYA</t>
        </is>
      </c>
      <c r="B24" t="inlineStr">
        <is>
          <t>Kab. Solok</t>
        </is>
      </c>
      <c r="C24" t="inlineStr">
        <is>
          <t>082343819591</t>
        </is>
      </c>
      <c r="D24" t="inlineStr">
        <is>
          <t>alshadik.karya@gmail.com</t>
        </is>
      </c>
      <c r="E24" t="inlineStr">
        <is>
          <t>https://lpjk.pu.go.id/search-badan-usaha-detail/M3pGL2htTElKOEhTWkhta3Fwa2pXZz09</t>
        </is>
      </c>
      <c r="F24" t="n">
        <v>1</v>
      </c>
      <c r="G24" t="inlineStr">
        <is>
          <t>BG006</t>
        </is>
      </c>
      <c r="H24" t="inlineStr">
        <is>
          <t>4 September 2020</t>
        </is>
      </c>
      <c r="I24" s="2" t="n">
        <v>46299</v>
      </c>
      <c r="J24" t="inlineStr">
        <is>
          <t>Pencabutan</t>
        </is>
      </c>
      <c r="K24" t="n">
        <v>90</v>
      </c>
      <c r="L24" t="inlineStr">
        <is>
          <t>4 Oktober 2026</t>
        </is>
      </c>
      <c r="M24" t="inlineStr">
        <is>
          <t>Konstruksi Gedung Pendidikan</t>
        </is>
      </c>
      <c r="N24" t="inlineStr">
        <is>
          <t>K</t>
        </is>
      </c>
      <c r="O24" t="inlineStr">
        <is>
          <t>20230923</t>
        </is>
      </c>
      <c r="P24" t="inlineStr">
        <is>
          <t>Sumatera Barat</t>
        </is>
      </c>
      <c r="Q24" t="inlineStr"/>
    </row>
    <row r="25">
      <c r="A25" t="inlineStr">
        <is>
          <t>ANUGERAH KARYA BESTARI</t>
        </is>
      </c>
      <c r="B25" t="inlineStr">
        <is>
          <t>Kab. Cilacap</t>
        </is>
      </c>
      <c r="C25" t="inlineStr">
        <is>
          <t>081332145012</t>
        </is>
      </c>
      <c r="D25" t="inlineStr">
        <is>
          <t>pt.anugerahkaryabestari@gmail.com</t>
        </is>
      </c>
      <c r="E25" t="inlineStr">
        <is>
          <t>https://lpjk.pu.go.id/search-badan-usaha-detail/QzhWWFBJenNyaDNkK1FrUGphNTQ3dz09</t>
        </is>
      </c>
      <c r="F25" t="n">
        <v>2</v>
      </c>
      <c r="G25" t="inlineStr">
        <is>
          <t>BG001, BG003</t>
        </is>
      </c>
      <c r="H25" t="inlineStr">
        <is>
          <t>27 Oktober 2021</t>
        </is>
      </c>
      <c r="I25" s="2" t="n">
        <v>46299</v>
      </c>
      <c r="J25" t="inlineStr">
        <is>
          <t>Disetujui, Pencabutan</t>
        </is>
      </c>
      <c r="K25" t="n">
        <v>90</v>
      </c>
      <c r="L25" t="inlineStr">
        <is>
          <t>4 Oktober 2026</t>
        </is>
      </c>
      <c r="M25" t="inlineStr">
        <is>
          <t>Konstruksi Gedung Hunian, Konstruksi Gedung Industri</t>
        </is>
      </c>
      <c r="N25" t="inlineStr">
        <is>
          <t>K</t>
        </is>
      </c>
      <c r="O25" t="inlineStr">
        <is>
          <t>20231002</t>
        </is>
      </c>
      <c r="P25" t="inlineStr">
        <is>
          <t>Jawa Tengah</t>
        </is>
      </c>
      <c r="Q25" t="inlineStr"/>
    </row>
    <row r="26">
      <c r="A26" t="inlineStr">
        <is>
          <t>ANUGRAHA SEJATI</t>
        </is>
      </c>
      <c r="B26" t="inlineStr">
        <is>
          <t>Kab. Musi Rawas Utara</t>
        </is>
      </c>
      <c r="C26" t="inlineStr">
        <is>
          <t>082186006817</t>
        </is>
      </c>
      <c r="D26" t="inlineStr">
        <is>
          <t>herikaanugraha360@gmail.com</t>
        </is>
      </c>
      <c r="E26" t="inlineStr">
        <is>
          <t>https://lpjk.pu.go.id/search-badan-usaha-detail/eVZ6anRkeFhqU1U3RnNhdVp0VFJvdz09</t>
        </is>
      </c>
      <c r="F26" t="n">
        <v>4</v>
      </c>
      <c r="G26" t="inlineStr">
        <is>
          <t>BS001, BS004</t>
        </is>
      </c>
      <c r="H26" t="inlineStr">
        <is>
          <t>30 September 2016</t>
        </is>
      </c>
      <c r="I26" s="2" t="n">
        <v>46299</v>
      </c>
      <c r="J26" t="inlineStr">
        <is>
          <t>Disetujui</t>
        </is>
      </c>
      <c r="K26" t="n">
        <v>90</v>
      </c>
      <c r="L26" t="inlineStr">
        <is>
          <t>4 Oktober 2026</t>
        </is>
      </c>
      <c r="M26" t="inlineStr">
        <is>
          <t>Konstruksi Bangunan Sipil Jalan, Konstruksi Jaringan Irigasi dan Drainase</t>
        </is>
      </c>
      <c r="N26" t="inlineStr">
        <is>
          <t>K</t>
        </is>
      </c>
      <c r="O26" t="inlineStr">
        <is>
          <t>20230612, 20230913</t>
        </is>
      </c>
      <c r="P26" t="inlineStr">
        <is>
          <t>Sumatera Selatan</t>
        </is>
      </c>
      <c r="Q26" t="inlineStr"/>
    </row>
    <row r="27">
      <c r="A27" t="inlineStr">
        <is>
          <t>ARTA PRAKARSA</t>
        </is>
      </c>
      <c r="B27" t="inlineStr">
        <is>
          <t>Kab. Ngada</t>
        </is>
      </c>
      <c r="C27" t="inlineStr">
        <is>
          <t>081261257828</t>
        </is>
      </c>
      <c r="D27" t="inlineStr">
        <is>
          <t>artaprakarsa2019@gmail.com</t>
        </is>
      </c>
      <c r="E27" t="inlineStr">
        <is>
          <t>https://lpjk.pu.go.id/search-badan-usaha-detail/RWJpTjd5ZnRmcWxxT3Q0TkNQM3ladz09</t>
        </is>
      </c>
      <c r="F27" t="n">
        <v>3</v>
      </c>
      <c r="G27" t="inlineStr">
        <is>
          <t>BG006, BG009, BS004</t>
        </is>
      </c>
      <c r="H27" t="inlineStr">
        <is>
          <t>5 Januari 2015</t>
        </is>
      </c>
      <c r="I27" s="2" t="n">
        <v>46299</v>
      </c>
      <c r="J27" t="inlineStr">
        <is>
          <t>Disetujui</t>
        </is>
      </c>
      <c r="K27" t="n">
        <v>90</v>
      </c>
      <c r="L27" t="inlineStr">
        <is>
          <t>4 Oktober 2026</t>
        </is>
      </c>
      <c r="M27" t="inlineStr">
        <is>
          <t>Konstruksi Gedung Lainnya, Konstruksi Gedung Pendidikan, Konstruksi Jaringan Irigasi dan Drainase</t>
        </is>
      </c>
      <c r="N27" t="inlineStr">
        <is>
          <t>K</t>
        </is>
      </c>
      <c r="O27" t="inlineStr">
        <is>
          <t>20231003, 20231005</t>
        </is>
      </c>
      <c r="P27" t="inlineStr">
        <is>
          <t>Nusa Tenggara Timur</t>
        </is>
      </c>
      <c r="Q27" t="inlineStr"/>
    </row>
    <row r="28">
      <c r="A28" t="inlineStr">
        <is>
          <t>ARTHA JAYA</t>
        </is>
      </c>
      <c r="B28" t="inlineStr">
        <is>
          <t>Kab. Bandung</t>
        </is>
      </c>
      <c r="C28" t="inlineStr">
        <is>
          <t>0811249938</t>
        </is>
      </c>
      <c r="D28" t="inlineStr">
        <is>
          <t>ajaya29@yahoo.com</t>
        </is>
      </c>
      <c r="E28" t="inlineStr">
        <is>
          <t>https://lpjk.pu.go.id/search-badan-usaha-detail/MTV1V2hSbXBrZHZRaGN3ZFhMUTFPdz09</t>
        </is>
      </c>
      <c r="F28" t="n">
        <v>1</v>
      </c>
      <c r="G28" t="inlineStr">
        <is>
          <t>BS010</t>
        </is>
      </c>
      <c r="H28" t="inlineStr">
        <is>
          <t>1 Februari 2012</t>
        </is>
      </c>
      <c r="I28" s="2" t="n">
        <v>46299</v>
      </c>
      <c r="J28" t="inlineStr">
        <is>
          <t>Disetujui</t>
        </is>
      </c>
      <c r="K28" t="n">
        <v>90</v>
      </c>
      <c r="L28" t="inlineStr">
        <is>
          <t>4 Oktober 2026</t>
        </is>
      </c>
      <c r="M28" t="inlineStr">
        <is>
          <t>Konstruksi Bangunan Prasarana Sumber Daya Air</t>
        </is>
      </c>
      <c r="N28" t="inlineStr">
        <is>
          <t>K</t>
        </is>
      </c>
      <c r="O28" t="inlineStr">
        <is>
          <t>20231002</t>
        </is>
      </c>
      <c r="P28" t="inlineStr">
        <is>
          <t>Jawa Barat</t>
        </is>
      </c>
      <c r="Q28" t="inlineStr"/>
    </row>
    <row r="29">
      <c r="A29" t="inlineStr">
        <is>
          <t>ARVIENDO CIKAL KONSTRUKSI</t>
        </is>
      </c>
      <c r="B29" t="inlineStr">
        <is>
          <t>Kota Bandung</t>
        </is>
      </c>
      <c r="C29" t="inlineStr">
        <is>
          <t>02242838889</t>
        </is>
      </c>
      <c r="D29" t="inlineStr">
        <is>
          <t>arviendocikalconstruction@gmail.com</t>
        </is>
      </c>
      <c r="E29" t="inlineStr">
        <is>
          <t>https://lpjk.pu.go.id/search-badan-usaha-detail/N2VPeHJSSGd0TmJacFZVTmRpdEs3QT09</t>
        </is>
      </c>
      <c r="F29" t="n">
        <v>1</v>
      </c>
      <c r="G29" t="inlineStr">
        <is>
          <t>BG001</t>
        </is>
      </c>
      <c r="H29" t="inlineStr">
        <is>
          <t>30 Desember 2021</t>
        </is>
      </c>
      <c r="I29" s="2" t="n">
        <v>46299</v>
      </c>
      <c r="J29" t="inlineStr">
        <is>
          <t>Disetujui</t>
        </is>
      </c>
      <c r="K29" t="n">
        <v>90</v>
      </c>
      <c r="L29" t="inlineStr">
        <is>
          <t>4 Oktober 2026</t>
        </is>
      </c>
      <c r="M29" t="inlineStr">
        <is>
          <t>Konstruksi Gedung Hunian</t>
        </is>
      </c>
      <c r="N29" t="inlineStr">
        <is>
          <t>K</t>
        </is>
      </c>
      <c r="O29" t="inlineStr">
        <is>
          <t>20231002</t>
        </is>
      </c>
      <c r="P29" t="inlineStr">
        <is>
          <t>Jawa Barat</t>
        </is>
      </c>
      <c r="Q29" t="inlineStr"/>
    </row>
    <row r="30">
      <c r="A30" t="inlineStr">
        <is>
          <t>ARWANA</t>
        </is>
      </c>
      <c r="B30" t="inlineStr">
        <is>
          <t>Kota Bukittinggi</t>
        </is>
      </c>
      <c r="C30" t="inlineStr">
        <is>
          <t>081363869757</t>
        </is>
      </c>
      <c r="D30" t="inlineStr">
        <is>
          <t>elfaneli73@gmail.com</t>
        </is>
      </c>
      <c r="E30" t="inlineStr">
        <is>
          <t>https://lpjk.pu.go.id/search-badan-usaha-detail/eFZkLy81SlhlYmJta2ZFcllFazZjUT09</t>
        </is>
      </c>
      <c r="F30" t="n">
        <v>1</v>
      </c>
      <c r="G30" t="inlineStr">
        <is>
          <t>BG001</t>
        </is>
      </c>
      <c r="H30" t="inlineStr">
        <is>
          <t>31 Juli 2002</t>
        </is>
      </c>
      <c r="I30" s="2" t="n">
        <v>46299</v>
      </c>
      <c r="J30" t="inlineStr">
        <is>
          <t>Disetujui</t>
        </is>
      </c>
      <c r="K30" t="n">
        <v>90</v>
      </c>
      <c r="L30" t="inlineStr">
        <is>
          <t>4 Oktober 2026</t>
        </is>
      </c>
      <c r="M30" t="inlineStr">
        <is>
          <t>Konstruksi Gedung Hunian</t>
        </is>
      </c>
      <c r="N30" t="inlineStr">
        <is>
          <t>K</t>
        </is>
      </c>
      <c r="O30" t="inlineStr">
        <is>
          <t>20230925</t>
        </is>
      </c>
      <c r="P30" t="inlineStr">
        <is>
          <t>Sumatera Barat</t>
        </is>
      </c>
      <c r="Q30" t="inlineStr"/>
    </row>
    <row r="31">
      <c r="A31" t="inlineStr">
        <is>
          <t>ASKAR NUSANTARA</t>
        </is>
      </c>
      <c r="B31" t="inlineStr">
        <is>
          <t>Kab. Jember</t>
        </is>
      </c>
      <c r="C31" t="inlineStr">
        <is>
          <t>081330201647</t>
        </is>
      </c>
      <c r="D31" t="inlineStr">
        <is>
          <t>cvaskarnusantara@gmail.com</t>
        </is>
      </c>
      <c r="E31" t="inlineStr">
        <is>
          <t>https://lpjk.pu.go.id/search-badan-usaha-detail/TUl4Y1FsMWZIc056RkZlaW1HcE02UT09</t>
        </is>
      </c>
      <c r="F31" t="n">
        <v>1</v>
      </c>
      <c r="G31" t="inlineStr">
        <is>
          <t>BS001</t>
        </is>
      </c>
      <c r="H31" t="inlineStr">
        <is>
          <t>8 Januari 2021</t>
        </is>
      </c>
      <c r="I31" s="2" t="n">
        <v>46299</v>
      </c>
      <c r="J31" t="inlineStr">
        <is>
          <t>Disetujui</t>
        </is>
      </c>
      <c r="K31" t="n">
        <v>90</v>
      </c>
      <c r="L31" t="inlineStr">
        <is>
          <t>4 Oktober 2026</t>
        </is>
      </c>
      <c r="M31" t="inlineStr">
        <is>
          <t>Konstruksi Bangunan Sipil Jalan</t>
        </is>
      </c>
      <c r="N31" t="inlineStr">
        <is>
          <t>K</t>
        </is>
      </c>
      <c r="O31" t="inlineStr">
        <is>
          <t>20231003</t>
        </is>
      </c>
      <c r="P31" t="inlineStr">
        <is>
          <t>Jawa Timur</t>
        </is>
      </c>
      <c r="Q31" t="inlineStr"/>
    </row>
    <row r="32">
      <c r="A32" t="inlineStr">
        <is>
          <t>AUDI DAYA PERKASA</t>
        </is>
      </c>
      <c r="B32" t="inlineStr">
        <is>
          <t>Kab. Bengkayang</t>
        </is>
      </c>
      <c r="C32" t="inlineStr">
        <is>
          <t>081348794973</t>
        </is>
      </c>
      <c r="D32" t="inlineStr">
        <is>
          <t>audidayaperkasa@gmail.com</t>
        </is>
      </c>
      <c r="E32" t="inlineStr">
        <is>
          <t>https://lpjk.pu.go.id/search-badan-usaha-detail/NVpCa21JWjVYd3pnYk5VQTVoQ3ZUdz09</t>
        </is>
      </c>
      <c r="F32" t="n">
        <v>1</v>
      </c>
      <c r="G32" t="inlineStr">
        <is>
          <t>BG009</t>
        </is>
      </c>
      <c r="H32" t="inlineStr">
        <is>
          <t>28 Juni 2022</t>
        </is>
      </c>
      <c r="I32" s="2" t="n">
        <v>46299</v>
      </c>
      <c r="J32" t="inlineStr">
        <is>
          <t>Disetujui</t>
        </is>
      </c>
      <c r="K32" t="n">
        <v>90</v>
      </c>
      <c r="L32" t="inlineStr">
        <is>
          <t>4 Oktober 2026</t>
        </is>
      </c>
      <c r="M32" t="inlineStr">
        <is>
          <t>Konstruksi Gedung Lainnya</t>
        </is>
      </c>
      <c r="N32" t="inlineStr">
        <is>
          <t>K</t>
        </is>
      </c>
      <c r="O32" t="inlineStr">
        <is>
          <t>20231004</t>
        </is>
      </c>
      <c r="P32" t="inlineStr">
        <is>
          <t>Kalimantan Barat</t>
        </is>
      </c>
      <c r="Q32" t="inlineStr"/>
    </row>
    <row r="33">
      <c r="A33" t="inlineStr">
        <is>
          <t>AZIZA</t>
        </is>
      </c>
      <c r="B33" t="inlineStr">
        <is>
          <t>Kab. Kolaka Timur</t>
        </is>
      </c>
      <c r="C33" t="inlineStr">
        <is>
          <t>085222201457</t>
        </is>
      </c>
      <c r="D33" t="inlineStr">
        <is>
          <t>azizaasman@gmail.com</t>
        </is>
      </c>
      <c r="E33" t="inlineStr">
        <is>
          <t>https://lpjk.pu.go.id/search-badan-usaha-detail/bW9mWVNIRzdXeXExc05MRWcrbU5Ydz09</t>
        </is>
      </c>
      <c r="F33" t="n">
        <v>6</v>
      </c>
      <c r="G33" t="inlineStr">
        <is>
          <t>BS001, BS005</t>
        </is>
      </c>
      <c r="H33" t="inlineStr">
        <is>
          <t>20 Januari 2014</t>
        </is>
      </c>
      <c r="I33" s="2" t="n">
        <v>46299</v>
      </c>
      <c r="J33" t="inlineStr">
        <is>
          <t>Disetujui</t>
        </is>
      </c>
      <c r="K33" t="n">
        <v>90</v>
      </c>
      <c r="L33" t="inlineStr">
        <is>
          <t>4 Oktober 2026</t>
        </is>
      </c>
      <c r="M33" t="inlineStr">
        <is>
          <t>Konstruksi Bangunan Sipil Jalan, Konstruksi Bangunan Sipil Pengolahan Air Bersih</t>
        </is>
      </c>
      <c r="N33" t="inlineStr">
        <is>
          <t>K</t>
        </is>
      </c>
      <c r="O33" t="inlineStr">
        <is>
          <t>20230929</t>
        </is>
      </c>
      <c r="P33" t="inlineStr">
        <is>
          <t>Sulawesi Tenggara</t>
        </is>
      </c>
      <c r="Q33" t="inlineStr"/>
    </row>
    <row r="34">
      <c r="A34" t="inlineStr">
        <is>
          <t>BAGAS RAHARJA</t>
        </is>
      </c>
      <c r="B34" t="inlineStr">
        <is>
          <t>Kab. Klaten</t>
        </is>
      </c>
      <c r="C34" t="inlineStr">
        <is>
          <t>081325108660</t>
        </is>
      </c>
      <c r="D34" t="inlineStr">
        <is>
          <t>bagasraharja_86_577@yahoo.com</t>
        </is>
      </c>
      <c r="E34" t="inlineStr">
        <is>
          <t>https://lpjk.pu.go.id/search-badan-usaha-detail/eG54b1JCRlJmdDhlM0tSWFF6UkRTUT09</t>
        </is>
      </c>
      <c r="F34" t="n">
        <v>1</v>
      </c>
      <c r="G34" t="inlineStr">
        <is>
          <t>BS005</t>
        </is>
      </c>
      <c r="H34" t="inlineStr">
        <is>
          <t>18 Agustus 2011</t>
        </is>
      </c>
      <c r="I34" s="2" t="n">
        <v>46299</v>
      </c>
      <c r="J34" t="inlineStr">
        <is>
          <t>Disetujui</t>
        </is>
      </c>
      <c r="K34" t="n">
        <v>90</v>
      </c>
      <c r="L34" t="inlineStr">
        <is>
          <t>4 Oktober 2026</t>
        </is>
      </c>
      <c r="M34" t="inlineStr">
        <is>
          <t>Konstruksi Bangunan Sipil Pengolahan Air Bersih</t>
        </is>
      </c>
      <c r="N34" t="inlineStr">
        <is>
          <t>K</t>
        </is>
      </c>
      <c r="O34" t="inlineStr">
        <is>
          <t>20231004</t>
        </is>
      </c>
      <c r="P34" t="inlineStr">
        <is>
          <t>Jawa Tengah</t>
        </is>
      </c>
      <c r="Q34" t="inlineStr"/>
    </row>
    <row r="35">
      <c r="A35" t="inlineStr">
        <is>
          <t>BAHANA TOTALINDO TEKNIK</t>
        </is>
      </c>
      <c r="B35" t="inlineStr">
        <is>
          <t>Kota Adm. Jakarta Pusat</t>
        </is>
      </c>
      <c r="C35" t="inlineStr">
        <is>
          <t>0215733007</t>
        </is>
      </c>
      <c r="D35" t="inlineStr">
        <is>
          <t>bahanatotalindoteknik@gmail.com</t>
        </is>
      </c>
      <c r="E35" t="inlineStr">
        <is>
          <t>https://lpjk.pu.go.id/search-badan-usaha-detail/bnZ3aWEvOUlVbC9yQmlUSXNGMTMzZz09</t>
        </is>
      </c>
      <c r="F35" t="n">
        <v>1</v>
      </c>
      <c r="G35" t="inlineStr">
        <is>
          <t>BG003</t>
        </is>
      </c>
      <c r="H35" t="inlineStr">
        <is>
          <t>4 Januari 2019</t>
        </is>
      </c>
      <c r="I35" s="2" t="n">
        <v>46299</v>
      </c>
      <c r="J35" t="inlineStr">
        <is>
          <t>Disetujui</t>
        </is>
      </c>
      <c r="K35" t="n">
        <v>90</v>
      </c>
      <c r="L35" t="inlineStr">
        <is>
          <t>4 Oktober 2026</t>
        </is>
      </c>
      <c r="M35" t="inlineStr">
        <is>
          <t>Konstruksi Gedung Industri</t>
        </is>
      </c>
      <c r="N35" t="inlineStr">
        <is>
          <t>K</t>
        </is>
      </c>
      <c r="O35" t="inlineStr">
        <is>
          <t>20231005</t>
        </is>
      </c>
      <c r="P35" t="inlineStr">
        <is>
          <t>DKI Jakarta</t>
        </is>
      </c>
      <c r="Q35" t="inlineStr"/>
    </row>
    <row r="36">
      <c r="A36" t="inlineStr">
        <is>
          <t>BANGUN JAYA MANDIRI</t>
        </is>
      </c>
      <c r="B36" t="inlineStr">
        <is>
          <t>Kota Adm. Jakarta Utara</t>
        </is>
      </c>
      <c r="C36" t="inlineStr">
        <is>
          <t>0216692696</t>
        </is>
      </c>
      <c r="D36" t="inlineStr">
        <is>
          <t>bangunjayamandiri88@gmail.com</t>
        </is>
      </c>
      <c r="E36" t="inlineStr">
        <is>
          <t>https://lpjk.pu.go.id/search-badan-usaha-detail/UFptdFNhSERvbXdqR1Zma3JvdHlNQT09</t>
        </is>
      </c>
      <c r="F36" t="n">
        <v>1</v>
      </c>
      <c r="G36" t="inlineStr">
        <is>
          <t>BG009</t>
        </is>
      </c>
      <c r="H36" t="inlineStr">
        <is>
          <t>31 Agustus 2016</t>
        </is>
      </c>
      <c r="I36" s="2" t="n">
        <v>46299</v>
      </c>
      <c r="J36" t="inlineStr">
        <is>
          <t>Disetujui</t>
        </is>
      </c>
      <c r="K36" t="n">
        <v>90</v>
      </c>
      <c r="L36" t="inlineStr">
        <is>
          <t>4 Oktober 2026</t>
        </is>
      </c>
      <c r="M36" t="inlineStr">
        <is>
          <t>Konstruksi Gedung Lainnya</t>
        </is>
      </c>
      <c r="N36" t="inlineStr">
        <is>
          <t>K</t>
        </is>
      </c>
      <c r="O36" t="inlineStr">
        <is>
          <t>20230925</t>
        </is>
      </c>
      <c r="P36" t="inlineStr">
        <is>
          <t>DKI Jakarta</t>
        </is>
      </c>
      <c r="Q36" t="inlineStr"/>
    </row>
    <row r="37">
      <c r="A37" t="inlineStr">
        <is>
          <t>BERKARYA MANDIRI</t>
        </is>
      </c>
      <c r="B37" t="inlineStr">
        <is>
          <t>Kab. Pacitan</t>
        </is>
      </c>
      <c r="C37" t="inlineStr">
        <is>
          <t>081217003361</t>
        </is>
      </c>
      <c r="D37" t="inlineStr">
        <is>
          <t>berkaryamandiri.pct@gmail.com</t>
        </is>
      </c>
      <c r="E37" t="inlineStr">
        <is>
          <t>https://lpjk.pu.go.id/search-badan-usaha-detail/c3pKQWhZOHFwNHNwd29za2FHZCtIUT09</t>
        </is>
      </c>
      <c r="F37" t="n">
        <v>4</v>
      </c>
      <c r="G37" t="inlineStr">
        <is>
          <t>BG006, BS001</t>
        </is>
      </c>
      <c r="H37" t="inlineStr">
        <is>
          <t>21 Januari 2019</t>
        </is>
      </c>
      <c r="I37" s="2" t="n">
        <v>46299</v>
      </c>
      <c r="J37" t="inlineStr">
        <is>
          <t>Disetujui</t>
        </is>
      </c>
      <c r="K37" t="n">
        <v>90</v>
      </c>
      <c r="L37" t="inlineStr">
        <is>
          <t>4 Oktober 2026</t>
        </is>
      </c>
      <c r="M37" t="inlineStr">
        <is>
          <t>Konstruksi Bangunan Sipil Jalan, Konstruksi Gedung Pendidikan</t>
        </is>
      </c>
      <c r="N37" t="inlineStr">
        <is>
          <t>K</t>
        </is>
      </c>
      <c r="O37" t="inlineStr">
        <is>
          <t>20230921, 20230922</t>
        </is>
      </c>
      <c r="P37" t="inlineStr">
        <is>
          <t>Jawa Timur</t>
        </is>
      </c>
      <c r="Q37" t="inlineStr"/>
    </row>
    <row r="38">
      <c r="A38" t="inlineStr">
        <is>
          <t>BERKAT KARUNIA PHALA</t>
        </is>
      </c>
      <c r="B38" t="inlineStr">
        <is>
          <t>Kota Pekanbaru</t>
        </is>
      </c>
      <c r="C38" t="inlineStr">
        <is>
          <t>0761572278</t>
        </is>
      </c>
      <c r="D38" t="inlineStr">
        <is>
          <t>legal@bkpgrp.co.id</t>
        </is>
      </c>
      <c r="E38" t="inlineStr">
        <is>
          <t>https://lpjk.pu.go.id/search-badan-usaha-detail/OHdLcUZ4ajJvRkptakdwOUxvcmUyN2srRDgwSWhLNmxtK2NFbEhQR3NGaz0</t>
        </is>
      </c>
      <c r="F38" t="n">
        <v>2</v>
      </c>
      <c r="G38" t="inlineStr">
        <is>
          <t>BS013</t>
        </is>
      </c>
      <c r="H38" t="inlineStr">
        <is>
          <t>20 Desember 2024</t>
        </is>
      </c>
      <c r="I38" s="2" t="n">
        <v>46299</v>
      </c>
      <c r="J38" t="inlineStr">
        <is>
          <t>Disetujui</t>
        </is>
      </c>
      <c r="K38" t="n">
        <v>90</v>
      </c>
      <c r="L38" t="inlineStr">
        <is>
          <t>4 Oktober 2026</t>
        </is>
      </c>
      <c r="M38" t="inlineStr">
        <is>
          <t>Konstruksi Bangunan Sipil Minyak dan Gas Bumi</t>
        </is>
      </c>
      <c r="N38" t="inlineStr">
        <is>
          <t>B</t>
        </is>
      </c>
      <c r="O38" t="inlineStr">
        <is>
          <t>20230926</t>
        </is>
      </c>
      <c r="P38" t="inlineStr">
        <is>
          <t>Riau</t>
        </is>
      </c>
      <c r="Q38" t="inlineStr"/>
    </row>
    <row r="39">
      <c r="A39" t="inlineStr">
        <is>
          <t>BERKAT KARYA</t>
        </is>
      </c>
      <c r="B39" t="inlineStr">
        <is>
          <t>Kab. Sumenep</t>
        </is>
      </c>
      <c r="C39" t="inlineStr">
        <is>
          <t>081934984695</t>
        </is>
      </c>
      <c r="D39" t="inlineStr">
        <is>
          <t>cvberkatkarya256@gmail.com</t>
        </is>
      </c>
      <c r="E39" t="inlineStr">
        <is>
          <t>https://lpjk.pu.go.id/search-badan-usaha-detail/a1BQeTFnbHVCY2grSWdUSE56SFFBUT09</t>
        </is>
      </c>
      <c r="F39" t="n">
        <v>10</v>
      </c>
      <c r="G39" t="inlineStr">
        <is>
          <t>BG003, BG009, BS001, BS004, BS010</t>
        </is>
      </c>
      <c r="H39" t="inlineStr">
        <is>
          <t>23 September 1994</t>
        </is>
      </c>
      <c r="I39" s="2" t="n">
        <v>46299</v>
      </c>
      <c r="J39" t="inlineStr">
        <is>
          <t>Disetujui</t>
        </is>
      </c>
      <c r="K39" t="n">
        <v>90</v>
      </c>
      <c r="L39" t="inlineStr">
        <is>
          <t>4 Oktober 2026</t>
        </is>
      </c>
      <c r="M39" t="inlineStr">
        <is>
          <t>Konstruksi Bangunan Prasarana Sumber Daya Air, Konstruksi Bangunan Sipil Jalan, Konstruksi Gedung Industri, Konstruksi Gedung Lainnya, Konstruksi Jaringan Irigasi dan Drainase</t>
        </is>
      </c>
      <c r="N39" t="inlineStr">
        <is>
          <t>K</t>
        </is>
      </c>
      <c r="O39" t="inlineStr">
        <is>
          <t>20231003, 20231004</t>
        </is>
      </c>
      <c r="P39" t="inlineStr">
        <is>
          <t>Jawa Timur</t>
        </is>
      </c>
      <c r="Q39" t="inlineStr"/>
    </row>
    <row r="40">
      <c r="A40" t="inlineStr">
        <is>
          <t>BERSAMA ANEKA PROAKTIF</t>
        </is>
      </c>
      <c r="B40" t="inlineStr">
        <is>
          <t>Kab. Indramayu</t>
        </is>
      </c>
      <c r="C40" t="inlineStr">
        <is>
          <t>081802372357</t>
        </is>
      </c>
      <c r="D40" t="inlineStr">
        <is>
          <t>Bersamaanekaproaktif@gmail.com</t>
        </is>
      </c>
      <c r="E40" t="inlineStr">
        <is>
          <t>https://lpjk.pu.go.id/search-badan-usaha-detail/M1BqaFBYS2xxT3VzRUpwQ0t5VENSZz09</t>
        </is>
      </c>
      <c r="F40" t="n">
        <v>2</v>
      </c>
      <c r="G40" t="inlineStr">
        <is>
          <t>BG002, BS007</t>
        </is>
      </c>
      <c r="H40" t="inlineStr">
        <is>
          <t>14 Agustus 2023</t>
        </is>
      </c>
      <c r="I40" s="2" t="n">
        <v>46299</v>
      </c>
      <c r="J40" t="inlineStr">
        <is>
          <t>Disetujui</t>
        </is>
      </c>
      <c r="K40" t="n">
        <v>90</v>
      </c>
      <c r="L40" t="inlineStr">
        <is>
          <t>4 Oktober 2026</t>
        </is>
      </c>
      <c r="M40" t="inlineStr">
        <is>
          <t>Konstruksi Bangunan Sipil Elektrikal, Konstruksi Gedung Perkantoran</t>
        </is>
      </c>
      <c r="N40" t="inlineStr">
        <is>
          <t>K</t>
        </is>
      </c>
      <c r="O40" t="inlineStr">
        <is>
          <t>20231003</t>
        </is>
      </c>
      <c r="P40" t="inlineStr">
        <is>
          <t>Jawa Barat</t>
        </is>
      </c>
      <c r="Q40" t="inlineStr"/>
    </row>
    <row r="41">
      <c r="A41" t="inlineStr">
        <is>
          <t>BIMA MADIUN</t>
        </is>
      </c>
      <c r="B41" t="inlineStr">
        <is>
          <t>Kab. Madiun</t>
        </is>
      </c>
      <c r="C41" t="inlineStr">
        <is>
          <t>-</t>
        </is>
      </c>
      <c r="D41" t="inlineStr">
        <is>
          <t>cv.bimamadiun@yahoo.co.id</t>
        </is>
      </c>
      <c r="E41" t="inlineStr">
        <is>
          <t>https://lpjk.pu.go.id/search-badan-usaha-detail/a3BYTTFscGZjT1pLUkk4ZVNUdnI1UT09</t>
        </is>
      </c>
      <c r="F41" t="n">
        <v>1</v>
      </c>
      <c r="G41" t="inlineStr">
        <is>
          <t>BG009</t>
        </is>
      </c>
      <c r="H41" t="inlineStr">
        <is>
          <t>19 April 2000</t>
        </is>
      </c>
      <c r="I41" s="2" t="n">
        <v>46299</v>
      </c>
      <c r="J41" t="inlineStr">
        <is>
          <t>Disetujui</t>
        </is>
      </c>
      <c r="K41" t="n">
        <v>90</v>
      </c>
      <c r="L41" t="inlineStr">
        <is>
          <t>4 Oktober 2026</t>
        </is>
      </c>
      <c r="M41" t="inlineStr">
        <is>
          <t>Konstruksi Gedung Lainnya</t>
        </is>
      </c>
      <c r="N41" t="inlineStr">
        <is>
          <t>K</t>
        </is>
      </c>
      <c r="O41" t="inlineStr">
        <is>
          <t>20231001</t>
        </is>
      </c>
      <c r="P41" t="inlineStr">
        <is>
          <t>Jawa Timur</t>
        </is>
      </c>
      <c r="Q41" t="inlineStr"/>
    </row>
    <row r="42">
      <c r="A42" t="inlineStr">
        <is>
          <t>BORNEO BIRD JUNIO</t>
        </is>
      </c>
      <c r="B42" t="inlineStr">
        <is>
          <t>Kab. Sanggau</t>
        </is>
      </c>
      <c r="C42" t="inlineStr">
        <is>
          <t>085706134534</t>
        </is>
      </c>
      <c r="D42" t="inlineStr">
        <is>
          <t>borneobird2022@gmail.com</t>
        </is>
      </c>
      <c r="E42" t="inlineStr">
        <is>
          <t>https://lpjk.pu.go.id/search-badan-usaha-detail/OEJVRkp2akM4RWR6K2ZidmloazgzUT09</t>
        </is>
      </c>
      <c r="F42" t="n">
        <v>1</v>
      </c>
      <c r="G42" t="inlineStr">
        <is>
          <t>BS004</t>
        </is>
      </c>
      <c r="H42" t="inlineStr">
        <is>
          <t>4 Januari 2018</t>
        </is>
      </c>
      <c r="I42" s="2" t="n">
        <v>46299</v>
      </c>
      <c r="J42" t="inlineStr">
        <is>
          <t>Disetujui</t>
        </is>
      </c>
      <c r="K42" t="n">
        <v>90</v>
      </c>
      <c r="L42" t="inlineStr">
        <is>
          <t>4 Oktober 2026</t>
        </is>
      </c>
      <c r="M42" t="inlineStr">
        <is>
          <t>Konstruksi Jaringan Irigasi dan Drainase</t>
        </is>
      </c>
      <c r="N42" t="inlineStr">
        <is>
          <t>K</t>
        </is>
      </c>
      <c r="O42" t="inlineStr">
        <is>
          <t>20230921</t>
        </is>
      </c>
      <c r="P42" t="inlineStr">
        <is>
          <t>Kalimantan Barat</t>
        </is>
      </c>
      <c r="Q42" t="inlineStr"/>
    </row>
    <row r="43">
      <c r="A43" t="inlineStr">
        <is>
          <t>BORNEO ENERGY HARAPAN</t>
        </is>
      </c>
      <c r="B43" t="inlineStr">
        <is>
          <t>Kota Balikpapan</t>
        </is>
      </c>
      <c r="C43" t="inlineStr">
        <is>
          <t>05428515804</t>
        </is>
      </c>
      <c r="D43" t="inlineStr">
        <is>
          <t>borneoenergyharapan@gmail.com</t>
        </is>
      </c>
      <c r="E43" t="inlineStr">
        <is>
          <t>https://lpjk.pu.go.id/search-badan-usaha-detail/YkpXMFZicEpCdytPaDVQTzd0UzhiZz09</t>
        </is>
      </c>
      <c r="F43" t="n">
        <v>1</v>
      </c>
      <c r="G43" t="inlineStr">
        <is>
          <t>BS017</t>
        </is>
      </c>
      <c r="H43" t="inlineStr">
        <is>
          <t>4 Maret 2022</t>
        </is>
      </c>
      <c r="I43" s="2" t="n">
        <v>46299</v>
      </c>
      <c r="J43" t="inlineStr">
        <is>
          <t>Disetujui</t>
        </is>
      </c>
      <c r="K43" t="n">
        <v>90</v>
      </c>
      <c r="L43" t="inlineStr">
        <is>
          <t>4 Oktober 2026</t>
        </is>
      </c>
      <c r="M43" t="inlineStr">
        <is>
          <t>Konstruksi Bangunan Sipil Lainnya Ytdl</t>
        </is>
      </c>
      <c r="N43" t="inlineStr">
        <is>
          <t>K</t>
        </is>
      </c>
      <c r="O43" t="inlineStr">
        <is>
          <t>20231005</t>
        </is>
      </c>
      <c r="P43" t="inlineStr">
        <is>
          <t>Kalimantan Timur</t>
        </is>
      </c>
      <c r="Q43" t="inlineStr"/>
    </row>
    <row r="44">
      <c r="A44" t="inlineStr">
        <is>
          <t>BUDI AGUNG</t>
        </is>
      </c>
      <c r="B44" t="inlineStr">
        <is>
          <t>Kab. Blitar</t>
        </is>
      </c>
      <c r="C44" t="inlineStr">
        <is>
          <t>082211122132</t>
        </is>
      </c>
      <c r="D44" t="inlineStr">
        <is>
          <t>budisantoso.be14@yahoo.co.id</t>
        </is>
      </c>
      <c r="E44" t="inlineStr">
        <is>
          <t>https://lpjk.pu.go.id/search-badan-usaha-detail/Rm9HYVcwRlM3NmJaTm5Db2o2UER6UT09</t>
        </is>
      </c>
      <c r="F44" t="n">
        <v>1</v>
      </c>
      <c r="G44" t="inlineStr">
        <is>
          <t>BS006</t>
        </is>
      </c>
      <c r="H44" t="inlineStr">
        <is>
          <t>20 Desember 1985</t>
        </is>
      </c>
      <c r="I44" s="2" t="n">
        <v>46299</v>
      </c>
      <c r="J44" t="inlineStr">
        <is>
          <t>Disetujui</t>
        </is>
      </c>
      <c r="K44" t="n">
        <v>90</v>
      </c>
      <c r="L44" t="inlineStr">
        <is>
          <t>4 Oktober 2026</t>
        </is>
      </c>
      <c r="M44" t="inlineStr">
        <is>
          <t>Konstruksi Bangunan Sipil Prasarana dan Sarana Sistem Pengolahan Limbah Padat, Cair, dan Gas</t>
        </is>
      </c>
      <c r="N44" t="inlineStr">
        <is>
          <t>K</t>
        </is>
      </c>
      <c r="O44" t="inlineStr">
        <is>
          <t>20230930</t>
        </is>
      </c>
      <c r="P44" t="inlineStr">
        <is>
          <t>Jawa Timur</t>
        </is>
      </c>
      <c r="Q44" t="inlineStr"/>
    </row>
    <row r="45">
      <c r="A45" t="inlineStr">
        <is>
          <t>BUKIT SION</t>
        </is>
      </c>
      <c r="B45" t="inlineStr">
        <is>
          <t>Kota Pematangsiantar</t>
        </is>
      </c>
      <c r="C45" t="inlineStr">
        <is>
          <t>82272271005</t>
        </is>
      </c>
      <c r="D45" t="inlineStr">
        <is>
          <t>ud_filbertjaya@yahoo.com</t>
        </is>
      </c>
      <c r="E45" t="inlineStr">
        <is>
          <t>https://lpjk.pu.go.id/search-badan-usaha-detail/Vk9JYyt3cHhldEF6VFA3QUdVWjgzUT09</t>
        </is>
      </c>
      <c r="F45" t="n">
        <v>1</v>
      </c>
      <c r="G45" t="inlineStr">
        <is>
          <t>BS004</t>
        </is>
      </c>
      <c r="H45" t="inlineStr">
        <is>
          <t>30 Juli 2020</t>
        </is>
      </c>
      <c r="I45" s="2" t="n">
        <v>46299</v>
      </c>
      <c r="J45" t="inlineStr">
        <is>
          <t>Disetujui</t>
        </is>
      </c>
      <c r="K45" t="n">
        <v>90</v>
      </c>
      <c r="L45" t="inlineStr">
        <is>
          <t>4 Oktober 2026</t>
        </is>
      </c>
      <c r="M45" t="inlineStr">
        <is>
          <t>Konstruksi Jaringan Irigasi dan Drainase</t>
        </is>
      </c>
      <c r="N45" t="inlineStr">
        <is>
          <t>K</t>
        </is>
      </c>
      <c r="O45" t="inlineStr">
        <is>
          <t>20231003</t>
        </is>
      </c>
      <c r="P45" t="inlineStr">
        <is>
          <t>Sumatera Utara</t>
        </is>
      </c>
      <c r="Q45" t="inlineStr"/>
    </row>
    <row r="46">
      <c r="A46" t="inlineStr">
        <is>
          <t>BUKIT TELAGA HASTA MANDIRI</t>
        </is>
      </c>
      <c r="B46" t="inlineStr">
        <is>
          <t>Kota Jambi</t>
        </is>
      </c>
      <c r="C46" t="inlineStr">
        <is>
          <t>07417555311</t>
        </is>
      </c>
      <c r="D46" t="inlineStr">
        <is>
          <t>PTBTHM@gmail.com</t>
        </is>
      </c>
      <c r="E46" t="inlineStr">
        <is>
          <t>https://lpjk.pu.go.id/search-badan-usaha-detail/QUV2a0pNR0hrTHBINjFnVXRUaTFiZz09</t>
        </is>
      </c>
      <c r="F46" t="n">
        <v>1</v>
      </c>
      <c r="G46" t="inlineStr">
        <is>
          <t>BG005</t>
        </is>
      </c>
      <c r="H46" t="inlineStr">
        <is>
          <t>4 Maret 1999</t>
        </is>
      </c>
      <c r="I46" s="2" t="n">
        <v>46299</v>
      </c>
      <c r="J46" t="inlineStr">
        <is>
          <t>Disetujui</t>
        </is>
      </c>
      <c r="K46" t="n">
        <v>90</v>
      </c>
      <c r="L46" t="inlineStr">
        <is>
          <t>4 Oktober 2026</t>
        </is>
      </c>
      <c r="M46" t="inlineStr">
        <is>
          <t>Konstruksi Gedung Kesehatan</t>
        </is>
      </c>
      <c r="N46" t="inlineStr">
        <is>
          <t>M</t>
        </is>
      </c>
      <c r="O46" t="inlineStr">
        <is>
          <t>20230927</t>
        </is>
      </c>
      <c r="P46" t="inlineStr">
        <is>
          <t>Jambi</t>
        </is>
      </c>
      <c r="Q46" t="inlineStr"/>
    </row>
    <row r="47">
      <c r="A47" t="inlineStr">
        <is>
          <t>BUMI ANUGRAH</t>
        </is>
      </c>
      <c r="B47" t="inlineStr">
        <is>
          <t>Kab. Purwakarta</t>
        </is>
      </c>
      <c r="C47" t="inlineStr">
        <is>
          <t>08128047352</t>
        </is>
      </c>
      <c r="D47" t="inlineStr">
        <is>
          <t>cv.bumianugrahpwk@gmail.com</t>
        </is>
      </c>
      <c r="E47" t="inlineStr">
        <is>
          <t>https://lpjk.pu.go.id/search-badan-usaha-detail/Yzh5NXN2enhDdkxxNEI5NWFQSDZMUT09</t>
        </is>
      </c>
      <c r="F47" t="n">
        <v>2</v>
      </c>
      <c r="G47" t="inlineStr">
        <is>
          <t>BG002, BG009</t>
        </is>
      </c>
      <c r="H47" t="inlineStr">
        <is>
          <t>10 Oktober 2018</t>
        </is>
      </c>
      <c r="I47" s="2" t="n">
        <v>46299</v>
      </c>
      <c r="J47" t="inlineStr">
        <is>
          <t>Disetujui</t>
        </is>
      </c>
      <c r="K47" t="n">
        <v>90</v>
      </c>
      <c r="L47" t="inlineStr">
        <is>
          <t>4 Oktober 2026</t>
        </is>
      </c>
      <c r="M47" t="inlineStr">
        <is>
          <t>Konstruksi Gedung Lainnya, Konstruksi Gedung Perkantoran</t>
        </is>
      </c>
      <c r="N47" t="inlineStr">
        <is>
          <t>K</t>
        </is>
      </c>
      <c r="O47" t="inlineStr">
        <is>
          <t>20230929</t>
        </is>
      </c>
      <c r="P47" t="inlineStr">
        <is>
          <t>Jawa Barat</t>
        </is>
      </c>
      <c r="Q47" t="inlineStr"/>
    </row>
    <row r="48">
      <c r="A48" t="inlineStr">
        <is>
          <t>BUMI DELTA HATTEN</t>
        </is>
      </c>
      <c r="B48" t="inlineStr">
        <is>
          <t>Kota Jambi</t>
        </is>
      </c>
      <c r="C48" t="inlineStr">
        <is>
          <t>082210574801</t>
        </is>
      </c>
      <c r="D48" t="inlineStr">
        <is>
          <t>bumidelta_hatten@yahoo.com</t>
        </is>
      </c>
      <c r="E48" t="inlineStr">
        <is>
          <t>https://lpjk.pu.go.id/search-badan-usaha-detail/MFppYXVHa0dWdXJNb21nNnQ1ek5wUT09</t>
        </is>
      </c>
      <c r="F48" t="n">
        <v>1</v>
      </c>
      <c r="G48" t="inlineStr">
        <is>
          <t>BG001</t>
        </is>
      </c>
      <c r="H48" t="inlineStr">
        <is>
          <t>9 Januari 2015</t>
        </is>
      </c>
      <c r="I48" s="2" t="n">
        <v>46299</v>
      </c>
      <c r="J48" t="inlineStr">
        <is>
          <t>Pembekuan</t>
        </is>
      </c>
      <c r="K48" t="n">
        <v>90</v>
      </c>
      <c r="L48" t="inlineStr">
        <is>
          <t>4 Oktober 2026</t>
        </is>
      </c>
      <c r="M48" t="inlineStr">
        <is>
          <t>Konstruksi Gedung Hunian</t>
        </is>
      </c>
      <c r="N48" t="inlineStr">
        <is>
          <t>M</t>
        </is>
      </c>
      <c r="O48" t="inlineStr">
        <is>
          <t>20231002</t>
        </is>
      </c>
      <c r="P48" t="inlineStr">
        <is>
          <t>Jambi</t>
        </is>
      </c>
      <c r="Q48" t="inlineStr"/>
    </row>
    <row r="49">
      <c r="A49" t="inlineStr">
        <is>
          <t>BUNGA LAMTIAR JAYA</t>
        </is>
      </c>
      <c r="B49" t="inlineStr">
        <is>
          <t>Kab. Toba Samosir</t>
        </is>
      </c>
      <c r="C49" t="inlineStr">
        <is>
          <t>081396881878</t>
        </is>
      </c>
      <c r="D49" t="inlineStr">
        <is>
          <t>cvlamtiarjaya@gmail.com</t>
        </is>
      </c>
      <c r="E49" t="inlineStr">
        <is>
          <t>https://lpjk.pu.go.id/search-badan-usaha-detail/S0RZY2VneEkxQ1pBd2JLVldrbTdhZz09</t>
        </is>
      </c>
      <c r="F49" t="n">
        <v>1</v>
      </c>
      <c r="G49" t="inlineStr">
        <is>
          <t>BG006</t>
        </is>
      </c>
      <c r="H49" t="inlineStr">
        <is>
          <t>30 Oktober 2019</t>
        </is>
      </c>
      <c r="I49" s="2" t="n">
        <v>46299</v>
      </c>
      <c r="J49" t="inlineStr">
        <is>
          <t>Pencabutan</t>
        </is>
      </c>
      <c r="K49" t="n">
        <v>90</v>
      </c>
      <c r="L49" t="inlineStr">
        <is>
          <t>4 Oktober 2026</t>
        </is>
      </c>
      <c r="M49" t="inlineStr">
        <is>
          <t>Konstruksi Gedung Pendidikan</t>
        </is>
      </c>
      <c r="N49" t="inlineStr">
        <is>
          <t>K</t>
        </is>
      </c>
      <c r="O49" t="inlineStr">
        <is>
          <t>20231004</t>
        </is>
      </c>
      <c r="P49" t="inlineStr">
        <is>
          <t>Sumatera Utara</t>
        </is>
      </c>
      <c r="Q49" t="inlineStr"/>
    </row>
    <row r="50">
      <c r="A50" t="inlineStr">
        <is>
          <t>CAHAYA BERSAUDARA</t>
        </is>
      </c>
      <c r="B50" t="inlineStr">
        <is>
          <t>Kab. Gowa</t>
        </is>
      </c>
      <c r="C50" t="inlineStr">
        <is>
          <t>085299991476</t>
        </is>
      </c>
      <c r="D50" t="inlineStr">
        <is>
          <t>cahayabersaudara@hotmail.com</t>
        </is>
      </c>
      <c r="E50" t="inlineStr">
        <is>
          <t>https://lpjk.pu.go.id/search-badan-usaha-detail/R2F2UDhFcHdPRHNqTFpPa3Z3ekp6Zz09</t>
        </is>
      </c>
      <c r="F50" t="n">
        <v>1</v>
      </c>
      <c r="G50" t="inlineStr">
        <is>
          <t>BS004</t>
        </is>
      </c>
      <c r="H50" t="inlineStr">
        <is>
          <t>7 April 2007</t>
        </is>
      </c>
      <c r="I50" s="2" t="n">
        <v>46299</v>
      </c>
      <c r="J50" t="inlineStr">
        <is>
          <t>Disetujui</t>
        </is>
      </c>
      <c r="K50" t="n">
        <v>90</v>
      </c>
      <c r="L50" t="inlineStr">
        <is>
          <t>4 Oktober 2026</t>
        </is>
      </c>
      <c r="M50" t="inlineStr">
        <is>
          <t>Konstruksi Jaringan Irigasi dan Drainase</t>
        </is>
      </c>
      <c r="N50" t="inlineStr">
        <is>
          <t>K</t>
        </is>
      </c>
      <c r="O50" t="inlineStr">
        <is>
          <t>20231004</t>
        </is>
      </c>
      <c r="P50" t="inlineStr">
        <is>
          <t>Sulawesi Selatan</t>
        </is>
      </c>
      <c r="Q50" t="inlineStr"/>
    </row>
    <row r="51">
      <c r="A51" t="inlineStr">
        <is>
          <t>CAHAYA RANTE TONDON</t>
        </is>
      </c>
      <c r="B51" t="inlineStr">
        <is>
          <t>Kota Jayapura</t>
        </is>
      </c>
      <c r="C51" t="inlineStr">
        <is>
          <t>082197795159</t>
        </is>
      </c>
      <c r="D51" t="inlineStr">
        <is>
          <t>ptrantetondon@gmail.com</t>
        </is>
      </c>
      <c r="E51" t="inlineStr">
        <is>
          <t>https://lpjk.pu.go.id/search-badan-usaha-detail/OGh2aHhNcmh2cU1vZXVEZWljNXJqdz09</t>
        </is>
      </c>
      <c r="F51" t="n">
        <v>1</v>
      </c>
      <c r="G51" t="inlineStr">
        <is>
          <t>BG006</t>
        </is>
      </c>
      <c r="H51" t="inlineStr">
        <is>
          <t>13 Januari 2017</t>
        </is>
      </c>
      <c r="I51" s="2" t="n">
        <v>46299</v>
      </c>
      <c r="J51" t="inlineStr">
        <is>
          <t>Disetujui</t>
        </is>
      </c>
      <c r="K51" t="n">
        <v>90</v>
      </c>
      <c r="L51" t="inlineStr">
        <is>
          <t>4 Oktober 2026</t>
        </is>
      </c>
      <c r="M51" t="inlineStr">
        <is>
          <t>Konstruksi Gedung Pendidikan</t>
        </is>
      </c>
      <c r="N51" t="inlineStr">
        <is>
          <t>M</t>
        </is>
      </c>
      <c r="O51" t="inlineStr">
        <is>
          <t>20231004</t>
        </is>
      </c>
      <c r="P51" t="inlineStr">
        <is>
          <t>Papua</t>
        </is>
      </c>
      <c r="Q51" t="inlineStr"/>
    </row>
    <row r="52">
      <c r="A52" t="inlineStr">
        <is>
          <t>CAKRAWALA</t>
        </is>
      </c>
      <c r="B52" t="inlineStr">
        <is>
          <t>Kab. Tuban</t>
        </is>
      </c>
      <c r="C52" t="inlineStr">
        <is>
          <t>N/A</t>
        </is>
      </c>
      <c r="D52" t="inlineStr">
        <is>
          <t>N/A</t>
        </is>
      </c>
      <c r="E52" t="inlineStr">
        <is>
          <t>https://lpjk.pu.go.id/search-badan-usaha-detail/QTVXckNCOTlNY0VIWk5jTUgyYXg3QT09</t>
        </is>
      </c>
      <c r="F52" t="n">
        <v>4</v>
      </c>
      <c r="G52" t="inlineStr">
        <is>
          <t>BG002, BG005, BG006, BG009</t>
        </is>
      </c>
      <c r="H52" t="inlineStr"/>
      <c r="I52" s="2" t="n">
        <v>46299</v>
      </c>
      <c r="J52" t="inlineStr">
        <is>
          <t>Disetujui</t>
        </is>
      </c>
      <c r="K52" t="n">
        <v>90</v>
      </c>
      <c r="L52" t="inlineStr">
        <is>
          <t>4 Oktober 2026</t>
        </is>
      </c>
      <c r="M52" t="inlineStr">
        <is>
          <t>Konstruksi Gedung Kesehatan, Konstruksi Gedung Lainnya, Konstruksi Gedung Pendidikan, Konstruksi Gedung Perkantoran</t>
        </is>
      </c>
      <c r="N52" t="inlineStr">
        <is>
          <t>K</t>
        </is>
      </c>
      <c r="O52" t="inlineStr">
        <is>
          <t>20230926, 20230927</t>
        </is>
      </c>
      <c r="P52" t="inlineStr">
        <is>
          <t>Jawa Timur</t>
        </is>
      </c>
      <c r="Q52" t="inlineStr"/>
    </row>
    <row r="53">
      <c r="A53" t="inlineStr">
        <is>
          <t>CANDI SONA</t>
        </is>
      </c>
      <c r="B53" t="inlineStr">
        <is>
          <t>Kab. Deli Serdang</t>
        </is>
      </c>
      <c r="C53" t="inlineStr">
        <is>
          <t>081375172447</t>
        </is>
      </c>
      <c r="D53" t="inlineStr">
        <is>
          <t>cv.candisona@gmail.com</t>
        </is>
      </c>
      <c r="E53" t="inlineStr">
        <is>
          <t>https://lpjk.pu.go.id/search-badan-usaha-detail/ZW52azkzM05OVEQ0RmpmZWtqVGNsZz09</t>
        </is>
      </c>
      <c r="F53" t="n">
        <v>1</v>
      </c>
      <c r="G53" t="inlineStr">
        <is>
          <t>BS001</t>
        </is>
      </c>
      <c r="H53" t="inlineStr">
        <is>
          <t>18 Juli 2014</t>
        </is>
      </c>
      <c r="I53" s="2" t="n">
        <v>46299</v>
      </c>
      <c r="J53" t="inlineStr">
        <is>
          <t>Pencabutan</t>
        </is>
      </c>
      <c r="K53" t="n">
        <v>90</v>
      </c>
      <c r="L53" t="inlineStr">
        <is>
          <t>4 Oktober 2026</t>
        </is>
      </c>
      <c r="M53" t="inlineStr">
        <is>
          <t>Konstruksi Bangunan Sipil Jalan</t>
        </is>
      </c>
      <c r="N53" t="inlineStr">
        <is>
          <t>K</t>
        </is>
      </c>
      <c r="O53" t="inlineStr">
        <is>
          <t>20230929</t>
        </is>
      </c>
      <c r="P53" t="inlineStr">
        <is>
          <t>Sumatera Utara</t>
        </is>
      </c>
      <c r="Q53" t="inlineStr"/>
    </row>
    <row r="54">
      <c r="A54" t="inlineStr">
        <is>
          <t>CIPTA JAYA SEMPURNA</t>
        </is>
      </c>
      <c r="B54" t="inlineStr">
        <is>
          <t>Kota Medan</t>
        </is>
      </c>
      <c r="C54" t="inlineStr">
        <is>
          <t>085297699699</t>
        </is>
      </c>
      <c r="D54" t="inlineStr">
        <is>
          <t>cvciptajayasempurna.cjs@gmail.com</t>
        </is>
      </c>
      <c r="E54" t="inlineStr">
        <is>
          <t>https://lpjk.pu.go.id/search-badan-usaha-detail/WDhBOEVpZnIvVDVzMzFlU24yTEVvZz09</t>
        </is>
      </c>
      <c r="F54" t="n">
        <v>6</v>
      </c>
      <c r="G54" t="inlineStr">
        <is>
          <t>BG002, BG006, BG009</t>
        </is>
      </c>
      <c r="H54" t="inlineStr">
        <is>
          <t>3 Juni 2022</t>
        </is>
      </c>
      <c r="I54" s="2" t="n">
        <v>46299</v>
      </c>
      <c r="J54" t="inlineStr">
        <is>
          <t>Disetujui</t>
        </is>
      </c>
      <c r="K54" t="n">
        <v>90</v>
      </c>
      <c r="L54" t="inlineStr">
        <is>
          <t>4 Oktober 2026</t>
        </is>
      </c>
      <c r="M54" t="inlineStr">
        <is>
          <t>Konstruksi Gedung Lainnya, Konstruksi Gedung Pendidikan, Konstruksi Gedung Perkantoran</t>
        </is>
      </c>
      <c r="N54" t="inlineStr">
        <is>
          <t>K</t>
        </is>
      </c>
      <c r="O54" t="inlineStr">
        <is>
          <t>20231005</t>
        </is>
      </c>
      <c r="P54" t="inlineStr">
        <is>
          <t>Sumatera Utara</t>
        </is>
      </c>
      <c r="Q54" t="inlineStr"/>
    </row>
    <row r="55">
      <c r="A55" t="inlineStr">
        <is>
          <t>CITRA MANDIRI KARYA</t>
        </is>
      </c>
      <c r="B55" t="inlineStr">
        <is>
          <t>Kab. Klaten</t>
        </is>
      </c>
      <c r="C55" t="inlineStr">
        <is>
          <t>081329173876</t>
        </is>
      </c>
      <c r="D55" t="inlineStr">
        <is>
          <t>cvcitramandiri99@gmail.com</t>
        </is>
      </c>
      <c r="E55" t="inlineStr">
        <is>
          <t>https://lpjk.pu.go.id/search-badan-usaha-detail/b2tMVDluWHd1SWE5WHFOTEtnZXNHZz09</t>
        </is>
      </c>
      <c r="F55" t="n">
        <v>2</v>
      </c>
      <c r="G55" t="inlineStr">
        <is>
          <t>BS004, BS005</t>
        </is>
      </c>
      <c r="H55" t="inlineStr">
        <is>
          <t>31 Juli 2007</t>
        </is>
      </c>
      <c r="I55" s="2" t="n">
        <v>46299</v>
      </c>
      <c r="J55" t="inlineStr">
        <is>
          <t>Disetujui</t>
        </is>
      </c>
      <c r="K55" t="n">
        <v>90</v>
      </c>
      <c r="L55" t="inlineStr">
        <is>
          <t>4 Oktober 2026</t>
        </is>
      </c>
      <c r="M55" t="inlineStr">
        <is>
          <t>Konstruksi Bangunan Sipil Pengolahan Air Bersih, Konstruksi Jaringan Irigasi dan Drainase</t>
        </is>
      </c>
      <c r="N55" t="inlineStr">
        <is>
          <t>K</t>
        </is>
      </c>
      <c r="O55" t="inlineStr">
        <is>
          <t>20230929</t>
        </is>
      </c>
      <c r="P55" t="inlineStr">
        <is>
          <t>Jawa Tengah</t>
        </is>
      </c>
      <c r="Q55" t="inlineStr"/>
    </row>
    <row r="56">
      <c r="A56" t="inlineStr">
        <is>
          <t>CITRA PERKASA</t>
        </is>
      </c>
      <c r="B56" t="inlineStr">
        <is>
          <t>Kab. Kulon Progo</t>
        </is>
      </c>
      <c r="C56" t="inlineStr">
        <is>
          <t>081215540298</t>
        </is>
      </c>
      <c r="D56" t="inlineStr">
        <is>
          <t>ervinsofiana77@gmail.com</t>
        </is>
      </c>
      <c r="E56" t="inlineStr">
        <is>
          <t>https://lpjk.pu.go.id/search-badan-usaha-detail/UHo2VlkwazIvRkJCTFBNclpjOFYwQT09</t>
        </is>
      </c>
      <c r="F56" t="n">
        <v>1</v>
      </c>
      <c r="G56" t="inlineStr">
        <is>
          <t>BG005</t>
        </is>
      </c>
      <c r="H56" t="inlineStr">
        <is>
          <t>22 Juni 2011</t>
        </is>
      </c>
      <c r="I56" s="2" t="n">
        <v>46299</v>
      </c>
      <c r="J56" t="inlineStr">
        <is>
          <t>Disetujui</t>
        </is>
      </c>
      <c r="K56" t="n">
        <v>90</v>
      </c>
      <c r="L56" t="inlineStr">
        <is>
          <t>4 Oktober 2026</t>
        </is>
      </c>
      <c r="M56" t="inlineStr">
        <is>
          <t>Konstruksi Gedung Kesehatan</t>
        </is>
      </c>
      <c r="N56" t="inlineStr">
        <is>
          <t>K</t>
        </is>
      </c>
      <c r="O56" t="inlineStr">
        <is>
          <t>20231003</t>
        </is>
      </c>
      <c r="P56" t="inlineStr">
        <is>
          <t>DI Yogyakarta</t>
        </is>
      </c>
      <c r="Q56" t="inlineStr"/>
    </row>
    <row r="57">
      <c r="A57" t="inlineStr">
        <is>
          <t>DANANJAYA SEJUK SEJAHTERA</t>
        </is>
      </c>
      <c r="B57" t="inlineStr">
        <is>
          <t>Kab. Badung</t>
        </is>
      </c>
      <c r="C57" t="inlineStr">
        <is>
          <t>082146755860</t>
        </is>
      </c>
      <c r="D57" t="inlineStr">
        <is>
          <t>dananjaya764114@yahoo.com</t>
        </is>
      </c>
      <c r="E57" t="inlineStr">
        <is>
          <t>https://lpjk.pu.go.id/search-badan-usaha-detail/dGpOc25MUWdHbHZSUUZTMTN0bW9EZz09</t>
        </is>
      </c>
      <c r="F57" t="n">
        <v>1</v>
      </c>
      <c r="G57" t="inlineStr">
        <is>
          <t>IN008</t>
        </is>
      </c>
      <c r="H57" t="inlineStr">
        <is>
          <t>27 November 2006</t>
        </is>
      </c>
      <c r="I57" s="2" t="n">
        <v>46299</v>
      </c>
      <c r="J57" t="inlineStr">
        <is>
          <t>Disetujui</t>
        </is>
      </c>
      <c r="K57" t="n">
        <v>90</v>
      </c>
      <c r="L57" t="inlineStr">
        <is>
          <t>4 Oktober 2026</t>
        </is>
      </c>
      <c r="M57" t="inlineStr">
        <is>
          <t>Instalasi Pendingin Dan Ventilasi Udara</t>
        </is>
      </c>
      <c r="N57" t="inlineStr">
        <is>
          <t>Spesialis</t>
        </is>
      </c>
      <c r="O57" t="inlineStr">
        <is>
          <t>20230926</t>
        </is>
      </c>
      <c r="P57" t="inlineStr">
        <is>
          <t>Bali</t>
        </is>
      </c>
      <c r="Q57" t="inlineStr"/>
    </row>
    <row r="58">
      <c r="A58" t="inlineStr">
        <is>
          <t>DARMA PERKASA</t>
        </is>
      </c>
      <c r="B58" t="inlineStr">
        <is>
          <t>Kab. Batang</t>
        </is>
      </c>
      <c r="C58" t="inlineStr">
        <is>
          <t>082313222278</t>
        </is>
      </c>
      <c r="D58" t="inlineStr">
        <is>
          <t>cv.darmaperkasabatang@gmail.com</t>
        </is>
      </c>
      <c r="E58" t="inlineStr">
        <is>
          <t>https://lpjk.pu.go.id/search-badan-usaha-detail/VFkyaW4rU2YwVk5mUm14WkxyL0NZdz09</t>
        </is>
      </c>
      <c r="F58" t="n">
        <v>1</v>
      </c>
      <c r="G58" t="inlineStr">
        <is>
          <t>BS001</t>
        </is>
      </c>
      <c r="H58" t="inlineStr">
        <is>
          <t>17 Januari 2019</t>
        </is>
      </c>
      <c r="I58" s="2" t="n">
        <v>46299</v>
      </c>
      <c r="J58" t="inlineStr">
        <is>
          <t>Disetujui</t>
        </is>
      </c>
      <c r="K58" t="n">
        <v>90</v>
      </c>
      <c r="L58" t="inlineStr">
        <is>
          <t>4 Oktober 2026</t>
        </is>
      </c>
      <c r="M58" t="inlineStr">
        <is>
          <t>Konstruksi Bangunan Sipil Jalan</t>
        </is>
      </c>
      <c r="N58" t="inlineStr">
        <is>
          <t>K</t>
        </is>
      </c>
      <c r="O58" t="inlineStr">
        <is>
          <t>20231002</t>
        </is>
      </c>
      <c r="P58" t="inlineStr">
        <is>
          <t>Jawa Tengah</t>
        </is>
      </c>
      <c r="Q58" t="inlineStr"/>
    </row>
    <row r="59">
      <c r="A59" t="inlineStr">
        <is>
          <t>DEVINKO KARYA UTAMA</t>
        </is>
      </c>
      <c r="B59" t="inlineStr">
        <is>
          <t>Kab. Kutai Timur</t>
        </is>
      </c>
      <c r="C59" t="inlineStr">
        <is>
          <t>08125516137</t>
        </is>
      </c>
      <c r="D59" t="inlineStr">
        <is>
          <t>cv.devinkokaryautama08@gmail.com</t>
        </is>
      </c>
      <c r="E59" t="inlineStr">
        <is>
          <t>https://lpjk.pu.go.id/search-badan-usaha-detail/Q3diTlY5VGhCUytiT0xnRk9sdTk2UT09</t>
        </is>
      </c>
      <c r="F59" t="n">
        <v>1</v>
      </c>
      <c r="G59" t="inlineStr">
        <is>
          <t>BG009</t>
        </is>
      </c>
      <c r="H59" t="inlineStr">
        <is>
          <t>16 September 2006</t>
        </is>
      </c>
      <c r="I59" s="2" t="n">
        <v>46299</v>
      </c>
      <c r="J59" t="inlineStr">
        <is>
          <t>Disetujui</t>
        </is>
      </c>
      <c r="K59" t="n">
        <v>90</v>
      </c>
      <c r="L59" t="inlineStr">
        <is>
          <t>4 Oktober 2026</t>
        </is>
      </c>
      <c r="M59" t="inlineStr">
        <is>
          <t>Konstruksi Gedung Lainnya</t>
        </is>
      </c>
      <c r="N59" t="inlineStr">
        <is>
          <t>K</t>
        </is>
      </c>
      <c r="O59" t="inlineStr">
        <is>
          <t>20231004</t>
        </is>
      </c>
      <c r="P59" t="inlineStr">
        <is>
          <t>Kalimantan Timur</t>
        </is>
      </c>
      <c r="Q59" t="inlineStr"/>
    </row>
    <row r="60">
      <c r="A60" t="inlineStr">
        <is>
          <t>DIGDAYA KARYA MANDIRI</t>
        </is>
      </c>
      <c r="B60" t="inlineStr">
        <is>
          <t>Kota Adm. Jakarta Selatan</t>
        </is>
      </c>
      <c r="C60" t="inlineStr">
        <is>
          <t>087870118009</t>
        </is>
      </c>
      <c r="D60" t="inlineStr">
        <is>
          <t>digkarmandiri@gmail.com</t>
        </is>
      </c>
      <c r="E60" t="inlineStr">
        <is>
          <t>https://lpjk.pu.go.id/search-badan-usaha-detail/VTB5R2xGL1I1QUpCR1p5RkxTR0xBdz09</t>
        </is>
      </c>
      <c r="F60" t="n">
        <v>2</v>
      </c>
      <c r="G60" t="inlineStr">
        <is>
          <t>BS002, BS003</t>
        </is>
      </c>
      <c r="H60" t="inlineStr">
        <is>
          <t>22 Februari 2023</t>
        </is>
      </c>
      <c r="I60" s="2" t="n">
        <v>46299</v>
      </c>
      <c r="J60" t="inlineStr">
        <is>
          <t>Disetujui</t>
        </is>
      </c>
      <c r="K60" t="n">
        <v>90</v>
      </c>
      <c r="L60" t="inlineStr">
        <is>
          <t>4 Oktober 2026</t>
        </is>
      </c>
      <c r="M60" t="inlineStr">
        <is>
          <t>Bangunan Sipil Jembatan, Jalan Layang, Fly Over, dan Underpass, Konstruksi Jalan Rel</t>
        </is>
      </c>
      <c r="N60" t="inlineStr">
        <is>
          <t>K</t>
        </is>
      </c>
      <c r="O60" t="inlineStr">
        <is>
          <t>20231004</t>
        </is>
      </c>
      <c r="P60" t="inlineStr">
        <is>
          <t>DKI Jakarta</t>
        </is>
      </c>
      <c r="Q60" t="inlineStr"/>
    </row>
    <row r="61">
      <c r="A61" t="inlineStr">
        <is>
          <t>DOA EMAK PERKASA</t>
        </is>
      </c>
      <c r="B61" t="inlineStr">
        <is>
          <t>Kab. Tangerang</t>
        </is>
      </c>
      <c r="C61" t="inlineStr">
        <is>
          <t>081295413440</t>
        </is>
      </c>
      <c r="D61" t="inlineStr">
        <is>
          <t>aimanhalimy@gmail.com</t>
        </is>
      </c>
      <c r="E61" t="inlineStr">
        <is>
          <t>https://lpjk.pu.go.id/search-badan-usaha-detail/RnQ3azhqRG1pNXhWa0JUK1N4ZE14dz09</t>
        </is>
      </c>
      <c r="F61" t="n">
        <v>3</v>
      </c>
      <c r="G61" t="inlineStr">
        <is>
          <t>BG006, BS001, BS010</t>
        </is>
      </c>
      <c r="H61" t="inlineStr">
        <is>
          <t>12 Januari 2018</t>
        </is>
      </c>
      <c r="I61" s="2" t="n">
        <v>46299</v>
      </c>
      <c r="J61" t="inlineStr">
        <is>
          <t>Disetujui</t>
        </is>
      </c>
      <c r="K61" t="n">
        <v>90</v>
      </c>
      <c r="L61" t="inlineStr">
        <is>
          <t>4 Oktober 2026</t>
        </is>
      </c>
      <c r="M61" t="inlineStr">
        <is>
          <t>Konstruksi Bangunan Prasarana Sumber Daya Air, Konstruksi Bangunan Sipil Jalan, Konstruksi Gedung Pendidikan</t>
        </is>
      </c>
      <c r="N61" t="inlineStr">
        <is>
          <t>K</t>
        </is>
      </c>
      <c r="O61" t="inlineStr">
        <is>
          <t>20230917, 20230919, 20230920</t>
        </is>
      </c>
      <c r="P61" t="inlineStr">
        <is>
          <t>Banten</t>
        </is>
      </c>
      <c r="Q61" t="inlineStr"/>
    </row>
    <row r="62">
      <c r="A62" t="inlineStr">
        <is>
          <t>DUA PUTRA PRATAMA MANDIRI GROUP</t>
        </is>
      </c>
      <c r="B62" t="inlineStr">
        <is>
          <t>Kota Palangkaraya</t>
        </is>
      </c>
      <c r="C62" t="inlineStr">
        <is>
          <t>05364267887</t>
        </is>
      </c>
      <c r="D62" t="inlineStr">
        <is>
          <t>ptdppmgroup2021@gmail.com</t>
        </is>
      </c>
      <c r="E62" t="inlineStr">
        <is>
          <t>https://lpjk.pu.go.id/search-badan-usaha-detail/YlM4OEtBZVd6MVFKQmNDM0VQeHVZZz09</t>
        </is>
      </c>
      <c r="F62" t="n">
        <v>2</v>
      </c>
      <c r="G62" t="inlineStr">
        <is>
          <t>BS001</t>
        </is>
      </c>
      <c r="H62" t="inlineStr">
        <is>
          <t>25 Agustus 2021</t>
        </is>
      </c>
      <c r="I62" s="2" t="n">
        <v>46299</v>
      </c>
      <c r="J62" t="inlineStr">
        <is>
          <t>Disetujui</t>
        </is>
      </c>
      <c r="K62" t="n">
        <v>90</v>
      </c>
      <c r="L62" t="inlineStr">
        <is>
          <t>4 Oktober 2026</t>
        </is>
      </c>
      <c r="M62" t="inlineStr">
        <is>
          <t>Konstruksi Bangunan Sipil Jalan</t>
        </is>
      </c>
      <c r="N62" t="inlineStr">
        <is>
          <t>K</t>
        </is>
      </c>
      <c r="O62" t="inlineStr">
        <is>
          <t>20231004</t>
        </is>
      </c>
      <c r="P62" t="inlineStr">
        <is>
          <t>Kalimantan Tengah</t>
        </is>
      </c>
      <c r="Q62" t="inlineStr"/>
    </row>
    <row r="63">
      <c r="A63" t="inlineStr">
        <is>
          <t>DUA PUTRI</t>
        </is>
      </c>
      <c r="B63" t="inlineStr">
        <is>
          <t>Kab. Lombok Timur</t>
        </is>
      </c>
      <c r="C63" t="inlineStr">
        <is>
          <t>087763060130</t>
        </is>
      </c>
      <c r="D63" t="inlineStr">
        <is>
          <t>duaputri257@yahoo.com</t>
        </is>
      </c>
      <c r="E63" t="inlineStr">
        <is>
          <t>https://lpjk.pu.go.id/search-badan-usaha-detail/Q3l1YzhraExTaElNd1JNUDdKRXBGQT09</t>
        </is>
      </c>
      <c r="F63" t="n">
        <v>1</v>
      </c>
      <c r="G63" t="inlineStr">
        <is>
          <t>BS001</t>
        </is>
      </c>
      <c r="H63" t="inlineStr">
        <is>
          <t>14 Februari 2013</t>
        </is>
      </c>
      <c r="I63" s="2" t="n">
        <v>46299</v>
      </c>
      <c r="J63" t="inlineStr">
        <is>
          <t>Disetujui</t>
        </is>
      </c>
      <c r="K63" t="n">
        <v>90</v>
      </c>
      <c r="L63" t="inlineStr">
        <is>
          <t>4 Oktober 2026</t>
        </is>
      </c>
      <c r="M63" t="inlineStr">
        <is>
          <t>Konstruksi Bangunan Sipil Jalan</t>
        </is>
      </c>
      <c r="N63" t="inlineStr">
        <is>
          <t>K</t>
        </is>
      </c>
      <c r="O63" t="inlineStr">
        <is>
          <t>20231004</t>
        </is>
      </c>
      <c r="P63" t="inlineStr">
        <is>
          <t>Nusa Tenggara Barat</t>
        </is>
      </c>
      <c r="Q63" t="inlineStr"/>
    </row>
    <row r="64">
      <c r="A64" t="inlineStr">
        <is>
          <t>DUTA KALTIM</t>
        </is>
      </c>
      <c r="B64" t="inlineStr">
        <is>
          <t>Kota Samarinda</t>
        </is>
      </c>
      <c r="C64" t="inlineStr">
        <is>
          <t>081399998805</t>
        </is>
      </c>
      <c r="D64" t="inlineStr">
        <is>
          <t>dutakaltim2023@gmail.com</t>
        </is>
      </c>
      <c r="E64" t="inlineStr">
        <is>
          <t>https://lpjk.pu.go.id/search-badan-usaha-detail/amd0eEcwa29LRXJKNVBoZ0Y4VDBKZz09</t>
        </is>
      </c>
      <c r="F64" t="n">
        <v>1</v>
      </c>
      <c r="G64" t="inlineStr">
        <is>
          <t>BS001</t>
        </is>
      </c>
      <c r="H64" t="inlineStr">
        <is>
          <t>30 Agustus 2023</t>
        </is>
      </c>
      <c r="I64" s="2" t="n">
        <v>46299</v>
      </c>
      <c r="J64" t="inlineStr">
        <is>
          <t>Disetujui</t>
        </is>
      </c>
      <c r="K64" t="n">
        <v>90</v>
      </c>
      <c r="L64" t="inlineStr">
        <is>
          <t>4 Oktober 2026</t>
        </is>
      </c>
      <c r="M64" t="inlineStr">
        <is>
          <t>Konstruksi Bangunan Sipil Jalan</t>
        </is>
      </c>
      <c r="N64" t="inlineStr">
        <is>
          <t>K</t>
        </is>
      </c>
      <c r="O64" t="inlineStr">
        <is>
          <t>20230928</t>
        </is>
      </c>
      <c r="P64" t="inlineStr">
        <is>
          <t>Kalimantan Timur</t>
        </is>
      </c>
      <c r="Q64" t="inlineStr"/>
    </row>
    <row r="65">
      <c r="A65" t="inlineStr">
        <is>
          <t>DWI KARYA</t>
        </is>
      </c>
      <c r="B65" t="inlineStr">
        <is>
          <t>Kab. Bondowoso</t>
        </is>
      </c>
      <c r="C65" t="inlineStr">
        <is>
          <t>08123563023</t>
        </is>
      </c>
      <c r="D65" t="inlineStr">
        <is>
          <t>babynisazahira@yahoo.com</t>
        </is>
      </c>
      <c r="E65" t="inlineStr">
        <is>
          <t>https://lpjk.pu.go.id/search-badan-usaha-detail/WFQyUS9IUVA2NDZmbkl6QWMwNzFkbXhWWDNIb21Ydm9qWG9WTEZZR1hBdz0</t>
        </is>
      </c>
      <c r="F65" t="n">
        <v>1</v>
      </c>
      <c r="G65" t="inlineStr">
        <is>
          <t>BS005</t>
        </is>
      </c>
      <c r="H65" t="inlineStr">
        <is>
          <t>15 Agustus 2025</t>
        </is>
      </c>
      <c r="I65" s="2" t="n">
        <v>46299</v>
      </c>
      <c r="J65" t="inlineStr">
        <is>
          <t>Disetujui</t>
        </is>
      </c>
      <c r="K65" t="n">
        <v>90</v>
      </c>
      <c r="L65" t="inlineStr">
        <is>
          <t>4 Oktober 2026</t>
        </is>
      </c>
      <c r="M65" t="inlineStr">
        <is>
          <t>Konstruksi Bangunan Sipil Pengolahan Air Bersih</t>
        </is>
      </c>
      <c r="N65" t="inlineStr">
        <is>
          <t>K</t>
        </is>
      </c>
      <c r="O65" t="inlineStr">
        <is>
          <t>20231002</t>
        </is>
      </c>
      <c r="P65" t="inlineStr">
        <is>
          <t>Jawa Timur</t>
        </is>
      </c>
      <c r="Q65" t="inlineStr"/>
    </row>
    <row r="66">
      <c r="A66" t="inlineStr">
        <is>
          <t>EKO JAYA MAKMUR</t>
        </is>
      </c>
      <c r="B66" t="inlineStr">
        <is>
          <t>Kota Surabaya</t>
        </is>
      </c>
      <c r="C66" t="inlineStr">
        <is>
          <t>081357976444</t>
        </is>
      </c>
      <c r="D66" t="inlineStr">
        <is>
          <t>ekojayamakmursby@gmail.com</t>
        </is>
      </c>
      <c r="E66" t="inlineStr">
        <is>
          <t>https://lpjk.pu.go.id/search-badan-usaha-detail/TTZsRXNiTzhBV3NBM09tK2oxcC92dz09</t>
        </is>
      </c>
      <c r="F66" t="n">
        <v>1</v>
      </c>
      <c r="G66" t="inlineStr">
        <is>
          <t>BS004</t>
        </is>
      </c>
      <c r="H66" t="inlineStr">
        <is>
          <t>20 September 2023</t>
        </is>
      </c>
      <c r="I66" s="2" t="n">
        <v>46299</v>
      </c>
      <c r="J66" t="inlineStr">
        <is>
          <t>Disetujui</t>
        </is>
      </c>
      <c r="K66" t="n">
        <v>90</v>
      </c>
      <c r="L66" t="inlineStr">
        <is>
          <t>4 Oktober 2026</t>
        </is>
      </c>
      <c r="M66" t="inlineStr">
        <is>
          <t>Konstruksi Jaringan Irigasi dan Drainase</t>
        </is>
      </c>
      <c r="N66" t="inlineStr">
        <is>
          <t>K</t>
        </is>
      </c>
      <c r="O66" t="inlineStr">
        <is>
          <t>20230930</t>
        </is>
      </c>
      <c r="P66" t="inlineStr">
        <is>
          <t>Jawa Timur</t>
        </is>
      </c>
      <c r="Q66" t="inlineStr"/>
    </row>
    <row r="67">
      <c r="A67" t="inlineStr">
        <is>
          <t>ELSA NUREGA</t>
        </is>
      </c>
      <c r="B67" t="inlineStr">
        <is>
          <t>Kab. Gunungkidul</t>
        </is>
      </c>
      <c r="C67" t="inlineStr">
        <is>
          <t>0882008379708</t>
        </is>
      </c>
      <c r="D67" t="inlineStr">
        <is>
          <t>enurega@yahoo.com</t>
        </is>
      </c>
      <c r="E67" t="inlineStr">
        <is>
          <t>https://lpjk.pu.go.id/search-badan-usaha-detail/eGxiYVc0M0xFMEJEWVhpNnpRcjg1QT09</t>
        </is>
      </c>
      <c r="F67" t="n">
        <v>1</v>
      </c>
      <c r="G67" t="inlineStr">
        <is>
          <t>BG004</t>
        </is>
      </c>
      <c r="H67" t="inlineStr">
        <is>
          <t>1 Mei 2007</t>
        </is>
      </c>
      <c r="I67" s="2" t="n">
        <v>46299</v>
      </c>
      <c r="J67" t="inlineStr">
        <is>
          <t>Disetujui</t>
        </is>
      </c>
      <c r="K67" t="n">
        <v>90</v>
      </c>
      <c r="L67" t="inlineStr">
        <is>
          <t>4 Oktober 2026</t>
        </is>
      </c>
      <c r="M67" t="inlineStr">
        <is>
          <t>Konstruksi Gedung Perbelanjaan</t>
        </is>
      </c>
      <c r="N67" t="inlineStr">
        <is>
          <t>K</t>
        </is>
      </c>
      <c r="O67" t="inlineStr">
        <is>
          <t>20231002</t>
        </is>
      </c>
      <c r="P67" t="inlineStr">
        <is>
          <t>DI Yogyakarta</t>
        </is>
      </c>
      <c r="Q67" t="inlineStr"/>
    </row>
    <row r="68">
      <c r="A68" t="inlineStr">
        <is>
          <t>ELSADI KEVININDO PERSADA</t>
        </is>
      </c>
      <c r="B68" t="inlineStr">
        <is>
          <t>Kota Adm. Jakarta Pusat</t>
        </is>
      </c>
      <c r="C68" t="inlineStr">
        <is>
          <t>0213920099</t>
        </is>
      </c>
      <c r="D68" t="inlineStr">
        <is>
          <t>elsadikevinindo@gmail.com</t>
        </is>
      </c>
      <c r="E68" t="inlineStr">
        <is>
          <t>https://lpjk.pu.go.id/search-badan-usaha-detail/NHcwQnlUYll3Q096Nm5zUmszT3dMdz09</t>
        </is>
      </c>
      <c r="F68" t="n">
        <v>2</v>
      </c>
      <c r="G68" t="inlineStr">
        <is>
          <t>BG001, BG002</t>
        </is>
      </c>
      <c r="H68" t="inlineStr">
        <is>
          <t>22 Maret 2018</t>
        </is>
      </c>
      <c r="I68" s="2" t="n">
        <v>46299</v>
      </c>
      <c r="J68" t="inlineStr">
        <is>
          <t>Disetujui</t>
        </is>
      </c>
      <c r="K68" t="n">
        <v>90</v>
      </c>
      <c r="L68" t="inlineStr">
        <is>
          <t>4 Oktober 2026</t>
        </is>
      </c>
      <c r="M68" t="inlineStr">
        <is>
          <t>Konstruksi Gedung Hunian, Konstruksi Gedung Perkantoran</t>
        </is>
      </c>
      <c r="N68" t="inlineStr">
        <is>
          <t>M</t>
        </is>
      </c>
      <c r="O68" t="inlineStr">
        <is>
          <t>20230726</t>
        </is>
      </c>
      <c r="P68" t="inlineStr">
        <is>
          <t>DKI Jakarta</t>
        </is>
      </c>
      <c r="Q68" t="inlineStr"/>
    </row>
    <row r="69">
      <c r="A69" t="inlineStr">
        <is>
          <t>ELURI GROUP</t>
        </is>
      </c>
      <c r="B69" t="inlineStr">
        <is>
          <t>Kab. Cianjur</t>
        </is>
      </c>
      <c r="C69" t="inlineStr">
        <is>
          <t>085216670766</t>
        </is>
      </c>
      <c r="D69" t="inlineStr">
        <is>
          <t>elurigroup@yahoo.com</t>
        </is>
      </c>
      <c r="E69" t="inlineStr">
        <is>
          <t>https://lpjk.pu.go.id/search-badan-usaha-detail/SnJ3SW5Gd3JTMWM5QWxvUTlNMWtxUT09</t>
        </is>
      </c>
      <c r="F69" t="n">
        <v>1</v>
      </c>
      <c r="G69" t="inlineStr">
        <is>
          <t>BG009</t>
        </is>
      </c>
      <c r="H69" t="inlineStr">
        <is>
          <t>1 Oktober 1993</t>
        </is>
      </c>
      <c r="I69" s="2" t="n">
        <v>46299</v>
      </c>
      <c r="J69" t="inlineStr">
        <is>
          <t>Disetujui</t>
        </is>
      </c>
      <c r="K69" t="n">
        <v>90</v>
      </c>
      <c r="L69" t="inlineStr">
        <is>
          <t>4 Oktober 2026</t>
        </is>
      </c>
      <c r="M69" t="inlineStr">
        <is>
          <t>Konstruksi Gedung Lainnya</t>
        </is>
      </c>
      <c r="N69" t="inlineStr">
        <is>
          <t>K</t>
        </is>
      </c>
      <c r="O69" t="inlineStr">
        <is>
          <t>20231004</t>
        </is>
      </c>
      <c r="P69" t="inlineStr">
        <is>
          <t>Jawa Barat</t>
        </is>
      </c>
      <c r="Q69" t="inlineStr"/>
    </row>
    <row r="70">
      <c r="A70" t="inlineStr">
        <is>
          <t>ELVANNARA DWIDAYA SAKTI</t>
        </is>
      </c>
      <c r="B70" t="inlineStr">
        <is>
          <t>Kab. Cirebon</t>
        </is>
      </c>
      <c r="C70" t="inlineStr">
        <is>
          <t>08122340328</t>
        </is>
      </c>
      <c r="D70" t="inlineStr">
        <is>
          <t>elvannara.ds@gmail.com</t>
        </is>
      </c>
      <c r="E70" t="inlineStr">
        <is>
          <t>https://lpjk.pu.go.id/search-badan-usaha-detail/dTNRTm9lWVB4T1lnbXUvaUUraFBRQT09</t>
        </is>
      </c>
      <c r="F70" t="n">
        <v>1</v>
      </c>
      <c r="G70" t="inlineStr">
        <is>
          <t>BS001</t>
        </is>
      </c>
      <c r="H70" t="inlineStr">
        <is>
          <t>15 Januari 2021</t>
        </is>
      </c>
      <c r="I70" s="2" t="n">
        <v>46299</v>
      </c>
      <c r="J70" t="inlineStr">
        <is>
          <t>Disetujui</t>
        </is>
      </c>
      <c r="K70" t="n">
        <v>90</v>
      </c>
      <c r="L70" t="inlineStr">
        <is>
          <t>4 Oktober 2026</t>
        </is>
      </c>
      <c r="M70" t="inlineStr">
        <is>
          <t>Konstruksi Bangunan Sipil Jalan</t>
        </is>
      </c>
      <c r="N70" t="inlineStr">
        <is>
          <t>K</t>
        </is>
      </c>
      <c r="O70" t="inlineStr">
        <is>
          <t>20231004</t>
        </is>
      </c>
      <c r="P70" t="inlineStr">
        <is>
          <t>Jawa Barat</t>
        </is>
      </c>
      <c r="Q70" t="inlineStr"/>
    </row>
    <row r="71">
      <c r="A71" t="inlineStr">
        <is>
          <t>EMPAT PILAR UTAMA</t>
        </is>
      </c>
      <c r="B71" t="inlineStr">
        <is>
          <t>Kab. Lamongan</t>
        </is>
      </c>
      <c r="C71" t="inlineStr">
        <is>
          <t>081235449747</t>
        </is>
      </c>
      <c r="D71" t="inlineStr">
        <is>
          <t>empatpilarutama16@gmail.com</t>
        </is>
      </c>
      <c r="E71" t="inlineStr">
        <is>
          <t>https://lpjk.pu.go.id/search-badan-usaha-detail/aVBUbzdyZnNuVGorWERsZ3NpeGI1QT09</t>
        </is>
      </c>
      <c r="F71" t="n">
        <v>1</v>
      </c>
      <c r="G71" t="inlineStr">
        <is>
          <t>RK003</t>
        </is>
      </c>
      <c r="H71" t="inlineStr">
        <is>
          <t>21 September 2023</t>
        </is>
      </c>
      <c r="I71" s="2" t="n">
        <v>46299</v>
      </c>
      <c r="J71" t="inlineStr">
        <is>
          <t>Disetujui</t>
        </is>
      </c>
      <c r="K71" t="n">
        <v>90</v>
      </c>
      <c r="L71" t="inlineStr">
        <is>
          <t>4 Oktober 2026</t>
        </is>
      </c>
      <c r="M71" t="inlineStr">
        <is>
          <t>Jasa Rekayasa Pekerjaan Teknik Sipil Transportasi</t>
        </is>
      </c>
      <c r="N71" t="inlineStr">
        <is>
          <t>K</t>
        </is>
      </c>
      <c r="O71" t="inlineStr">
        <is>
          <t>20230926</t>
        </is>
      </c>
      <c r="P71" t="inlineStr">
        <is>
          <t>Jawa Timur</t>
        </is>
      </c>
      <c r="Q71" t="inlineStr"/>
    </row>
    <row r="72">
      <c r="A72" t="inlineStr">
        <is>
          <t>ENAM SATU ENAM PROJECT</t>
        </is>
      </c>
      <c r="B72" t="inlineStr">
        <is>
          <t>Kab. Tanah Bumbu</t>
        </is>
      </c>
      <c r="C72" t="inlineStr">
        <is>
          <t>082251863867</t>
        </is>
      </c>
      <c r="D72" t="inlineStr">
        <is>
          <t>cv.616project@gmail.com</t>
        </is>
      </c>
      <c r="E72" t="inlineStr">
        <is>
          <t>https://lpjk.pu.go.id/search-badan-usaha-detail/QlNMbjhTVnpLRXhDT1pTbi82NENHdz09</t>
        </is>
      </c>
      <c r="F72" t="n">
        <v>1</v>
      </c>
      <c r="G72" t="inlineStr">
        <is>
          <t>BS010</t>
        </is>
      </c>
      <c r="H72" t="inlineStr">
        <is>
          <t>5 November 2021</t>
        </is>
      </c>
      <c r="I72" s="2" t="n">
        <v>46299</v>
      </c>
      <c r="J72" t="inlineStr">
        <is>
          <t>Disetujui</t>
        </is>
      </c>
      <c r="K72" t="n">
        <v>90</v>
      </c>
      <c r="L72" t="inlineStr">
        <is>
          <t>4 Oktober 2026</t>
        </is>
      </c>
      <c r="M72" t="inlineStr">
        <is>
          <t>Konstruksi Bangunan Prasarana Sumber Daya Air</t>
        </is>
      </c>
      <c r="N72" t="inlineStr">
        <is>
          <t>K</t>
        </is>
      </c>
      <c r="O72" t="inlineStr">
        <is>
          <t>20231005</t>
        </is>
      </c>
      <c r="P72" t="inlineStr">
        <is>
          <t>Kalimantan Selatan</t>
        </is>
      </c>
      <c r="Q72" t="inlineStr"/>
    </row>
    <row r="73">
      <c r="A73" t="inlineStr">
        <is>
          <t>GALANG JAYA ABADI</t>
        </is>
      </c>
      <c r="B73" t="inlineStr">
        <is>
          <t>Kota Mataram</t>
        </is>
      </c>
      <c r="C73" t="inlineStr">
        <is>
          <t>087864547689</t>
        </is>
      </c>
      <c r="D73" t="inlineStr">
        <is>
          <t>Suardanap42@gmail.com</t>
        </is>
      </c>
      <c r="E73" t="inlineStr">
        <is>
          <t>https://lpjk.pu.go.id/search-badan-usaha-detail/SDJ1SGRTUSsrYklqTkk5Mnc1Vk5oUT09</t>
        </is>
      </c>
      <c r="F73" t="n">
        <v>1</v>
      </c>
      <c r="G73" t="inlineStr">
        <is>
          <t>BG009</t>
        </is>
      </c>
      <c r="H73" t="inlineStr">
        <is>
          <t>12 Februari 2020</t>
        </is>
      </c>
      <c r="I73" s="2" t="n">
        <v>46299</v>
      </c>
      <c r="J73" t="inlineStr">
        <is>
          <t>Disetujui</t>
        </is>
      </c>
      <c r="K73" t="n">
        <v>90</v>
      </c>
      <c r="L73" t="inlineStr">
        <is>
          <t>4 Oktober 2026</t>
        </is>
      </c>
      <c r="M73" t="inlineStr">
        <is>
          <t>Konstruksi Gedung Lainnya</t>
        </is>
      </c>
      <c r="N73" t="inlineStr">
        <is>
          <t>K</t>
        </is>
      </c>
      <c r="O73" t="inlineStr">
        <is>
          <t>20230929</t>
        </is>
      </c>
      <c r="P73" t="inlineStr">
        <is>
          <t>Nusa Tenggara Barat</t>
        </is>
      </c>
      <c r="Q73" t="inlineStr"/>
    </row>
    <row r="74">
      <c r="A74" t="inlineStr">
        <is>
          <t>GARUDA WISNU KENCANA</t>
        </is>
      </c>
      <c r="B74" t="inlineStr">
        <is>
          <t>Kab. Karanganyar</t>
        </is>
      </c>
      <c r="C74" t="inlineStr">
        <is>
          <t>082242085338</t>
        </is>
      </c>
      <c r="D74" t="inlineStr">
        <is>
          <t>garudawisnuk@yahoo.com</t>
        </is>
      </c>
      <c r="E74" t="inlineStr">
        <is>
          <t>https://lpjk.pu.go.id/search-badan-usaha-detail/b0phYXpGTzVBOGZtcEZpUW5qbGhDZz09</t>
        </is>
      </c>
      <c r="F74" t="n">
        <v>6</v>
      </c>
      <c r="G74" t="inlineStr">
        <is>
          <t>BG002, BG005, BG006, BG009, BS001, BS004</t>
        </is>
      </c>
      <c r="H74" t="inlineStr">
        <is>
          <t>15 Januari 2014</t>
        </is>
      </c>
      <c r="I74" s="2" t="n">
        <v>46299</v>
      </c>
      <c r="J74" t="inlineStr">
        <is>
          <t>Disetujui</t>
        </is>
      </c>
      <c r="K74" t="n">
        <v>90</v>
      </c>
      <c r="L74" t="inlineStr">
        <is>
          <t>4 Oktober 2026</t>
        </is>
      </c>
      <c r="M74" t="inlineStr">
        <is>
          <t>Konstruksi Bangunan Sipil Jalan, Konstruksi Gedung Kesehatan, Konstruksi Gedung Lainnya, Konstruksi Gedung Pendidikan, Konstruksi Gedung Perkantoran, Konstruksi Jaringan Irigasi dan Drainase</t>
        </is>
      </c>
      <c r="N74" t="inlineStr">
        <is>
          <t>K</t>
        </is>
      </c>
      <c r="O74" t="inlineStr">
        <is>
          <t>20230929</t>
        </is>
      </c>
      <c r="P74" t="inlineStr">
        <is>
          <t>Jawa Tengah</t>
        </is>
      </c>
      <c r="Q74" t="inlineStr"/>
    </row>
    <row r="75">
      <c r="A75" t="inlineStr">
        <is>
          <t>GATRA WASTU CIPTA</t>
        </is>
      </c>
      <c r="B75" t="inlineStr">
        <is>
          <t>Kab. Tuban</t>
        </is>
      </c>
      <c r="C75" t="inlineStr">
        <is>
          <t>087885769956</t>
        </is>
      </c>
      <c r="D75" t="inlineStr">
        <is>
          <t>ptgatrawastucipta@gmail.com</t>
        </is>
      </c>
      <c r="E75" t="inlineStr">
        <is>
          <t>https://lpjk.pu.go.id/search-badan-usaha-detail/Mjh3dGZPTEFselR5V3EwTis2Ni92dz09</t>
        </is>
      </c>
      <c r="F75" t="n">
        <v>2</v>
      </c>
      <c r="G75" t="inlineStr">
        <is>
          <t>BG002, BG003</t>
        </is>
      </c>
      <c r="H75" t="inlineStr">
        <is>
          <t>12 Juli 2023</t>
        </is>
      </c>
      <c r="I75" s="2" t="n">
        <v>46299</v>
      </c>
      <c r="J75" t="inlineStr">
        <is>
          <t>Disetujui</t>
        </is>
      </c>
      <c r="K75" t="n">
        <v>90</v>
      </c>
      <c r="L75" t="inlineStr">
        <is>
          <t>4 Oktober 2026</t>
        </is>
      </c>
      <c r="M75" t="inlineStr">
        <is>
          <t>Konstruksi Gedung Industri, Konstruksi Gedung Perkantoran</t>
        </is>
      </c>
      <c r="N75" t="inlineStr">
        <is>
          <t>K</t>
        </is>
      </c>
      <c r="O75" t="inlineStr">
        <is>
          <t>20231005</t>
        </is>
      </c>
      <c r="P75" t="inlineStr">
        <is>
          <t>Jawa Timur</t>
        </is>
      </c>
      <c r="Q75" t="inlineStr"/>
    </row>
    <row r="76">
      <c r="A76" t="inlineStr">
        <is>
          <t>GEOTECHNICAL SYSTEMINDO</t>
        </is>
      </c>
      <c r="B76" t="inlineStr">
        <is>
          <t>Kota Adm. Jakarta Selatan</t>
        </is>
      </c>
      <c r="C76" t="inlineStr">
        <is>
          <t>02183782609</t>
        </is>
      </c>
      <c r="D76" t="inlineStr">
        <is>
          <t>ga@ptgsi.com</t>
        </is>
      </c>
      <c r="E76" t="inlineStr">
        <is>
          <t>https://lpjk.pu.go.id/search-badan-usaha-detail/Mks1RVdwVUpZMnFiR1lnOHhpNkExdz09</t>
        </is>
      </c>
      <c r="F76" t="n">
        <v>1</v>
      </c>
      <c r="G76" t="inlineStr">
        <is>
          <t>BS006</t>
        </is>
      </c>
      <c r="H76" t="inlineStr">
        <is>
          <t>7 Oktober 2006</t>
        </is>
      </c>
      <c r="I76" s="2" t="n">
        <v>46299</v>
      </c>
      <c r="J76" t="inlineStr">
        <is>
          <t>Pencabutan</t>
        </is>
      </c>
      <c r="K76" t="n">
        <v>90</v>
      </c>
      <c r="L76" t="inlineStr">
        <is>
          <t>4 Oktober 2026</t>
        </is>
      </c>
      <c r="M76" t="inlineStr">
        <is>
          <t>Konstruksi Bangunan Sipil Prasarana dan Sarana Sistem Pengolahan Limbah Padat, Cair, dan Gas</t>
        </is>
      </c>
      <c r="N76" t="inlineStr">
        <is>
          <t>K</t>
        </is>
      </c>
      <c r="O76" t="inlineStr">
        <is>
          <t>20231004</t>
        </is>
      </c>
      <c r="P76" t="inlineStr">
        <is>
          <t>DKI Jakarta</t>
        </is>
      </c>
      <c r="Q76" t="inlineStr"/>
    </row>
    <row r="77">
      <c r="A77" t="inlineStr">
        <is>
          <t>GIANNI SANDINI</t>
        </is>
      </c>
      <c r="B77" t="inlineStr">
        <is>
          <t>Kota Balikpapan</t>
        </is>
      </c>
      <c r="C77" t="inlineStr">
        <is>
          <t>081395803332</t>
        </is>
      </c>
      <c r="D77" t="inlineStr">
        <is>
          <t>giannisandini@yahoo.com</t>
        </is>
      </c>
      <c r="E77" t="inlineStr">
        <is>
          <t>https://lpjk.pu.go.id/search-badan-usaha-detail/d3N4bHpLVGc1eWZNWmQveFBpVmJjQT09</t>
        </is>
      </c>
      <c r="F77" t="n">
        <v>1</v>
      </c>
      <c r="G77" t="inlineStr">
        <is>
          <t>BG001</t>
        </is>
      </c>
      <c r="H77" t="inlineStr">
        <is>
          <t>14 Februari 2013</t>
        </is>
      </c>
      <c r="I77" s="2" t="n">
        <v>46299</v>
      </c>
      <c r="J77" t="inlineStr">
        <is>
          <t>Pencabutan</t>
        </is>
      </c>
      <c r="K77" t="n">
        <v>90</v>
      </c>
      <c r="L77" t="inlineStr">
        <is>
          <t>4 Oktober 2026</t>
        </is>
      </c>
      <c r="M77" t="inlineStr">
        <is>
          <t>Konstruksi Gedung Hunian</t>
        </is>
      </c>
      <c r="N77" t="inlineStr">
        <is>
          <t>K</t>
        </is>
      </c>
      <c r="O77" t="inlineStr">
        <is>
          <t>20230628</t>
        </is>
      </c>
      <c r="P77" t="inlineStr">
        <is>
          <t>Kalimantan Timur</t>
        </is>
      </c>
      <c r="Q77" t="inlineStr"/>
    </row>
    <row r="78">
      <c r="A78" t="inlineStr">
        <is>
          <t>GIRI UTAMA</t>
        </is>
      </c>
      <c r="B78" t="inlineStr">
        <is>
          <t>Kab. Purbalingga</t>
        </is>
      </c>
      <c r="C78" t="inlineStr">
        <is>
          <t>081325566553</t>
        </is>
      </c>
      <c r="D78" t="inlineStr">
        <is>
          <t>budi_girut2008@yahoo.co.id</t>
        </is>
      </c>
      <c r="E78" t="inlineStr">
        <is>
          <t>https://lpjk.pu.go.id/search-badan-usaha-detail/WFFXUnNIL2xaUjRSQUMvdlkrUHRMZz09</t>
        </is>
      </c>
      <c r="F78" t="n">
        <v>1</v>
      </c>
      <c r="G78" t="inlineStr">
        <is>
          <t>BG006</t>
        </is>
      </c>
      <c r="H78" t="inlineStr">
        <is>
          <t>30 November 2002</t>
        </is>
      </c>
      <c r="I78" s="2" t="n">
        <v>46299</v>
      </c>
      <c r="J78" t="inlineStr">
        <is>
          <t>Disetujui</t>
        </is>
      </c>
      <c r="K78" t="n">
        <v>90</v>
      </c>
      <c r="L78" t="inlineStr">
        <is>
          <t>4 Oktober 2026</t>
        </is>
      </c>
      <c r="M78" t="inlineStr">
        <is>
          <t>Konstruksi Gedung Pendidikan</t>
        </is>
      </c>
      <c r="N78" t="inlineStr">
        <is>
          <t>K</t>
        </is>
      </c>
      <c r="O78" t="inlineStr">
        <is>
          <t>20230726</t>
        </is>
      </c>
      <c r="P78" t="inlineStr">
        <is>
          <t>Jawa Tengah</t>
        </is>
      </c>
      <c r="Q78" t="inlineStr"/>
    </row>
    <row r="79">
      <c r="A79" t="inlineStr">
        <is>
          <t>GRAHAPARAMA SANTOSA</t>
        </is>
      </c>
      <c r="B79" t="inlineStr">
        <is>
          <t>Kota Adm. Jakarta Barat</t>
        </is>
      </c>
      <c r="C79" t="inlineStr">
        <is>
          <t>0215642842</t>
        </is>
      </c>
      <c r="D79" t="inlineStr">
        <is>
          <t>grahaps@cbn.net.id</t>
        </is>
      </c>
      <c r="E79" t="inlineStr">
        <is>
          <t>https://lpjk.pu.go.id/search-badan-usaha-detail/WENQazd5YXdKMVEyZWpmRVRTYnpMUT09</t>
        </is>
      </c>
      <c r="F79" t="n">
        <v>1</v>
      </c>
      <c r="G79" t="inlineStr">
        <is>
          <t>BG005</t>
        </is>
      </c>
      <c r="H79" t="inlineStr">
        <is>
          <t>17 Februari 1992</t>
        </is>
      </c>
      <c r="I79" s="2" t="n">
        <v>46299</v>
      </c>
      <c r="J79" t="inlineStr">
        <is>
          <t>Disetujui</t>
        </is>
      </c>
      <c r="K79" t="n">
        <v>90</v>
      </c>
      <c r="L79" t="inlineStr">
        <is>
          <t>4 Oktober 2026</t>
        </is>
      </c>
      <c r="M79" t="inlineStr">
        <is>
          <t>Konstruksi Gedung Kesehatan</t>
        </is>
      </c>
      <c r="N79" t="inlineStr">
        <is>
          <t>B</t>
        </is>
      </c>
      <c r="O79" t="inlineStr">
        <is>
          <t>20230928</t>
        </is>
      </c>
      <c r="P79" t="inlineStr">
        <is>
          <t>DKI Jakarta</t>
        </is>
      </c>
      <c r="Q79" t="inlineStr"/>
    </row>
    <row r="80">
      <c r="A80" t="inlineStr">
        <is>
          <t>GRAHASINDO PRATAMA</t>
        </is>
      </c>
      <c r="B80" t="inlineStr">
        <is>
          <t>Kab. Bondowoso</t>
        </is>
      </c>
      <c r="C80" t="inlineStr">
        <is>
          <t>082228783413</t>
        </is>
      </c>
      <c r="D80" t="inlineStr">
        <is>
          <t>grahasindopratama@yahoo.com</t>
        </is>
      </c>
      <c r="E80" t="inlineStr">
        <is>
          <t>https://lpjk.pu.go.id/search-badan-usaha-detail/aEJkbFFlTXplQzBtN1VuZGhvbDNPQT09</t>
        </is>
      </c>
      <c r="F80" t="n">
        <v>2</v>
      </c>
      <c r="G80" t="inlineStr">
        <is>
          <t>BS001, BS004</t>
        </is>
      </c>
      <c r="H80" t="inlineStr">
        <is>
          <t>18 Oktober 2002</t>
        </is>
      </c>
      <c r="I80" s="2" t="n">
        <v>46299</v>
      </c>
      <c r="J80" t="inlineStr">
        <is>
          <t>Disetujui</t>
        </is>
      </c>
      <c r="K80" t="n">
        <v>90</v>
      </c>
      <c r="L80" t="inlineStr">
        <is>
          <t>4 Oktober 2026</t>
        </is>
      </c>
      <c r="M80" t="inlineStr">
        <is>
          <t>Konstruksi Bangunan Sipil Jalan, Konstruksi Jaringan Irigasi dan Drainase</t>
        </is>
      </c>
      <c r="N80" t="inlineStr">
        <is>
          <t>K</t>
        </is>
      </c>
      <c r="O80" t="inlineStr">
        <is>
          <t>20231002, 20231005</t>
        </is>
      </c>
      <c r="P80" t="inlineStr">
        <is>
          <t>Jawa Timur</t>
        </is>
      </c>
      <c r="Q80" t="inlineStr"/>
    </row>
    <row r="81">
      <c r="A81" t="inlineStr">
        <is>
          <t>HADI JAYA</t>
        </is>
      </c>
      <c r="B81" t="inlineStr">
        <is>
          <t>Kab. Langkat</t>
        </is>
      </c>
      <c r="C81" t="inlineStr">
        <is>
          <t>081000000</t>
        </is>
      </c>
      <c r="D81" t="inlineStr">
        <is>
          <t>cv.hadijaya@yahoo.com</t>
        </is>
      </c>
      <c r="E81" t="inlineStr">
        <is>
          <t>https://lpjk.pu.go.id/search-badan-usaha-detail/eUkycXZzdFdtVHpXUzVxR3ZyNkVzUT09</t>
        </is>
      </c>
      <c r="F81" t="n">
        <v>1</v>
      </c>
      <c r="G81" t="inlineStr">
        <is>
          <t>BS004</t>
        </is>
      </c>
      <c r="H81" t="inlineStr">
        <is>
          <t>1 Februari 2010</t>
        </is>
      </c>
      <c r="I81" s="2" t="n">
        <v>46299</v>
      </c>
      <c r="J81" t="inlineStr">
        <is>
          <t>Disetujui</t>
        </is>
      </c>
      <c r="K81" t="n">
        <v>90</v>
      </c>
      <c r="L81" t="inlineStr">
        <is>
          <t>4 Oktober 2026</t>
        </is>
      </c>
      <c r="M81" t="inlineStr">
        <is>
          <t>Konstruksi Jaringan Irigasi dan Drainase</t>
        </is>
      </c>
      <c r="N81" t="inlineStr">
        <is>
          <t>K</t>
        </is>
      </c>
      <c r="O81" t="inlineStr">
        <is>
          <t>20231005</t>
        </is>
      </c>
      <c r="P81" t="inlineStr">
        <is>
          <t>Sumatera Utara</t>
        </is>
      </c>
      <c r="Q81" t="inlineStr"/>
    </row>
    <row r="82">
      <c r="A82" t="inlineStr">
        <is>
          <t>HARI GEMILANG PERSADA</t>
        </is>
      </c>
      <c r="B82" t="inlineStr">
        <is>
          <t>Kab. Pesisir Selatan</t>
        </is>
      </c>
      <c r="C82" t="inlineStr">
        <is>
          <t>081364565501</t>
        </is>
      </c>
      <c r="D82" t="inlineStr">
        <is>
          <t>haripersada17@gmail.com</t>
        </is>
      </c>
      <c r="E82" t="inlineStr">
        <is>
          <t>https://lpjk.pu.go.id/search-badan-usaha-detail/RTJIeHpuUTREa2hHNkhZS3dqclFyQT09</t>
        </is>
      </c>
      <c r="F82" t="n">
        <v>1</v>
      </c>
      <c r="G82" t="inlineStr">
        <is>
          <t>BG005</t>
        </is>
      </c>
      <c r="H82" t="inlineStr">
        <is>
          <t>16 Maret 2023</t>
        </is>
      </c>
      <c r="I82" s="2" t="n">
        <v>46299</v>
      </c>
      <c r="J82" t="inlineStr">
        <is>
          <t>Disetujui</t>
        </is>
      </c>
      <c r="K82" t="n">
        <v>90</v>
      </c>
      <c r="L82" t="inlineStr">
        <is>
          <t>4 Oktober 2026</t>
        </is>
      </c>
      <c r="M82" t="inlineStr">
        <is>
          <t>Konstruksi Gedung Kesehatan</t>
        </is>
      </c>
      <c r="N82" t="inlineStr">
        <is>
          <t>K</t>
        </is>
      </c>
      <c r="O82" t="inlineStr">
        <is>
          <t>20231004</t>
        </is>
      </c>
      <c r="P82" t="inlineStr">
        <is>
          <t>Sumatera Barat</t>
        </is>
      </c>
      <c r="Q82" t="inlineStr"/>
    </row>
    <row r="83">
      <c r="A83" t="inlineStr">
        <is>
          <t>HARIT RU MANA</t>
        </is>
      </c>
      <c r="B83" t="inlineStr">
        <is>
          <t>Kab. Manokwari</t>
        </is>
      </c>
      <c r="C83" t="inlineStr">
        <is>
          <t>082147702508</t>
        </is>
      </c>
      <c r="D83" t="inlineStr">
        <is>
          <t>haritrumana@gmail.com</t>
        </is>
      </c>
      <c r="E83" t="inlineStr">
        <is>
          <t>https://lpjk.pu.go.id/search-badan-usaha-detail/bFN3WGxONHJuU3VsZm9kUTdvZDFWUT09</t>
        </is>
      </c>
      <c r="F83" t="n">
        <v>1</v>
      </c>
      <c r="G83" t="inlineStr">
        <is>
          <t>BG006</t>
        </is>
      </c>
      <c r="H83" t="inlineStr">
        <is>
          <t>12 November 2020</t>
        </is>
      </c>
      <c r="I83" s="2" t="n">
        <v>46299</v>
      </c>
      <c r="J83" t="inlineStr">
        <is>
          <t>Disetujui</t>
        </is>
      </c>
      <c r="K83" t="n">
        <v>90</v>
      </c>
      <c r="L83" t="inlineStr">
        <is>
          <t>4 Oktober 2026</t>
        </is>
      </c>
      <c r="M83" t="inlineStr">
        <is>
          <t>Konstruksi Gedung Pendidikan</t>
        </is>
      </c>
      <c r="N83" t="inlineStr">
        <is>
          <t>K</t>
        </is>
      </c>
      <c r="O83" t="inlineStr">
        <is>
          <t>20231001</t>
        </is>
      </c>
      <c r="P83" t="inlineStr">
        <is>
          <t>Papua Barat</t>
        </is>
      </c>
      <c r="Q83" t="inlineStr"/>
    </row>
    <row r="84">
      <c r="A84" t="inlineStr">
        <is>
          <t>IDEAL</t>
        </is>
      </c>
      <c r="B84" t="inlineStr">
        <is>
          <t>Kab. Bulungan</t>
        </is>
      </c>
      <c r="C84" t="inlineStr">
        <is>
          <t>082253757023</t>
        </is>
      </c>
      <c r="D84" t="inlineStr">
        <is>
          <t>cvideal2@gmail.com</t>
        </is>
      </c>
      <c r="E84" t="inlineStr">
        <is>
          <t>https://lpjk.pu.go.id/search-badan-usaha-detail/OGRKeHhXQ2VuMlFITHBpdE9VWFVqdz09</t>
        </is>
      </c>
      <c r="F84" t="n">
        <v>2</v>
      </c>
      <c r="G84" t="inlineStr">
        <is>
          <t>BS001</t>
        </is>
      </c>
      <c r="H84" t="inlineStr">
        <is>
          <t>9 Juni 2003</t>
        </is>
      </c>
      <c r="I84" s="2" t="n">
        <v>46299</v>
      </c>
      <c r="J84" t="inlineStr">
        <is>
          <t>Disetujui</t>
        </is>
      </c>
      <c r="K84" t="n">
        <v>90</v>
      </c>
      <c r="L84" t="inlineStr">
        <is>
          <t>4 Oktober 2026</t>
        </is>
      </c>
      <c r="M84" t="inlineStr">
        <is>
          <t>Konstruksi Bangunan Sipil Jalan</t>
        </is>
      </c>
      <c r="N84" t="inlineStr">
        <is>
          <t>K</t>
        </is>
      </c>
      <c r="O84" t="inlineStr">
        <is>
          <t>20230921</t>
        </is>
      </c>
      <c r="P84" t="inlineStr">
        <is>
          <t>Kalimantan Utara</t>
        </is>
      </c>
      <c r="Q84" t="inlineStr"/>
    </row>
    <row r="85">
      <c r="A85" t="inlineStr">
        <is>
          <t>INTAN KONSTRUKSI NUSANTARA</t>
        </is>
      </c>
      <c r="B85" t="inlineStr">
        <is>
          <t>Kota Adm. Jakarta Barat</t>
        </is>
      </c>
      <c r="C85" t="inlineStr">
        <is>
          <t>02122301888</t>
        </is>
      </c>
      <c r="D85" t="inlineStr">
        <is>
          <t>ikn888jakarta@gmail.com</t>
        </is>
      </c>
      <c r="E85" t="inlineStr">
        <is>
          <t>https://lpjk.pu.go.id/search-badan-usaha-detail/MU5CVzR1c0E0YjJRdGVwMlN6WW1tdz09</t>
        </is>
      </c>
      <c r="F85" t="n">
        <v>1</v>
      </c>
      <c r="G85" t="inlineStr">
        <is>
          <t>KK015</t>
        </is>
      </c>
      <c r="H85" t="inlineStr">
        <is>
          <t>3 September 2021</t>
        </is>
      </c>
      <c r="I85" s="2" t="n">
        <v>46299</v>
      </c>
      <c r="J85" t="inlineStr">
        <is>
          <t>Disetujui</t>
        </is>
      </c>
      <c r="K85" t="n">
        <v>90</v>
      </c>
      <c r="L85" t="inlineStr">
        <is>
          <t>4 Oktober 2026</t>
        </is>
      </c>
      <c r="M85" t="inlineStr">
        <is>
          <t>Pekerjaan Konstruksi Tahan Api (Tanur, Anneling, Flare, atau Incenerator)</t>
        </is>
      </c>
      <c r="N85" t="inlineStr">
        <is>
          <t>Spesialis</t>
        </is>
      </c>
      <c r="O85" t="inlineStr">
        <is>
          <t>20231004</t>
        </is>
      </c>
      <c r="P85" t="inlineStr">
        <is>
          <t>DKI Jakarta</t>
        </is>
      </c>
      <c r="Q85" t="inlineStr"/>
    </row>
    <row r="86">
      <c r="A86" t="inlineStr">
        <is>
          <t>INTI NAGA BANDA PROGRESIF</t>
        </is>
      </c>
      <c r="B86" t="inlineStr">
        <is>
          <t>Kab. Serang</t>
        </is>
      </c>
      <c r="C86" t="inlineStr">
        <is>
          <t>082112707113</t>
        </is>
      </c>
      <c r="D86" t="inlineStr">
        <is>
          <t>intiniagabanda.cv01@gmail.com</t>
        </is>
      </c>
      <c r="E86" t="inlineStr">
        <is>
          <t>https://lpjk.pu.go.id/search-badan-usaha-detail/ZW0zSno3QmR4dG9DTGw3ZUNLVkR1Zz09</t>
        </is>
      </c>
      <c r="F86" t="n">
        <v>1</v>
      </c>
      <c r="G86" t="inlineStr">
        <is>
          <t>BG009</t>
        </is>
      </c>
      <c r="H86" t="inlineStr">
        <is>
          <t>6 Desember 2019</t>
        </is>
      </c>
      <c r="I86" s="2" t="n">
        <v>46299</v>
      </c>
      <c r="J86" t="inlineStr">
        <is>
          <t>Disetujui</t>
        </is>
      </c>
      <c r="K86" t="n">
        <v>90</v>
      </c>
      <c r="L86" t="inlineStr">
        <is>
          <t>4 Oktober 2026</t>
        </is>
      </c>
      <c r="M86" t="inlineStr">
        <is>
          <t>Konstruksi Gedung Lainnya</t>
        </is>
      </c>
      <c r="N86" t="inlineStr">
        <is>
          <t>K</t>
        </is>
      </c>
      <c r="O86" t="inlineStr">
        <is>
          <t>20230927</t>
        </is>
      </c>
      <c r="P86" t="inlineStr">
        <is>
          <t>Banten</t>
        </is>
      </c>
      <c r="Q86" t="inlineStr"/>
    </row>
    <row r="87">
      <c r="A87" t="inlineStr">
        <is>
          <t>JAYA ETIKA BETON</t>
        </is>
      </c>
      <c r="B87" t="inlineStr">
        <is>
          <t>Kota Surabaya</t>
        </is>
      </c>
      <c r="C87" t="inlineStr">
        <is>
          <t>0318288763</t>
        </is>
      </c>
      <c r="D87" t="inlineStr">
        <is>
          <t>betonjayaetika@gmail.com</t>
        </is>
      </c>
      <c r="E87" t="inlineStr">
        <is>
          <t>https://lpjk.pu.go.id/search-badan-usaha-detail/dDVlVU1mWU5EQW5yczlkZEtOSWtRUT09</t>
        </is>
      </c>
      <c r="F87" t="n">
        <v>1</v>
      </c>
      <c r="G87" t="inlineStr">
        <is>
          <t>BS012</t>
        </is>
      </c>
      <c r="H87" t="inlineStr">
        <is>
          <t>22 Juni 2012</t>
        </is>
      </c>
      <c r="I87" s="2" t="n">
        <v>46299</v>
      </c>
      <c r="J87" t="inlineStr">
        <is>
          <t>Disetujui</t>
        </is>
      </c>
      <c r="K87" t="n">
        <v>90</v>
      </c>
      <c r="L87" t="inlineStr">
        <is>
          <t>4 Oktober 2026</t>
        </is>
      </c>
      <c r="M87" t="inlineStr">
        <is>
          <t>Konstruksi Bangunan Pelabuhan Perikanan</t>
        </is>
      </c>
      <c r="N87" t="inlineStr">
        <is>
          <t>M</t>
        </is>
      </c>
      <c r="O87" t="inlineStr">
        <is>
          <t>20230413</t>
        </is>
      </c>
      <c r="P87" t="inlineStr">
        <is>
          <t>Jawa Timur</t>
        </is>
      </c>
      <c r="Q87" t="inlineStr"/>
    </row>
    <row r="88">
      <c r="A88" t="inlineStr">
        <is>
          <t>KARYA CIPTA LESTARI</t>
        </is>
      </c>
      <c r="B88" t="inlineStr">
        <is>
          <t>Kab. Madiun</t>
        </is>
      </c>
      <c r="C88" t="inlineStr">
        <is>
          <t>081553971087</t>
        </is>
      </c>
      <c r="D88" t="inlineStr">
        <is>
          <t>karyaciptalestarikcl@gmail.com</t>
        </is>
      </c>
      <c r="E88" t="inlineStr">
        <is>
          <t>https://lpjk.pu.go.id/search-badan-usaha-detail/eDZ0SlpjUGZEZlJxWjNkbmxYamtwdGhJbDFPMnRUMDRYd2J0Q2N4NEJTTT0</t>
        </is>
      </c>
      <c r="F88" t="n">
        <v>2</v>
      </c>
      <c r="G88" t="inlineStr">
        <is>
          <t>BG005, BG006</t>
        </is>
      </c>
      <c r="H88" t="inlineStr">
        <is>
          <t>11 Februari 2026</t>
        </is>
      </c>
      <c r="I88" s="2" t="n">
        <v>46299</v>
      </c>
      <c r="J88" t="inlineStr">
        <is>
          <t>Dokumen Lengkap</t>
        </is>
      </c>
      <c r="K88" t="n">
        <v>90</v>
      </c>
      <c r="L88" t="inlineStr">
        <is>
          <t>4 Oktober 2026</t>
        </is>
      </c>
      <c r="M88" t="inlineStr">
        <is>
          <t>Konstruksi Gedung Kesehatan, Konstruksi Gedung Pendidikan</t>
        </is>
      </c>
      <c r="N88" t="inlineStr">
        <is>
          <t>K</t>
        </is>
      </c>
      <c r="O88" t="inlineStr">
        <is>
          <t>20230930</t>
        </is>
      </c>
      <c r="P88" t="inlineStr">
        <is>
          <t>Jawa Timur</t>
        </is>
      </c>
      <c r="Q88" t="inlineStr"/>
    </row>
    <row r="89">
      <c r="A89" t="inlineStr">
        <is>
          <t>KARYA CIPTA LESTARI</t>
        </is>
      </c>
      <c r="B89" t="inlineStr">
        <is>
          <t>Kab. Madiun</t>
        </is>
      </c>
      <c r="C89" t="inlineStr">
        <is>
          <t>085161303485</t>
        </is>
      </c>
      <c r="D89" t="inlineStr">
        <is>
          <t>karyaciptalestarikcl@yahoo.co.id</t>
        </is>
      </c>
      <c r="E89" t="inlineStr">
        <is>
          <t>https://lpjk.pu.go.id/search-badan-usaha-detail/M0ZoamZUNzduWWtEd1BmQzVVNXpEZz09</t>
        </is>
      </c>
      <c r="F89" t="n">
        <v>7</v>
      </c>
      <c r="G89" t="inlineStr">
        <is>
          <t>BS001, BS004, BS005</t>
        </is>
      </c>
      <c r="H89" t="inlineStr">
        <is>
          <t>23 April 2010</t>
        </is>
      </c>
      <c r="I89" s="2" t="n">
        <v>46299</v>
      </c>
      <c r="J89" t="inlineStr">
        <is>
          <t>Permohonan Perpanjangan</t>
        </is>
      </c>
      <c r="K89" t="n">
        <v>90</v>
      </c>
      <c r="L89" t="inlineStr">
        <is>
          <t>4 Oktober 2026</t>
        </is>
      </c>
      <c r="M89" t="inlineStr">
        <is>
          <t>Konstruksi Bangunan Sipil Jalan, Konstruksi Bangunan Sipil Pengolahan Air Bersih, Konstruksi Jaringan Irigasi dan Drainase</t>
        </is>
      </c>
      <c r="N89" t="inlineStr">
        <is>
          <t>K</t>
        </is>
      </c>
      <c r="O89" t="inlineStr">
        <is>
          <t>20231004, 20231005</t>
        </is>
      </c>
      <c r="P89" t="inlineStr">
        <is>
          <t>Jawa Timur</t>
        </is>
      </c>
      <c r="Q89" t="inlineStr"/>
    </row>
    <row r="90">
      <c r="A90" t="inlineStr">
        <is>
          <t>KARYA INDAH INTERNUSA</t>
        </is>
      </c>
      <c r="B90" t="inlineStr">
        <is>
          <t>Kota Surabaya</t>
        </is>
      </c>
      <c r="C90" t="inlineStr">
        <is>
          <t>0315617269</t>
        </is>
      </c>
      <c r="D90" t="inlineStr">
        <is>
          <t>kii_sby@yahoo.co.id</t>
        </is>
      </c>
      <c r="E90" t="inlineStr">
        <is>
          <t>https://lpjk.pu.go.id/search-badan-usaha-detail/QUwyZ1ZXdDAvWHVDb29acVlBMGpFZz09</t>
        </is>
      </c>
      <c r="F90" t="n">
        <v>1</v>
      </c>
      <c r="G90" t="inlineStr">
        <is>
          <t>BG005</t>
        </is>
      </c>
      <c r="H90" t="inlineStr">
        <is>
          <t>1 Juli 2008</t>
        </is>
      </c>
      <c r="I90" s="2" t="n">
        <v>46299</v>
      </c>
      <c r="J90" t="inlineStr">
        <is>
          <t>Pencabutan</t>
        </is>
      </c>
      <c r="K90" t="n">
        <v>90</v>
      </c>
      <c r="L90" t="inlineStr">
        <is>
          <t>4 Oktober 2026</t>
        </is>
      </c>
      <c r="M90" t="inlineStr">
        <is>
          <t>Konstruksi Gedung Kesehatan</t>
        </is>
      </c>
      <c r="N90" t="inlineStr">
        <is>
          <t>K</t>
        </is>
      </c>
      <c r="O90" t="inlineStr">
        <is>
          <t>20230904</t>
        </is>
      </c>
      <c r="P90" t="inlineStr">
        <is>
          <t>Jawa Timur</t>
        </is>
      </c>
      <c r="Q90" t="inlineStr"/>
    </row>
    <row r="91">
      <c r="A91" t="inlineStr">
        <is>
          <t>KARYA KASARI KONSULTAN</t>
        </is>
      </c>
      <c r="B91" t="inlineStr">
        <is>
          <t>Kab. Agam</t>
        </is>
      </c>
      <c r="C91" t="inlineStr">
        <is>
          <t>08126772662</t>
        </is>
      </c>
      <c r="D91" t="inlineStr">
        <is>
          <t>cv.karyakasarikonsultan@gmail.com</t>
        </is>
      </c>
      <c r="E91" t="inlineStr">
        <is>
          <t>https://lpjk.pu.go.id/search-badan-usaha-detail/VkhJZ0VqQ3lZeTNXdGZ3d01nZWlJQT09</t>
        </is>
      </c>
      <c r="F91" t="n">
        <v>1</v>
      </c>
      <c r="G91" t="inlineStr">
        <is>
          <t>RK003</t>
        </is>
      </c>
      <c r="H91" t="inlineStr">
        <is>
          <t>9 Januari 2012</t>
        </is>
      </c>
      <c r="I91" s="2" t="n">
        <v>46299</v>
      </c>
      <c r="J91" t="inlineStr">
        <is>
          <t>Disetujui</t>
        </is>
      </c>
      <c r="K91" t="n">
        <v>90</v>
      </c>
      <c r="L91" t="inlineStr">
        <is>
          <t>4 Oktober 2026</t>
        </is>
      </c>
      <c r="M91" t="inlineStr">
        <is>
          <t>Jasa Rekayasa Pekerjaan Teknik Sipil Transportasi</t>
        </is>
      </c>
      <c r="N91" t="inlineStr">
        <is>
          <t>K</t>
        </is>
      </c>
      <c r="O91" t="inlineStr">
        <is>
          <t>20230921</t>
        </is>
      </c>
      <c r="P91" t="inlineStr">
        <is>
          <t>Sumatera Barat</t>
        </is>
      </c>
      <c r="Q91" t="inlineStr"/>
    </row>
    <row r="92">
      <c r="A92" t="inlineStr">
        <is>
          <t>KARYA KONSTRUKSI BATAM</t>
        </is>
      </c>
      <c r="B92" t="inlineStr">
        <is>
          <t>Kota Batam</t>
        </is>
      </c>
      <c r="C92" t="inlineStr">
        <is>
          <t>081228822888</t>
        </is>
      </c>
      <c r="D92" t="inlineStr">
        <is>
          <t>kkbatam@yahoo.com</t>
        </is>
      </c>
      <c r="E92" t="inlineStr">
        <is>
          <t>https://lpjk.pu.go.id/search-badan-usaha-detail/dWd2SzlNMnkrU3h0SEtlUmxuUjVmZz09</t>
        </is>
      </c>
      <c r="F92" t="n">
        <v>2</v>
      </c>
      <c r="G92" t="inlineStr">
        <is>
          <t>BG001</t>
        </is>
      </c>
      <c r="H92" t="inlineStr">
        <is>
          <t>7 November 2022</t>
        </is>
      </c>
      <c r="I92" s="2" t="n">
        <v>46299</v>
      </c>
      <c r="J92" t="inlineStr">
        <is>
          <t>Disetujui</t>
        </is>
      </c>
      <c r="K92" t="n">
        <v>90</v>
      </c>
      <c r="L92" t="inlineStr">
        <is>
          <t>4 Oktober 2026</t>
        </is>
      </c>
      <c r="M92" t="inlineStr">
        <is>
          <t>Konstruksi Gedung Hunian</t>
        </is>
      </c>
      <c r="N92" t="inlineStr">
        <is>
          <t>M</t>
        </is>
      </c>
      <c r="O92" t="inlineStr">
        <is>
          <t>20230927</t>
        </is>
      </c>
      <c r="P92" t="inlineStr">
        <is>
          <t>Kepulauan Riau</t>
        </is>
      </c>
      <c r="Q92" t="inlineStr"/>
    </row>
    <row r="93">
      <c r="A93" t="inlineStr">
        <is>
          <t>KARYA MAJU PERKASA</t>
        </is>
      </c>
      <c r="B93" t="inlineStr">
        <is>
          <t>Kota Palu</t>
        </is>
      </c>
      <c r="C93" t="inlineStr">
        <is>
          <t>081356677073</t>
        </is>
      </c>
      <c r="D93" t="inlineStr">
        <is>
          <t>cvkaryamajuperkasak@gmail.com</t>
        </is>
      </c>
      <c r="E93" t="inlineStr">
        <is>
          <t>https://lpjk.pu.go.id/search-badan-usaha-detail/TmFLbUtJTVJzY1A5cEpTdENCNE9idz09</t>
        </is>
      </c>
      <c r="F93" t="n">
        <v>2</v>
      </c>
      <c r="G93" t="inlineStr">
        <is>
          <t>BG006, BG009</t>
        </is>
      </c>
      <c r="H93" t="inlineStr">
        <is>
          <t>14 Maret 2022</t>
        </is>
      </c>
      <c r="I93" s="2" t="n">
        <v>46299</v>
      </c>
      <c r="J93" t="inlineStr">
        <is>
          <t>Disetujui</t>
        </is>
      </c>
      <c r="K93" t="n">
        <v>90</v>
      </c>
      <c r="L93" t="inlineStr">
        <is>
          <t>4 Oktober 2026</t>
        </is>
      </c>
      <c r="M93" t="inlineStr">
        <is>
          <t>Konstruksi Gedung Lainnya, Konstruksi Gedung Pendidikan</t>
        </is>
      </c>
      <c r="N93" t="inlineStr">
        <is>
          <t>K</t>
        </is>
      </c>
      <c r="O93" t="inlineStr">
        <is>
          <t>20230914, 20230921</t>
        </is>
      </c>
      <c r="P93" t="inlineStr">
        <is>
          <t>Sulawesi Tengah</t>
        </is>
      </c>
      <c r="Q93" t="inlineStr"/>
    </row>
    <row r="94">
      <c r="A94" t="inlineStr">
        <is>
          <t>KARYA MAKMUR</t>
        </is>
      </c>
      <c r="B94" t="inlineStr">
        <is>
          <t>Kab. Sukoharjo</t>
        </is>
      </c>
      <c r="C94" t="inlineStr">
        <is>
          <t>0271591243</t>
        </is>
      </c>
      <c r="D94" t="inlineStr">
        <is>
          <t>karya_makmur@yahoo.co.id</t>
        </is>
      </c>
      <c r="E94" t="inlineStr">
        <is>
          <t>https://lpjk.pu.go.id/search-badan-usaha-detail/cEhvR3pwNm9ob2s5U09Sd2NrWm5KZz09</t>
        </is>
      </c>
      <c r="F94" t="n">
        <v>1</v>
      </c>
      <c r="G94" t="inlineStr">
        <is>
          <t>BS004</t>
        </is>
      </c>
      <c r="H94" t="inlineStr">
        <is>
          <t>13 November 1990</t>
        </is>
      </c>
      <c r="I94" s="2" t="n">
        <v>46299</v>
      </c>
      <c r="J94" t="inlineStr">
        <is>
          <t>Disetujui</t>
        </is>
      </c>
      <c r="K94" t="n">
        <v>90</v>
      </c>
      <c r="L94" t="inlineStr">
        <is>
          <t>4 Oktober 2026</t>
        </is>
      </c>
      <c r="M94" t="inlineStr">
        <is>
          <t>Konstruksi Jaringan Irigasi dan Drainase</t>
        </is>
      </c>
      <c r="N94" t="inlineStr">
        <is>
          <t>K</t>
        </is>
      </c>
      <c r="O94" t="inlineStr">
        <is>
          <t>20230929</t>
        </is>
      </c>
      <c r="P94" t="inlineStr">
        <is>
          <t>Jawa Tengah</t>
        </is>
      </c>
      <c r="Q94" t="inlineStr"/>
    </row>
    <row r="95">
      <c r="A95" t="inlineStr">
        <is>
          <t>KARYA SEJAHTRA ABADI</t>
        </is>
      </c>
      <c r="B95" t="inlineStr">
        <is>
          <t>Kab. Lebak</t>
        </is>
      </c>
      <c r="C95" t="inlineStr">
        <is>
          <t>083192333904</t>
        </is>
      </c>
      <c r="D95" t="inlineStr">
        <is>
          <t>lsbubanten@gmail.com</t>
        </is>
      </c>
      <c r="E95" t="inlineStr">
        <is>
          <t>https://lpjk.pu.go.id/search-badan-usaha-detail/NjVmNEdIKzloeUk1TGZsS3lsOEhWQT09</t>
        </is>
      </c>
      <c r="F95" t="n">
        <v>1</v>
      </c>
      <c r="G95" t="inlineStr">
        <is>
          <t>BS002</t>
        </is>
      </c>
      <c r="H95" t="inlineStr">
        <is>
          <t>4 Januari 2022</t>
        </is>
      </c>
      <c r="I95" s="2" t="n">
        <v>46299</v>
      </c>
      <c r="J95" t="inlineStr">
        <is>
          <t>Disetujui</t>
        </is>
      </c>
      <c r="K95" t="n">
        <v>90</v>
      </c>
      <c r="L95" t="inlineStr">
        <is>
          <t>4 Oktober 2026</t>
        </is>
      </c>
      <c r="M95" t="inlineStr">
        <is>
          <t>Bangunan Sipil Jembatan, Jalan Layang, Fly Over, dan Underpass</t>
        </is>
      </c>
      <c r="N95" t="inlineStr">
        <is>
          <t>K</t>
        </is>
      </c>
      <c r="O95" t="inlineStr">
        <is>
          <t>20230923</t>
        </is>
      </c>
      <c r="P95" t="inlineStr">
        <is>
          <t>Banten</t>
        </is>
      </c>
      <c r="Q95" t="inlineStr"/>
    </row>
    <row r="96">
      <c r="A96" t="inlineStr">
        <is>
          <t>KARYA SEPAKAT KITA</t>
        </is>
      </c>
      <c r="B96" t="inlineStr">
        <is>
          <t>Kab. Ponorogo</t>
        </is>
      </c>
      <c r="C96" t="inlineStr">
        <is>
          <t>081335630157</t>
        </is>
      </c>
      <c r="D96" t="inlineStr">
        <is>
          <t>ksk_ibr@yahoo.co.id</t>
        </is>
      </c>
      <c r="E96" t="inlineStr">
        <is>
          <t>https://lpjk.pu.go.id/search-badan-usaha-detail/UjhVd2FQVVZhRzJEUG52QmsvcUd4QT09</t>
        </is>
      </c>
      <c r="F96" t="n">
        <v>1</v>
      </c>
      <c r="G96" t="inlineStr">
        <is>
          <t>BS005</t>
        </is>
      </c>
      <c r="H96" t="inlineStr">
        <is>
          <t>19 Januari 2004</t>
        </is>
      </c>
      <c r="I96" s="2" t="n">
        <v>46299</v>
      </c>
      <c r="J96" t="inlineStr">
        <is>
          <t>Disetujui</t>
        </is>
      </c>
      <c r="K96" t="n">
        <v>90</v>
      </c>
      <c r="L96" t="inlineStr">
        <is>
          <t>4 Oktober 2026</t>
        </is>
      </c>
      <c r="M96" t="inlineStr">
        <is>
          <t>Konstruksi Bangunan Sipil Pengolahan Air Bersih</t>
        </is>
      </c>
      <c r="N96" t="inlineStr">
        <is>
          <t>B</t>
        </is>
      </c>
      <c r="O96" t="inlineStr">
        <is>
          <t>20231004</t>
        </is>
      </c>
      <c r="P96" t="inlineStr">
        <is>
          <t>Jawa Timur</t>
        </is>
      </c>
      <c r="Q96" t="inlineStr"/>
    </row>
    <row r="97">
      <c r="A97" t="inlineStr">
        <is>
          <t>KENCANA ALAM PUTRA</t>
        </is>
      </c>
      <c r="B97" t="inlineStr">
        <is>
          <t>Kota Surabaya</t>
        </is>
      </c>
      <c r="C97" t="inlineStr">
        <is>
          <t>0315939609</t>
        </is>
      </c>
      <c r="D97" t="inlineStr">
        <is>
          <t>admin@kencana-alam.com</t>
        </is>
      </c>
      <c r="E97" t="inlineStr">
        <is>
          <t>https://lpjk.pu.go.id/search-badan-usaha-detail/c3BnZkkyYTZRdkE4dDhTbzROTDBmdz09</t>
        </is>
      </c>
      <c r="F97" t="n">
        <v>1</v>
      </c>
      <c r="G97" t="inlineStr">
        <is>
          <t>BG009</t>
        </is>
      </c>
      <c r="H97" t="inlineStr">
        <is>
          <t>24 November 1994</t>
        </is>
      </c>
      <c r="I97" s="2" t="n">
        <v>46299</v>
      </c>
      <c r="J97" t="inlineStr">
        <is>
          <t>Disetujui</t>
        </is>
      </c>
      <c r="K97" t="n">
        <v>90</v>
      </c>
      <c r="L97" t="inlineStr">
        <is>
          <t>4 Oktober 2026</t>
        </is>
      </c>
      <c r="M97" t="inlineStr">
        <is>
          <t>Konstruksi Gedung Lainnya</t>
        </is>
      </c>
      <c r="N97" t="inlineStr">
        <is>
          <t>M</t>
        </is>
      </c>
      <c r="O97" t="inlineStr">
        <is>
          <t>20230915</t>
        </is>
      </c>
      <c r="P97" t="inlineStr">
        <is>
          <t>Jawa Timur</t>
        </is>
      </c>
      <c r="Q97" t="inlineStr"/>
    </row>
    <row r="98">
      <c r="A98" t="inlineStr">
        <is>
          <t>KINARYA DINAMIS</t>
        </is>
      </c>
      <c r="B98" t="inlineStr">
        <is>
          <t>Kab. Pandeglang</t>
        </is>
      </c>
      <c r="C98" t="inlineStr">
        <is>
          <t>081293692689</t>
        </is>
      </c>
      <c r="D98" t="inlineStr">
        <is>
          <t>kinaryadinamis@gmail.com</t>
        </is>
      </c>
      <c r="E98" t="inlineStr">
        <is>
          <t>https://lpjk.pu.go.id/search-badan-usaha-detail/MEU4TGJRcGM5VEpCYm52cW1oMXI4Zz09</t>
        </is>
      </c>
      <c r="F98" t="n">
        <v>2</v>
      </c>
      <c r="G98" t="inlineStr">
        <is>
          <t>BS010</t>
        </is>
      </c>
      <c r="H98" t="inlineStr">
        <is>
          <t>6 Oktober 2017</t>
        </is>
      </c>
      <c r="I98" s="2" t="n">
        <v>46299</v>
      </c>
      <c r="J98" t="inlineStr">
        <is>
          <t>Disetujui</t>
        </is>
      </c>
      <c r="K98" t="n">
        <v>90</v>
      </c>
      <c r="L98" t="inlineStr">
        <is>
          <t>4 Oktober 2026</t>
        </is>
      </c>
      <c r="M98" t="inlineStr">
        <is>
          <t>Konstruksi Bangunan Prasarana Sumber Daya Air</t>
        </is>
      </c>
      <c r="N98" t="inlineStr">
        <is>
          <t>K</t>
        </is>
      </c>
      <c r="O98" t="inlineStr">
        <is>
          <t>20231004</t>
        </is>
      </c>
      <c r="P98" t="inlineStr">
        <is>
          <t>Banten</t>
        </is>
      </c>
      <c r="Q98" t="inlineStr"/>
    </row>
    <row r="99">
      <c r="A99" t="inlineStr">
        <is>
          <t>KURNIA</t>
        </is>
      </c>
      <c r="B99" t="inlineStr">
        <is>
          <t>Kab. Sanggau</t>
        </is>
      </c>
      <c r="C99" t="inlineStr">
        <is>
          <t>08125697547</t>
        </is>
      </c>
      <c r="D99" t="inlineStr">
        <is>
          <t>mail.kurniacv@gmail.com</t>
        </is>
      </c>
      <c r="E99" t="inlineStr">
        <is>
          <t>https://lpjk.pu.go.id/search-badan-usaha-detail/bnc2Q3BlL1M0eW13bWwvcUM5aHFlZz09</t>
        </is>
      </c>
      <c r="F99" t="n">
        <v>2</v>
      </c>
      <c r="G99" t="inlineStr">
        <is>
          <t>BG002, BG005</t>
        </is>
      </c>
      <c r="H99" t="inlineStr">
        <is>
          <t>19 Agustus 1999</t>
        </is>
      </c>
      <c r="I99" s="2" t="n">
        <v>46299</v>
      </c>
      <c r="J99" t="inlineStr">
        <is>
          <t>Disetujui</t>
        </is>
      </c>
      <c r="K99" t="n">
        <v>90</v>
      </c>
      <c r="L99" t="inlineStr">
        <is>
          <t>4 Oktober 2026</t>
        </is>
      </c>
      <c r="M99" t="inlineStr">
        <is>
          <t>Konstruksi Gedung Kesehatan, Konstruksi Gedung Perkantoran</t>
        </is>
      </c>
      <c r="N99" t="inlineStr">
        <is>
          <t>K</t>
        </is>
      </c>
      <c r="O99" t="inlineStr">
        <is>
          <t>20231002</t>
        </is>
      </c>
      <c r="P99" t="inlineStr">
        <is>
          <t>Kalimantan Barat</t>
        </is>
      </c>
      <c r="Q99" t="inlineStr"/>
    </row>
    <row r="100">
      <c r="A100" t="inlineStr">
        <is>
          <t>LATIFA JAYA</t>
        </is>
      </c>
      <c r="B100" t="inlineStr">
        <is>
          <t>Kota Makassar</t>
        </is>
      </c>
      <c r="C100" t="inlineStr">
        <is>
          <t>082220201977</t>
        </is>
      </c>
      <c r="D100" t="inlineStr">
        <is>
          <t>Iming460@gmail.com</t>
        </is>
      </c>
      <c r="E100" t="inlineStr">
        <is>
          <t>https://lpjk.pu.go.id/search-badan-usaha-detail/UUEyaE5GdmFWMGJtcVdYblhvSmFFZz09</t>
        </is>
      </c>
      <c r="F100" t="n">
        <v>2</v>
      </c>
      <c r="G100" t="inlineStr">
        <is>
          <t>BS001, BS004</t>
        </is>
      </c>
      <c r="H100" t="inlineStr">
        <is>
          <t>8 April 2015</t>
        </is>
      </c>
      <c r="I100" s="2" t="n">
        <v>46299</v>
      </c>
      <c r="J100" t="inlineStr">
        <is>
          <t>Disetujui</t>
        </is>
      </c>
      <c r="K100" t="n">
        <v>90</v>
      </c>
      <c r="L100" t="inlineStr">
        <is>
          <t>4 Oktober 2026</t>
        </is>
      </c>
      <c r="M100" t="inlineStr">
        <is>
          <t>Konstruksi Bangunan Sipil Jalan, Konstruksi Jaringan Irigasi dan Drainase</t>
        </is>
      </c>
      <c r="N100" t="inlineStr">
        <is>
          <t>K</t>
        </is>
      </c>
      <c r="O100" t="inlineStr">
        <is>
          <t>20231005</t>
        </is>
      </c>
      <c r="P100" t="inlineStr">
        <is>
          <t>Sulawesi Selatan</t>
        </is>
      </c>
      <c r="Q100" t="inlineStr"/>
    </row>
    <row r="101">
      <c r="A101" t="inlineStr">
        <is>
          <t>MAESTRO LAWU ABADI</t>
        </is>
      </c>
      <c r="B101" t="inlineStr">
        <is>
          <t>Kab. Berau</t>
        </is>
      </c>
      <c r="C101" t="inlineStr">
        <is>
          <t>085393575699</t>
        </is>
      </c>
      <c r="D101" t="inlineStr">
        <is>
          <t>maestrolawuabadi@gmail.com</t>
        </is>
      </c>
      <c r="E101" t="inlineStr">
        <is>
          <t>https://lpjk.pu.go.id/search-badan-usaha-detail/czVtWDcwRXZVai93QmFFTUNxSytQQT09</t>
        </is>
      </c>
      <c r="F101" t="n">
        <v>1</v>
      </c>
      <c r="G101" t="inlineStr">
        <is>
          <t>BG009</t>
        </is>
      </c>
      <c r="H101" t="inlineStr">
        <is>
          <t>3 Mei 2023</t>
        </is>
      </c>
      <c r="I101" s="2" t="n">
        <v>46299</v>
      </c>
      <c r="J101" t="inlineStr">
        <is>
          <t>Disetujui</t>
        </is>
      </c>
      <c r="K101" t="n">
        <v>90</v>
      </c>
      <c r="L101" t="inlineStr">
        <is>
          <t>4 Oktober 2026</t>
        </is>
      </c>
      <c r="M101" t="inlineStr">
        <is>
          <t>Konstruksi Gedung Lainnya</t>
        </is>
      </c>
      <c r="N101" t="inlineStr">
        <is>
          <t>K</t>
        </is>
      </c>
      <c r="O101" t="inlineStr">
        <is>
          <t>20231004</t>
        </is>
      </c>
      <c r="P101" t="inlineStr">
        <is>
          <t>Kalimantan Timur</t>
        </is>
      </c>
      <c r="Q101" t="inlineStr"/>
    </row>
    <row r="102">
      <c r="A102" t="inlineStr">
        <is>
          <t>MAHAKARYA BUMI</t>
        </is>
      </c>
      <c r="B102" t="inlineStr">
        <is>
          <t>Kota Cilegon</t>
        </is>
      </c>
      <c r="C102" t="inlineStr">
        <is>
          <t>085939190052</t>
        </is>
      </c>
      <c r="D102" t="inlineStr">
        <is>
          <t>lsbuid8@gmail.com</t>
        </is>
      </c>
      <c r="E102" t="inlineStr">
        <is>
          <t>https://lpjk.pu.go.id/search-badan-usaha-detail/L3Z2NWlRREM1VjF3MUhXWC9EWVphZz09</t>
        </is>
      </c>
      <c r="F102" t="n">
        <v>3</v>
      </c>
      <c r="G102" t="inlineStr">
        <is>
          <t>BS001</t>
        </is>
      </c>
      <c r="H102" t="inlineStr">
        <is>
          <t>23 Februari 2012</t>
        </is>
      </c>
      <c r="I102" s="2" t="n">
        <v>46299</v>
      </c>
      <c r="J102" t="inlineStr">
        <is>
          <t>Pencabutan</t>
        </is>
      </c>
      <c r="K102" t="n">
        <v>90</v>
      </c>
      <c r="L102" t="inlineStr">
        <is>
          <t>4 Oktober 2026</t>
        </is>
      </c>
      <c r="M102" t="inlineStr">
        <is>
          <t>Konstruksi Bangunan Sipil Jalan</t>
        </is>
      </c>
      <c r="N102" t="inlineStr">
        <is>
          <t>M</t>
        </is>
      </c>
      <c r="O102" t="inlineStr">
        <is>
          <t>20231003</t>
        </is>
      </c>
      <c r="P102" t="inlineStr">
        <is>
          <t>Banten</t>
        </is>
      </c>
      <c r="Q102" t="inlineStr"/>
    </row>
    <row r="103">
      <c r="A103" t="inlineStr">
        <is>
          <t>MAHARDIKA ARTHA GEMILANG</t>
        </is>
      </c>
      <c r="B103" t="inlineStr">
        <is>
          <t>Kab. Tangerang</t>
        </is>
      </c>
      <c r="C103" t="inlineStr">
        <is>
          <t>08129624591</t>
        </is>
      </c>
      <c r="D103" t="inlineStr">
        <is>
          <t>cvmahardikaarthag@gmail.com</t>
        </is>
      </c>
      <c r="E103" t="inlineStr">
        <is>
          <t>https://lpjk.pu.go.id/search-badan-usaha-detail/a21KUStCSm9Xd29NNmpLSWo1bzhYdz09</t>
        </is>
      </c>
      <c r="F103" t="n">
        <v>6</v>
      </c>
      <c r="G103" t="inlineStr">
        <is>
          <t>BG006, BS001</t>
        </is>
      </c>
      <c r="H103" t="inlineStr">
        <is>
          <t>4 Januari 2021</t>
        </is>
      </c>
      <c r="I103" s="2" t="n">
        <v>46299</v>
      </c>
      <c r="J103" t="inlineStr">
        <is>
          <t>Disetujui</t>
        </is>
      </c>
      <c r="K103" t="n">
        <v>90</v>
      </c>
      <c r="L103" t="inlineStr">
        <is>
          <t>4 Oktober 2026</t>
        </is>
      </c>
      <c r="M103" t="inlineStr">
        <is>
          <t>Konstruksi Bangunan Sipil Jalan, Konstruksi Gedung Pendidikan</t>
        </is>
      </c>
      <c r="N103" t="inlineStr">
        <is>
          <t>K</t>
        </is>
      </c>
      <c r="O103" t="inlineStr">
        <is>
          <t>20231003</t>
        </is>
      </c>
      <c r="P103" t="inlineStr">
        <is>
          <t>Banten</t>
        </is>
      </c>
      <c r="Q103" t="inlineStr"/>
    </row>
    <row r="104">
      <c r="A104" t="inlineStr">
        <is>
          <t>MANDAJAYA REKAYASA KONSTRUKSI</t>
        </is>
      </c>
      <c r="B104" t="inlineStr">
        <is>
          <t>Kota Cimahi</t>
        </is>
      </c>
      <c r="C104" t="inlineStr">
        <is>
          <t>085220801593</t>
        </is>
      </c>
      <c r="D104" t="inlineStr">
        <is>
          <t>contact.us@mandajayarekayasakonstruksi.com</t>
        </is>
      </c>
      <c r="E104" t="inlineStr">
        <is>
          <t>https://lpjk.pu.go.id/search-badan-usaha-detail/TkZJOXJINW5XZVNQa2VZcldEdUd5UT09</t>
        </is>
      </c>
      <c r="F104" t="n">
        <v>7</v>
      </c>
      <c r="G104" t="inlineStr">
        <is>
          <t>AL004, AR002, AR003, RK001, RK002, RK003, RK005</t>
        </is>
      </c>
      <c r="H104" t="inlineStr">
        <is>
          <t>4 November 2022</t>
        </is>
      </c>
      <c r="I104" s="2" t="n">
        <v>46299</v>
      </c>
      <c r="J104" t="inlineStr">
        <is>
          <t>Disetujui, Pencabutan</t>
        </is>
      </c>
      <c r="K104" t="n">
        <v>90</v>
      </c>
      <c r="L104" t="inlineStr">
        <is>
          <t>4 Oktober 2026</t>
        </is>
      </c>
      <c r="M104" t="inlineStr">
        <is>
          <t>Jasa Arsitektural Lainnya, Jasa Desain Interior pada Bangunan Gedung dan Bangunan Sipil, Jasa Pengembangan Lingkungan Bangunan dan Lanskap, Jasa Rekayasa Konstruksi Bangunan Gedung Hunian dan Non Hunian, Jasa Rekayasa Lainnya, Jasa Rekayasa Pekerjaan Teknik Sipil Sumber Daya Air, Jasa Rekayasa Pekerjaan Teknik Sipil Transportasi</t>
        </is>
      </c>
      <c r="N104" t="inlineStr">
        <is>
          <t>K</t>
        </is>
      </c>
      <c r="O104" t="inlineStr">
        <is>
          <t>20230921</t>
        </is>
      </c>
      <c r="P104" t="inlineStr">
        <is>
          <t>Jawa Barat</t>
        </is>
      </c>
      <c r="Q104" t="inlineStr"/>
    </row>
    <row r="105">
      <c r="A105" t="inlineStr">
        <is>
          <t>MANDALA BAKTI UTAMA</t>
        </is>
      </c>
      <c r="B105" t="inlineStr">
        <is>
          <t>Kota Bandung</t>
        </is>
      </c>
      <c r="C105" t="inlineStr">
        <is>
          <t>0227208385</t>
        </is>
      </c>
      <c r="D105" t="inlineStr">
        <is>
          <t>mbu_group@yahoo.co.id</t>
        </is>
      </c>
      <c r="E105" t="inlineStr">
        <is>
          <t>https://lpjk.pu.go.id/search-badan-usaha-detail/eUQxMGkyVmlSTWI3cjVRZmlhbW92UT09</t>
        </is>
      </c>
      <c r="F105" t="n">
        <v>2</v>
      </c>
      <c r="G105" t="inlineStr">
        <is>
          <t>BS001</t>
        </is>
      </c>
      <c r="H105" t="inlineStr">
        <is>
          <t>11 April 1983</t>
        </is>
      </c>
      <c r="I105" s="2" t="n">
        <v>46299</v>
      </c>
      <c r="J105" t="inlineStr">
        <is>
          <t>Pembekuan</t>
        </is>
      </c>
      <c r="K105" t="n">
        <v>90</v>
      </c>
      <c r="L105" t="inlineStr">
        <is>
          <t>4 Oktober 2026</t>
        </is>
      </c>
      <c r="M105" t="inlineStr">
        <is>
          <t>Konstruksi Bangunan Sipil Jalan</t>
        </is>
      </c>
      <c r="N105" t="inlineStr">
        <is>
          <t>M</t>
        </is>
      </c>
      <c r="O105" t="inlineStr">
        <is>
          <t>20231005</t>
        </is>
      </c>
      <c r="P105" t="inlineStr">
        <is>
          <t>Jawa Barat</t>
        </is>
      </c>
      <c r="Q105" t="inlineStr"/>
    </row>
    <row r="106">
      <c r="A106" t="inlineStr">
        <is>
          <t>MANDIRI KARYA KONSULTAN</t>
        </is>
      </c>
      <c r="B106" t="inlineStr">
        <is>
          <t>Kab. Bojonegoro</t>
        </is>
      </c>
      <c r="C106" t="inlineStr">
        <is>
          <t>085540226047</t>
        </is>
      </c>
      <c r="D106" t="inlineStr">
        <is>
          <t>mandirikaryakonsultan@gmail.com</t>
        </is>
      </c>
      <c r="E106" t="inlineStr">
        <is>
          <t>https://lpjk.pu.go.id/search-badan-usaha-detail/UDJiN3NXRVRCZk1xbStoK1hEV1gxdz09</t>
        </is>
      </c>
      <c r="F106" t="n">
        <v>2</v>
      </c>
      <c r="G106" t="inlineStr">
        <is>
          <t>RK001, RK003</t>
        </is>
      </c>
      <c r="H106" t="inlineStr">
        <is>
          <t>22 Oktober 2019</t>
        </is>
      </c>
      <c r="I106" s="2" t="n">
        <v>46299</v>
      </c>
      <c r="J106" t="inlineStr">
        <is>
          <t>Disetujui</t>
        </is>
      </c>
      <c r="K106" t="n">
        <v>90</v>
      </c>
      <c r="L106" t="inlineStr">
        <is>
          <t>4 Oktober 2026</t>
        </is>
      </c>
      <c r="M106" t="inlineStr">
        <is>
          <t>Jasa Rekayasa Konstruksi Bangunan Gedung Hunian dan Non Hunian, Jasa Rekayasa Pekerjaan Teknik Sipil Transportasi</t>
        </is>
      </c>
      <c r="N106" t="inlineStr">
        <is>
          <t>K</t>
        </is>
      </c>
      <c r="O106" t="inlineStr">
        <is>
          <t>20230926</t>
        </is>
      </c>
      <c r="P106" t="inlineStr">
        <is>
          <t>Jawa Timur</t>
        </is>
      </c>
      <c r="Q106" t="inlineStr"/>
    </row>
    <row r="107">
      <c r="A107" t="inlineStr">
        <is>
          <t>MANDIRI LANGGENG GEMILANG</t>
        </is>
      </c>
      <c r="B107" t="inlineStr">
        <is>
          <t>Kota Batu</t>
        </is>
      </c>
      <c r="C107" t="inlineStr">
        <is>
          <t>082143167880</t>
        </is>
      </c>
      <c r="D107" t="inlineStr">
        <is>
          <t>mandirilan88enggemilang@gmail.com</t>
        </is>
      </c>
      <c r="E107" t="inlineStr">
        <is>
          <t>https://lpjk.pu.go.id/search-badan-usaha-detail/Mm5lU2RQSkd6WS83TWhRSWNEeXQ4QT09</t>
        </is>
      </c>
      <c r="F107" t="n">
        <v>1</v>
      </c>
      <c r="G107" t="inlineStr">
        <is>
          <t>BG005</t>
        </is>
      </c>
      <c r="H107" t="inlineStr">
        <is>
          <t>13 Desember 2016</t>
        </is>
      </c>
      <c r="I107" s="2" t="n">
        <v>46299</v>
      </c>
      <c r="J107" t="inlineStr">
        <is>
          <t>Disetujui</t>
        </is>
      </c>
      <c r="K107" t="n">
        <v>90</v>
      </c>
      <c r="L107" t="inlineStr">
        <is>
          <t>4 Oktober 2026</t>
        </is>
      </c>
      <c r="M107" t="inlineStr">
        <is>
          <t>Konstruksi Gedung Kesehatan</t>
        </is>
      </c>
      <c r="N107" t="inlineStr">
        <is>
          <t>K</t>
        </is>
      </c>
      <c r="O107" t="inlineStr">
        <is>
          <t>20230925</t>
        </is>
      </c>
      <c r="P107" t="inlineStr">
        <is>
          <t>Jawa Timur</t>
        </is>
      </c>
      <c r="Q107" t="inlineStr"/>
    </row>
    <row r="108">
      <c r="A108" t="inlineStr">
        <is>
          <t>MANDIRI PUTRA PRIMA</t>
        </is>
      </c>
      <c r="B108" t="inlineStr">
        <is>
          <t>Kab. Kudus</t>
        </is>
      </c>
      <c r="C108" t="inlineStr">
        <is>
          <t>081252439026</t>
        </is>
      </c>
      <c r="D108" t="inlineStr">
        <is>
          <t>mandiri_putra_prima@yahoo.com</t>
        </is>
      </c>
      <c r="E108" t="inlineStr">
        <is>
          <t>https://lpjk.pu.go.id/search-badan-usaha-detail/SUZnWkdjUDNITkZqVDNMemJaa2NYZz09</t>
        </is>
      </c>
      <c r="F108" t="n">
        <v>1</v>
      </c>
      <c r="G108" t="inlineStr">
        <is>
          <t>BG004</t>
        </is>
      </c>
      <c r="H108" t="inlineStr">
        <is>
          <t>12 Januari 2002</t>
        </is>
      </c>
      <c r="I108" s="2" t="n">
        <v>46299</v>
      </c>
      <c r="J108" t="inlineStr">
        <is>
          <t>Disetujui</t>
        </is>
      </c>
      <c r="K108" t="n">
        <v>90</v>
      </c>
      <c r="L108" t="inlineStr">
        <is>
          <t>4 Oktober 2026</t>
        </is>
      </c>
      <c r="M108" t="inlineStr">
        <is>
          <t>Konstruksi Gedung Perbelanjaan</t>
        </is>
      </c>
      <c r="N108" t="inlineStr">
        <is>
          <t>K</t>
        </is>
      </c>
      <c r="O108" t="inlineStr">
        <is>
          <t>20230929</t>
        </is>
      </c>
      <c r="P108" t="inlineStr">
        <is>
          <t>Jawa Tengah</t>
        </is>
      </c>
      <c r="Q108" t="inlineStr"/>
    </row>
    <row r="109">
      <c r="A109" t="inlineStr">
        <is>
          <t>MANDIRI TORIDA</t>
        </is>
      </c>
      <c r="B109" t="inlineStr">
        <is>
          <t>Kab. Tapanuli Tengah</t>
        </is>
      </c>
      <c r="C109" t="inlineStr">
        <is>
          <t>081375933660</t>
        </is>
      </c>
      <c r="D109" t="inlineStr">
        <is>
          <t>marlinatobing17@gmail.com</t>
        </is>
      </c>
      <c r="E109" t="inlineStr">
        <is>
          <t>https://lpjk.pu.go.id/search-badan-usaha-detail/ZW5RNEd6M3lCVEJUSXBKOXpWNUNtZz09</t>
        </is>
      </c>
      <c r="F109" t="n">
        <v>1</v>
      </c>
      <c r="G109" t="inlineStr">
        <is>
          <t>BG002</t>
        </is>
      </c>
      <c r="H109" t="inlineStr">
        <is>
          <t>23 Februari 2009</t>
        </is>
      </c>
      <c r="I109" s="2" t="n">
        <v>46299</v>
      </c>
      <c r="J109" t="inlineStr">
        <is>
          <t>Disetujui</t>
        </is>
      </c>
      <c r="K109" t="n">
        <v>90</v>
      </c>
      <c r="L109" t="inlineStr">
        <is>
          <t>4 Oktober 2026</t>
        </is>
      </c>
      <c r="M109" t="inlineStr">
        <is>
          <t>Konstruksi Gedung Perkantoran</t>
        </is>
      </c>
      <c r="N109" t="inlineStr">
        <is>
          <t>K</t>
        </is>
      </c>
      <c r="O109" t="inlineStr">
        <is>
          <t>20231005</t>
        </is>
      </c>
      <c r="P109" t="inlineStr">
        <is>
          <t>Sumatera Utara</t>
        </is>
      </c>
      <c r="Q109" t="inlineStr"/>
    </row>
    <row r="110">
      <c r="A110" t="inlineStr">
        <is>
          <t>MARTUMBUR BERSAMA ABADI</t>
        </is>
      </c>
      <c r="B110" t="inlineStr">
        <is>
          <t>Kota Tebing Tinggi</t>
        </is>
      </c>
      <c r="C110" t="inlineStr">
        <is>
          <t>0000000000</t>
        </is>
      </c>
      <c r="D110" t="inlineStr">
        <is>
          <t>-</t>
        </is>
      </c>
      <c r="E110" t="inlineStr">
        <is>
          <t>https://lpjk.pu.go.id/search-badan-usaha-detail/WWhNaU5GTzVyWGlOQk1FUXVNbW0rdz09</t>
        </is>
      </c>
      <c r="F110" t="n">
        <v>1</v>
      </c>
      <c r="G110" t="inlineStr">
        <is>
          <t>BG009</t>
        </is>
      </c>
      <c r="H110" t="inlineStr">
        <is>
          <t>22 Februari 2022</t>
        </is>
      </c>
      <c r="I110" s="2" t="n">
        <v>46299</v>
      </c>
      <c r="J110" t="inlineStr">
        <is>
          <t>Disetujui</t>
        </is>
      </c>
      <c r="K110" t="n">
        <v>90</v>
      </c>
      <c r="L110" t="inlineStr">
        <is>
          <t>4 Oktober 2026</t>
        </is>
      </c>
      <c r="M110" t="inlineStr">
        <is>
          <t>Konstruksi Gedung Lainnya</t>
        </is>
      </c>
      <c r="N110" t="inlineStr">
        <is>
          <t>K</t>
        </is>
      </c>
      <c r="O110" t="inlineStr">
        <is>
          <t>20230927</t>
        </is>
      </c>
      <c r="P110" t="inlineStr">
        <is>
          <t>Sumatera Utara</t>
        </is>
      </c>
      <c r="Q110" t="inlineStr"/>
    </row>
    <row r="111">
      <c r="A111" t="inlineStr">
        <is>
          <t>MATAHATI</t>
        </is>
      </c>
      <c r="B111" t="inlineStr">
        <is>
          <t>Kota Kendari</t>
        </is>
      </c>
      <c r="C111" t="inlineStr">
        <is>
          <t>08114009050</t>
        </is>
      </c>
      <c r="D111" t="inlineStr">
        <is>
          <t>matahatikendari@gmail.com</t>
        </is>
      </c>
      <c r="E111" t="inlineStr">
        <is>
          <t>https://lpjk.pu.go.id/search-badan-usaha-detail/WVZOVWVYS0Vyb0hyTVdJWm5HR2cxQT09</t>
        </is>
      </c>
      <c r="F111" t="n">
        <v>2</v>
      </c>
      <c r="G111" t="inlineStr">
        <is>
          <t>BG002, BG009</t>
        </is>
      </c>
      <c r="H111" t="inlineStr">
        <is>
          <t>8 Januari 2018</t>
        </is>
      </c>
      <c r="I111" s="2" t="n">
        <v>46299</v>
      </c>
      <c r="J111" t="inlineStr">
        <is>
          <t>Disetujui</t>
        </is>
      </c>
      <c r="K111" t="n">
        <v>90</v>
      </c>
      <c r="L111" t="inlineStr">
        <is>
          <t>4 Oktober 2026</t>
        </is>
      </c>
      <c r="M111" t="inlineStr">
        <is>
          <t>Konstruksi Gedung Lainnya, Konstruksi Gedung Perkantoran</t>
        </is>
      </c>
      <c r="N111" t="inlineStr">
        <is>
          <t>K</t>
        </is>
      </c>
      <c r="O111" t="inlineStr">
        <is>
          <t>20230213, 20230607</t>
        </is>
      </c>
      <c r="P111" t="inlineStr">
        <is>
          <t>Sulawesi Tenggara</t>
        </is>
      </c>
      <c r="Q111" t="inlineStr"/>
    </row>
    <row r="112">
      <c r="A112" t="inlineStr">
        <is>
          <t>MEKAR DAVILA PERKASA</t>
        </is>
      </c>
      <c r="B112" t="inlineStr">
        <is>
          <t>Kota Bandar Lampung</t>
        </is>
      </c>
      <c r="C112" t="inlineStr">
        <is>
          <t>081369045678</t>
        </is>
      </c>
      <c r="D112" t="inlineStr">
        <is>
          <t>ptmekardavilaperkasa@gmail.com</t>
        </is>
      </c>
      <c r="E112" t="inlineStr">
        <is>
          <t>https://lpjk.pu.go.id/search-badan-usaha-detail/YTJFeUJKZUNsbHdrbytuKzFSQVNCdz09</t>
        </is>
      </c>
      <c r="F112" t="n">
        <v>6</v>
      </c>
      <c r="G112" t="inlineStr">
        <is>
          <t>BS002, BS003</t>
        </is>
      </c>
      <c r="H112" t="inlineStr">
        <is>
          <t>26 Juni 2023</t>
        </is>
      </c>
      <c r="I112" s="2" t="n">
        <v>46299</v>
      </c>
      <c r="J112" t="inlineStr">
        <is>
          <t>Disetujui</t>
        </is>
      </c>
      <c r="K112" t="n">
        <v>90</v>
      </c>
      <c r="L112" t="inlineStr">
        <is>
          <t>4 Oktober 2026</t>
        </is>
      </c>
      <c r="M112" t="inlineStr">
        <is>
          <t>Bangunan Sipil Jembatan, Jalan Layang, Fly Over, dan Underpass, Konstruksi Jalan Rel</t>
        </is>
      </c>
      <c r="N112" t="inlineStr">
        <is>
          <t>K</t>
        </is>
      </c>
      <c r="O112" t="inlineStr">
        <is>
          <t>20230927, 20230928</t>
        </is>
      </c>
      <c r="P112" t="inlineStr">
        <is>
          <t>Lampung</t>
        </is>
      </c>
      <c r="Q112" t="inlineStr"/>
    </row>
    <row r="113">
      <c r="A113" t="inlineStr">
        <is>
          <t>MEKAR RAYA SEJATI</t>
        </is>
      </c>
      <c r="B113" t="inlineStr">
        <is>
          <t>Kab. Sukabumi</t>
        </is>
      </c>
      <c r="C113" t="inlineStr">
        <is>
          <t>081573801117</t>
        </is>
      </c>
      <c r="D113" t="inlineStr">
        <is>
          <t>mekaraya09@gmail.com</t>
        </is>
      </c>
      <c r="E113" t="inlineStr">
        <is>
          <t>https://lpjk.pu.go.id/search-badan-usaha-detail/Zllub29WdEt4VEtDQlEyRG9JeGJvUT09</t>
        </is>
      </c>
      <c r="F113" t="n">
        <v>6</v>
      </c>
      <c r="G113" t="inlineStr">
        <is>
          <t>BS001, BS004, BS005</t>
        </is>
      </c>
      <c r="H113" t="inlineStr">
        <is>
          <t>1 Juli 2008</t>
        </is>
      </c>
      <c r="I113" s="2" t="n">
        <v>46299</v>
      </c>
      <c r="J113" t="inlineStr">
        <is>
          <t>Pencabutan</t>
        </is>
      </c>
      <c r="K113" t="n">
        <v>90</v>
      </c>
      <c r="L113" t="inlineStr">
        <is>
          <t>4 Oktober 2026</t>
        </is>
      </c>
      <c r="M113" t="inlineStr">
        <is>
          <t>Konstruksi Bangunan Sipil Jalan, Konstruksi Bangunan Sipil Pengolahan Air Bersih, Konstruksi Jaringan Irigasi dan Drainase</t>
        </is>
      </c>
      <c r="N113" t="inlineStr">
        <is>
          <t>K</t>
        </is>
      </c>
      <c r="O113" t="inlineStr">
        <is>
          <t>20231003</t>
        </is>
      </c>
      <c r="P113" t="inlineStr">
        <is>
          <t>Jawa Barat</t>
        </is>
      </c>
      <c r="Q113" t="inlineStr"/>
    </row>
    <row r="114">
      <c r="A114" t="inlineStr">
        <is>
          <t>MITRA BERSAMA</t>
        </is>
      </c>
      <c r="B114" t="inlineStr">
        <is>
          <t>Kab. Tanah Bumbu</t>
        </is>
      </c>
      <c r="C114" t="inlineStr">
        <is>
          <t>081251033323</t>
        </is>
      </c>
      <c r="D114" t="inlineStr">
        <is>
          <t>nano.nato@yahoo.co.id</t>
        </is>
      </c>
      <c r="E114" t="inlineStr">
        <is>
          <t>https://lpjk.pu.go.id/search-badan-usaha-detail/Q2ZaWDd0ME96OUFzU2I5KzFzRnYyQT09</t>
        </is>
      </c>
      <c r="F114" t="n">
        <v>1</v>
      </c>
      <c r="G114" t="inlineStr">
        <is>
          <t>BS001</t>
        </is>
      </c>
      <c r="H114" t="inlineStr">
        <is>
          <t>5 Juni 2006</t>
        </is>
      </c>
      <c r="I114" s="2" t="n">
        <v>46299</v>
      </c>
      <c r="J114" t="inlineStr">
        <is>
          <t>Disetujui</t>
        </is>
      </c>
      <c r="K114" t="n">
        <v>90</v>
      </c>
      <c r="L114" t="inlineStr">
        <is>
          <t>4 Oktober 2026</t>
        </is>
      </c>
      <c r="M114" t="inlineStr">
        <is>
          <t>Konstruksi Bangunan Sipil Jalan</t>
        </is>
      </c>
      <c r="N114" t="inlineStr">
        <is>
          <t>K</t>
        </is>
      </c>
      <c r="O114" t="inlineStr">
        <is>
          <t>20231001</t>
        </is>
      </c>
      <c r="P114" t="inlineStr">
        <is>
          <t>Kalimantan Selatan</t>
        </is>
      </c>
      <c r="Q114" t="inlineStr"/>
    </row>
    <row r="115">
      <c r="A115" t="inlineStr">
        <is>
          <t>MITRA KARYA KALBAR</t>
        </is>
      </c>
      <c r="B115" t="inlineStr">
        <is>
          <t>Kab. Mempawah</t>
        </is>
      </c>
      <c r="C115" t="inlineStr">
        <is>
          <t>081265854181</t>
        </is>
      </c>
      <c r="D115" t="inlineStr">
        <is>
          <t>mitrakaryakalbar@gmail.com</t>
        </is>
      </c>
      <c r="E115" t="inlineStr">
        <is>
          <t>https://lpjk.pu.go.id/search-badan-usaha-detail/a3liaW9kdm1zNHk5bWJITmYreW5jZz09</t>
        </is>
      </c>
      <c r="F115" t="n">
        <v>1</v>
      </c>
      <c r="G115" t="inlineStr">
        <is>
          <t>BS001</t>
        </is>
      </c>
      <c r="H115" t="inlineStr">
        <is>
          <t>5 April 2023</t>
        </is>
      </c>
      <c r="I115" s="2" t="n">
        <v>46299</v>
      </c>
      <c r="J115" t="inlineStr">
        <is>
          <t>Disetujui</t>
        </is>
      </c>
      <c r="K115" t="n">
        <v>90</v>
      </c>
      <c r="L115" t="inlineStr">
        <is>
          <t>4 Oktober 2026</t>
        </is>
      </c>
      <c r="M115" t="inlineStr">
        <is>
          <t>Konstruksi Bangunan Sipil Jalan</t>
        </is>
      </c>
      <c r="N115" t="inlineStr">
        <is>
          <t>K</t>
        </is>
      </c>
      <c r="O115" t="inlineStr">
        <is>
          <t>20231004</t>
        </is>
      </c>
      <c r="P115" t="inlineStr">
        <is>
          <t>Kalimantan Barat</t>
        </is>
      </c>
      <c r="Q115" t="inlineStr"/>
    </row>
    <row r="116">
      <c r="A116" t="inlineStr">
        <is>
          <t>MITRA USAHA JAYA</t>
        </is>
      </c>
      <c r="B116" t="inlineStr">
        <is>
          <t>Kab. Kapuas Hulu</t>
        </is>
      </c>
      <c r="C116" t="inlineStr">
        <is>
          <t>081352188236</t>
        </is>
      </c>
      <c r="D116" t="inlineStr">
        <is>
          <t>mitrausahajaya.cv73@gmail.com</t>
        </is>
      </c>
      <c r="E116" t="inlineStr">
        <is>
          <t>https://lpjk.pu.go.id/search-badan-usaha-detail/N1Jib3VBRXlvdG8vSnNIWlp4NEcvUT09</t>
        </is>
      </c>
      <c r="F116" t="n">
        <v>1</v>
      </c>
      <c r="G116" t="inlineStr">
        <is>
          <t>BS004</t>
        </is>
      </c>
      <c r="H116" t="inlineStr">
        <is>
          <t>14 Mei 2004</t>
        </is>
      </c>
      <c r="I116" s="2" t="n">
        <v>46299</v>
      </c>
      <c r="J116" t="inlineStr">
        <is>
          <t>Disetujui</t>
        </is>
      </c>
      <c r="K116" t="n">
        <v>90</v>
      </c>
      <c r="L116" t="inlineStr">
        <is>
          <t>4 Oktober 2026</t>
        </is>
      </c>
      <c r="M116" t="inlineStr">
        <is>
          <t>Konstruksi Jaringan Irigasi dan Drainase</t>
        </is>
      </c>
      <c r="N116" t="inlineStr">
        <is>
          <t>K</t>
        </is>
      </c>
      <c r="O116" t="inlineStr">
        <is>
          <t>20230927</t>
        </is>
      </c>
      <c r="P116" t="inlineStr">
        <is>
          <t>Kalimantan Barat</t>
        </is>
      </c>
      <c r="Q116" t="inlineStr"/>
    </row>
    <row r="117">
      <c r="A117" t="inlineStr">
        <is>
          <t>MUARA ARTHA</t>
        </is>
      </c>
      <c r="B117" t="inlineStr">
        <is>
          <t>Kota Semarang</t>
        </is>
      </c>
      <c r="C117" t="inlineStr">
        <is>
          <t>082227144540</t>
        </is>
      </c>
      <c r="D117" t="inlineStr">
        <is>
          <t>muaraartha123@gmail.com</t>
        </is>
      </c>
      <c r="E117" t="inlineStr">
        <is>
          <t>https://lpjk.pu.go.id/search-badan-usaha-detail/Y2NjM3FUbXBQdGxjbStiaFhrb3VnQT09</t>
        </is>
      </c>
      <c r="F117" t="n">
        <v>4</v>
      </c>
      <c r="G117" t="inlineStr">
        <is>
          <t>BS004</t>
        </is>
      </c>
      <c r="H117" t="inlineStr">
        <is>
          <t>30 November 2018</t>
        </is>
      </c>
      <c r="I117" s="2" t="n">
        <v>46299</v>
      </c>
      <c r="J117" t="inlineStr">
        <is>
          <t>Disetujui</t>
        </is>
      </c>
      <c r="K117" t="n">
        <v>90</v>
      </c>
      <c r="L117" t="inlineStr">
        <is>
          <t>4 Oktober 2026</t>
        </is>
      </c>
      <c r="M117" t="inlineStr">
        <is>
          <t>Konstruksi Jaringan Irigasi dan Drainase</t>
        </is>
      </c>
      <c r="N117" t="inlineStr">
        <is>
          <t>K</t>
        </is>
      </c>
      <c r="O117" t="inlineStr">
        <is>
          <t>20231004</t>
        </is>
      </c>
      <c r="P117" t="inlineStr">
        <is>
          <t>Jawa Tengah</t>
        </is>
      </c>
      <c r="Q117" t="inlineStr"/>
    </row>
    <row r="118">
      <c r="A118" t="inlineStr">
        <is>
          <t>MULTI WELINDO</t>
        </is>
      </c>
      <c r="B118" t="inlineStr">
        <is>
          <t>Kab. Tangerang</t>
        </is>
      </c>
      <c r="C118" t="inlineStr">
        <is>
          <t>32829397</t>
        </is>
      </c>
      <c r="D118" t="inlineStr">
        <is>
          <t>multiwelindokosambi@gmail.com</t>
        </is>
      </c>
      <c r="E118" t="inlineStr">
        <is>
          <t>https://lpjk.pu.go.id/search-badan-usaha-detail/TUp0MG5tMTVDUC9RMWxmWGlSblJ3Zz09</t>
        </is>
      </c>
      <c r="F118" t="n">
        <v>1</v>
      </c>
      <c r="G118" t="inlineStr">
        <is>
          <t>KK001</t>
        </is>
      </c>
      <c r="H118" t="inlineStr">
        <is>
          <t>6 September 2023</t>
        </is>
      </c>
      <c r="I118" s="2" t="n">
        <v>46299</v>
      </c>
      <c r="J118" t="inlineStr">
        <is>
          <t>Pembekuan</t>
        </is>
      </c>
      <c r="K118" t="n">
        <v>90</v>
      </c>
      <c r="L118" t="inlineStr">
        <is>
          <t>4 Oktober 2026</t>
        </is>
      </c>
      <c r="M118" t="inlineStr">
        <is>
          <t>Pondasi Konstruksi</t>
        </is>
      </c>
      <c r="N118" t="inlineStr">
        <is>
          <t>Spesialis</t>
        </is>
      </c>
      <c r="O118" t="inlineStr">
        <is>
          <t>20231004</t>
        </is>
      </c>
      <c r="P118" t="inlineStr">
        <is>
          <t>Banten</t>
        </is>
      </c>
      <c r="Q118" t="inlineStr"/>
    </row>
    <row r="119">
      <c r="A119" t="inlineStr">
        <is>
          <t>NAUFAL JAYA ABADI</t>
        </is>
      </c>
      <c r="B119" t="inlineStr">
        <is>
          <t>Kota Medan</t>
        </is>
      </c>
      <c r="C119" t="inlineStr">
        <is>
          <t>082363333412</t>
        </is>
      </c>
      <c r="D119" t="inlineStr">
        <is>
          <t>naufaljayaabadicv@gmail.com</t>
        </is>
      </c>
      <c r="E119" t="inlineStr">
        <is>
          <t>https://lpjk.pu.go.id/search-badan-usaha-detail/VzU4M01ac2VhSmpIR2JlZjNwRi9YQT09</t>
        </is>
      </c>
      <c r="F119" t="n">
        <v>1</v>
      </c>
      <c r="G119" t="inlineStr">
        <is>
          <t>BG005</t>
        </is>
      </c>
      <c r="H119" t="inlineStr">
        <is>
          <t>27 Februari 2018</t>
        </is>
      </c>
      <c r="I119" s="2" t="n">
        <v>46299</v>
      </c>
      <c r="J119" t="inlineStr">
        <is>
          <t>Disetujui</t>
        </is>
      </c>
      <c r="K119" t="n">
        <v>90</v>
      </c>
      <c r="L119" t="inlineStr">
        <is>
          <t>4 Oktober 2026</t>
        </is>
      </c>
      <c r="M119" t="inlineStr">
        <is>
          <t>Konstruksi Gedung Kesehatan</t>
        </is>
      </c>
      <c r="N119" t="inlineStr">
        <is>
          <t>K</t>
        </is>
      </c>
      <c r="O119" t="inlineStr">
        <is>
          <t>20231003</t>
        </is>
      </c>
      <c r="P119" t="inlineStr">
        <is>
          <t>Sumatera Utara</t>
        </is>
      </c>
      <c r="Q119" t="inlineStr"/>
    </row>
    <row r="120">
      <c r="A120" t="inlineStr">
        <is>
          <t>NAWASENA MITRA KONSULTAN</t>
        </is>
      </c>
      <c r="B120" t="inlineStr">
        <is>
          <t>Kota Samarinda</t>
        </is>
      </c>
      <c r="C120" t="inlineStr">
        <is>
          <t>085250471466</t>
        </is>
      </c>
      <c r="D120" t="inlineStr">
        <is>
          <t>nawasenamitrakonsultan@gmail.com</t>
        </is>
      </c>
      <c r="E120" t="inlineStr">
        <is>
          <t>https://lpjk.pu.go.id/search-badan-usaha-detail/bW96ZzFjZjdrUCthSlNITmVVUXp6QT09</t>
        </is>
      </c>
      <c r="F120" t="n">
        <v>6</v>
      </c>
      <c r="G120" t="inlineStr">
        <is>
          <t>RK001, RK002, RK003</t>
        </is>
      </c>
      <c r="H120" t="inlineStr">
        <is>
          <t>16 September 2023</t>
        </is>
      </c>
      <c r="I120" s="2" t="n">
        <v>46299</v>
      </c>
      <c r="J120" t="inlineStr">
        <is>
          <t>Disetujui</t>
        </is>
      </c>
      <c r="K120" t="n">
        <v>90</v>
      </c>
      <c r="L120" t="inlineStr">
        <is>
          <t>4 Oktober 2026</t>
        </is>
      </c>
      <c r="M120" t="inlineStr">
        <is>
          <t>Jasa Rekayasa Konstruksi Bangunan Gedung Hunian dan Non Hunian, Jasa Rekayasa Pekerjaan Teknik Sipil Sumber Daya Air, Jasa Rekayasa Pekerjaan Teknik Sipil Transportasi</t>
        </is>
      </c>
      <c r="N120" t="inlineStr">
        <is>
          <t>K</t>
        </is>
      </c>
      <c r="O120" t="inlineStr">
        <is>
          <t>20230928</t>
        </is>
      </c>
      <c r="P120" t="inlineStr">
        <is>
          <t>Kalimantan Timur</t>
        </is>
      </c>
      <c r="Q120" t="inlineStr"/>
    </row>
    <row r="121">
      <c r="A121" t="inlineStr">
        <is>
          <t>NUR RIZKI</t>
        </is>
      </c>
      <c r="B121" t="inlineStr">
        <is>
          <t>Kota Banda Aceh</t>
        </is>
      </c>
      <c r="C121" t="inlineStr">
        <is>
          <t>08126924745</t>
        </is>
      </c>
      <c r="D121" t="inlineStr">
        <is>
          <t>cv.nurrizki2008@gmail.com</t>
        </is>
      </c>
      <c r="E121" t="inlineStr">
        <is>
          <t>https://lpjk.pu.go.id/search-badan-usaha-detail/RnFvQUxqMk1UYk9vZHFWVDNXM0JZZz09</t>
        </is>
      </c>
      <c r="F121" t="n">
        <v>5</v>
      </c>
      <c r="G121" t="inlineStr">
        <is>
          <t>BS001, BS002, BS004, BS010</t>
        </is>
      </c>
      <c r="H121" t="inlineStr">
        <is>
          <t>4 Juni 2008</t>
        </is>
      </c>
      <c r="I121" s="2" t="n">
        <v>46299</v>
      </c>
      <c r="J121" t="inlineStr">
        <is>
          <t>Disetujui</t>
        </is>
      </c>
      <c r="K121" t="n">
        <v>90</v>
      </c>
      <c r="L121" t="inlineStr">
        <is>
          <t>4 Oktober 2026</t>
        </is>
      </c>
      <c r="M121" t="inlineStr">
        <is>
          <t>Bangunan Sipil Jembatan, Jalan Layang, Fly Over, dan Underpass, Konstruksi Bangunan Prasarana Sumber Daya Air, Konstruksi Bangunan Sipil Jalan, Konstruksi Jaringan Irigasi dan Drainase</t>
        </is>
      </c>
      <c r="N121" t="inlineStr">
        <is>
          <t>K</t>
        </is>
      </c>
      <c r="O121" t="inlineStr">
        <is>
          <t>20230927</t>
        </is>
      </c>
      <c r="P121" t="inlineStr">
        <is>
          <t>Aceh</t>
        </is>
      </c>
      <c r="Q121" t="inlineStr"/>
    </row>
    <row r="122">
      <c r="A122" t="inlineStr">
        <is>
          <t>PANCA INDAH JAYAMAHE</t>
        </is>
      </c>
      <c r="B122" t="inlineStr">
        <is>
          <t>Kota Surabaya</t>
        </is>
      </c>
      <c r="C122" t="inlineStr">
        <is>
          <t>0318291317</t>
        </is>
      </c>
      <c r="D122" t="inlineStr">
        <is>
          <t>pancaindahjayamahe.pt@gmail.com</t>
        </is>
      </c>
      <c r="E122" t="inlineStr">
        <is>
          <t>https://lpjk.pu.go.id/search-badan-usaha-detail/T0diRHNLL1B6RHg3NkhwWVFkYklUdz09</t>
        </is>
      </c>
      <c r="F122" t="n">
        <v>1</v>
      </c>
      <c r="G122" t="inlineStr">
        <is>
          <t>IN007</t>
        </is>
      </c>
      <c r="H122" t="inlineStr">
        <is>
          <t>31 Januari 2008</t>
        </is>
      </c>
      <c r="I122" s="2" t="n">
        <v>46299</v>
      </c>
      <c r="J122" t="inlineStr">
        <is>
          <t>Disetujui</t>
        </is>
      </c>
      <c r="K122" t="n">
        <v>90</v>
      </c>
      <c r="L122" t="inlineStr">
        <is>
          <t>4 Oktober 2026</t>
        </is>
      </c>
      <c r="M122" t="inlineStr">
        <is>
          <t>Instalasi Saluran Air (Plambing)</t>
        </is>
      </c>
      <c r="N122" t="inlineStr">
        <is>
          <t>Spesialis</t>
        </is>
      </c>
      <c r="O122" t="inlineStr">
        <is>
          <t>20231003</t>
        </is>
      </c>
      <c r="P122" t="inlineStr">
        <is>
          <t>Jawa Timur</t>
        </is>
      </c>
      <c r="Q122" t="inlineStr"/>
    </row>
    <row r="123">
      <c r="A123" t="inlineStr">
        <is>
          <t>PANORAMA FAJAR</t>
        </is>
      </c>
      <c r="B123" t="inlineStr">
        <is>
          <t>Kab. Cianjur</t>
        </is>
      </c>
      <c r="C123" t="inlineStr">
        <is>
          <t>087756144001</t>
        </is>
      </c>
      <c r="D123" t="inlineStr">
        <is>
          <t>panoramafajar.cjr@gmail.com</t>
        </is>
      </c>
      <c r="E123" t="inlineStr">
        <is>
          <t>https://lpjk.pu.go.id/search-badan-usaha-detail/cVAwcUticEdjK0d4U3h3QzE0aE1Zdz09</t>
        </is>
      </c>
      <c r="F123" t="n">
        <v>1</v>
      </c>
      <c r="G123" t="inlineStr">
        <is>
          <t>BG009</t>
        </is>
      </c>
      <c r="H123" t="inlineStr">
        <is>
          <t>14 Februari 2002</t>
        </is>
      </c>
      <c r="I123" s="2" t="n">
        <v>46299</v>
      </c>
      <c r="J123" t="inlineStr">
        <is>
          <t>Disetujui</t>
        </is>
      </c>
      <c r="K123" t="n">
        <v>90</v>
      </c>
      <c r="L123" t="inlineStr">
        <is>
          <t>4 Oktober 2026</t>
        </is>
      </c>
      <c r="M123" t="inlineStr">
        <is>
          <t>Konstruksi Gedung Lainnya</t>
        </is>
      </c>
      <c r="N123" t="inlineStr">
        <is>
          <t>K</t>
        </is>
      </c>
      <c r="O123" t="inlineStr">
        <is>
          <t>20231004</t>
        </is>
      </c>
      <c r="P123" t="inlineStr">
        <is>
          <t>Jawa Barat</t>
        </is>
      </c>
      <c r="Q123" t="inlineStr"/>
    </row>
    <row r="124">
      <c r="A124" t="inlineStr">
        <is>
          <t>PETRO TEKNIK KONSTRUKSI</t>
        </is>
      </c>
      <c r="B124" t="inlineStr">
        <is>
          <t>Kota Surabaya</t>
        </is>
      </c>
      <c r="C124" t="inlineStr">
        <is>
          <t>0313579966</t>
        </is>
      </c>
      <c r="D124" t="inlineStr">
        <is>
          <t>-</t>
        </is>
      </c>
      <c r="E124" t="inlineStr">
        <is>
          <t>https://lpjk.pu.go.id/search-badan-usaha-detail/R3Z2RFNQK01ycktpZnZnUUN3a1FQQT09</t>
        </is>
      </c>
      <c r="F124" t="n">
        <v>1</v>
      </c>
      <c r="G124" t="inlineStr">
        <is>
          <t>IN004</t>
        </is>
      </c>
      <c r="H124" t="inlineStr">
        <is>
          <t>22 Oktober 2019</t>
        </is>
      </c>
      <c r="I124" s="2" t="n">
        <v>46299</v>
      </c>
      <c r="J124" t="inlineStr">
        <is>
          <t>Pembekuan</t>
        </is>
      </c>
      <c r="K124" t="n">
        <v>90</v>
      </c>
      <c r="L124" t="inlineStr">
        <is>
          <t>4 Oktober 2026</t>
        </is>
      </c>
      <c r="M124" t="inlineStr">
        <is>
          <t>Instalasi Minyak dan Gas</t>
        </is>
      </c>
      <c r="N124" t="inlineStr">
        <is>
          <t>Spesialis</t>
        </is>
      </c>
      <c r="O124" t="inlineStr">
        <is>
          <t>20231005</t>
        </is>
      </c>
      <c r="P124" t="inlineStr">
        <is>
          <t>Jawa Timur</t>
        </is>
      </c>
      <c r="Q124" t="inlineStr"/>
    </row>
    <row r="125">
      <c r="A125" t="inlineStr">
        <is>
          <t>PILAR ABADI SEMESTA</t>
        </is>
      </c>
      <c r="B125" t="inlineStr">
        <is>
          <t>Kota Pangkal Pinang</t>
        </is>
      </c>
      <c r="C125" t="inlineStr">
        <is>
          <t>082281974983</t>
        </is>
      </c>
      <c r="D125" t="inlineStr">
        <is>
          <t>cvpilarabadisemesta@gmail.com</t>
        </is>
      </c>
      <c r="E125" t="inlineStr">
        <is>
          <t>https://lpjk.pu.go.id/search-badan-usaha-detail/OVpHL3NxRXVQKzViTzViT09XZElIdz09</t>
        </is>
      </c>
      <c r="F125" t="n">
        <v>1</v>
      </c>
      <c r="G125" t="inlineStr">
        <is>
          <t>BS004</t>
        </is>
      </c>
      <c r="H125" t="inlineStr">
        <is>
          <t>13 September 2023</t>
        </is>
      </c>
      <c r="I125" s="2" t="n">
        <v>46299</v>
      </c>
      <c r="J125" t="inlineStr">
        <is>
          <t>Disetujui</t>
        </is>
      </c>
      <c r="K125" t="n">
        <v>90</v>
      </c>
      <c r="L125" t="inlineStr">
        <is>
          <t>4 Oktober 2026</t>
        </is>
      </c>
      <c r="M125" t="inlineStr">
        <is>
          <t>Konstruksi Jaringan Irigasi dan Drainase</t>
        </is>
      </c>
      <c r="N125" t="inlineStr">
        <is>
          <t>K</t>
        </is>
      </c>
      <c r="O125" t="inlineStr">
        <is>
          <t>20231005</t>
        </is>
      </c>
      <c r="P125" t="inlineStr">
        <is>
          <t>Kepulauan Bangka Belitung</t>
        </is>
      </c>
      <c r="Q125" t="inlineStr"/>
    </row>
    <row r="126">
      <c r="A126" t="inlineStr">
        <is>
          <t>PRAMA KARYA NUSANTARA</t>
        </is>
      </c>
      <c r="B126" t="inlineStr">
        <is>
          <t>Kab. Bengkulu Tengah</t>
        </is>
      </c>
      <c r="C126" t="inlineStr">
        <is>
          <t>082177282400</t>
        </is>
      </c>
      <c r="D126" t="inlineStr">
        <is>
          <t>pramakaryanusantara@gmail.com</t>
        </is>
      </c>
      <c r="E126" t="inlineStr">
        <is>
          <t>https://lpjk.pu.go.id/search-badan-usaha-detail/WWVoRlk4T1ZqcmViY0U1ckZkVHFkZz09</t>
        </is>
      </c>
      <c r="F126" t="n">
        <v>1</v>
      </c>
      <c r="G126" t="inlineStr">
        <is>
          <t>RK003</t>
        </is>
      </c>
      <c r="H126" t="inlineStr">
        <is>
          <t>13 Januari 2023</t>
        </is>
      </c>
      <c r="I126" s="2" t="n">
        <v>46299</v>
      </c>
      <c r="J126" t="inlineStr">
        <is>
          <t>Disetujui</t>
        </is>
      </c>
      <c r="K126" t="n">
        <v>90</v>
      </c>
      <c r="L126" t="inlineStr">
        <is>
          <t>4 Oktober 2026</t>
        </is>
      </c>
      <c r="M126" t="inlineStr">
        <is>
          <t>Jasa Rekayasa Pekerjaan Teknik Sipil Transportasi</t>
        </is>
      </c>
      <c r="N126" t="inlineStr">
        <is>
          <t>K</t>
        </is>
      </c>
      <c r="O126" t="inlineStr">
        <is>
          <t>20230730</t>
        </is>
      </c>
      <c r="P126" t="inlineStr">
        <is>
          <t>Bengkulu</t>
        </is>
      </c>
      <c r="Q126" t="inlineStr"/>
    </row>
    <row r="127">
      <c r="A127" t="inlineStr">
        <is>
          <t>PRATIWI DHUHAYU</t>
        </is>
      </c>
      <c r="B127" t="inlineStr">
        <is>
          <t>Kota Padang</t>
        </is>
      </c>
      <c r="C127" t="inlineStr">
        <is>
          <t>08126713912</t>
        </is>
      </c>
      <c r="D127" t="inlineStr">
        <is>
          <t>cvpratiwidhuhayu@gmail.com</t>
        </is>
      </c>
      <c r="E127" t="inlineStr">
        <is>
          <t>https://lpjk.pu.go.id/search-badan-usaha-detail/ZWZGUldSVnYzQ1AxWXArVU9KN3hxZz09</t>
        </is>
      </c>
      <c r="F127" t="n">
        <v>1</v>
      </c>
      <c r="G127" t="inlineStr">
        <is>
          <t>BS010</t>
        </is>
      </c>
      <c r="H127" t="inlineStr">
        <is>
          <t>27 Desember 2021</t>
        </is>
      </c>
      <c r="I127" s="2" t="n">
        <v>46299</v>
      </c>
      <c r="J127" t="inlineStr">
        <is>
          <t>Disetujui</t>
        </is>
      </c>
      <c r="K127" t="n">
        <v>90</v>
      </c>
      <c r="L127" t="inlineStr">
        <is>
          <t>4 Oktober 2026</t>
        </is>
      </c>
      <c r="M127" t="inlineStr">
        <is>
          <t>Konstruksi Bangunan Prasarana Sumber Daya Air</t>
        </is>
      </c>
      <c r="N127" t="inlineStr">
        <is>
          <t>K</t>
        </is>
      </c>
      <c r="O127" t="inlineStr">
        <is>
          <t>20231005</t>
        </is>
      </c>
      <c r="P127" t="inlineStr">
        <is>
          <t>Sumatera Barat</t>
        </is>
      </c>
      <c r="Q127" t="inlineStr"/>
    </row>
    <row r="128">
      <c r="A128" t="inlineStr">
        <is>
          <t>PRIMA MEGAH IRSA</t>
        </is>
      </c>
      <c r="B128" t="inlineStr">
        <is>
          <t>Kab. Gresik</t>
        </is>
      </c>
      <c r="C128" t="inlineStr">
        <is>
          <t>0811125585</t>
        </is>
      </c>
      <c r="D128" t="inlineStr">
        <is>
          <t>makhrudy@yahoo.com</t>
        </is>
      </c>
      <c r="E128" t="inlineStr">
        <is>
          <t>https://lpjk.pu.go.id/search-badan-usaha-detail/VkFUdXhMSVY4R2VyVk43SUhzbkFoUT09</t>
        </is>
      </c>
      <c r="F128" t="n">
        <v>1</v>
      </c>
      <c r="G128" t="inlineStr">
        <is>
          <t>IN001</t>
        </is>
      </c>
      <c r="H128" t="inlineStr">
        <is>
          <t>13 Maret 2010</t>
        </is>
      </c>
      <c r="I128" s="2" t="n">
        <v>46299</v>
      </c>
      <c r="J128" t="inlineStr">
        <is>
          <t>Disetujui</t>
        </is>
      </c>
      <c r="K128" t="n">
        <v>90</v>
      </c>
      <c r="L128" t="inlineStr">
        <is>
          <t>4 Oktober 2026</t>
        </is>
      </c>
      <c r="M128" t="inlineStr">
        <is>
          <t>Instalasi Mekanikal</t>
        </is>
      </c>
      <c r="N128" t="inlineStr">
        <is>
          <t>Spesialis</t>
        </is>
      </c>
      <c r="O128" t="inlineStr">
        <is>
          <t>20230929</t>
        </is>
      </c>
      <c r="P128" t="inlineStr">
        <is>
          <t>Jawa Timur</t>
        </is>
      </c>
      <c r="Q128" t="inlineStr"/>
    </row>
    <row r="129">
      <c r="A129" t="inlineStr">
        <is>
          <t>PUNCAK KONSTRUKSI ABADI</t>
        </is>
      </c>
      <c r="B129" t="inlineStr">
        <is>
          <t>Kota Adm. Jakarta Utara</t>
        </is>
      </c>
      <c r="C129" t="inlineStr">
        <is>
          <t>081263990000</t>
        </is>
      </c>
      <c r="D129" t="inlineStr">
        <is>
          <t>puncakkonstruksiabadi99@gmail.com</t>
        </is>
      </c>
      <c r="E129" t="inlineStr">
        <is>
          <t>https://lpjk.pu.go.id/search-badan-usaha-detail/bHhrdnNkU1duclUrTjNhcUlnMzRpZz09</t>
        </is>
      </c>
      <c r="F129" t="n">
        <v>1</v>
      </c>
      <c r="G129" t="inlineStr">
        <is>
          <t>KK016</t>
        </is>
      </c>
      <c r="H129" t="inlineStr">
        <is>
          <t>31 Juli 2023</t>
        </is>
      </c>
      <c r="I129" s="2" t="n">
        <v>46299</v>
      </c>
      <c r="J129" t="inlineStr">
        <is>
          <t>Pembekuan</t>
        </is>
      </c>
      <c r="K129" t="n">
        <v>90</v>
      </c>
      <c r="L129" t="inlineStr">
        <is>
          <t>4 Oktober 2026</t>
        </is>
      </c>
      <c r="M129" t="inlineStr">
        <is>
          <t>Pemasangan Kerangka Baja</t>
        </is>
      </c>
      <c r="N129" t="inlineStr">
        <is>
          <t>Spesialis</t>
        </is>
      </c>
      <c r="O129" t="inlineStr">
        <is>
          <t>20230925</t>
        </is>
      </c>
      <c r="P129" t="inlineStr">
        <is>
          <t>DKI Jakarta</t>
        </is>
      </c>
      <c r="Q129" t="inlineStr"/>
    </row>
    <row r="130">
      <c r="A130" t="inlineStr">
        <is>
          <t>PUTRA AGRO ABADI</t>
        </is>
      </c>
      <c r="B130" t="inlineStr">
        <is>
          <t>Kab. Belitung Timur</t>
        </is>
      </c>
      <c r="C130" t="inlineStr">
        <is>
          <t>081279976636</t>
        </is>
      </c>
      <c r="D130" t="inlineStr">
        <is>
          <t>williantopjk@gmail.com</t>
        </is>
      </c>
      <c r="E130" t="inlineStr">
        <is>
          <t>https://lpjk.pu.go.id/search-badan-usaha-detail/UEZKZENRWXdKVmhySHh2cWpRMVJxUT09</t>
        </is>
      </c>
      <c r="F130" t="n">
        <v>1</v>
      </c>
      <c r="G130" t="inlineStr">
        <is>
          <t>BG009</t>
        </is>
      </c>
      <c r="H130" t="inlineStr">
        <is>
          <t>10 Februari 2022</t>
        </is>
      </c>
      <c r="I130" s="2" t="n">
        <v>46299</v>
      </c>
      <c r="J130" t="inlineStr">
        <is>
          <t>Permohonan Ditolak</t>
        </is>
      </c>
      <c r="K130" t="n">
        <v>90</v>
      </c>
      <c r="L130" t="inlineStr">
        <is>
          <t>4 Oktober 2026</t>
        </is>
      </c>
      <c r="M130" t="inlineStr">
        <is>
          <t>Konstruksi Gedung Lainnya</t>
        </is>
      </c>
      <c r="N130" t="inlineStr">
        <is>
          <t>K</t>
        </is>
      </c>
      <c r="O130" t="inlineStr">
        <is>
          <t>20231001</t>
        </is>
      </c>
      <c r="P130" t="inlineStr">
        <is>
          <t>Kepulauan Bangka Belitung</t>
        </is>
      </c>
      <c r="Q130" t="inlineStr"/>
    </row>
    <row r="131">
      <c r="A131" t="inlineStr">
        <is>
          <t>PUTRA JAYA</t>
        </is>
      </c>
      <c r="B131" t="inlineStr">
        <is>
          <t>Kab. Sukoharjo</t>
        </is>
      </c>
      <c r="C131" t="inlineStr">
        <is>
          <t>087736027703</t>
        </is>
      </c>
      <c r="D131" t="inlineStr">
        <is>
          <t>putrajaya.tin@gmail.com</t>
        </is>
      </c>
      <c r="E131" t="inlineStr">
        <is>
          <t>https://lpjk.pu.go.id/search-badan-usaha-detail/ZmxnYXNaT2tKSVdEZm84QXZWNnFEQT09</t>
        </is>
      </c>
      <c r="F131" t="n">
        <v>4</v>
      </c>
      <c r="G131" t="inlineStr">
        <is>
          <t>BG004, BG005, BG006, BG009</t>
        </is>
      </c>
      <c r="H131" t="inlineStr">
        <is>
          <t>19 Maret 2009</t>
        </is>
      </c>
      <c r="I131" s="2" t="n">
        <v>46299</v>
      </c>
      <c r="J131" t="inlineStr">
        <is>
          <t>Disetujui</t>
        </is>
      </c>
      <c r="K131" t="n">
        <v>90</v>
      </c>
      <c r="L131" t="inlineStr">
        <is>
          <t>4 Oktober 2026</t>
        </is>
      </c>
      <c r="M131" t="inlineStr">
        <is>
          <t>Konstruksi Gedung Kesehatan, Konstruksi Gedung Lainnya, Konstruksi Gedung Pendidikan, Konstruksi Gedung Perbelanjaan</t>
        </is>
      </c>
      <c r="N131" t="inlineStr">
        <is>
          <t>K</t>
        </is>
      </c>
      <c r="O131" t="inlineStr">
        <is>
          <t>20231002</t>
        </is>
      </c>
      <c r="P131" t="inlineStr">
        <is>
          <t>Jawa Tengah</t>
        </is>
      </c>
      <c r="Q131" t="inlineStr"/>
    </row>
    <row r="132">
      <c r="A132" t="inlineStr">
        <is>
          <t>PUTRA KEMBAR</t>
        </is>
      </c>
      <c r="B132" t="inlineStr">
        <is>
          <t>Kab. Bangka</t>
        </is>
      </c>
      <c r="C132" t="inlineStr">
        <is>
          <t>085268042467</t>
        </is>
      </c>
      <c r="D132" t="inlineStr">
        <is>
          <t>pk_putrakembar@yahoo.com</t>
        </is>
      </c>
      <c r="E132" t="inlineStr">
        <is>
          <t>https://lpjk.pu.go.id/search-badan-usaha-detail/UW1xeFFMZmo1OE44b3NTZW4vVWRqUT09</t>
        </is>
      </c>
      <c r="F132" t="n">
        <v>1</v>
      </c>
      <c r="G132" t="inlineStr">
        <is>
          <t>BS005</t>
        </is>
      </c>
      <c r="H132" t="inlineStr">
        <is>
          <t>9 Juni 2015</t>
        </is>
      </c>
      <c r="I132" s="2" t="n">
        <v>46299</v>
      </c>
      <c r="J132" t="inlineStr">
        <is>
          <t>Disetujui</t>
        </is>
      </c>
      <c r="K132" t="n">
        <v>90</v>
      </c>
      <c r="L132" t="inlineStr">
        <is>
          <t>4 Oktober 2026</t>
        </is>
      </c>
      <c r="M132" t="inlineStr">
        <is>
          <t>Konstruksi Bangunan Sipil Pengolahan Air Bersih</t>
        </is>
      </c>
      <c r="N132" t="inlineStr">
        <is>
          <t>K</t>
        </is>
      </c>
      <c r="O132" t="inlineStr">
        <is>
          <t>20230920</t>
        </is>
      </c>
      <c r="P132" t="inlineStr">
        <is>
          <t>Kepulauan Bangka Belitung</t>
        </is>
      </c>
      <c r="Q132" t="inlineStr"/>
    </row>
    <row r="133">
      <c r="A133" t="inlineStr">
        <is>
          <t>PUTRA TEKNIK SEJAHTERA</t>
        </is>
      </c>
      <c r="B133" t="inlineStr">
        <is>
          <t>Kab. Sidoarjo</t>
        </is>
      </c>
      <c r="C133" t="inlineStr">
        <is>
          <t>081802003699</t>
        </is>
      </c>
      <c r="D133" t="inlineStr">
        <is>
          <t>ptputratekniksejaktera@gmail.com</t>
        </is>
      </c>
      <c r="E133" t="inlineStr">
        <is>
          <t>https://lpjk.pu.go.id/search-badan-usaha-detail/ZVNLNEQxWnFldVFCalJBUVpPWkVxdz09</t>
        </is>
      </c>
      <c r="F133" t="n">
        <v>1</v>
      </c>
      <c r="G133" t="inlineStr">
        <is>
          <t>IN001</t>
        </is>
      </c>
      <c r="H133" t="inlineStr">
        <is>
          <t>28 Januari 2015</t>
        </is>
      </c>
      <c r="I133" s="2" t="n">
        <v>46299</v>
      </c>
      <c r="J133" t="inlineStr">
        <is>
          <t>Disetujui</t>
        </is>
      </c>
      <c r="K133" t="n">
        <v>90</v>
      </c>
      <c r="L133" t="inlineStr">
        <is>
          <t>4 Oktober 2026</t>
        </is>
      </c>
      <c r="M133" t="inlineStr">
        <is>
          <t>Instalasi Mekanikal</t>
        </is>
      </c>
      <c r="N133" t="inlineStr">
        <is>
          <t>Spesialis</t>
        </is>
      </c>
      <c r="O133" t="inlineStr">
        <is>
          <t>20231004</t>
        </is>
      </c>
      <c r="P133" t="inlineStr">
        <is>
          <t>Jawa Timur</t>
        </is>
      </c>
      <c r="Q133" t="inlineStr"/>
    </row>
    <row r="134">
      <c r="A134" t="inlineStr">
        <is>
          <t>PUTRI DALILAH</t>
        </is>
      </c>
      <c r="B134" t="inlineStr">
        <is>
          <t>Kota Bima</t>
        </is>
      </c>
      <c r="C134" t="inlineStr">
        <is>
          <t>085337997838</t>
        </is>
      </c>
      <c r="D134" t="inlineStr">
        <is>
          <t>putridalilah93@yahoo.com</t>
        </is>
      </c>
      <c r="E134" t="inlineStr">
        <is>
          <t>https://lpjk.pu.go.id/search-badan-usaha-detail/K1lmb2ZnQW43UmF1SFJ1ekk0QXR6Zz09</t>
        </is>
      </c>
      <c r="F134" t="n">
        <v>1</v>
      </c>
      <c r="G134" t="inlineStr">
        <is>
          <t>BS001</t>
        </is>
      </c>
      <c r="H134" t="inlineStr">
        <is>
          <t>22 Desember 2001</t>
        </is>
      </c>
      <c r="I134" s="2" t="n">
        <v>46299</v>
      </c>
      <c r="J134" t="inlineStr">
        <is>
          <t>Disetujui</t>
        </is>
      </c>
      <c r="K134" t="n">
        <v>90</v>
      </c>
      <c r="L134" t="inlineStr">
        <is>
          <t>4 Oktober 2026</t>
        </is>
      </c>
      <c r="M134" t="inlineStr">
        <is>
          <t>Konstruksi Bangunan Sipil Jalan</t>
        </is>
      </c>
      <c r="N134" t="inlineStr">
        <is>
          <t>K</t>
        </is>
      </c>
      <c r="O134" t="inlineStr">
        <is>
          <t>20231002</t>
        </is>
      </c>
      <c r="P134" t="inlineStr">
        <is>
          <t>Nusa Tenggara Barat</t>
        </is>
      </c>
      <c r="Q134" t="inlineStr"/>
    </row>
    <row r="135">
      <c r="A135" t="inlineStr">
        <is>
          <t>PUTRI NEISHA</t>
        </is>
      </c>
      <c r="B135" t="inlineStr">
        <is>
          <t>Kab. Bone</t>
        </is>
      </c>
      <c r="C135" t="inlineStr">
        <is>
          <t>081258485107</t>
        </is>
      </c>
      <c r="D135" t="inlineStr">
        <is>
          <t>putrineis43@gmail.com</t>
        </is>
      </c>
      <c r="E135" t="inlineStr">
        <is>
          <t>https://lpjk.pu.go.id/search-badan-usaha-detail/TlZzcUpHWnpUNEZHZVMwRzVkWko5QT09</t>
        </is>
      </c>
      <c r="F135" t="n">
        <v>1</v>
      </c>
      <c r="G135" t="inlineStr">
        <is>
          <t>BS001</t>
        </is>
      </c>
      <c r="H135" t="inlineStr">
        <is>
          <t>24 Juni 2022</t>
        </is>
      </c>
      <c r="I135" s="2" t="n">
        <v>46299</v>
      </c>
      <c r="J135" t="inlineStr">
        <is>
          <t>Disetujui</t>
        </is>
      </c>
      <c r="K135" t="n">
        <v>90</v>
      </c>
      <c r="L135" t="inlineStr">
        <is>
          <t>4 Oktober 2026</t>
        </is>
      </c>
      <c r="M135" t="inlineStr">
        <is>
          <t>Konstruksi Bangunan Sipil Jalan</t>
        </is>
      </c>
      <c r="N135" t="inlineStr">
        <is>
          <t>K</t>
        </is>
      </c>
      <c r="O135" t="inlineStr">
        <is>
          <t>20230929</t>
        </is>
      </c>
      <c r="P135" t="inlineStr">
        <is>
          <t>Sulawesi Selatan</t>
        </is>
      </c>
      <c r="Q135" t="inlineStr"/>
    </row>
    <row r="136">
      <c r="A136" t="inlineStr">
        <is>
          <t>RAMA SUKSES MANDIRI</t>
        </is>
      </c>
      <c r="B136" t="inlineStr">
        <is>
          <t>Kota Semarang</t>
        </is>
      </c>
      <c r="C136" t="inlineStr">
        <is>
          <t>0248508134</t>
        </is>
      </c>
      <c r="D136" t="inlineStr">
        <is>
          <t>ptrama.sm@gmail.com</t>
        </is>
      </c>
      <c r="E136" t="inlineStr">
        <is>
          <t>https://lpjk.pu.go.id/search-badan-usaha-detail/WE81NUVDZGxacU9yQ3RGdGRBR1F3dz09</t>
        </is>
      </c>
      <c r="F136" t="n">
        <v>2</v>
      </c>
      <c r="G136" t="inlineStr">
        <is>
          <t>BG002, PB004</t>
        </is>
      </c>
      <c r="H136" t="inlineStr">
        <is>
          <t>22 Maret 2010</t>
        </is>
      </c>
      <c r="I136" s="2" t="n">
        <v>46299</v>
      </c>
      <c r="J136" t="inlineStr">
        <is>
          <t>Disetujui</t>
        </is>
      </c>
      <c r="K136" t="n">
        <v>90</v>
      </c>
      <c r="L136" t="inlineStr">
        <is>
          <t>4 Oktober 2026</t>
        </is>
      </c>
      <c r="M136" t="inlineStr">
        <is>
          <t>Dekorasi Interior, Konstruksi Gedung Perkantoran</t>
        </is>
      </c>
      <c r="N136" t="inlineStr">
        <is>
          <t>K, Spesialis</t>
        </is>
      </c>
      <c r="O136" t="inlineStr">
        <is>
          <t>20230926, 20231002</t>
        </is>
      </c>
      <c r="P136" t="inlineStr">
        <is>
          <t>Jawa Tengah</t>
        </is>
      </c>
      <c r="Q136" t="inlineStr"/>
    </row>
    <row r="137">
      <c r="A137" t="inlineStr">
        <is>
          <t>REFTECH JAYA OPTIMA</t>
        </is>
      </c>
      <c r="B137" t="inlineStr">
        <is>
          <t>Kota Bandung</t>
        </is>
      </c>
      <c r="C137" t="inlineStr">
        <is>
          <t>081320583277</t>
        </is>
      </c>
      <c r="D137" t="inlineStr">
        <is>
          <t>arief@reftech.id</t>
        </is>
      </c>
      <c r="E137" t="inlineStr">
        <is>
          <t>https://lpjk.pu.go.id/search-badan-usaha-detail/c3hsVTlBdWdidFlYbFRtc1VaZ2pIQT09</t>
        </is>
      </c>
      <c r="F137" t="n">
        <v>1</v>
      </c>
      <c r="G137" t="inlineStr">
        <is>
          <t>IN004</t>
        </is>
      </c>
      <c r="H137" t="inlineStr">
        <is>
          <t>7 Juli 2015</t>
        </is>
      </c>
      <c r="I137" s="2" t="n">
        <v>46299</v>
      </c>
      <c r="J137" t="inlineStr">
        <is>
          <t>Disetujui</t>
        </is>
      </c>
      <c r="K137" t="n">
        <v>90</v>
      </c>
      <c r="L137" t="inlineStr">
        <is>
          <t>4 Oktober 2026</t>
        </is>
      </c>
      <c r="M137" t="inlineStr">
        <is>
          <t>Instalasi Minyak dan Gas</t>
        </is>
      </c>
      <c r="N137" t="inlineStr">
        <is>
          <t>Spesialis</t>
        </is>
      </c>
      <c r="O137" t="inlineStr">
        <is>
          <t>20230919</t>
        </is>
      </c>
      <c r="P137" t="inlineStr">
        <is>
          <t>Jawa Barat</t>
        </is>
      </c>
      <c r="Q137" t="inlineStr"/>
    </row>
    <row r="138">
      <c r="A138" t="inlineStr">
        <is>
          <t>REZA JAYA</t>
        </is>
      </c>
      <c r="B138" t="inlineStr">
        <is>
          <t>Kota Surabaya</t>
        </is>
      </c>
      <c r="C138" t="inlineStr">
        <is>
          <t>082242549253</t>
        </is>
      </c>
      <c r="D138" t="inlineStr">
        <is>
          <t>pajak.cvrezajaya@gmail.com</t>
        </is>
      </c>
      <c r="E138" t="inlineStr">
        <is>
          <t>https://lpjk.pu.go.id/search-badan-usaha-detail/Q3NMWUZST2tUcXFiakhoS3lrUVZxZz09</t>
        </is>
      </c>
      <c r="F138" t="n">
        <v>1</v>
      </c>
      <c r="G138" t="inlineStr">
        <is>
          <t>BS001</t>
        </is>
      </c>
      <c r="H138" t="inlineStr">
        <is>
          <t>7 September 1989</t>
        </is>
      </c>
      <c r="I138" s="2" t="n">
        <v>46299</v>
      </c>
      <c r="J138" t="inlineStr">
        <is>
          <t>Disetujui</t>
        </is>
      </c>
      <c r="K138" t="n">
        <v>90</v>
      </c>
      <c r="L138" t="inlineStr">
        <is>
          <t>4 Oktober 2026</t>
        </is>
      </c>
      <c r="M138" t="inlineStr">
        <is>
          <t>Konstruksi Bangunan Sipil Jalan</t>
        </is>
      </c>
      <c r="N138" t="inlineStr">
        <is>
          <t>K</t>
        </is>
      </c>
      <c r="O138" t="inlineStr">
        <is>
          <t>20230621</t>
        </is>
      </c>
      <c r="P138" t="inlineStr">
        <is>
          <t>Jawa Timur</t>
        </is>
      </c>
      <c r="Q138" t="inlineStr"/>
    </row>
    <row r="139">
      <c r="A139" t="inlineStr">
        <is>
          <t>REZKANA CIPTA KONSTRUKSI</t>
        </is>
      </c>
      <c r="B139" t="inlineStr">
        <is>
          <t>Kab. Sumbawa Barat</t>
        </is>
      </c>
      <c r="C139" t="inlineStr">
        <is>
          <t>082339383964</t>
        </is>
      </c>
      <c r="D139" t="inlineStr">
        <is>
          <t>rezkananciptakonstruksi@gmail.com</t>
        </is>
      </c>
      <c r="E139" t="inlineStr">
        <is>
          <t>https://lpjk.pu.go.id/search-badan-usaha-detail/bUxkQnVQYlFpdGhLdjFOWWVrN09aZz09</t>
        </is>
      </c>
      <c r="F139" t="n">
        <v>1</v>
      </c>
      <c r="G139" t="inlineStr">
        <is>
          <t>BS001</t>
        </is>
      </c>
      <c r="H139" t="inlineStr">
        <is>
          <t>23 November 2020</t>
        </is>
      </c>
      <c r="I139" s="2" t="n">
        <v>46299</v>
      </c>
      <c r="J139" t="inlineStr">
        <is>
          <t>Pencabutan</t>
        </is>
      </c>
      <c r="K139" t="n">
        <v>90</v>
      </c>
      <c r="L139" t="inlineStr">
        <is>
          <t>4 Oktober 2026</t>
        </is>
      </c>
      <c r="M139" t="inlineStr">
        <is>
          <t>Konstruksi Bangunan Sipil Jalan</t>
        </is>
      </c>
      <c r="N139" t="inlineStr">
        <is>
          <t>K</t>
        </is>
      </c>
      <c r="O139" t="inlineStr">
        <is>
          <t>20231004</t>
        </is>
      </c>
      <c r="P139" t="inlineStr">
        <is>
          <t>Nusa Tenggara Barat</t>
        </is>
      </c>
      <c r="Q139" t="inlineStr"/>
    </row>
    <row r="140">
      <c r="A140" t="inlineStr">
        <is>
          <t>RIZKI PUTRA MANDIRI</t>
        </is>
      </c>
      <c r="B140" t="inlineStr">
        <is>
          <t>Kota Malang</t>
        </is>
      </c>
      <c r="C140" t="inlineStr">
        <is>
          <t>082230671925</t>
        </is>
      </c>
      <c r="D140" t="inlineStr">
        <is>
          <t>rizkiputramandiri6@gmail.com</t>
        </is>
      </c>
      <c r="E140" t="inlineStr">
        <is>
          <t>https://lpjk.pu.go.id/search-badan-usaha-detail/TUxEQ3p5STFMdzAxc2xKMjN1eitpQT09</t>
        </is>
      </c>
      <c r="F140" t="n">
        <v>2</v>
      </c>
      <c r="G140" t="inlineStr">
        <is>
          <t>BG002, BG003</t>
        </is>
      </c>
      <c r="H140" t="inlineStr">
        <is>
          <t>12 Februari 2018</t>
        </is>
      </c>
      <c r="I140" s="2" t="n">
        <v>46299</v>
      </c>
      <c r="J140" t="inlineStr">
        <is>
          <t>Disetujui</t>
        </is>
      </c>
      <c r="K140" t="n">
        <v>90</v>
      </c>
      <c r="L140" t="inlineStr">
        <is>
          <t>4 Oktober 2026</t>
        </is>
      </c>
      <c r="M140" t="inlineStr">
        <is>
          <t>Konstruksi Gedung Industri, Konstruksi Gedung Perkantoran</t>
        </is>
      </c>
      <c r="N140" t="inlineStr">
        <is>
          <t>K</t>
        </is>
      </c>
      <c r="O140" t="inlineStr">
        <is>
          <t>20231004</t>
        </is>
      </c>
      <c r="P140" t="inlineStr">
        <is>
          <t>Jawa Timur</t>
        </is>
      </c>
      <c r="Q140" t="inlineStr"/>
    </row>
    <row r="141">
      <c r="A141" t="inlineStr">
        <is>
          <t>SALIM BERSAUDARA</t>
        </is>
      </c>
      <c r="B141" t="inlineStr">
        <is>
          <t>Kab. Deli Serdang</t>
        </is>
      </c>
      <c r="C141" t="inlineStr">
        <is>
          <t>087886334868</t>
        </is>
      </c>
      <c r="D141" t="inlineStr">
        <is>
          <t>salimbersaudara04@gmail.com</t>
        </is>
      </c>
      <c r="E141" t="inlineStr">
        <is>
          <t>https://lpjk.pu.go.id/search-badan-usaha-detail/NGlEQ3B3eFNWYW5DTURzUnJiM2ZnQT09</t>
        </is>
      </c>
      <c r="F141" t="n">
        <v>2</v>
      </c>
      <c r="G141" t="inlineStr">
        <is>
          <t>BS001, BS004</t>
        </is>
      </c>
      <c r="H141" t="inlineStr">
        <is>
          <t>16 Februari 2022</t>
        </is>
      </c>
      <c r="I141" s="2" t="n">
        <v>46299</v>
      </c>
      <c r="J141" t="inlineStr">
        <is>
          <t>Disetujui</t>
        </is>
      </c>
      <c r="K141" t="n">
        <v>90</v>
      </c>
      <c r="L141" t="inlineStr">
        <is>
          <t>4 Oktober 2026</t>
        </is>
      </c>
      <c r="M141" t="inlineStr">
        <is>
          <t>Konstruksi Bangunan Sipil Jalan, Konstruksi Jaringan Irigasi dan Drainase</t>
        </is>
      </c>
      <c r="N141" t="inlineStr">
        <is>
          <t>K</t>
        </is>
      </c>
      <c r="O141" t="inlineStr">
        <is>
          <t>20230927, 20231004</t>
        </is>
      </c>
      <c r="P141" t="inlineStr">
        <is>
          <t>Sumatera Utara</t>
        </is>
      </c>
      <c r="Q141" t="inlineStr"/>
    </row>
    <row r="142">
      <c r="A142" t="inlineStr">
        <is>
          <t>SAMPOERNA PERKASA A2E</t>
        </is>
      </c>
      <c r="B142" t="inlineStr">
        <is>
          <t>Kab. Donggala</t>
        </is>
      </c>
      <c r="C142" t="inlineStr">
        <is>
          <t>085241441786</t>
        </is>
      </c>
      <c r="D142" t="inlineStr">
        <is>
          <t>sampoerna2e@gmail.com</t>
        </is>
      </c>
      <c r="E142" t="inlineStr">
        <is>
          <t>https://lpjk.pu.go.id/search-badan-usaha-detail/czRxK3E1QmtmQURZSFBiNGFYQnhmdz09</t>
        </is>
      </c>
      <c r="F142" t="n">
        <v>1</v>
      </c>
      <c r="G142" t="inlineStr">
        <is>
          <t>BS010</t>
        </is>
      </c>
      <c r="H142" t="inlineStr">
        <is>
          <t>4 Desember 2014</t>
        </is>
      </c>
      <c r="I142" s="2" t="n">
        <v>46299</v>
      </c>
      <c r="J142" t="inlineStr">
        <is>
          <t>Disetujui</t>
        </is>
      </c>
      <c r="K142" t="n">
        <v>90</v>
      </c>
      <c r="L142" t="inlineStr">
        <is>
          <t>4 Oktober 2026</t>
        </is>
      </c>
      <c r="M142" t="inlineStr">
        <is>
          <t>Konstruksi Bangunan Prasarana Sumber Daya Air</t>
        </is>
      </c>
      <c r="N142" t="inlineStr">
        <is>
          <t>K</t>
        </is>
      </c>
      <c r="O142" t="inlineStr">
        <is>
          <t>20231004</t>
        </is>
      </c>
      <c r="P142" t="inlineStr">
        <is>
          <t>Sulawesi Tengah</t>
        </is>
      </c>
      <c r="Q142" t="inlineStr"/>
    </row>
    <row r="143">
      <c r="A143" t="inlineStr">
        <is>
          <t>SANTOSA</t>
        </is>
      </c>
      <c r="B143" t="inlineStr">
        <is>
          <t>Kab. Buleleng</t>
        </is>
      </c>
      <c r="C143" t="inlineStr">
        <is>
          <t>082147322616</t>
        </is>
      </c>
      <c r="D143" t="inlineStr">
        <is>
          <t>santosasgr_cv@yahoo.co.id</t>
        </is>
      </c>
      <c r="E143" t="inlineStr">
        <is>
          <t>https://lpjk.pu.go.id/search-badan-usaha-detail/aGV3SnpoT1ZFRHJNV3AxYStVc1NQdz09</t>
        </is>
      </c>
      <c r="F143" t="n">
        <v>1</v>
      </c>
      <c r="G143" t="inlineStr">
        <is>
          <t>BG008</t>
        </is>
      </c>
      <c r="H143" t="inlineStr">
        <is>
          <t>9 April 1994</t>
        </is>
      </c>
      <c r="I143" s="2" t="n">
        <v>46299</v>
      </c>
      <c r="J143" t="inlineStr">
        <is>
          <t>Pencabutan</t>
        </is>
      </c>
      <c r="K143" t="n">
        <v>90</v>
      </c>
      <c r="L143" t="inlineStr">
        <is>
          <t>4 Oktober 2026</t>
        </is>
      </c>
      <c r="M143" t="inlineStr">
        <is>
          <t>Konstruksi Gedung Tempat Hiburan dan Olahraga</t>
        </is>
      </c>
      <c r="N143" t="inlineStr">
        <is>
          <t>K</t>
        </is>
      </c>
      <c r="O143" t="inlineStr">
        <is>
          <t>20231002</t>
        </is>
      </c>
      <c r="P143" t="inlineStr">
        <is>
          <t>Bali</t>
        </is>
      </c>
      <c r="Q143" t="inlineStr"/>
    </row>
    <row r="144">
      <c r="A144" t="inlineStr">
        <is>
          <t>SAPTA MANDIRI</t>
        </is>
      </c>
      <c r="B144" t="inlineStr">
        <is>
          <t>Kab. Berau</t>
        </is>
      </c>
      <c r="C144" t="inlineStr">
        <is>
          <t>082250421624</t>
        </is>
      </c>
      <c r="D144" t="inlineStr">
        <is>
          <t>saptamandiri.cv@gmail.com</t>
        </is>
      </c>
      <c r="E144" t="inlineStr">
        <is>
          <t>https://lpjk.pu.go.id/search-badan-usaha-detail/REt4bDlCYTZHQWxYZWhmQWNpSjhvdz09</t>
        </is>
      </c>
      <c r="F144" t="n">
        <v>1</v>
      </c>
      <c r="G144" t="inlineStr">
        <is>
          <t>BS001</t>
        </is>
      </c>
      <c r="H144" t="inlineStr">
        <is>
          <t>22 Februari 2016</t>
        </is>
      </c>
      <c r="I144" s="2" t="n">
        <v>46299</v>
      </c>
      <c r="J144" t="inlineStr">
        <is>
          <t>Disetujui</t>
        </is>
      </c>
      <c r="K144" t="n">
        <v>90</v>
      </c>
      <c r="L144" t="inlineStr">
        <is>
          <t>4 Oktober 2026</t>
        </is>
      </c>
      <c r="M144" t="inlineStr">
        <is>
          <t>Konstruksi Bangunan Sipil Jalan</t>
        </is>
      </c>
      <c r="N144" t="inlineStr">
        <is>
          <t>K</t>
        </is>
      </c>
      <c r="O144" t="inlineStr">
        <is>
          <t>20231003</t>
        </is>
      </c>
      <c r="P144" t="inlineStr">
        <is>
          <t>Kalimantan Timur</t>
        </is>
      </c>
      <c r="Q144" t="inlineStr"/>
    </row>
    <row r="145">
      <c r="A145" t="inlineStr">
        <is>
          <t>SARANA NUSATIMUR</t>
        </is>
      </c>
      <c r="B145" t="inlineStr">
        <is>
          <t>Kab. Biak Numfor</t>
        </is>
      </c>
      <c r="C145" t="inlineStr">
        <is>
          <t>0811487222</t>
        </is>
      </c>
      <c r="D145" t="inlineStr">
        <is>
          <t>martinsomba@gmail.com</t>
        </is>
      </c>
      <c r="E145" t="inlineStr">
        <is>
          <t>https://lpjk.pu.go.id/search-badan-usaha-detail/MkZSN25UMi9ua21LTkZ2YmVmREpXdz09</t>
        </is>
      </c>
      <c r="F145" t="n">
        <v>2</v>
      </c>
      <c r="G145" t="inlineStr">
        <is>
          <t>BG001, BS001</t>
        </is>
      </c>
      <c r="H145" t="inlineStr">
        <is>
          <t>9 Februari 2021</t>
        </is>
      </c>
      <c r="I145" s="2" t="n">
        <v>46299</v>
      </c>
      <c r="J145" t="inlineStr">
        <is>
          <t>Disetujui</t>
        </is>
      </c>
      <c r="K145" t="n">
        <v>90</v>
      </c>
      <c r="L145" t="inlineStr">
        <is>
          <t>4 Oktober 2026</t>
        </is>
      </c>
      <c r="M145" t="inlineStr">
        <is>
          <t>Konstruksi Bangunan Sipil Jalan, Konstruksi Gedung Hunian</t>
        </is>
      </c>
      <c r="N145" t="inlineStr">
        <is>
          <t>K</t>
        </is>
      </c>
      <c r="O145" t="inlineStr">
        <is>
          <t>20230910</t>
        </is>
      </c>
      <c r="P145" t="inlineStr">
        <is>
          <t>Papua</t>
        </is>
      </c>
      <c r="Q145" t="inlineStr"/>
    </row>
    <row r="146">
      <c r="A146" t="inlineStr">
        <is>
          <t>SARANA SEKAWAN SEJAHTERA</t>
        </is>
      </c>
      <c r="B146" t="inlineStr">
        <is>
          <t>Kab. Banyuwangi</t>
        </is>
      </c>
      <c r="C146" t="inlineStr">
        <is>
          <t>082257070414</t>
        </is>
      </c>
      <c r="D146" t="inlineStr">
        <is>
          <t>cvsaranasekawansejahtera@gmail.com</t>
        </is>
      </c>
      <c r="E146" t="inlineStr">
        <is>
          <t>https://lpjk.pu.go.id/search-badan-usaha-detail/amxpNXZDSXhQa09nWklyWkswMlhCZz09</t>
        </is>
      </c>
      <c r="F146" t="n">
        <v>1</v>
      </c>
      <c r="G146" t="inlineStr">
        <is>
          <t>BS006</t>
        </is>
      </c>
      <c r="H146" t="inlineStr">
        <is>
          <t>14 Maret 2023</t>
        </is>
      </c>
      <c r="I146" s="2" t="n">
        <v>46299</v>
      </c>
      <c r="J146" t="inlineStr">
        <is>
          <t>Disetujui</t>
        </is>
      </c>
      <c r="K146" t="n">
        <v>90</v>
      </c>
      <c r="L146" t="inlineStr">
        <is>
          <t>4 Oktober 2026</t>
        </is>
      </c>
      <c r="M146" t="inlineStr">
        <is>
          <t>Konstruksi Bangunan Sipil Prasarana dan Sarana Sistem Pengolahan Limbah Padat, Cair, dan Gas</t>
        </is>
      </c>
      <c r="N146" t="inlineStr">
        <is>
          <t>K</t>
        </is>
      </c>
      <c r="O146" t="inlineStr">
        <is>
          <t>20231003</t>
        </is>
      </c>
      <c r="P146" t="inlineStr">
        <is>
          <t>Jawa Timur</t>
        </is>
      </c>
      <c r="Q146" t="inlineStr"/>
    </row>
    <row r="147">
      <c r="A147" t="inlineStr">
        <is>
          <t>SAWARNA PRATAMA JAYA</t>
        </is>
      </c>
      <c r="B147" t="inlineStr">
        <is>
          <t>Kab. Garut</t>
        </is>
      </c>
      <c r="C147" t="inlineStr">
        <is>
          <t>081315056004</t>
        </is>
      </c>
      <c r="D147" t="inlineStr">
        <is>
          <t>sawarnapratamajaya@gmail.com</t>
        </is>
      </c>
      <c r="E147" t="inlineStr">
        <is>
          <t>https://lpjk.pu.go.id/search-badan-usaha-detail/by9hTCtvYS9IKzBjcmo3RWlHbXBKUT09</t>
        </is>
      </c>
      <c r="F147" t="n">
        <v>2</v>
      </c>
      <c r="G147" t="inlineStr">
        <is>
          <t>BG002, BG009</t>
        </is>
      </c>
      <c r="H147" t="inlineStr">
        <is>
          <t>1 April 2021</t>
        </is>
      </c>
      <c r="I147" s="2" t="n">
        <v>46299</v>
      </c>
      <c r="J147" t="inlineStr">
        <is>
          <t>Disetujui</t>
        </is>
      </c>
      <c r="K147" t="n">
        <v>90</v>
      </c>
      <c r="L147" t="inlineStr">
        <is>
          <t>4 Oktober 2026</t>
        </is>
      </c>
      <c r="M147" t="inlineStr">
        <is>
          <t>Konstruksi Gedung Lainnya, Konstruksi Gedung Perkantoran</t>
        </is>
      </c>
      <c r="N147" t="inlineStr">
        <is>
          <t>K</t>
        </is>
      </c>
      <c r="O147" t="inlineStr">
        <is>
          <t>20221101, 20231004</t>
        </is>
      </c>
      <c r="P147" t="inlineStr">
        <is>
          <t>Jawa Barat</t>
        </is>
      </c>
      <c r="Q147" t="inlineStr"/>
    </row>
    <row r="148">
      <c r="A148" t="inlineStr">
        <is>
          <t>SENTOSA MANDIRI</t>
        </is>
      </c>
      <c r="B148" t="inlineStr">
        <is>
          <t>Kab. Tojo Una Una</t>
        </is>
      </c>
      <c r="C148" t="inlineStr">
        <is>
          <t>082291545555</t>
        </is>
      </c>
      <c r="D148" t="inlineStr">
        <is>
          <t>cvsentosamandiri00@gmail.com</t>
        </is>
      </c>
      <c r="E148" t="inlineStr">
        <is>
          <t>https://lpjk.pu.go.id/search-badan-usaha-detail/eXJIeGFUaGU1QjhDVy9KZGdTN2o4UT09</t>
        </is>
      </c>
      <c r="F148" t="n">
        <v>1</v>
      </c>
      <c r="G148" t="inlineStr">
        <is>
          <t>BS001</t>
        </is>
      </c>
      <c r="H148" t="inlineStr">
        <is>
          <t>12 Maret 2018</t>
        </is>
      </c>
      <c r="I148" s="2" t="n">
        <v>46299</v>
      </c>
      <c r="J148" t="inlineStr">
        <is>
          <t>Disetujui</t>
        </is>
      </c>
      <c r="K148" t="n">
        <v>90</v>
      </c>
      <c r="L148" t="inlineStr">
        <is>
          <t>4 Oktober 2026</t>
        </is>
      </c>
      <c r="M148" t="inlineStr">
        <is>
          <t>Konstruksi Bangunan Sipil Jalan</t>
        </is>
      </c>
      <c r="N148" t="inlineStr">
        <is>
          <t>K</t>
        </is>
      </c>
      <c r="O148" t="inlineStr">
        <is>
          <t>20231003</t>
        </is>
      </c>
      <c r="P148" t="inlineStr">
        <is>
          <t>Sulawesi Tengah</t>
        </is>
      </c>
      <c r="Q148" t="inlineStr"/>
    </row>
    <row r="149">
      <c r="A149" t="inlineStr">
        <is>
          <t>SENTOSA SUKSES SEJAHTERA</t>
        </is>
      </c>
      <c r="B149" t="inlineStr">
        <is>
          <t>Kota Sorong</t>
        </is>
      </c>
      <c r="C149" t="inlineStr">
        <is>
          <t>0812-4090-3440</t>
        </is>
      </c>
      <c r="D149" t="inlineStr">
        <is>
          <t>cvsentosasuksessejahtera@gmail.com</t>
        </is>
      </c>
      <c r="E149" t="inlineStr">
        <is>
          <t>https://lpjk.pu.go.id/search-badan-usaha-detail/b2FFVXJUYTM5aGFmZDRwZ0NLOU5Zdz09</t>
        </is>
      </c>
      <c r="F149" t="n">
        <v>1</v>
      </c>
      <c r="G149" t="inlineStr">
        <is>
          <t>BS010</t>
        </is>
      </c>
      <c r="H149" t="inlineStr">
        <is>
          <t>21 September 2023</t>
        </is>
      </c>
      <c r="I149" s="2" t="n">
        <v>46299</v>
      </c>
      <c r="J149" t="inlineStr">
        <is>
          <t>Disetujui</t>
        </is>
      </c>
      <c r="K149" t="n">
        <v>90</v>
      </c>
      <c r="L149" t="inlineStr">
        <is>
          <t>4 Oktober 2026</t>
        </is>
      </c>
      <c r="M149" t="inlineStr">
        <is>
          <t>Konstruksi Bangunan Prasarana Sumber Daya Air</t>
        </is>
      </c>
      <c r="N149" t="inlineStr">
        <is>
          <t>K</t>
        </is>
      </c>
      <c r="O149" t="inlineStr">
        <is>
          <t>20231005</t>
        </is>
      </c>
      <c r="P149" t="inlineStr">
        <is>
          <t>Papua Barat</t>
        </is>
      </c>
      <c r="Q149" t="inlineStr"/>
    </row>
    <row r="150">
      <c r="A150" t="inlineStr">
        <is>
          <t>SENTRAL MULTIKON INDI</t>
        </is>
      </c>
      <c r="B150" t="inlineStr">
        <is>
          <t>Kota Ternate</t>
        </is>
      </c>
      <c r="C150" t="inlineStr">
        <is>
          <t>09216202870</t>
        </is>
      </c>
      <c r="D150" t="inlineStr">
        <is>
          <t>pt.sentralmultikonindi@yahoo.com</t>
        </is>
      </c>
      <c r="E150" t="inlineStr">
        <is>
          <t>https://lpjk.pu.go.id/search-badan-usaha-detail/cU5pakVnTm5CRS9scllKY2NtYysyQT09</t>
        </is>
      </c>
      <c r="F150" t="n">
        <v>2</v>
      </c>
      <c r="G150" t="inlineStr">
        <is>
          <t>BS002</t>
        </is>
      </c>
      <c r="H150" t="inlineStr">
        <is>
          <t>9 Januari 2013</t>
        </is>
      </c>
      <c r="I150" s="2" t="n">
        <v>46299</v>
      </c>
      <c r="J150" t="inlineStr">
        <is>
          <t>Disetujui</t>
        </is>
      </c>
      <c r="K150" t="n">
        <v>90</v>
      </c>
      <c r="L150" t="inlineStr">
        <is>
          <t>4 Oktober 2026</t>
        </is>
      </c>
      <c r="M150" t="inlineStr">
        <is>
          <t>Bangunan Sipil Jembatan, Jalan Layang, Fly Over, dan Underpass</t>
        </is>
      </c>
      <c r="N150" t="inlineStr">
        <is>
          <t>M</t>
        </is>
      </c>
      <c r="O150" t="inlineStr">
        <is>
          <t>20230829</t>
        </is>
      </c>
      <c r="P150" t="inlineStr">
        <is>
          <t>Maluku Utara</t>
        </is>
      </c>
      <c r="Q150" t="inlineStr"/>
    </row>
    <row r="151">
      <c r="A151" t="inlineStr">
        <is>
          <t>SERIBU SATU BANGUNAN</t>
        </is>
      </c>
      <c r="B151" t="inlineStr">
        <is>
          <t>Kota Samarinda</t>
        </is>
      </c>
      <c r="C151" t="inlineStr">
        <is>
          <t>08115801887</t>
        </is>
      </c>
      <c r="D151" t="inlineStr">
        <is>
          <t>cvseribusatubangunan@gmail.com</t>
        </is>
      </c>
      <c r="E151" t="inlineStr">
        <is>
          <t>https://lpjk.pu.go.id/search-badan-usaha-detail/ZVFhZ3Y1OW9raldkdm9EZW1GYW9sZz09</t>
        </is>
      </c>
      <c r="F151" t="n">
        <v>1</v>
      </c>
      <c r="G151" t="inlineStr">
        <is>
          <t>KK001</t>
        </is>
      </c>
      <c r="H151" t="inlineStr">
        <is>
          <t>6 September 2022</t>
        </is>
      </c>
      <c r="I151" s="2" t="n">
        <v>46299</v>
      </c>
      <c r="J151" t="inlineStr">
        <is>
          <t>Pembekuan</t>
        </is>
      </c>
      <c r="K151" t="n">
        <v>90</v>
      </c>
      <c r="L151" t="inlineStr">
        <is>
          <t>4 Oktober 2026</t>
        </is>
      </c>
      <c r="M151" t="inlineStr">
        <is>
          <t>Pondasi Konstruksi</t>
        </is>
      </c>
      <c r="N151" t="inlineStr">
        <is>
          <t>Spesialis</t>
        </is>
      </c>
      <c r="O151" t="inlineStr">
        <is>
          <t>20231004</t>
        </is>
      </c>
      <c r="P151" t="inlineStr">
        <is>
          <t>Kalimantan Timur</t>
        </is>
      </c>
      <c r="Q151" t="inlineStr"/>
    </row>
    <row r="152">
      <c r="A152" t="inlineStr">
        <is>
          <t>SINAR JAYA ABADI ACC</t>
        </is>
      </c>
      <c r="B152" t="inlineStr">
        <is>
          <t>Kota Makassar</t>
        </is>
      </c>
      <c r="C152" t="inlineStr">
        <is>
          <t>082189053500</t>
        </is>
      </c>
      <c r="D152" t="inlineStr">
        <is>
          <t>sjaaccpt@gmail.com</t>
        </is>
      </c>
      <c r="E152" t="inlineStr">
        <is>
          <t>https://lpjk.pu.go.id/search-badan-usaha-detail/VWJPNldrdFhsWjhsSmd3aVp2L2x1UT09</t>
        </is>
      </c>
      <c r="F152" t="n">
        <v>1</v>
      </c>
      <c r="G152" t="inlineStr">
        <is>
          <t>BG009</t>
        </is>
      </c>
      <c r="H152" t="inlineStr">
        <is>
          <t>23 Maret 2007</t>
        </is>
      </c>
      <c r="I152" s="2" t="n">
        <v>46299</v>
      </c>
      <c r="J152" t="inlineStr">
        <is>
          <t>Pencabutan</t>
        </is>
      </c>
      <c r="K152" t="n">
        <v>90</v>
      </c>
      <c r="L152" t="inlineStr">
        <is>
          <t>4 Oktober 2026</t>
        </is>
      </c>
      <c r="M152" t="inlineStr">
        <is>
          <t>Konstruksi Gedung Lainnya</t>
        </is>
      </c>
      <c r="N152" t="inlineStr">
        <is>
          <t>M</t>
        </is>
      </c>
      <c r="O152" t="inlineStr">
        <is>
          <t>20231004</t>
        </is>
      </c>
      <c r="P152" t="inlineStr">
        <is>
          <t>Sulawesi Selatan</t>
        </is>
      </c>
      <c r="Q152" t="inlineStr"/>
    </row>
    <row r="153">
      <c r="A153" t="inlineStr">
        <is>
          <t>SINAR LAWU</t>
        </is>
      </c>
      <c r="B153" t="inlineStr">
        <is>
          <t>Kab. Ngawi</t>
        </is>
      </c>
      <c r="C153" t="inlineStr">
        <is>
          <t>81335681849</t>
        </is>
      </c>
      <c r="D153" t="inlineStr">
        <is>
          <t>sinar.lawu@gmail.com</t>
        </is>
      </c>
      <c r="E153" t="inlineStr">
        <is>
          <t>https://lpjk.pu.go.id/search-badan-usaha-detail/cGljbHM2VWdocGlMR2hpV1pxanRDZz09</t>
        </is>
      </c>
      <c r="F153" t="n">
        <v>1</v>
      </c>
      <c r="G153" t="inlineStr">
        <is>
          <t>BG006</t>
        </is>
      </c>
      <c r="H153" t="inlineStr">
        <is>
          <t>2 November 1994</t>
        </is>
      </c>
      <c r="I153" s="2" t="n">
        <v>46299</v>
      </c>
      <c r="J153" t="inlineStr">
        <is>
          <t>Disetujui</t>
        </is>
      </c>
      <c r="K153" t="n">
        <v>90</v>
      </c>
      <c r="L153" t="inlineStr">
        <is>
          <t>4 Oktober 2026</t>
        </is>
      </c>
      <c r="M153" t="inlineStr">
        <is>
          <t>Konstruksi Gedung Pendidikan</t>
        </is>
      </c>
      <c r="N153" t="inlineStr">
        <is>
          <t>K</t>
        </is>
      </c>
      <c r="O153" t="inlineStr">
        <is>
          <t>20230927</t>
        </is>
      </c>
      <c r="P153" t="inlineStr">
        <is>
          <t>Jawa Timur</t>
        </is>
      </c>
      <c r="Q153" t="inlineStr"/>
    </row>
    <row r="154">
      <c r="A154" t="inlineStr">
        <is>
          <t>SINAR TIMU</t>
        </is>
      </c>
      <c r="B154" t="inlineStr">
        <is>
          <t>Kota Kendari</t>
        </is>
      </c>
      <c r="C154" t="inlineStr">
        <is>
          <t>085215207884</t>
        </is>
      </c>
      <c r="D154" t="inlineStr">
        <is>
          <t>cvtimusinar@gmail.com</t>
        </is>
      </c>
      <c r="E154" t="inlineStr">
        <is>
          <t>https://lpjk.pu.go.id/search-badan-usaha-detail/bGppUkh5S1ROMjJiYXgwSWt1cXNvZz09</t>
        </is>
      </c>
      <c r="F154" t="n">
        <v>1</v>
      </c>
      <c r="G154" t="inlineStr">
        <is>
          <t>BS001</t>
        </is>
      </c>
      <c r="H154" t="inlineStr">
        <is>
          <t>4 Desember 2003</t>
        </is>
      </c>
      <c r="I154" s="2" t="n">
        <v>46299</v>
      </c>
      <c r="J154" t="inlineStr">
        <is>
          <t>Disetujui</t>
        </is>
      </c>
      <c r="K154" t="n">
        <v>90</v>
      </c>
      <c r="L154" t="inlineStr">
        <is>
          <t>4 Oktober 2026</t>
        </is>
      </c>
      <c r="M154" t="inlineStr">
        <is>
          <t>Konstruksi Bangunan Sipil Jalan</t>
        </is>
      </c>
      <c r="N154" t="inlineStr">
        <is>
          <t>K</t>
        </is>
      </c>
      <c r="O154" t="inlineStr">
        <is>
          <t>20230927</t>
        </is>
      </c>
      <c r="P154" t="inlineStr">
        <is>
          <t>Sulawesi Tenggara</t>
        </is>
      </c>
      <c r="Q154" t="inlineStr"/>
    </row>
    <row r="155">
      <c r="A155" t="inlineStr">
        <is>
          <t>SONI ELKA BERSAUDARA</t>
        </is>
      </c>
      <c r="B155" t="inlineStr">
        <is>
          <t>Kota Kendari</t>
        </is>
      </c>
      <c r="C155" t="inlineStr">
        <is>
          <t>085256462929</t>
        </is>
      </c>
      <c r="D155" t="inlineStr">
        <is>
          <t>sonielkabersaudara@gmail.com</t>
        </is>
      </c>
      <c r="E155" t="inlineStr">
        <is>
          <t>https://lpjk.pu.go.id/search-badan-usaha-detail/RWgxSTJkaVBseFkyQ2IyQzAzeFQ2QT09</t>
        </is>
      </c>
      <c r="F155" t="n">
        <v>1</v>
      </c>
      <c r="G155" t="inlineStr">
        <is>
          <t>BG005</t>
        </is>
      </c>
      <c r="H155" t="inlineStr">
        <is>
          <t>7 September 2023</t>
        </is>
      </c>
      <c r="I155" s="2" t="n">
        <v>46299</v>
      </c>
      <c r="J155" t="inlineStr">
        <is>
          <t>Disetujui</t>
        </is>
      </c>
      <c r="K155" t="n">
        <v>90</v>
      </c>
      <c r="L155" t="inlineStr">
        <is>
          <t>4 Oktober 2026</t>
        </is>
      </c>
      <c r="M155" t="inlineStr">
        <is>
          <t>Konstruksi Gedung Kesehatan</t>
        </is>
      </c>
      <c r="N155" t="inlineStr">
        <is>
          <t>K</t>
        </is>
      </c>
      <c r="O155" t="inlineStr">
        <is>
          <t>20230929</t>
        </is>
      </c>
      <c r="P155" t="inlineStr">
        <is>
          <t>Sulawesi Tenggara</t>
        </is>
      </c>
      <c r="Q155" t="inlineStr"/>
    </row>
    <row r="156">
      <c r="A156" t="inlineStr">
        <is>
          <t>SRIWIJAYA KONTRINDO PERKASA</t>
        </is>
      </c>
      <c r="B156" t="inlineStr">
        <is>
          <t>Kab. Karawang</t>
        </is>
      </c>
      <c r="C156" t="inlineStr">
        <is>
          <t>081213612974</t>
        </is>
      </c>
      <c r="D156" t="inlineStr">
        <is>
          <t>info@sriwijayaperkasa.co.id</t>
        </is>
      </c>
      <c r="E156" t="inlineStr">
        <is>
          <t>https://lpjk.pu.go.id/search-badan-usaha-detail/ZlVhb2dhSGg4ZHJzbi9NbW1kSEJ1QT09</t>
        </is>
      </c>
      <c r="F156" t="n">
        <v>2</v>
      </c>
      <c r="G156" t="inlineStr">
        <is>
          <t>BG003, BG009</t>
        </is>
      </c>
      <c r="H156" t="inlineStr">
        <is>
          <t>22 April 2014</t>
        </is>
      </c>
      <c r="I156" s="2" t="n">
        <v>46299</v>
      </c>
      <c r="J156" t="inlineStr">
        <is>
          <t>Pencabutan</t>
        </is>
      </c>
      <c r="K156" t="n">
        <v>90</v>
      </c>
      <c r="L156" t="inlineStr">
        <is>
          <t>4 Oktober 2026</t>
        </is>
      </c>
      <c r="M156" t="inlineStr">
        <is>
          <t>Konstruksi Gedung Industri, Konstruksi Gedung Lainnya</t>
        </is>
      </c>
      <c r="N156" t="inlineStr">
        <is>
          <t>K</t>
        </is>
      </c>
      <c r="O156" t="inlineStr">
        <is>
          <t>20231004, 20231005</t>
        </is>
      </c>
      <c r="P156" t="inlineStr">
        <is>
          <t>Jawa Barat</t>
        </is>
      </c>
      <c r="Q156" t="inlineStr"/>
    </row>
    <row r="157">
      <c r="A157" t="inlineStr">
        <is>
          <t>SULBU ALMA KAHURIPAN KAMULYAN</t>
        </is>
      </c>
      <c r="B157" t="inlineStr">
        <is>
          <t>Kab. Bandung</t>
        </is>
      </c>
      <c r="C157" t="inlineStr">
        <is>
          <t>08111343780</t>
        </is>
      </c>
      <c r="D157" t="inlineStr">
        <is>
          <t>pt.sakk.bdg@gmail.com</t>
        </is>
      </c>
      <c r="E157" t="inlineStr">
        <is>
          <t>https://lpjk.pu.go.id/search-badan-usaha-detail/TitMSkx6T2w1OVhFRU9lYlNvcWx1Zz09</t>
        </is>
      </c>
      <c r="F157" t="n">
        <v>1</v>
      </c>
      <c r="G157" t="inlineStr">
        <is>
          <t>BG008</t>
        </is>
      </c>
      <c r="H157" t="inlineStr">
        <is>
          <t>2 Juni 2020</t>
        </is>
      </c>
      <c r="I157" s="2" t="n">
        <v>46299</v>
      </c>
      <c r="J157" t="inlineStr">
        <is>
          <t>Disetujui</t>
        </is>
      </c>
      <c r="K157" t="n">
        <v>90</v>
      </c>
      <c r="L157" t="inlineStr">
        <is>
          <t>4 Oktober 2026</t>
        </is>
      </c>
      <c r="M157" t="inlineStr">
        <is>
          <t>Konstruksi Gedung Tempat Hiburan dan Olahraga</t>
        </is>
      </c>
      <c r="N157" t="inlineStr">
        <is>
          <t>K</t>
        </is>
      </c>
      <c r="O157" t="inlineStr">
        <is>
          <t>20230927</t>
        </is>
      </c>
      <c r="P157" t="inlineStr">
        <is>
          <t>Jawa Barat</t>
        </is>
      </c>
      <c r="Q157" t="inlineStr"/>
    </row>
    <row r="158">
      <c r="A158" t="inlineStr">
        <is>
          <t>SUMBER ARTHA JAYA</t>
        </is>
      </c>
      <c r="B158" t="inlineStr">
        <is>
          <t>Kab. Banjarnegara</t>
        </is>
      </c>
      <c r="C158" t="inlineStr">
        <is>
          <t>081326344103</t>
        </is>
      </c>
      <c r="D158" t="inlineStr">
        <is>
          <t>susiretnoningsih77@gmail.com</t>
        </is>
      </c>
      <c r="E158" t="inlineStr">
        <is>
          <t>https://lpjk.pu.go.id/search-badan-usaha-detail/emYzUktzNCtlRkh5RklQRkVpeUplZz09</t>
        </is>
      </c>
      <c r="F158" t="n">
        <v>4</v>
      </c>
      <c r="G158" t="inlineStr">
        <is>
          <t>BG001, BG004, BG008, BG009</t>
        </is>
      </c>
      <c r="H158" t="inlineStr">
        <is>
          <t>24 Oktober 2013</t>
        </is>
      </c>
      <c r="I158" s="2" t="n">
        <v>46299</v>
      </c>
      <c r="J158" t="inlineStr">
        <is>
          <t>Disetujui</t>
        </is>
      </c>
      <c r="K158" t="n">
        <v>90</v>
      </c>
      <c r="L158" t="inlineStr">
        <is>
          <t>4 Oktober 2026</t>
        </is>
      </c>
      <c r="M158" t="inlineStr">
        <is>
          <t>Konstruksi Gedung Hunian, Konstruksi Gedung Lainnya, Konstruksi Gedung Perbelanjaan, Konstruksi Gedung Tempat Hiburan dan Olahraga</t>
        </is>
      </c>
      <c r="N158" t="inlineStr">
        <is>
          <t>K</t>
        </is>
      </c>
      <c r="O158" t="inlineStr">
        <is>
          <t>20231004</t>
        </is>
      </c>
      <c r="P158" t="inlineStr">
        <is>
          <t>Jawa Tengah</t>
        </is>
      </c>
      <c r="Q158" t="inlineStr"/>
    </row>
    <row r="159">
      <c r="A159" t="inlineStr">
        <is>
          <t>SUMBER ENERGI SURYA NUSANTARA</t>
        </is>
      </c>
      <c r="B159" t="inlineStr">
        <is>
          <t>Kota Adm. Jakarta Selatan</t>
        </is>
      </c>
      <c r="C159" t="inlineStr">
        <is>
          <t>0215761258</t>
        </is>
      </c>
      <c r="D159" t="inlineStr">
        <is>
          <t>info@s-energy.id</t>
        </is>
      </c>
      <c r="E159" t="inlineStr">
        <is>
          <t>https://lpjk.pu.go.id/search-badan-usaha-detail/YVo1UzY0VDdubER3UUorZDYzQTVEZz09</t>
        </is>
      </c>
      <c r="F159" t="n">
        <v>1</v>
      </c>
      <c r="G159" t="inlineStr">
        <is>
          <t>BS017</t>
        </is>
      </c>
      <c r="H159" t="inlineStr">
        <is>
          <t>10 Januari 2013</t>
        </is>
      </c>
      <c r="I159" s="2" t="n">
        <v>46299</v>
      </c>
      <c r="J159" t="inlineStr">
        <is>
          <t>Disetujui</t>
        </is>
      </c>
      <c r="K159" t="n">
        <v>90</v>
      </c>
      <c r="L159" t="inlineStr">
        <is>
          <t>4 Oktober 2026</t>
        </is>
      </c>
      <c r="M159" t="inlineStr">
        <is>
          <t>Konstruksi Bangunan Sipil Lainnya Ytdl</t>
        </is>
      </c>
      <c r="N159" t="inlineStr">
        <is>
          <t>M</t>
        </is>
      </c>
      <c r="O159" t="inlineStr">
        <is>
          <t>20230927</t>
        </is>
      </c>
      <c r="P159" t="inlineStr">
        <is>
          <t>DKI Jakarta</t>
        </is>
      </c>
      <c r="Q159" t="inlineStr"/>
    </row>
    <row r="160">
      <c r="A160" t="inlineStr">
        <is>
          <t>SUMBER HARAPAN</t>
        </is>
      </c>
      <c r="B160" t="inlineStr">
        <is>
          <t>Kota Ambon</t>
        </is>
      </c>
      <c r="C160" t="inlineStr">
        <is>
          <t>082199124449</t>
        </is>
      </c>
      <c r="D160" t="inlineStr">
        <is>
          <t>sumberharapan414@gmail.com</t>
        </is>
      </c>
      <c r="E160" t="inlineStr">
        <is>
          <t>https://lpjk.pu.go.id/search-badan-usaha-detail/MGMxWWVTL3p4SEYzbzN0dUgvTDVuUT09</t>
        </is>
      </c>
      <c r="F160" t="n">
        <v>1</v>
      </c>
      <c r="G160" t="inlineStr">
        <is>
          <t>BG008</t>
        </is>
      </c>
      <c r="H160" t="inlineStr">
        <is>
          <t>13 Oktober 2015</t>
        </is>
      </c>
      <c r="I160" s="2" t="n">
        <v>46299</v>
      </c>
      <c r="J160" t="inlineStr">
        <is>
          <t>Disetujui</t>
        </is>
      </c>
      <c r="K160" t="n">
        <v>90</v>
      </c>
      <c r="L160" t="inlineStr">
        <is>
          <t>4 Oktober 2026</t>
        </is>
      </c>
      <c r="M160" t="inlineStr">
        <is>
          <t>Konstruksi Gedung Tempat Hiburan dan Olahraga</t>
        </is>
      </c>
      <c r="N160" t="inlineStr">
        <is>
          <t>K</t>
        </is>
      </c>
      <c r="O160" t="inlineStr">
        <is>
          <t>20231004</t>
        </is>
      </c>
      <c r="P160" t="inlineStr">
        <is>
          <t>Maluku</t>
        </is>
      </c>
      <c r="Q160" t="inlineStr"/>
    </row>
    <row r="161">
      <c r="A161" t="inlineStr">
        <is>
          <t>SUMBERMAS SENTOSA</t>
        </is>
      </c>
      <c r="B161" t="inlineStr">
        <is>
          <t>Kota Adm. Jakarta Barat</t>
        </is>
      </c>
      <c r="C161" t="inlineStr">
        <is>
          <t>02122543455</t>
        </is>
      </c>
      <c r="D161" t="inlineStr">
        <is>
          <t>pt.sumbermas_sentosa@yahoo.com</t>
        </is>
      </c>
      <c r="E161" t="inlineStr">
        <is>
          <t>https://lpjk.pu.go.id/search-badan-usaha-detail/cW9rNG85K2lmeXQ1QllrNUpLVW5idz09</t>
        </is>
      </c>
      <c r="F161" t="n">
        <v>4</v>
      </c>
      <c r="G161" t="inlineStr">
        <is>
          <t>BG009, BS004</t>
        </is>
      </c>
      <c r="H161" t="inlineStr">
        <is>
          <t>4 Mei 2011</t>
        </is>
      </c>
      <c r="I161" s="2" t="n">
        <v>46299</v>
      </c>
      <c r="J161" t="inlineStr">
        <is>
          <t>Disetujui</t>
        </is>
      </c>
      <c r="K161" t="n">
        <v>90</v>
      </c>
      <c r="L161" t="inlineStr">
        <is>
          <t>4 Oktober 2026</t>
        </is>
      </c>
      <c r="M161" t="inlineStr">
        <is>
          <t>Konstruksi Gedung Lainnya, Konstruksi Jaringan Irigasi dan Drainase</t>
        </is>
      </c>
      <c r="N161" t="inlineStr">
        <is>
          <t>K</t>
        </is>
      </c>
      <c r="O161" t="inlineStr">
        <is>
          <t>20231002, 20231003</t>
        </is>
      </c>
      <c r="P161" t="inlineStr">
        <is>
          <t>DKI Jakarta</t>
        </is>
      </c>
      <c r="Q161" t="inlineStr"/>
    </row>
    <row r="162">
      <c r="A162" t="inlineStr">
        <is>
          <t>SYAFIRA INDIRA</t>
        </is>
      </c>
      <c r="B162" t="inlineStr">
        <is>
          <t>Kota Bandung</t>
        </is>
      </c>
      <c r="C162" t="inlineStr">
        <is>
          <t>082120111775</t>
        </is>
      </c>
      <c r="D162" t="inlineStr">
        <is>
          <t>syafiraindira@gmail.com</t>
        </is>
      </c>
      <c r="E162" t="inlineStr">
        <is>
          <t>https://lpjk.pu.go.id/search-badan-usaha-detail/cVR1MTl4Q2hucXBJTnlwSTY1cnJSZz09</t>
        </is>
      </c>
      <c r="F162" t="n">
        <v>1</v>
      </c>
      <c r="G162" t="inlineStr">
        <is>
          <t>BG009</t>
        </is>
      </c>
      <c r="H162" t="inlineStr">
        <is>
          <t>5 Maret 2008</t>
        </is>
      </c>
      <c r="I162" s="2" t="n">
        <v>46299</v>
      </c>
      <c r="J162" t="inlineStr">
        <is>
          <t>Disetujui</t>
        </is>
      </c>
      <c r="K162" t="n">
        <v>90</v>
      </c>
      <c r="L162" t="inlineStr">
        <is>
          <t>4 Oktober 2026</t>
        </is>
      </c>
      <c r="M162" t="inlineStr">
        <is>
          <t>Konstruksi Gedung Lainnya</t>
        </is>
      </c>
      <c r="N162" t="inlineStr">
        <is>
          <t>K</t>
        </is>
      </c>
      <c r="O162" t="inlineStr">
        <is>
          <t>20230822</t>
        </is>
      </c>
      <c r="P162" t="inlineStr">
        <is>
          <t>Jawa Barat</t>
        </is>
      </c>
      <c r="Q162" t="inlineStr"/>
    </row>
    <row r="163">
      <c r="A163" t="inlineStr">
        <is>
          <t>TABINA JAYA MANDIRI</t>
        </is>
      </c>
      <c r="B163" t="inlineStr">
        <is>
          <t>Kota Banda Aceh</t>
        </is>
      </c>
      <c r="C163" t="inlineStr">
        <is>
          <t>082363848767</t>
        </is>
      </c>
      <c r="D163" t="inlineStr">
        <is>
          <t>tabinajayamandiri@gmail.com</t>
        </is>
      </c>
      <c r="E163" t="inlineStr">
        <is>
          <t>https://lpjk.pu.go.id/search-badan-usaha-detail/SEdRamlTeHdkRmJNenM2eTNPeEo5QT09</t>
        </is>
      </c>
      <c r="F163" t="n">
        <v>1</v>
      </c>
      <c r="G163" t="inlineStr">
        <is>
          <t>PL004</t>
        </is>
      </c>
      <c r="H163" t="inlineStr">
        <is>
          <t>7 September 2023</t>
        </is>
      </c>
      <c r="I163" s="2" t="n">
        <v>46299</v>
      </c>
      <c r="J163" t="inlineStr">
        <is>
          <t>Disetujui</t>
        </is>
      </c>
      <c r="K163" t="n">
        <v>90</v>
      </c>
      <c r="L163" t="inlineStr">
        <is>
          <t>4 Oktober 2026</t>
        </is>
      </c>
      <c r="M163" t="inlineStr">
        <is>
          <t>Pekerjaan Tanah</t>
        </is>
      </c>
      <c r="N163" t="inlineStr">
        <is>
          <t>Spesialis</t>
        </is>
      </c>
      <c r="O163" t="inlineStr">
        <is>
          <t>20230929</t>
        </is>
      </c>
      <c r="P163" t="inlineStr">
        <is>
          <t>Aceh</t>
        </is>
      </c>
      <c r="Q163" t="inlineStr"/>
    </row>
    <row r="164">
      <c r="A164" t="inlineStr">
        <is>
          <t>TANGGA ERA BATU</t>
        </is>
      </c>
      <c r="B164" t="inlineStr">
        <is>
          <t>Kota Adm. Jakarta Selatan</t>
        </is>
      </c>
      <c r="C164" t="inlineStr">
        <is>
          <t>02183708494</t>
        </is>
      </c>
      <c r="D164" t="inlineStr">
        <is>
          <t>tangga_era@yahoo.co.id</t>
        </is>
      </c>
      <c r="E164" t="inlineStr">
        <is>
          <t>https://lpjk.pu.go.id/search-badan-usaha-detail/MzVMNWpwVjVTUnNsM1BUbi8vOHI5Zz09</t>
        </is>
      </c>
      <c r="F164" t="n">
        <v>1</v>
      </c>
      <c r="G164" t="inlineStr">
        <is>
          <t>BG009</t>
        </is>
      </c>
      <c r="H164" t="inlineStr">
        <is>
          <t>17 November 1987</t>
        </is>
      </c>
      <c r="I164" s="2" t="n">
        <v>46299</v>
      </c>
      <c r="J164" t="inlineStr">
        <is>
          <t>Pencabutan</t>
        </is>
      </c>
      <c r="K164" t="n">
        <v>90</v>
      </c>
      <c r="L164" t="inlineStr">
        <is>
          <t>4 Oktober 2026</t>
        </is>
      </c>
      <c r="M164" t="inlineStr">
        <is>
          <t>Konstruksi Gedung Lainnya</t>
        </is>
      </c>
      <c r="N164" t="inlineStr">
        <is>
          <t>M</t>
        </is>
      </c>
      <c r="O164" t="inlineStr">
        <is>
          <t>20231002</t>
        </is>
      </c>
      <c r="P164" t="inlineStr">
        <is>
          <t>DKI Jakarta</t>
        </is>
      </c>
      <c r="Q164" t="inlineStr"/>
    </row>
    <row r="165">
      <c r="A165" t="inlineStr">
        <is>
          <t>TANI HARAPAN</t>
        </is>
      </c>
      <c r="B165" t="inlineStr">
        <is>
          <t>Kab. Langkat</t>
        </is>
      </c>
      <c r="C165" t="inlineStr">
        <is>
          <t>081263097766</t>
        </is>
      </c>
      <c r="D165" t="inlineStr">
        <is>
          <t>cv.taniharapan@yahoo.com</t>
        </is>
      </c>
      <c r="E165" t="inlineStr">
        <is>
          <t>https://lpjk.pu.go.id/search-badan-usaha-detail/N05TaDNxSjF2UFkxWC9RcEpQa2x6dz09</t>
        </is>
      </c>
      <c r="F165" t="n">
        <v>1</v>
      </c>
      <c r="G165" t="inlineStr">
        <is>
          <t>BS001</t>
        </is>
      </c>
      <c r="H165" t="inlineStr">
        <is>
          <t>27 Juni 2007</t>
        </is>
      </c>
      <c r="I165" s="2" t="n">
        <v>46299</v>
      </c>
      <c r="J165" t="inlineStr">
        <is>
          <t>Disetujui</t>
        </is>
      </c>
      <c r="K165" t="n">
        <v>90</v>
      </c>
      <c r="L165" t="inlineStr">
        <is>
          <t>4 Oktober 2026</t>
        </is>
      </c>
      <c r="M165" t="inlineStr">
        <is>
          <t>Konstruksi Bangunan Sipil Jalan</t>
        </is>
      </c>
      <c r="N165" t="inlineStr">
        <is>
          <t>K</t>
        </is>
      </c>
      <c r="O165" t="inlineStr">
        <is>
          <t>20230624</t>
        </is>
      </c>
      <c r="P165" t="inlineStr">
        <is>
          <t>Sumatera Utara</t>
        </is>
      </c>
      <c r="Q165" t="inlineStr"/>
    </row>
    <row r="166">
      <c r="A166" t="inlineStr">
        <is>
          <t>TIGA BERLIAN</t>
        </is>
      </c>
      <c r="B166" t="inlineStr">
        <is>
          <t>Kab. Blitar</t>
        </is>
      </c>
      <c r="C166" t="inlineStr">
        <is>
          <t>081334180515</t>
        </is>
      </c>
      <c r="D166" t="inlineStr">
        <is>
          <t>tigaberlian_cv@yahoo.co.id</t>
        </is>
      </c>
      <c r="E166" t="inlineStr">
        <is>
          <t>https://lpjk.pu.go.id/search-badan-usaha-detail/MHlDT0ZqREZreUxIYUp4bjlPbTZrdz09</t>
        </is>
      </c>
      <c r="F166" t="n">
        <v>1</v>
      </c>
      <c r="G166" t="inlineStr">
        <is>
          <t>BS001</t>
        </is>
      </c>
      <c r="H166" t="inlineStr">
        <is>
          <t>26 Agustus 2005</t>
        </is>
      </c>
      <c r="I166" s="2" t="n">
        <v>46299</v>
      </c>
      <c r="J166" t="inlineStr">
        <is>
          <t>Disetujui</t>
        </is>
      </c>
      <c r="K166" t="n">
        <v>90</v>
      </c>
      <c r="L166" t="inlineStr">
        <is>
          <t>4 Oktober 2026</t>
        </is>
      </c>
      <c r="M166" t="inlineStr">
        <is>
          <t>Konstruksi Bangunan Sipil Jalan</t>
        </is>
      </c>
      <c r="N166" t="inlineStr">
        <is>
          <t>K</t>
        </is>
      </c>
      <c r="O166" t="inlineStr">
        <is>
          <t>20231004</t>
        </is>
      </c>
      <c r="P166" t="inlineStr">
        <is>
          <t>Jawa Timur</t>
        </is>
      </c>
      <c r="Q166" t="inlineStr"/>
    </row>
    <row r="167">
      <c r="A167" t="inlineStr">
        <is>
          <t>TIGA MITRA KARYA</t>
        </is>
      </c>
      <c r="B167" t="inlineStr">
        <is>
          <t>Kota Medan</t>
        </is>
      </c>
      <c r="C167" t="inlineStr">
        <is>
          <t>081376780811</t>
        </is>
      </c>
      <c r="D167" t="inlineStr">
        <is>
          <t>tigamitrakarya13@yahoo.com</t>
        </is>
      </c>
      <c r="E167" t="inlineStr">
        <is>
          <t>https://lpjk.pu.go.id/search-badan-usaha-detail/UXppbFN0VkhraFRxYUgvV3B5SGMwdz09</t>
        </is>
      </c>
      <c r="F167" t="n">
        <v>1</v>
      </c>
      <c r="G167" t="inlineStr">
        <is>
          <t>BS005</t>
        </is>
      </c>
      <c r="H167" t="inlineStr">
        <is>
          <t>13 Maret 2012</t>
        </is>
      </c>
      <c r="I167" s="2" t="n">
        <v>46299</v>
      </c>
      <c r="J167" t="inlineStr">
        <is>
          <t>Disetujui</t>
        </is>
      </c>
      <c r="K167" t="n">
        <v>90</v>
      </c>
      <c r="L167" t="inlineStr">
        <is>
          <t>4 Oktober 2026</t>
        </is>
      </c>
      <c r="M167" t="inlineStr">
        <is>
          <t>Konstruksi Bangunan Sipil Pengolahan Air Bersih</t>
        </is>
      </c>
      <c r="N167" t="inlineStr">
        <is>
          <t>K</t>
        </is>
      </c>
      <c r="O167" t="inlineStr">
        <is>
          <t>20231004</t>
        </is>
      </c>
      <c r="P167" t="inlineStr">
        <is>
          <t>Sumatera Utara</t>
        </is>
      </c>
      <c r="Q167" t="inlineStr"/>
    </row>
    <row r="168">
      <c r="A168" t="inlineStr">
        <is>
          <t>TRIMITRA MANDIRI</t>
        </is>
      </c>
      <c r="B168" t="inlineStr">
        <is>
          <t>Kota Semarang</t>
        </is>
      </c>
      <c r="C168" t="inlineStr">
        <is>
          <t>089677225521</t>
        </is>
      </c>
      <c r="D168" t="inlineStr">
        <is>
          <t>trimitramandiri4442@gmail.com</t>
        </is>
      </c>
      <c r="E168" t="inlineStr">
        <is>
          <t>https://lpjk.pu.go.id/search-badan-usaha-detail/bFE3dmhVbFJwNGZGUnpnR2JaN2FXUT09</t>
        </is>
      </c>
      <c r="F168" t="n">
        <v>4</v>
      </c>
      <c r="G168" t="inlineStr">
        <is>
          <t>BS001, BS004</t>
        </is>
      </c>
      <c r="H168" t="inlineStr">
        <is>
          <t>24 Mei 2014</t>
        </is>
      </c>
      <c r="I168" s="2" t="n">
        <v>46299</v>
      </c>
      <c r="J168" t="inlineStr">
        <is>
          <t>Disetujui</t>
        </is>
      </c>
      <c r="K168" t="n">
        <v>90</v>
      </c>
      <c r="L168" t="inlineStr">
        <is>
          <t>4 Oktober 2026</t>
        </is>
      </c>
      <c r="M168" t="inlineStr">
        <is>
          <t>Konstruksi Bangunan Sipil Jalan, Konstruksi Jaringan Irigasi dan Drainase</t>
        </is>
      </c>
      <c r="N168" t="inlineStr">
        <is>
          <t>K</t>
        </is>
      </c>
      <c r="O168" t="inlineStr">
        <is>
          <t>20231003</t>
        </is>
      </c>
      <c r="P168" t="inlineStr">
        <is>
          <t>Jawa Tengah</t>
        </is>
      </c>
      <c r="Q168" t="inlineStr"/>
    </row>
    <row r="169">
      <c r="A169" t="inlineStr">
        <is>
          <t>VIDI OMAWI PAPUA</t>
        </is>
      </c>
      <c r="B169" t="inlineStr">
        <is>
          <t>Kab. Mimika</t>
        </is>
      </c>
      <c r="C169" t="inlineStr">
        <is>
          <t>0813-3136-0373</t>
        </is>
      </c>
      <c r="D169" t="inlineStr">
        <is>
          <t>cvvidiomawipapua@gmail.com</t>
        </is>
      </c>
      <c r="E169" t="inlineStr">
        <is>
          <t>https://lpjk.pu.go.id/search-badan-usaha-detail/NExKNWdQS2R6enZmRVBmQk5vclBEQT09</t>
        </is>
      </c>
      <c r="F169" t="n">
        <v>1</v>
      </c>
      <c r="G169" t="inlineStr">
        <is>
          <t>BG005</t>
        </is>
      </c>
      <c r="H169" t="inlineStr">
        <is>
          <t>17 September 2021</t>
        </is>
      </c>
      <c r="I169" s="2" t="n">
        <v>46299</v>
      </c>
      <c r="J169" t="inlineStr">
        <is>
          <t>Disetujui</t>
        </is>
      </c>
      <c r="K169" t="n">
        <v>90</v>
      </c>
      <c r="L169" t="inlineStr">
        <is>
          <t>4 Oktober 2026</t>
        </is>
      </c>
      <c r="M169" t="inlineStr">
        <is>
          <t>Konstruksi Gedung Kesehatan</t>
        </is>
      </c>
      <c r="N169" t="inlineStr">
        <is>
          <t>K</t>
        </is>
      </c>
      <c r="O169" t="inlineStr">
        <is>
          <t>20231002</t>
        </is>
      </c>
      <c r="P169" t="inlineStr">
        <is>
          <t>Papua</t>
        </is>
      </c>
      <c r="Q169" t="inlineStr"/>
    </row>
    <row r="170">
      <c r="A170" t="inlineStr">
        <is>
          <t>WAHANA CAKRA JAYA</t>
        </is>
      </c>
      <c r="B170" t="inlineStr">
        <is>
          <t>Kota Cimahi</t>
        </is>
      </c>
      <c r="C170" t="inlineStr">
        <is>
          <t>0226641269</t>
        </is>
      </c>
      <c r="D170" t="inlineStr">
        <is>
          <t>wahana.cakra.jaya@gmail.com</t>
        </is>
      </c>
      <c r="E170" t="inlineStr">
        <is>
          <t>https://lpjk.pu.go.id/search-badan-usaha-detail/N2Roa1FuOTRHOFRqVjBvNUp4aTAxQT09</t>
        </is>
      </c>
      <c r="F170" t="n">
        <v>1</v>
      </c>
      <c r="G170" t="inlineStr">
        <is>
          <t>BS004</t>
        </is>
      </c>
      <c r="H170" t="inlineStr">
        <is>
          <t>23 November 2006</t>
        </is>
      </c>
      <c r="I170" s="2" t="n">
        <v>46299</v>
      </c>
      <c r="J170" t="inlineStr">
        <is>
          <t>Disetujui</t>
        </is>
      </c>
      <c r="K170" t="n">
        <v>90</v>
      </c>
      <c r="L170" t="inlineStr">
        <is>
          <t>4 Oktober 2026</t>
        </is>
      </c>
      <c r="M170" t="inlineStr">
        <is>
          <t>Konstruksi Jaringan Irigasi dan Drainase</t>
        </is>
      </c>
      <c r="N170" t="inlineStr">
        <is>
          <t>K</t>
        </is>
      </c>
      <c r="O170" t="inlineStr">
        <is>
          <t>20230904</t>
        </is>
      </c>
      <c r="P170" t="inlineStr">
        <is>
          <t>Jawa Barat</t>
        </is>
      </c>
      <c r="Q170" t="inlineStr"/>
    </row>
    <row r="171">
      <c r="A171" t="inlineStr">
        <is>
          <t>WAHANA DESIGN</t>
        </is>
      </c>
      <c r="B171" t="inlineStr">
        <is>
          <t>Kab. Tabanan</t>
        </is>
      </c>
      <c r="C171" t="inlineStr">
        <is>
          <t>03619065041</t>
        </is>
      </c>
      <c r="D171" t="inlineStr">
        <is>
          <t>design_wahana@yahoo.com</t>
        </is>
      </c>
      <c r="E171" t="inlineStr">
        <is>
          <t>https://lpjk.pu.go.id/search-badan-usaha-detail/MXJSSWkrWUJoUXRQUWZET2ZvRFpnZz09</t>
        </is>
      </c>
      <c r="F171" t="n">
        <v>3</v>
      </c>
      <c r="G171" t="inlineStr">
        <is>
          <t>AR001, AR002, AR003</t>
        </is>
      </c>
      <c r="H171" t="inlineStr">
        <is>
          <t>11 April 2012</t>
        </is>
      </c>
      <c r="I171" s="2" t="n">
        <v>46299</v>
      </c>
      <c r="J171" t="inlineStr">
        <is>
          <t>Disetujui</t>
        </is>
      </c>
      <c r="K171" t="n">
        <v>90</v>
      </c>
      <c r="L171" t="inlineStr">
        <is>
          <t>4 Oktober 2026</t>
        </is>
      </c>
      <c r="M171" t="inlineStr">
        <is>
          <t>Jasa Arsitektural Bangunan Gedung Hunian dan Non Hunian, Jasa Arsitektural Lainnya, Jasa Desain Interior pada Bangunan Gedung dan Bangunan Sipil</t>
        </is>
      </c>
      <c r="N171" t="inlineStr">
        <is>
          <t>K</t>
        </is>
      </c>
      <c r="O171" t="inlineStr">
        <is>
          <t>20230924, 20230925</t>
        </is>
      </c>
      <c r="P171" t="inlineStr">
        <is>
          <t>Bali</t>
        </is>
      </c>
      <c r="Q171" t="inlineStr"/>
    </row>
    <row r="172">
      <c r="A172" t="inlineStr">
        <is>
          <t>WIRA EKA BHAKTI</t>
        </is>
      </c>
      <c r="B172" t="inlineStr">
        <is>
          <t>Kota Adm. Jakarta Barat</t>
        </is>
      </c>
      <c r="C172" t="inlineStr">
        <is>
          <t>02131991379</t>
        </is>
      </c>
      <c r="D172" t="inlineStr">
        <is>
          <t>marsella.wiraekabhakti@gmail.com</t>
        </is>
      </c>
      <c r="E172" t="inlineStr">
        <is>
          <t>https://lpjk.pu.go.id/search-badan-usaha-detail/YkFEOGZCODJjclY5eUx4UmFXN3I1QT09</t>
        </is>
      </c>
      <c r="F172" t="n">
        <v>1</v>
      </c>
      <c r="G172" t="inlineStr">
        <is>
          <t>BG005</t>
        </is>
      </c>
      <c r="H172" t="inlineStr">
        <is>
          <t>18 Oktober 1999</t>
        </is>
      </c>
      <c r="I172" s="2" t="n">
        <v>46299</v>
      </c>
      <c r="J172" t="inlineStr">
        <is>
          <t>Pencabutan</t>
        </is>
      </c>
      <c r="K172" t="n">
        <v>90</v>
      </c>
      <c r="L172" t="inlineStr">
        <is>
          <t>4 Oktober 2026</t>
        </is>
      </c>
      <c r="M172" t="inlineStr">
        <is>
          <t>Konstruksi Gedung Kesehatan</t>
        </is>
      </c>
      <c r="N172" t="inlineStr">
        <is>
          <t>K</t>
        </is>
      </c>
      <c r="O172" t="inlineStr">
        <is>
          <t>20230915</t>
        </is>
      </c>
      <c r="P172" t="inlineStr">
        <is>
          <t>DKI Jakarta</t>
        </is>
      </c>
      <c r="Q172" t="inlineStr"/>
    </row>
    <row r="173">
      <c r="A173" t="inlineStr">
        <is>
          <t>WIRA KARSA KONSTRUKSI</t>
        </is>
      </c>
      <c r="B173" t="inlineStr">
        <is>
          <t>Kota Makassar</t>
        </is>
      </c>
      <c r="C173" t="inlineStr">
        <is>
          <t>081343745874</t>
        </is>
      </c>
      <c r="D173" t="inlineStr">
        <is>
          <t>wira_karsa@yahoo.com</t>
        </is>
      </c>
      <c r="E173" t="inlineStr">
        <is>
          <t>https://lpjk.pu.go.id/search-badan-usaha-detail/R3FNeUpuR2RpOEMxd210eG9lR2Qzdz09</t>
        </is>
      </c>
      <c r="F173" t="n">
        <v>1</v>
      </c>
      <c r="G173" t="inlineStr">
        <is>
          <t>BS002</t>
        </is>
      </c>
      <c r="H173" t="inlineStr">
        <is>
          <t>27 Mei 2008</t>
        </is>
      </c>
      <c r="I173" s="2" t="n">
        <v>46299</v>
      </c>
      <c r="J173" t="inlineStr">
        <is>
          <t>Pencabutan</t>
        </is>
      </c>
      <c r="K173" t="n">
        <v>90</v>
      </c>
      <c r="L173" t="inlineStr">
        <is>
          <t>4 Oktober 2026</t>
        </is>
      </c>
      <c r="M173" t="inlineStr">
        <is>
          <t>Bangunan Sipil Jembatan, Jalan Layang, Fly Over, dan Underpass</t>
        </is>
      </c>
      <c r="N173" t="inlineStr">
        <is>
          <t>M</t>
        </is>
      </c>
      <c r="O173" t="inlineStr">
        <is>
          <t>20230914</t>
        </is>
      </c>
      <c r="P173" t="inlineStr">
        <is>
          <t>Sulawesi Selatan</t>
        </is>
      </c>
      <c r="Q173" t="inlineStr"/>
    </row>
    <row r="174">
      <c r="A174" t="inlineStr">
        <is>
          <t>WIRADI JAYA KONSTRUKSI</t>
        </is>
      </c>
      <c r="B174" t="inlineStr">
        <is>
          <t>Kota Denpasar</t>
        </is>
      </c>
      <c r="C174" t="inlineStr">
        <is>
          <t>081246757016</t>
        </is>
      </c>
      <c r="D174" t="inlineStr">
        <is>
          <t>wiradijaya.konstruksi19@gmail.com</t>
        </is>
      </c>
      <c r="E174" t="inlineStr">
        <is>
          <t>https://lpjk.pu.go.id/search-badan-usaha-detail/UjJWUXZySjduN1N4a3RpSGpnNUdHZz09</t>
        </is>
      </c>
      <c r="F174" t="n">
        <v>1</v>
      </c>
      <c r="G174" t="inlineStr">
        <is>
          <t>AR001</t>
        </is>
      </c>
      <c r="H174" t="inlineStr">
        <is>
          <t>19 Maret 2019</t>
        </is>
      </c>
      <c r="I174" s="2" t="n">
        <v>46299</v>
      </c>
      <c r="J174" t="inlineStr">
        <is>
          <t>Disetujui</t>
        </is>
      </c>
      <c r="K174" t="n">
        <v>90</v>
      </c>
      <c r="L174" t="inlineStr">
        <is>
          <t>4 Oktober 2026</t>
        </is>
      </c>
      <c r="M174" t="inlineStr">
        <is>
          <t>Jasa Arsitektural Bangunan Gedung Hunian dan Non Hunian</t>
        </is>
      </c>
      <c r="N174" t="inlineStr">
        <is>
          <t>K</t>
        </is>
      </c>
      <c r="O174" t="inlineStr">
        <is>
          <t>20230926</t>
        </is>
      </c>
      <c r="P174" t="inlineStr">
        <is>
          <t>Bali</t>
        </is>
      </c>
      <c r="Q1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5"/>
  <sheetViews>
    <sheetView workbookViewId="0">
      <selection activeCell="A1" sqref="A1"/>
    </sheetView>
  </sheetViews>
  <sheetFormatPr baseColWidth="8" defaultRowHeight="15"/>
  <cols>
    <col width="34" customWidth="1" min="1" max="1"/>
    <col width="30" customWidth="1" min="2" max="2"/>
    <col width="16" customWidth="1" min="3" max="3"/>
    <col width="39"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8"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ARTA TAMA SINERGY</t>
        </is>
      </c>
      <c r="B2" t="inlineStr">
        <is>
          <t>Kota Adm. Jakarta Timur</t>
        </is>
      </c>
      <c r="C2" t="inlineStr">
        <is>
          <t>082178717272</t>
        </is>
      </c>
      <c r="D2" t="inlineStr">
        <is>
          <t>arta_mas@yahoo.com</t>
        </is>
      </c>
      <c r="E2" t="inlineStr">
        <is>
          <t>https://lpjk.pu.go.id/search-badan-usaha-detail/a0ZUZmd1a2k3S1NDbFFNUUQxTkxtZz09</t>
        </is>
      </c>
      <c r="F2" t="n">
        <v>1</v>
      </c>
      <c r="G2" t="inlineStr">
        <is>
          <t>BS001</t>
        </is>
      </c>
      <c r="H2" t="inlineStr">
        <is>
          <t>8 Februari 2019</t>
        </is>
      </c>
      <c r="I2" s="2" t="n">
        <v>46269</v>
      </c>
      <c r="J2" t="inlineStr">
        <is>
          <t>Pencabutan</t>
        </is>
      </c>
      <c r="K2" t="n">
        <v>60</v>
      </c>
      <c r="L2" t="inlineStr">
        <is>
          <t>4 September 2026</t>
        </is>
      </c>
      <c r="M2" t="inlineStr">
        <is>
          <t>Konstruksi Bangunan Sipil Jalan</t>
        </is>
      </c>
      <c r="N2" t="inlineStr">
        <is>
          <t>K</t>
        </is>
      </c>
      <c r="O2" t="inlineStr">
        <is>
          <t>20230905</t>
        </is>
      </c>
      <c r="P2" t="inlineStr">
        <is>
          <t>DKI Jakarta</t>
        </is>
      </c>
      <c r="Q2" s="3">
        <f>HYPERLINK("https://wa.me/6282178717272?text=*[PENGINGAT MASA BERLAKU SBU ARTA TAMA SINERGY]*%0A%0AYth. Pimpinan ARTA TAMA SINERGY,%0AMohon izin menginformasikan status SBU Anda di sistem LPJK:%0A%0A📄 SBU: BS001%0A📅 Expired: 4 September 2026 (60 Hari Lagi)%0A%0AKami tim PT. ESDEA Assistance Management siap men-support proses perpanjangan segera agar administrasi proyek tidak terhambat%0A%0AApakah boleh saya bantu siapkan estimasi biaya dan waktu pengerjaannya?.", "Hubungi")</f>
        <v/>
      </c>
    </row>
    <row r="3">
      <c r="A3" t="inlineStr">
        <is>
          <t>ASIANTEC KONSTRUKSI INDONESIA</t>
        </is>
      </c>
      <c r="B3" t="inlineStr">
        <is>
          <t>Kota Adm. Jakarta Timur</t>
        </is>
      </c>
      <c r="C3" t="inlineStr">
        <is>
          <t>081219181982</t>
        </is>
      </c>
      <c r="D3" t="inlineStr">
        <is>
          <t>ptasianteckonstruksi@gmail.com</t>
        </is>
      </c>
      <c r="E3" t="inlineStr">
        <is>
          <t>https://lpjk.pu.go.id/search-badan-usaha-detail/SzhuU0xDdWc4QTVLK25PVitnMHBiQT09</t>
        </is>
      </c>
      <c r="F3" t="n">
        <v>8</v>
      </c>
      <c r="G3" t="inlineStr">
        <is>
          <t>IN001, IN007, KK016</t>
        </is>
      </c>
      <c r="H3" t="inlineStr">
        <is>
          <t>17 Juli 2023</t>
        </is>
      </c>
      <c r="I3" s="2" t="n">
        <v>46269</v>
      </c>
      <c r="J3" t="inlineStr">
        <is>
          <t>Disetujui</t>
        </is>
      </c>
      <c r="K3" t="n">
        <v>60</v>
      </c>
      <c r="L3" t="inlineStr">
        <is>
          <t>4 September 2026</t>
        </is>
      </c>
      <c r="M3" t="inlineStr">
        <is>
          <t>Instalasi Mekanikal, Instalasi Saluran Air (Plambing), Pemasangan Kerangka Baja</t>
        </is>
      </c>
      <c r="N3" t="inlineStr">
        <is>
          <t>Spesialis</t>
        </is>
      </c>
      <c r="O3" t="inlineStr">
        <is>
          <t>20230830</t>
        </is>
      </c>
      <c r="P3" t="inlineStr">
        <is>
          <t>DKI Jakarta</t>
        </is>
      </c>
      <c r="Q3" s="3">
        <f>HYPERLINK("https://wa.me/6281219181982?text=*[PENGINGAT MASA BERLAKU SBU ASIANTEC KONSTRUKSI INDONESIA]*%0A%0AYth. Pimpinan ASIANTEC KONSTRUKSI INDONESIA,%0AMohon izin menginformasikan status SBU Anda di sistem LPJK:%0A%0A📄 SBU: IN001, IN007, KK016%0A📅 Expired: 4 September 2026 (60 Hari Lagi)%0A%0AKami tim PT. ESDEA Assistance Management siap men-support proses perpanjangan segera agar administrasi proyek tidak terhambat%0A%0AApakah boleh saya bantu siapkan estimasi biaya dan waktu pengerjaannya?.", "Hubungi")</f>
        <v/>
      </c>
    </row>
    <row r="4">
      <c r="A4" t="inlineStr">
        <is>
          <t>BANGUN BAJA CIPTA MANDIRI</t>
        </is>
      </c>
      <c r="B4" t="inlineStr">
        <is>
          <t>Kota Bekasi</t>
        </is>
      </c>
      <c r="C4" t="inlineStr">
        <is>
          <t>0218853621</t>
        </is>
      </c>
      <c r="D4" t="inlineStr">
        <is>
          <t>henri.bbcm@gmail.com</t>
        </is>
      </c>
      <c r="E4" t="inlineStr">
        <is>
          <t>https://lpjk.pu.go.id/search-badan-usaha-detail/OTdrMnZhMWlmQmpYNG5IcUpaSjJxUT09</t>
        </is>
      </c>
      <c r="F4" t="n">
        <v>2</v>
      </c>
      <c r="G4" t="inlineStr">
        <is>
          <t>BG004</t>
        </is>
      </c>
      <c r="H4" t="inlineStr">
        <is>
          <t>13 Oktober 1997</t>
        </is>
      </c>
      <c r="I4" s="2" t="n">
        <v>46269</v>
      </c>
      <c r="J4" t="inlineStr">
        <is>
          <t>Disetujui</t>
        </is>
      </c>
      <c r="K4" t="n">
        <v>60</v>
      </c>
      <c r="L4" t="inlineStr">
        <is>
          <t>4 September 2026</t>
        </is>
      </c>
      <c r="M4" t="inlineStr">
        <is>
          <t>Konstruksi Gedung Perbelanjaan</t>
        </is>
      </c>
      <c r="N4" t="inlineStr">
        <is>
          <t>K</t>
        </is>
      </c>
      <c r="O4" t="inlineStr">
        <is>
          <t>20230831</t>
        </is>
      </c>
      <c r="P4" t="inlineStr">
        <is>
          <t>Jawa Barat</t>
        </is>
      </c>
      <c r="Q4" t="inlineStr"/>
    </row>
    <row r="5">
      <c r="A5" t="inlineStr">
        <is>
          <t>DINAMIKA SARANA INOVASI</t>
        </is>
      </c>
      <c r="B5" t="inlineStr">
        <is>
          <t>Kota Bogor</t>
        </is>
      </c>
      <c r="C5" t="inlineStr">
        <is>
          <t>082292291500</t>
        </is>
      </c>
      <c r="D5" t="inlineStr">
        <is>
          <t>pt.dinamikasaranainovasi@gmail.com</t>
        </is>
      </c>
      <c r="E5" t="inlineStr">
        <is>
          <t>https://lpjk.pu.go.id/search-badan-usaha-detail/SGduNXVxOWdBRXpwU3IzajlkR1NhZz09</t>
        </is>
      </c>
      <c r="F5" t="n">
        <v>12</v>
      </c>
      <c r="G5" t="inlineStr">
        <is>
          <t>RK001, RK002, RK003, RK005</t>
        </is>
      </c>
      <c r="H5" t="inlineStr">
        <is>
          <t>11 April 2015</t>
        </is>
      </c>
      <c r="I5" s="2" t="n">
        <v>46269</v>
      </c>
      <c r="J5" t="inlineStr">
        <is>
          <t>Disetujui</t>
        </is>
      </c>
      <c r="K5" t="n">
        <v>60</v>
      </c>
      <c r="L5" t="inlineStr">
        <is>
          <t>4 September 2026</t>
        </is>
      </c>
      <c r="M5" t="inlineStr">
        <is>
          <t>Jasa Rekayasa Konstruksi Bangunan Gedung Hunian dan Non Hunian, Jasa Rekayasa Lainnya, Jasa Rekayasa Pekerjaan Teknik Sipil Sumber Daya Air, Jasa Rekayasa Pekerjaan Teknik Sipil Transportasi</t>
        </is>
      </c>
      <c r="N5" t="inlineStr">
        <is>
          <t>K</t>
        </is>
      </c>
      <c r="O5" t="inlineStr">
        <is>
          <t>20230816, 20230828</t>
        </is>
      </c>
      <c r="P5" t="inlineStr">
        <is>
          <t>Jawa Barat</t>
        </is>
      </c>
      <c r="Q5" s="3">
        <f>HYPERLINK("https://wa.me/6282292291500?text=*[PENGINGAT MASA BERLAKU SBU DINAMIKA SARANA INOVASI]*%0A%0AYth. Pimpinan DINAMIKA SARANA INOVASI,%0AMohon izin menginformasikan status SBU Anda di sistem LPJK:%0A%0A📄 SBU: RK001, RK002, RK003, RK005%0A📅 Expired: 4 September 2026 (60 Hari Lagi)%0A%0AKami tim PT. ESDEA Assistance Management siap men-support proses perpanjangan segera agar administrasi proyek tidak terhambat%0A%0AApakah boleh saya bantu siapkan estimasi biaya dan waktu pengerjaannya?.", "Hubungi")</f>
        <v/>
      </c>
    </row>
    <row r="6">
      <c r="A6" t="inlineStr">
        <is>
          <t>KHIRANI PERSADA REALTY</t>
        </is>
      </c>
      <c r="B6" t="inlineStr">
        <is>
          <t>Kota Depok</t>
        </is>
      </c>
      <c r="C6" t="inlineStr">
        <is>
          <t>02121288658</t>
        </is>
      </c>
      <c r="D6" t="inlineStr">
        <is>
          <t>khiranipersada@gmail.com</t>
        </is>
      </c>
      <c r="E6" t="inlineStr">
        <is>
          <t>https://lpjk.pu.go.id/search-badan-usaha-detail/d0VnemFXZkt3bnhiSnFsMnBPNmFaZz09</t>
        </is>
      </c>
      <c r="F6" t="n">
        <v>1</v>
      </c>
      <c r="G6" t="inlineStr">
        <is>
          <t>BG001</t>
        </is>
      </c>
      <c r="H6" t="inlineStr">
        <is>
          <t>3 Februari 2022</t>
        </is>
      </c>
      <c r="I6" s="2" t="n">
        <v>46269</v>
      </c>
      <c r="J6" t="inlineStr">
        <is>
          <t>Disetujui</t>
        </is>
      </c>
      <c r="K6" t="n">
        <v>60</v>
      </c>
      <c r="L6" t="inlineStr">
        <is>
          <t>4 September 2026</t>
        </is>
      </c>
      <c r="M6" t="inlineStr">
        <is>
          <t>Konstruksi Gedung Hunian</t>
        </is>
      </c>
      <c r="N6" t="inlineStr">
        <is>
          <t>K</t>
        </is>
      </c>
      <c r="O6" t="inlineStr">
        <is>
          <t>20230829</t>
        </is>
      </c>
      <c r="P6" t="inlineStr">
        <is>
          <t>Jawa Barat</t>
        </is>
      </c>
      <c r="Q6" t="inlineStr"/>
    </row>
    <row r="7">
      <c r="A7" t="inlineStr">
        <is>
          <t>PT. TAMBA RIA JAYA</t>
        </is>
      </c>
      <c r="B7" t="inlineStr">
        <is>
          <t>Kota Adm. Jakarta Timur</t>
        </is>
      </c>
      <c r="C7" t="inlineStr">
        <is>
          <t>02186901255</t>
        </is>
      </c>
      <c r="D7" t="inlineStr">
        <is>
          <t>tambaria.jaya@yahoo.com</t>
        </is>
      </c>
      <c r="E7" t="inlineStr">
        <is>
          <t>https://lpjk.pu.go.id/search-badan-usaha-detail/dnhUcGM2N0NuRm9PRndhSXFyMmphUT09</t>
        </is>
      </c>
      <c r="F7" t="n">
        <v>1</v>
      </c>
      <c r="G7" t="inlineStr">
        <is>
          <t>BG002</t>
        </is>
      </c>
      <c r="H7" t="inlineStr">
        <is>
          <t>15 Maret 1976</t>
        </is>
      </c>
      <c r="I7" s="2" t="n">
        <v>46269</v>
      </c>
      <c r="J7" t="inlineStr">
        <is>
          <t>Disetujui</t>
        </is>
      </c>
      <c r="K7" t="n">
        <v>60</v>
      </c>
      <c r="L7" t="inlineStr">
        <is>
          <t>4 September 2026</t>
        </is>
      </c>
      <c r="M7" t="inlineStr">
        <is>
          <t>Konstruksi Gedung Perkantoran</t>
        </is>
      </c>
      <c r="N7" t="inlineStr">
        <is>
          <t>K</t>
        </is>
      </c>
      <c r="O7" t="inlineStr">
        <is>
          <t>20230831</t>
        </is>
      </c>
      <c r="P7" t="inlineStr">
        <is>
          <t>DKI Jakarta</t>
        </is>
      </c>
      <c r="Q7" t="inlineStr"/>
    </row>
    <row r="8">
      <c r="A8" t="inlineStr">
        <is>
          <t>SINAR GUNUNG SEJATI</t>
        </is>
      </c>
      <c r="B8" t="inlineStr">
        <is>
          <t>Kab. Bogor</t>
        </is>
      </c>
      <c r="C8" t="inlineStr">
        <is>
          <t>02129099618</t>
        </is>
      </c>
      <c r="D8" t="inlineStr">
        <is>
          <t>pt.sinargunungsejati@gmail.com</t>
        </is>
      </c>
      <c r="E8" t="inlineStr">
        <is>
          <t>https://lpjk.pu.go.id/search-badan-usaha-detail/NDlMWGdpNDBiOUxJS0pmSzA0Y1JjUT09</t>
        </is>
      </c>
      <c r="F8" t="n">
        <v>1</v>
      </c>
      <c r="G8" t="inlineStr">
        <is>
          <t>BG003</t>
        </is>
      </c>
      <c r="H8" t="inlineStr">
        <is>
          <t>20 Agustus 2009</t>
        </is>
      </c>
      <c r="I8" s="2" t="n">
        <v>46269</v>
      </c>
      <c r="J8" t="inlineStr">
        <is>
          <t>Disetujui</t>
        </is>
      </c>
      <c r="K8" t="n">
        <v>60</v>
      </c>
      <c r="L8" t="inlineStr">
        <is>
          <t>4 September 2026</t>
        </is>
      </c>
      <c r="M8" t="inlineStr">
        <is>
          <t>Konstruksi Gedung Industri</t>
        </is>
      </c>
      <c r="N8" t="inlineStr">
        <is>
          <t>M</t>
        </is>
      </c>
      <c r="O8" t="inlineStr">
        <is>
          <t>20230831</t>
        </is>
      </c>
      <c r="P8" t="inlineStr">
        <is>
          <t>Jawa Barat</t>
        </is>
      </c>
      <c r="Q8" t="inlineStr"/>
    </row>
    <row r="9">
      <c r="A9" t="inlineStr">
        <is>
          <t>TRIAJI MANDIRI TEKNIKA</t>
        </is>
      </c>
      <c r="B9" t="inlineStr">
        <is>
          <t>Kota Bekasi</t>
        </is>
      </c>
      <c r="C9" t="inlineStr">
        <is>
          <t>02184987825</t>
        </is>
      </c>
      <c r="D9" t="inlineStr">
        <is>
          <t>triaji@tiemti.com</t>
        </is>
      </c>
      <c r="E9" t="inlineStr">
        <is>
          <t>https://lpjk.pu.go.id/search-badan-usaha-detail/NDJOZW9qUlVLNW9jMk94UXN5SDgrQT09</t>
        </is>
      </c>
      <c r="F9" t="n">
        <v>2</v>
      </c>
      <c r="G9" t="inlineStr">
        <is>
          <t>IN007</t>
        </is>
      </c>
      <c r="H9" t="inlineStr">
        <is>
          <t>16 Oktober 2015</t>
        </is>
      </c>
      <c r="I9" s="2" t="n">
        <v>46269</v>
      </c>
      <c r="J9" t="inlineStr">
        <is>
          <t>Pencabutan</t>
        </is>
      </c>
      <c r="K9" t="n">
        <v>60</v>
      </c>
      <c r="L9" t="inlineStr">
        <is>
          <t>4 September 2026</t>
        </is>
      </c>
      <c r="M9" t="inlineStr">
        <is>
          <t>Instalasi Saluran Air (Plambing)</t>
        </is>
      </c>
      <c r="N9" t="inlineStr">
        <is>
          <t>Spesialis</t>
        </is>
      </c>
      <c r="O9" t="inlineStr">
        <is>
          <t>20230831</t>
        </is>
      </c>
      <c r="P9" t="inlineStr">
        <is>
          <t>Jawa Barat</t>
        </is>
      </c>
      <c r="Q9" t="inlineStr"/>
    </row>
    <row r="10">
      <c r="A10" t="inlineStr">
        <is>
          <t>ABHIMATA CITRA ABADI</t>
        </is>
      </c>
      <c r="B10" t="inlineStr">
        <is>
          <t>Kota Adm. Jakarta Pusat</t>
        </is>
      </c>
      <c r="C10" t="inlineStr">
        <is>
          <t>02157930304</t>
        </is>
      </c>
      <c r="D10" t="inlineStr">
        <is>
          <t>christina.loho@abhimata.co.id</t>
        </is>
      </c>
      <c r="E10" t="inlineStr">
        <is>
          <t>https://lpjk.pu.go.id/search-badan-usaha-detail/bUhtb0doWG9xVTVpWFZtUGdpancxUT09</t>
        </is>
      </c>
      <c r="F10" t="n">
        <v>1</v>
      </c>
      <c r="G10" t="inlineStr">
        <is>
          <t>IN001</t>
        </is>
      </c>
      <c r="H10" t="inlineStr">
        <is>
          <t>19 Desember 1989</t>
        </is>
      </c>
      <c r="I10" s="2" t="n">
        <v>46269</v>
      </c>
      <c r="J10" t="inlineStr">
        <is>
          <t>Disetujui</t>
        </is>
      </c>
      <c r="K10" t="n">
        <v>60</v>
      </c>
      <c r="L10" t="inlineStr">
        <is>
          <t>4 September 2026</t>
        </is>
      </c>
      <c r="M10" t="inlineStr">
        <is>
          <t>Instalasi Mekanikal</t>
        </is>
      </c>
      <c r="N10" t="inlineStr">
        <is>
          <t>Spesialis</t>
        </is>
      </c>
      <c r="O10" t="inlineStr">
        <is>
          <t>20230831</t>
        </is>
      </c>
      <c r="P10" t="inlineStr">
        <is>
          <t>DKI Jakarta</t>
        </is>
      </c>
      <c r="Q10" t="inlineStr"/>
    </row>
    <row r="11">
      <c r="A11" t="inlineStr">
        <is>
          <t>ADE MITRA PRIMAH JAYA</t>
        </is>
      </c>
      <c r="B11" t="inlineStr">
        <is>
          <t>Kab. Pelalawan</t>
        </is>
      </c>
      <c r="C11" t="inlineStr">
        <is>
          <t>081363858101</t>
        </is>
      </c>
      <c r="D11" t="inlineStr">
        <is>
          <t>ptademitraprimahjaya@gmail.com</t>
        </is>
      </c>
      <c r="E11" t="inlineStr">
        <is>
          <t>https://lpjk.pu.go.id/search-badan-usaha-detail/YU9jVDRGaTR2eHFtcHZvdm9QTlU1Zz09</t>
        </is>
      </c>
      <c r="F11" t="n">
        <v>1</v>
      </c>
      <c r="G11" t="inlineStr">
        <is>
          <t>BS001</t>
        </is>
      </c>
      <c r="H11" t="inlineStr">
        <is>
          <t>9 Agustus 2021</t>
        </is>
      </c>
      <c r="I11" s="2" t="n">
        <v>46269</v>
      </c>
      <c r="J11" t="inlineStr">
        <is>
          <t>Disetujui</t>
        </is>
      </c>
      <c r="K11" t="n">
        <v>60</v>
      </c>
      <c r="L11" t="inlineStr">
        <is>
          <t>4 September 2026</t>
        </is>
      </c>
      <c r="M11" t="inlineStr">
        <is>
          <t>Konstruksi Bangunan Sipil Jalan</t>
        </is>
      </c>
      <c r="N11" t="inlineStr">
        <is>
          <t>K</t>
        </is>
      </c>
      <c r="O11" t="inlineStr">
        <is>
          <t>20230901</t>
        </is>
      </c>
      <c r="P11" t="inlineStr">
        <is>
          <t>Riau</t>
        </is>
      </c>
      <c r="Q11" t="inlineStr"/>
    </row>
    <row r="12">
      <c r="A12" t="inlineStr">
        <is>
          <t>ADI MANGGALA</t>
        </is>
      </c>
      <c r="B12" t="inlineStr">
        <is>
          <t>Kab. Bandung</t>
        </is>
      </c>
      <c r="C12" t="inlineStr">
        <is>
          <t>08112252159</t>
        </is>
      </c>
      <c r="D12" t="inlineStr">
        <is>
          <t>cvadimanggala@gmail.com</t>
        </is>
      </c>
      <c r="E12" t="inlineStr">
        <is>
          <t>https://lpjk.pu.go.id/search-badan-usaha-detail/RS9VVndFTW5RMzZzWlNDekxMUzNxUT09</t>
        </is>
      </c>
      <c r="F12" t="n">
        <v>3</v>
      </c>
      <c r="G12" t="inlineStr">
        <is>
          <t>BG009, BS001, BS004</t>
        </is>
      </c>
      <c r="H12" t="inlineStr">
        <is>
          <t>14 April 2021</t>
        </is>
      </c>
      <c r="I12" s="2" t="n">
        <v>46269</v>
      </c>
      <c r="J12" t="inlineStr">
        <is>
          <t>Disetujui</t>
        </is>
      </c>
      <c r="K12" t="n">
        <v>60</v>
      </c>
      <c r="L12" t="inlineStr">
        <is>
          <t>4 September 2026</t>
        </is>
      </c>
      <c r="M12" t="inlineStr">
        <is>
          <t>Konstruksi Bangunan Sipil Jalan, Konstruksi Gedung Lainnya, Konstruksi Jaringan Irigasi dan Drainase</t>
        </is>
      </c>
      <c r="N12" t="inlineStr">
        <is>
          <t>K</t>
        </is>
      </c>
      <c r="O12" t="inlineStr">
        <is>
          <t>20230905</t>
        </is>
      </c>
      <c r="P12" t="inlineStr">
        <is>
          <t>Jawa Barat</t>
        </is>
      </c>
      <c r="Q12" t="inlineStr"/>
    </row>
    <row r="13">
      <c r="A13" t="inlineStr">
        <is>
          <t>ADITYA MAHARDIKA KARYA KONTRUKSI</t>
        </is>
      </c>
      <c r="B13" t="inlineStr">
        <is>
          <t>Kota Lubuk Linggau</t>
        </is>
      </c>
      <c r="C13" t="inlineStr">
        <is>
          <t>0811999604</t>
        </is>
      </c>
      <c r="D13" t="inlineStr">
        <is>
          <t>amarko10012020@gmail.com</t>
        </is>
      </c>
      <c r="E13" t="inlineStr">
        <is>
          <t>https://lpjk.pu.go.id/search-badan-usaha-detail/bFpUdmQ1bHVrbkVWamtUQXc5ZWxRUT09</t>
        </is>
      </c>
      <c r="F13" t="n">
        <v>1</v>
      </c>
      <c r="G13" t="inlineStr">
        <is>
          <t>BS001</t>
        </is>
      </c>
      <c r="H13" t="inlineStr">
        <is>
          <t>10 Januari 2020</t>
        </is>
      </c>
      <c r="I13" s="2" t="n">
        <v>46269</v>
      </c>
      <c r="J13" t="inlineStr">
        <is>
          <t>Disetujui</t>
        </is>
      </c>
      <c r="K13" t="n">
        <v>60</v>
      </c>
      <c r="L13" t="inlineStr">
        <is>
          <t>4 September 2026</t>
        </is>
      </c>
      <c r="M13" t="inlineStr">
        <is>
          <t>Konstruksi Bangunan Sipil Jalan</t>
        </is>
      </c>
      <c r="N13" t="inlineStr">
        <is>
          <t>K</t>
        </is>
      </c>
      <c r="O13" t="inlineStr">
        <is>
          <t>20230903</t>
        </is>
      </c>
      <c r="P13" t="inlineStr">
        <is>
          <t>Sumatera Selatan</t>
        </is>
      </c>
      <c r="Q13" t="inlineStr"/>
    </row>
    <row r="14">
      <c r="A14" t="inlineStr">
        <is>
          <t>ADRIAN &amp; SONS</t>
        </is>
      </c>
      <c r="B14" t="inlineStr">
        <is>
          <t>Kab. Bireuen</t>
        </is>
      </c>
      <c r="C14" t="inlineStr">
        <is>
          <t>081278544967</t>
        </is>
      </c>
      <c r="D14" t="inlineStr">
        <is>
          <t>cv.adrianandsons@gmail.com</t>
        </is>
      </c>
      <c r="E14" t="inlineStr">
        <is>
          <t>https://lpjk.pu.go.id/search-badan-usaha-detail/c2o4dGNOVGxoQndBQmdodkpsSVpSZz09</t>
        </is>
      </c>
      <c r="F14" t="n">
        <v>1</v>
      </c>
      <c r="G14" t="inlineStr">
        <is>
          <t>PL003</t>
        </is>
      </c>
      <c r="H14" t="inlineStr">
        <is>
          <t>25 September 2010</t>
        </is>
      </c>
      <c r="I14" s="2" t="n">
        <v>46269</v>
      </c>
      <c r="J14" t="inlineStr">
        <is>
          <t>Disetujui</t>
        </is>
      </c>
      <c r="K14" t="n">
        <v>60</v>
      </c>
      <c r="L14" t="inlineStr">
        <is>
          <t>4 September 2026</t>
        </is>
      </c>
      <c r="M14" t="inlineStr">
        <is>
          <t>Penyiapan Lahan Konstruksi</t>
        </is>
      </c>
      <c r="N14" t="inlineStr">
        <is>
          <t>Spesialis</t>
        </is>
      </c>
      <c r="O14" t="inlineStr">
        <is>
          <t>20230904</t>
        </is>
      </c>
      <c r="P14" t="inlineStr">
        <is>
          <t>Aceh</t>
        </is>
      </c>
      <c r="Q14" t="inlineStr"/>
    </row>
    <row r="15">
      <c r="A15" t="inlineStr">
        <is>
          <t>ADZRA CIPTA KONSULINDO</t>
        </is>
      </c>
      <c r="B15" t="inlineStr">
        <is>
          <t>Kota Surabaya</t>
        </is>
      </c>
      <c r="C15" t="inlineStr">
        <is>
          <t>085158832507</t>
        </is>
      </c>
      <c r="D15" t="inlineStr">
        <is>
          <t>adzracipta2@gmail.com</t>
        </is>
      </c>
      <c r="E15" t="inlineStr">
        <is>
          <t>https://lpjk.pu.go.id/search-badan-usaha-detail/MXlGanFuUWtRNVpKSTNMSUdBc09Idz09</t>
        </is>
      </c>
      <c r="F15" t="n">
        <v>2</v>
      </c>
      <c r="G15" t="inlineStr">
        <is>
          <t>AR001, RK003</t>
        </is>
      </c>
      <c r="H15" t="inlineStr">
        <is>
          <t>24 Juni 2022</t>
        </is>
      </c>
      <c r="I15" s="2" t="n">
        <v>46269</v>
      </c>
      <c r="J15" t="inlineStr">
        <is>
          <t>Disetujui, Pencabutan</t>
        </is>
      </c>
      <c r="K15" t="n">
        <v>60</v>
      </c>
      <c r="L15" t="inlineStr">
        <is>
          <t>4 September 2026</t>
        </is>
      </c>
      <c r="M15" t="inlineStr">
        <is>
          <t>Jasa Arsitektural Bangunan Gedung Hunian dan Non Hunian, Jasa Rekayasa Pekerjaan Teknik Sipil Transportasi</t>
        </is>
      </c>
      <c r="N15" t="inlineStr">
        <is>
          <t>K</t>
        </is>
      </c>
      <c r="O15" t="inlineStr">
        <is>
          <t>20230824</t>
        </is>
      </c>
      <c r="P15" t="inlineStr">
        <is>
          <t>Jawa Timur</t>
        </is>
      </c>
      <c r="Q15" t="inlineStr"/>
    </row>
    <row r="16">
      <c r="A16" t="inlineStr">
        <is>
          <t>AGUNG DJAYA</t>
        </is>
      </c>
      <c r="B16" t="inlineStr">
        <is>
          <t>Kota Banjarbaru</t>
        </is>
      </c>
      <c r="C16" t="inlineStr">
        <is>
          <t>081808545074</t>
        </is>
      </c>
      <c r="D16" t="inlineStr">
        <is>
          <t>cv.agungdjaya@gmail.com</t>
        </is>
      </c>
      <c r="E16" t="inlineStr">
        <is>
          <t>https://lpjk.pu.go.id/search-badan-usaha-detail/KzJqdmFaZWpLdmhTbnVWUHk0dGlKZz09</t>
        </is>
      </c>
      <c r="F16" t="n">
        <v>2</v>
      </c>
      <c r="G16" t="inlineStr">
        <is>
          <t>BS002</t>
        </is>
      </c>
      <c r="H16" t="inlineStr">
        <is>
          <t>8 Februari 2019</t>
        </is>
      </c>
      <c r="I16" s="2" t="n">
        <v>46269</v>
      </c>
      <c r="J16" t="inlineStr">
        <is>
          <t>Disetujui</t>
        </is>
      </c>
      <c r="K16" t="n">
        <v>60</v>
      </c>
      <c r="L16" t="inlineStr">
        <is>
          <t>4 September 2026</t>
        </is>
      </c>
      <c r="M16" t="inlineStr">
        <is>
          <t>Bangunan Sipil Jembatan, Jalan Layang, Fly Over, dan Underpass</t>
        </is>
      </c>
      <c r="N16" t="inlineStr">
        <is>
          <t>K</t>
        </is>
      </c>
      <c r="O16" t="inlineStr">
        <is>
          <t>20230901</t>
        </is>
      </c>
      <c r="P16" t="inlineStr">
        <is>
          <t>Kalimantan Selatan</t>
        </is>
      </c>
      <c r="Q16" t="inlineStr"/>
    </row>
    <row r="17">
      <c r="A17" t="inlineStr">
        <is>
          <t>AKAS JAYA</t>
        </is>
      </c>
      <c r="B17" t="inlineStr">
        <is>
          <t>Kota Bandung</t>
        </is>
      </c>
      <c r="C17" t="inlineStr">
        <is>
          <t>-</t>
        </is>
      </c>
      <c r="D17" t="inlineStr">
        <is>
          <t>akasjaya@gmail.com</t>
        </is>
      </c>
      <c r="E17" t="inlineStr">
        <is>
          <t>https://lpjk.pu.go.id/search-badan-usaha-detail/RG5YT2RQQUc5SStZbXhaZGQzU2pjZz09</t>
        </is>
      </c>
      <c r="F17" t="n">
        <v>2</v>
      </c>
      <c r="G17" t="inlineStr">
        <is>
          <t>BG006, BG009</t>
        </is>
      </c>
      <c r="H17" t="inlineStr">
        <is>
          <t>28 Februari 1997</t>
        </is>
      </c>
      <c r="I17" s="2" t="n">
        <v>46269</v>
      </c>
      <c r="J17" t="inlineStr">
        <is>
          <t>Disetujui</t>
        </is>
      </c>
      <c r="K17" t="n">
        <v>60</v>
      </c>
      <c r="L17" t="inlineStr">
        <is>
          <t>4 September 2026</t>
        </is>
      </c>
      <c r="M17" t="inlineStr">
        <is>
          <t>Konstruksi Gedung Lainnya, Konstruksi Gedung Pendidikan</t>
        </is>
      </c>
      <c r="N17" t="inlineStr">
        <is>
          <t>K</t>
        </is>
      </c>
      <c r="O17" t="inlineStr">
        <is>
          <t>20230724, 20230823</t>
        </is>
      </c>
      <c r="P17" t="inlineStr">
        <is>
          <t>Jawa Barat</t>
        </is>
      </c>
      <c r="Q17" t="inlineStr"/>
    </row>
    <row r="18">
      <c r="A18" t="inlineStr">
        <is>
          <t>ALFINDO</t>
        </is>
      </c>
      <c r="B18" t="inlineStr">
        <is>
          <t>Kota Makassar</t>
        </is>
      </c>
      <c r="C18" t="inlineStr">
        <is>
          <t>085396572299</t>
        </is>
      </c>
      <c r="D18" t="inlineStr">
        <is>
          <t>alfindopt.k@gmail.com</t>
        </is>
      </c>
      <c r="E18" t="inlineStr">
        <is>
          <t>https://lpjk.pu.go.id/search-badan-usaha-detail/dFBTaTlGelk5UkIyVEpTNzhZYlVZZz09</t>
        </is>
      </c>
      <c r="F18" t="n">
        <v>2</v>
      </c>
      <c r="G18" t="inlineStr">
        <is>
          <t>BS001</t>
        </is>
      </c>
      <c r="H18" t="inlineStr">
        <is>
          <t>17 Juli 2006</t>
        </is>
      </c>
      <c r="I18" s="2" t="n">
        <v>46269</v>
      </c>
      <c r="J18" t="inlineStr">
        <is>
          <t>Disetujui</t>
        </is>
      </c>
      <c r="K18" t="n">
        <v>60</v>
      </c>
      <c r="L18" t="inlineStr">
        <is>
          <t>4 September 2026</t>
        </is>
      </c>
      <c r="M18" t="inlineStr">
        <is>
          <t>Konstruksi Bangunan Sipil Jalan</t>
        </is>
      </c>
      <c r="N18" t="inlineStr">
        <is>
          <t>K</t>
        </is>
      </c>
      <c r="O18" t="inlineStr">
        <is>
          <t>20230823</t>
        </is>
      </c>
      <c r="P18" t="inlineStr">
        <is>
          <t>Sulawesi Selatan</t>
        </is>
      </c>
      <c r="Q18" t="inlineStr"/>
    </row>
    <row r="19">
      <c r="A19" t="inlineStr">
        <is>
          <t>ALIF JAYA KONSTRUKSI</t>
        </is>
      </c>
      <c r="B19" t="inlineStr">
        <is>
          <t>Kab. Bondowoso</t>
        </is>
      </c>
      <c r="C19" t="inlineStr">
        <is>
          <t>085330159778</t>
        </is>
      </c>
      <c r="D19" t="inlineStr">
        <is>
          <t>alifjayakonst@gmail.com</t>
        </is>
      </c>
      <c r="E19" t="inlineStr">
        <is>
          <t>https://lpjk.pu.go.id/search-badan-usaha-detail/WDY4RGpqUkdycUhtUDR1Z2ZkeTdaQT09</t>
        </is>
      </c>
      <c r="F19" t="n">
        <v>3</v>
      </c>
      <c r="G19" t="inlineStr">
        <is>
          <t>BS001, BS005, BS006</t>
        </is>
      </c>
      <c r="H19" t="inlineStr">
        <is>
          <t>27 Maret 2012</t>
        </is>
      </c>
      <c r="I19" s="2" t="n">
        <v>46269</v>
      </c>
      <c r="J19" t="inlineStr">
        <is>
          <t>Disetujui</t>
        </is>
      </c>
      <c r="K19" t="n">
        <v>60</v>
      </c>
      <c r="L19" t="inlineStr">
        <is>
          <t>4 September 2026</t>
        </is>
      </c>
      <c r="M19" t="inlineStr">
        <is>
          <t>Konstruksi Bangunan Sipil Jalan, Konstruksi Bangunan Sipil Pengolahan Air Bersih, Konstruksi Bangunan Sipil Prasarana dan Sarana Sistem Pengolahan Limbah Padat, Cair, dan Gas</t>
        </is>
      </c>
      <c r="N19" t="inlineStr">
        <is>
          <t>K</t>
        </is>
      </c>
      <c r="O19" t="inlineStr">
        <is>
          <t>20230830, 20230901, 20230904</t>
        </is>
      </c>
      <c r="P19" t="inlineStr">
        <is>
          <t>Jawa Timur</t>
        </is>
      </c>
      <c r="Q19" t="inlineStr"/>
    </row>
    <row r="20">
      <c r="A20" t="inlineStr">
        <is>
          <t>ALVINA ROSE SEJAHTERA</t>
        </is>
      </c>
      <c r="B20" t="inlineStr">
        <is>
          <t>Kota Surabaya</t>
        </is>
      </c>
      <c r="C20" t="inlineStr">
        <is>
          <t>082158989082</t>
        </is>
      </c>
      <c r="D20" t="inlineStr">
        <is>
          <t>alvinarose.sejahtera@gmail.com</t>
        </is>
      </c>
      <c r="E20" t="inlineStr">
        <is>
          <t>https://lpjk.pu.go.id/search-badan-usaha-detail/WUFKd3g5RWFDNkNMQ0d4cm9ac3pOQT09</t>
        </is>
      </c>
      <c r="F20" t="n">
        <v>10</v>
      </c>
      <c r="G20" t="inlineStr">
        <is>
          <t>BG001, BG002, BG005, BG006, BG009</t>
        </is>
      </c>
      <c r="H20" t="inlineStr">
        <is>
          <t>24 Agustus 2006</t>
        </is>
      </c>
      <c r="I20" s="2" t="n">
        <v>46269</v>
      </c>
      <c r="J20" t="inlineStr">
        <is>
          <t>Pencabutan</t>
        </is>
      </c>
      <c r="K20" t="n">
        <v>60</v>
      </c>
      <c r="L20" t="inlineStr">
        <is>
          <t>4 September 2026</t>
        </is>
      </c>
      <c r="M20" t="inlineStr">
        <is>
          <t>Konstruksi Gedung Hunian, Konstruksi Gedung Kesehatan, Konstruksi Gedung Lainnya, Konstruksi Gedung Pendidikan, Konstruksi Gedung Perkantoran</t>
        </is>
      </c>
      <c r="N20" t="inlineStr">
        <is>
          <t>K</t>
        </is>
      </c>
      <c r="O20" t="inlineStr">
        <is>
          <t>20230904</t>
        </is>
      </c>
      <c r="P20" t="inlineStr">
        <is>
          <t>Jawa Timur</t>
        </is>
      </c>
      <c r="Q20" t="inlineStr"/>
    </row>
    <row r="21">
      <c r="A21" t="inlineStr">
        <is>
          <t>AMANAH JAYA BETON</t>
        </is>
      </c>
      <c r="B21" t="inlineStr">
        <is>
          <t>Kab. Subang</t>
        </is>
      </c>
      <c r="C21" t="inlineStr">
        <is>
          <t>085219987512</t>
        </is>
      </c>
      <c r="D21" t="inlineStr">
        <is>
          <t>amanahjayabeton@gmail.com</t>
        </is>
      </c>
      <c r="E21" t="inlineStr">
        <is>
          <t>https://lpjk.pu.go.id/search-badan-usaha-detail/T0hHVFR0UE1aaEtZMDBaK1RuRG5FZz09</t>
        </is>
      </c>
      <c r="F21" t="n">
        <v>6</v>
      </c>
      <c r="G21" t="inlineStr">
        <is>
          <t>BG006, BS001</t>
        </is>
      </c>
      <c r="H21" t="inlineStr">
        <is>
          <t>21 Juni 2022</t>
        </is>
      </c>
      <c r="I21" s="2" t="n">
        <v>46269</v>
      </c>
      <c r="J21" t="inlineStr">
        <is>
          <t>Disetujui</t>
        </is>
      </c>
      <c r="K21" t="n">
        <v>60</v>
      </c>
      <c r="L21" t="inlineStr">
        <is>
          <t>4 September 2026</t>
        </is>
      </c>
      <c r="M21" t="inlineStr">
        <is>
          <t>Konstruksi Bangunan Sipil Jalan, Konstruksi Gedung Pendidikan</t>
        </is>
      </c>
      <c r="N21" t="inlineStr">
        <is>
          <t>K</t>
        </is>
      </c>
      <c r="O21" t="inlineStr">
        <is>
          <t>20230828, 20230904</t>
        </is>
      </c>
      <c r="P21" t="inlineStr">
        <is>
          <t>Jawa Barat</t>
        </is>
      </c>
      <c r="Q21" t="inlineStr"/>
    </row>
    <row r="22">
      <c r="A22" t="inlineStr">
        <is>
          <t>ANGKASA KARYA</t>
        </is>
      </c>
      <c r="B22" t="inlineStr">
        <is>
          <t>Kab. Konawe Selatan</t>
        </is>
      </c>
      <c r="C22" t="inlineStr">
        <is>
          <t>08114052352</t>
        </is>
      </c>
      <c r="D22" t="inlineStr">
        <is>
          <t>angkasakarya.cv@gmail.com</t>
        </is>
      </c>
      <c r="E22" t="inlineStr">
        <is>
          <t>https://lpjk.pu.go.id/search-badan-usaha-detail/cHNkcWc1MFZGNjBZclNKNWdNZmlqdz09</t>
        </is>
      </c>
      <c r="F22" t="n">
        <v>10</v>
      </c>
      <c r="G22" t="inlineStr">
        <is>
          <t>BG001, BG002, BG005, BG006, BG009</t>
        </is>
      </c>
      <c r="H22" t="inlineStr">
        <is>
          <t>15 April 2016</t>
        </is>
      </c>
      <c r="I22" s="2" t="n">
        <v>46269</v>
      </c>
      <c r="J22" t="inlineStr">
        <is>
          <t>Disetujui</t>
        </is>
      </c>
      <c r="K22" t="n">
        <v>60</v>
      </c>
      <c r="L22" t="inlineStr">
        <is>
          <t>4 September 2026</t>
        </is>
      </c>
      <c r="M22" t="inlineStr">
        <is>
          <t>Konstruksi Gedung Hunian, Konstruksi Gedung Kesehatan, Konstruksi Gedung Lainnya, Konstruksi Gedung Pendidikan, Konstruksi Gedung Perkantoran</t>
        </is>
      </c>
      <c r="N22" t="inlineStr">
        <is>
          <t>K</t>
        </is>
      </c>
      <c r="O22" t="inlineStr">
        <is>
          <t>20230831, 20230903</t>
        </is>
      </c>
      <c r="P22" t="inlineStr">
        <is>
          <t>Sulawesi Tenggara</t>
        </is>
      </c>
      <c r="Q22" t="inlineStr"/>
    </row>
    <row r="23">
      <c r="A23" t="inlineStr">
        <is>
          <t>ANNATHA BROTHERS</t>
        </is>
      </c>
      <c r="B23" t="inlineStr">
        <is>
          <t>-</t>
        </is>
      </c>
      <c r="C23" t="inlineStr">
        <is>
          <t>081363420531</t>
        </is>
      </c>
      <c r="D23" t="inlineStr">
        <is>
          <t>annathadmi@hotmail.com</t>
        </is>
      </c>
      <c r="E23" t="inlineStr">
        <is>
          <t>https://lpjk.pu.go.id/search-badan-usaha-detail/V3hRUHFsaFhuK0ZCUE5OV1F6cVExZz09</t>
        </is>
      </c>
      <c r="F23" t="n">
        <v>1</v>
      </c>
      <c r="G23" t="inlineStr">
        <is>
          <t>BS001</t>
        </is>
      </c>
      <c r="H23" t="inlineStr">
        <is>
          <t>3 September 2007</t>
        </is>
      </c>
      <c r="I23" s="2" t="n">
        <v>46269</v>
      </c>
      <c r="J23" t="inlineStr">
        <is>
          <t>Disetujui</t>
        </is>
      </c>
      <c r="K23" t="n">
        <v>60</v>
      </c>
      <c r="L23" t="inlineStr">
        <is>
          <t>4 September 2026</t>
        </is>
      </c>
      <c r="M23" t="inlineStr">
        <is>
          <t>Konstruksi Bangunan Sipil Jalan</t>
        </is>
      </c>
      <c r="N23" t="inlineStr">
        <is>
          <t>K</t>
        </is>
      </c>
      <c r="O23" t="inlineStr">
        <is>
          <t>20230905</t>
        </is>
      </c>
      <c r="P23" t="inlineStr">
        <is>
          <t>Riau</t>
        </is>
      </c>
      <c r="Q23" t="inlineStr"/>
    </row>
    <row r="24">
      <c r="A24" t="inlineStr">
        <is>
          <t>ANUGERAH ABADI</t>
        </is>
      </c>
      <c r="B24" t="inlineStr">
        <is>
          <t>Kab. Mamuju</t>
        </is>
      </c>
      <c r="C24" t="inlineStr">
        <is>
          <t>082290899992</t>
        </is>
      </c>
      <c r="D24" t="inlineStr">
        <is>
          <t>cvanugrahabadi009@gmail.com</t>
        </is>
      </c>
      <c r="E24" t="inlineStr">
        <is>
          <t>https://lpjk.pu.go.id/search-badan-usaha-detail/cXFSdGF0ZWd5bUx4QmxpNWJ6TStHZz09</t>
        </is>
      </c>
      <c r="F24" t="n">
        <v>1</v>
      </c>
      <c r="G24" t="inlineStr">
        <is>
          <t>BS001</t>
        </is>
      </c>
      <c r="H24" t="inlineStr">
        <is>
          <t>8 Maret 2013</t>
        </is>
      </c>
      <c r="I24" s="2" t="n">
        <v>46269</v>
      </c>
      <c r="J24" t="inlineStr">
        <is>
          <t>Pencabutan</t>
        </is>
      </c>
      <c r="K24" t="n">
        <v>60</v>
      </c>
      <c r="L24" t="inlineStr">
        <is>
          <t>4 September 2026</t>
        </is>
      </c>
      <c r="M24" t="inlineStr">
        <is>
          <t>Konstruksi Bangunan Sipil Jalan</t>
        </is>
      </c>
      <c r="N24" t="inlineStr">
        <is>
          <t>K</t>
        </is>
      </c>
      <c r="O24" t="inlineStr">
        <is>
          <t>20230903</t>
        </is>
      </c>
      <c r="P24" t="inlineStr">
        <is>
          <t>Sulawesi Barat</t>
        </is>
      </c>
      <c r="Q24" t="inlineStr"/>
    </row>
    <row r="25">
      <c r="A25" t="inlineStr">
        <is>
          <t>ARIA JAYA RAYA</t>
        </is>
      </c>
      <c r="B25" t="inlineStr">
        <is>
          <t>Kab. Lombok Barat</t>
        </is>
      </c>
      <c r="C25" t="inlineStr">
        <is>
          <t>085237354982</t>
        </is>
      </c>
      <c r="D25" t="inlineStr">
        <is>
          <t>ajr.ariajayaraya@gmail.com</t>
        </is>
      </c>
      <c r="E25" t="inlineStr">
        <is>
          <t>https://lpjk.pu.go.id/search-badan-usaha-detail/eHl3VGJ3OW1qcVhCVFpCcjVRUExVUT09</t>
        </is>
      </c>
      <c r="F25" t="n">
        <v>1</v>
      </c>
      <c r="G25" t="inlineStr">
        <is>
          <t>BS001</t>
        </is>
      </c>
      <c r="H25" t="inlineStr">
        <is>
          <t>23 Maret 1983</t>
        </is>
      </c>
      <c r="I25" s="2" t="n">
        <v>46269</v>
      </c>
      <c r="J25" t="inlineStr">
        <is>
          <t>Disetujui</t>
        </is>
      </c>
      <c r="K25" t="n">
        <v>60</v>
      </c>
      <c r="L25" t="inlineStr">
        <is>
          <t>4 September 2026</t>
        </is>
      </c>
      <c r="M25" t="inlineStr">
        <is>
          <t>Konstruksi Bangunan Sipil Jalan</t>
        </is>
      </c>
      <c r="N25" t="inlineStr">
        <is>
          <t>M</t>
        </is>
      </c>
      <c r="O25" t="inlineStr">
        <is>
          <t>20230824</t>
        </is>
      </c>
      <c r="P25" t="inlineStr">
        <is>
          <t>Nusa Tenggara Barat</t>
        </is>
      </c>
      <c r="Q25" t="inlineStr"/>
    </row>
    <row r="26">
      <c r="A26" t="inlineStr">
        <is>
          <t>ARIF JAYA KARYA</t>
        </is>
      </c>
      <c r="B26" t="inlineStr">
        <is>
          <t>Kota Semarang</t>
        </is>
      </c>
      <c r="C26" t="inlineStr">
        <is>
          <t>08562652001</t>
        </is>
      </c>
      <c r="D26" t="inlineStr">
        <is>
          <t>arifjayakarya@gmail.com</t>
        </is>
      </c>
      <c r="E26" t="inlineStr">
        <is>
          <t>https://lpjk.pu.go.id/search-badan-usaha-detail/TGZQNFFMR29qaUNCNmR0NjJMVmdCQT09</t>
        </is>
      </c>
      <c r="F26" t="n">
        <v>1</v>
      </c>
      <c r="G26" t="inlineStr">
        <is>
          <t>BG009</t>
        </is>
      </c>
      <c r="H26" t="inlineStr">
        <is>
          <t>18 Desember 2013</t>
        </is>
      </c>
      <c r="I26" s="2" t="n">
        <v>46269</v>
      </c>
      <c r="J26" t="inlineStr">
        <is>
          <t>Disetujui</t>
        </is>
      </c>
      <c r="K26" t="n">
        <v>60</v>
      </c>
      <c r="L26" t="inlineStr">
        <is>
          <t>4 September 2026</t>
        </is>
      </c>
      <c r="M26" t="inlineStr">
        <is>
          <t>Konstruksi Gedung Lainnya</t>
        </is>
      </c>
      <c r="N26" t="inlineStr">
        <is>
          <t>K</t>
        </is>
      </c>
      <c r="O26" t="inlineStr">
        <is>
          <t>20230901</t>
        </is>
      </c>
      <c r="P26" t="inlineStr">
        <is>
          <t>Jawa Tengah</t>
        </is>
      </c>
      <c r="Q26" t="inlineStr"/>
    </row>
    <row r="27">
      <c r="A27" t="inlineStr">
        <is>
          <t>ARKA KARYA ADIGRAHA</t>
        </is>
      </c>
      <c r="B27" t="inlineStr">
        <is>
          <t>Kota Bandung</t>
        </is>
      </c>
      <c r="C27" t="inlineStr">
        <is>
          <t>0222019676</t>
        </is>
      </c>
      <c r="D27" t="inlineStr">
        <is>
          <t>arkakarya@gmail.com</t>
        </is>
      </c>
      <c r="E27" t="inlineStr">
        <is>
          <t>https://lpjk.pu.go.id/search-badan-usaha-detail/Vm9yTlJjZUtUb28vVmRUaEUyTUNsUT09</t>
        </is>
      </c>
      <c r="F27" t="n">
        <v>2</v>
      </c>
      <c r="G27" t="inlineStr">
        <is>
          <t>BG005, BG006</t>
        </is>
      </c>
      <c r="H27" t="inlineStr">
        <is>
          <t>28 Agustus 2010</t>
        </is>
      </c>
      <c r="I27" s="2" t="n">
        <v>46269</v>
      </c>
      <c r="J27" t="inlineStr">
        <is>
          <t>Disetujui</t>
        </is>
      </c>
      <c r="K27" t="n">
        <v>60</v>
      </c>
      <c r="L27" t="inlineStr">
        <is>
          <t>4 September 2026</t>
        </is>
      </c>
      <c r="M27" t="inlineStr">
        <is>
          <t>Konstruksi Gedung Kesehatan, Konstruksi Gedung Pendidikan</t>
        </is>
      </c>
      <c r="N27" t="inlineStr">
        <is>
          <t>K</t>
        </is>
      </c>
      <c r="O27" t="inlineStr">
        <is>
          <t>20230801, 20230803</t>
        </is>
      </c>
      <c r="P27" t="inlineStr">
        <is>
          <t>Jawa Barat</t>
        </is>
      </c>
      <c r="Q27" t="inlineStr"/>
    </row>
    <row r="28">
      <c r="A28" t="inlineStr">
        <is>
          <t>ARTA</t>
        </is>
      </c>
      <c r="B28" t="inlineStr">
        <is>
          <t>Kab. Tegal</t>
        </is>
      </c>
      <c r="C28" t="inlineStr">
        <is>
          <t>082328604218</t>
        </is>
      </c>
      <c r="D28" t="inlineStr">
        <is>
          <t>artacv9@gmail.com</t>
        </is>
      </c>
      <c r="E28" t="inlineStr">
        <is>
          <t>https://lpjk.pu.go.id/search-badan-usaha-detail/blp2TDlTN0w1ZnV4T3IyQnBHbTh3dz09</t>
        </is>
      </c>
      <c r="F28" t="n">
        <v>1</v>
      </c>
      <c r="G28" t="inlineStr">
        <is>
          <t>BG006</t>
        </is>
      </c>
      <c r="H28" t="inlineStr">
        <is>
          <t>3 Januari 2017</t>
        </is>
      </c>
      <c r="I28" s="2" t="n">
        <v>46269</v>
      </c>
      <c r="J28" t="inlineStr">
        <is>
          <t>Disetujui</t>
        </is>
      </c>
      <c r="K28" t="n">
        <v>60</v>
      </c>
      <c r="L28" t="inlineStr">
        <is>
          <t>4 September 2026</t>
        </is>
      </c>
      <c r="M28" t="inlineStr">
        <is>
          <t>Konstruksi Gedung Pendidikan</t>
        </is>
      </c>
      <c r="N28" t="inlineStr">
        <is>
          <t>K</t>
        </is>
      </c>
      <c r="O28" t="inlineStr">
        <is>
          <t>20230904</t>
        </is>
      </c>
      <c r="P28" t="inlineStr">
        <is>
          <t>Jawa Tengah</t>
        </is>
      </c>
      <c r="Q28" t="inlineStr"/>
    </row>
    <row r="29">
      <c r="A29" t="inlineStr">
        <is>
          <t>ATAR GEMA ABADI</t>
        </is>
      </c>
      <c r="B29" t="inlineStr">
        <is>
          <t>Kota Tasikmalaya</t>
        </is>
      </c>
      <c r="C29" t="inlineStr">
        <is>
          <t>082321165322</t>
        </is>
      </c>
      <c r="D29" t="inlineStr">
        <is>
          <t>cvatargemaabadi@gmail.com</t>
        </is>
      </c>
      <c r="E29" t="inlineStr">
        <is>
          <t>https://lpjk.pu.go.id/search-badan-usaha-detail/dHhQbVFnSExleFBDVFh0ci9mNUZuQT09</t>
        </is>
      </c>
      <c r="F29" t="n">
        <v>1</v>
      </c>
      <c r="G29" t="inlineStr">
        <is>
          <t>BS001</t>
        </is>
      </c>
      <c r="H29" t="inlineStr">
        <is>
          <t>17 Januari 2020</t>
        </is>
      </c>
      <c r="I29" s="2" t="n">
        <v>46269</v>
      </c>
      <c r="J29" t="inlineStr">
        <is>
          <t>Disetujui</t>
        </is>
      </c>
      <c r="K29" t="n">
        <v>60</v>
      </c>
      <c r="L29" t="inlineStr">
        <is>
          <t>4 September 2026</t>
        </is>
      </c>
      <c r="M29" t="inlineStr">
        <is>
          <t>Konstruksi Bangunan Sipil Jalan</t>
        </is>
      </c>
      <c r="N29" t="inlineStr">
        <is>
          <t>K</t>
        </is>
      </c>
      <c r="O29" t="inlineStr">
        <is>
          <t>20230904</t>
        </is>
      </c>
      <c r="P29" t="inlineStr">
        <is>
          <t>Jawa Barat</t>
        </is>
      </c>
      <c r="Q29" t="inlineStr"/>
    </row>
    <row r="30">
      <c r="A30" t="inlineStr">
        <is>
          <t>AXEL ANUGERAH MANDIRI</t>
        </is>
      </c>
      <c r="B30" t="inlineStr">
        <is>
          <t>Kab. Deli Serdang</t>
        </is>
      </c>
      <c r="C30" t="inlineStr">
        <is>
          <t>081360222154</t>
        </is>
      </c>
      <c r="D30" t="inlineStr">
        <is>
          <t>axelanugerahmandiri@gmail.com</t>
        </is>
      </c>
      <c r="E30" t="inlineStr">
        <is>
          <t>https://lpjk.pu.go.id/search-badan-usaha-detail/aCtOVFJTWkxmNXRlL3dXcXRTTHRXdz09</t>
        </is>
      </c>
      <c r="F30" t="n">
        <v>1</v>
      </c>
      <c r="G30" t="inlineStr">
        <is>
          <t>BS001</t>
        </is>
      </c>
      <c r="H30" t="inlineStr">
        <is>
          <t>22 Juni 2023</t>
        </is>
      </c>
      <c r="I30" s="2" t="n">
        <v>46269</v>
      </c>
      <c r="J30" t="inlineStr">
        <is>
          <t>Disetujui</t>
        </is>
      </c>
      <c r="K30" t="n">
        <v>60</v>
      </c>
      <c r="L30" t="inlineStr">
        <is>
          <t>4 September 2026</t>
        </is>
      </c>
      <c r="M30" t="inlineStr">
        <is>
          <t>Konstruksi Bangunan Sipil Jalan</t>
        </is>
      </c>
      <c r="N30" t="inlineStr">
        <is>
          <t>K</t>
        </is>
      </c>
      <c r="O30" t="inlineStr">
        <is>
          <t>20230901</t>
        </is>
      </c>
      <c r="P30" t="inlineStr">
        <is>
          <t>Sumatera Utara</t>
        </is>
      </c>
      <c r="Q30" t="inlineStr"/>
    </row>
    <row r="31">
      <c r="A31" t="inlineStr">
        <is>
          <t>AZKA SANG PEJUANG</t>
        </is>
      </c>
      <c r="B31" t="inlineStr">
        <is>
          <t>Kab. Kampar</t>
        </is>
      </c>
      <c r="C31" t="inlineStr">
        <is>
          <t>085272689951</t>
        </is>
      </c>
      <c r="D31" t="inlineStr">
        <is>
          <t>azkasangp@gmail.com</t>
        </is>
      </c>
      <c r="E31" t="inlineStr">
        <is>
          <t>https://lpjk.pu.go.id/search-badan-usaha-detail/TW43L3F1enByR3FCQlBjeEo3S1QvUT09</t>
        </is>
      </c>
      <c r="F31" t="n">
        <v>1</v>
      </c>
      <c r="G31" t="inlineStr">
        <is>
          <t>BG005</t>
        </is>
      </c>
      <c r="H31" t="inlineStr">
        <is>
          <t>22 Juni 2023</t>
        </is>
      </c>
      <c r="I31" s="2" t="n">
        <v>46269</v>
      </c>
      <c r="J31" t="inlineStr">
        <is>
          <t>Disetujui</t>
        </is>
      </c>
      <c r="K31" t="n">
        <v>60</v>
      </c>
      <c r="L31" t="inlineStr">
        <is>
          <t>4 September 2026</t>
        </is>
      </c>
      <c r="M31" t="inlineStr">
        <is>
          <t>Konstruksi Gedung Kesehatan</t>
        </is>
      </c>
      <c r="N31" t="inlineStr">
        <is>
          <t>K</t>
        </is>
      </c>
      <c r="O31" t="inlineStr">
        <is>
          <t>20230829</t>
        </is>
      </c>
      <c r="P31" t="inlineStr">
        <is>
          <t>Riau</t>
        </is>
      </c>
      <c r="Q31" t="inlineStr"/>
    </row>
    <row r="32">
      <c r="A32" t="inlineStr">
        <is>
          <t>BAKTI SARANA PRATAMA</t>
        </is>
      </c>
      <c r="B32" t="inlineStr">
        <is>
          <t>Kota Makassar</t>
        </is>
      </c>
      <c r="C32" t="inlineStr">
        <is>
          <t>04114676384</t>
        </is>
      </c>
      <c r="D32" t="inlineStr">
        <is>
          <t>yusuftaruk@gmail.com</t>
        </is>
      </c>
      <c r="E32" t="inlineStr">
        <is>
          <t>https://lpjk.pu.go.id/search-badan-usaha-detail/RC9ZaC9SOTFLenNRZDc0cHowWGJhdz09</t>
        </is>
      </c>
      <c r="F32" t="n">
        <v>1</v>
      </c>
      <c r="G32" t="inlineStr">
        <is>
          <t>BS009</t>
        </is>
      </c>
      <c r="H32" t="inlineStr">
        <is>
          <t>11 April 2014</t>
        </is>
      </c>
      <c r="I32" s="2" t="n">
        <v>46269</v>
      </c>
      <c r="J32" t="inlineStr">
        <is>
          <t>Disetujui</t>
        </is>
      </c>
      <c r="K32" t="n">
        <v>60</v>
      </c>
      <c r="L32" t="inlineStr">
        <is>
          <t>4 September 2026</t>
        </is>
      </c>
      <c r="M32" t="inlineStr">
        <is>
          <t>Konstruksi Sentral Telekomunikasi</t>
        </is>
      </c>
      <c r="N32" t="inlineStr">
        <is>
          <t>K</t>
        </is>
      </c>
      <c r="O32" t="inlineStr">
        <is>
          <t>20230902</t>
        </is>
      </c>
      <c r="P32" t="inlineStr">
        <is>
          <t>Sulawesi Selatan</t>
        </is>
      </c>
      <c r="Q32" t="inlineStr"/>
    </row>
    <row r="33">
      <c r="A33" t="inlineStr">
        <is>
          <t>BANGKIT SENTOSA</t>
        </is>
      </c>
      <c r="B33" t="inlineStr">
        <is>
          <t>Kab. Kudus</t>
        </is>
      </c>
      <c r="C33" t="inlineStr">
        <is>
          <t>085741265078</t>
        </is>
      </c>
      <c r="D33" t="inlineStr">
        <is>
          <t>bangkitsentosa11@yahoo.com</t>
        </is>
      </c>
      <c r="E33" t="inlineStr">
        <is>
          <t>https://lpjk.pu.go.id/search-badan-usaha-detail/STNuMXBLdVYrd2lQOHlMQjlwTFI5QT09</t>
        </is>
      </c>
      <c r="F33" t="n">
        <v>1</v>
      </c>
      <c r="G33" t="inlineStr">
        <is>
          <t>BS004</t>
        </is>
      </c>
      <c r="H33" t="inlineStr">
        <is>
          <t>25 Juli 2003</t>
        </is>
      </c>
      <c r="I33" s="2" t="n">
        <v>46269</v>
      </c>
      <c r="J33" t="inlineStr">
        <is>
          <t>Disetujui</t>
        </is>
      </c>
      <c r="K33" t="n">
        <v>60</v>
      </c>
      <c r="L33" t="inlineStr">
        <is>
          <t>4 September 2026</t>
        </is>
      </c>
      <c r="M33" t="inlineStr">
        <is>
          <t>Konstruksi Jaringan Irigasi dan Drainase</t>
        </is>
      </c>
      <c r="N33" t="inlineStr">
        <is>
          <t>K</t>
        </is>
      </c>
      <c r="O33" t="inlineStr">
        <is>
          <t>20230831</t>
        </is>
      </c>
      <c r="P33" t="inlineStr">
        <is>
          <t>Jawa Tengah</t>
        </is>
      </c>
      <c r="Q33" t="inlineStr"/>
    </row>
    <row r="34">
      <c r="A34" t="inlineStr">
        <is>
          <t>BANGUN KONSTRUKSI INDONESIA</t>
        </is>
      </c>
      <c r="B34" t="inlineStr">
        <is>
          <t>Kota Samarinda</t>
        </is>
      </c>
      <c r="C34" t="inlineStr">
        <is>
          <t>0811553013</t>
        </is>
      </c>
      <c r="D34" t="inlineStr">
        <is>
          <t>bangun.konstruksi@yahoo.com</t>
        </is>
      </c>
      <c r="E34" t="inlineStr">
        <is>
          <t>https://lpjk.pu.go.id/search-badan-usaha-detail/L3VpMmpwMm9qZlZTLzFJRHVDMUN0dz09</t>
        </is>
      </c>
      <c r="F34" t="n">
        <v>2</v>
      </c>
      <c r="G34" t="inlineStr">
        <is>
          <t>BS001</t>
        </is>
      </c>
      <c r="H34" t="inlineStr">
        <is>
          <t>2 Februari 2022</t>
        </is>
      </c>
      <c r="I34" s="2" t="n">
        <v>46269</v>
      </c>
      <c r="J34" t="inlineStr">
        <is>
          <t>Disetujui</t>
        </is>
      </c>
      <c r="K34" t="n">
        <v>60</v>
      </c>
      <c r="L34" t="inlineStr">
        <is>
          <t>4 September 2026</t>
        </is>
      </c>
      <c r="M34" t="inlineStr">
        <is>
          <t>Konstruksi Bangunan Sipil Jalan</t>
        </is>
      </c>
      <c r="N34" t="inlineStr">
        <is>
          <t>M</t>
        </is>
      </c>
      <c r="O34" t="inlineStr">
        <is>
          <t>20230528</t>
        </is>
      </c>
      <c r="P34" t="inlineStr">
        <is>
          <t>Kalimantan Timur</t>
        </is>
      </c>
      <c r="Q34" t="inlineStr"/>
    </row>
    <row r="35">
      <c r="A35" t="inlineStr">
        <is>
          <t>BATARA ALTHAR JAYA</t>
        </is>
      </c>
      <c r="B35" t="inlineStr">
        <is>
          <t>Kab. Kubu Raya</t>
        </is>
      </c>
      <c r="C35" t="inlineStr">
        <is>
          <t>085252079794</t>
        </is>
      </c>
      <c r="D35" t="inlineStr">
        <is>
          <t>bataraaltarjaya7@gmail.com</t>
        </is>
      </c>
      <c r="E35" t="inlineStr">
        <is>
          <t>https://lpjk.pu.go.id/search-badan-usaha-detail/WUx0UjdtMS9oT3JNK1lQbDFDM3hwUT09</t>
        </is>
      </c>
      <c r="F35" t="n">
        <v>1</v>
      </c>
      <c r="G35" t="inlineStr">
        <is>
          <t>BS004</t>
        </is>
      </c>
      <c r="H35" t="inlineStr">
        <is>
          <t>2 April 2007</t>
        </is>
      </c>
      <c r="I35" s="2" t="n">
        <v>46269</v>
      </c>
      <c r="J35" t="inlineStr">
        <is>
          <t>Disetujui</t>
        </is>
      </c>
      <c r="K35" t="n">
        <v>60</v>
      </c>
      <c r="L35" t="inlineStr">
        <is>
          <t>4 September 2026</t>
        </is>
      </c>
      <c r="M35" t="inlineStr">
        <is>
          <t>Konstruksi Jaringan Irigasi dan Drainase</t>
        </is>
      </c>
      <c r="N35" t="inlineStr">
        <is>
          <t>K</t>
        </is>
      </c>
      <c r="O35" t="inlineStr">
        <is>
          <t>20230828</t>
        </is>
      </c>
      <c r="P35" t="inlineStr">
        <is>
          <t>Kalimantan Barat</t>
        </is>
      </c>
      <c r="Q35" t="inlineStr"/>
    </row>
    <row r="36">
      <c r="A36" t="inlineStr">
        <is>
          <t>BERDIKARI PAPUA PERKASA</t>
        </is>
      </c>
      <c r="B36" t="inlineStr">
        <is>
          <t>Kab. Jayapura</t>
        </is>
      </c>
      <c r="C36" t="inlineStr">
        <is>
          <t>085244094848</t>
        </is>
      </c>
      <c r="D36" t="inlineStr">
        <is>
          <t>cvberdikaripp@gmail.com</t>
        </is>
      </c>
      <c r="E36" t="inlineStr">
        <is>
          <t>https://lpjk.pu.go.id/search-badan-usaha-detail/L3hJVWloeml2YmovMFNXVi8rcWdhZz09</t>
        </is>
      </c>
      <c r="F36" t="n">
        <v>1</v>
      </c>
      <c r="G36" t="inlineStr">
        <is>
          <t>BS005</t>
        </is>
      </c>
      <c r="H36" t="inlineStr">
        <is>
          <t>3 Februari 2016</t>
        </is>
      </c>
      <c r="I36" s="2" t="n">
        <v>46269</v>
      </c>
      <c r="J36" t="inlineStr">
        <is>
          <t>Pencabutan</t>
        </is>
      </c>
      <c r="K36" t="n">
        <v>60</v>
      </c>
      <c r="L36" t="inlineStr">
        <is>
          <t>4 September 2026</t>
        </is>
      </c>
      <c r="M36" t="inlineStr">
        <is>
          <t>Konstruksi Bangunan Sipil Pengolahan Air Bersih</t>
        </is>
      </c>
      <c r="N36" t="inlineStr">
        <is>
          <t>K</t>
        </is>
      </c>
      <c r="O36" t="inlineStr">
        <is>
          <t>20230905</t>
        </is>
      </c>
      <c r="P36" t="inlineStr">
        <is>
          <t>Papua</t>
        </is>
      </c>
      <c r="Q36" t="inlineStr"/>
    </row>
    <row r="37">
      <c r="A37" t="inlineStr">
        <is>
          <t>BERDIKARI PRIMA</t>
        </is>
      </c>
      <c r="B37" t="inlineStr">
        <is>
          <t>Kab. Tegal</t>
        </is>
      </c>
      <c r="C37" t="inlineStr">
        <is>
          <t>085842020138</t>
        </is>
      </c>
      <c r="D37" t="inlineStr">
        <is>
          <t>berdikari.prima@yahoo.co.id</t>
        </is>
      </c>
      <c r="E37" t="inlineStr">
        <is>
          <t>https://lpjk.pu.go.id/search-badan-usaha-detail/WXNSKy92d2hZZWk5Sm10aHlwMXR2QT09</t>
        </is>
      </c>
      <c r="F37" t="n">
        <v>1</v>
      </c>
      <c r="G37" t="inlineStr">
        <is>
          <t>BG006</t>
        </is>
      </c>
      <c r="H37" t="inlineStr">
        <is>
          <t>22 Juni 2012</t>
        </is>
      </c>
      <c r="I37" s="2" t="n">
        <v>46269</v>
      </c>
      <c r="J37" t="inlineStr">
        <is>
          <t>Disetujui</t>
        </is>
      </c>
      <c r="K37" t="n">
        <v>60</v>
      </c>
      <c r="L37" t="inlineStr">
        <is>
          <t>4 September 2026</t>
        </is>
      </c>
      <c r="M37" t="inlineStr">
        <is>
          <t>Konstruksi Gedung Pendidikan</t>
        </is>
      </c>
      <c r="N37" t="inlineStr">
        <is>
          <t>K</t>
        </is>
      </c>
      <c r="O37" t="inlineStr">
        <is>
          <t>20230830</t>
        </is>
      </c>
      <c r="P37" t="inlineStr">
        <is>
          <t>Jawa Tengah</t>
        </is>
      </c>
      <c r="Q37" t="inlineStr"/>
    </row>
    <row r="38">
      <c r="A38" t="inlineStr">
        <is>
          <t>BERINGIN JAYA KONSTRUKSI</t>
        </is>
      </c>
      <c r="B38" t="inlineStr">
        <is>
          <t>Kab. Kuantan Singingi</t>
        </is>
      </c>
      <c r="C38" t="inlineStr">
        <is>
          <t>087793297857</t>
        </is>
      </c>
      <c r="D38" t="inlineStr">
        <is>
          <t>cv.beringinjayakonstruksi@gmail.com</t>
        </is>
      </c>
      <c r="E38" t="inlineStr">
        <is>
          <t>https://lpjk.pu.go.id/search-badan-usaha-detail/by9NUTgrbjdqaTFjODhDRWR4bTl2Zz09</t>
        </is>
      </c>
      <c r="F38" t="n">
        <v>1</v>
      </c>
      <c r="G38" t="inlineStr">
        <is>
          <t>BS001</t>
        </is>
      </c>
      <c r="H38" t="inlineStr">
        <is>
          <t>3 September 2022</t>
        </is>
      </c>
      <c r="I38" s="2" t="n">
        <v>46269</v>
      </c>
      <c r="J38" t="inlineStr">
        <is>
          <t>Disetujui</t>
        </is>
      </c>
      <c r="K38" t="n">
        <v>60</v>
      </c>
      <c r="L38" t="inlineStr">
        <is>
          <t>4 September 2026</t>
        </is>
      </c>
      <c r="M38" t="inlineStr">
        <is>
          <t>Konstruksi Bangunan Sipil Jalan</t>
        </is>
      </c>
      <c r="N38" t="inlineStr">
        <is>
          <t>K</t>
        </is>
      </c>
      <c r="O38" t="inlineStr">
        <is>
          <t>20230904</t>
        </is>
      </c>
      <c r="P38" t="inlineStr">
        <is>
          <t>Riau</t>
        </is>
      </c>
      <c r="Q38" t="inlineStr"/>
    </row>
    <row r="39">
      <c r="A39" t="inlineStr">
        <is>
          <t>BERKAH LANCAR JAYA</t>
        </is>
      </c>
      <c r="B39" t="inlineStr">
        <is>
          <t>Kab. Tegal</t>
        </is>
      </c>
      <c r="C39" t="inlineStr">
        <is>
          <t>085786309800</t>
        </is>
      </c>
      <c r="D39" t="inlineStr">
        <is>
          <t>cv.berkahlancarjaya@gmail.com</t>
        </is>
      </c>
      <c r="E39" t="inlineStr">
        <is>
          <t>https://lpjk.pu.go.id/search-badan-usaha-detail/UUVNYWxUcTZZRHg2QVZkOEpBazluUT09</t>
        </is>
      </c>
      <c r="F39" t="n">
        <v>2</v>
      </c>
      <c r="G39" t="inlineStr">
        <is>
          <t>BS016</t>
        </is>
      </c>
      <c r="H39" t="inlineStr">
        <is>
          <t>25 Januari 2013</t>
        </is>
      </c>
      <c r="I39" s="2" t="n">
        <v>46269</v>
      </c>
      <c r="J39" t="inlineStr">
        <is>
          <t>Disetujui</t>
        </is>
      </c>
      <c r="K39" t="n">
        <v>60</v>
      </c>
      <c r="L39" t="inlineStr">
        <is>
          <t>4 September 2026</t>
        </is>
      </c>
      <c r="M39" t="inlineStr">
        <is>
          <t>Konstruksi Bangunan Sipil Fasilitas Olah Raga</t>
        </is>
      </c>
      <c r="N39" t="inlineStr">
        <is>
          <t>K</t>
        </is>
      </c>
      <c r="O39" t="inlineStr">
        <is>
          <t>20230902</t>
        </is>
      </c>
      <c r="P39" t="inlineStr">
        <is>
          <t>Jawa Tengah</t>
        </is>
      </c>
      <c r="Q39" t="inlineStr"/>
    </row>
    <row r="40">
      <c r="A40" t="inlineStr">
        <is>
          <t>BERKAT ANUGERAH</t>
        </is>
      </c>
      <c r="B40" t="inlineStr">
        <is>
          <t>Kab. Kutai Timur</t>
        </is>
      </c>
      <c r="C40" t="inlineStr">
        <is>
          <t>081347533384</t>
        </is>
      </c>
      <c r="D40" t="inlineStr">
        <is>
          <t>berkatanugerah.cv@yahoo.com</t>
        </is>
      </c>
      <c r="E40" t="inlineStr">
        <is>
          <t>https://lpjk.pu.go.id/search-badan-usaha-detail/K0R0cE52K0JTM0RFdVM3K29INjdUZz09</t>
        </is>
      </c>
      <c r="F40" t="n">
        <v>2</v>
      </c>
      <c r="G40" t="inlineStr">
        <is>
          <t>BS001</t>
        </is>
      </c>
      <c r="H40" t="inlineStr">
        <is>
          <t>10 September 2014</t>
        </is>
      </c>
      <c r="I40" s="2" t="n">
        <v>46269</v>
      </c>
      <c r="J40" t="inlineStr">
        <is>
          <t>Disetujui</t>
        </is>
      </c>
      <c r="K40" t="n">
        <v>60</v>
      </c>
      <c r="L40" t="inlineStr">
        <is>
          <t>4 September 2026</t>
        </is>
      </c>
      <c r="M40" t="inlineStr">
        <is>
          <t>Konstruksi Bangunan Sipil Jalan</t>
        </is>
      </c>
      <c r="N40" t="inlineStr">
        <is>
          <t>K</t>
        </is>
      </c>
      <c r="O40" t="inlineStr">
        <is>
          <t>20230905</t>
        </is>
      </c>
      <c r="P40" t="inlineStr">
        <is>
          <t>Kalimantan Timur</t>
        </is>
      </c>
      <c r="Q40" t="inlineStr"/>
    </row>
    <row r="41">
      <c r="A41" t="inlineStr">
        <is>
          <t>BERKAT CEMERLANG</t>
        </is>
      </c>
      <c r="B41" t="inlineStr">
        <is>
          <t>Kota Bitung</t>
        </is>
      </c>
      <c r="C41" t="inlineStr">
        <is>
          <t>081340590981</t>
        </is>
      </c>
      <c r="D41" t="inlineStr">
        <is>
          <t>andristuange16@gmail.com</t>
        </is>
      </c>
      <c r="E41" t="inlineStr">
        <is>
          <t>https://lpjk.pu.go.id/search-badan-usaha-detail/RlpCanJjSVVWL1VJRFJKQmt6N001Zz09</t>
        </is>
      </c>
      <c r="F41" t="n">
        <v>2</v>
      </c>
      <c r="G41" t="inlineStr">
        <is>
          <t>BG009</t>
        </is>
      </c>
      <c r="H41" t="inlineStr">
        <is>
          <t>6 Maret 2018</t>
        </is>
      </c>
      <c r="I41" s="2" t="n">
        <v>46269</v>
      </c>
      <c r="J41" t="inlineStr">
        <is>
          <t>Disetujui</t>
        </is>
      </c>
      <c r="K41" t="n">
        <v>60</v>
      </c>
      <c r="L41" t="inlineStr">
        <is>
          <t>4 September 2026</t>
        </is>
      </c>
      <c r="M41" t="inlineStr">
        <is>
          <t>Konstruksi Gedung Lainnya</t>
        </is>
      </c>
      <c r="N41" t="inlineStr">
        <is>
          <t>K</t>
        </is>
      </c>
      <c r="O41" t="inlineStr">
        <is>
          <t>20230831</t>
        </is>
      </c>
      <c r="P41" t="inlineStr">
        <is>
          <t>Sulawesi Utara</t>
        </is>
      </c>
      <c r="Q41" t="inlineStr"/>
    </row>
    <row r="42">
      <c r="A42" t="inlineStr">
        <is>
          <t>BESTARIA CIPTA ENJINERING</t>
        </is>
      </c>
      <c r="B42" t="inlineStr">
        <is>
          <t>Kota Pekanbaru</t>
        </is>
      </c>
      <c r="C42" t="inlineStr">
        <is>
          <t>081378261101</t>
        </is>
      </c>
      <c r="D42" t="inlineStr">
        <is>
          <t>zuluoscar2020@yahoo.com</t>
        </is>
      </c>
      <c r="E42" t="inlineStr">
        <is>
          <t>https://lpjk.pu.go.id/search-badan-usaha-detail/dy9rRG5rMlpMb1ljS3Z4bjM0ZEF0UT09</t>
        </is>
      </c>
      <c r="F42" t="n">
        <v>2</v>
      </c>
      <c r="G42" t="inlineStr">
        <is>
          <t>IN004</t>
        </is>
      </c>
      <c r="H42" t="inlineStr">
        <is>
          <t>19 Mei 2010</t>
        </is>
      </c>
      <c r="I42" s="2" t="n">
        <v>46269</v>
      </c>
      <c r="J42" t="inlineStr">
        <is>
          <t>Disetujui</t>
        </is>
      </c>
      <c r="K42" t="n">
        <v>60</v>
      </c>
      <c r="L42" t="inlineStr">
        <is>
          <t>4 September 2026</t>
        </is>
      </c>
      <c r="M42" t="inlineStr">
        <is>
          <t>Instalasi Minyak dan Gas</t>
        </is>
      </c>
      <c r="N42" t="inlineStr">
        <is>
          <t>Spesialis</t>
        </is>
      </c>
      <c r="O42" t="inlineStr">
        <is>
          <t>20230829</t>
        </is>
      </c>
      <c r="P42" t="inlineStr">
        <is>
          <t>Riau</t>
        </is>
      </c>
      <c r="Q42" t="inlineStr"/>
    </row>
    <row r="43">
      <c r="A43" t="inlineStr">
        <is>
          <t>BESTINDO PUTRA MANDIRI</t>
        </is>
      </c>
      <c r="B43" t="inlineStr">
        <is>
          <t>Kota Bandung</t>
        </is>
      </c>
      <c r="C43" t="inlineStr">
        <is>
          <t>0215385035</t>
        </is>
      </c>
      <c r="D43" t="inlineStr">
        <is>
          <t>bestindo.bpm@gmail.com</t>
        </is>
      </c>
      <c r="E43" t="inlineStr">
        <is>
          <t>https://lpjk.pu.go.id/search-badan-usaha-detail/V0hrNkFaeDJpeVV4Ulc4MXdvZGNXZz09</t>
        </is>
      </c>
      <c r="F43" t="n">
        <v>2</v>
      </c>
      <c r="G43" t="inlineStr">
        <is>
          <t>BS002</t>
        </is>
      </c>
      <c r="H43" t="inlineStr">
        <is>
          <t>20 Januari 1997</t>
        </is>
      </c>
      <c r="I43" s="2" t="n">
        <v>46269</v>
      </c>
      <c r="J43" t="inlineStr">
        <is>
          <t>Pencabutan</t>
        </is>
      </c>
      <c r="K43" t="n">
        <v>60</v>
      </c>
      <c r="L43" t="inlineStr">
        <is>
          <t>4 September 2026</t>
        </is>
      </c>
      <c r="M43" t="inlineStr">
        <is>
          <t>Bangunan Sipil Jembatan, Jalan Layang, Fly Over, dan Underpass</t>
        </is>
      </c>
      <c r="N43" t="inlineStr">
        <is>
          <t>K</t>
        </is>
      </c>
      <c r="O43" t="inlineStr">
        <is>
          <t>20230904</t>
        </is>
      </c>
      <c r="P43" t="inlineStr">
        <is>
          <t>Jawa Barat</t>
        </is>
      </c>
      <c r="Q43" t="inlineStr"/>
    </row>
    <row r="44">
      <c r="A44" t="inlineStr">
        <is>
          <t>BETON ELEMENINDO PUTRA</t>
        </is>
      </c>
      <c r="B44" t="inlineStr">
        <is>
          <t>Kab. Bandung Barat</t>
        </is>
      </c>
      <c r="C44" t="inlineStr">
        <is>
          <t>0226867077</t>
        </is>
      </c>
      <c r="D44" t="inlineStr">
        <is>
          <t>ella.nurlella@b-panel.com</t>
        </is>
      </c>
      <c r="E44" t="inlineStr">
        <is>
          <t>https://lpjk.pu.go.id/search-badan-usaha-detail/UWhSTkdMU3BYemNSdkNpMWczSWpyUT09</t>
        </is>
      </c>
      <c r="F44" t="n">
        <v>1</v>
      </c>
      <c r="G44" t="inlineStr">
        <is>
          <t>KP002</t>
        </is>
      </c>
      <c r="H44" t="inlineStr">
        <is>
          <t>28 Januari 2020</t>
        </is>
      </c>
      <c r="I44" s="2" t="n">
        <v>46269</v>
      </c>
      <c r="J44" t="inlineStr">
        <is>
          <t>Pembekuan</t>
        </is>
      </c>
      <c r="K44" t="n">
        <v>60</v>
      </c>
      <c r="L44" t="inlineStr">
        <is>
          <t>4 September 2026</t>
        </is>
      </c>
      <c r="M44" t="inlineStr">
        <is>
          <t>Pekerjaan Konstruksi Prapabrikasi Bangunan Sipil</t>
        </is>
      </c>
      <c r="N44" t="inlineStr">
        <is>
          <t>Spesialis</t>
        </is>
      </c>
      <c r="O44" t="inlineStr">
        <is>
          <t>20230720</t>
        </is>
      </c>
      <c r="P44" t="inlineStr">
        <is>
          <t>Jawa Barat</t>
        </is>
      </c>
      <c r="Q44" t="inlineStr"/>
    </row>
    <row r="45">
      <c r="A45" t="inlineStr">
        <is>
          <t>BIMA UTAMA RAYA</t>
        </is>
      </c>
      <c r="B45" t="inlineStr">
        <is>
          <t>Kab. Bojonegoro</t>
        </is>
      </c>
      <c r="C45" t="inlineStr">
        <is>
          <t>085335655295</t>
        </is>
      </c>
      <c r="D45" t="inlineStr">
        <is>
          <t>cvbimautamaraya@gmail.com</t>
        </is>
      </c>
      <c r="E45" t="inlineStr">
        <is>
          <t>https://lpjk.pu.go.id/search-badan-usaha-detail/dGdRNVg3UFpvVVBKY1pKYm15WWludz09</t>
        </is>
      </c>
      <c r="F45" t="n">
        <v>1</v>
      </c>
      <c r="G45" t="inlineStr">
        <is>
          <t>BG006</t>
        </is>
      </c>
      <c r="H45" t="inlineStr">
        <is>
          <t>8 Juni 2023</t>
        </is>
      </c>
      <c r="I45" s="2" t="n">
        <v>46269</v>
      </c>
      <c r="J45" t="inlineStr">
        <is>
          <t>Disetujui</t>
        </is>
      </c>
      <c r="K45" t="n">
        <v>60</v>
      </c>
      <c r="L45" t="inlineStr">
        <is>
          <t>4 September 2026</t>
        </is>
      </c>
      <c r="M45" t="inlineStr">
        <is>
          <t>Konstruksi Gedung Pendidikan</t>
        </is>
      </c>
      <c r="N45" t="inlineStr">
        <is>
          <t>K</t>
        </is>
      </c>
      <c r="O45" t="inlineStr">
        <is>
          <t>20230819</t>
        </is>
      </c>
      <c r="P45" t="inlineStr">
        <is>
          <t>Jawa Timur</t>
        </is>
      </c>
      <c r="Q45" t="inlineStr"/>
    </row>
    <row r="46">
      <c r="A46" t="inlineStr">
        <is>
          <t>BINA RAYA</t>
        </is>
      </c>
      <c r="B46" t="inlineStr">
        <is>
          <t>Kab. Ciamis</t>
        </is>
      </c>
      <c r="C46" t="inlineStr">
        <is>
          <t>085322971414</t>
        </is>
      </c>
      <c r="D46" t="inlineStr">
        <is>
          <t>binaraya07@yahoo.com</t>
        </is>
      </c>
      <c r="E46" t="inlineStr">
        <is>
          <t>https://lpjk.pu.go.id/search-badan-usaha-detail/OW5PMzJtcnZYU2gxc1BtQmR0aElTQT09</t>
        </is>
      </c>
      <c r="F46" t="n">
        <v>1</v>
      </c>
      <c r="G46" t="inlineStr">
        <is>
          <t>BS001</t>
        </is>
      </c>
      <c r="H46" t="inlineStr">
        <is>
          <t>2 Februari 1985</t>
        </is>
      </c>
      <c r="I46" s="2" t="n">
        <v>46269</v>
      </c>
      <c r="J46" t="inlineStr">
        <is>
          <t>Disetujui</t>
        </is>
      </c>
      <c r="K46" t="n">
        <v>60</v>
      </c>
      <c r="L46" t="inlineStr">
        <is>
          <t>4 September 2026</t>
        </is>
      </c>
      <c r="M46" t="inlineStr">
        <is>
          <t>Konstruksi Bangunan Sipil Jalan</t>
        </is>
      </c>
      <c r="N46" t="inlineStr">
        <is>
          <t>K</t>
        </is>
      </c>
      <c r="O46" t="inlineStr">
        <is>
          <t>20230727</t>
        </is>
      </c>
      <c r="P46" t="inlineStr">
        <is>
          <t>Jawa Barat</t>
        </is>
      </c>
      <c r="Q46" t="inlineStr"/>
    </row>
    <row r="47">
      <c r="A47" t="inlineStr">
        <is>
          <t>BINTANG ABADI TEKNIK</t>
        </is>
      </c>
      <c r="B47" t="inlineStr">
        <is>
          <t>Kota Kediri</t>
        </is>
      </c>
      <c r="C47" t="inlineStr">
        <is>
          <t>081331196999</t>
        </is>
      </c>
      <c r="D47" t="inlineStr">
        <is>
          <t>bintangabaditeknik_bat@yahoo.co.id</t>
        </is>
      </c>
      <c r="E47" t="inlineStr">
        <is>
          <t>https://lpjk.pu.go.id/search-badan-usaha-detail/Y0ZGYSswSEtGWXpUVFRFK2pSS3E4Zz09</t>
        </is>
      </c>
      <c r="F47" t="n">
        <v>2</v>
      </c>
      <c r="G47" t="inlineStr">
        <is>
          <t>IN001</t>
        </is>
      </c>
      <c r="H47" t="inlineStr">
        <is>
          <t>24 Januari 2012</t>
        </is>
      </c>
      <c r="I47" s="2" t="n">
        <v>46269</v>
      </c>
      <c r="J47" t="inlineStr">
        <is>
          <t>Disetujui</t>
        </is>
      </c>
      <c r="K47" t="n">
        <v>60</v>
      </c>
      <c r="L47" t="inlineStr">
        <is>
          <t>4 September 2026</t>
        </is>
      </c>
      <c r="M47" t="inlineStr">
        <is>
          <t>Instalasi Mekanikal</t>
        </is>
      </c>
      <c r="N47" t="inlineStr">
        <is>
          <t>Spesialis</t>
        </is>
      </c>
      <c r="O47" t="inlineStr">
        <is>
          <t>20230904</t>
        </is>
      </c>
      <c r="P47" t="inlineStr">
        <is>
          <t>Jawa Timur</t>
        </is>
      </c>
      <c r="Q47" t="inlineStr"/>
    </row>
    <row r="48">
      <c r="A48" t="inlineStr">
        <is>
          <t>BINTANG ADHARA</t>
        </is>
      </c>
      <c r="B48" t="inlineStr">
        <is>
          <t>Kab. Garut</t>
        </is>
      </c>
      <c r="C48" t="inlineStr">
        <is>
          <t>085210838077</t>
        </is>
      </c>
      <c r="D48" t="inlineStr">
        <is>
          <t>cv.bintangadhara@gmail.com</t>
        </is>
      </c>
      <c r="E48" t="inlineStr">
        <is>
          <t>https://lpjk.pu.go.id/search-badan-usaha-detail/Y3QxeXc0YUlmWFZrK2EvZWJUT2dvdz09</t>
        </is>
      </c>
      <c r="F48" t="n">
        <v>2</v>
      </c>
      <c r="G48" t="inlineStr">
        <is>
          <t>BG009</t>
        </is>
      </c>
      <c r="H48" t="inlineStr">
        <is>
          <t>4 April 2019</t>
        </is>
      </c>
      <c r="I48" s="2" t="n">
        <v>46269</v>
      </c>
      <c r="J48" t="inlineStr">
        <is>
          <t>Disetujui</t>
        </is>
      </c>
      <c r="K48" t="n">
        <v>60</v>
      </c>
      <c r="L48" t="inlineStr">
        <is>
          <t>4 September 2026</t>
        </is>
      </c>
      <c r="M48" t="inlineStr">
        <is>
          <t>Konstruksi Gedung Lainnya</t>
        </is>
      </c>
      <c r="N48" t="inlineStr">
        <is>
          <t>K</t>
        </is>
      </c>
      <c r="O48" t="inlineStr">
        <is>
          <t>20230905</t>
        </is>
      </c>
      <c r="P48" t="inlineStr">
        <is>
          <t>Jawa Barat</t>
        </is>
      </c>
      <c r="Q48" t="inlineStr"/>
    </row>
    <row r="49">
      <c r="A49" t="inlineStr">
        <is>
          <t>BINTANG LINTAS INDONESIA</t>
        </is>
      </c>
      <c r="B49" t="inlineStr">
        <is>
          <t>Kota Padang</t>
        </is>
      </c>
      <c r="C49" t="inlineStr">
        <is>
          <t>082384123272</t>
        </is>
      </c>
      <c r="D49" t="inlineStr">
        <is>
          <t>clintasindonesia@gmail.com</t>
        </is>
      </c>
      <c r="E49" t="inlineStr">
        <is>
          <t>https://lpjk.pu.go.id/search-badan-usaha-detail/WDRkVTFiTVlPU0FVS2pwQjlLY2lhUT09</t>
        </is>
      </c>
      <c r="F49" t="n">
        <v>2</v>
      </c>
      <c r="G49" t="inlineStr">
        <is>
          <t>BS005</t>
        </is>
      </c>
      <c r="H49" t="inlineStr">
        <is>
          <t>9 Februari 2023</t>
        </is>
      </c>
      <c r="I49" s="2" t="n">
        <v>46269</v>
      </c>
      <c r="J49" t="inlineStr">
        <is>
          <t>Disetujui</t>
        </is>
      </c>
      <c r="K49" t="n">
        <v>60</v>
      </c>
      <c r="L49" t="inlineStr">
        <is>
          <t>4 September 2026</t>
        </is>
      </c>
      <c r="M49" t="inlineStr">
        <is>
          <t>Konstruksi Bangunan Sipil Pengolahan Air Bersih</t>
        </is>
      </c>
      <c r="N49" t="inlineStr">
        <is>
          <t>K</t>
        </is>
      </c>
      <c r="O49" t="inlineStr">
        <is>
          <t>20230904</t>
        </is>
      </c>
      <c r="P49" t="inlineStr">
        <is>
          <t>Sumatera Barat</t>
        </is>
      </c>
      <c r="Q49" t="inlineStr"/>
    </row>
    <row r="50">
      <c r="A50" t="inlineStr">
        <is>
          <t>BORNEO BELVA ADINATA</t>
        </is>
      </c>
      <c r="B50" t="inlineStr">
        <is>
          <t>Kab. Paser</t>
        </is>
      </c>
      <c r="C50" t="inlineStr">
        <is>
          <t>083848350007</t>
        </is>
      </c>
      <c r="D50" t="inlineStr">
        <is>
          <t>ptborneobelvaa@gmail.com</t>
        </is>
      </c>
      <c r="E50" t="inlineStr">
        <is>
          <t>https://lpjk.pu.go.id/search-badan-usaha-detail/TUVHZDgybE9UQmZQUit4eEszUzlkZz09</t>
        </is>
      </c>
      <c r="F50" t="n">
        <v>2</v>
      </c>
      <c r="G50" t="inlineStr">
        <is>
          <t>BS001, BS002</t>
        </is>
      </c>
      <c r="H50" t="inlineStr">
        <is>
          <t>23 Desember 2015</t>
        </is>
      </c>
      <c r="I50" s="2" t="n">
        <v>46269</v>
      </c>
      <c r="J50" t="inlineStr">
        <is>
          <t>Disetujui</t>
        </is>
      </c>
      <c r="K50" t="n">
        <v>60</v>
      </c>
      <c r="L50" t="inlineStr">
        <is>
          <t>4 September 2026</t>
        </is>
      </c>
      <c r="M50" t="inlineStr">
        <is>
          <t>Bangunan Sipil Jembatan, Jalan Layang, Fly Over, dan Underpass, Konstruksi Bangunan Sipil Jalan</t>
        </is>
      </c>
      <c r="N50" t="inlineStr">
        <is>
          <t>K</t>
        </is>
      </c>
      <c r="O50" t="inlineStr">
        <is>
          <t>20230904</t>
        </is>
      </c>
      <c r="P50" t="inlineStr">
        <is>
          <t>Kalimantan Timur</t>
        </is>
      </c>
      <c r="Q50" t="inlineStr"/>
    </row>
    <row r="51">
      <c r="A51" t="inlineStr">
        <is>
          <t>BUAH BOLOK MAHAKAM</t>
        </is>
      </c>
      <c r="B51" t="inlineStr">
        <is>
          <t>Kota Samarinda</t>
        </is>
      </c>
      <c r="C51" t="inlineStr">
        <is>
          <t>085250325111</t>
        </is>
      </c>
      <c r="D51" t="inlineStr">
        <is>
          <t>buahbolokmahakam@gmail.com</t>
        </is>
      </c>
      <c r="E51" t="inlineStr">
        <is>
          <t>https://lpjk.pu.go.id/search-badan-usaha-detail/aXNWMjduUkhoU0FHVDNFczZTL1N3QT09</t>
        </is>
      </c>
      <c r="F51" t="n">
        <v>5</v>
      </c>
      <c r="G51" t="inlineStr">
        <is>
          <t>BG001, BG002, BG005, BG008, BG009</t>
        </is>
      </c>
      <c r="H51" t="inlineStr">
        <is>
          <t>15 Desember 2020</t>
        </is>
      </c>
      <c r="I51" s="2" t="n">
        <v>46269</v>
      </c>
      <c r="J51" t="inlineStr">
        <is>
          <t>Pencabutan</t>
        </is>
      </c>
      <c r="K51" t="n">
        <v>60</v>
      </c>
      <c r="L51" t="inlineStr">
        <is>
          <t>4 September 2026</t>
        </is>
      </c>
      <c r="M51" t="inlineStr">
        <is>
          <t>Konstruksi Gedung Hunian, Konstruksi Gedung Kesehatan, Konstruksi Gedung Lainnya, Konstruksi Gedung Perkantoran, Konstruksi Gedung Tempat Hiburan dan Olahraga</t>
        </is>
      </c>
      <c r="N51" t="inlineStr">
        <is>
          <t>K</t>
        </is>
      </c>
      <c r="O51" t="inlineStr">
        <is>
          <t>20230826</t>
        </is>
      </c>
      <c r="P51" t="inlineStr">
        <is>
          <t>Kalimantan Timur</t>
        </is>
      </c>
      <c r="Q51" t="inlineStr"/>
    </row>
    <row r="52">
      <c r="A52" t="inlineStr">
        <is>
          <t>CAHAYA HATI</t>
        </is>
      </c>
      <c r="B52" t="inlineStr">
        <is>
          <t>Kota Samarinda</t>
        </is>
      </c>
      <c r="C52" t="inlineStr">
        <is>
          <t>0812 5814 778_</t>
        </is>
      </c>
      <c r="D52" t="inlineStr">
        <is>
          <t>tawakal_hati@yahoo.co.id</t>
        </is>
      </c>
      <c r="E52" t="inlineStr">
        <is>
          <t>https://lpjk.pu.go.id/search-badan-usaha-detail/YWN0TlU4eFNLaExEczFrUTNTNFZ1QT09</t>
        </is>
      </c>
      <c r="F52" t="n">
        <v>1</v>
      </c>
      <c r="G52" t="inlineStr">
        <is>
          <t>BG001</t>
        </is>
      </c>
      <c r="H52" t="inlineStr">
        <is>
          <t>10 September 2007</t>
        </is>
      </c>
      <c r="I52" s="2" t="n">
        <v>46269</v>
      </c>
      <c r="J52" t="inlineStr">
        <is>
          <t>Disetujui</t>
        </is>
      </c>
      <c r="K52" t="n">
        <v>60</v>
      </c>
      <c r="L52" t="inlineStr">
        <is>
          <t>4 September 2026</t>
        </is>
      </c>
      <c r="M52" t="inlineStr">
        <is>
          <t>Konstruksi Gedung Hunian</t>
        </is>
      </c>
      <c r="N52" t="inlineStr">
        <is>
          <t>K</t>
        </is>
      </c>
      <c r="O52" t="inlineStr">
        <is>
          <t>20230829</t>
        </is>
      </c>
      <c r="P52" t="inlineStr">
        <is>
          <t>Kalimantan Timur</t>
        </is>
      </c>
      <c r="Q52" t="inlineStr"/>
    </row>
    <row r="53">
      <c r="A53" t="inlineStr">
        <is>
          <t>CAHAYA HAVIZA</t>
        </is>
      </c>
      <c r="B53" t="inlineStr">
        <is>
          <t>Kab. Karimun</t>
        </is>
      </c>
      <c r="C53" t="inlineStr">
        <is>
          <t>085264468768</t>
        </is>
      </c>
      <c r="D53" t="inlineStr">
        <is>
          <t>mawardi1907@gmail.com</t>
        </is>
      </c>
      <c r="E53" t="inlineStr">
        <is>
          <t>https://lpjk.pu.go.id/search-badan-usaha-detail/ZWdBMmhBdmxpQU9QdlhuOTVacG1aZz09</t>
        </is>
      </c>
      <c r="F53" t="n">
        <v>1</v>
      </c>
      <c r="G53" t="inlineStr">
        <is>
          <t>BS001</t>
        </is>
      </c>
      <c r="H53" t="inlineStr">
        <is>
          <t>24 Februari 2006</t>
        </is>
      </c>
      <c r="I53" s="2" t="n">
        <v>46269</v>
      </c>
      <c r="J53" t="inlineStr">
        <is>
          <t>Disetujui</t>
        </is>
      </c>
      <c r="K53" t="n">
        <v>60</v>
      </c>
      <c r="L53" t="inlineStr">
        <is>
          <t>4 September 2026</t>
        </is>
      </c>
      <c r="M53" t="inlineStr">
        <is>
          <t>Konstruksi Bangunan Sipil Jalan</t>
        </is>
      </c>
      <c r="N53" t="inlineStr">
        <is>
          <t>K</t>
        </is>
      </c>
      <c r="O53" t="inlineStr">
        <is>
          <t>20230904</t>
        </is>
      </c>
      <c r="P53" t="inlineStr">
        <is>
          <t>Kepulauan Riau</t>
        </is>
      </c>
      <c r="Q53" t="inlineStr"/>
    </row>
    <row r="54">
      <c r="A54" t="inlineStr">
        <is>
          <t>CAHAYA KOBE MANDIRI</t>
        </is>
      </c>
      <c r="B54" t="inlineStr">
        <is>
          <t>Kota Batam</t>
        </is>
      </c>
      <c r="C54" t="inlineStr">
        <is>
          <t>0778463931</t>
        </is>
      </c>
      <c r="D54" t="inlineStr">
        <is>
          <t>cahayakobemandiri@gmail.com</t>
        </is>
      </c>
      <c r="E54" t="inlineStr">
        <is>
          <t>https://lpjk.pu.go.id/search-badan-usaha-detail/UVNLbmdKai9DYXdHVlE5Nm1Ra25HQT09</t>
        </is>
      </c>
      <c r="F54" t="n">
        <v>1</v>
      </c>
      <c r="G54" t="inlineStr">
        <is>
          <t>PL003</t>
        </is>
      </c>
      <c r="H54" t="inlineStr">
        <is>
          <t>16 Desember 2011</t>
        </is>
      </c>
      <c r="I54" s="2" t="n">
        <v>46269</v>
      </c>
      <c r="J54" t="inlineStr">
        <is>
          <t>Disetujui</t>
        </is>
      </c>
      <c r="K54" t="n">
        <v>60</v>
      </c>
      <c r="L54" t="inlineStr">
        <is>
          <t>4 September 2026</t>
        </is>
      </c>
      <c r="M54" t="inlineStr">
        <is>
          <t>Penyiapan Lahan Konstruksi</t>
        </is>
      </c>
      <c r="N54" t="inlineStr">
        <is>
          <t>Spesialis</t>
        </is>
      </c>
      <c r="O54" t="inlineStr">
        <is>
          <t>20230904</t>
        </is>
      </c>
      <c r="P54" t="inlineStr">
        <is>
          <t>Kepulauan Riau</t>
        </is>
      </c>
      <c r="Q54" t="inlineStr"/>
    </row>
    <row r="55">
      <c r="A55" t="inlineStr">
        <is>
          <t>CAHAYA MASPUL</t>
        </is>
      </c>
      <c r="B55" t="inlineStr">
        <is>
          <t>Kab. Jayawijaya</t>
        </is>
      </c>
      <c r="C55" t="inlineStr">
        <is>
          <t>082189902423</t>
        </is>
      </c>
      <c r="D55" t="inlineStr">
        <is>
          <t>cahayamaspul1@gmail.com</t>
        </is>
      </c>
      <c r="E55" t="inlineStr">
        <is>
          <t>https://lpjk.pu.go.id/search-badan-usaha-detail/clYwTGhaVllpaHVMSjcyQkNkUGgrdz09</t>
        </is>
      </c>
      <c r="F55" t="n">
        <v>2</v>
      </c>
      <c r="G55" t="inlineStr">
        <is>
          <t>BG001, BG006</t>
        </is>
      </c>
      <c r="H55" t="inlineStr">
        <is>
          <t>5 September 2007</t>
        </is>
      </c>
      <c r="I55" s="2" t="n">
        <v>46269</v>
      </c>
      <c r="J55" t="inlineStr">
        <is>
          <t>Pencabutan</t>
        </is>
      </c>
      <c r="K55" t="n">
        <v>60</v>
      </c>
      <c r="L55" t="inlineStr">
        <is>
          <t>4 September 2026</t>
        </is>
      </c>
      <c r="M55" t="inlineStr">
        <is>
          <t>Konstruksi Gedung Hunian, Konstruksi Gedung Pendidikan</t>
        </is>
      </c>
      <c r="N55" t="inlineStr">
        <is>
          <t>K</t>
        </is>
      </c>
      <c r="O55" t="inlineStr">
        <is>
          <t>20230904</t>
        </is>
      </c>
      <c r="P55" t="inlineStr">
        <is>
          <t>Papua</t>
        </is>
      </c>
      <c r="Q55" t="inlineStr"/>
    </row>
    <row r="56">
      <c r="A56" t="inlineStr">
        <is>
          <t>CAHAYA PEGAGAN</t>
        </is>
      </c>
      <c r="B56" t="inlineStr">
        <is>
          <t>Kab. Ogan Komering Ulu</t>
        </is>
      </c>
      <c r="C56" t="inlineStr">
        <is>
          <t>+6281271443071</t>
        </is>
      </c>
      <c r="D56" t="inlineStr">
        <is>
          <t>cvcahayapegagan@yahoo.co.id</t>
        </is>
      </c>
      <c r="E56" t="inlineStr">
        <is>
          <t>https://lpjk.pu.go.id/search-badan-usaha-detail/RGVBQ1hmN01tWkdVKzdXTlBSbUI1QT09</t>
        </is>
      </c>
      <c r="F56" t="n">
        <v>7</v>
      </c>
      <c r="G56" t="inlineStr">
        <is>
          <t>BG002, BG005, BG006, BS001, BS002, BS004</t>
        </is>
      </c>
      <c r="H56" t="inlineStr">
        <is>
          <t>27 Desember 2006</t>
        </is>
      </c>
      <c r="I56" s="2" t="n">
        <v>46269</v>
      </c>
      <c r="J56" t="inlineStr">
        <is>
          <t>Disetujui</t>
        </is>
      </c>
      <c r="K56" t="n">
        <v>60</v>
      </c>
      <c r="L56" t="inlineStr">
        <is>
          <t>4 September 2026</t>
        </is>
      </c>
      <c r="M56" t="inlineStr">
        <is>
          <t>Bangunan Sipil Jembatan, Jalan Layang, Fly Over, dan Underpass, Konstruksi Bangunan Sipil Jalan, Konstruksi Gedung Kesehatan, Konstruksi Gedung Pendidikan, Konstruksi Gedung Perkantoran, Konstruksi Jaringan Irigasi dan Drainase</t>
        </is>
      </c>
      <c r="N56" t="inlineStr">
        <is>
          <t>K</t>
        </is>
      </c>
      <c r="O56" t="inlineStr">
        <is>
          <t>20230830</t>
        </is>
      </c>
      <c r="P56" t="inlineStr">
        <is>
          <t>Sumatera Selatan</t>
        </is>
      </c>
      <c r="Q56" t="inlineStr"/>
    </row>
    <row r="57">
      <c r="A57" t="inlineStr">
        <is>
          <t>CAHAYA RONAL</t>
        </is>
      </c>
      <c r="B57" t="inlineStr">
        <is>
          <t>Kab. Lahat</t>
        </is>
      </c>
      <c r="C57" t="inlineStr">
        <is>
          <t>082186622313</t>
        </is>
      </c>
      <c r="D57" t="inlineStr">
        <is>
          <t>ronalpirnando6@gmail.com</t>
        </is>
      </c>
      <c r="E57" t="inlineStr">
        <is>
          <t>https://lpjk.pu.go.id/search-badan-usaha-detail/ZWUzZTlkT3gzZ2pxYXU0TkFIVUVSZz09</t>
        </is>
      </c>
      <c r="F57" t="n">
        <v>1</v>
      </c>
      <c r="G57" t="inlineStr">
        <is>
          <t>BS001</t>
        </is>
      </c>
      <c r="H57" t="inlineStr">
        <is>
          <t>12 Desember 2014</t>
        </is>
      </c>
      <c r="I57" s="2" t="n">
        <v>46269</v>
      </c>
      <c r="J57" t="inlineStr">
        <is>
          <t>Disetujui</t>
        </is>
      </c>
      <c r="K57" t="n">
        <v>60</v>
      </c>
      <c r="L57" t="inlineStr">
        <is>
          <t>4 September 2026</t>
        </is>
      </c>
      <c r="M57" t="inlineStr">
        <is>
          <t>Konstruksi Bangunan Sipil Jalan</t>
        </is>
      </c>
      <c r="N57" t="inlineStr">
        <is>
          <t>K</t>
        </is>
      </c>
      <c r="O57" t="inlineStr">
        <is>
          <t>20230904</t>
        </is>
      </c>
      <c r="P57" t="inlineStr">
        <is>
          <t>Sumatera Selatan</t>
        </is>
      </c>
      <c r="Q57" t="inlineStr"/>
    </row>
    <row r="58">
      <c r="A58" t="inlineStr">
        <is>
          <t>CALVINDAM JAYA.EC</t>
        </is>
      </c>
      <c r="B58" t="inlineStr">
        <is>
          <t>Kota Pekanbaru</t>
        </is>
      </c>
      <c r="C58" t="inlineStr">
        <is>
          <t>076124277</t>
        </is>
      </c>
      <c r="D58" t="inlineStr">
        <is>
          <t>syamsuddins91@yahoo.co.id</t>
        </is>
      </c>
      <c r="E58" t="inlineStr">
        <is>
          <t>https://lpjk.pu.go.id/search-badan-usaha-detail/RXBpeEFVZHZqM0VpdnJQWm9OZ1VMdz09</t>
        </is>
      </c>
      <c r="F58" t="n">
        <v>3</v>
      </c>
      <c r="G58" t="inlineStr">
        <is>
          <t>AR001, AR002, AR003</t>
        </is>
      </c>
      <c r="H58" t="inlineStr">
        <is>
          <t>10 September 2001</t>
        </is>
      </c>
      <c r="I58" s="2" t="n">
        <v>46269</v>
      </c>
      <c r="J58" t="inlineStr">
        <is>
          <t>Disetujui</t>
        </is>
      </c>
      <c r="K58" t="n">
        <v>60</v>
      </c>
      <c r="L58" t="inlineStr">
        <is>
          <t>4 September 2026</t>
        </is>
      </c>
      <c r="M58" t="inlineStr">
        <is>
          <t>Jasa Arsitektural Bangunan Gedung Hunian dan Non Hunian, Jasa Arsitektural Lainnya, Jasa Desain Interior pada Bangunan Gedung dan Bangunan Sipil</t>
        </is>
      </c>
      <c r="N58" t="inlineStr">
        <is>
          <t>K</t>
        </is>
      </c>
      <c r="O58" t="inlineStr">
        <is>
          <t>20230809</t>
        </is>
      </c>
      <c r="P58" t="inlineStr">
        <is>
          <t>Riau</t>
        </is>
      </c>
      <c r="Q58" t="inlineStr"/>
    </row>
    <row r="59">
      <c r="A59" t="inlineStr">
        <is>
          <t>CIPTA INTERNUSA KONSTRUKSI</t>
        </is>
      </c>
      <c r="B59" t="inlineStr">
        <is>
          <t>Kab. Kutai Kartanegara</t>
        </is>
      </c>
      <c r="C59" t="inlineStr">
        <is>
          <t>0818997476</t>
        </is>
      </c>
      <c r="D59" t="inlineStr">
        <is>
          <t>ciko.ik99@gmail.com</t>
        </is>
      </c>
      <c r="E59" t="inlineStr">
        <is>
          <t>https://lpjk.pu.go.id/search-badan-usaha-detail/aFdJak5BRFBicmFTLzMvSjFNRm53QT09</t>
        </is>
      </c>
      <c r="F59" t="n">
        <v>2</v>
      </c>
      <c r="G59" t="inlineStr">
        <is>
          <t>BG009, BS004</t>
        </is>
      </c>
      <c r="H59" t="inlineStr">
        <is>
          <t>28 Januari 2014</t>
        </is>
      </c>
      <c r="I59" s="2" t="n">
        <v>46269</v>
      </c>
      <c r="J59" t="inlineStr">
        <is>
          <t>Disetujui</t>
        </is>
      </c>
      <c r="K59" t="n">
        <v>60</v>
      </c>
      <c r="L59" t="inlineStr">
        <is>
          <t>4 September 2026</t>
        </is>
      </c>
      <c r="M59" t="inlineStr">
        <is>
          <t>Konstruksi Gedung Lainnya, Konstruksi Jaringan Irigasi dan Drainase</t>
        </is>
      </c>
      <c r="N59" t="inlineStr">
        <is>
          <t>K</t>
        </is>
      </c>
      <c r="O59" t="inlineStr">
        <is>
          <t>20230831</t>
        </is>
      </c>
      <c r="P59" t="inlineStr">
        <is>
          <t>Kalimantan Timur</t>
        </is>
      </c>
      <c r="Q59" t="inlineStr"/>
    </row>
    <row r="60">
      <c r="A60" t="inlineStr">
        <is>
          <t>CIPTA KARYA NUSANTARA</t>
        </is>
      </c>
      <c r="B60" t="inlineStr">
        <is>
          <t>Kota Medan</t>
        </is>
      </c>
      <c r="C60" t="inlineStr">
        <is>
          <t>085311511270</t>
        </is>
      </c>
      <c r="D60" t="inlineStr">
        <is>
          <t>ciptakaryanusantara04@gmail.com</t>
        </is>
      </c>
      <c r="E60" t="inlineStr">
        <is>
          <t>https://lpjk.pu.go.id/search-badan-usaha-detail/Y2wxbnJSNXdHajdCUHdXQzNFNVJBdz09</t>
        </is>
      </c>
      <c r="F60" t="n">
        <v>2</v>
      </c>
      <c r="G60" t="inlineStr">
        <is>
          <t>BG005, BG006</t>
        </is>
      </c>
      <c r="H60" t="inlineStr">
        <is>
          <t>27 Mei 2015</t>
        </is>
      </c>
      <c r="I60" s="2" t="n">
        <v>46269</v>
      </c>
      <c r="J60" t="inlineStr">
        <is>
          <t>Disetujui</t>
        </is>
      </c>
      <c r="K60" t="n">
        <v>60</v>
      </c>
      <c r="L60" t="inlineStr">
        <is>
          <t>4 September 2026</t>
        </is>
      </c>
      <c r="M60" t="inlineStr">
        <is>
          <t>Konstruksi Gedung Kesehatan, Konstruksi Gedung Pendidikan</t>
        </is>
      </c>
      <c r="N60" t="inlineStr">
        <is>
          <t>K</t>
        </is>
      </c>
      <c r="O60" t="inlineStr">
        <is>
          <t>20230905</t>
        </is>
      </c>
      <c r="P60" t="inlineStr">
        <is>
          <t>Sumatera Utara</t>
        </is>
      </c>
      <c r="Q60" t="inlineStr"/>
    </row>
    <row r="61">
      <c r="A61" t="inlineStr">
        <is>
          <t>CITRA PRESISI SEJATI</t>
        </is>
      </c>
      <c r="B61" t="inlineStr">
        <is>
          <t>Kota Pontianak</t>
        </is>
      </c>
      <c r="C61" t="inlineStr">
        <is>
          <t>0811561599</t>
        </is>
      </c>
      <c r="D61" t="inlineStr">
        <is>
          <t>admin@citrapresisisejati.co.id</t>
        </is>
      </c>
      <c r="E61" t="inlineStr">
        <is>
          <t>https://lpjk.pu.go.id/search-badan-usaha-detail/MG9XTjAxOXZxNXVMZEl0cXkyOGxydz09</t>
        </is>
      </c>
      <c r="F61" t="n">
        <v>1</v>
      </c>
      <c r="G61" t="inlineStr">
        <is>
          <t>BS001</t>
        </is>
      </c>
      <c r="H61" t="inlineStr">
        <is>
          <t>10 Januari 2010</t>
        </is>
      </c>
      <c r="I61" s="2" t="n">
        <v>46269</v>
      </c>
      <c r="J61" t="inlineStr">
        <is>
          <t>Pencabutan</t>
        </is>
      </c>
      <c r="K61" t="n">
        <v>60</v>
      </c>
      <c r="L61" t="inlineStr">
        <is>
          <t>4 September 2026</t>
        </is>
      </c>
      <c r="M61" t="inlineStr">
        <is>
          <t>Konstruksi Bangunan Sipil Jalan</t>
        </is>
      </c>
      <c r="N61" t="inlineStr">
        <is>
          <t>B</t>
        </is>
      </c>
      <c r="O61" t="inlineStr">
        <is>
          <t>20230901</t>
        </is>
      </c>
      <c r="P61" t="inlineStr">
        <is>
          <t>Kalimantan Barat</t>
        </is>
      </c>
      <c r="Q61" t="inlineStr"/>
    </row>
    <row r="62">
      <c r="A62" t="inlineStr">
        <is>
          <t>CITRA UDAYS INFINITY</t>
        </is>
      </c>
      <c r="B62" t="inlineStr">
        <is>
          <t>Kab. Indramayu</t>
        </is>
      </c>
      <c r="C62" t="inlineStr">
        <is>
          <t>08122363863</t>
        </is>
      </c>
      <c r="D62" t="inlineStr">
        <is>
          <t>citra.udaysinfinity22@gmail.com</t>
        </is>
      </c>
      <c r="E62" t="inlineStr">
        <is>
          <t>https://lpjk.pu.go.id/search-badan-usaha-detail/eXZUMlJwcy95RjhRc2hRV1ZETnJ1UT09</t>
        </is>
      </c>
      <c r="F62" t="n">
        <v>1</v>
      </c>
      <c r="G62" t="inlineStr">
        <is>
          <t>IN004</t>
        </is>
      </c>
      <c r="H62" t="inlineStr">
        <is>
          <t>3 Maret 2023</t>
        </is>
      </c>
      <c r="I62" s="2" t="n">
        <v>46269</v>
      </c>
      <c r="J62" t="inlineStr">
        <is>
          <t>Pencabutan</t>
        </is>
      </c>
      <c r="K62" t="n">
        <v>60</v>
      </c>
      <c r="L62" t="inlineStr">
        <is>
          <t>4 September 2026</t>
        </is>
      </c>
      <c r="M62" t="inlineStr">
        <is>
          <t>Instalasi Minyak dan Gas</t>
        </is>
      </c>
      <c r="N62" t="inlineStr">
        <is>
          <t>Spesialis</t>
        </is>
      </c>
      <c r="O62" t="inlineStr">
        <is>
          <t>20230118</t>
        </is>
      </c>
      <c r="P62" t="inlineStr">
        <is>
          <t>Jawa Barat</t>
        </is>
      </c>
      <c r="Q62" t="inlineStr"/>
    </row>
    <row r="63">
      <c r="A63" t="inlineStr">
        <is>
          <t>DADI ARTHA GUNA</t>
        </is>
      </c>
      <c r="B63" t="inlineStr">
        <is>
          <t>Kota Bandar Lampung</t>
        </is>
      </c>
      <c r="C63" t="inlineStr">
        <is>
          <t>07215610456</t>
        </is>
      </c>
      <c r="D63" t="inlineStr">
        <is>
          <t>dadiartha.guna@yahoo.com</t>
        </is>
      </c>
      <c r="E63" t="inlineStr">
        <is>
          <t>https://lpjk.pu.go.id/search-badan-usaha-detail/TGxlY0d3S3Z0eUNOQ3ZEQkdvVlZkYXduZDU5dlB3a3VYUVc1M0xuOVFQdz0</t>
        </is>
      </c>
      <c r="F63" t="n">
        <v>5</v>
      </c>
      <c r="G63" t="inlineStr">
        <is>
          <t>BG005, BG009, BS001, BS002, BS004</t>
        </is>
      </c>
      <c r="H63" t="inlineStr">
        <is>
          <t>7 Maret 2022</t>
        </is>
      </c>
      <c r="I63" s="2" t="n">
        <v>46269</v>
      </c>
      <c r="J63" t="inlineStr">
        <is>
          <t>Disetujui</t>
        </is>
      </c>
      <c r="K63" t="n">
        <v>60</v>
      </c>
      <c r="L63" t="inlineStr">
        <is>
          <t>4 September 2026</t>
        </is>
      </c>
      <c r="M63" t="inlineStr">
        <is>
          <t>Bangunan Sipil Jembatan, Jalan Layang, Fly Over, dan Underpass, Konstruksi Bangunan Sipil Jalan, Konstruksi Gedung Kesehatan, Konstruksi Gedung Lainnya, Konstruksi Jaringan Irigasi dan Drainase</t>
        </is>
      </c>
      <c r="N63" t="inlineStr">
        <is>
          <t>K</t>
        </is>
      </c>
      <c r="O63" t="inlineStr">
        <is>
          <t>20230831</t>
        </is>
      </c>
      <c r="P63" t="inlineStr">
        <is>
          <t>Lampung</t>
        </is>
      </c>
      <c r="Q63" t="inlineStr"/>
    </row>
    <row r="64">
      <c r="A64" t="inlineStr">
        <is>
          <t>DAMAR WULAN</t>
        </is>
      </c>
      <c r="B64" t="inlineStr">
        <is>
          <t>Kab. Ogan Komering Ulu</t>
        </is>
      </c>
      <c r="C64" t="inlineStr">
        <is>
          <t>08127882042</t>
        </is>
      </c>
      <c r="D64" t="inlineStr">
        <is>
          <t>cv.damarwulan01@gmail.com</t>
        </is>
      </c>
      <c r="E64" t="inlineStr">
        <is>
          <t>https://lpjk.pu.go.id/search-badan-usaha-detail/N2s4TFNUOHl5Z1FMTkJUVWY3Nnl3Zz09</t>
        </is>
      </c>
      <c r="F64" t="n">
        <v>2</v>
      </c>
      <c r="G64" t="inlineStr">
        <is>
          <t>BS001</t>
        </is>
      </c>
      <c r="H64" t="inlineStr">
        <is>
          <t>3 Januari 1994</t>
        </is>
      </c>
      <c r="I64" s="2" t="n">
        <v>46269</v>
      </c>
      <c r="J64" t="inlineStr">
        <is>
          <t>Disetujui</t>
        </is>
      </c>
      <c r="K64" t="n">
        <v>60</v>
      </c>
      <c r="L64" t="inlineStr">
        <is>
          <t>4 September 2026</t>
        </is>
      </c>
      <c r="M64" t="inlineStr">
        <is>
          <t>Konstruksi Bangunan Sipil Jalan</t>
        </is>
      </c>
      <c r="N64" t="inlineStr">
        <is>
          <t>K</t>
        </is>
      </c>
      <c r="O64" t="inlineStr">
        <is>
          <t>20230829</t>
        </is>
      </c>
      <c r="P64" t="inlineStr">
        <is>
          <t>Sumatera Selatan</t>
        </is>
      </c>
      <c r="Q64" t="inlineStr"/>
    </row>
    <row r="65">
      <c r="A65" t="inlineStr">
        <is>
          <t>DELAPAN SATU KONSTRUKSI</t>
        </is>
      </c>
      <c r="B65" t="inlineStr">
        <is>
          <t>Kota Metro</t>
        </is>
      </c>
      <c r="C65" t="inlineStr">
        <is>
          <t>08117202266</t>
        </is>
      </c>
      <c r="D65" t="inlineStr">
        <is>
          <t>delapansatukonstruksi@gmail.com</t>
        </is>
      </c>
      <c r="E65" t="inlineStr">
        <is>
          <t>https://lpjk.pu.go.id/search-badan-usaha-detail/b1BzL0xhWWxwclo2NWFKNmNMamhJQT09</t>
        </is>
      </c>
      <c r="F65" t="n">
        <v>2</v>
      </c>
      <c r="G65" t="inlineStr">
        <is>
          <t>BS001</t>
        </is>
      </c>
      <c r="H65" t="inlineStr">
        <is>
          <t>18 November 2022</t>
        </is>
      </c>
      <c r="I65" s="2" t="n">
        <v>46269</v>
      </c>
      <c r="J65" t="inlineStr">
        <is>
          <t>Pencabutan</t>
        </is>
      </c>
      <c r="K65" t="n">
        <v>60</v>
      </c>
      <c r="L65" t="inlineStr">
        <is>
          <t>4 September 2026</t>
        </is>
      </c>
      <c r="M65" t="inlineStr">
        <is>
          <t>Konstruksi Bangunan Sipil Jalan</t>
        </is>
      </c>
      <c r="N65" t="inlineStr">
        <is>
          <t>K</t>
        </is>
      </c>
      <c r="O65" t="inlineStr">
        <is>
          <t>20230901</t>
        </is>
      </c>
      <c r="P65" t="inlineStr">
        <is>
          <t>Lampung</t>
        </is>
      </c>
      <c r="Q65" t="inlineStr"/>
    </row>
    <row r="66">
      <c r="A66" t="inlineStr">
        <is>
          <t>DILAN JAYA</t>
        </is>
      </c>
      <c r="B66" t="inlineStr">
        <is>
          <t>Kab. Fak Fak</t>
        </is>
      </c>
      <c r="C66" t="inlineStr">
        <is>
          <t>08124883761</t>
        </is>
      </c>
      <c r="D66" t="inlineStr">
        <is>
          <t>dilanjaya_fakfak@yahoo.co.id</t>
        </is>
      </c>
      <c r="E66" t="inlineStr">
        <is>
          <t>https://lpjk.pu.go.id/search-badan-usaha-detail/MExtZ2RHd1F6UlFTUXYzQXlPUmplQT09</t>
        </is>
      </c>
      <c r="F66" t="n">
        <v>2</v>
      </c>
      <c r="G66" t="inlineStr">
        <is>
          <t>BS005, BS010</t>
        </is>
      </c>
      <c r="H66" t="inlineStr">
        <is>
          <t>30 Agustus 2014</t>
        </is>
      </c>
      <c r="I66" s="2" t="n">
        <v>46269</v>
      </c>
      <c r="J66" t="inlineStr">
        <is>
          <t>Pencabutan</t>
        </is>
      </c>
      <c r="K66" t="n">
        <v>60</v>
      </c>
      <c r="L66" t="inlineStr">
        <is>
          <t>4 September 2026</t>
        </is>
      </c>
      <c r="M66" t="inlineStr">
        <is>
          <t>Konstruksi Bangunan Prasarana Sumber Daya Air, Konstruksi Bangunan Sipil Pengolahan Air Bersih</t>
        </is>
      </c>
      <c r="N66" t="inlineStr">
        <is>
          <t>K</t>
        </is>
      </c>
      <c r="O66" t="inlineStr">
        <is>
          <t>20230905</t>
        </is>
      </c>
      <c r="P66" t="inlineStr">
        <is>
          <t>Papua Barat</t>
        </is>
      </c>
      <c r="Q66" t="inlineStr"/>
    </row>
    <row r="67">
      <c r="A67" t="inlineStr">
        <is>
          <t>ELFA</t>
        </is>
      </c>
      <c r="B67" t="inlineStr">
        <is>
          <t>Kab. Sampang</t>
        </is>
      </c>
      <c r="C67" t="inlineStr">
        <is>
          <t>-</t>
        </is>
      </c>
      <c r="D67" t="inlineStr">
        <is>
          <t>cv.elva23@gmail.com</t>
        </is>
      </c>
      <c r="E67" t="inlineStr">
        <is>
          <t>https://lpjk.pu.go.id/search-badan-usaha-detail/NGplY1BsY0NxckcveDNKSDIrdVFlQT09</t>
        </is>
      </c>
      <c r="F67" t="n">
        <v>1</v>
      </c>
      <c r="G67" t="inlineStr">
        <is>
          <t>BG002</t>
        </is>
      </c>
      <c r="H67" t="inlineStr">
        <is>
          <t>22 Maret 2018</t>
        </is>
      </c>
      <c r="I67" s="2" t="n">
        <v>46269</v>
      </c>
      <c r="J67" t="inlineStr">
        <is>
          <t>Disetujui</t>
        </is>
      </c>
      <c r="K67" t="n">
        <v>60</v>
      </c>
      <c r="L67" t="inlineStr">
        <is>
          <t>4 September 2026</t>
        </is>
      </c>
      <c r="M67" t="inlineStr">
        <is>
          <t>Konstruksi Gedung Perkantoran</t>
        </is>
      </c>
      <c r="N67" t="inlineStr">
        <is>
          <t>K</t>
        </is>
      </c>
      <c r="O67" t="inlineStr">
        <is>
          <t>20230824</t>
        </is>
      </c>
      <c r="P67" t="inlineStr">
        <is>
          <t>Jawa Timur</t>
        </is>
      </c>
      <c r="Q67" t="inlineStr"/>
    </row>
    <row r="68">
      <c r="A68" t="inlineStr">
        <is>
          <t>ELVIRA MANDIRI</t>
        </is>
      </c>
      <c r="B68" t="inlineStr">
        <is>
          <t>Kab. Banyumas</t>
        </is>
      </c>
      <c r="C68" t="inlineStr">
        <is>
          <t>082323460554</t>
        </is>
      </c>
      <c r="D68" t="inlineStr">
        <is>
          <t>elviramandiri@yahoo.com</t>
        </is>
      </c>
      <c r="E68" t="inlineStr">
        <is>
          <t>https://lpjk.pu.go.id/search-badan-usaha-detail/b0F5RE1QV2hVT09IeUF0UFZhbnZYdz09</t>
        </is>
      </c>
      <c r="F68" t="n">
        <v>1</v>
      </c>
      <c r="G68" t="inlineStr">
        <is>
          <t>BG006</t>
        </is>
      </c>
      <c r="H68" t="inlineStr">
        <is>
          <t>4 Februari 2012</t>
        </is>
      </c>
      <c r="I68" s="2" t="n">
        <v>46269</v>
      </c>
      <c r="J68" t="inlineStr">
        <is>
          <t>Disetujui</t>
        </is>
      </c>
      <c r="K68" t="n">
        <v>60</v>
      </c>
      <c r="L68" t="inlineStr">
        <is>
          <t>4 September 2026</t>
        </is>
      </c>
      <c r="M68" t="inlineStr">
        <is>
          <t>Konstruksi Gedung Pendidikan</t>
        </is>
      </c>
      <c r="N68" t="inlineStr">
        <is>
          <t>K</t>
        </is>
      </c>
      <c r="O68" t="inlineStr">
        <is>
          <t>20230820</t>
        </is>
      </c>
      <c r="P68" t="inlineStr">
        <is>
          <t>Jawa Tengah</t>
        </is>
      </c>
      <c r="Q68" t="inlineStr"/>
    </row>
    <row r="69">
      <c r="A69" t="inlineStr">
        <is>
          <t>EMPATI KARYA</t>
        </is>
      </c>
      <c r="B69" t="inlineStr">
        <is>
          <t>Kab. Nias</t>
        </is>
      </c>
      <c r="C69" t="inlineStr">
        <is>
          <t>081333332448</t>
        </is>
      </c>
      <c r="D69" t="inlineStr">
        <is>
          <t>cvempatikarya@gmail.com</t>
        </is>
      </c>
      <c r="E69" t="inlineStr">
        <is>
          <t>https://lpjk.pu.go.id/search-badan-usaha-detail/ZXpEWHc5TUJSYWtMNmZJRmtBTXJ2dz09</t>
        </is>
      </c>
      <c r="F69" t="n">
        <v>1</v>
      </c>
      <c r="G69" t="inlineStr">
        <is>
          <t>BS001</t>
        </is>
      </c>
      <c r="H69" t="inlineStr">
        <is>
          <t>19 Juni 2023</t>
        </is>
      </c>
      <c r="I69" s="2" t="n">
        <v>46269</v>
      </c>
      <c r="J69" t="inlineStr">
        <is>
          <t>Disetujui</t>
        </is>
      </c>
      <c r="K69" t="n">
        <v>60</v>
      </c>
      <c r="L69" t="inlineStr">
        <is>
          <t>4 September 2026</t>
        </is>
      </c>
      <c r="M69" t="inlineStr">
        <is>
          <t>Konstruksi Bangunan Sipil Jalan</t>
        </is>
      </c>
      <c r="N69" t="inlineStr">
        <is>
          <t>K</t>
        </is>
      </c>
      <c r="O69" t="inlineStr">
        <is>
          <t>20230826</t>
        </is>
      </c>
      <c r="P69" t="inlineStr">
        <is>
          <t>Sumatera Utara</t>
        </is>
      </c>
      <c r="Q69" t="inlineStr"/>
    </row>
    <row r="70">
      <c r="A70" t="inlineStr">
        <is>
          <t>FAJAR KURNIA</t>
        </is>
      </c>
      <c r="B70" t="inlineStr">
        <is>
          <t>Kab. Ciamis</t>
        </is>
      </c>
      <c r="C70" t="inlineStr">
        <is>
          <t>085223035228</t>
        </is>
      </c>
      <c r="D70" t="inlineStr">
        <is>
          <t>fajarkurnia33@yahoo.com</t>
        </is>
      </c>
      <c r="E70" t="inlineStr">
        <is>
          <t>https://lpjk.pu.go.id/search-badan-usaha-detail/TWJBUHo2YVlJc1J6dWVyeXZPbFE2dz09</t>
        </is>
      </c>
      <c r="F70" t="n">
        <v>2</v>
      </c>
      <c r="G70" t="inlineStr">
        <is>
          <t>BG006, BS001</t>
        </is>
      </c>
      <c r="H70" t="inlineStr">
        <is>
          <t>27 November 1992</t>
        </is>
      </c>
      <c r="I70" s="2" t="n">
        <v>46269</v>
      </c>
      <c r="J70" t="inlineStr">
        <is>
          <t>Disetujui</t>
        </is>
      </c>
      <c r="K70" t="n">
        <v>60</v>
      </c>
      <c r="L70" t="inlineStr">
        <is>
          <t>4 September 2026</t>
        </is>
      </c>
      <c r="M70" t="inlineStr">
        <is>
          <t>Konstruksi Bangunan Sipil Jalan, Konstruksi Gedung Pendidikan</t>
        </is>
      </c>
      <c r="N70" t="inlineStr">
        <is>
          <t>K</t>
        </is>
      </c>
      <c r="O70" t="inlineStr">
        <is>
          <t>20230901</t>
        </is>
      </c>
      <c r="P70" t="inlineStr">
        <is>
          <t>Jawa Barat</t>
        </is>
      </c>
      <c r="Q70" t="inlineStr"/>
    </row>
    <row r="71">
      <c r="A71" t="inlineStr">
        <is>
          <t>FAZAR ANWARI ADIALOVA</t>
        </is>
      </c>
      <c r="B71" t="inlineStr">
        <is>
          <t>Kab. Bandung</t>
        </is>
      </c>
      <c r="C71" t="inlineStr">
        <is>
          <t>087823090007</t>
        </is>
      </c>
      <c r="D71" t="inlineStr">
        <is>
          <t>fajaradialova234@gmail.com</t>
        </is>
      </c>
      <c r="E71" t="inlineStr">
        <is>
          <t>https://lpjk.pu.go.id/search-badan-usaha-detail/b0d4WUVUdk9OQmFSSGtkWlZYY05BZz09</t>
        </is>
      </c>
      <c r="F71" t="n">
        <v>4</v>
      </c>
      <c r="G71" t="inlineStr">
        <is>
          <t>BG006, BG009</t>
        </is>
      </c>
      <c r="H71" t="inlineStr">
        <is>
          <t>26 Agustus 2019</t>
        </is>
      </c>
      <c r="I71" s="2" t="n">
        <v>46269</v>
      </c>
      <c r="J71" t="inlineStr">
        <is>
          <t>Disetujui</t>
        </is>
      </c>
      <c r="K71" t="n">
        <v>60</v>
      </c>
      <c r="L71" t="inlineStr">
        <is>
          <t>4 September 2026</t>
        </is>
      </c>
      <c r="M71" t="inlineStr">
        <is>
          <t>Konstruksi Gedung Lainnya, Konstruksi Gedung Pendidikan</t>
        </is>
      </c>
      <c r="N71" t="inlineStr">
        <is>
          <t>K</t>
        </is>
      </c>
      <c r="O71" t="inlineStr">
        <is>
          <t>20230901</t>
        </is>
      </c>
      <c r="P71" t="inlineStr">
        <is>
          <t>Jawa Barat</t>
        </is>
      </c>
      <c r="Q71" t="inlineStr"/>
    </row>
    <row r="72">
      <c r="A72" t="inlineStr">
        <is>
          <t>FORTUNA</t>
        </is>
      </c>
      <c r="B72" t="inlineStr">
        <is>
          <t>Kota Makassar</t>
        </is>
      </c>
      <c r="C72" t="inlineStr">
        <is>
          <t>085242182664</t>
        </is>
      </c>
      <c r="D72" t="inlineStr">
        <is>
          <t>salehanwar86@gmail.com</t>
        </is>
      </c>
      <c r="E72" t="inlineStr">
        <is>
          <t>https://lpjk.pu.go.id/search-badan-usaha-detail/aUVLOGcreWZlWklLQ1libTJsOGdXUT09</t>
        </is>
      </c>
      <c r="F72" t="n">
        <v>6</v>
      </c>
      <c r="G72" t="inlineStr">
        <is>
          <t>BG001, BG002, BG005, BG006, BG009, BS001</t>
        </is>
      </c>
      <c r="H72" t="inlineStr">
        <is>
          <t>13 Februari 2010</t>
        </is>
      </c>
      <c r="I72" s="2" t="n">
        <v>46269</v>
      </c>
      <c r="J72" t="inlineStr">
        <is>
          <t>Disetujui</t>
        </is>
      </c>
      <c r="K72" t="n">
        <v>60</v>
      </c>
      <c r="L72" t="inlineStr">
        <is>
          <t>4 September 2026</t>
        </is>
      </c>
      <c r="M72" t="inlineStr">
        <is>
          <t>Konstruksi Bangunan Sipil Jalan, Konstruksi Gedung Hunian, Konstruksi Gedung Kesehatan, Konstruksi Gedung Lainnya, Konstruksi Gedung Pendidikan, Konstruksi Gedung Perkantoran</t>
        </is>
      </c>
      <c r="N72" t="inlineStr">
        <is>
          <t>K</t>
        </is>
      </c>
      <c r="O72" t="inlineStr">
        <is>
          <t>20230718, 20230724, 20230829</t>
        </is>
      </c>
      <c r="P72" t="inlineStr">
        <is>
          <t>Sulawesi Selatan</t>
        </is>
      </c>
      <c r="Q72" t="inlineStr"/>
    </row>
    <row r="73">
      <c r="A73" t="inlineStr">
        <is>
          <t>GEMILANG SEKAWAN</t>
        </is>
      </c>
      <c r="B73" t="inlineStr">
        <is>
          <t>Kota Adm. Jakarta Selatan</t>
        </is>
      </c>
      <c r="C73" t="inlineStr">
        <is>
          <t>08562355012</t>
        </is>
      </c>
      <c r="D73" t="inlineStr">
        <is>
          <t>cv.gemilangsekawan@gmail.com</t>
        </is>
      </c>
      <c r="E73" t="inlineStr">
        <is>
          <t>https://lpjk.pu.go.id/search-badan-usaha-detail/OU9lNTVXem1IV3hhaEZTRy9sR3Mxdz09</t>
        </is>
      </c>
      <c r="F73" t="n">
        <v>2</v>
      </c>
      <c r="G73" t="inlineStr">
        <is>
          <t>BG002, BG008</t>
        </is>
      </c>
      <c r="H73" t="inlineStr">
        <is>
          <t>31 Mei 2023</t>
        </is>
      </c>
      <c r="I73" s="2" t="n">
        <v>46269</v>
      </c>
      <c r="J73" t="inlineStr">
        <is>
          <t>Pencabutan</t>
        </is>
      </c>
      <c r="K73" t="n">
        <v>60</v>
      </c>
      <c r="L73" t="inlineStr">
        <is>
          <t>4 September 2026</t>
        </is>
      </c>
      <c r="M73" t="inlineStr">
        <is>
          <t>Konstruksi Gedung Perkantoran, Konstruksi Gedung Tempat Hiburan dan Olahraga</t>
        </is>
      </c>
      <c r="N73" t="inlineStr">
        <is>
          <t>K</t>
        </is>
      </c>
      <c r="O73" t="inlineStr">
        <is>
          <t>20230901</t>
        </is>
      </c>
      <c r="P73" t="inlineStr">
        <is>
          <t>DKI Jakarta</t>
        </is>
      </c>
      <c r="Q73" t="inlineStr"/>
    </row>
    <row r="74">
      <c r="A74" t="inlineStr">
        <is>
          <t>GRAHA SIDOMULYO KEDIRI</t>
        </is>
      </c>
      <c r="B74" t="inlineStr">
        <is>
          <t>Kab. Kediri</t>
        </is>
      </c>
      <c r="C74" t="inlineStr">
        <is>
          <t>082115083311</t>
        </is>
      </c>
      <c r="D74" t="inlineStr">
        <is>
          <t>ptgrahasidomulyokediri@gmail.com</t>
        </is>
      </c>
      <c r="E74" t="inlineStr">
        <is>
          <t>https://lpjk.pu.go.id/search-badan-usaha-detail/bnNYeDFERzE5dTNSV1ZDOEdERGJnQT09</t>
        </is>
      </c>
      <c r="F74" t="n">
        <v>4</v>
      </c>
      <c r="G74" t="inlineStr">
        <is>
          <t>BG003, BG005, BG009, BS001</t>
        </is>
      </c>
      <c r="H74" t="inlineStr">
        <is>
          <t>29 November 2022</t>
        </is>
      </c>
      <c r="I74" s="2" t="n">
        <v>46269</v>
      </c>
      <c r="J74" t="inlineStr">
        <is>
          <t>Pencabutan</t>
        </is>
      </c>
      <c r="K74" t="n">
        <v>60</v>
      </c>
      <c r="L74" t="inlineStr">
        <is>
          <t>4 September 2026</t>
        </is>
      </c>
      <c r="M74" t="inlineStr">
        <is>
          <t>Konstruksi Bangunan Sipil Jalan, Konstruksi Gedung Industri, Konstruksi Gedung Kesehatan, Konstruksi Gedung Lainnya</t>
        </is>
      </c>
      <c r="N74" t="inlineStr">
        <is>
          <t>K</t>
        </is>
      </c>
      <c r="O74" t="inlineStr">
        <is>
          <t>20230824, 20230829, 20230901</t>
        </is>
      </c>
      <c r="P74" t="inlineStr">
        <is>
          <t>Jawa Timur</t>
        </is>
      </c>
      <c r="Q74" t="inlineStr"/>
    </row>
    <row r="75">
      <c r="A75" t="inlineStr">
        <is>
          <t>GRAHASAKA PURBAWISESA</t>
        </is>
      </c>
      <c r="B75" t="inlineStr">
        <is>
          <t>Kota Malang</t>
        </is>
      </c>
      <c r="C75" t="inlineStr">
        <is>
          <t>081333362230</t>
        </is>
      </c>
      <c r="D75" t="inlineStr">
        <is>
          <t>cv.grahasakapurbawisesa@gmail.com</t>
        </is>
      </c>
      <c r="E75" t="inlineStr">
        <is>
          <t>https://lpjk.pu.go.id/search-badan-usaha-detail/QmJSaDlTMVE3TU1ia0JicUxna2RYdz09</t>
        </is>
      </c>
      <c r="F75" t="n">
        <v>1</v>
      </c>
      <c r="G75" t="inlineStr">
        <is>
          <t>BG006</t>
        </is>
      </c>
      <c r="H75" t="inlineStr">
        <is>
          <t>30 Agustus 1999</t>
        </is>
      </c>
      <c r="I75" s="2" t="n">
        <v>46269</v>
      </c>
      <c r="J75" t="inlineStr">
        <is>
          <t>Disetujui</t>
        </is>
      </c>
      <c r="K75" t="n">
        <v>60</v>
      </c>
      <c r="L75" t="inlineStr">
        <is>
          <t>4 September 2026</t>
        </is>
      </c>
      <c r="M75" t="inlineStr">
        <is>
          <t>Konstruksi Gedung Pendidikan</t>
        </is>
      </c>
      <c r="N75" t="inlineStr">
        <is>
          <t>K</t>
        </is>
      </c>
      <c r="O75" t="inlineStr">
        <is>
          <t>20230824</t>
        </is>
      </c>
      <c r="P75" t="inlineStr">
        <is>
          <t>Jawa Timur</t>
        </is>
      </c>
      <c r="Q75" t="inlineStr"/>
    </row>
    <row r="76">
      <c r="A76" t="inlineStr">
        <is>
          <t>GRIYA NAWASENA KONSULTAN</t>
        </is>
      </c>
      <c r="B76" t="inlineStr">
        <is>
          <t>Kota Serang</t>
        </is>
      </c>
      <c r="C76" t="inlineStr">
        <is>
          <t>085311499323</t>
        </is>
      </c>
      <c r="D76" t="inlineStr">
        <is>
          <t>griyanawasenakonsultan@gmail.com</t>
        </is>
      </c>
      <c r="E76" t="inlineStr">
        <is>
          <t>https://lpjk.pu.go.id/search-badan-usaha-detail/NUxKeUNPMlUyRVJsSGo5RVNDMi8wQT09</t>
        </is>
      </c>
      <c r="F76" t="n">
        <v>1</v>
      </c>
      <c r="G76" t="inlineStr">
        <is>
          <t>AR001</t>
        </is>
      </c>
      <c r="H76" t="inlineStr">
        <is>
          <t>6 April 2023</t>
        </is>
      </c>
      <c r="I76" s="2" t="n">
        <v>46269</v>
      </c>
      <c r="J76" t="inlineStr">
        <is>
          <t>Disetujui</t>
        </is>
      </c>
      <c r="K76" t="n">
        <v>60</v>
      </c>
      <c r="L76" t="inlineStr">
        <is>
          <t>4 September 2026</t>
        </is>
      </c>
      <c r="M76" t="inlineStr">
        <is>
          <t>Jasa Arsitektural Bangunan Gedung Hunian dan Non Hunian</t>
        </is>
      </c>
      <c r="N76" t="inlineStr">
        <is>
          <t>K</t>
        </is>
      </c>
      <c r="O76" t="inlineStr">
        <is>
          <t>20230826</t>
        </is>
      </c>
      <c r="P76" t="inlineStr">
        <is>
          <t>Banten</t>
        </is>
      </c>
      <c r="Q76" t="inlineStr"/>
    </row>
    <row r="77">
      <c r="A77" t="inlineStr">
        <is>
          <t>HANANIA ARIHTA PERSADA</t>
        </is>
      </c>
      <c r="B77" t="inlineStr">
        <is>
          <t>Kota Adm. Jakarta Selatan</t>
        </is>
      </c>
      <c r="C77" t="inlineStr">
        <is>
          <t>081286063923</t>
        </is>
      </c>
      <c r="D77" t="inlineStr">
        <is>
          <t>hananiaarihtapersada@gmail.com</t>
        </is>
      </c>
      <c r="E77" t="inlineStr">
        <is>
          <t>https://lpjk.pu.go.id/search-badan-usaha-detail/dy9HNlM1WmZFemxsblJ5OEFLdFdydz09</t>
        </is>
      </c>
      <c r="F77" t="n">
        <v>6</v>
      </c>
      <c r="G77" t="inlineStr">
        <is>
          <t>BG002, BG006, BG009</t>
        </is>
      </c>
      <c r="H77" t="inlineStr">
        <is>
          <t>28 Februari 2023</t>
        </is>
      </c>
      <c r="I77" s="2" t="n">
        <v>46269</v>
      </c>
      <c r="J77" t="inlineStr">
        <is>
          <t>Disetujui</t>
        </is>
      </c>
      <c r="K77" t="n">
        <v>60</v>
      </c>
      <c r="L77" t="inlineStr">
        <is>
          <t>4 September 2026</t>
        </is>
      </c>
      <c r="M77" t="inlineStr">
        <is>
          <t>Konstruksi Gedung Lainnya, Konstruksi Gedung Pendidikan, Konstruksi Gedung Perkantoran</t>
        </is>
      </c>
      <c r="N77" t="inlineStr">
        <is>
          <t>K</t>
        </is>
      </c>
      <c r="O77" t="inlineStr">
        <is>
          <t>20230904</t>
        </is>
      </c>
      <c r="P77" t="inlineStr">
        <is>
          <t>DKI Jakarta</t>
        </is>
      </c>
      <c r="Q77" t="inlineStr"/>
    </row>
    <row r="78">
      <c r="A78" t="inlineStr">
        <is>
          <t>HARAPAN PEMUDA SEJAHTERA</t>
        </is>
      </c>
      <c r="B78" t="inlineStr">
        <is>
          <t>Kota Bandar Lampung</t>
        </is>
      </c>
      <c r="C78" t="inlineStr">
        <is>
          <t>081367683337</t>
        </is>
      </c>
      <c r="D78" t="inlineStr">
        <is>
          <t>hps.lampung@yahoo.co.id</t>
        </is>
      </c>
      <c r="E78" t="inlineStr">
        <is>
          <t>https://lpjk.pu.go.id/search-badan-usaha-detail/QnlWM0NnUTBJWWIxSkJNS01jbEI0UT09</t>
        </is>
      </c>
      <c r="F78" t="n">
        <v>1</v>
      </c>
      <c r="G78" t="inlineStr">
        <is>
          <t>BS017</t>
        </is>
      </c>
      <c r="H78" t="inlineStr">
        <is>
          <t>9 Januari 2009</t>
        </is>
      </c>
      <c r="I78" s="2" t="n">
        <v>46269</v>
      </c>
      <c r="J78" t="inlineStr">
        <is>
          <t>Disetujui</t>
        </is>
      </c>
      <c r="K78" t="n">
        <v>60</v>
      </c>
      <c r="L78" t="inlineStr">
        <is>
          <t>4 September 2026</t>
        </is>
      </c>
      <c r="M78" t="inlineStr">
        <is>
          <t>Konstruksi Bangunan Sipil Lainnya Ytdl</t>
        </is>
      </c>
      <c r="N78" t="inlineStr">
        <is>
          <t>K</t>
        </is>
      </c>
      <c r="O78" t="inlineStr">
        <is>
          <t>20230831</t>
        </is>
      </c>
      <c r="P78" t="inlineStr">
        <is>
          <t>Lampung</t>
        </is>
      </c>
      <c r="Q78" t="inlineStr"/>
    </row>
    <row r="79">
      <c r="A79" t="inlineStr">
        <is>
          <t>HARTA RAYA</t>
        </is>
      </c>
      <c r="B79" t="inlineStr">
        <is>
          <t>Kab. Bandung</t>
        </is>
      </c>
      <c r="C79" t="inlineStr">
        <is>
          <t>081312040415</t>
        </is>
      </c>
      <c r="D79" t="inlineStr">
        <is>
          <t>hartarayacv@gmail.com</t>
        </is>
      </c>
      <c r="E79" t="inlineStr">
        <is>
          <t>https://lpjk.pu.go.id/search-badan-usaha-detail/aUwxOE5IcTZxQTh4R3BFWjg3cS9EUT09</t>
        </is>
      </c>
      <c r="F79" t="n">
        <v>1</v>
      </c>
      <c r="G79" t="inlineStr">
        <is>
          <t>BG002</t>
        </is>
      </c>
      <c r="H79" t="inlineStr">
        <is>
          <t>18 Januari 2018</t>
        </is>
      </c>
      <c r="I79" s="2" t="n">
        <v>46269</v>
      </c>
      <c r="J79" t="inlineStr">
        <is>
          <t>Disetujui</t>
        </is>
      </c>
      <c r="K79" t="n">
        <v>60</v>
      </c>
      <c r="L79" t="inlineStr">
        <is>
          <t>4 September 2026</t>
        </is>
      </c>
      <c r="M79" t="inlineStr">
        <is>
          <t>Konstruksi Gedung Perkantoran</t>
        </is>
      </c>
      <c r="N79" t="inlineStr">
        <is>
          <t>K</t>
        </is>
      </c>
      <c r="O79" t="inlineStr">
        <is>
          <t>20230905</t>
        </is>
      </c>
      <c r="P79" t="inlineStr">
        <is>
          <t>Jawa Barat</t>
        </is>
      </c>
      <c r="Q79" t="inlineStr"/>
    </row>
    <row r="80">
      <c r="A80" t="inlineStr">
        <is>
          <t>INDRAWATI</t>
        </is>
      </c>
      <c r="B80" t="inlineStr">
        <is>
          <t>Kab. Sumedang</t>
        </is>
      </c>
      <c r="C80" t="inlineStr">
        <is>
          <t>085314853666</t>
        </is>
      </c>
      <c r="D80" t="inlineStr">
        <is>
          <t>gmsg.indrawati@gmail.com</t>
        </is>
      </c>
      <c r="E80" t="inlineStr">
        <is>
          <t>https://lpjk.pu.go.id/search-badan-usaha-detail/azg0RjZraWRRSUd3U1R3RVFkY0V3dz09</t>
        </is>
      </c>
      <c r="F80" t="n">
        <v>8</v>
      </c>
      <c r="G80" t="inlineStr">
        <is>
          <t>BS001</t>
        </is>
      </c>
      <c r="H80" t="inlineStr">
        <is>
          <t>10 Januari 2013</t>
        </is>
      </c>
      <c r="I80" s="2" t="n">
        <v>46269</v>
      </c>
      <c r="J80" t="inlineStr">
        <is>
          <t>Disetujui</t>
        </is>
      </c>
      <c r="K80" t="n">
        <v>60</v>
      </c>
      <c r="L80" t="inlineStr">
        <is>
          <t>4 September 2026</t>
        </is>
      </c>
      <c r="M80" t="inlineStr">
        <is>
          <t>Konstruksi Bangunan Sipil Jalan</t>
        </is>
      </c>
      <c r="N80" t="inlineStr">
        <is>
          <t>K</t>
        </is>
      </c>
      <c r="O80" t="inlineStr">
        <is>
          <t>20230901</t>
        </is>
      </c>
      <c r="P80" t="inlineStr">
        <is>
          <t>Jawa Barat</t>
        </is>
      </c>
      <c r="Q80" t="inlineStr"/>
    </row>
    <row r="81">
      <c r="A81" t="inlineStr">
        <is>
          <t>JATI ASRI</t>
        </is>
      </c>
      <c r="B81" t="inlineStr">
        <is>
          <t>Kab. Majalengka</t>
        </is>
      </c>
      <c r="C81" t="inlineStr">
        <is>
          <t>082216988339</t>
        </is>
      </c>
      <c r="D81" t="inlineStr">
        <is>
          <t>jatiasrimjlk@yahoo.com</t>
        </is>
      </c>
      <c r="E81" t="inlineStr">
        <is>
          <t>https://lpjk.pu.go.id/search-badan-usaha-detail/WElJUG9ZQVNwdVZWekpoY09MVWR0dz09</t>
        </is>
      </c>
      <c r="F81" t="n">
        <v>1</v>
      </c>
      <c r="G81" t="inlineStr">
        <is>
          <t>BG006</t>
        </is>
      </c>
      <c r="H81" t="inlineStr">
        <is>
          <t>24 Mei 2010</t>
        </is>
      </c>
      <c r="I81" s="2" t="n">
        <v>46269</v>
      </c>
      <c r="J81" t="inlineStr">
        <is>
          <t>Disetujui</t>
        </is>
      </c>
      <c r="K81" t="n">
        <v>60</v>
      </c>
      <c r="L81" t="inlineStr">
        <is>
          <t>4 September 2026</t>
        </is>
      </c>
      <c r="M81" t="inlineStr">
        <is>
          <t>Konstruksi Gedung Pendidikan</t>
        </is>
      </c>
      <c r="N81" t="inlineStr">
        <is>
          <t>K</t>
        </is>
      </c>
      <c r="O81" t="inlineStr">
        <is>
          <t>20230815</t>
        </is>
      </c>
      <c r="P81" t="inlineStr">
        <is>
          <t>Jawa Barat</t>
        </is>
      </c>
      <c r="Q81" t="inlineStr"/>
    </row>
    <row r="82">
      <c r="A82" t="inlineStr">
        <is>
          <t>JAYA BERSAUDARA</t>
        </is>
      </c>
      <c r="B82" t="inlineStr">
        <is>
          <t>Kab. Banjar</t>
        </is>
      </c>
      <c r="C82" t="inlineStr">
        <is>
          <t>082149054747</t>
        </is>
      </c>
      <c r="D82" t="inlineStr">
        <is>
          <t>jayabersaudara269@gmail.com</t>
        </is>
      </c>
      <c r="E82" t="inlineStr">
        <is>
          <t>https://lpjk.pu.go.id/search-badan-usaha-detail/eGMxdks3VUpiYXdWREI0UXdVRFlzUT09</t>
        </is>
      </c>
      <c r="F82" t="n">
        <v>2</v>
      </c>
      <c r="G82" t="inlineStr">
        <is>
          <t>BG006, BG009</t>
        </is>
      </c>
      <c r="H82" t="inlineStr">
        <is>
          <t>19 November 2009</t>
        </is>
      </c>
      <c r="I82" s="2" t="n">
        <v>46269</v>
      </c>
      <c r="J82" t="inlineStr">
        <is>
          <t>Disetujui</t>
        </is>
      </c>
      <c r="K82" t="n">
        <v>60</v>
      </c>
      <c r="L82" t="inlineStr">
        <is>
          <t>4 September 2026</t>
        </is>
      </c>
      <c r="M82" t="inlineStr">
        <is>
          <t>Konstruksi Gedung Lainnya, Konstruksi Gedung Pendidikan</t>
        </is>
      </c>
      <c r="N82" t="inlineStr">
        <is>
          <t>K</t>
        </is>
      </c>
      <c r="O82" t="inlineStr">
        <is>
          <t>20230904, 20230905</t>
        </is>
      </c>
      <c r="P82" t="inlineStr">
        <is>
          <t>Kalimantan Selatan</t>
        </is>
      </c>
      <c r="Q82" t="inlineStr"/>
    </row>
    <row r="83">
      <c r="A83" t="inlineStr">
        <is>
          <t>KAIROS</t>
        </is>
      </c>
      <c r="B83" t="inlineStr">
        <is>
          <t>Kota Manado</t>
        </is>
      </c>
      <c r="C83" t="inlineStr">
        <is>
          <t>081244372987</t>
        </is>
      </c>
      <c r="D83" t="inlineStr">
        <is>
          <t>cv_kairosconsultant@yahoo.com</t>
        </is>
      </c>
      <c r="E83" t="inlineStr">
        <is>
          <t>https://lpjk.pu.go.id/search-badan-usaha-detail/elFPUVFJQTFrTUV5bjZKbHo3TFJFUT09</t>
        </is>
      </c>
      <c r="F83" t="n">
        <v>4</v>
      </c>
      <c r="G83" t="inlineStr">
        <is>
          <t>AR001, AR002, AR003, RK003</t>
        </is>
      </c>
      <c r="H83" t="inlineStr">
        <is>
          <t>6 Januari 2016</t>
        </is>
      </c>
      <c r="I83" s="2" t="n">
        <v>46269</v>
      </c>
      <c r="J83" t="inlineStr">
        <is>
          <t>Disetujui</t>
        </is>
      </c>
      <c r="K83" t="n">
        <v>60</v>
      </c>
      <c r="L83" t="inlineStr">
        <is>
          <t>4 September 2026</t>
        </is>
      </c>
      <c r="M83" t="inlineStr">
        <is>
          <t>Jasa Arsitektural Bangunan Gedung Hunian dan Non Hunian, Jasa Arsitektural Lainnya, Jasa Desain Interior pada Bangunan Gedung dan Bangunan Sipil, Jasa Rekayasa Pekerjaan Teknik Sipil Transportasi</t>
        </is>
      </c>
      <c r="N83" t="inlineStr">
        <is>
          <t>K</t>
        </is>
      </c>
      <c r="O83" t="inlineStr">
        <is>
          <t>20230822</t>
        </is>
      </c>
      <c r="P83" t="inlineStr">
        <is>
          <t>Sulawesi Utara</t>
        </is>
      </c>
      <c r="Q83" t="inlineStr"/>
    </row>
    <row r="84">
      <c r="A84" t="inlineStr">
        <is>
          <t>KARDI PRATAMA</t>
        </is>
      </c>
      <c r="B84" t="inlineStr">
        <is>
          <t>Kota Denpasar</t>
        </is>
      </c>
      <c r="C84" t="inlineStr">
        <is>
          <t>08155735350</t>
        </is>
      </c>
      <c r="D84" t="inlineStr">
        <is>
          <t>kardipratama14@gmail.com</t>
        </is>
      </c>
      <c r="E84" t="inlineStr">
        <is>
          <t>https://lpjk.pu.go.id/search-badan-usaha-detail/aGJpWHhvRSt0WEhaZXgwZXllV243QT09</t>
        </is>
      </c>
      <c r="F84" t="n">
        <v>2</v>
      </c>
      <c r="G84" t="inlineStr">
        <is>
          <t>BG002, BG009</t>
        </is>
      </c>
      <c r="H84" t="inlineStr">
        <is>
          <t>17 Oktober 1994</t>
        </is>
      </c>
      <c r="I84" s="2" t="n">
        <v>46269</v>
      </c>
      <c r="J84" t="inlineStr">
        <is>
          <t>Disetujui</t>
        </is>
      </c>
      <c r="K84" t="n">
        <v>60</v>
      </c>
      <c r="L84" t="inlineStr">
        <is>
          <t>4 September 2026</t>
        </is>
      </c>
      <c r="M84" t="inlineStr">
        <is>
          <t>Konstruksi Gedung Lainnya, Konstruksi Gedung Perkantoran</t>
        </is>
      </c>
      <c r="N84" t="inlineStr">
        <is>
          <t>K</t>
        </is>
      </c>
      <c r="O84" t="inlineStr">
        <is>
          <t>20230822, 20230823</t>
        </is>
      </c>
      <c r="P84" t="inlineStr">
        <is>
          <t>Bali</t>
        </is>
      </c>
      <c r="Q84" t="inlineStr"/>
    </row>
    <row r="85">
      <c r="A85" t="inlineStr">
        <is>
          <t>KARIMAH NUSANTARA ABADI</t>
        </is>
      </c>
      <c r="B85" t="inlineStr">
        <is>
          <t>Kota Palembang</t>
        </is>
      </c>
      <c r="C85" t="inlineStr">
        <is>
          <t>082378000700</t>
        </is>
      </c>
      <c r="D85" t="inlineStr">
        <is>
          <t>karimahnusantaraabadi@gmail.com</t>
        </is>
      </c>
      <c r="E85" t="inlineStr">
        <is>
          <t>https://lpjk.pu.go.id/search-badan-usaha-detail/Znp1d1oya3VSVnlXSWZzWTN2eU52QT09</t>
        </is>
      </c>
      <c r="F85" t="n">
        <v>1</v>
      </c>
      <c r="G85" t="inlineStr">
        <is>
          <t>BG001</t>
        </is>
      </c>
      <c r="H85" t="inlineStr">
        <is>
          <t>7 November 2018</t>
        </is>
      </c>
      <c r="I85" s="2" t="n">
        <v>46269</v>
      </c>
      <c r="J85" t="inlineStr">
        <is>
          <t>Pencabutan</t>
        </is>
      </c>
      <c r="K85" t="n">
        <v>60</v>
      </c>
      <c r="L85" t="inlineStr">
        <is>
          <t>4 September 2026</t>
        </is>
      </c>
      <c r="M85" t="inlineStr">
        <is>
          <t>Konstruksi Gedung Hunian</t>
        </is>
      </c>
      <c r="N85" t="inlineStr">
        <is>
          <t>K</t>
        </is>
      </c>
      <c r="O85" t="inlineStr">
        <is>
          <t>20230902</t>
        </is>
      </c>
      <c r="P85" t="inlineStr">
        <is>
          <t>Sumatera Selatan</t>
        </is>
      </c>
      <c r="Q85" t="inlineStr"/>
    </row>
    <row r="86">
      <c r="A86" t="inlineStr">
        <is>
          <t>KARTIKA CAHAYA GEMILANG</t>
        </is>
      </c>
      <c r="B86" t="inlineStr">
        <is>
          <t>Kab. Lamongan</t>
        </is>
      </c>
      <c r="C86" t="inlineStr">
        <is>
          <t>085854896589</t>
        </is>
      </c>
      <c r="D86" t="inlineStr">
        <is>
          <t>kartikacahayagemilang03@gmail.com</t>
        </is>
      </c>
      <c r="E86" t="inlineStr">
        <is>
          <t>https://lpjk.pu.go.id/search-badan-usaha-detail/bGYvRFAvakF1OFFjZWJ6cWs5VjZ1UT09</t>
        </is>
      </c>
      <c r="F86" t="n">
        <v>1</v>
      </c>
      <c r="G86" t="inlineStr">
        <is>
          <t>BS005</t>
        </is>
      </c>
      <c r="H86" t="inlineStr">
        <is>
          <t>27 Desember 2013</t>
        </is>
      </c>
      <c r="I86" s="2" t="n">
        <v>46269</v>
      </c>
      <c r="J86" t="inlineStr">
        <is>
          <t>Disetujui</t>
        </is>
      </c>
      <c r="K86" t="n">
        <v>60</v>
      </c>
      <c r="L86" t="inlineStr">
        <is>
          <t>4 September 2026</t>
        </is>
      </c>
      <c r="M86" t="inlineStr">
        <is>
          <t>Konstruksi Bangunan Sipil Pengolahan Air Bersih</t>
        </is>
      </c>
      <c r="N86" t="inlineStr">
        <is>
          <t>K</t>
        </is>
      </c>
      <c r="O86" t="inlineStr">
        <is>
          <t>20230829</t>
        </is>
      </c>
      <c r="P86" t="inlineStr">
        <is>
          <t>Jawa Timur</t>
        </is>
      </c>
      <c r="Q86" t="inlineStr"/>
    </row>
    <row r="87">
      <c r="A87" t="inlineStr">
        <is>
          <t>KARTIKA INDAH JAYA</t>
        </is>
      </c>
      <c r="B87" t="inlineStr">
        <is>
          <t>Kota Tanjung Pinang</t>
        </is>
      </c>
      <c r="C87" t="inlineStr">
        <is>
          <t>082287055997</t>
        </is>
      </c>
      <c r="D87" t="inlineStr">
        <is>
          <t>kartikaindah.pajak@gmail.com</t>
        </is>
      </c>
      <c r="E87" t="inlineStr">
        <is>
          <t>https://lpjk.pu.go.id/search-badan-usaha-detail/MGxRUzkxL0hodCtuRWhyRGlBODBiZz09</t>
        </is>
      </c>
      <c r="F87" t="n">
        <v>1</v>
      </c>
      <c r="G87" t="inlineStr">
        <is>
          <t>BG009</t>
        </is>
      </c>
      <c r="H87" t="inlineStr">
        <is>
          <t>13 Februari 2012</t>
        </is>
      </c>
      <c r="I87" s="2" t="n">
        <v>46269</v>
      </c>
      <c r="J87" t="inlineStr">
        <is>
          <t>Disetujui</t>
        </is>
      </c>
      <c r="K87" t="n">
        <v>60</v>
      </c>
      <c r="L87" t="inlineStr">
        <is>
          <t>4 September 2026</t>
        </is>
      </c>
      <c r="M87" t="inlineStr">
        <is>
          <t>Konstruksi Gedung Lainnya</t>
        </is>
      </c>
      <c r="N87" t="inlineStr">
        <is>
          <t>K</t>
        </is>
      </c>
      <c r="O87" t="inlineStr">
        <is>
          <t>20230828</t>
        </is>
      </c>
      <c r="P87" t="inlineStr">
        <is>
          <t>Kepulauan Riau</t>
        </is>
      </c>
      <c r="Q87" t="inlineStr"/>
    </row>
    <row r="88">
      <c r="A88" t="inlineStr">
        <is>
          <t>KARYA ENAM BERSAUDARA</t>
        </is>
      </c>
      <c r="B88" t="inlineStr">
        <is>
          <t>Kota Palopo</t>
        </is>
      </c>
      <c r="C88" t="inlineStr">
        <is>
          <t>081363244842</t>
        </is>
      </c>
      <c r="D88" t="inlineStr">
        <is>
          <t>karya.enam.bersaudara@gmail.com</t>
        </is>
      </c>
      <c r="E88" t="inlineStr">
        <is>
          <t>https://lpjk.pu.go.id/search-badan-usaha-detail/ckVzdWthTEppOUdmbW1XOVZpQnNSdz09</t>
        </is>
      </c>
      <c r="F88" t="n">
        <v>2</v>
      </c>
      <c r="G88" t="inlineStr">
        <is>
          <t>BS001, BS004</t>
        </is>
      </c>
      <c r="H88" t="inlineStr">
        <is>
          <t>4 April 2023</t>
        </is>
      </c>
      <c r="I88" s="2" t="n">
        <v>46269</v>
      </c>
      <c r="J88" t="inlineStr">
        <is>
          <t>Disetujui</t>
        </is>
      </c>
      <c r="K88" t="n">
        <v>60</v>
      </c>
      <c r="L88" t="inlineStr">
        <is>
          <t>4 September 2026</t>
        </is>
      </c>
      <c r="M88" t="inlineStr">
        <is>
          <t>Konstruksi Bangunan Sipil Jalan, Konstruksi Jaringan Irigasi dan Drainase</t>
        </is>
      </c>
      <c r="N88" t="inlineStr">
        <is>
          <t>K</t>
        </is>
      </c>
      <c r="O88" t="inlineStr">
        <is>
          <t>20230902, 20230903</t>
        </is>
      </c>
      <c r="P88" t="inlineStr">
        <is>
          <t>Sulawesi Selatan</t>
        </is>
      </c>
      <c r="Q88" t="inlineStr"/>
    </row>
    <row r="89">
      <c r="A89" t="inlineStr">
        <is>
          <t>KARYA PANGERAN</t>
        </is>
      </c>
      <c r="B89" t="inlineStr">
        <is>
          <t>Kab. Gresik</t>
        </is>
      </c>
      <c r="C89" t="inlineStr">
        <is>
          <t>081332941609</t>
        </is>
      </c>
      <c r="D89" t="inlineStr">
        <is>
          <t>karyapangerangresik@gmail.com</t>
        </is>
      </c>
      <c r="E89" t="inlineStr">
        <is>
          <t>https://lpjk.pu.go.id/search-badan-usaha-detail/alg1N1VBeFFicXh3b2h2NXUxbjgwUT09</t>
        </is>
      </c>
      <c r="F89" t="n">
        <v>2</v>
      </c>
      <c r="G89" t="inlineStr">
        <is>
          <t>BS001, BS004</t>
        </is>
      </c>
      <c r="H89" t="inlineStr">
        <is>
          <t>13 Maret 2009</t>
        </is>
      </c>
      <c r="I89" s="2" t="n">
        <v>46269</v>
      </c>
      <c r="J89" t="inlineStr">
        <is>
          <t>Disetujui</t>
        </is>
      </c>
      <c r="K89" t="n">
        <v>60</v>
      </c>
      <c r="L89" t="inlineStr">
        <is>
          <t>4 September 2026</t>
        </is>
      </c>
      <c r="M89" t="inlineStr">
        <is>
          <t>Konstruksi Bangunan Sipil Jalan, Konstruksi Jaringan Irigasi dan Drainase</t>
        </is>
      </c>
      <c r="N89" t="inlineStr">
        <is>
          <t>K</t>
        </is>
      </c>
      <c r="O89" t="inlineStr">
        <is>
          <t>20230825, 20230904</t>
        </is>
      </c>
      <c r="P89" t="inlineStr">
        <is>
          <t>Jawa Timur</t>
        </is>
      </c>
      <c r="Q89" t="inlineStr"/>
    </row>
    <row r="90">
      <c r="A90" t="inlineStr">
        <is>
          <t>KARYA PUTRA JAYENGRANA</t>
        </is>
      </c>
      <c r="B90" t="inlineStr">
        <is>
          <t>Kota Denpasar</t>
        </is>
      </c>
      <c r="C90" t="inlineStr">
        <is>
          <t>0361 241384</t>
        </is>
      </c>
      <c r="D90" t="inlineStr">
        <is>
          <t>karyaputrajayengrana@yahoo.co.id</t>
        </is>
      </c>
      <c r="E90" t="inlineStr">
        <is>
          <t>https://lpjk.pu.go.id/search-badan-usaha-detail/TFNXRUN6TWxMOTFwUGFFWm1Pd0VuZz09</t>
        </is>
      </c>
      <c r="F90" t="n">
        <v>1</v>
      </c>
      <c r="G90" t="inlineStr">
        <is>
          <t>BS004</t>
        </is>
      </c>
      <c r="H90" t="inlineStr">
        <is>
          <t>20 Januari 2014</t>
        </is>
      </c>
      <c r="I90" s="2" t="n">
        <v>46269</v>
      </c>
      <c r="J90" t="inlineStr">
        <is>
          <t>Disetujui</t>
        </is>
      </c>
      <c r="K90" t="n">
        <v>60</v>
      </c>
      <c r="L90" t="inlineStr">
        <is>
          <t>4 September 2026</t>
        </is>
      </c>
      <c r="M90" t="inlineStr">
        <is>
          <t>Konstruksi Jaringan Irigasi dan Drainase</t>
        </is>
      </c>
      <c r="N90" t="inlineStr">
        <is>
          <t>K</t>
        </is>
      </c>
      <c r="O90" t="inlineStr">
        <is>
          <t>20230830</t>
        </is>
      </c>
      <c r="P90" t="inlineStr">
        <is>
          <t>Bali</t>
        </is>
      </c>
      <c r="Q90" t="inlineStr"/>
    </row>
    <row r="91">
      <c r="A91" t="inlineStr">
        <is>
          <t>KARYA PUTRA SIGAOL</t>
        </is>
      </c>
      <c r="B91" t="inlineStr">
        <is>
          <t>Kota Batam</t>
        </is>
      </c>
      <c r="C91" t="inlineStr">
        <is>
          <t>08117788268</t>
        </is>
      </c>
      <c r="D91" t="inlineStr">
        <is>
          <t>karyaputrasigaol@gmail.com</t>
        </is>
      </c>
      <c r="E91" t="inlineStr">
        <is>
          <t>https://lpjk.pu.go.id/search-badan-usaha-detail/bHdodEovazN1QzdoU04rTVJCSW9lUT09</t>
        </is>
      </c>
      <c r="F91" t="n">
        <v>1</v>
      </c>
      <c r="G91" t="inlineStr">
        <is>
          <t>BS001</t>
        </is>
      </c>
      <c r="H91" t="inlineStr">
        <is>
          <t>19 Agustus 2020</t>
        </is>
      </c>
      <c r="I91" s="2" t="n">
        <v>46269</v>
      </c>
      <c r="J91" t="inlineStr">
        <is>
          <t>Disetujui</t>
        </is>
      </c>
      <c r="K91" t="n">
        <v>60</v>
      </c>
      <c r="L91" t="inlineStr">
        <is>
          <t>4 September 2026</t>
        </is>
      </c>
      <c r="M91" t="inlineStr">
        <is>
          <t>Konstruksi Bangunan Sipil Jalan</t>
        </is>
      </c>
      <c r="N91" t="inlineStr">
        <is>
          <t>K</t>
        </is>
      </c>
      <c r="O91" t="inlineStr">
        <is>
          <t>20230829</t>
        </is>
      </c>
      <c r="P91" t="inlineStr">
        <is>
          <t>Kepulauan Riau</t>
        </is>
      </c>
      <c r="Q91" t="inlineStr"/>
    </row>
    <row r="92">
      <c r="A92" t="inlineStr">
        <is>
          <t>KARYA RAHMAH PERKASA CONSULTANT</t>
        </is>
      </c>
      <c r="B92" t="inlineStr">
        <is>
          <t>Kab. Gayo Lues</t>
        </is>
      </c>
      <c r="C92" t="inlineStr">
        <is>
          <t>085260573351</t>
        </is>
      </c>
      <c r="D92" t="inlineStr">
        <is>
          <t>krpgayo14@gmail.com</t>
        </is>
      </c>
      <c r="E92" t="inlineStr">
        <is>
          <t>https://lpjk.pu.go.id/search-badan-usaha-detail/MStmVHZTdWl3WXRQR3NudDc0L0lMQT09</t>
        </is>
      </c>
      <c r="F92" t="n">
        <v>1</v>
      </c>
      <c r="G92" t="inlineStr">
        <is>
          <t>RK003</t>
        </is>
      </c>
      <c r="H92" t="inlineStr">
        <is>
          <t>12 Desember 2018</t>
        </is>
      </c>
      <c r="I92" s="2" t="n">
        <v>46269</v>
      </c>
      <c r="J92" t="inlineStr">
        <is>
          <t>Pencabutan</t>
        </is>
      </c>
      <c r="K92" t="n">
        <v>60</v>
      </c>
      <c r="L92" t="inlineStr">
        <is>
          <t>4 September 2026</t>
        </is>
      </c>
      <c r="M92" t="inlineStr">
        <is>
          <t>Jasa Rekayasa Pekerjaan Teknik Sipil Transportasi</t>
        </is>
      </c>
      <c r="N92" t="inlineStr">
        <is>
          <t>K</t>
        </is>
      </c>
      <c r="O92" t="inlineStr">
        <is>
          <t>20230824</t>
        </is>
      </c>
      <c r="P92" t="inlineStr">
        <is>
          <t>Aceh</t>
        </is>
      </c>
      <c r="Q92" t="inlineStr"/>
    </row>
    <row r="93">
      <c r="A93" t="inlineStr">
        <is>
          <t>KARYA SENTOSA CONTRACTOR</t>
        </is>
      </c>
      <c r="B93" t="inlineStr">
        <is>
          <t>Kab. Paser</t>
        </is>
      </c>
      <c r="C93" t="inlineStr">
        <is>
          <t>085347101875</t>
        </is>
      </c>
      <c r="D93" t="inlineStr">
        <is>
          <t>cvkaryasentosacontractor@gmail.com</t>
        </is>
      </c>
      <c r="E93" t="inlineStr">
        <is>
          <t>https://lpjk.pu.go.id/search-badan-usaha-detail/TGtxUGVTK3A0V0dWaTBaMFhtakFvdz09</t>
        </is>
      </c>
      <c r="F93" t="n">
        <v>2</v>
      </c>
      <c r="G93" t="inlineStr">
        <is>
          <t>BG006, BG009</t>
        </is>
      </c>
      <c r="H93" t="inlineStr">
        <is>
          <t>3 Juli 2023</t>
        </is>
      </c>
      <c r="I93" s="2" t="n">
        <v>46269</v>
      </c>
      <c r="J93" t="inlineStr">
        <is>
          <t>Disetujui</t>
        </is>
      </c>
      <c r="K93" t="n">
        <v>60</v>
      </c>
      <c r="L93" t="inlineStr">
        <is>
          <t>4 September 2026</t>
        </is>
      </c>
      <c r="M93" t="inlineStr">
        <is>
          <t>Konstruksi Gedung Lainnya, Konstruksi Gedung Pendidikan</t>
        </is>
      </c>
      <c r="N93" t="inlineStr">
        <is>
          <t>K</t>
        </is>
      </c>
      <c r="O93" t="inlineStr">
        <is>
          <t>20230901</t>
        </is>
      </c>
      <c r="P93" t="inlineStr">
        <is>
          <t>Kalimantan Timur</t>
        </is>
      </c>
      <c r="Q93" t="inlineStr"/>
    </row>
    <row r="94">
      <c r="A94" t="inlineStr">
        <is>
          <t>KARYA WIGUNA</t>
        </is>
      </c>
      <c r="B94" t="inlineStr">
        <is>
          <t>Kab. Banyuwangi</t>
        </is>
      </c>
      <c r="C94" t="inlineStr">
        <is>
          <t>087860433584</t>
        </is>
      </c>
      <c r="D94" t="inlineStr">
        <is>
          <t>wigunakarya90@gmail.com</t>
        </is>
      </c>
      <c r="E94" t="inlineStr">
        <is>
          <t>https://lpjk.pu.go.id/search-badan-usaha-detail/V0RHeXkxTmxNZEJLUUNSQ3ZpTEhlUT09</t>
        </is>
      </c>
      <c r="F94" t="n">
        <v>1</v>
      </c>
      <c r="G94" t="inlineStr">
        <is>
          <t>RK002</t>
        </is>
      </c>
      <c r="H94" t="inlineStr">
        <is>
          <t>19 April 2018</t>
        </is>
      </c>
      <c r="I94" s="2" t="n">
        <v>46269</v>
      </c>
      <c r="J94" t="inlineStr">
        <is>
          <t>Disetujui</t>
        </is>
      </c>
      <c r="K94" t="n">
        <v>60</v>
      </c>
      <c r="L94" t="inlineStr">
        <is>
          <t>4 September 2026</t>
        </is>
      </c>
      <c r="M94" t="inlineStr">
        <is>
          <t>Jasa Rekayasa Pekerjaan Teknik Sipil Sumber Daya Air</t>
        </is>
      </c>
      <c r="N94" t="inlineStr">
        <is>
          <t>K</t>
        </is>
      </c>
      <c r="O94" t="inlineStr">
        <is>
          <t>20230829</t>
        </is>
      </c>
      <c r="P94" t="inlineStr">
        <is>
          <t>Jawa Timur</t>
        </is>
      </c>
      <c r="Q94" t="inlineStr"/>
    </row>
    <row r="95">
      <c r="A95" t="inlineStr">
        <is>
          <t>KEMBAR JAYA ABADI</t>
        </is>
      </c>
      <c r="B95" t="inlineStr">
        <is>
          <t>Kab. Boyolali</t>
        </is>
      </c>
      <c r="C95" t="inlineStr">
        <is>
          <t>0276324616</t>
        </is>
      </c>
      <c r="D95" t="inlineStr">
        <is>
          <t>mas3jokoo@gmail.com</t>
        </is>
      </c>
      <c r="E95" t="inlineStr">
        <is>
          <t>https://lpjk.pu.go.id/search-badan-usaha-detail/QmUvcGx5NzZGSDJJSmRWdmJrbThCZz09</t>
        </is>
      </c>
      <c r="F95" t="n">
        <v>1</v>
      </c>
      <c r="G95" t="inlineStr">
        <is>
          <t>BS004</t>
        </is>
      </c>
      <c r="H95" t="inlineStr">
        <is>
          <t>15 November 2011</t>
        </is>
      </c>
      <c r="I95" s="2" t="n">
        <v>46269</v>
      </c>
      <c r="J95" t="inlineStr">
        <is>
          <t>Disetujui</t>
        </is>
      </c>
      <c r="K95" t="n">
        <v>60</v>
      </c>
      <c r="L95" t="inlineStr">
        <is>
          <t>4 September 2026</t>
        </is>
      </c>
      <c r="M95" t="inlineStr">
        <is>
          <t>Konstruksi Jaringan Irigasi dan Drainase</t>
        </is>
      </c>
      <c r="N95" t="inlineStr">
        <is>
          <t>K</t>
        </is>
      </c>
      <c r="O95" t="inlineStr">
        <is>
          <t>20230901</t>
        </is>
      </c>
      <c r="P95" t="inlineStr">
        <is>
          <t>Jawa Tengah</t>
        </is>
      </c>
      <c r="Q95" t="inlineStr"/>
    </row>
    <row r="96">
      <c r="A96" t="inlineStr">
        <is>
          <t>KHOMSA UTAMA</t>
        </is>
      </c>
      <c r="B96" t="inlineStr">
        <is>
          <t>Kab. Gresik</t>
        </is>
      </c>
      <c r="C96" t="inlineStr">
        <is>
          <t>081216415280</t>
        </is>
      </c>
      <c r="D96" t="inlineStr">
        <is>
          <t>cv.khomsautama15@gmail.com</t>
        </is>
      </c>
      <c r="E96" t="inlineStr">
        <is>
          <t>https://lpjk.pu.go.id/search-badan-usaha-detail/T2dWcXFDOHVKTmFHVWduRCtVTDlhdz09</t>
        </is>
      </c>
      <c r="F96" t="n">
        <v>1</v>
      </c>
      <c r="G96" t="inlineStr">
        <is>
          <t>BS002</t>
        </is>
      </c>
      <c r="H96" t="inlineStr">
        <is>
          <t>24 Mei 2022</t>
        </is>
      </c>
      <c r="I96" s="2" t="n">
        <v>46269</v>
      </c>
      <c r="J96" t="inlineStr">
        <is>
          <t>Disetujui</t>
        </is>
      </c>
      <c r="K96" t="n">
        <v>60</v>
      </c>
      <c r="L96" t="inlineStr">
        <is>
          <t>4 September 2026</t>
        </is>
      </c>
      <c r="M96" t="inlineStr">
        <is>
          <t>Bangunan Sipil Jembatan, Jalan Layang, Fly Over, dan Underpass</t>
        </is>
      </c>
      <c r="N96" t="inlineStr">
        <is>
          <t>K</t>
        </is>
      </c>
      <c r="O96" t="inlineStr">
        <is>
          <t>20230829</t>
        </is>
      </c>
      <c r="P96" t="inlineStr">
        <is>
          <t>Jawa Timur</t>
        </is>
      </c>
      <c r="Q96" t="inlineStr"/>
    </row>
    <row r="97">
      <c r="A97" t="inlineStr">
        <is>
          <t>KONSTRUKSI HIDRO MEKANIKA</t>
        </is>
      </c>
      <c r="B97" t="inlineStr">
        <is>
          <t>Kab. Berau</t>
        </is>
      </c>
      <c r="C97" t="inlineStr">
        <is>
          <t>081254918284</t>
        </is>
      </c>
      <c r="D97" t="inlineStr">
        <is>
          <t>hidromekanika@gmail.com</t>
        </is>
      </c>
      <c r="E97" t="inlineStr">
        <is>
          <t>https://lpjk.pu.go.id/search-badan-usaha-detail/SGpKdENxQ2tsSFpMbklrM0p2MUxodz09</t>
        </is>
      </c>
      <c r="F97" t="n">
        <v>3</v>
      </c>
      <c r="G97" t="inlineStr">
        <is>
          <t>BG009, BS001, BS004</t>
        </is>
      </c>
      <c r="H97" t="inlineStr">
        <is>
          <t>10 Januari 2018</t>
        </is>
      </c>
      <c r="I97" s="2" t="n">
        <v>46269</v>
      </c>
      <c r="J97" t="inlineStr">
        <is>
          <t>Disetujui</t>
        </is>
      </c>
      <c r="K97" t="n">
        <v>60</v>
      </c>
      <c r="L97" t="inlineStr">
        <is>
          <t>4 September 2026</t>
        </is>
      </c>
      <c r="M97" t="inlineStr">
        <is>
          <t>Konstruksi Bangunan Sipil Jalan, Konstruksi Gedung Lainnya, Konstruksi Jaringan Irigasi dan Drainase</t>
        </is>
      </c>
      <c r="N97" t="inlineStr">
        <is>
          <t>K</t>
        </is>
      </c>
      <c r="O97" t="inlineStr">
        <is>
          <t>20230905</t>
        </is>
      </c>
      <c r="P97" t="inlineStr">
        <is>
          <t>Kalimantan Timur</t>
        </is>
      </c>
      <c r="Q97" t="inlineStr"/>
    </row>
    <row r="98">
      <c r="A98" t="inlineStr">
        <is>
          <t>KONSTRUKSI INOVASI JAYA ABADI</t>
        </is>
      </c>
      <c r="B98" t="inlineStr">
        <is>
          <t>Kota Adm. Jakarta Barat</t>
        </is>
      </c>
      <c r="C98" t="inlineStr">
        <is>
          <t>082195922077</t>
        </is>
      </c>
      <c r="D98" t="inlineStr">
        <is>
          <t>konstruksiinovasijayaa@gmail.com</t>
        </is>
      </c>
      <c r="E98" t="inlineStr">
        <is>
          <t>https://lpjk.pu.go.id/search-badan-usaha-detail/Qjk5NTlYTVJ0MzFaMFRoUjQrMTZNdz09</t>
        </is>
      </c>
      <c r="F98" t="n">
        <v>1</v>
      </c>
      <c r="G98" t="inlineStr">
        <is>
          <t>BG004</t>
        </is>
      </c>
      <c r="H98" t="inlineStr">
        <is>
          <t>1 Januari 2018</t>
        </is>
      </c>
      <c r="I98" s="2" t="n">
        <v>46269</v>
      </c>
      <c r="J98" t="inlineStr">
        <is>
          <t>Pembekuan</t>
        </is>
      </c>
      <c r="K98" t="n">
        <v>60</v>
      </c>
      <c r="L98" t="inlineStr">
        <is>
          <t>4 September 2026</t>
        </is>
      </c>
      <c r="M98" t="inlineStr">
        <is>
          <t>Konstruksi Gedung Perbelanjaan</t>
        </is>
      </c>
      <c r="N98" t="inlineStr">
        <is>
          <t>M</t>
        </is>
      </c>
      <c r="O98" t="inlineStr">
        <is>
          <t>20230902</t>
        </is>
      </c>
      <c r="P98" t="inlineStr">
        <is>
          <t>DKI Jakarta</t>
        </is>
      </c>
      <c r="Q98" t="inlineStr"/>
    </row>
    <row r="99">
      <c r="A99" t="inlineStr">
        <is>
          <t>KONSULTAN EMPAT SEBELAS</t>
        </is>
      </c>
      <c r="B99" t="inlineStr">
        <is>
          <t>Kab. Sleman</t>
        </is>
      </c>
      <c r="C99" t="inlineStr">
        <is>
          <t>087839828012</t>
        </is>
      </c>
      <c r="D99" t="inlineStr">
        <is>
          <t>konsultanempatsebelas.legal@gmail.com</t>
        </is>
      </c>
      <c r="E99" t="inlineStr">
        <is>
          <t>https://lpjk.pu.go.id/search-badan-usaha-detail/Z2pYZEdQY3M3ckRqY294dDg0VzJZdz09</t>
        </is>
      </c>
      <c r="F99" t="n">
        <v>4</v>
      </c>
      <c r="G99" t="inlineStr">
        <is>
          <t>AR001, RK001, RK003, RK005</t>
        </is>
      </c>
      <c r="H99" t="inlineStr">
        <is>
          <t>7 November 2022</t>
        </is>
      </c>
      <c r="I99" s="2" t="n">
        <v>46269</v>
      </c>
      <c r="J99" t="inlineStr">
        <is>
          <t>Disetujui, Konfirmasi Pembayaran</t>
        </is>
      </c>
      <c r="K99" t="n">
        <v>60</v>
      </c>
      <c r="L99" t="inlineStr">
        <is>
          <t>4 September 2026</t>
        </is>
      </c>
      <c r="M99" t="inlineStr">
        <is>
          <t>Jasa Arsitektural Bangunan Gedung Hunian dan Non Hunian, Jasa Rekayasa Konstruksi Bangunan Gedung Hunian dan Non Hunian, Jasa Rekayasa Lainnya, Jasa Rekayasa Pekerjaan Teknik Sipil Transportasi</t>
        </is>
      </c>
      <c r="N99" t="inlineStr">
        <is>
          <t>K</t>
        </is>
      </c>
      <c r="O99" t="inlineStr">
        <is>
          <t>20230727, 20230815, 20230816</t>
        </is>
      </c>
      <c r="P99" t="inlineStr">
        <is>
          <t>DI Yogyakarta</t>
        </is>
      </c>
      <c r="Q99" t="inlineStr"/>
    </row>
    <row r="100">
      <c r="A100" t="inlineStr">
        <is>
          <t>KURNIA ABADI SETIA</t>
        </is>
      </c>
      <c r="B100" t="inlineStr">
        <is>
          <t>Kab. Paser</t>
        </is>
      </c>
      <c r="C100" t="inlineStr">
        <is>
          <t>081257090956</t>
        </is>
      </c>
      <c r="D100" t="inlineStr">
        <is>
          <t>cvkurniaabadisetia@gmail.com</t>
        </is>
      </c>
      <c r="E100" t="inlineStr">
        <is>
          <t>https://lpjk.pu.go.id/search-badan-usaha-detail/d0QrNFRCYzRMY3JrczFmYU5xYkE3QT09</t>
        </is>
      </c>
      <c r="F100" t="n">
        <v>4</v>
      </c>
      <c r="G100" t="inlineStr">
        <is>
          <t>BG002, BG005, BG006, BG009</t>
        </is>
      </c>
      <c r="H100" t="inlineStr">
        <is>
          <t>9 Desember 2005</t>
        </is>
      </c>
      <c r="I100" s="2" t="n">
        <v>46269</v>
      </c>
      <c r="J100" t="inlineStr">
        <is>
          <t>Disetujui</t>
        </is>
      </c>
      <c r="K100" t="n">
        <v>60</v>
      </c>
      <c r="L100" t="inlineStr">
        <is>
          <t>4 September 2026</t>
        </is>
      </c>
      <c r="M100" t="inlineStr">
        <is>
          <t>Konstruksi Gedung Kesehatan, Konstruksi Gedung Lainnya, Konstruksi Gedung Pendidikan, Konstruksi Gedung Perkantoran</t>
        </is>
      </c>
      <c r="N100" t="inlineStr">
        <is>
          <t>K</t>
        </is>
      </c>
      <c r="O100" t="inlineStr">
        <is>
          <t>20230830</t>
        </is>
      </c>
      <c r="P100" t="inlineStr">
        <is>
          <t>Kalimantan Timur</t>
        </is>
      </c>
      <c r="Q100" t="inlineStr"/>
    </row>
    <row r="101">
      <c r="A101" t="inlineStr">
        <is>
          <t>MAHA KARYA INTINUSA</t>
        </is>
      </c>
      <c r="B101" t="inlineStr">
        <is>
          <t>Kota Adm. Jakarta Barat</t>
        </is>
      </c>
      <c r="C101" t="inlineStr">
        <is>
          <t>02122302511</t>
        </is>
      </c>
      <c r="D101" t="inlineStr">
        <is>
          <t>-</t>
        </is>
      </c>
      <c r="E101" t="inlineStr">
        <is>
          <t>https://lpjk.pu.go.id/search-badan-usaha-detail/ZEs5S09KNE9lVzRuM1FHdTJDQWJpZz09</t>
        </is>
      </c>
      <c r="F101" t="n">
        <v>1</v>
      </c>
      <c r="G101" t="inlineStr">
        <is>
          <t>KK001</t>
        </is>
      </c>
      <c r="H101" t="inlineStr">
        <is>
          <t>22 November 2018</t>
        </is>
      </c>
      <c r="I101" s="2" t="n">
        <v>46269</v>
      </c>
      <c r="J101" t="inlineStr">
        <is>
          <t>Pembekuan</t>
        </is>
      </c>
      <c r="K101" t="n">
        <v>60</v>
      </c>
      <c r="L101" t="inlineStr">
        <is>
          <t>4 September 2026</t>
        </is>
      </c>
      <c r="M101" t="inlineStr">
        <is>
          <t>Pondasi Konstruksi</t>
        </is>
      </c>
      <c r="N101" t="inlineStr">
        <is>
          <t>Spesialis</t>
        </is>
      </c>
      <c r="O101" t="inlineStr">
        <is>
          <t>20230902</t>
        </is>
      </c>
      <c r="P101" t="inlineStr">
        <is>
          <t>DKI Jakarta</t>
        </is>
      </c>
      <c r="Q101" t="inlineStr"/>
    </row>
    <row r="102">
      <c r="A102" t="inlineStr">
        <is>
          <t>MALVINO BERKAH SEJAHTERA</t>
        </is>
      </c>
      <c r="B102" t="inlineStr">
        <is>
          <t>Kota Pekanbaru</t>
        </is>
      </c>
      <c r="C102" t="inlineStr">
        <is>
          <t>081318882692</t>
        </is>
      </c>
      <c r="D102" t="inlineStr">
        <is>
          <t>cvmalvinoberkahsejahtera@gmail.com</t>
        </is>
      </c>
      <c r="E102" t="inlineStr">
        <is>
          <t>https://lpjk.pu.go.id/search-badan-usaha-detail/K0xSNjFXSzZsYVJvVktzUVEzRDU5UT09</t>
        </is>
      </c>
      <c r="F102" t="n">
        <v>1</v>
      </c>
      <c r="G102" t="inlineStr">
        <is>
          <t>BS001</t>
        </is>
      </c>
      <c r="H102" t="inlineStr">
        <is>
          <t>6 Januari 2023</t>
        </is>
      </c>
      <c r="I102" s="2" t="n">
        <v>46269</v>
      </c>
      <c r="J102" t="inlineStr">
        <is>
          <t>Disetujui</t>
        </is>
      </c>
      <c r="K102" t="n">
        <v>60</v>
      </c>
      <c r="L102" t="inlineStr">
        <is>
          <t>4 September 2026</t>
        </is>
      </c>
      <c r="M102" t="inlineStr">
        <is>
          <t>Konstruksi Bangunan Sipil Jalan</t>
        </is>
      </c>
      <c r="N102" t="inlineStr">
        <is>
          <t>K</t>
        </is>
      </c>
      <c r="O102" t="inlineStr">
        <is>
          <t>20230904</t>
        </is>
      </c>
      <c r="P102" t="inlineStr">
        <is>
          <t>Riau</t>
        </is>
      </c>
      <c r="Q102" t="inlineStr"/>
    </row>
    <row r="103">
      <c r="A103" t="inlineStr">
        <is>
          <t>MANUMPAK JAYA</t>
        </is>
      </c>
      <c r="B103" t="inlineStr">
        <is>
          <t>Kab. Merauke</t>
        </is>
      </c>
      <c r="C103" t="inlineStr">
        <is>
          <t>085254238409</t>
        </is>
      </c>
      <c r="D103" t="inlineStr">
        <is>
          <t>cv.manumpakjaya@gmail.com</t>
        </is>
      </c>
      <c r="E103" t="inlineStr">
        <is>
          <t>https://lpjk.pu.go.id/search-badan-usaha-detail/Uk1ZaUpxQ2Zpa2lXaDFlWE41UWFQdz09</t>
        </is>
      </c>
      <c r="F103" t="n">
        <v>1</v>
      </c>
      <c r="G103" t="inlineStr">
        <is>
          <t>BG009</t>
        </is>
      </c>
      <c r="H103" t="inlineStr">
        <is>
          <t>5 Juli 2023</t>
        </is>
      </c>
      <c r="I103" s="2" t="n">
        <v>46269</v>
      </c>
      <c r="J103" t="inlineStr">
        <is>
          <t>Disetujui</t>
        </is>
      </c>
      <c r="K103" t="n">
        <v>60</v>
      </c>
      <c r="L103" t="inlineStr">
        <is>
          <t>4 September 2026</t>
        </is>
      </c>
      <c r="M103" t="inlineStr">
        <is>
          <t>Konstruksi Gedung Lainnya</t>
        </is>
      </c>
      <c r="N103" t="inlineStr">
        <is>
          <t>K</t>
        </is>
      </c>
      <c r="O103" t="inlineStr">
        <is>
          <t>20230717</t>
        </is>
      </c>
      <c r="P103" t="inlineStr">
        <is>
          <t>Papua</t>
        </is>
      </c>
      <c r="Q103" t="inlineStr"/>
    </row>
    <row r="104">
      <c r="A104" t="inlineStr">
        <is>
          <t>MANUNGGAL JAYA KONSTRUKSI</t>
        </is>
      </c>
      <c r="B104" t="inlineStr">
        <is>
          <t>Kab. Dharmasraya</t>
        </is>
      </c>
      <c r="C104" t="inlineStr">
        <is>
          <t>085363349923</t>
        </is>
      </c>
      <c r="D104" t="inlineStr">
        <is>
          <t>cvmanunggaljayak@gmail.com</t>
        </is>
      </c>
      <c r="E104" t="inlineStr">
        <is>
          <t>https://lpjk.pu.go.id/search-badan-usaha-detail/T3pkb1ZVekJQSmlpcUZQM01Lamh4UT09</t>
        </is>
      </c>
      <c r="F104" t="n">
        <v>2</v>
      </c>
      <c r="G104" t="inlineStr">
        <is>
          <t>BG009</t>
        </is>
      </c>
      <c r="H104" t="inlineStr">
        <is>
          <t>23 Mei 2022</t>
        </is>
      </c>
      <c r="I104" s="2" t="n">
        <v>46269</v>
      </c>
      <c r="J104" t="inlineStr">
        <is>
          <t>Disetujui</t>
        </is>
      </c>
      <c r="K104" t="n">
        <v>60</v>
      </c>
      <c r="L104" t="inlineStr">
        <is>
          <t>4 September 2026</t>
        </is>
      </c>
      <c r="M104" t="inlineStr">
        <is>
          <t>Konstruksi Gedung Lainnya</t>
        </is>
      </c>
      <c r="N104" t="inlineStr">
        <is>
          <t>K</t>
        </is>
      </c>
      <c r="O104" t="inlineStr">
        <is>
          <t>20230902</t>
        </is>
      </c>
      <c r="P104" t="inlineStr">
        <is>
          <t>Sumatera Barat</t>
        </is>
      </c>
      <c r="Q104" t="inlineStr"/>
    </row>
    <row r="105">
      <c r="A105" t="inlineStr">
        <is>
          <t>MARTINA KARYA</t>
        </is>
      </c>
      <c r="B105" t="inlineStr">
        <is>
          <t>Kota Ambon</t>
        </is>
      </c>
      <c r="C105" t="inlineStr">
        <is>
          <t>085243924917</t>
        </is>
      </c>
      <c r="D105" t="inlineStr">
        <is>
          <t>nanulaittaberth@yahoo.co.id</t>
        </is>
      </c>
      <c r="E105" t="inlineStr">
        <is>
          <t>https://lpjk.pu.go.id/search-badan-usaha-detail/V1AxQWZYS0tEaUczT3A3dFpVVEVZUT09</t>
        </is>
      </c>
      <c r="F105" t="n">
        <v>3</v>
      </c>
      <c r="G105" t="inlineStr">
        <is>
          <t>BG006, BS001, BS005</t>
        </is>
      </c>
      <c r="H105" t="inlineStr">
        <is>
          <t>21 September 1990</t>
        </is>
      </c>
      <c r="I105" s="2" t="n">
        <v>46269</v>
      </c>
      <c r="J105" t="inlineStr">
        <is>
          <t>Disetujui</t>
        </is>
      </c>
      <c r="K105" t="n">
        <v>60</v>
      </c>
      <c r="L105" t="inlineStr">
        <is>
          <t>4 September 2026</t>
        </is>
      </c>
      <c r="M105" t="inlineStr">
        <is>
          <t>Konstruksi Bangunan Sipil Jalan, Konstruksi Bangunan Sipil Pengolahan Air Bersih, Konstruksi Gedung Pendidikan</t>
        </is>
      </c>
      <c r="N105" t="inlineStr">
        <is>
          <t>K</t>
        </is>
      </c>
      <c r="O105" t="inlineStr">
        <is>
          <t>20230904, 20230905</t>
        </is>
      </c>
      <c r="P105" t="inlineStr">
        <is>
          <t>Maluku</t>
        </is>
      </c>
      <c r="Q105" t="inlineStr"/>
    </row>
    <row r="106">
      <c r="A106" t="inlineStr">
        <is>
          <t>MAULIDA JAYA KUKAR</t>
        </is>
      </c>
      <c r="B106" t="inlineStr">
        <is>
          <t>Kab. Kutai Kartanegara</t>
        </is>
      </c>
      <c r="C106" t="inlineStr">
        <is>
          <t>0811532333</t>
        </is>
      </c>
      <c r="D106" t="inlineStr">
        <is>
          <t>cv.maulidajayakukar@gmail.com</t>
        </is>
      </c>
      <c r="E106" t="inlineStr">
        <is>
          <t>https://lpjk.pu.go.id/search-badan-usaha-detail/Yml5R1dORENMWHV4MVlKaXF3bjgvdz09</t>
        </is>
      </c>
      <c r="F106" t="n">
        <v>2</v>
      </c>
      <c r="G106" t="inlineStr">
        <is>
          <t>BG002, BS001</t>
        </is>
      </c>
      <c r="H106" t="inlineStr">
        <is>
          <t>24 Februari 2020</t>
        </is>
      </c>
      <c r="I106" s="2" t="n">
        <v>46269</v>
      </c>
      <c r="J106" t="inlineStr">
        <is>
          <t>Disetujui</t>
        </is>
      </c>
      <c r="K106" t="n">
        <v>60</v>
      </c>
      <c r="L106" t="inlineStr">
        <is>
          <t>4 September 2026</t>
        </is>
      </c>
      <c r="M106" t="inlineStr">
        <is>
          <t>Konstruksi Bangunan Sipil Jalan, Konstruksi Gedung Perkantoran</t>
        </is>
      </c>
      <c r="N106" t="inlineStr">
        <is>
          <t>K</t>
        </is>
      </c>
      <c r="O106" t="inlineStr">
        <is>
          <t>20230904</t>
        </is>
      </c>
      <c r="P106" t="inlineStr">
        <is>
          <t>Kalimantan Timur</t>
        </is>
      </c>
      <c r="Q106" t="inlineStr"/>
    </row>
    <row r="107">
      <c r="A107" t="inlineStr">
        <is>
          <t>MAXINDO DAYA WIGUNA</t>
        </is>
      </c>
      <c r="B107" t="inlineStr">
        <is>
          <t>Kota Cilegon</t>
        </is>
      </c>
      <c r="C107" t="inlineStr">
        <is>
          <t>0254375348</t>
        </is>
      </c>
      <c r="D107" t="inlineStr">
        <is>
          <t>maxindo.mdw@gmail.com</t>
        </is>
      </c>
      <c r="E107" t="inlineStr">
        <is>
          <t>https://lpjk.pu.go.id/search-badan-usaha-detail/K1F3dDJEWEhmN2FNTDM3LzZMT3lTUT09</t>
        </is>
      </c>
      <c r="F107" t="n">
        <v>2</v>
      </c>
      <c r="G107" t="inlineStr">
        <is>
          <t>BS001, BS004</t>
        </is>
      </c>
      <c r="H107" t="inlineStr">
        <is>
          <t>2 Juni 2001</t>
        </is>
      </c>
      <c r="I107" s="2" t="n">
        <v>46269</v>
      </c>
      <c r="J107" t="inlineStr">
        <is>
          <t>Disetujui</t>
        </is>
      </c>
      <c r="K107" t="n">
        <v>60</v>
      </c>
      <c r="L107" t="inlineStr">
        <is>
          <t>4 September 2026</t>
        </is>
      </c>
      <c r="M107" t="inlineStr">
        <is>
          <t>Konstruksi Bangunan Sipil Jalan, Konstruksi Jaringan Irigasi dan Drainase</t>
        </is>
      </c>
      <c r="N107" t="inlineStr">
        <is>
          <t>K</t>
        </is>
      </c>
      <c r="O107" t="inlineStr">
        <is>
          <t>20230830</t>
        </is>
      </c>
      <c r="P107" t="inlineStr">
        <is>
          <t>Banten</t>
        </is>
      </c>
      <c r="Q107" t="inlineStr"/>
    </row>
    <row r="108">
      <c r="A108" t="inlineStr">
        <is>
          <t>MEGA INTAN ABADI</t>
        </is>
      </c>
      <c r="B108" t="inlineStr">
        <is>
          <t>Kota Adm. Jakarta Barat</t>
        </is>
      </c>
      <c r="C108" t="inlineStr">
        <is>
          <t>02122301888</t>
        </is>
      </c>
      <c r="D108" t="inlineStr">
        <is>
          <t>mia888jakarta@gmail.com</t>
        </is>
      </c>
      <c r="E108" t="inlineStr">
        <is>
          <t>https://lpjk.pu.go.id/search-badan-usaha-detail/RkN5aFBMckN0OTdKWHFCMkZFOTdkUT09</t>
        </is>
      </c>
      <c r="F108" t="n">
        <v>2</v>
      </c>
      <c r="G108" t="inlineStr">
        <is>
          <t>BG003, IN003</t>
        </is>
      </c>
      <c r="H108" t="inlineStr">
        <is>
          <t>19 Desember 2019</t>
        </is>
      </c>
      <c r="I108" s="2" t="n">
        <v>46269</v>
      </c>
      <c r="J108" t="inlineStr">
        <is>
          <t>Disetujui</t>
        </is>
      </c>
      <c r="K108" t="n">
        <v>60</v>
      </c>
      <c r="L108" t="inlineStr">
        <is>
          <t>4 September 2026</t>
        </is>
      </c>
      <c r="M108" t="inlineStr">
        <is>
          <t>Instalasi Peralatan Infrastruktur Pertambangan dan Manufaktur, Konstruksi Gedung Industri</t>
        </is>
      </c>
      <c r="N108" t="inlineStr">
        <is>
          <t>B, Spesialis</t>
        </is>
      </c>
      <c r="O108" t="inlineStr">
        <is>
          <t>20230815, 20230831</t>
        </is>
      </c>
      <c r="P108" t="inlineStr">
        <is>
          <t>DKI Jakarta</t>
        </is>
      </c>
      <c r="Q108" t="inlineStr"/>
    </row>
    <row r="109">
      <c r="A109" t="inlineStr">
        <is>
          <t>MEKAR MANDIRI SEJAHTERA</t>
        </is>
      </c>
      <c r="B109" t="inlineStr">
        <is>
          <t>Kab. Bantul</t>
        </is>
      </c>
      <c r="C109" t="inlineStr">
        <is>
          <t>02742814101</t>
        </is>
      </c>
      <c r="D109" t="inlineStr">
        <is>
          <t>mms_sejahtera11@yahoo.com</t>
        </is>
      </c>
      <c r="E109" t="inlineStr">
        <is>
          <t>https://lpjk.pu.go.id/search-badan-usaha-detail/YjFxVTg4UjE1STBqdXV1TW9lNmdZZz09</t>
        </is>
      </c>
      <c r="F109" t="n">
        <v>2</v>
      </c>
      <c r="G109" t="inlineStr">
        <is>
          <t>PB004</t>
        </is>
      </c>
      <c r="H109" t="inlineStr">
        <is>
          <t>25 Februari 2016</t>
        </is>
      </c>
      <c r="I109" s="2" t="n">
        <v>46269</v>
      </c>
      <c r="J109" t="inlineStr">
        <is>
          <t>Disetujui</t>
        </is>
      </c>
      <c r="K109" t="n">
        <v>60</v>
      </c>
      <c r="L109" t="inlineStr">
        <is>
          <t>4 September 2026</t>
        </is>
      </c>
      <c r="M109" t="inlineStr">
        <is>
          <t>Dekorasi Interior</t>
        </is>
      </c>
      <c r="N109" t="inlineStr">
        <is>
          <t>Spesialis</t>
        </is>
      </c>
      <c r="O109" t="inlineStr">
        <is>
          <t>20230821</t>
        </is>
      </c>
      <c r="P109" t="inlineStr">
        <is>
          <t>DI Yogyakarta</t>
        </is>
      </c>
      <c r="Q109" t="inlineStr"/>
    </row>
    <row r="110">
      <c r="A110" t="inlineStr">
        <is>
          <t>MITRA LESTARI</t>
        </is>
      </c>
      <c r="B110" t="inlineStr">
        <is>
          <t>Kab. Sampang</t>
        </is>
      </c>
      <c r="C110" t="inlineStr">
        <is>
          <t>081913555526</t>
        </is>
      </c>
      <c r="D110" t="inlineStr">
        <is>
          <t>mitralestari690@gmail.com</t>
        </is>
      </c>
      <c r="E110" t="inlineStr">
        <is>
          <t>https://lpjk.pu.go.id/search-badan-usaha-detail/cVg4b0o0RVhBK3RNMjNIcVdPalZFQT09</t>
        </is>
      </c>
      <c r="F110" t="n">
        <v>1</v>
      </c>
      <c r="G110" t="inlineStr">
        <is>
          <t>BG006</t>
        </is>
      </c>
      <c r="H110" t="inlineStr">
        <is>
          <t>1 Januari 2018</t>
        </is>
      </c>
      <c r="I110" s="2" t="n">
        <v>46269</v>
      </c>
      <c r="J110" t="inlineStr">
        <is>
          <t>Pencabutan</t>
        </is>
      </c>
      <c r="K110" t="n">
        <v>60</v>
      </c>
      <c r="L110" t="inlineStr">
        <is>
          <t>4 September 2026</t>
        </is>
      </c>
      <c r="M110" t="inlineStr">
        <is>
          <t>Konstruksi Gedung Pendidikan</t>
        </is>
      </c>
      <c r="N110" t="inlineStr">
        <is>
          <t>K</t>
        </is>
      </c>
      <c r="O110" t="inlineStr">
        <is>
          <t>20230905</t>
        </is>
      </c>
      <c r="P110" t="inlineStr">
        <is>
          <t>Jawa Timur</t>
        </is>
      </c>
      <c r="Q110" t="inlineStr"/>
    </row>
    <row r="111">
      <c r="A111" t="inlineStr">
        <is>
          <t>MITRA REZEKI KONSTRUKSINDO</t>
        </is>
      </c>
      <c r="B111" t="inlineStr">
        <is>
          <t>Kota Surabaya</t>
        </is>
      </c>
      <c r="C111" t="inlineStr">
        <is>
          <t>0811330023</t>
        </is>
      </c>
      <c r="D111" t="inlineStr">
        <is>
          <t>mitra.rejeki69@gmail.com</t>
        </is>
      </c>
      <c r="E111" t="inlineStr">
        <is>
          <t>https://lpjk.pu.go.id/search-badan-usaha-detail/anphbzhLb3F4SFNxanpjWkRXQUlWdz09</t>
        </is>
      </c>
      <c r="F111" t="n">
        <v>1</v>
      </c>
      <c r="G111" t="inlineStr">
        <is>
          <t>BS001</t>
        </is>
      </c>
      <c r="H111" t="inlineStr">
        <is>
          <t>20 Desember 2019</t>
        </is>
      </c>
      <c r="I111" s="2" t="n">
        <v>46269</v>
      </c>
      <c r="J111" t="inlineStr">
        <is>
          <t>Pencabutan</t>
        </is>
      </c>
      <c r="K111" t="n">
        <v>60</v>
      </c>
      <c r="L111" t="inlineStr">
        <is>
          <t>4 September 2026</t>
        </is>
      </c>
      <c r="M111" t="inlineStr">
        <is>
          <t>Konstruksi Bangunan Sipil Jalan</t>
        </is>
      </c>
      <c r="N111" t="inlineStr">
        <is>
          <t>K</t>
        </is>
      </c>
      <c r="O111" t="inlineStr">
        <is>
          <t>20230904</t>
        </is>
      </c>
      <c r="P111" t="inlineStr">
        <is>
          <t>Jawa Timur</t>
        </is>
      </c>
      <c r="Q111" t="inlineStr"/>
    </row>
    <row r="112">
      <c r="A112" t="inlineStr">
        <is>
          <t>MITRA USAHA JAYA</t>
        </is>
      </c>
      <c r="B112" t="inlineStr">
        <is>
          <t>Kab. Kapuas Hulu</t>
        </is>
      </c>
      <c r="C112" t="inlineStr">
        <is>
          <t>081352188236</t>
        </is>
      </c>
      <c r="D112" t="inlineStr">
        <is>
          <t>mitrausahajaya.cv73@gmail.com</t>
        </is>
      </c>
      <c r="E112" t="inlineStr">
        <is>
          <t>https://lpjk.pu.go.id/search-badan-usaha-detail/N1Jib3VBRXlvdG8vSnNIWlp4NEcvUT09</t>
        </is>
      </c>
      <c r="F112" t="n">
        <v>1</v>
      </c>
      <c r="G112" t="inlineStr">
        <is>
          <t>BS001</t>
        </is>
      </c>
      <c r="H112" t="inlineStr">
        <is>
          <t>14 Mei 2004</t>
        </is>
      </c>
      <c r="I112" s="2" t="n">
        <v>46269</v>
      </c>
      <c r="J112" t="inlineStr">
        <is>
          <t>Disetujui</t>
        </is>
      </c>
      <c r="K112" t="n">
        <v>60</v>
      </c>
      <c r="L112" t="inlineStr">
        <is>
          <t>4 September 2026</t>
        </is>
      </c>
      <c r="M112" t="inlineStr">
        <is>
          <t>Konstruksi Bangunan Sipil Jalan</t>
        </is>
      </c>
      <c r="N112" t="inlineStr">
        <is>
          <t>K</t>
        </is>
      </c>
      <c r="O112" t="inlineStr">
        <is>
          <t>20230830</t>
        </is>
      </c>
      <c r="P112" t="inlineStr">
        <is>
          <t>Kalimantan Barat</t>
        </is>
      </c>
      <c r="Q112" t="inlineStr"/>
    </row>
    <row r="113">
      <c r="A113" t="inlineStr">
        <is>
          <t>MOJOPAHIT PALAPA KHATULISTIWA</t>
        </is>
      </c>
      <c r="B113" t="inlineStr">
        <is>
          <t>Kota Pontianak</t>
        </is>
      </c>
      <c r="C113" t="inlineStr">
        <is>
          <t>085386006060</t>
        </is>
      </c>
      <c r="D113" t="inlineStr">
        <is>
          <t>mojopahitpalapakhatulistiwa@gmail.com</t>
        </is>
      </c>
      <c r="E113" t="inlineStr">
        <is>
          <t>https://lpjk.pu.go.id/search-badan-usaha-detail/eXhUQjVKMm44SmFMZDVYSDlwV0dudz09</t>
        </is>
      </c>
      <c r="F113" t="n">
        <v>1</v>
      </c>
      <c r="G113" t="inlineStr">
        <is>
          <t>BS001</t>
        </is>
      </c>
      <c r="H113" t="inlineStr">
        <is>
          <t>30 Mei 2023</t>
        </is>
      </c>
      <c r="I113" s="2" t="n">
        <v>46269</v>
      </c>
      <c r="J113" t="inlineStr">
        <is>
          <t>Disetujui</t>
        </is>
      </c>
      <c r="K113" t="n">
        <v>60</v>
      </c>
      <c r="L113" t="inlineStr">
        <is>
          <t>4 September 2026</t>
        </is>
      </c>
      <c r="M113" t="inlineStr">
        <is>
          <t>Konstruksi Bangunan Sipil Jalan</t>
        </is>
      </c>
      <c r="N113" t="inlineStr">
        <is>
          <t>K</t>
        </is>
      </c>
      <c r="O113" t="inlineStr">
        <is>
          <t>20230901</t>
        </is>
      </c>
      <c r="P113" t="inlineStr">
        <is>
          <t>Kalimantan Barat</t>
        </is>
      </c>
      <c r="Q113" t="inlineStr"/>
    </row>
    <row r="114">
      <c r="A114" t="inlineStr">
        <is>
          <t>MULTI NIAGA PROPERTI</t>
        </is>
      </c>
      <c r="B114" t="inlineStr">
        <is>
          <t>Kota Batam</t>
        </is>
      </c>
      <c r="C114" t="inlineStr">
        <is>
          <t>081261548455</t>
        </is>
      </c>
      <c r="D114" t="inlineStr">
        <is>
          <t>multiniagaproperti.mnp@gmail.com</t>
        </is>
      </c>
      <c r="E114" t="inlineStr">
        <is>
          <t>https://lpjk.pu.go.id/search-badan-usaha-detail/S3EzUnl2MVl5SXB1bnFjcmwrQmtVdz09</t>
        </is>
      </c>
      <c r="F114" t="n">
        <v>1</v>
      </c>
      <c r="G114" t="inlineStr">
        <is>
          <t>BG002</t>
        </is>
      </c>
      <c r="H114" t="inlineStr">
        <is>
          <t>27 Juli 2023</t>
        </is>
      </c>
      <c r="I114" s="2" t="n">
        <v>46269</v>
      </c>
      <c r="J114" t="inlineStr">
        <is>
          <t>Disetujui</t>
        </is>
      </c>
      <c r="K114" t="n">
        <v>60</v>
      </c>
      <c r="L114" t="inlineStr">
        <is>
          <t>4 September 2026</t>
        </is>
      </c>
      <c r="M114" t="inlineStr">
        <is>
          <t>Konstruksi Gedung Perkantoran</t>
        </is>
      </c>
      <c r="N114" t="inlineStr">
        <is>
          <t>K</t>
        </is>
      </c>
      <c r="O114" t="inlineStr">
        <is>
          <t>20230827</t>
        </is>
      </c>
      <c r="P114" t="inlineStr">
        <is>
          <t>Kepulauan Riau</t>
        </is>
      </c>
      <c r="Q114" t="inlineStr"/>
    </row>
    <row r="115">
      <c r="A115" t="inlineStr">
        <is>
          <t>MULTI SINAR ADAMAR</t>
        </is>
      </c>
      <c r="B115" t="inlineStr">
        <is>
          <t>Kota Adm. Jakarta Utara</t>
        </is>
      </c>
      <c r="C115" t="inlineStr">
        <is>
          <t>02129745760</t>
        </is>
      </c>
      <c r="D115" t="inlineStr">
        <is>
          <t>info@multisinaradamar.id</t>
        </is>
      </c>
      <c r="E115" t="inlineStr">
        <is>
          <t>https://lpjk.pu.go.id/search-badan-usaha-detail/R1hYTUdiOExrQ3NWUDBGcmxUVjB5QT09</t>
        </is>
      </c>
      <c r="F115" t="n">
        <v>1</v>
      </c>
      <c r="G115" t="inlineStr">
        <is>
          <t>IN001</t>
        </is>
      </c>
      <c r="H115" t="inlineStr">
        <is>
          <t>4 Juli 2023</t>
        </is>
      </c>
      <c r="I115" s="2" t="n">
        <v>46269</v>
      </c>
      <c r="J115" t="inlineStr">
        <is>
          <t>Disetujui</t>
        </is>
      </c>
      <c r="K115" t="n">
        <v>60</v>
      </c>
      <c r="L115" t="inlineStr">
        <is>
          <t>4 September 2026</t>
        </is>
      </c>
      <c r="M115" t="inlineStr">
        <is>
          <t>Instalasi Mekanikal</t>
        </is>
      </c>
      <c r="N115" t="inlineStr">
        <is>
          <t>Spesialis</t>
        </is>
      </c>
      <c r="O115" t="inlineStr">
        <is>
          <t>20230829</t>
        </is>
      </c>
      <c r="P115" t="inlineStr">
        <is>
          <t>DKI Jakarta</t>
        </is>
      </c>
      <c r="Q115" t="inlineStr"/>
    </row>
    <row r="116">
      <c r="A116" t="inlineStr">
        <is>
          <t>MUTIARA TERATAI</t>
        </is>
      </c>
      <c r="B116" t="inlineStr">
        <is>
          <t>Kab. Trenggalek</t>
        </is>
      </c>
      <c r="C116" t="inlineStr">
        <is>
          <t>081232052019</t>
        </is>
      </c>
      <c r="D116" t="inlineStr">
        <is>
          <t>mutiarateratai0@gmail.com</t>
        </is>
      </c>
      <c r="E116" t="inlineStr">
        <is>
          <t>https://lpjk.pu.go.id/search-badan-usaha-detail/YTRXS0greUN3RFMyMzlpTXdTZ0ZtZz09</t>
        </is>
      </c>
      <c r="F116" t="n">
        <v>2</v>
      </c>
      <c r="G116" t="inlineStr">
        <is>
          <t>BS001</t>
        </is>
      </c>
      <c r="H116" t="inlineStr">
        <is>
          <t>26 Mei 2023</t>
        </is>
      </c>
      <c r="I116" s="2" t="n">
        <v>46269</v>
      </c>
      <c r="J116" t="inlineStr">
        <is>
          <t>Disetujui</t>
        </is>
      </c>
      <c r="K116" t="n">
        <v>60</v>
      </c>
      <c r="L116" t="inlineStr">
        <is>
          <t>4 September 2026</t>
        </is>
      </c>
      <c r="M116" t="inlineStr">
        <is>
          <t>Konstruksi Bangunan Sipil Jalan</t>
        </is>
      </c>
      <c r="N116" t="inlineStr">
        <is>
          <t>K</t>
        </is>
      </c>
      <c r="O116" t="inlineStr">
        <is>
          <t>20230905</t>
        </is>
      </c>
      <c r="P116" t="inlineStr">
        <is>
          <t>Jawa Timur</t>
        </is>
      </c>
      <c r="Q116" t="inlineStr"/>
    </row>
    <row r="117">
      <c r="A117" t="inlineStr">
        <is>
          <t>NABILLAH ARUNA BERSAMA</t>
        </is>
      </c>
      <c r="B117" t="inlineStr">
        <is>
          <t>Kota Tangerang Selatan</t>
        </is>
      </c>
      <c r="C117" t="inlineStr">
        <is>
          <t>082249411949</t>
        </is>
      </c>
      <c r="D117" t="inlineStr">
        <is>
          <t>cvnabillaharunabersama@gmail.com</t>
        </is>
      </c>
      <c r="E117" t="inlineStr">
        <is>
          <t>https://lpjk.pu.go.id/search-badan-usaha-detail/TWhRMEdZbXdnUXBPTkx5OUxRQU83Zz09</t>
        </is>
      </c>
      <c r="F117" t="n">
        <v>4</v>
      </c>
      <c r="G117" t="inlineStr">
        <is>
          <t>BS001, BS004</t>
        </is>
      </c>
      <c r="H117" t="inlineStr">
        <is>
          <t>23 Juni 2023</t>
        </is>
      </c>
      <c r="I117" s="2" t="n">
        <v>46269</v>
      </c>
      <c r="J117" t="inlineStr">
        <is>
          <t>Disetujui</t>
        </is>
      </c>
      <c r="K117" t="n">
        <v>60</v>
      </c>
      <c r="L117" t="inlineStr">
        <is>
          <t>4 September 2026</t>
        </is>
      </c>
      <c r="M117" t="inlineStr">
        <is>
          <t>Konstruksi Bangunan Sipil Jalan, Konstruksi Jaringan Irigasi dan Drainase</t>
        </is>
      </c>
      <c r="N117" t="inlineStr">
        <is>
          <t>K</t>
        </is>
      </c>
      <c r="O117" t="inlineStr">
        <is>
          <t>20230905</t>
        </is>
      </c>
      <c r="P117" t="inlineStr">
        <is>
          <t>Banten</t>
        </is>
      </c>
      <c r="Q117" t="inlineStr"/>
    </row>
    <row r="118">
      <c r="A118" t="inlineStr">
        <is>
          <t>NASIONAL</t>
        </is>
      </c>
      <c r="B118" t="inlineStr">
        <is>
          <t>Kab. Dairi</t>
        </is>
      </c>
      <c r="C118" t="inlineStr">
        <is>
          <t>08126591356</t>
        </is>
      </c>
      <c r="D118" t="inlineStr">
        <is>
          <t>cvnasional2014@gmail.com</t>
        </is>
      </c>
      <c r="E118" t="inlineStr">
        <is>
          <t>https://lpjk.pu.go.id/search-badan-usaha-detail/S0ViQm1lUkQ1eHc5VDcrWHJ4RlNuZz09</t>
        </is>
      </c>
      <c r="F118" t="n">
        <v>1</v>
      </c>
      <c r="G118" t="inlineStr">
        <is>
          <t>BG005</t>
        </is>
      </c>
      <c r="H118" t="inlineStr">
        <is>
          <t>4 Oktober 1994</t>
        </is>
      </c>
      <c r="I118" s="2" t="n">
        <v>46269</v>
      </c>
      <c r="J118" t="inlineStr">
        <is>
          <t>Disetujui</t>
        </is>
      </c>
      <c r="K118" t="n">
        <v>60</v>
      </c>
      <c r="L118" t="inlineStr">
        <is>
          <t>4 September 2026</t>
        </is>
      </c>
      <c r="M118" t="inlineStr">
        <is>
          <t>Konstruksi Gedung Kesehatan</t>
        </is>
      </c>
      <c r="N118" t="inlineStr">
        <is>
          <t>K</t>
        </is>
      </c>
      <c r="O118" t="inlineStr">
        <is>
          <t>20230831</t>
        </is>
      </c>
      <c r="P118" t="inlineStr">
        <is>
          <t>Sumatera Utara</t>
        </is>
      </c>
      <c r="Q118" t="inlineStr"/>
    </row>
    <row r="119">
      <c r="A119" t="inlineStr">
        <is>
          <t>ORYZA SATIVA NUSANTARA</t>
        </is>
      </c>
      <c r="B119" t="inlineStr">
        <is>
          <t>Kota Palembang</t>
        </is>
      </c>
      <c r="C119" t="inlineStr">
        <is>
          <t>083803757083</t>
        </is>
      </c>
      <c r="D119" t="inlineStr">
        <is>
          <t>cvoryzasativa@yahoo.com</t>
        </is>
      </c>
      <c r="E119" t="inlineStr">
        <is>
          <t>https://lpjk.pu.go.id/search-badan-usaha-detail/S21LOFhoaTY2RFl2VFJuTEdyclZUUT09</t>
        </is>
      </c>
      <c r="F119" t="n">
        <v>1</v>
      </c>
      <c r="G119" t="inlineStr">
        <is>
          <t>BS005</t>
        </is>
      </c>
      <c r="H119" t="inlineStr">
        <is>
          <t>12 Januari 2022</t>
        </is>
      </c>
      <c r="I119" s="2" t="n">
        <v>46269</v>
      </c>
      <c r="J119" t="inlineStr">
        <is>
          <t>Disetujui</t>
        </is>
      </c>
      <c r="K119" t="n">
        <v>60</v>
      </c>
      <c r="L119" t="inlineStr">
        <is>
          <t>4 September 2026</t>
        </is>
      </c>
      <c r="M119" t="inlineStr">
        <is>
          <t>Konstruksi Bangunan Sipil Pengolahan Air Bersih</t>
        </is>
      </c>
      <c r="N119" t="inlineStr">
        <is>
          <t>K</t>
        </is>
      </c>
      <c r="O119" t="inlineStr">
        <is>
          <t>20230902</t>
        </is>
      </c>
      <c r="P119" t="inlineStr">
        <is>
          <t>Sumatera Selatan</t>
        </is>
      </c>
      <c r="Q119" t="inlineStr"/>
    </row>
    <row r="120">
      <c r="A120" t="inlineStr">
        <is>
          <t>PADAT KARYA PERKASA</t>
        </is>
      </c>
      <c r="B120" t="inlineStr">
        <is>
          <t>Kab. Bolaang Mongondow Utara</t>
        </is>
      </c>
      <c r="C120" t="inlineStr">
        <is>
          <t>085332089862</t>
        </is>
      </c>
      <c r="D120" t="inlineStr">
        <is>
          <t>padatkaryaperkasa82@gmail.com</t>
        </is>
      </c>
      <c r="E120" t="inlineStr">
        <is>
          <t>https://lpjk.pu.go.id/search-badan-usaha-detail/blJrZEU0bndIbjZPZFUwQ2k3UTI0MFRjSjdpUjVJcTJhSGd0R25qRWdrQT0</t>
        </is>
      </c>
      <c r="F120" t="n">
        <v>1</v>
      </c>
      <c r="G120" t="inlineStr">
        <is>
          <t>BG005</t>
        </is>
      </c>
      <c r="H120" t="inlineStr">
        <is>
          <t>6 Mei 2025</t>
        </is>
      </c>
      <c r="I120" s="2" t="n">
        <v>46269</v>
      </c>
      <c r="J120" t="inlineStr">
        <is>
          <t>Disetujui</t>
        </is>
      </c>
      <c r="K120" t="n">
        <v>60</v>
      </c>
      <c r="L120" t="inlineStr">
        <is>
          <t>4 September 2026</t>
        </is>
      </c>
      <c r="M120" t="inlineStr">
        <is>
          <t>Konstruksi Gedung Kesehatan</t>
        </is>
      </c>
      <c r="N120" t="inlineStr">
        <is>
          <t>K</t>
        </is>
      </c>
      <c r="O120" t="inlineStr">
        <is>
          <t>20230901</t>
        </is>
      </c>
      <c r="P120" t="inlineStr">
        <is>
          <t>Sulawesi Utara</t>
        </is>
      </c>
      <c r="Q120" t="inlineStr"/>
    </row>
    <row r="121">
      <c r="A121" t="inlineStr">
        <is>
          <t>PADATI BOLON</t>
        </is>
      </c>
      <c r="B121" t="inlineStr">
        <is>
          <t>Kab. Dairi</t>
        </is>
      </c>
      <c r="C121" t="inlineStr">
        <is>
          <t>081263945665</t>
        </is>
      </c>
      <c r="D121" t="inlineStr">
        <is>
          <t>andreassimbolon820@yahoo.com</t>
        </is>
      </c>
      <c r="E121" t="inlineStr">
        <is>
          <t>https://lpjk.pu.go.id/search-badan-usaha-detail/NHFLbUZuNVNqa3RkU0lJY0hTOU5WQT09</t>
        </is>
      </c>
      <c r="F121" t="n">
        <v>1</v>
      </c>
      <c r="G121" t="inlineStr">
        <is>
          <t>BS001</t>
        </is>
      </c>
      <c r="H121" t="inlineStr">
        <is>
          <t>19 April 2022</t>
        </is>
      </c>
      <c r="I121" s="2" t="n">
        <v>46269</v>
      </c>
      <c r="J121" t="inlineStr">
        <is>
          <t>Disetujui</t>
        </is>
      </c>
      <c r="K121" t="n">
        <v>60</v>
      </c>
      <c r="L121" t="inlineStr">
        <is>
          <t>4 September 2026</t>
        </is>
      </c>
      <c r="M121" t="inlineStr">
        <is>
          <t>Konstruksi Bangunan Sipil Jalan</t>
        </is>
      </c>
      <c r="N121" t="inlineStr">
        <is>
          <t>K</t>
        </is>
      </c>
      <c r="O121" t="inlineStr">
        <is>
          <t>20230829</t>
        </is>
      </c>
      <c r="P121" t="inlineStr">
        <is>
          <t>Sumatera Utara</t>
        </is>
      </c>
      <c r="Q121" t="inlineStr"/>
    </row>
    <row r="122">
      <c r="A122" t="inlineStr">
        <is>
          <t>PANCA PUTRA</t>
        </is>
      </c>
      <c r="B122" t="inlineStr">
        <is>
          <t>Kota Kendari</t>
        </is>
      </c>
      <c r="C122" t="inlineStr">
        <is>
          <t>082287665775</t>
        </is>
      </c>
      <c r="D122" t="inlineStr">
        <is>
          <t>Panca.putra0706@gmail.com</t>
        </is>
      </c>
      <c r="E122" t="inlineStr">
        <is>
          <t>https://lpjk.pu.go.id/search-badan-usaha-detail/SjhXcThDM2IrZWRVbTJIWi8zbWxlUT09</t>
        </is>
      </c>
      <c r="F122" t="n">
        <v>3</v>
      </c>
      <c r="G122" t="inlineStr">
        <is>
          <t>BG001, BG006, BG009</t>
        </is>
      </c>
      <c r="H122" t="inlineStr">
        <is>
          <t>25 Maret 2019</t>
        </is>
      </c>
      <c r="I122" s="2" t="n">
        <v>46269</v>
      </c>
      <c r="J122" t="inlineStr">
        <is>
          <t>Disetujui, Pencabutan</t>
        </is>
      </c>
      <c r="K122" t="n">
        <v>60</v>
      </c>
      <c r="L122" t="inlineStr">
        <is>
          <t>4 September 2026</t>
        </is>
      </c>
      <c r="M122" t="inlineStr">
        <is>
          <t>Konstruksi Gedung Hunian, Konstruksi Gedung Lainnya, Konstruksi Gedung Pendidikan</t>
        </is>
      </c>
      <c r="N122" t="inlineStr">
        <is>
          <t>K</t>
        </is>
      </c>
      <c r="O122" t="inlineStr">
        <is>
          <t>20230901, 20230904</t>
        </is>
      </c>
      <c r="P122" t="inlineStr">
        <is>
          <t>Sulawesi Tenggara</t>
        </is>
      </c>
      <c r="Q122" t="inlineStr"/>
    </row>
    <row r="123">
      <c r="A123" t="inlineStr">
        <is>
          <t>PARAMARTA MUTIARA KARSA</t>
        </is>
      </c>
      <c r="B123" t="inlineStr">
        <is>
          <t>Kota Adm. Jakarta Barat</t>
        </is>
      </c>
      <c r="C123" t="inlineStr">
        <is>
          <t>081932532137</t>
        </is>
      </c>
      <c r="D123" t="inlineStr">
        <is>
          <t>paramarta.mk@gmail.com</t>
        </is>
      </c>
      <c r="E123" t="inlineStr">
        <is>
          <t>https://lpjk.pu.go.id/search-badan-usaha-detail/YkFFaWRqM245SVV4TS9URHU1NkptUT09</t>
        </is>
      </c>
      <c r="F123" t="n">
        <v>1</v>
      </c>
      <c r="G123" t="inlineStr">
        <is>
          <t>BS007</t>
        </is>
      </c>
      <c r="H123" t="inlineStr">
        <is>
          <t>8 Maret 2023</t>
        </is>
      </c>
      <c r="I123" s="2" t="n">
        <v>46269</v>
      </c>
      <c r="J123" t="inlineStr">
        <is>
          <t>Disetujui</t>
        </is>
      </c>
      <c r="K123" t="n">
        <v>60</v>
      </c>
      <c r="L123" t="inlineStr">
        <is>
          <t>4 September 2026</t>
        </is>
      </c>
      <c r="M123" t="inlineStr">
        <is>
          <t>Konstruksi Bangunan Sipil Elektrikal</t>
        </is>
      </c>
      <c r="N123" t="inlineStr">
        <is>
          <t>K</t>
        </is>
      </c>
      <c r="O123" t="inlineStr">
        <is>
          <t>20230829</t>
        </is>
      </c>
      <c r="P123" t="inlineStr">
        <is>
          <t>DKI Jakarta</t>
        </is>
      </c>
      <c r="Q123" t="inlineStr"/>
    </row>
    <row r="124">
      <c r="A124" t="inlineStr">
        <is>
          <t>PERKASA CIPTA BANGUNAN</t>
        </is>
      </c>
      <c r="B124" t="inlineStr">
        <is>
          <t>Kab. Soppeng</t>
        </is>
      </c>
      <c r="C124" t="inlineStr">
        <is>
          <t>082187990779</t>
        </is>
      </c>
      <c r="D124" t="inlineStr">
        <is>
          <t>cvperkasaciptabangunan@gmail.com</t>
        </is>
      </c>
      <c r="E124" t="inlineStr">
        <is>
          <t>https://lpjk.pu.go.id/search-badan-usaha-detail/QTRzS3R1Z3BJcGlxNHlmMG1MVjlrUT09</t>
        </is>
      </c>
      <c r="F124" t="n">
        <v>1</v>
      </c>
      <c r="G124" t="inlineStr">
        <is>
          <t>BG009</t>
        </is>
      </c>
      <c r="H124" t="inlineStr">
        <is>
          <t>17 Februari 2014</t>
        </is>
      </c>
      <c r="I124" s="2" t="n">
        <v>46269</v>
      </c>
      <c r="J124" t="inlineStr">
        <is>
          <t>Disetujui</t>
        </is>
      </c>
      <c r="K124" t="n">
        <v>60</v>
      </c>
      <c r="L124" t="inlineStr">
        <is>
          <t>4 September 2026</t>
        </is>
      </c>
      <c r="M124" t="inlineStr">
        <is>
          <t>Konstruksi Gedung Lainnya</t>
        </is>
      </c>
      <c r="N124" t="inlineStr">
        <is>
          <t>K</t>
        </is>
      </c>
      <c r="O124" t="inlineStr">
        <is>
          <t>20230903</t>
        </is>
      </c>
      <c r="P124" t="inlineStr">
        <is>
          <t>Sulawesi Selatan</t>
        </is>
      </c>
      <c r="Q124" t="inlineStr"/>
    </row>
    <row r="125">
      <c r="A125" t="inlineStr">
        <is>
          <t>PERMATA KARYA</t>
        </is>
      </c>
      <c r="B125" t="inlineStr">
        <is>
          <t>Kota Yogyakarta</t>
        </is>
      </c>
      <c r="C125" t="inlineStr">
        <is>
          <t>0274487061</t>
        </is>
      </c>
      <c r="D125" t="inlineStr">
        <is>
          <t>cvpermatakarya@yahoo.co.id</t>
        </is>
      </c>
      <c r="E125" t="inlineStr">
        <is>
          <t>https://lpjk.pu.go.id/search-badan-usaha-detail/SmdOdEk4dGtjSTN6Q3k2eDVPMHk3QT09</t>
        </is>
      </c>
      <c r="F125" t="n">
        <v>1</v>
      </c>
      <c r="G125" t="inlineStr">
        <is>
          <t>BS001</t>
        </is>
      </c>
      <c r="H125" t="inlineStr">
        <is>
          <t>30 Oktober 2019</t>
        </is>
      </c>
      <c r="I125" s="2" t="n">
        <v>46269</v>
      </c>
      <c r="J125" t="inlineStr">
        <is>
          <t>Disetujui</t>
        </is>
      </c>
      <c r="K125" t="n">
        <v>60</v>
      </c>
      <c r="L125" t="inlineStr">
        <is>
          <t>4 September 2026</t>
        </is>
      </c>
      <c r="M125" t="inlineStr">
        <is>
          <t>Konstruksi Bangunan Sipil Jalan</t>
        </is>
      </c>
      <c r="N125" t="inlineStr">
        <is>
          <t>K</t>
        </is>
      </c>
      <c r="O125" t="inlineStr">
        <is>
          <t>20230822</t>
        </is>
      </c>
      <c r="P125" t="inlineStr">
        <is>
          <t>DI Yogyakarta</t>
        </is>
      </c>
      <c r="Q125" t="inlineStr"/>
    </row>
    <row r="126">
      <c r="A126" t="inlineStr">
        <is>
          <t>PERMATA KENCANA RAYA</t>
        </is>
      </c>
      <c r="B126" t="inlineStr">
        <is>
          <t>Kota Cilegon</t>
        </is>
      </c>
      <c r="C126" t="inlineStr">
        <is>
          <t>085782482592</t>
        </is>
      </c>
      <c r="D126" t="inlineStr">
        <is>
          <t>permatakencanaraya@gmail.com</t>
        </is>
      </c>
      <c r="E126" t="inlineStr">
        <is>
          <t>https://lpjk.pu.go.id/search-badan-usaha-detail/NlUvTHNaVVN0ZEV1TU5YVngwUWxGZz09</t>
        </is>
      </c>
      <c r="F126" t="n">
        <v>1</v>
      </c>
      <c r="G126" t="inlineStr">
        <is>
          <t>BG005</t>
        </is>
      </c>
      <c r="H126" t="inlineStr">
        <is>
          <t>4 Juli 2022</t>
        </is>
      </c>
      <c r="I126" s="2" t="n">
        <v>46269</v>
      </c>
      <c r="J126" t="inlineStr">
        <is>
          <t>Pencabutan</t>
        </is>
      </c>
      <c r="K126" t="n">
        <v>60</v>
      </c>
      <c r="L126" t="inlineStr">
        <is>
          <t>4 September 2026</t>
        </is>
      </c>
      <c r="M126" t="inlineStr">
        <is>
          <t>Konstruksi Gedung Kesehatan</t>
        </is>
      </c>
      <c r="N126" t="inlineStr">
        <is>
          <t>K</t>
        </is>
      </c>
      <c r="O126" t="inlineStr">
        <is>
          <t>20230904</t>
        </is>
      </c>
      <c r="P126" t="inlineStr">
        <is>
          <t>Banten</t>
        </is>
      </c>
      <c r="Q126" t="inlineStr"/>
    </row>
    <row r="127">
      <c r="A127" t="inlineStr">
        <is>
          <t>PRATIWI CITRA MEDIKA</t>
        </is>
      </c>
      <c r="B127" t="inlineStr">
        <is>
          <t>Kota Samarinda</t>
        </is>
      </c>
      <c r="C127" t="inlineStr">
        <is>
          <t>081253790030</t>
        </is>
      </c>
      <c r="D127" t="inlineStr">
        <is>
          <t>cvpratiwicitramedika@gmail.com</t>
        </is>
      </c>
      <c r="E127" t="inlineStr">
        <is>
          <t>https://lpjk.pu.go.id/search-badan-usaha-detail/dGhaOGNOSEIybVB0Z3N3WFpWM1p3ZmZYTGt2NzArVkFONWVpTlhIS3Uxaz0</t>
        </is>
      </c>
      <c r="F127" t="n">
        <v>5</v>
      </c>
      <c r="G127" t="inlineStr">
        <is>
          <t>BG002, BG005, BG006, BG009, BS004</t>
        </is>
      </c>
      <c r="H127" t="inlineStr">
        <is>
          <t>27 Juni 2023</t>
        </is>
      </c>
      <c r="I127" s="2" t="n">
        <v>46269</v>
      </c>
      <c r="J127" t="inlineStr">
        <is>
          <t>Disetujui</t>
        </is>
      </c>
      <c r="K127" t="n">
        <v>60</v>
      </c>
      <c r="L127" t="inlineStr">
        <is>
          <t>4 September 2026</t>
        </is>
      </c>
      <c r="M127" t="inlineStr">
        <is>
          <t>Konstruksi Gedung Kesehatan, Konstruksi Gedung Lainnya, Konstruksi Gedung Pendidikan, Konstruksi Gedung Perkantoran, Konstruksi Jaringan Irigasi dan Drainase</t>
        </is>
      </c>
      <c r="N127" t="inlineStr">
        <is>
          <t>K</t>
        </is>
      </c>
      <c r="O127" t="inlineStr">
        <is>
          <t>20230904, 20230905</t>
        </is>
      </c>
      <c r="P127" t="inlineStr">
        <is>
          <t>Kalimantan Timur</t>
        </is>
      </c>
      <c r="Q127" t="inlineStr"/>
    </row>
    <row r="128">
      <c r="A128" t="inlineStr">
        <is>
          <t>PUSPA JAYA</t>
        </is>
      </c>
      <c r="B128" t="inlineStr">
        <is>
          <t>Kab. Demak</t>
        </is>
      </c>
      <c r="C128" t="inlineStr">
        <is>
          <t>085292257813</t>
        </is>
      </c>
      <c r="D128" t="inlineStr">
        <is>
          <t>cv.puspajaya@yahoo.co.id</t>
        </is>
      </c>
      <c r="E128" t="inlineStr">
        <is>
          <t>https://lpjk.pu.go.id/search-badan-usaha-detail/cEJWeWszNVZxM1RxQ1hkTnBLOEJIZz09</t>
        </is>
      </c>
      <c r="F128" t="n">
        <v>4</v>
      </c>
      <c r="G128" t="inlineStr">
        <is>
          <t>BG002, BG004, BG006</t>
        </is>
      </c>
      <c r="H128" t="inlineStr">
        <is>
          <t>10 Januari 2007</t>
        </is>
      </c>
      <c r="I128" s="2" t="n">
        <v>46269</v>
      </c>
      <c r="J128" t="inlineStr">
        <is>
          <t>Disetujui</t>
        </is>
      </c>
      <c r="K128" t="n">
        <v>60</v>
      </c>
      <c r="L128" t="inlineStr">
        <is>
          <t>4 September 2026</t>
        </is>
      </c>
      <c r="M128" t="inlineStr">
        <is>
          <t>Konstruksi Gedung Pendidikan, Konstruksi Gedung Perbelanjaan, Konstruksi Gedung Perkantoran</t>
        </is>
      </c>
      <c r="N128" t="inlineStr">
        <is>
          <t>K</t>
        </is>
      </c>
      <c r="O128" t="inlineStr">
        <is>
          <t>20230831, 20230901</t>
        </is>
      </c>
      <c r="P128" t="inlineStr">
        <is>
          <t>Jawa Tengah</t>
        </is>
      </c>
      <c r="Q128" t="inlineStr"/>
    </row>
    <row r="129">
      <c r="A129" t="inlineStr">
        <is>
          <t>PUTRA DARMAWAN</t>
        </is>
      </c>
      <c r="B129" t="inlineStr">
        <is>
          <t>Kab. Semarang</t>
        </is>
      </c>
      <c r="C129" t="inlineStr">
        <is>
          <t>085740995200</t>
        </is>
      </c>
      <c r="D129" t="inlineStr">
        <is>
          <t>darmawanputra67@gmail.com</t>
        </is>
      </c>
      <c r="E129" t="inlineStr">
        <is>
          <t>https://lpjk.pu.go.id/search-badan-usaha-detail/alpOeXQ0WUF4Q0NOeG9lSjMwQnk2QT09</t>
        </is>
      </c>
      <c r="F129" t="n">
        <v>1</v>
      </c>
      <c r="G129" t="inlineStr">
        <is>
          <t>BS001</t>
        </is>
      </c>
      <c r="H129" t="inlineStr">
        <is>
          <t>28 Agustus 2017</t>
        </is>
      </c>
      <c r="I129" s="2" t="n">
        <v>46269</v>
      </c>
      <c r="J129" t="inlineStr">
        <is>
          <t>Disetujui</t>
        </is>
      </c>
      <c r="K129" t="n">
        <v>60</v>
      </c>
      <c r="L129" t="inlineStr">
        <is>
          <t>4 September 2026</t>
        </is>
      </c>
      <c r="M129" t="inlineStr">
        <is>
          <t>Konstruksi Bangunan Sipil Jalan</t>
        </is>
      </c>
      <c r="N129" t="inlineStr">
        <is>
          <t>K</t>
        </is>
      </c>
      <c r="O129" t="inlineStr">
        <is>
          <t>20230830</t>
        </is>
      </c>
      <c r="P129" t="inlineStr">
        <is>
          <t>Jawa Tengah</t>
        </is>
      </c>
      <c r="Q129" t="inlineStr"/>
    </row>
    <row r="130">
      <c r="A130" t="inlineStr">
        <is>
          <t>PUTRI OLIV</t>
        </is>
      </c>
      <c r="B130" t="inlineStr">
        <is>
          <t>Kota Sibolga</t>
        </is>
      </c>
      <c r="C130" t="inlineStr">
        <is>
          <t>081396822007</t>
        </is>
      </c>
      <c r="D130" t="inlineStr">
        <is>
          <t>cv.putrioliv@gmail.com</t>
        </is>
      </c>
      <c r="E130" t="inlineStr">
        <is>
          <t>https://lpjk.pu.go.id/search-badan-usaha-detail/YmNGaWZCaVRTZE5FWkIrRzRiZi9YUT09</t>
        </is>
      </c>
      <c r="F130" t="n">
        <v>1</v>
      </c>
      <c r="G130" t="inlineStr">
        <is>
          <t>BG009</t>
        </is>
      </c>
      <c r="H130" t="inlineStr">
        <is>
          <t>2 April 2014</t>
        </is>
      </c>
      <c r="I130" s="2" t="n">
        <v>46269</v>
      </c>
      <c r="J130" t="inlineStr">
        <is>
          <t>Disetujui</t>
        </is>
      </c>
      <c r="K130" t="n">
        <v>60</v>
      </c>
      <c r="L130" t="inlineStr">
        <is>
          <t>4 September 2026</t>
        </is>
      </c>
      <c r="M130" t="inlineStr">
        <is>
          <t>Konstruksi Gedung Lainnya</t>
        </is>
      </c>
      <c r="N130" t="inlineStr">
        <is>
          <t>K</t>
        </is>
      </c>
      <c r="O130" t="inlineStr">
        <is>
          <t>20230902</t>
        </is>
      </c>
      <c r="P130" t="inlineStr">
        <is>
          <t>Sumatera Utara</t>
        </is>
      </c>
      <c r="Q130" t="inlineStr"/>
    </row>
    <row r="131">
      <c r="A131" t="inlineStr">
        <is>
          <t>RAHMAT ABADI</t>
        </is>
      </c>
      <c r="B131" t="inlineStr">
        <is>
          <t>Kab. Jeneponto</t>
        </is>
      </c>
      <c r="C131" t="inlineStr">
        <is>
          <t>081341198457</t>
        </is>
      </c>
      <c r="D131" t="inlineStr">
        <is>
          <t>cvrahmatabadi1234@gmail.com</t>
        </is>
      </c>
      <c r="E131" t="inlineStr">
        <is>
          <t>https://lpjk.pu.go.id/search-badan-usaha-detail/cER0SjdCZlk0SnI2R2V2VjQ1UDEvQT09</t>
        </is>
      </c>
      <c r="F131" t="n">
        <v>2</v>
      </c>
      <c r="G131" t="inlineStr">
        <is>
          <t>BG006</t>
        </is>
      </c>
      <c r="H131" t="inlineStr">
        <is>
          <t>7 Agustus 2000</t>
        </is>
      </c>
      <c r="I131" s="2" t="n">
        <v>46269</v>
      </c>
      <c r="J131" t="inlineStr">
        <is>
          <t>Disetujui</t>
        </is>
      </c>
      <c r="K131" t="n">
        <v>60</v>
      </c>
      <c r="L131" t="inlineStr">
        <is>
          <t>4 September 2026</t>
        </is>
      </c>
      <c r="M131" t="inlineStr">
        <is>
          <t>Konstruksi Gedung Pendidikan</t>
        </is>
      </c>
      <c r="N131" t="inlineStr">
        <is>
          <t>K</t>
        </is>
      </c>
      <c r="O131" t="inlineStr">
        <is>
          <t>20230901</t>
        </is>
      </c>
      <c r="P131" t="inlineStr">
        <is>
          <t>Sulawesi Selatan</t>
        </is>
      </c>
      <c r="Q131" t="inlineStr"/>
    </row>
    <row r="132">
      <c r="A132" t="inlineStr">
        <is>
          <t>RAJENDRA CONTRUCTION</t>
        </is>
      </c>
      <c r="B132" t="inlineStr">
        <is>
          <t>Kota Salatiga</t>
        </is>
      </c>
      <c r="C132" t="inlineStr">
        <is>
          <t>081325258740</t>
        </is>
      </c>
      <c r="D132" t="inlineStr">
        <is>
          <t>rajendra.contruction@gmail.com</t>
        </is>
      </c>
      <c r="E132" t="inlineStr">
        <is>
          <t>https://lpjk.pu.go.id/search-badan-usaha-detail/dFRaTkZmVitvRE9QaXNtQWpvdUo0Zz09</t>
        </is>
      </c>
      <c r="F132" t="n">
        <v>1</v>
      </c>
      <c r="G132" t="inlineStr">
        <is>
          <t>BG002</t>
        </is>
      </c>
      <c r="H132" t="inlineStr">
        <is>
          <t>26 September 2016</t>
        </is>
      </c>
      <c r="I132" s="2" t="n">
        <v>46269</v>
      </c>
      <c r="J132" t="inlineStr">
        <is>
          <t>Pencabutan</t>
        </is>
      </c>
      <c r="K132" t="n">
        <v>60</v>
      </c>
      <c r="L132" t="inlineStr">
        <is>
          <t>4 September 2026</t>
        </is>
      </c>
      <c r="M132" t="inlineStr">
        <is>
          <t>Konstruksi Gedung Perkantoran</t>
        </is>
      </c>
      <c r="N132" t="inlineStr">
        <is>
          <t>K</t>
        </is>
      </c>
      <c r="O132" t="inlineStr">
        <is>
          <t>20220209</t>
        </is>
      </c>
      <c r="P132" t="inlineStr">
        <is>
          <t>Jawa Tengah</t>
        </is>
      </c>
      <c r="Q132" t="inlineStr"/>
    </row>
    <row r="133">
      <c r="A133" t="inlineStr">
        <is>
          <t>RAYA BERLIANS</t>
        </is>
      </c>
      <c r="B133" t="inlineStr">
        <is>
          <t>Kab. Sukabumi</t>
        </is>
      </c>
      <c r="C133" t="inlineStr">
        <is>
          <t>081564689849</t>
        </is>
      </c>
      <c r="D133" t="inlineStr">
        <is>
          <t>cv.rayaberlians@yahoo.com</t>
        </is>
      </c>
      <c r="E133" t="inlineStr">
        <is>
          <t>https://lpjk.pu.go.id/search-badan-usaha-detail/eTY2NUtUQ2dUWkhKY1BnMTVXRHY3UT09</t>
        </is>
      </c>
      <c r="F133" t="n">
        <v>2</v>
      </c>
      <c r="G133" t="inlineStr">
        <is>
          <t>BS001, BS004</t>
        </is>
      </c>
      <c r="H133" t="inlineStr">
        <is>
          <t>17 Juli 2020</t>
        </is>
      </c>
      <c r="I133" s="2" t="n">
        <v>46269</v>
      </c>
      <c r="J133" t="inlineStr">
        <is>
          <t>Pencabutan</t>
        </is>
      </c>
      <c r="K133" t="n">
        <v>60</v>
      </c>
      <c r="L133" t="inlineStr">
        <is>
          <t>4 September 2026</t>
        </is>
      </c>
      <c r="M133" t="inlineStr">
        <is>
          <t>Konstruksi Bangunan Sipil Jalan, Konstruksi Jaringan Irigasi dan Drainase</t>
        </is>
      </c>
      <c r="N133" t="inlineStr">
        <is>
          <t>K</t>
        </is>
      </c>
      <c r="O133" t="inlineStr">
        <is>
          <t>20230830</t>
        </is>
      </c>
      <c r="P133" t="inlineStr">
        <is>
          <t>Jawa Barat</t>
        </is>
      </c>
      <c r="Q133" t="inlineStr"/>
    </row>
    <row r="134">
      <c r="A134" t="inlineStr">
        <is>
          <t>REFAN'Z PRATAMA</t>
        </is>
      </c>
      <c r="B134" t="inlineStr">
        <is>
          <t>Kab. Sigi</t>
        </is>
      </c>
      <c r="C134" t="inlineStr">
        <is>
          <t>085211177714</t>
        </is>
      </c>
      <c r="D134" t="inlineStr">
        <is>
          <t>refanzp@ymail.com</t>
        </is>
      </c>
      <c r="E134" t="inlineStr">
        <is>
          <t>https://lpjk.pu.go.id/search-badan-usaha-detail/MW9UbGY4NXg2TmIxOEN5UHNhU20rdz09</t>
        </is>
      </c>
      <c r="F134" t="n">
        <v>1</v>
      </c>
      <c r="G134" t="inlineStr">
        <is>
          <t>BS005</t>
        </is>
      </c>
      <c r="H134" t="inlineStr">
        <is>
          <t>14 Februari 2011</t>
        </is>
      </c>
      <c r="I134" s="2" t="n">
        <v>46269</v>
      </c>
      <c r="J134" t="inlineStr">
        <is>
          <t>Disetujui</t>
        </is>
      </c>
      <c r="K134" t="n">
        <v>60</v>
      </c>
      <c r="L134" t="inlineStr">
        <is>
          <t>4 September 2026</t>
        </is>
      </c>
      <c r="M134" t="inlineStr">
        <is>
          <t>Konstruksi Bangunan Sipil Pengolahan Air Bersih</t>
        </is>
      </c>
      <c r="N134" t="inlineStr">
        <is>
          <t>K</t>
        </is>
      </c>
      <c r="O134" t="inlineStr">
        <is>
          <t>20230903</t>
        </is>
      </c>
      <c r="P134" t="inlineStr">
        <is>
          <t>Sulawesi Tengah</t>
        </is>
      </c>
      <c r="Q134" t="inlineStr"/>
    </row>
    <row r="135">
      <c r="A135" t="inlineStr">
        <is>
          <t>REZKY BUKIT PERMAI</t>
        </is>
      </c>
      <c r="B135" t="inlineStr">
        <is>
          <t>Kab. Kampar</t>
        </is>
      </c>
      <c r="C135" t="inlineStr">
        <is>
          <t>082173440619</t>
        </is>
      </c>
      <c r="D135" t="inlineStr">
        <is>
          <t>cvbukitpermai71@gmail.com</t>
        </is>
      </c>
      <c r="E135" t="inlineStr">
        <is>
          <t>https://lpjk.pu.go.id/search-badan-usaha-detail/dXk4K2RlNGJJN1prZG5ySXhXQlNTZz09</t>
        </is>
      </c>
      <c r="F135" t="n">
        <v>1</v>
      </c>
      <c r="G135" t="inlineStr">
        <is>
          <t>BS001</t>
        </is>
      </c>
      <c r="H135" t="inlineStr">
        <is>
          <t>28 Januari 2012</t>
        </is>
      </c>
      <c r="I135" s="2" t="n">
        <v>46269</v>
      </c>
      <c r="J135" t="inlineStr">
        <is>
          <t>Disetujui</t>
        </is>
      </c>
      <c r="K135" t="n">
        <v>60</v>
      </c>
      <c r="L135" t="inlineStr">
        <is>
          <t>4 September 2026</t>
        </is>
      </c>
      <c r="M135" t="inlineStr">
        <is>
          <t>Konstruksi Bangunan Sipil Jalan</t>
        </is>
      </c>
      <c r="N135" t="inlineStr">
        <is>
          <t>K</t>
        </is>
      </c>
      <c r="O135" t="inlineStr">
        <is>
          <t>20230905</t>
        </is>
      </c>
      <c r="P135" t="inlineStr">
        <is>
          <t>Riau</t>
        </is>
      </c>
      <c r="Q135" t="inlineStr"/>
    </row>
    <row r="136">
      <c r="A136" t="inlineStr">
        <is>
          <t>RISA ASPIRASI INDAH</t>
        </is>
      </c>
      <c r="B136" t="inlineStr">
        <is>
          <t>Kota Pontianak</t>
        </is>
      </c>
      <c r="C136" t="inlineStr">
        <is>
          <t>082154313210</t>
        </is>
      </c>
      <c r="D136" t="inlineStr">
        <is>
          <t>risaaspirasiindah@gmail.com</t>
        </is>
      </c>
      <c r="E136" t="inlineStr">
        <is>
          <t>https://lpjk.pu.go.id/search-badan-usaha-detail/SVBCc3RieFpqa09UamVBSmpXd0lFQT09</t>
        </is>
      </c>
      <c r="F136" t="n">
        <v>1</v>
      </c>
      <c r="G136" t="inlineStr">
        <is>
          <t>BS001</t>
        </is>
      </c>
      <c r="H136" t="inlineStr">
        <is>
          <t>31 Juli 2008</t>
        </is>
      </c>
      <c r="I136" s="2" t="n">
        <v>46269</v>
      </c>
      <c r="J136" t="inlineStr">
        <is>
          <t>Pencabutan</t>
        </is>
      </c>
      <c r="K136" t="n">
        <v>60</v>
      </c>
      <c r="L136" t="inlineStr">
        <is>
          <t>4 September 2026</t>
        </is>
      </c>
      <c r="M136" t="inlineStr">
        <is>
          <t>Konstruksi Bangunan Sipil Jalan</t>
        </is>
      </c>
      <c r="N136" t="inlineStr">
        <is>
          <t>K</t>
        </is>
      </c>
      <c r="O136" t="inlineStr">
        <is>
          <t>20230828</t>
        </is>
      </c>
      <c r="P136" t="inlineStr">
        <is>
          <t>Kalimantan Barat</t>
        </is>
      </c>
      <c r="Q136" t="inlineStr"/>
    </row>
    <row r="137">
      <c r="A137" t="inlineStr">
        <is>
          <t>RYANSI PRATAMA</t>
        </is>
      </c>
      <c r="B137" t="inlineStr">
        <is>
          <t>Kota Payakumbuh</t>
        </is>
      </c>
      <c r="C137" t="inlineStr">
        <is>
          <t>08127629539</t>
        </is>
      </c>
      <c r="D137" t="inlineStr">
        <is>
          <t>cvryansipratama@gmail.com</t>
        </is>
      </c>
      <c r="E137" t="inlineStr">
        <is>
          <t>https://lpjk.pu.go.id/search-badan-usaha-detail/Umk1c1N0UVNDRGJyZG5jSjNaWjlmQT09</t>
        </is>
      </c>
      <c r="F137" t="n">
        <v>1</v>
      </c>
      <c r="G137" t="inlineStr">
        <is>
          <t>BG005</t>
        </is>
      </c>
      <c r="H137" t="inlineStr">
        <is>
          <t>15 Januari 2022</t>
        </is>
      </c>
      <c r="I137" s="2" t="n">
        <v>46269</v>
      </c>
      <c r="J137" t="inlineStr">
        <is>
          <t>Disetujui</t>
        </is>
      </c>
      <c r="K137" t="n">
        <v>60</v>
      </c>
      <c r="L137" t="inlineStr">
        <is>
          <t>4 September 2026</t>
        </is>
      </c>
      <c r="M137" t="inlineStr">
        <is>
          <t>Konstruksi Gedung Kesehatan</t>
        </is>
      </c>
      <c r="N137" t="inlineStr">
        <is>
          <t>K</t>
        </is>
      </c>
      <c r="O137" t="inlineStr">
        <is>
          <t>20230905</t>
        </is>
      </c>
      <c r="P137" t="inlineStr">
        <is>
          <t>Sumatera Barat</t>
        </is>
      </c>
      <c r="Q137" t="inlineStr"/>
    </row>
    <row r="138">
      <c r="A138" t="inlineStr">
        <is>
          <t>SABILA WARDHANA</t>
        </is>
      </c>
      <c r="B138" t="inlineStr">
        <is>
          <t>Kota Semarang</t>
        </is>
      </c>
      <c r="C138" t="inlineStr">
        <is>
          <t>081329668668</t>
        </is>
      </c>
      <c r="D138" t="inlineStr">
        <is>
          <t>sabila_wardhana@yahoo.com</t>
        </is>
      </c>
      <c r="E138" t="inlineStr">
        <is>
          <t>https://lpjk.pu.go.id/search-badan-usaha-detail/OWFoUXZ1K0tDbisxVmJraFdsQ1hhdz09</t>
        </is>
      </c>
      <c r="F138" t="n">
        <v>4</v>
      </c>
      <c r="G138" t="inlineStr">
        <is>
          <t>BG001, BG005, BG006, BG009</t>
        </is>
      </c>
      <c r="H138" t="inlineStr">
        <is>
          <t>19 September 2005</t>
        </is>
      </c>
      <c r="I138" s="2" t="n">
        <v>46269</v>
      </c>
      <c r="J138" t="inlineStr">
        <is>
          <t>Pencabutan</t>
        </is>
      </c>
      <c r="K138" t="n">
        <v>60</v>
      </c>
      <c r="L138" t="inlineStr">
        <is>
          <t>4 September 2026</t>
        </is>
      </c>
      <c r="M138" t="inlineStr">
        <is>
          <t>Konstruksi Gedung Hunian, Konstruksi Gedung Kesehatan, Konstruksi Gedung Lainnya, Konstruksi Gedung Pendidikan</t>
        </is>
      </c>
      <c r="N138" t="inlineStr">
        <is>
          <t>K</t>
        </is>
      </c>
      <c r="O138" t="inlineStr">
        <is>
          <t>20230831, 20230901</t>
        </is>
      </c>
      <c r="P138" t="inlineStr">
        <is>
          <t>Jawa Tengah</t>
        </is>
      </c>
      <c r="Q138" t="inlineStr"/>
    </row>
    <row r="139">
      <c r="A139" t="inlineStr">
        <is>
          <t>SAFARI INDAH</t>
        </is>
      </c>
      <c r="B139" t="inlineStr">
        <is>
          <t>Kota Tangerang</t>
        </is>
      </c>
      <c r="C139" t="inlineStr">
        <is>
          <t>085945999778</t>
        </is>
      </c>
      <c r="D139" t="inlineStr">
        <is>
          <t>cv.safariindah@yahoo.co.ic</t>
        </is>
      </c>
      <c r="E139" t="inlineStr">
        <is>
          <t>https://lpjk.pu.go.id/search-badan-usaha-detail/Z2V1MXZ0eWVzaUhUYmFXa3NjZHhCUT09</t>
        </is>
      </c>
      <c r="F139" t="n">
        <v>1</v>
      </c>
      <c r="G139" t="inlineStr">
        <is>
          <t>BS004</t>
        </is>
      </c>
      <c r="H139" t="inlineStr">
        <is>
          <t>21 November 1988</t>
        </is>
      </c>
      <c r="I139" s="2" t="n">
        <v>46269</v>
      </c>
      <c r="J139" t="inlineStr">
        <is>
          <t>Disetujui</t>
        </is>
      </c>
      <c r="K139" t="n">
        <v>60</v>
      </c>
      <c r="L139" t="inlineStr">
        <is>
          <t>4 September 2026</t>
        </is>
      </c>
      <c r="M139" t="inlineStr">
        <is>
          <t>Konstruksi Jaringan Irigasi dan Drainase</t>
        </is>
      </c>
      <c r="N139" t="inlineStr">
        <is>
          <t>K</t>
        </is>
      </c>
      <c r="O139" t="inlineStr">
        <is>
          <t>20230903</t>
        </is>
      </c>
      <c r="P139" t="inlineStr">
        <is>
          <t>Banten</t>
        </is>
      </c>
      <c r="Q139" t="inlineStr"/>
    </row>
    <row r="140">
      <c r="A140" t="inlineStr">
        <is>
          <t>SAMUDRA JAYAKARTA</t>
        </is>
      </c>
      <c r="B140" t="inlineStr">
        <is>
          <t>Kab. Lumajang</t>
        </is>
      </c>
      <c r="C140" t="inlineStr">
        <is>
          <t>081222000909</t>
        </is>
      </c>
      <c r="D140" t="inlineStr">
        <is>
          <t>samudrajayakarta49@gmail.com</t>
        </is>
      </c>
      <c r="E140" t="inlineStr">
        <is>
          <t>https://lpjk.pu.go.id/search-badan-usaha-detail/U01jMHpWdkxRNlNlbmk5SHY4UmlWQT09</t>
        </is>
      </c>
      <c r="F140" t="n">
        <v>1</v>
      </c>
      <c r="G140" t="inlineStr">
        <is>
          <t>BS005</t>
        </is>
      </c>
      <c r="H140" t="inlineStr">
        <is>
          <t>1 Agustus 2023</t>
        </is>
      </c>
      <c r="I140" s="2" t="n">
        <v>46269</v>
      </c>
      <c r="J140" t="inlineStr">
        <is>
          <t>Disetujui</t>
        </is>
      </c>
      <c r="K140" t="n">
        <v>60</v>
      </c>
      <c r="L140" t="inlineStr">
        <is>
          <t>4 September 2026</t>
        </is>
      </c>
      <c r="M140" t="inlineStr">
        <is>
          <t>Konstruksi Bangunan Sipil Pengolahan Air Bersih</t>
        </is>
      </c>
      <c r="N140" t="inlineStr">
        <is>
          <t>K</t>
        </is>
      </c>
      <c r="O140" t="inlineStr">
        <is>
          <t>20230901</t>
        </is>
      </c>
      <c r="P140" t="inlineStr">
        <is>
          <t>Jawa Timur</t>
        </is>
      </c>
      <c r="Q140" t="inlineStr"/>
    </row>
    <row r="141">
      <c r="A141" t="inlineStr">
        <is>
          <t>SARANA CIPTA KARSA</t>
        </is>
      </c>
      <c r="B141" t="inlineStr">
        <is>
          <t>Kota Bontang</t>
        </is>
      </c>
      <c r="C141" t="inlineStr">
        <is>
          <t>08125497294</t>
        </is>
      </c>
      <c r="D141" t="inlineStr">
        <is>
          <t>saranaciptakarsa@gmail.com</t>
        </is>
      </c>
      <c r="E141" t="inlineStr">
        <is>
          <t>https://lpjk.pu.go.id/search-badan-usaha-detail/M3p3QXRyNlBsQWhFaGR1YlpNUnMzdz09</t>
        </is>
      </c>
      <c r="F141" t="n">
        <v>2</v>
      </c>
      <c r="G141" t="inlineStr">
        <is>
          <t>AR002, AR003</t>
        </is>
      </c>
      <c r="H141" t="inlineStr">
        <is>
          <t>19 Desember 2007</t>
        </is>
      </c>
      <c r="I141" s="2" t="n">
        <v>46269</v>
      </c>
      <c r="J141" t="inlineStr">
        <is>
          <t>Disetujui</t>
        </is>
      </c>
      <c r="K141" t="n">
        <v>60</v>
      </c>
      <c r="L141" t="inlineStr">
        <is>
          <t>4 September 2026</t>
        </is>
      </c>
      <c r="M141" t="inlineStr">
        <is>
          <t>Jasa Arsitektural Lainnya, Jasa Desain Interior pada Bangunan Gedung dan Bangunan Sipil</t>
        </is>
      </c>
      <c r="N141" t="inlineStr">
        <is>
          <t>K</t>
        </is>
      </c>
      <c r="O141" t="inlineStr">
        <is>
          <t>20230825, 20230829</t>
        </is>
      </c>
      <c r="P141" t="inlineStr">
        <is>
          <t>Kalimantan Timur</t>
        </is>
      </c>
      <c r="Q141" t="inlineStr"/>
    </row>
    <row r="142">
      <c r="A142" t="inlineStr">
        <is>
          <t>SARANA MULIA</t>
        </is>
      </c>
      <c r="B142" t="inlineStr">
        <is>
          <t>Kota Banjarbaru</t>
        </is>
      </c>
      <c r="C142" t="inlineStr">
        <is>
          <t>085248206246</t>
        </is>
      </c>
      <c r="D142" t="inlineStr">
        <is>
          <t>cv.sarana.mulia.2020@gmail.com</t>
        </is>
      </c>
      <c r="E142" t="inlineStr">
        <is>
          <t>https://lpjk.pu.go.id/search-badan-usaha-detail/Z3hNRjVBOWlqSTJhbElOOGM4L1l6QT09</t>
        </is>
      </c>
      <c r="F142" t="n">
        <v>3</v>
      </c>
      <c r="G142" t="inlineStr">
        <is>
          <t>BS001, BS004, BS005</t>
        </is>
      </c>
      <c r="H142" t="inlineStr">
        <is>
          <t>10 Februari 2020</t>
        </is>
      </c>
      <c r="I142" s="2" t="n">
        <v>46269</v>
      </c>
      <c r="J142" t="inlineStr">
        <is>
          <t>Disetujui</t>
        </is>
      </c>
      <c r="K142" t="n">
        <v>60</v>
      </c>
      <c r="L142" t="inlineStr">
        <is>
          <t>4 September 2026</t>
        </is>
      </c>
      <c r="M142" t="inlineStr">
        <is>
          <t>Konstruksi Bangunan Sipil Jalan, Konstruksi Bangunan Sipil Pengolahan Air Bersih, Konstruksi Jaringan Irigasi dan Drainase</t>
        </is>
      </c>
      <c r="N142" t="inlineStr">
        <is>
          <t>K</t>
        </is>
      </c>
      <c r="O142" t="inlineStr">
        <is>
          <t>20230902, 20230905</t>
        </is>
      </c>
      <c r="P142" t="inlineStr">
        <is>
          <t>Kalimantan Selatan</t>
        </is>
      </c>
      <c r="Q142" t="inlineStr"/>
    </row>
    <row r="143">
      <c r="A143" t="inlineStr">
        <is>
          <t>SATRIA UTAMA</t>
        </is>
      </c>
      <c r="B143" t="inlineStr">
        <is>
          <t>Kota Tegal</t>
        </is>
      </c>
      <c r="C143" t="inlineStr">
        <is>
          <t>08156527463</t>
        </is>
      </c>
      <c r="D143" t="inlineStr">
        <is>
          <t>cv.satria.utama.tegal@gmail.com</t>
        </is>
      </c>
      <c r="E143" t="inlineStr">
        <is>
          <t>https://lpjk.pu.go.id/search-badan-usaha-detail/NFZXNGdidTJ4MktnQ0ZBc0Z5YzZ2QT09</t>
        </is>
      </c>
      <c r="F143" t="n">
        <v>1</v>
      </c>
      <c r="G143" t="inlineStr">
        <is>
          <t>BS001</t>
        </is>
      </c>
      <c r="H143" t="inlineStr">
        <is>
          <t>24 Agustus 2002</t>
        </is>
      </c>
      <c r="I143" s="2" t="n">
        <v>46269</v>
      </c>
      <c r="J143" t="inlineStr">
        <is>
          <t>Disetujui</t>
        </is>
      </c>
      <c r="K143" t="n">
        <v>60</v>
      </c>
      <c r="L143" t="inlineStr">
        <is>
          <t>4 September 2026</t>
        </is>
      </c>
      <c r="M143" t="inlineStr">
        <is>
          <t>Konstruksi Bangunan Sipil Jalan</t>
        </is>
      </c>
      <c r="N143" t="inlineStr">
        <is>
          <t>K</t>
        </is>
      </c>
      <c r="O143" t="inlineStr">
        <is>
          <t>20230831</t>
        </is>
      </c>
      <c r="P143" t="inlineStr">
        <is>
          <t>Jawa Tengah</t>
        </is>
      </c>
      <c r="Q143" t="inlineStr"/>
    </row>
    <row r="144">
      <c r="A144" t="inlineStr">
        <is>
          <t>SEJAHTERA JAYA ABADI</t>
        </is>
      </c>
      <c r="B144" t="inlineStr">
        <is>
          <t>Kota Palembang</t>
        </is>
      </c>
      <c r="C144" t="inlineStr">
        <is>
          <t>0711510760</t>
        </is>
      </c>
      <c r="D144" t="inlineStr">
        <is>
          <t>chandra.sejahtera07@gmail.com</t>
        </is>
      </c>
      <c r="E144" t="inlineStr">
        <is>
          <t>https://lpjk.pu.go.id/search-badan-usaha-detail/bEY2TjZLTzE2dFJGN0xFZThEaVlJdz09</t>
        </is>
      </c>
      <c r="F144" t="n">
        <v>2</v>
      </c>
      <c r="G144" t="inlineStr">
        <is>
          <t>BG003, BS011</t>
        </is>
      </c>
      <c r="H144" t="inlineStr">
        <is>
          <t>8 Maret 2004</t>
        </is>
      </c>
      <c r="I144" s="2" t="n">
        <v>46269</v>
      </c>
      <c r="J144" t="inlineStr">
        <is>
          <t>Disetujui</t>
        </is>
      </c>
      <c r="K144" t="n">
        <v>60</v>
      </c>
      <c r="L144" t="inlineStr">
        <is>
          <t>4 September 2026</t>
        </is>
      </c>
      <c r="M144" t="inlineStr">
        <is>
          <t>Konstruksi Bangunan Pelabuhan Bukan Perikanan, Konstruksi Gedung Industri</t>
        </is>
      </c>
      <c r="N144" t="inlineStr">
        <is>
          <t>M</t>
        </is>
      </c>
      <c r="O144" t="inlineStr">
        <is>
          <t>20230828</t>
        </is>
      </c>
      <c r="P144" t="inlineStr">
        <is>
          <t>Sumatera Selatan</t>
        </is>
      </c>
      <c r="Q144" t="inlineStr"/>
    </row>
    <row r="145">
      <c r="A145" t="inlineStr">
        <is>
          <t>SHAKA PRIMA UTAMA</t>
        </is>
      </c>
      <c r="B145" t="inlineStr">
        <is>
          <t>Kota Pangkal Pinang</t>
        </is>
      </c>
      <c r="C145" t="inlineStr">
        <is>
          <t>081271910220</t>
        </is>
      </c>
      <c r="D145" t="inlineStr">
        <is>
          <t>cvshakaprimautama@gmail.com</t>
        </is>
      </c>
      <c r="E145" t="inlineStr">
        <is>
          <t>https://lpjk.pu.go.id/search-badan-usaha-detail/aGJDeHJqazBtZ3dqUnlYZ0o4a0VHZz09</t>
        </is>
      </c>
      <c r="F145" t="n">
        <v>1</v>
      </c>
      <c r="G145" t="inlineStr">
        <is>
          <t>BG006</t>
        </is>
      </c>
      <c r="H145" t="inlineStr">
        <is>
          <t>31 Juli 2023</t>
        </is>
      </c>
      <c r="I145" s="2" t="n">
        <v>46269</v>
      </c>
      <c r="J145" t="inlineStr">
        <is>
          <t>Disetujui</t>
        </is>
      </c>
      <c r="K145" t="n">
        <v>60</v>
      </c>
      <c r="L145" t="inlineStr">
        <is>
          <t>4 September 2026</t>
        </is>
      </c>
      <c r="M145" t="inlineStr">
        <is>
          <t>Konstruksi Gedung Pendidikan</t>
        </is>
      </c>
      <c r="N145" t="inlineStr">
        <is>
          <t>K</t>
        </is>
      </c>
      <c r="O145" t="inlineStr">
        <is>
          <t>20230811</t>
        </is>
      </c>
      <c r="P145" t="inlineStr">
        <is>
          <t>Kepulauan Bangka Belitung</t>
        </is>
      </c>
      <c r="Q145" t="inlineStr"/>
    </row>
    <row r="146">
      <c r="A146" t="inlineStr">
        <is>
          <t>SINAR ALAM</t>
        </is>
      </c>
      <c r="B146" t="inlineStr">
        <is>
          <t>Kab. Cianjur</t>
        </is>
      </c>
      <c r="C146" t="inlineStr">
        <is>
          <t>081563278383</t>
        </is>
      </c>
      <c r="D146" t="inlineStr">
        <is>
          <t>sinaralam255@gmail.com</t>
        </is>
      </c>
      <c r="E146" t="inlineStr">
        <is>
          <t>https://lpjk.pu.go.id/search-badan-usaha-detail/c3ZvcGppWTlQUTdwQnZtd3EyYUUyUT09</t>
        </is>
      </c>
      <c r="F146" t="n">
        <v>4</v>
      </c>
      <c r="G146" t="inlineStr">
        <is>
          <t>BG006, BG009, BS001, BS004</t>
        </is>
      </c>
      <c r="H146" t="inlineStr">
        <is>
          <t>15 November 2005</t>
        </is>
      </c>
      <c r="I146" s="2" t="n">
        <v>46269</v>
      </c>
      <c r="J146" t="inlineStr">
        <is>
          <t>Disetujui</t>
        </is>
      </c>
      <c r="K146" t="n">
        <v>60</v>
      </c>
      <c r="L146" t="inlineStr">
        <is>
          <t>4 September 2026</t>
        </is>
      </c>
      <c r="M146" t="inlineStr">
        <is>
          <t>Konstruksi Bangunan Sipil Jalan, Konstruksi Gedung Lainnya, Konstruksi Gedung Pendidikan, Konstruksi Jaringan Irigasi dan Drainase</t>
        </is>
      </c>
      <c r="N146" t="inlineStr">
        <is>
          <t>K</t>
        </is>
      </c>
      <c r="O146" t="inlineStr">
        <is>
          <t>20230811</t>
        </is>
      </c>
      <c r="P146" t="inlineStr">
        <is>
          <t>Jawa Barat</t>
        </is>
      </c>
      <c r="Q146" t="inlineStr"/>
    </row>
    <row r="147">
      <c r="A147" t="inlineStr">
        <is>
          <t>SINAR KARYA</t>
        </is>
      </c>
      <c r="B147" t="inlineStr">
        <is>
          <t>Kota Palembang</t>
        </is>
      </c>
      <c r="C147" t="inlineStr">
        <is>
          <t>081367292011</t>
        </is>
      </c>
      <c r="D147" t="inlineStr">
        <is>
          <t>cvsinarkarya2@gmail.com</t>
        </is>
      </c>
      <c r="E147" t="inlineStr">
        <is>
          <t>https://lpjk.pu.go.id/search-badan-usaha-detail/bXgwRG9PMjVmVnZNd2RmekFvQnRMdz09</t>
        </is>
      </c>
      <c r="F147" t="n">
        <v>1</v>
      </c>
      <c r="G147" t="inlineStr">
        <is>
          <t>BS001</t>
        </is>
      </c>
      <c r="H147" t="inlineStr">
        <is>
          <t>14 Oktober 2011</t>
        </is>
      </c>
      <c r="I147" s="2" t="n">
        <v>46269</v>
      </c>
      <c r="J147" t="inlineStr">
        <is>
          <t>Disetujui</t>
        </is>
      </c>
      <c r="K147" t="n">
        <v>60</v>
      </c>
      <c r="L147" t="inlineStr">
        <is>
          <t>4 September 2026</t>
        </is>
      </c>
      <c r="M147" t="inlineStr">
        <is>
          <t>Konstruksi Bangunan Sipil Jalan</t>
        </is>
      </c>
      <c r="N147" t="inlineStr">
        <is>
          <t>K</t>
        </is>
      </c>
      <c r="O147" t="inlineStr">
        <is>
          <t>20230725</t>
        </is>
      </c>
      <c r="P147" t="inlineStr">
        <is>
          <t>Sumatera Selatan</t>
        </is>
      </c>
      <c r="Q147" t="inlineStr"/>
    </row>
    <row r="148">
      <c r="A148" t="inlineStr">
        <is>
          <t>SINAR MATAHARI</t>
        </is>
      </c>
      <c r="B148" t="inlineStr">
        <is>
          <t>Kab. Bandung</t>
        </is>
      </c>
      <c r="C148" t="inlineStr">
        <is>
          <t>0225942493</t>
        </is>
      </c>
      <c r="D148" t="inlineStr">
        <is>
          <t>sinarmataharipanas@yahoo.com</t>
        </is>
      </c>
      <c r="E148" t="inlineStr">
        <is>
          <t>https://lpjk.pu.go.id/search-badan-usaha-detail/MzdBZnplZFdLYVIyTjJTZ1l6VkE2dz09</t>
        </is>
      </c>
      <c r="F148" t="n">
        <v>1</v>
      </c>
      <c r="G148" t="inlineStr">
        <is>
          <t>BG009</t>
        </is>
      </c>
      <c r="H148" t="inlineStr">
        <is>
          <t>7 Januari 2011</t>
        </is>
      </c>
      <c r="I148" s="2" t="n">
        <v>46269</v>
      </c>
      <c r="J148" t="inlineStr">
        <is>
          <t>Disetujui</t>
        </is>
      </c>
      <c r="K148" t="n">
        <v>60</v>
      </c>
      <c r="L148" t="inlineStr">
        <is>
          <t>4 September 2026</t>
        </is>
      </c>
      <c r="M148" t="inlineStr">
        <is>
          <t>Konstruksi Gedung Lainnya</t>
        </is>
      </c>
      <c r="N148" t="inlineStr">
        <is>
          <t>K</t>
        </is>
      </c>
      <c r="O148" t="inlineStr">
        <is>
          <t>20230904</t>
        </is>
      </c>
      <c r="P148" t="inlineStr">
        <is>
          <t>Jawa Barat</t>
        </is>
      </c>
      <c r="Q148" t="inlineStr"/>
    </row>
    <row r="149">
      <c r="A149" t="inlineStr">
        <is>
          <t>SINAR MATAHARI</t>
        </is>
      </c>
      <c r="B149" t="inlineStr">
        <is>
          <t>Kota Kediri</t>
        </is>
      </c>
      <c r="C149" t="inlineStr">
        <is>
          <t>0354686228</t>
        </is>
      </c>
      <c r="D149" t="inlineStr">
        <is>
          <t>smatahari29@yahoo.com</t>
        </is>
      </c>
      <c r="E149" t="inlineStr">
        <is>
          <t>https://lpjk.pu.go.id/search-badan-usaha-detail/VG94UThsamRmeWJvQ1Q4VDNJY0JEUT09</t>
        </is>
      </c>
      <c r="F149" t="n">
        <v>1</v>
      </c>
      <c r="G149" t="inlineStr">
        <is>
          <t>BS001</t>
        </is>
      </c>
      <c r="H149" t="inlineStr">
        <is>
          <t>14 April 2000</t>
        </is>
      </c>
      <c r="I149" s="2" t="n">
        <v>46269</v>
      </c>
      <c r="J149" t="inlineStr">
        <is>
          <t>Disetujui</t>
        </is>
      </c>
      <c r="K149" t="n">
        <v>60</v>
      </c>
      <c r="L149" t="inlineStr">
        <is>
          <t>4 September 2026</t>
        </is>
      </c>
      <c r="M149" t="inlineStr">
        <is>
          <t>Konstruksi Bangunan Sipil Jalan</t>
        </is>
      </c>
      <c r="N149" t="inlineStr">
        <is>
          <t>K</t>
        </is>
      </c>
      <c r="O149" t="inlineStr">
        <is>
          <t>20230830</t>
        </is>
      </c>
      <c r="P149" t="inlineStr">
        <is>
          <t>Jawa Timur</t>
        </is>
      </c>
      <c r="Q149" t="inlineStr"/>
    </row>
    <row r="150">
      <c r="A150" t="inlineStr">
        <is>
          <t>SINTESIS SELARAS SINERGI</t>
        </is>
      </c>
      <c r="B150" t="inlineStr">
        <is>
          <t>Kota Surabaya</t>
        </is>
      </c>
      <c r="C150" t="inlineStr">
        <is>
          <t>081328211031</t>
        </is>
      </c>
      <c r="D150" t="inlineStr">
        <is>
          <t>aska@sintesis.id</t>
        </is>
      </c>
      <c r="E150" t="inlineStr">
        <is>
          <t>https://lpjk.pu.go.id/search-badan-usaha-detail/Q0JkTFpHak82S2dkK0xGbC80eGZNQT09</t>
        </is>
      </c>
      <c r="F150" t="n">
        <v>4</v>
      </c>
      <c r="G150" t="inlineStr">
        <is>
          <t>BG003, BS001</t>
        </is>
      </c>
      <c r="H150" t="inlineStr">
        <is>
          <t>28 September 2016</t>
        </is>
      </c>
      <c r="I150" s="2" t="n">
        <v>46269</v>
      </c>
      <c r="J150" t="inlineStr">
        <is>
          <t>Disetujui</t>
        </is>
      </c>
      <c r="K150" t="n">
        <v>60</v>
      </c>
      <c r="L150" t="inlineStr">
        <is>
          <t>4 September 2026</t>
        </is>
      </c>
      <c r="M150" t="inlineStr">
        <is>
          <t>Konstruksi Bangunan Sipil Jalan, Konstruksi Gedung Industri</t>
        </is>
      </c>
      <c r="N150" t="inlineStr">
        <is>
          <t>K</t>
        </is>
      </c>
      <c r="O150" t="inlineStr">
        <is>
          <t>20230904</t>
        </is>
      </c>
      <c r="P150" t="inlineStr">
        <is>
          <t>Jawa Timur</t>
        </is>
      </c>
      <c r="Q150" t="inlineStr"/>
    </row>
    <row r="151">
      <c r="A151" t="inlineStr">
        <is>
          <t>SKEMA INDONESIA</t>
        </is>
      </c>
      <c r="B151" t="inlineStr">
        <is>
          <t>Kota Adm. Jakarta Barat</t>
        </is>
      </c>
      <c r="C151" t="inlineStr">
        <is>
          <t>0215667660</t>
        </is>
      </c>
      <c r="D151" t="inlineStr">
        <is>
          <t>pt.skemaindonesia@gmail.com</t>
        </is>
      </c>
      <c r="E151" t="inlineStr">
        <is>
          <t>https://lpjk.pu.go.id/search-badan-usaha-detail/TDQxbVBYS01pVzQ3V0k3KzVXL1F4eVhIQ0hOU0I0d29VMjhwNjR2RXJqZz0</t>
        </is>
      </c>
      <c r="F151" t="n">
        <v>1</v>
      </c>
      <c r="G151" t="inlineStr">
        <is>
          <t>BG001</t>
        </is>
      </c>
      <c r="H151" t="inlineStr">
        <is>
          <t>4 Maret 2021</t>
        </is>
      </c>
      <c r="I151" s="2" t="n">
        <v>46269</v>
      </c>
      <c r="J151" t="inlineStr">
        <is>
          <t>Verifikasi Pembayaran</t>
        </is>
      </c>
      <c r="K151" t="n">
        <v>60</v>
      </c>
      <c r="L151" t="inlineStr">
        <is>
          <t>4 September 2026</t>
        </is>
      </c>
      <c r="M151" t="inlineStr">
        <is>
          <t>Konstruksi Gedung Hunian</t>
        </is>
      </c>
      <c r="N151" t="inlineStr">
        <is>
          <t>K</t>
        </is>
      </c>
      <c r="O151" t="inlineStr">
        <is>
          <t>20230814</t>
        </is>
      </c>
      <c r="P151" t="inlineStr">
        <is>
          <t>DKI Jakarta</t>
        </is>
      </c>
      <c r="Q151" t="inlineStr"/>
    </row>
    <row r="152">
      <c r="A152" t="inlineStr">
        <is>
          <t>SURYA ADHI DAYA</t>
        </is>
      </c>
      <c r="B152" t="inlineStr">
        <is>
          <t>Kota Surabaya</t>
        </is>
      </c>
      <c r="C152" t="inlineStr">
        <is>
          <t>081233433466</t>
        </is>
      </c>
      <c r="D152" t="inlineStr">
        <is>
          <t>suryaadhidaya@yahoo.com</t>
        </is>
      </c>
      <c r="E152" t="inlineStr">
        <is>
          <t>https://lpjk.pu.go.id/search-badan-usaha-detail/R1h4bGoxLzh2dElxSlpzeDl0QWlkZz09</t>
        </is>
      </c>
      <c r="F152" t="n">
        <v>1</v>
      </c>
      <c r="G152" t="inlineStr">
        <is>
          <t>BG009</t>
        </is>
      </c>
      <c r="H152" t="inlineStr">
        <is>
          <t>25 Juli 2023</t>
        </is>
      </c>
      <c r="I152" s="2" t="n">
        <v>46269</v>
      </c>
      <c r="J152" t="inlineStr">
        <is>
          <t>Disetujui</t>
        </is>
      </c>
      <c r="K152" t="n">
        <v>60</v>
      </c>
      <c r="L152" t="inlineStr">
        <is>
          <t>4 September 2026</t>
        </is>
      </c>
      <c r="M152" t="inlineStr">
        <is>
          <t>Konstruksi Gedung Lainnya</t>
        </is>
      </c>
      <c r="N152" t="inlineStr">
        <is>
          <t>K</t>
        </is>
      </c>
      <c r="O152" t="inlineStr">
        <is>
          <t>20230904</t>
        </is>
      </c>
      <c r="P152" t="inlineStr">
        <is>
          <t>Jawa Timur</t>
        </is>
      </c>
      <c r="Q152" t="inlineStr"/>
    </row>
    <row r="153">
      <c r="A153" t="inlineStr">
        <is>
          <t>SURYA PANJI</t>
        </is>
      </c>
      <c r="B153" t="inlineStr">
        <is>
          <t>Kota Solok</t>
        </is>
      </c>
      <c r="C153" t="inlineStr">
        <is>
          <t>082386414525</t>
        </is>
      </c>
      <c r="D153" t="inlineStr">
        <is>
          <t>cvsuryapanji@yahoo.com</t>
        </is>
      </c>
      <c r="E153" t="inlineStr">
        <is>
          <t>https://lpjk.pu.go.id/search-badan-usaha-detail/aE04YmRYbUFFUXp2dk8yRndEK2g5UT09</t>
        </is>
      </c>
      <c r="F153" t="n">
        <v>1</v>
      </c>
      <c r="G153" t="inlineStr">
        <is>
          <t>BS004</t>
        </is>
      </c>
      <c r="H153" t="inlineStr">
        <is>
          <t>3 September 1990</t>
        </is>
      </c>
      <c r="I153" s="2" t="n">
        <v>46269</v>
      </c>
      <c r="J153" t="inlineStr">
        <is>
          <t>Disetujui</t>
        </is>
      </c>
      <c r="K153" t="n">
        <v>60</v>
      </c>
      <c r="L153" t="inlineStr">
        <is>
          <t>4 September 2026</t>
        </is>
      </c>
      <c r="M153" t="inlineStr">
        <is>
          <t>Konstruksi Jaringan Irigasi dan Drainase</t>
        </is>
      </c>
      <c r="N153" t="inlineStr">
        <is>
          <t>K</t>
        </is>
      </c>
      <c r="O153" t="inlineStr">
        <is>
          <t>20230813</t>
        </is>
      </c>
      <c r="P153" t="inlineStr">
        <is>
          <t>Sumatera Barat</t>
        </is>
      </c>
      <c r="Q153" t="inlineStr"/>
    </row>
    <row r="154">
      <c r="A154" t="inlineStr">
        <is>
          <t>THREELIAN BIKHO MULTI ENERGI</t>
        </is>
      </c>
      <c r="B154" t="inlineStr">
        <is>
          <t>Kab. Lima Puluh Kota</t>
        </is>
      </c>
      <c r="C154" t="inlineStr">
        <is>
          <t>082285028000</t>
        </is>
      </c>
      <c r="D154" t="inlineStr">
        <is>
          <t>threelianbikhomultienergi@gmail.com</t>
        </is>
      </c>
      <c r="E154" t="inlineStr">
        <is>
          <t>https://lpjk.pu.go.id/search-badan-usaha-detail/R01sUE5UWWFNZjUwVUx2RkFzaGJPQT09</t>
        </is>
      </c>
      <c r="F154" t="n">
        <v>2</v>
      </c>
      <c r="G154" t="inlineStr">
        <is>
          <t>BS001, BS004</t>
        </is>
      </c>
      <c r="H154" t="inlineStr">
        <is>
          <t>30 Juli 2021</t>
        </is>
      </c>
      <c r="I154" s="2" t="n">
        <v>46269</v>
      </c>
      <c r="J154" t="inlineStr">
        <is>
          <t>Disetujui</t>
        </is>
      </c>
      <c r="K154" t="n">
        <v>60</v>
      </c>
      <c r="L154" t="inlineStr">
        <is>
          <t>4 September 2026</t>
        </is>
      </c>
      <c r="M154" t="inlineStr">
        <is>
          <t>Konstruksi Bangunan Sipil Jalan, Konstruksi Jaringan Irigasi dan Drainase</t>
        </is>
      </c>
      <c r="N154" t="inlineStr">
        <is>
          <t>K</t>
        </is>
      </c>
      <c r="O154" t="inlineStr">
        <is>
          <t>20230819</t>
        </is>
      </c>
      <c r="P154" t="inlineStr">
        <is>
          <t>Sumatera Barat</t>
        </is>
      </c>
      <c r="Q154" t="inlineStr"/>
    </row>
    <row r="155">
      <c r="A155" t="inlineStr">
        <is>
          <t>TOBA SEJAHTERA KARUNIA</t>
        </is>
      </c>
      <c r="B155" t="inlineStr">
        <is>
          <t>Kota Medan</t>
        </is>
      </c>
      <c r="C155" t="inlineStr">
        <is>
          <t>081321880696</t>
        </is>
      </c>
      <c r="D155" t="inlineStr">
        <is>
          <t>tobasejahterakarunia@gmail.com</t>
        </is>
      </c>
      <c r="E155" t="inlineStr">
        <is>
          <t>https://lpjk.pu.go.id/search-badan-usaha-detail/SzVxaHV4VmtOUEVsWnQ5d2gvYkl5QT09</t>
        </is>
      </c>
      <c r="F155" t="n">
        <v>2</v>
      </c>
      <c r="G155" t="inlineStr">
        <is>
          <t>BG001, BG006</t>
        </is>
      </c>
      <c r="H155" t="inlineStr">
        <is>
          <t>18 Maret 2015</t>
        </is>
      </c>
      <c r="I155" s="2" t="n">
        <v>46269</v>
      </c>
      <c r="J155" t="inlineStr">
        <is>
          <t>Disetujui</t>
        </is>
      </c>
      <c r="K155" t="n">
        <v>60</v>
      </c>
      <c r="L155" t="inlineStr">
        <is>
          <t>4 September 2026</t>
        </is>
      </c>
      <c r="M155" t="inlineStr">
        <is>
          <t>Konstruksi Gedung Hunian, Konstruksi Gedung Pendidikan</t>
        </is>
      </c>
      <c r="N155" t="inlineStr">
        <is>
          <t>K</t>
        </is>
      </c>
      <c r="O155" t="inlineStr">
        <is>
          <t>20230829</t>
        </is>
      </c>
      <c r="P155" t="inlineStr">
        <is>
          <t>Sumatera Utara</t>
        </is>
      </c>
      <c r="Q155" t="inlineStr"/>
    </row>
    <row r="156">
      <c r="A156" t="inlineStr">
        <is>
          <t>TOTAL BANGUN PERSADA</t>
        </is>
      </c>
      <c r="B156" t="inlineStr">
        <is>
          <t>Kota Adm. Jakarta Barat</t>
        </is>
      </c>
      <c r="C156" t="inlineStr">
        <is>
          <t>(021)5666999</t>
        </is>
      </c>
      <c r="D156" t="inlineStr">
        <is>
          <t>totalbp@totalbp.com</t>
        </is>
      </c>
      <c r="E156" t="inlineStr">
        <is>
          <t>https://lpjk.pu.go.id/search-badan-usaha-detail/LzBaMTIyWU45NnRkVzE5MmFKUHV3QT09</t>
        </is>
      </c>
      <c r="F156" t="n">
        <v>9</v>
      </c>
      <c r="G156" t="inlineStr">
        <is>
          <t>BG001, BG002, BG003, BG004, BG005, BG006, BG007, BG008, BG009</t>
        </is>
      </c>
      <c r="H156" t="inlineStr">
        <is>
          <t>4 September 1970</t>
        </is>
      </c>
      <c r="I156" s="2" t="n">
        <v>46269</v>
      </c>
      <c r="J156" t="inlineStr">
        <is>
          <t>Disetujui</t>
        </is>
      </c>
      <c r="K156" t="n">
        <v>60</v>
      </c>
      <c r="L156" t="inlineStr">
        <is>
          <t>4 September 2026</t>
        </is>
      </c>
      <c r="M156" t="inlineStr">
        <is>
          <t>Konstruksi Gedung Hunian, Konstruksi Gedung Industri, Konstruksi Gedung Kesehatan, Konstruksi Gedung Lainnya, Konstruksi Gedung Pendidikan, Konstruksi Gedung Penginapan, Konstruksi Gedung Perbelanjaan, Konstruksi Gedung Perkantoran, Konstruksi Gedung Tempat Hiburan dan Olahraga</t>
        </is>
      </c>
      <c r="N156" t="inlineStr">
        <is>
          <t>B</t>
        </is>
      </c>
      <c r="O156" t="inlineStr">
        <is>
          <t>20230718, 20230724, 20230725</t>
        </is>
      </c>
      <c r="P156" t="inlineStr">
        <is>
          <t>DKI Jakarta</t>
        </is>
      </c>
      <c r="Q156" t="inlineStr"/>
    </row>
    <row r="157">
      <c r="A157" t="inlineStr">
        <is>
          <t>TRI SUKSES BAROKAH</t>
        </is>
      </c>
      <c r="B157" t="inlineStr">
        <is>
          <t>Kab. Gresik</t>
        </is>
      </c>
      <c r="C157" t="inlineStr">
        <is>
          <t>082141661352</t>
        </is>
      </c>
      <c r="D157" t="inlineStr">
        <is>
          <t>cv.trisuksesbarokah@gmail.com</t>
        </is>
      </c>
      <c r="E157" t="inlineStr">
        <is>
          <t>https://lpjk.pu.go.id/search-badan-usaha-detail/Qk5xSE43ZzRHVlN2NWRpQUhPZUdZQT09</t>
        </is>
      </c>
      <c r="F157" t="n">
        <v>1</v>
      </c>
      <c r="G157" t="inlineStr">
        <is>
          <t>PL005</t>
        </is>
      </c>
      <c r="H157" t="inlineStr">
        <is>
          <t>3 Februari 2016</t>
        </is>
      </c>
      <c r="I157" s="2" t="n">
        <v>46269</v>
      </c>
      <c r="J157" t="inlineStr">
        <is>
          <t>Disetujui</t>
        </is>
      </c>
      <c r="K157" t="n">
        <v>60</v>
      </c>
      <c r="L157" t="inlineStr">
        <is>
          <t>4 September 2026</t>
        </is>
      </c>
      <c r="M157" t="inlineStr">
        <is>
          <t>Pembuatan/Pengeboran Sumur Air Tanah</t>
        </is>
      </c>
      <c r="N157" t="inlineStr">
        <is>
          <t>Spesialis</t>
        </is>
      </c>
      <c r="O157" t="inlineStr">
        <is>
          <t>20230818</t>
        </is>
      </c>
      <c r="P157" t="inlineStr">
        <is>
          <t>Jawa Timur</t>
        </is>
      </c>
      <c r="Q157" t="inlineStr"/>
    </row>
    <row r="158">
      <c r="A158" t="inlineStr">
        <is>
          <t>TUNAS CAHAYA MANDIRI WIDYATAMA</t>
        </is>
      </c>
      <c r="B158" t="inlineStr">
        <is>
          <t>Kota Palembang</t>
        </is>
      </c>
      <c r="C158" t="inlineStr">
        <is>
          <t>0711819414</t>
        </is>
      </c>
      <c r="D158" t="inlineStr">
        <is>
          <t>weni@tcmandiri.com</t>
        </is>
      </c>
      <c r="E158" t="inlineStr">
        <is>
          <t>https://lpjk.pu.go.id/search-badan-usaha-detail/UXhOVk5waHR2VGsxMExUQmRMa1VSdz09</t>
        </is>
      </c>
      <c r="F158" t="n">
        <v>1</v>
      </c>
      <c r="G158" t="inlineStr">
        <is>
          <t>IN006</t>
        </is>
      </c>
      <c r="H158" t="inlineStr">
        <is>
          <t>9 September 2011</t>
        </is>
      </c>
      <c r="I158" s="2" t="n">
        <v>46269</v>
      </c>
      <c r="J158" t="inlineStr">
        <is>
          <t>Disetujui</t>
        </is>
      </c>
      <c r="K158" t="n">
        <v>60</v>
      </c>
      <c r="L158" t="inlineStr">
        <is>
          <t>4 September 2026</t>
        </is>
      </c>
      <c r="M158" t="inlineStr">
        <is>
          <t>Instalasi Elektronika</t>
        </is>
      </c>
      <c r="N158" t="inlineStr">
        <is>
          <t>Spesialis</t>
        </is>
      </c>
      <c r="O158" t="inlineStr">
        <is>
          <t>20230725</t>
        </is>
      </c>
      <c r="P158" t="inlineStr">
        <is>
          <t>Sumatera Selatan</t>
        </is>
      </c>
      <c r="Q158" t="inlineStr"/>
    </row>
    <row r="159">
      <c r="A159" t="inlineStr">
        <is>
          <t>TUNAS KEMBAR PERKASA</t>
        </is>
      </c>
      <c r="B159" t="inlineStr">
        <is>
          <t>Kota Lubuk Linggau</t>
        </is>
      </c>
      <c r="C159" t="inlineStr">
        <is>
          <t>083182180112</t>
        </is>
      </c>
      <c r="D159" t="inlineStr">
        <is>
          <t>tunaskembarperkasa@gmail.com</t>
        </is>
      </c>
      <c r="E159" t="inlineStr">
        <is>
          <t>https://lpjk.pu.go.id/search-badan-usaha-detail/RTZPMVlSVjgxdE5HbXNkUDcxelRTZz09</t>
        </is>
      </c>
      <c r="F159" t="n">
        <v>1</v>
      </c>
      <c r="G159" t="inlineStr">
        <is>
          <t>BG001</t>
        </is>
      </c>
      <c r="H159" t="inlineStr">
        <is>
          <t>25 Agustus 2023</t>
        </is>
      </c>
      <c r="I159" s="2" t="n">
        <v>46269</v>
      </c>
      <c r="J159" t="inlineStr">
        <is>
          <t>Pencabutan</t>
        </is>
      </c>
      <c r="K159" t="n">
        <v>60</v>
      </c>
      <c r="L159" t="inlineStr">
        <is>
          <t>4 September 2026</t>
        </is>
      </c>
      <c r="M159" t="inlineStr">
        <is>
          <t>Konstruksi Gedung Hunian</t>
        </is>
      </c>
      <c r="N159" t="inlineStr">
        <is>
          <t>K</t>
        </is>
      </c>
      <c r="O159" t="inlineStr">
        <is>
          <t>20230904</t>
        </is>
      </c>
      <c r="P159" t="inlineStr">
        <is>
          <t>Sumatera Selatan</t>
        </is>
      </c>
      <c r="Q159" t="inlineStr"/>
    </row>
    <row r="160">
      <c r="A160" t="inlineStr">
        <is>
          <t>WAHANA MULTI NIAGA</t>
        </is>
      </c>
      <c r="B160" t="inlineStr">
        <is>
          <t>Kab. Luwu Timur</t>
        </is>
      </c>
      <c r="C160" t="inlineStr">
        <is>
          <t>08113229096</t>
        </is>
      </c>
      <c r="D160" t="inlineStr">
        <is>
          <t>sudarminhajipanna69@gmail.com</t>
        </is>
      </c>
      <c r="E160" t="inlineStr">
        <is>
          <t>https://lpjk.pu.go.id/search-badan-usaha-detail/QXNLWDVUdG5mSUFRcm9mZ0JlVFEwUT09</t>
        </is>
      </c>
      <c r="F160" t="n">
        <v>2</v>
      </c>
      <c r="G160" t="inlineStr">
        <is>
          <t>BG001, BS001</t>
        </is>
      </c>
      <c r="H160" t="inlineStr">
        <is>
          <t>30 September 2015</t>
        </is>
      </c>
      <c r="I160" s="2" t="n">
        <v>46269</v>
      </c>
      <c r="J160" t="inlineStr">
        <is>
          <t>Disetujui</t>
        </is>
      </c>
      <c r="K160" t="n">
        <v>60</v>
      </c>
      <c r="L160" t="inlineStr">
        <is>
          <t>4 September 2026</t>
        </is>
      </c>
      <c r="M160" t="inlineStr">
        <is>
          <t>Konstruksi Bangunan Sipil Jalan, Konstruksi Gedung Hunian</t>
        </is>
      </c>
      <c r="N160" t="inlineStr">
        <is>
          <t>K</t>
        </is>
      </c>
      <c r="O160" t="inlineStr">
        <is>
          <t>20230904</t>
        </is>
      </c>
      <c r="P160" t="inlineStr">
        <is>
          <t>Sulawesi Selatan</t>
        </is>
      </c>
      <c r="Q160" t="inlineStr"/>
    </row>
    <row r="161">
      <c r="A161" t="inlineStr">
        <is>
          <t>WATU WESI RAYA</t>
        </is>
      </c>
      <c r="B161" t="inlineStr">
        <is>
          <t>Kab. Klungkung</t>
        </is>
      </c>
      <c r="C161" t="inlineStr">
        <is>
          <t>081339410250</t>
        </is>
      </c>
      <c r="D161" t="inlineStr">
        <is>
          <t>cv.watuwesiraya23@gmail.com</t>
        </is>
      </c>
      <c r="E161" t="inlineStr">
        <is>
          <t>https://lpjk.pu.go.id/search-badan-usaha-detail/TCt1OHdCM2pJYTBEaWpETzZ1R0ZkZz09</t>
        </is>
      </c>
      <c r="F161" t="n">
        <v>1</v>
      </c>
      <c r="G161" t="inlineStr">
        <is>
          <t>BG009</t>
        </is>
      </c>
      <c r="H161" t="inlineStr">
        <is>
          <t>17 Juli 2023</t>
        </is>
      </c>
      <c r="I161" s="2" t="n">
        <v>46269</v>
      </c>
      <c r="J161" t="inlineStr">
        <is>
          <t>Disetujui</t>
        </is>
      </c>
      <c r="K161" t="n">
        <v>60</v>
      </c>
      <c r="L161" t="inlineStr">
        <is>
          <t>4 September 2026</t>
        </is>
      </c>
      <c r="M161" t="inlineStr">
        <is>
          <t>Konstruksi Gedung Lainnya</t>
        </is>
      </c>
      <c r="N161" t="inlineStr">
        <is>
          <t>K</t>
        </is>
      </c>
      <c r="O161" t="inlineStr">
        <is>
          <t>20230828</t>
        </is>
      </c>
      <c r="P161" t="inlineStr">
        <is>
          <t>Bali</t>
        </is>
      </c>
      <c r="Q161" t="inlineStr"/>
    </row>
    <row r="162">
      <c r="A162" t="inlineStr">
        <is>
          <t>WIDYA CAHYA PERMATA</t>
        </is>
      </c>
      <c r="B162" t="inlineStr">
        <is>
          <t>Kab. Lombok Barat</t>
        </is>
      </c>
      <c r="C162" t="inlineStr">
        <is>
          <t>087865170716</t>
        </is>
      </c>
      <c r="D162" t="inlineStr">
        <is>
          <t>cvwidyacahyapermata@gmail.com</t>
        </is>
      </c>
      <c r="E162" t="inlineStr">
        <is>
          <t>https://lpjk.pu.go.id/search-badan-usaha-detail/Qm00S24vd05NZDN4MTY0RTVQeGorQT09</t>
        </is>
      </c>
      <c r="F162" t="n">
        <v>1</v>
      </c>
      <c r="G162" t="inlineStr">
        <is>
          <t>BS001</t>
        </is>
      </c>
      <c r="H162" t="inlineStr">
        <is>
          <t>6 Januari 2023</t>
        </is>
      </c>
      <c r="I162" s="2" t="n">
        <v>46269</v>
      </c>
      <c r="J162" t="inlineStr">
        <is>
          <t>Disetujui</t>
        </is>
      </c>
      <c r="K162" t="n">
        <v>60</v>
      </c>
      <c r="L162" t="inlineStr">
        <is>
          <t>4 September 2026</t>
        </is>
      </c>
      <c r="M162" t="inlineStr">
        <is>
          <t>Konstruksi Bangunan Sipil Jalan</t>
        </is>
      </c>
      <c r="N162" t="inlineStr">
        <is>
          <t>K</t>
        </is>
      </c>
      <c r="O162" t="inlineStr">
        <is>
          <t>20230831</t>
        </is>
      </c>
      <c r="P162" t="inlineStr">
        <is>
          <t>Nusa Tenggara Barat</t>
        </is>
      </c>
      <c r="Q162" t="inlineStr"/>
    </row>
    <row r="163">
      <c r="A163" t="inlineStr">
        <is>
          <t>WIJAYA MEGAH UTAMA</t>
        </is>
      </c>
      <c r="B163" t="inlineStr">
        <is>
          <t>Kab. Majalengka</t>
        </is>
      </c>
      <c r="C163" t="inlineStr">
        <is>
          <t>081220517500</t>
        </is>
      </c>
      <c r="D163" t="inlineStr">
        <is>
          <t>cvwijayamegahutama@gmail.com</t>
        </is>
      </c>
      <c r="E163" t="inlineStr">
        <is>
          <t>https://lpjk.pu.go.id/search-badan-usaha-detail/OFdIMExMVXAwMmU1NVZEWGdmUy95Zz09</t>
        </is>
      </c>
      <c r="F163" t="n">
        <v>4</v>
      </c>
      <c r="G163" t="inlineStr">
        <is>
          <t>BG005, BG006</t>
        </is>
      </c>
      <c r="H163" t="inlineStr">
        <is>
          <t>24 Agustus 2011</t>
        </is>
      </c>
      <c r="I163" s="2" t="n">
        <v>46269</v>
      </c>
      <c r="J163" t="inlineStr">
        <is>
          <t>Disetujui</t>
        </is>
      </c>
      <c r="K163" t="n">
        <v>60</v>
      </c>
      <c r="L163" t="inlineStr">
        <is>
          <t>4 September 2026</t>
        </is>
      </c>
      <c r="M163" t="inlineStr">
        <is>
          <t>Konstruksi Gedung Kesehatan, Konstruksi Gedung Pendidikan</t>
        </is>
      </c>
      <c r="N163" t="inlineStr">
        <is>
          <t>K</t>
        </is>
      </c>
      <c r="O163" t="inlineStr">
        <is>
          <t>20230904</t>
        </is>
      </c>
      <c r="P163" t="inlineStr">
        <is>
          <t>Jawa Barat</t>
        </is>
      </c>
      <c r="Q163" t="inlineStr"/>
    </row>
    <row r="164">
      <c r="A164" t="inlineStr">
        <is>
          <t>WIRA WIRI MANDIRI</t>
        </is>
      </c>
      <c r="B164" t="inlineStr">
        <is>
          <t>Kab. Bojonegoro</t>
        </is>
      </c>
      <c r="C164" t="inlineStr">
        <is>
          <t>0895341044500</t>
        </is>
      </c>
      <c r="D164" t="inlineStr">
        <is>
          <t>cvwirawirimandiri@gmail.com</t>
        </is>
      </c>
      <c r="E164" t="inlineStr">
        <is>
          <t>https://lpjk.pu.go.id/search-badan-usaha-detail/TktSdkw4aWF0ZzhVYW05blFtY0dHZz09</t>
        </is>
      </c>
      <c r="F164" t="n">
        <v>2</v>
      </c>
      <c r="G164" t="inlineStr">
        <is>
          <t>BG002, BG006</t>
        </is>
      </c>
      <c r="H164" t="inlineStr">
        <is>
          <t>19 November 2019</t>
        </is>
      </c>
      <c r="I164" s="2" t="n">
        <v>46269</v>
      </c>
      <c r="J164" t="inlineStr">
        <is>
          <t>Disetujui</t>
        </is>
      </c>
      <c r="K164" t="n">
        <v>60</v>
      </c>
      <c r="L164" t="inlineStr">
        <is>
          <t>4 September 2026</t>
        </is>
      </c>
      <c r="M164" t="inlineStr">
        <is>
          <t>Konstruksi Gedung Pendidikan, Konstruksi Gedung Perkantoran</t>
        </is>
      </c>
      <c r="N164" t="inlineStr">
        <is>
          <t>K</t>
        </is>
      </c>
      <c r="O164" t="inlineStr">
        <is>
          <t>20230828</t>
        </is>
      </c>
      <c r="P164" t="inlineStr">
        <is>
          <t>Jawa Timur</t>
        </is>
      </c>
      <c r="Q164" t="inlineStr"/>
    </row>
    <row r="165">
      <c r="A165" t="inlineStr">
        <is>
          <t>ZAKY PUTRA</t>
        </is>
      </c>
      <c r="B165" t="inlineStr">
        <is>
          <t>Kab. Bandung</t>
        </is>
      </c>
      <c r="C165" t="inlineStr">
        <is>
          <t>0895344208266</t>
        </is>
      </c>
      <c r="D165" t="inlineStr">
        <is>
          <t>fadilfauzisetiawan@gmail.com</t>
        </is>
      </c>
      <c r="E165" t="inlineStr">
        <is>
          <t>https://lpjk.pu.go.id/search-badan-usaha-detail/KzRoNVpuRnlVemp6SmNHOU5YazdLUT09</t>
        </is>
      </c>
      <c r="F165" t="n">
        <v>1</v>
      </c>
      <c r="G165" t="inlineStr">
        <is>
          <t>BS001</t>
        </is>
      </c>
      <c r="H165" t="inlineStr">
        <is>
          <t>23 November 2016</t>
        </is>
      </c>
      <c r="I165" s="2" t="n">
        <v>46269</v>
      </c>
      <c r="J165" t="inlineStr">
        <is>
          <t>Pencabutan</t>
        </is>
      </c>
      <c r="K165" t="n">
        <v>60</v>
      </c>
      <c r="L165" t="inlineStr">
        <is>
          <t>4 September 2026</t>
        </is>
      </c>
      <c r="M165" t="inlineStr">
        <is>
          <t>Konstruksi Bangunan Sipil Jalan</t>
        </is>
      </c>
      <c r="N165" t="inlineStr">
        <is>
          <t>K</t>
        </is>
      </c>
      <c r="O165" t="inlineStr">
        <is>
          <t>20230831</t>
        </is>
      </c>
      <c r="P165" t="inlineStr">
        <is>
          <t>Jawa Barat</t>
        </is>
      </c>
      <c r="Q1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31" customWidth="1" min="1" max="1"/>
    <col width="27" customWidth="1" min="2" max="2"/>
    <col width="14" customWidth="1" min="3" max="3"/>
    <col width="42"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40" customWidth="1" min="15" max="15"/>
    <col width="18"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BAYUSAKA DELTA BUWANA</t>
        </is>
      </c>
      <c r="B2" t="inlineStr">
        <is>
          <t>Kab. Bekasi</t>
        </is>
      </c>
      <c r="C2" t="inlineStr">
        <is>
          <t>082111384305</t>
        </is>
      </c>
      <c r="D2" t="inlineStr">
        <is>
          <t>ptbayusaka@yahoo.com</t>
        </is>
      </c>
      <c r="E2" t="inlineStr">
        <is>
          <t>https://lpjk.pu.go.id/search-badan-usaha-detail/TUJSQXpDdGhXOXB3WWFZbnFtZnlEQT09</t>
        </is>
      </c>
      <c r="F2" t="n">
        <v>4</v>
      </c>
      <c r="G2" t="inlineStr">
        <is>
          <t>BG005, BG009</t>
        </is>
      </c>
      <c r="H2" t="inlineStr">
        <is>
          <t>15 Maret 2021</t>
        </is>
      </c>
      <c r="I2" s="2" t="n">
        <v>46239</v>
      </c>
      <c r="J2" t="inlineStr">
        <is>
          <t>Pencabutan</t>
        </is>
      </c>
      <c r="K2" t="n">
        <v>30</v>
      </c>
      <c r="L2" t="inlineStr">
        <is>
          <t>5 Agustus 2026</t>
        </is>
      </c>
      <c r="M2" t="inlineStr">
        <is>
          <t>Konstruksi Gedung Kesehatan, Konstruksi Gedung Lainnya</t>
        </is>
      </c>
      <c r="N2" t="inlineStr">
        <is>
          <t>K</t>
        </is>
      </c>
      <c r="O2" t="inlineStr">
        <is>
          <t>20230804</t>
        </is>
      </c>
      <c r="P2" t="inlineStr">
        <is>
          <t>Jawa Barat</t>
        </is>
      </c>
      <c r="Q2" s="3">
        <f>HYPERLINK("https://wa.me/6282111384305?text=*[Pengingat Masa Berlaku SBU BAYUSAKA DELTA BUWANA]*%0A%0AYth. Pimpinan BAYUSAKA DELTA BUWANA,%0AMohon izin menginformasikan status SBU Anda:%0A%0A📄 SBU: BG005, BG009%0A📅 Expired: 5 Agustus 2026 (30 Hari Lagi)%0A%0AKami tim PT. ESDEA Assistance Management siap men-support proses perpanjangan segera agar administrasi proyek tidak terhambat%0A%0AApakah boleh saya bantu siapkan estimasi biaya dan waktu pengerjaannya?.", "Hubungi")</f>
        <v/>
      </c>
    </row>
    <row r="3">
      <c r="A3" t="inlineStr">
        <is>
          <t>DWITEKPRIMA DELTA</t>
        </is>
      </c>
      <c r="B3" t="inlineStr">
        <is>
          <t>Kota Bekasi</t>
        </is>
      </c>
      <c r="C3" t="inlineStr">
        <is>
          <t>02188851109</t>
        </is>
      </c>
      <c r="D3" t="inlineStr">
        <is>
          <t>pt.dwitekprimadelta@gmail.com</t>
        </is>
      </c>
      <c r="E3" t="inlineStr">
        <is>
          <t>https://lpjk.pu.go.id/search-badan-usaha-detail/UnB6TVJCTkNaNEZMRG9ESlp2RDIwK3VTdnJiM1h5RmtVcUxKbnNUYWQyYz0</t>
        </is>
      </c>
      <c r="F3" t="n">
        <v>2</v>
      </c>
      <c r="G3" t="inlineStr">
        <is>
          <t>BS004</t>
        </is>
      </c>
      <c r="H3" t="inlineStr">
        <is>
          <t>8 Oktober 1990</t>
        </is>
      </c>
      <c r="I3" s="2" t="n">
        <v>46239</v>
      </c>
      <c r="J3" t="inlineStr">
        <is>
          <t>Disetujui</t>
        </is>
      </c>
      <c r="K3" t="n">
        <v>30</v>
      </c>
      <c r="L3" t="inlineStr">
        <is>
          <t>5 Agustus 2026</t>
        </is>
      </c>
      <c r="M3" t="inlineStr">
        <is>
          <t>Konstruksi Jaringan Irigasi dan Drainase</t>
        </is>
      </c>
      <c r="N3" t="inlineStr">
        <is>
          <t>K</t>
        </is>
      </c>
      <c r="O3" t="inlineStr">
        <is>
          <t>20230804</t>
        </is>
      </c>
      <c r="P3" t="inlineStr">
        <is>
          <t>Jawa Barat</t>
        </is>
      </c>
      <c r="Q3" t="inlineStr"/>
    </row>
    <row r="4">
      <c r="A4" t="inlineStr">
        <is>
          <t>GANTARI ARTHA SELARAS</t>
        </is>
      </c>
      <c r="B4" t="inlineStr">
        <is>
          <t>Kab. Bogor</t>
        </is>
      </c>
      <c r="C4" t="inlineStr">
        <is>
          <t>081902230921</t>
        </is>
      </c>
      <c r="D4" t="inlineStr">
        <is>
          <t>gantariarthaselaras@gmail.com</t>
        </is>
      </c>
      <c r="E4" t="inlineStr">
        <is>
          <t>https://lpjk.pu.go.id/search-badan-usaha-detail/c0NNeGRtQXczU242Q1FsWGpyYThSZz09</t>
        </is>
      </c>
      <c r="F4" t="n">
        <v>1</v>
      </c>
      <c r="G4" t="inlineStr">
        <is>
          <t>BG009</t>
        </is>
      </c>
      <c r="H4" t="inlineStr">
        <is>
          <t>13 Juni 2023</t>
        </is>
      </c>
      <c r="I4" s="2" t="n">
        <v>46239</v>
      </c>
      <c r="J4" t="inlineStr">
        <is>
          <t>Disetujui</t>
        </is>
      </c>
      <c r="K4" t="n">
        <v>30</v>
      </c>
      <c r="L4" t="inlineStr">
        <is>
          <t>5 Agustus 2026</t>
        </is>
      </c>
      <c r="M4" t="inlineStr">
        <is>
          <t>Konstruksi Gedung Lainnya</t>
        </is>
      </c>
      <c r="N4" t="inlineStr">
        <is>
          <t>K</t>
        </is>
      </c>
      <c r="O4" t="inlineStr">
        <is>
          <t>20230803</t>
        </is>
      </c>
      <c r="P4" t="inlineStr">
        <is>
          <t>Jawa Barat</t>
        </is>
      </c>
      <c r="Q4" s="3">
        <f>HYPERLINK("https://wa.me/6281902230921?text=*[Pengingat Masa Berlaku SBU GANTARI ARTHA SELARAS]*%0A%0AYth. Pimpinan GANTARI ARTHA SELARAS,%0AMohon izin menginformasikan status SBU Anda:%0A%0A📄 SBU: BG009%0A📅 Expired: 5 Agustus 2026 (30 Hari Lagi)%0A%0AKami tim PT. ESDEA Assistance Management siap men-support proses perpanjangan segera agar administrasi proyek tidak terhambat%0A%0AApakah boleh saya bantu siapkan estimasi biaya dan waktu pengerjaannya?.", "Hubungi")</f>
        <v/>
      </c>
    </row>
    <row r="5">
      <c r="A5" t="inlineStr">
        <is>
          <t>PAL MOROO LAND</t>
        </is>
      </c>
      <c r="B5" t="inlineStr">
        <is>
          <t>Kab. Bogor</t>
        </is>
      </c>
      <c r="C5" t="inlineStr">
        <is>
          <t>08111013909</t>
        </is>
      </c>
      <c r="D5" t="inlineStr">
        <is>
          <t>contactus.palmoroo@gmail.com</t>
        </is>
      </c>
      <c r="E5" t="inlineStr">
        <is>
          <t>https://lpjk.pu.go.id/search-badan-usaha-detail/RWY1T0x2R3VBQ1BJK0RCU3o4S2RSZz09</t>
        </is>
      </c>
      <c r="F5" t="n">
        <v>2</v>
      </c>
      <c r="G5" t="inlineStr">
        <is>
          <t>BG001</t>
        </is>
      </c>
      <c r="H5" t="inlineStr">
        <is>
          <t>26 April 2021</t>
        </is>
      </c>
      <c r="I5" s="2" t="n">
        <v>46239</v>
      </c>
      <c r="J5" t="inlineStr">
        <is>
          <t>Pencabutan</t>
        </is>
      </c>
      <c r="K5" t="n">
        <v>30</v>
      </c>
      <c r="L5" t="inlineStr">
        <is>
          <t>5 Agustus 2026</t>
        </is>
      </c>
      <c r="M5" t="inlineStr">
        <is>
          <t>Konstruksi Gedung Hunian</t>
        </is>
      </c>
      <c r="N5" t="inlineStr">
        <is>
          <t>K</t>
        </is>
      </c>
      <c r="O5" t="inlineStr">
        <is>
          <t>20230801</t>
        </is>
      </c>
      <c r="P5" t="inlineStr">
        <is>
          <t>Jawa Barat</t>
        </is>
      </c>
      <c r="Q5" s="3">
        <f>HYPERLINK("https://wa.me/628111013909?text=*[Pengingat Masa Berlaku SBU PAL MOROO LAND]*%0A%0AYth. Pimpinan PAL MOROO LAND,%0AMohon izin menginformasikan status SBU Anda:%0A%0A📄 SBU: BG001%0A📅 Expired: 5 Agustus 2026 (30 Hari Lagi)%0A%0AKami tim PT. ESDEA Assistance Management siap men-support proses perpanjangan segera agar administrasi proyek tidak terhambat%0A%0AApakah boleh saya bantu siapkan estimasi biaya dan waktu pengerjaannya?.", "Hubungi")</f>
        <v/>
      </c>
    </row>
    <row r="6">
      <c r="A6" t="inlineStr">
        <is>
          <t>PANDAWA PUTRA MAKASAR</t>
        </is>
      </c>
      <c r="B6" t="inlineStr">
        <is>
          <t>Kota Adm. Jakarta Timur</t>
        </is>
      </c>
      <c r="C6" t="inlineStr">
        <is>
          <t>081219573077</t>
        </is>
      </c>
      <c r="D6" t="inlineStr">
        <is>
          <t>ptpandawaputramakasar76c@gmail.com</t>
        </is>
      </c>
      <c r="E6" t="inlineStr">
        <is>
          <t>https://lpjk.pu.go.id/search-badan-usaha-detail/d0RGMWRZVE42ZUF4RlJaK1RXeDNUQT09</t>
        </is>
      </c>
      <c r="F6" t="n">
        <v>2</v>
      </c>
      <c r="G6" t="inlineStr">
        <is>
          <t>BG004</t>
        </is>
      </c>
      <c r="H6" t="inlineStr">
        <is>
          <t>6 Juli 2023</t>
        </is>
      </c>
      <c r="I6" s="2" t="n">
        <v>46239</v>
      </c>
      <c r="J6" t="inlineStr">
        <is>
          <t>Disetujui</t>
        </is>
      </c>
      <c r="K6" t="n">
        <v>30</v>
      </c>
      <c r="L6" t="inlineStr">
        <is>
          <t>5 Agustus 2026</t>
        </is>
      </c>
      <c r="M6" t="inlineStr">
        <is>
          <t>Konstruksi Gedung Perbelanjaan</t>
        </is>
      </c>
      <c r="N6" t="inlineStr">
        <is>
          <t>K</t>
        </is>
      </c>
      <c r="O6" t="inlineStr">
        <is>
          <t>20230804</t>
        </is>
      </c>
      <c r="P6" t="inlineStr">
        <is>
          <t>DKI Jakarta</t>
        </is>
      </c>
      <c r="Q6" s="3">
        <f>HYPERLINK("https://wa.me/6281219573077?text=*[Pengingat Masa Berlaku SBU PANDAWA PUTRA MAKASAR]*%0A%0AYth. Pimpinan PANDAWA PUTRA MAKASAR,%0AMohon izin menginformasikan status SBU Anda:%0A%0A📄 SBU: BG004%0A📅 Expired: 5 Agustus 2026 (30 Hari Lagi)%0A%0AKami tim PT. ESDEA Assistance Management siap men-support proses perpanjangan segera agar administrasi proyek tidak terhambat%0A%0AApakah boleh saya bantu siapkan estimasi biaya dan waktu pengerjaannya?.", "Hubungi")</f>
        <v/>
      </c>
    </row>
    <row r="7">
      <c r="A7" t="inlineStr">
        <is>
          <t>PRAHU MULTIRAMA</t>
        </is>
      </c>
      <c r="B7" t="inlineStr">
        <is>
          <t>Kab. Bogor</t>
        </is>
      </c>
      <c r="C7" t="inlineStr">
        <is>
          <t>087770555971</t>
        </is>
      </c>
      <c r="D7" t="inlineStr">
        <is>
          <t>prahumultirama@gmail.com</t>
        </is>
      </c>
      <c r="E7" t="inlineStr">
        <is>
          <t>https://lpjk.pu.go.id/search-badan-usaha-detail/eWxxR3hjbjcwR1RISzdqRUYraUJadz09</t>
        </is>
      </c>
      <c r="F7" t="n">
        <v>2</v>
      </c>
      <c r="G7" t="inlineStr">
        <is>
          <t>BG006, BS001</t>
        </is>
      </c>
      <c r="H7" t="inlineStr">
        <is>
          <t>14 September 2009</t>
        </is>
      </c>
      <c r="I7" s="2" t="n">
        <v>46239</v>
      </c>
      <c r="J7" t="inlineStr">
        <is>
          <t>Disetujui</t>
        </is>
      </c>
      <c r="K7" t="n">
        <v>30</v>
      </c>
      <c r="L7" t="inlineStr">
        <is>
          <t>5 Agustus 2026</t>
        </is>
      </c>
      <c r="M7" t="inlineStr">
        <is>
          <t>Konstruksi Bangunan Sipil Jalan, Konstruksi Gedung Pendidikan</t>
        </is>
      </c>
      <c r="N7" t="inlineStr">
        <is>
          <t>K</t>
        </is>
      </c>
      <c r="O7" t="inlineStr">
        <is>
          <t>20230801</t>
        </is>
      </c>
      <c r="P7" t="inlineStr">
        <is>
          <t>Jawa Barat</t>
        </is>
      </c>
      <c r="Q7" s="3">
        <f>HYPERLINK("https://wa.me/6287770555971?text=*[Pengingat Masa Berlaku SBU PRAHU MULTIRAMA]*%0A%0AYth. Pimpinan PRAHU MULTIRAMA,%0AMohon izin menginformasikan status SBU Anda:%0A%0A📄 SBU: BG006, BS001%0A📅 Expired: 5 Agustus 2026 (30 Hari Lagi)%0A%0AKami tim PT. ESDEA Assistance Management siap men-support proses perpanjangan segera agar administrasi proyek tidak terhambat%0A%0AApakah boleh saya bantu siapkan estimasi biaya dan waktu pengerjaannya?.", "Hubungi")</f>
        <v/>
      </c>
    </row>
    <row r="8">
      <c r="A8" t="inlineStr">
        <is>
          <t>SEMAI BANGUN BERKAH</t>
        </is>
      </c>
      <c r="B8" t="inlineStr">
        <is>
          <t>Kota Depok</t>
        </is>
      </c>
      <c r="C8" t="inlineStr">
        <is>
          <t>081286644694</t>
        </is>
      </c>
      <c r="D8" t="inlineStr">
        <is>
          <t>semaibangunberkah@gmail.com</t>
        </is>
      </c>
      <c r="E8" t="inlineStr">
        <is>
          <t>https://lpjk.pu.go.id/search-badan-usaha-detail/Ujczb2RqdFlRSkd6V3RIRCtYZGJCUT09</t>
        </is>
      </c>
      <c r="F8" t="n">
        <v>1</v>
      </c>
      <c r="G8" t="inlineStr">
        <is>
          <t>BG009</t>
        </is>
      </c>
      <c r="H8" t="inlineStr">
        <is>
          <t>29 Maret 2023</t>
        </is>
      </c>
      <c r="I8" s="2" t="n">
        <v>46239</v>
      </c>
      <c r="J8" t="inlineStr">
        <is>
          <t>Disetujui</t>
        </is>
      </c>
      <c r="K8" t="n">
        <v>30</v>
      </c>
      <c r="L8" t="inlineStr">
        <is>
          <t>5 Agustus 2026</t>
        </is>
      </c>
      <c r="M8" t="inlineStr">
        <is>
          <t>Konstruksi Gedung Lainnya</t>
        </is>
      </c>
      <c r="N8" t="inlineStr">
        <is>
          <t>K</t>
        </is>
      </c>
      <c r="O8" t="inlineStr">
        <is>
          <t>20230801</t>
        </is>
      </c>
      <c r="P8" t="inlineStr">
        <is>
          <t>Jawa Barat</t>
        </is>
      </c>
      <c r="Q8" s="3">
        <f>HYPERLINK("https://wa.me/6281286644694?text=*[Pengingat Masa Berlaku SBU SEMAI BANGUN BERKAH]*%0A%0AYth. Pimpinan SEMAI BANGUN BERKAH,%0AMohon izin menginformasikan status SBU Anda:%0A%0A📄 SBU: BG009%0A📅 Expired: 5 Agustus 2026 (30 Hari Lagi)%0A%0AKami tim PT. ESDEA Assistance Management siap men-support proses perpanjangan segera agar administrasi proyek tidak terhambat%0A%0AApakah boleh saya bantu siapkan estimasi biaya dan waktu pengerjaannya?.", "Hubungi")</f>
        <v/>
      </c>
    </row>
    <row r="9">
      <c r="A9" t="inlineStr">
        <is>
          <t>WIDIA KARYA ERAMANDIRI UTAMA</t>
        </is>
      </c>
      <c r="B9" t="inlineStr">
        <is>
          <t>Kota Bekasi</t>
        </is>
      </c>
      <c r="C9" t="inlineStr">
        <is>
          <t>02182430160</t>
        </is>
      </c>
      <c r="D9" t="inlineStr">
        <is>
          <t>-</t>
        </is>
      </c>
      <c r="E9" t="inlineStr">
        <is>
          <t>https://lpjk.pu.go.id/search-badan-usaha-detail/YjVDc0k2Ky85aXlid2lxd3E5VmE0UT09</t>
        </is>
      </c>
      <c r="F9" t="n">
        <v>2</v>
      </c>
      <c r="G9" t="inlineStr">
        <is>
          <t>BS009</t>
        </is>
      </c>
      <c r="H9" t="inlineStr">
        <is>
          <t>15 April 2013</t>
        </is>
      </c>
      <c r="I9" s="2" t="n">
        <v>46239</v>
      </c>
      <c r="J9" t="inlineStr">
        <is>
          <t>Disetujui</t>
        </is>
      </c>
      <c r="K9" t="n">
        <v>30</v>
      </c>
      <c r="L9" t="inlineStr">
        <is>
          <t>5 Agustus 2026</t>
        </is>
      </c>
      <c r="M9" t="inlineStr">
        <is>
          <t>Konstruksi Sentral Telekomunikasi</t>
        </is>
      </c>
      <c r="N9" t="inlineStr">
        <is>
          <t>K</t>
        </is>
      </c>
      <c r="O9" t="inlineStr">
        <is>
          <t>20230801</t>
        </is>
      </c>
      <c r="P9" t="inlineStr">
        <is>
          <t>Jawa Barat</t>
        </is>
      </c>
      <c r="Q9" t="inlineStr"/>
    </row>
    <row r="10">
      <c r="A10" t="inlineStr">
        <is>
          <t>ADHI GRAHA JAYA</t>
        </is>
      </c>
      <c r="B10" t="inlineStr">
        <is>
          <t>Kota Denpasar</t>
        </is>
      </c>
      <c r="C10" t="inlineStr">
        <is>
          <t>03614743672</t>
        </is>
      </c>
      <c r="D10" t="inlineStr">
        <is>
          <t>adhigrahajaya@gmail.com</t>
        </is>
      </c>
      <c r="E10" t="inlineStr">
        <is>
          <t>https://lpjk.pu.go.id/search-badan-usaha-detail/QnpSYzVVNy96SHMvbkttTWNUVUYrUT09</t>
        </is>
      </c>
      <c r="F10" t="n">
        <v>5</v>
      </c>
      <c r="G10" t="inlineStr">
        <is>
          <t>BG001, BG002, BG004, BG007, BG008</t>
        </is>
      </c>
      <c r="H10" t="inlineStr">
        <is>
          <t>31 Juli 2017</t>
        </is>
      </c>
      <c r="I10" s="2" t="n">
        <v>46239</v>
      </c>
      <c r="J10" t="inlineStr">
        <is>
          <t>Disetujui</t>
        </is>
      </c>
      <c r="K10" t="n">
        <v>30</v>
      </c>
      <c r="L10" t="inlineStr">
        <is>
          <t>5 Agustus 2026</t>
        </is>
      </c>
      <c r="M10" t="inlineStr">
        <is>
          <t>Konstruksi Gedung Hunian, Konstruksi Gedung Penginapan, Konstruksi Gedung Perbelanjaan, Konstruksi Gedung Perkantoran, Konstruksi Gedung Tempat Hiburan dan Olahraga</t>
        </is>
      </c>
      <c r="N10" t="inlineStr">
        <is>
          <t>K</t>
        </is>
      </c>
      <c r="O10" t="inlineStr">
        <is>
          <t>20230731</t>
        </is>
      </c>
      <c r="P10" t="inlineStr">
        <is>
          <t>Bali</t>
        </is>
      </c>
      <c r="Q10" t="inlineStr"/>
    </row>
    <row r="11">
      <c r="A11" t="inlineStr">
        <is>
          <t>ALAM SAKTI</t>
        </is>
      </c>
      <c r="B11" t="inlineStr">
        <is>
          <t>Kab. Pandeglang</t>
        </is>
      </c>
      <c r="C11" t="inlineStr">
        <is>
          <t>085282172172</t>
        </is>
      </c>
      <c r="D11" t="inlineStr">
        <is>
          <t>asakticv@gmail.com</t>
        </is>
      </c>
      <c r="E11" t="inlineStr">
        <is>
          <t>https://lpjk.pu.go.id/search-badan-usaha-detail/emJZTG1Rcmd3MFJRM0J6alJqbVRIQT09</t>
        </is>
      </c>
      <c r="F11" t="n">
        <v>2</v>
      </c>
      <c r="G11" t="inlineStr">
        <is>
          <t>BG006, BG009</t>
        </is>
      </c>
      <c r="H11" t="inlineStr">
        <is>
          <t>30 Desember 2020</t>
        </is>
      </c>
      <c r="I11" s="2" t="n">
        <v>46239</v>
      </c>
      <c r="J11" t="inlineStr">
        <is>
          <t>Disetujui</t>
        </is>
      </c>
      <c r="K11" t="n">
        <v>30</v>
      </c>
      <c r="L11" t="inlineStr">
        <is>
          <t>5 Agustus 2026</t>
        </is>
      </c>
      <c r="M11" t="inlineStr">
        <is>
          <t>Konstruksi Gedung Lainnya, Konstruksi Gedung Pendidikan</t>
        </is>
      </c>
      <c r="N11" t="inlineStr">
        <is>
          <t>K</t>
        </is>
      </c>
      <c r="O11" t="inlineStr">
        <is>
          <t>20230804</t>
        </is>
      </c>
      <c r="P11" t="inlineStr">
        <is>
          <t>Banten</t>
        </is>
      </c>
      <c r="Q11" t="inlineStr"/>
    </row>
    <row r="12">
      <c r="A12" t="inlineStr">
        <is>
          <t>ARTHA KARYA</t>
        </is>
      </c>
      <c r="B12" t="inlineStr">
        <is>
          <t>Kab. Pasaman Barat</t>
        </is>
      </c>
      <c r="C12" t="inlineStr">
        <is>
          <t>081268130209</t>
        </is>
      </c>
      <c r="D12" t="inlineStr">
        <is>
          <t>arthakarya.yusuf@gmail.com</t>
        </is>
      </c>
      <c r="E12" t="inlineStr">
        <is>
          <t>https://lpjk.pu.go.id/search-badan-usaha-detail/dUV2WjVUZm1RT29tZ3NzNHNUeHVvdz09</t>
        </is>
      </c>
      <c r="F12" t="n">
        <v>1</v>
      </c>
      <c r="G12" t="inlineStr">
        <is>
          <t>BS005</t>
        </is>
      </c>
      <c r="H12" t="inlineStr">
        <is>
          <t>20 Februari 2007</t>
        </is>
      </c>
      <c r="I12" s="2" t="n">
        <v>46239</v>
      </c>
      <c r="J12" t="inlineStr">
        <is>
          <t>Disetujui</t>
        </is>
      </c>
      <c r="K12" t="n">
        <v>30</v>
      </c>
      <c r="L12" t="inlineStr">
        <is>
          <t>5 Agustus 2026</t>
        </is>
      </c>
      <c r="M12" t="inlineStr">
        <is>
          <t>Konstruksi Bangunan Sipil Pengolahan Air Bersih</t>
        </is>
      </c>
      <c r="N12" t="inlineStr">
        <is>
          <t>K</t>
        </is>
      </c>
      <c r="O12" t="inlineStr">
        <is>
          <t>20230805</t>
        </is>
      </c>
      <c r="P12" t="inlineStr">
        <is>
          <t>Sumatera Barat</t>
        </is>
      </c>
      <c r="Q12" t="inlineStr"/>
    </row>
    <row r="13">
      <c r="A13" t="inlineStr">
        <is>
          <t>BANGUN PAPUA</t>
        </is>
      </c>
      <c r="B13" t="inlineStr">
        <is>
          <t>Kab. Manokwari</t>
        </is>
      </c>
      <c r="C13" t="inlineStr">
        <is>
          <t>082197410909</t>
        </is>
      </c>
      <c r="D13" t="inlineStr">
        <is>
          <t>cv.bangun.papuaa@gmail.com</t>
        </is>
      </c>
      <c r="E13" t="inlineStr">
        <is>
          <t>https://lpjk.pu.go.id/search-badan-usaha-detail/eW1WSnE2MmhjbWkrWkdpTWVRQmQ1Zz09</t>
        </is>
      </c>
      <c r="F13" t="n">
        <v>2</v>
      </c>
      <c r="G13" t="inlineStr">
        <is>
          <t>BG006, BG009</t>
        </is>
      </c>
      <c r="H13" t="inlineStr">
        <is>
          <t>12 Februari 2018</t>
        </is>
      </c>
      <c r="I13" s="2" t="n">
        <v>46239</v>
      </c>
      <c r="J13" t="inlineStr">
        <is>
          <t>Pencabutan</t>
        </is>
      </c>
      <c r="K13" t="n">
        <v>30</v>
      </c>
      <c r="L13" t="inlineStr">
        <is>
          <t>5 Agustus 2026</t>
        </is>
      </c>
      <c r="M13" t="inlineStr">
        <is>
          <t>Konstruksi Gedung Lainnya, Konstruksi Gedung Pendidikan</t>
        </is>
      </c>
      <c r="N13" t="inlineStr">
        <is>
          <t>K</t>
        </is>
      </c>
      <c r="O13" t="inlineStr">
        <is>
          <t>20230731</t>
        </is>
      </c>
      <c r="P13" t="inlineStr">
        <is>
          <t>Papua Barat</t>
        </is>
      </c>
      <c r="Q13" t="inlineStr"/>
    </row>
    <row r="14">
      <c r="A14" t="inlineStr">
        <is>
          <t>BAYU DITA NUGRAHA</t>
        </is>
      </c>
      <c r="B14" t="inlineStr">
        <is>
          <t>Kab. Morowali Utara</t>
        </is>
      </c>
      <c r="C14" t="inlineStr">
        <is>
          <t>0</t>
        </is>
      </c>
      <c r="D14" t="inlineStr">
        <is>
          <t>bayuditanugraha1414@gmail.com</t>
        </is>
      </c>
      <c r="E14" t="inlineStr">
        <is>
          <t>https://lpjk.pu.go.id/search-badan-usaha-detail/SEpodzJqN3N0N3ZYa0N2VGF6SGY1Zz09</t>
        </is>
      </c>
      <c r="F14" t="n">
        <v>1</v>
      </c>
      <c r="G14" t="inlineStr">
        <is>
          <t>BS001</t>
        </is>
      </c>
      <c r="H14" t="inlineStr">
        <is>
          <t>11 Januari 2017</t>
        </is>
      </c>
      <c r="I14" s="2" t="n">
        <v>46239</v>
      </c>
      <c r="J14" t="inlineStr">
        <is>
          <t>Pencabutan</t>
        </is>
      </c>
      <c r="K14" t="n">
        <v>30</v>
      </c>
      <c r="L14" t="inlineStr">
        <is>
          <t>5 Agustus 2026</t>
        </is>
      </c>
      <c r="M14" t="inlineStr">
        <is>
          <t>Konstruksi Bangunan Sipil Jalan</t>
        </is>
      </c>
      <c r="N14" t="inlineStr">
        <is>
          <t>K</t>
        </is>
      </c>
      <c r="O14" t="inlineStr">
        <is>
          <t>20230802</t>
        </is>
      </c>
      <c r="P14" t="inlineStr">
        <is>
          <t>Sulawesi Tengah</t>
        </is>
      </c>
      <c r="Q14" t="inlineStr"/>
    </row>
    <row r="15">
      <c r="A15" t="inlineStr">
        <is>
          <t>BETANIA PRIMA</t>
        </is>
      </c>
      <c r="B15" t="inlineStr">
        <is>
          <t>Kota Tangerang</t>
        </is>
      </c>
      <c r="C15" t="inlineStr">
        <is>
          <t>081290019906</t>
        </is>
      </c>
      <c r="D15" t="inlineStr">
        <is>
          <t>pt.betaniaprima1@gmail.com</t>
        </is>
      </c>
      <c r="E15" t="inlineStr">
        <is>
          <t>https://lpjk.pu.go.id/search-badan-usaha-detail/cjlnSkxidkcrejBiV3UyR2RpZUNYdz09</t>
        </is>
      </c>
      <c r="F15" t="n">
        <v>1</v>
      </c>
      <c r="G15" t="inlineStr">
        <is>
          <t>BG009</t>
        </is>
      </c>
      <c r="H15" t="inlineStr">
        <is>
          <t>19 Desember 1985</t>
        </is>
      </c>
      <c r="I15" s="2" t="n">
        <v>46239</v>
      </c>
      <c r="J15" t="inlineStr">
        <is>
          <t>Disetujui</t>
        </is>
      </c>
      <c r="K15" t="n">
        <v>30</v>
      </c>
      <c r="L15" t="inlineStr">
        <is>
          <t>5 Agustus 2026</t>
        </is>
      </c>
      <c r="M15" t="inlineStr">
        <is>
          <t>Konstruksi Gedung Lainnya</t>
        </is>
      </c>
      <c r="N15" t="inlineStr">
        <is>
          <t>M</t>
        </is>
      </c>
      <c r="O15" t="inlineStr">
        <is>
          <t>20230801</t>
        </is>
      </c>
      <c r="P15" t="inlineStr">
        <is>
          <t>Banten</t>
        </is>
      </c>
      <c r="Q15" t="inlineStr"/>
    </row>
    <row r="16">
      <c r="A16" t="inlineStr">
        <is>
          <t>BINA BAJA SEJATI</t>
        </is>
      </c>
      <c r="B16" t="inlineStr">
        <is>
          <t>Kota Pekanbaru</t>
        </is>
      </c>
      <c r="C16" t="inlineStr">
        <is>
          <t>081268335635</t>
        </is>
      </c>
      <c r="D16" t="inlineStr">
        <is>
          <t>binabajasejati@yahoo.com</t>
        </is>
      </c>
      <c r="E16" t="inlineStr">
        <is>
          <t>https://lpjk.pu.go.id/search-badan-usaha-detail/Q1o0MlJyb1hSRzdOZmM3dzF5Vi9WQT09</t>
        </is>
      </c>
      <c r="F16" t="n">
        <v>2</v>
      </c>
      <c r="G16" t="inlineStr">
        <is>
          <t>BG003, BS017</t>
        </is>
      </c>
      <c r="H16" t="inlineStr">
        <is>
          <t>3 Agustus 2006</t>
        </is>
      </c>
      <c r="I16" s="2" t="n">
        <v>46239</v>
      </c>
      <c r="J16" t="inlineStr">
        <is>
          <t>Disetujui</t>
        </is>
      </c>
      <c r="K16" t="n">
        <v>30</v>
      </c>
      <c r="L16" t="inlineStr">
        <is>
          <t>5 Agustus 2026</t>
        </is>
      </c>
      <c r="M16" t="inlineStr">
        <is>
          <t>Konstruksi Bangunan Sipil Lainnya Ytdl, Konstruksi Gedung Industri</t>
        </is>
      </c>
      <c r="N16" t="inlineStr">
        <is>
          <t>K</t>
        </is>
      </c>
      <c r="O16" t="inlineStr">
        <is>
          <t>20230803</t>
        </is>
      </c>
      <c r="P16" t="inlineStr">
        <is>
          <t>Riau</t>
        </is>
      </c>
      <c r="Q16" t="inlineStr"/>
    </row>
    <row r="17">
      <c r="A17" t="inlineStr">
        <is>
          <t>BINANGKIT BAGJA RAHAYU</t>
        </is>
      </c>
      <c r="B17" t="inlineStr">
        <is>
          <t>Kota Banjar</t>
        </is>
      </c>
      <c r="C17" t="inlineStr">
        <is>
          <t>081310737984</t>
        </is>
      </c>
      <c r="D17" t="inlineStr">
        <is>
          <t>cvbinangkitbagjarahayu@gmail.com</t>
        </is>
      </c>
      <c r="E17" t="inlineStr">
        <is>
          <t>https://lpjk.pu.go.id/search-badan-usaha-detail/Qy9hb2ZWdXdES3Y0em1oazZUelA2UT09</t>
        </is>
      </c>
      <c r="F17" t="n">
        <v>2</v>
      </c>
      <c r="G17" t="inlineStr">
        <is>
          <t>BG009</t>
        </is>
      </c>
      <c r="H17" t="inlineStr">
        <is>
          <t>25 Januari 2023</t>
        </is>
      </c>
      <c r="I17" s="2" t="n">
        <v>46239</v>
      </c>
      <c r="J17" t="inlineStr">
        <is>
          <t>Disetujui</t>
        </is>
      </c>
      <c r="K17" t="n">
        <v>30</v>
      </c>
      <c r="L17" t="inlineStr">
        <is>
          <t>5 Agustus 2026</t>
        </is>
      </c>
      <c r="M17" t="inlineStr">
        <is>
          <t>Konstruksi Gedung Lainnya</t>
        </is>
      </c>
      <c r="N17" t="inlineStr">
        <is>
          <t>K</t>
        </is>
      </c>
      <c r="O17" t="inlineStr">
        <is>
          <t>20230731</t>
        </is>
      </c>
      <c r="P17" t="inlineStr">
        <is>
          <t>Jawa Barat</t>
        </is>
      </c>
      <c r="Q17" t="inlineStr"/>
    </row>
    <row r="18">
      <c r="A18" t="inlineStr">
        <is>
          <t>BINTANG ALAM MANDIRI</t>
        </is>
      </c>
      <c r="B18" t="inlineStr">
        <is>
          <t>Kota Cirebon</t>
        </is>
      </c>
      <c r="C18" t="inlineStr">
        <is>
          <t>085324859381</t>
        </is>
      </c>
      <c r="D18" t="inlineStr">
        <is>
          <t>cvbam455@gmail.com</t>
        </is>
      </c>
      <c r="E18" t="inlineStr">
        <is>
          <t>https://lpjk.pu.go.id/search-badan-usaha-detail/Rkt4amVsWFNCWWx5NWZaUktBVDdNUT09</t>
        </is>
      </c>
      <c r="F18" t="n">
        <v>2</v>
      </c>
      <c r="G18" t="inlineStr">
        <is>
          <t>BG001</t>
        </is>
      </c>
      <c r="H18" t="inlineStr">
        <is>
          <t>5 Juni 2014</t>
        </is>
      </c>
      <c r="I18" s="2" t="n">
        <v>46239</v>
      </c>
      <c r="J18" t="inlineStr">
        <is>
          <t>Disetujui</t>
        </is>
      </c>
      <c r="K18" t="n">
        <v>30</v>
      </c>
      <c r="L18" t="inlineStr">
        <is>
          <t>5 Agustus 2026</t>
        </is>
      </c>
      <c r="M18" t="inlineStr">
        <is>
          <t>Konstruksi Gedung Hunian</t>
        </is>
      </c>
      <c r="N18" t="inlineStr">
        <is>
          <t>K</t>
        </is>
      </c>
      <c r="O18" t="inlineStr">
        <is>
          <t>20230805</t>
        </is>
      </c>
      <c r="P18" t="inlineStr">
        <is>
          <t>Jawa Barat</t>
        </is>
      </c>
      <c r="Q18" t="inlineStr"/>
    </row>
    <row r="19">
      <c r="A19" t="inlineStr">
        <is>
          <t>CAHAYA HAZANAH ABADI</t>
        </is>
      </c>
      <c r="B19" t="inlineStr">
        <is>
          <t>Kab. Manokwari</t>
        </is>
      </c>
      <c r="C19" t="inlineStr">
        <is>
          <t>081248625443</t>
        </is>
      </c>
      <c r="D19" t="inlineStr">
        <is>
          <t>cahayahazanahabadi@gmail.com</t>
        </is>
      </c>
      <c r="E19" t="inlineStr">
        <is>
          <t>https://lpjk.pu.go.id/search-badan-usaha-detail/R2ZabXduVlpIZlpYQ3d1Rng3aDQvQT09</t>
        </is>
      </c>
      <c r="F19" t="n">
        <v>3</v>
      </c>
      <c r="G19" t="inlineStr">
        <is>
          <t>BG001, BG006, BG009</t>
        </is>
      </c>
      <c r="H19" t="inlineStr">
        <is>
          <t>25 Juli 2016</t>
        </is>
      </c>
      <c r="I19" s="2" t="n">
        <v>46239</v>
      </c>
      <c r="J19" t="inlineStr">
        <is>
          <t>Disetujui</t>
        </is>
      </c>
      <c r="K19" t="n">
        <v>30</v>
      </c>
      <c r="L19" t="inlineStr">
        <is>
          <t>5 Agustus 2026</t>
        </is>
      </c>
      <c r="M19" t="inlineStr">
        <is>
          <t>Konstruksi Gedung Hunian, Konstruksi Gedung Lainnya, Konstruksi Gedung Pendidikan</t>
        </is>
      </c>
      <c r="N19" t="inlineStr">
        <is>
          <t>K</t>
        </is>
      </c>
      <c r="O19" t="inlineStr">
        <is>
          <t>20230804, 20230805</t>
        </is>
      </c>
      <c r="P19" t="inlineStr">
        <is>
          <t>Papua Barat</t>
        </is>
      </c>
      <c r="Q19" t="inlineStr"/>
    </row>
    <row r="20">
      <c r="A20" t="inlineStr">
        <is>
          <t>CAHAYA KALTARA BORNEO</t>
        </is>
      </c>
      <c r="B20" t="inlineStr">
        <is>
          <t>Kab. Malinau</t>
        </is>
      </c>
      <c r="C20" t="inlineStr">
        <is>
          <t>081392999972</t>
        </is>
      </c>
      <c r="D20" t="inlineStr">
        <is>
          <t>pelangikaltara22@gmail.com</t>
        </is>
      </c>
      <c r="E20" t="inlineStr">
        <is>
          <t>https://lpjk.pu.go.id/search-badan-usaha-detail/LzBQTlNjRE1LUzlROUJmS0VVTzJnQT09</t>
        </is>
      </c>
      <c r="F20" t="n">
        <v>1</v>
      </c>
      <c r="G20" t="inlineStr">
        <is>
          <t>BG006</t>
        </is>
      </c>
      <c r="H20" t="inlineStr">
        <is>
          <t>9 Juni 2022</t>
        </is>
      </c>
      <c r="I20" s="2" t="n">
        <v>46239</v>
      </c>
      <c r="J20" t="inlineStr">
        <is>
          <t>Pencabutan</t>
        </is>
      </c>
      <c r="K20" t="n">
        <v>30</v>
      </c>
      <c r="L20" t="inlineStr">
        <is>
          <t>5 Agustus 2026</t>
        </is>
      </c>
      <c r="M20" t="inlineStr">
        <is>
          <t>Konstruksi Gedung Pendidikan</t>
        </is>
      </c>
      <c r="N20" t="inlineStr">
        <is>
          <t>K</t>
        </is>
      </c>
      <c r="O20" t="inlineStr">
        <is>
          <t>20230805</t>
        </is>
      </c>
      <c r="P20" t="inlineStr">
        <is>
          <t>Kalimantan Utara</t>
        </is>
      </c>
      <c r="Q20" t="inlineStr"/>
    </row>
    <row r="21">
      <c r="A21" t="inlineStr">
        <is>
          <t>CAMPAKA LIGAR JAYA UTAMA</t>
        </is>
      </c>
      <c r="B21" t="inlineStr">
        <is>
          <t>Kab. Tasikmalaya</t>
        </is>
      </c>
      <c r="C21" t="inlineStr">
        <is>
          <t>081224268881</t>
        </is>
      </c>
      <c r="D21" t="inlineStr">
        <is>
          <t>susicampakaligar@gmail.com</t>
        </is>
      </c>
      <c r="E21" t="inlineStr">
        <is>
          <t>https://lpjk.pu.go.id/search-badan-usaha-detail/VnExTnI4NmI4Z3drL0g4VlA0OEtBZz09</t>
        </is>
      </c>
      <c r="F21" t="n">
        <v>1</v>
      </c>
      <c r="G21" t="inlineStr">
        <is>
          <t>BS005</t>
        </is>
      </c>
      <c r="H21" t="inlineStr">
        <is>
          <t>9 September 2016</t>
        </is>
      </c>
      <c r="I21" s="2" t="n">
        <v>46239</v>
      </c>
      <c r="J21" t="inlineStr">
        <is>
          <t>Disetujui</t>
        </is>
      </c>
      <c r="K21" t="n">
        <v>30</v>
      </c>
      <c r="L21" t="inlineStr">
        <is>
          <t>5 Agustus 2026</t>
        </is>
      </c>
      <c r="M21" t="inlineStr">
        <is>
          <t>Konstruksi Bangunan Sipil Pengolahan Air Bersih</t>
        </is>
      </c>
      <c r="N21" t="inlineStr">
        <is>
          <t>K</t>
        </is>
      </c>
      <c r="O21" t="inlineStr">
        <is>
          <t>20230729</t>
        </is>
      </c>
      <c r="P21" t="inlineStr">
        <is>
          <t>Jawa Barat</t>
        </is>
      </c>
      <c r="Q21" t="inlineStr"/>
    </row>
    <row r="22">
      <c r="A22" t="inlineStr">
        <is>
          <t>DEBILA</t>
        </is>
      </c>
      <c r="B22" t="inlineStr">
        <is>
          <t>Kota Serang</t>
        </is>
      </c>
      <c r="C22" t="inlineStr">
        <is>
          <t>087889888758</t>
        </is>
      </c>
      <c r="D22" t="inlineStr">
        <is>
          <t>debilaahmad123@gmail.com</t>
        </is>
      </c>
      <c r="E22" t="inlineStr">
        <is>
          <t>https://lpjk.pu.go.id/search-badan-usaha-detail/UXo1RktvOUxOSWlnSjJQcGJkUFU4dz09</t>
        </is>
      </c>
      <c r="F22" t="n">
        <v>3</v>
      </c>
      <c r="G22" t="inlineStr">
        <is>
          <t>BG002, BG006, BG009</t>
        </is>
      </c>
      <c r="H22" t="inlineStr">
        <is>
          <t>11 Januari 2019</t>
        </is>
      </c>
      <c r="I22" s="2" t="n">
        <v>46239</v>
      </c>
      <c r="J22" t="inlineStr">
        <is>
          <t>Disetujui</t>
        </is>
      </c>
      <c r="K22" t="n">
        <v>30</v>
      </c>
      <c r="L22" t="inlineStr">
        <is>
          <t>5 Agustus 2026</t>
        </is>
      </c>
      <c r="M22" t="inlineStr">
        <is>
          <t>Konstruksi Gedung Lainnya, Konstruksi Gedung Pendidikan, Konstruksi Gedung Perkantoran</t>
        </is>
      </c>
      <c r="N22" t="inlineStr">
        <is>
          <t>K</t>
        </is>
      </c>
      <c r="O22" t="inlineStr">
        <is>
          <t>20230705</t>
        </is>
      </c>
      <c r="P22" t="inlineStr">
        <is>
          <t>Banten</t>
        </is>
      </c>
      <c r="Q22" t="inlineStr"/>
    </row>
    <row r="23">
      <c r="A23" t="inlineStr">
        <is>
          <t>DWIPA BHIRAWAPERSADA</t>
        </is>
      </c>
      <c r="B23" t="inlineStr">
        <is>
          <t>Kota Adm. Jakarta Selatan</t>
        </is>
      </c>
      <c r="C23" t="inlineStr">
        <is>
          <t>02175903217</t>
        </is>
      </c>
      <c r="D23" t="inlineStr">
        <is>
          <t>info@dwipabhirawapersada.id</t>
        </is>
      </c>
      <c r="E23" t="inlineStr">
        <is>
          <t>https://lpjk.pu.go.id/search-badan-usaha-detail/TjhBZEdwc1Y1SDZ2ejFYVTVhRE9udz09</t>
        </is>
      </c>
      <c r="F23" t="n">
        <v>1</v>
      </c>
      <c r="G23" t="inlineStr">
        <is>
          <t>BG002</t>
        </is>
      </c>
      <c r="H23" t="inlineStr">
        <is>
          <t>2 Oktober 1991</t>
        </is>
      </c>
      <c r="I23" s="2" t="n">
        <v>46239</v>
      </c>
      <c r="J23" t="inlineStr">
        <is>
          <t>Disetujui</t>
        </is>
      </c>
      <c r="K23" t="n">
        <v>30</v>
      </c>
      <c r="L23" t="inlineStr">
        <is>
          <t>5 Agustus 2026</t>
        </is>
      </c>
      <c r="M23" t="inlineStr">
        <is>
          <t>Konstruksi Gedung Perkantoran</t>
        </is>
      </c>
      <c r="N23" t="inlineStr">
        <is>
          <t>M</t>
        </is>
      </c>
      <c r="O23" t="inlineStr">
        <is>
          <t>20230802</t>
        </is>
      </c>
      <c r="P23" t="inlineStr">
        <is>
          <t>DKI Jakarta</t>
        </is>
      </c>
      <c r="Q23" t="inlineStr"/>
    </row>
    <row r="24">
      <c r="A24" t="inlineStr">
        <is>
          <t>EKA PRATAMA JAYA</t>
        </is>
      </c>
      <c r="B24" t="inlineStr">
        <is>
          <t>Kab. Indramayu</t>
        </is>
      </c>
      <c r="C24" t="inlineStr">
        <is>
          <t>081221613724</t>
        </is>
      </c>
      <c r="D24" t="inlineStr">
        <is>
          <t>ekapratamajaya848@gmail.com</t>
        </is>
      </c>
      <c r="E24" t="inlineStr">
        <is>
          <t>https://lpjk.pu.go.id/search-badan-usaha-detail/QXJvdkFRWklyVFNPVUxWcnFPL2s5UT09</t>
        </is>
      </c>
      <c r="F24" t="n">
        <v>1</v>
      </c>
      <c r="G24" t="inlineStr">
        <is>
          <t>BS005</t>
        </is>
      </c>
      <c r="H24" t="inlineStr">
        <is>
          <t>31 Agustus 2021</t>
        </is>
      </c>
      <c r="I24" s="2" t="n">
        <v>46239</v>
      </c>
      <c r="J24" t="inlineStr">
        <is>
          <t>Disetujui</t>
        </is>
      </c>
      <c r="K24" t="n">
        <v>30</v>
      </c>
      <c r="L24" t="inlineStr">
        <is>
          <t>5 Agustus 2026</t>
        </is>
      </c>
      <c r="M24" t="inlineStr">
        <is>
          <t>Konstruksi Bangunan Sipil Pengolahan Air Bersih</t>
        </is>
      </c>
      <c r="N24" t="inlineStr">
        <is>
          <t>K</t>
        </is>
      </c>
      <c r="O24" t="inlineStr">
        <is>
          <t>20230801</t>
        </is>
      </c>
      <c r="P24" t="inlineStr">
        <is>
          <t>Jawa Barat</t>
        </is>
      </c>
      <c r="Q24" t="inlineStr"/>
    </row>
    <row r="25">
      <c r="A25" t="inlineStr">
        <is>
          <t>EMPAT PILAR UTAMA</t>
        </is>
      </c>
      <c r="B25" t="inlineStr">
        <is>
          <t>Kab. Bone</t>
        </is>
      </c>
      <c r="C25" t="inlineStr">
        <is>
          <t>082292633636</t>
        </is>
      </c>
      <c r="D25" t="inlineStr">
        <is>
          <t>4pilarutama.cv@gmail.com</t>
        </is>
      </c>
      <c r="E25" t="inlineStr">
        <is>
          <t>https://lpjk.pu.go.id/search-badan-usaha-detail/V2I4OUMrZ0UrUEIvd29CTkE5Ui9IZz09</t>
        </is>
      </c>
      <c r="F25" t="n">
        <v>1</v>
      </c>
      <c r="G25" t="inlineStr">
        <is>
          <t>BS001</t>
        </is>
      </c>
      <c r="H25" t="inlineStr">
        <is>
          <t>16 April 2018</t>
        </is>
      </c>
      <c r="I25" s="2" t="n">
        <v>46239</v>
      </c>
      <c r="J25" t="inlineStr">
        <is>
          <t>Disetujui</t>
        </is>
      </c>
      <c r="K25" t="n">
        <v>30</v>
      </c>
      <c r="L25" t="inlineStr">
        <is>
          <t>5 Agustus 2026</t>
        </is>
      </c>
      <c r="M25" t="inlineStr">
        <is>
          <t>Konstruksi Bangunan Sipil Jalan</t>
        </is>
      </c>
      <c r="N25" t="inlineStr">
        <is>
          <t>K</t>
        </is>
      </c>
      <c r="O25" t="inlineStr">
        <is>
          <t>20230804</t>
        </is>
      </c>
      <c r="P25" t="inlineStr">
        <is>
          <t>Sulawesi Selatan</t>
        </is>
      </c>
      <c r="Q25" t="inlineStr"/>
    </row>
    <row r="26">
      <c r="A26" t="inlineStr">
        <is>
          <t>ERA JAYA RAHARJA</t>
        </is>
      </c>
      <c r="B26" t="inlineStr">
        <is>
          <t>Kab. Malang</t>
        </is>
      </c>
      <c r="C26" t="inlineStr">
        <is>
          <t>081331759929</t>
        </is>
      </c>
      <c r="D26" t="inlineStr">
        <is>
          <t>cverajayaraharja123@gmail.com</t>
        </is>
      </c>
      <c r="E26" t="inlineStr">
        <is>
          <t>https://lpjk.pu.go.id/search-badan-usaha-detail/Ry8rNmxlMk0zWEpoR3BVVWRubENidz09</t>
        </is>
      </c>
      <c r="F26" t="n">
        <v>2</v>
      </c>
      <c r="G26" t="inlineStr">
        <is>
          <t>BG006, BG009</t>
        </is>
      </c>
      <c r="H26" t="inlineStr">
        <is>
          <t>30 Maret 2022</t>
        </is>
      </c>
      <c r="I26" s="2" t="n">
        <v>46239</v>
      </c>
      <c r="J26" t="inlineStr">
        <is>
          <t>Disetujui</t>
        </is>
      </c>
      <c r="K26" t="n">
        <v>30</v>
      </c>
      <c r="L26" t="inlineStr">
        <is>
          <t>5 Agustus 2026</t>
        </is>
      </c>
      <c r="M26" t="inlineStr">
        <is>
          <t>Konstruksi Gedung Lainnya, Konstruksi Gedung Pendidikan</t>
        </is>
      </c>
      <c r="N26" t="inlineStr">
        <is>
          <t>K</t>
        </is>
      </c>
      <c r="O26" t="inlineStr">
        <is>
          <t>20230804</t>
        </is>
      </c>
      <c r="P26" t="inlineStr">
        <is>
          <t>Jawa Timur</t>
        </is>
      </c>
      <c r="Q26" t="inlineStr"/>
    </row>
    <row r="27">
      <c r="A27" t="inlineStr">
        <is>
          <t>GIRI ANGGUN AMERTA</t>
        </is>
      </c>
      <c r="B27" t="inlineStr">
        <is>
          <t>Kota Bandung</t>
        </is>
      </c>
      <c r="C27" t="inlineStr">
        <is>
          <t>08122354581</t>
        </is>
      </c>
      <c r="D27" t="inlineStr">
        <is>
          <t>ptgirianggun@gmail.com</t>
        </is>
      </c>
      <c r="E27" t="inlineStr">
        <is>
          <t>https://lpjk.pu.go.id/search-badan-usaha-detail/SVlncFBNU1kwMWtNTEVxYkZrYXpSZz09</t>
        </is>
      </c>
      <c r="F27" t="n">
        <v>1</v>
      </c>
      <c r="G27" t="inlineStr">
        <is>
          <t>BG002</t>
        </is>
      </c>
      <c r="H27" t="inlineStr">
        <is>
          <t>5 Februari 2014</t>
        </is>
      </c>
      <c r="I27" s="2" t="n">
        <v>46239</v>
      </c>
      <c r="J27" t="inlineStr">
        <is>
          <t>Disetujui</t>
        </is>
      </c>
      <c r="K27" t="n">
        <v>30</v>
      </c>
      <c r="L27" t="inlineStr">
        <is>
          <t>5 Agustus 2026</t>
        </is>
      </c>
      <c r="M27" t="inlineStr">
        <is>
          <t>Konstruksi Gedung Perkantoran</t>
        </is>
      </c>
      <c r="N27" t="inlineStr">
        <is>
          <t>K</t>
        </is>
      </c>
      <c r="O27" t="inlineStr">
        <is>
          <t>20230804</t>
        </is>
      </c>
      <c r="P27" t="inlineStr">
        <is>
          <t>Jawa Barat</t>
        </is>
      </c>
      <c r="Q27" t="inlineStr"/>
    </row>
    <row r="28">
      <c r="A28" t="inlineStr">
        <is>
          <t>GLORIA ABDI CENDANA</t>
        </is>
      </c>
      <c r="B28" t="inlineStr">
        <is>
          <t>Kota Adm. Jakarta Barat</t>
        </is>
      </c>
      <c r="C28" t="inlineStr">
        <is>
          <t>081296813669</t>
        </is>
      </c>
      <c r="D28" t="inlineStr">
        <is>
          <t>ptgloriaabdicendana@gmail.com</t>
        </is>
      </c>
      <c r="E28" t="inlineStr">
        <is>
          <t>https://lpjk.pu.go.id/search-badan-usaha-detail/YzVwN1g5WVhla08wK05CUXdjV09hdz09</t>
        </is>
      </c>
      <c r="F28" t="n">
        <v>4</v>
      </c>
      <c r="G28" t="inlineStr">
        <is>
          <t>BG002, BG003, BG008, BG009</t>
        </is>
      </c>
      <c r="H28" t="inlineStr">
        <is>
          <t>18 Januari 2022</t>
        </is>
      </c>
      <c r="I28" s="2" t="n">
        <v>46239</v>
      </c>
      <c r="J28" t="inlineStr">
        <is>
          <t>Disetujui</t>
        </is>
      </c>
      <c r="K28" t="n">
        <v>30</v>
      </c>
      <c r="L28" t="inlineStr">
        <is>
          <t>5 Agustus 2026</t>
        </is>
      </c>
      <c r="M28" t="inlineStr">
        <is>
          <t>Konstruksi Gedung Industri, Konstruksi Gedung Lainnya, Konstruksi Gedung Perkantoran, Konstruksi Gedung Tempat Hiburan dan Olahraga</t>
        </is>
      </c>
      <c r="N28" t="inlineStr">
        <is>
          <t>K</t>
        </is>
      </c>
      <c r="O28" t="inlineStr">
        <is>
          <t>20230714</t>
        </is>
      </c>
      <c r="P28" t="inlineStr">
        <is>
          <t>DKI Jakarta</t>
        </is>
      </c>
      <c r="Q28" t="inlineStr"/>
    </row>
    <row r="29">
      <c r="A29" t="inlineStr">
        <is>
          <t>HARTON PUTRA PRIMA</t>
        </is>
      </c>
      <c r="B29" t="inlineStr">
        <is>
          <t>Kota Ambon</t>
        </is>
      </c>
      <c r="C29" t="inlineStr">
        <is>
          <t>081330118833</t>
        </is>
      </c>
      <c r="D29" t="inlineStr">
        <is>
          <t>pt.hartonputraprima@gmail.com</t>
        </is>
      </c>
      <c r="E29" t="inlineStr">
        <is>
          <t>https://lpjk.pu.go.id/search-badan-usaha-detail/Yk5UVG0yYWlKd2tGWVprOFdhOWZ2UT09</t>
        </is>
      </c>
      <c r="F29" t="n">
        <v>1</v>
      </c>
      <c r="G29" t="inlineStr">
        <is>
          <t>BS010</t>
        </is>
      </c>
      <c r="H29" t="inlineStr">
        <is>
          <t>28 Desember 2020</t>
        </is>
      </c>
      <c r="I29" s="2" t="n">
        <v>46239</v>
      </c>
      <c r="J29" t="inlineStr">
        <is>
          <t>Disetujui</t>
        </is>
      </c>
      <c r="K29" t="n">
        <v>30</v>
      </c>
      <c r="L29" t="inlineStr">
        <is>
          <t>5 Agustus 2026</t>
        </is>
      </c>
      <c r="M29" t="inlineStr">
        <is>
          <t>Konstruksi Bangunan Prasarana Sumber Daya Air</t>
        </is>
      </c>
      <c r="N29" t="inlineStr">
        <is>
          <t>K</t>
        </is>
      </c>
      <c r="O29" t="inlineStr">
        <is>
          <t>20230802</t>
        </is>
      </c>
      <c r="P29" t="inlineStr">
        <is>
          <t>Maluku</t>
        </is>
      </c>
      <c r="Q29" t="inlineStr"/>
    </row>
    <row r="30">
      <c r="A30" t="inlineStr">
        <is>
          <t>JAYA BRAJA SAKTI</t>
        </is>
      </c>
      <c r="B30" t="inlineStr">
        <is>
          <t>Kab. Lampung Timur</t>
        </is>
      </c>
      <c r="C30" t="inlineStr">
        <is>
          <t>-</t>
        </is>
      </c>
      <c r="D30" t="inlineStr">
        <is>
          <t>cvjayabrajasakti69@gmail.com</t>
        </is>
      </c>
      <c r="E30" t="inlineStr">
        <is>
          <t>https://lpjk.pu.go.id/search-badan-usaha-detail/a3VmV2I0ekdac0E0cU9SYmM3cUh5dz09</t>
        </is>
      </c>
      <c r="F30" t="n">
        <v>1</v>
      </c>
      <c r="G30" t="inlineStr">
        <is>
          <t>BG009</t>
        </is>
      </c>
      <c r="H30" t="inlineStr">
        <is>
          <t>25 September 1998</t>
        </is>
      </c>
      <c r="I30" s="2" t="n">
        <v>46239</v>
      </c>
      <c r="J30" t="inlineStr">
        <is>
          <t>Disetujui</t>
        </is>
      </c>
      <c r="K30" t="n">
        <v>30</v>
      </c>
      <c r="L30" t="inlineStr">
        <is>
          <t>5 Agustus 2026</t>
        </is>
      </c>
      <c r="M30" t="inlineStr">
        <is>
          <t>Konstruksi Gedung Lainnya</t>
        </is>
      </c>
      <c r="N30" t="inlineStr">
        <is>
          <t>K</t>
        </is>
      </c>
      <c r="O30" t="inlineStr">
        <is>
          <t>20230805</t>
        </is>
      </c>
      <c r="P30" t="inlineStr">
        <is>
          <t>Lampung</t>
        </is>
      </c>
      <c r="Q30" t="inlineStr"/>
    </row>
    <row r="31">
      <c r="A31" t="inlineStr">
        <is>
          <t>JAYA VISTA GROUP</t>
        </is>
      </c>
      <c r="B31" t="inlineStr">
        <is>
          <t>Kota Padang</t>
        </is>
      </c>
      <c r="C31" t="inlineStr">
        <is>
          <t>085375486528</t>
        </is>
      </c>
      <c r="D31" t="inlineStr">
        <is>
          <t>cv.jayavistagroup@gmail.com</t>
        </is>
      </c>
      <c r="E31" t="inlineStr">
        <is>
          <t>https://lpjk.pu.go.id/search-badan-usaha-detail/RTIwUzdWdzFnNGlENk5YWjZDUHZLdz09</t>
        </is>
      </c>
      <c r="F31" t="n">
        <v>1</v>
      </c>
      <c r="G31" t="inlineStr">
        <is>
          <t>BS004</t>
        </is>
      </c>
      <c r="H31" t="inlineStr">
        <is>
          <t>30 September 2022</t>
        </is>
      </c>
      <c r="I31" s="2" t="n">
        <v>46239</v>
      </c>
      <c r="J31" t="inlineStr">
        <is>
          <t>Disetujui</t>
        </is>
      </c>
      <c r="K31" t="n">
        <v>30</v>
      </c>
      <c r="L31" t="inlineStr">
        <is>
          <t>5 Agustus 2026</t>
        </is>
      </c>
      <c r="M31" t="inlineStr">
        <is>
          <t>Konstruksi Jaringan Irigasi dan Drainase</t>
        </is>
      </c>
      <c r="N31" t="inlineStr">
        <is>
          <t>K</t>
        </is>
      </c>
      <c r="O31" t="inlineStr">
        <is>
          <t>20230803</t>
        </is>
      </c>
      <c r="P31" t="inlineStr">
        <is>
          <t>Sumatera Barat</t>
        </is>
      </c>
      <c r="Q31" t="inlineStr"/>
    </row>
    <row r="32">
      <c r="A32" t="inlineStr">
        <is>
          <t>KARTIKA INPHILEKATAMA PERDANA</t>
        </is>
      </c>
      <c r="B32" t="inlineStr">
        <is>
          <t>Kota Adm. Jakarta Selatan</t>
        </is>
      </c>
      <c r="C32" t="inlineStr">
        <is>
          <t>02183796630</t>
        </is>
      </c>
      <c r="D32" t="inlineStr">
        <is>
          <t>-</t>
        </is>
      </c>
      <c r="E32" t="inlineStr">
        <is>
          <t>https://lpjk.pu.go.id/search-badan-usaha-detail/TWhKQjBKTUNHd3daZXZWQVovdVlXUT09</t>
        </is>
      </c>
      <c r="F32" t="n">
        <v>1</v>
      </c>
      <c r="G32" t="inlineStr">
        <is>
          <t>BG006</t>
        </is>
      </c>
      <c r="H32" t="inlineStr">
        <is>
          <t>7 April 2000</t>
        </is>
      </c>
      <c r="I32" s="2" t="n">
        <v>46239</v>
      </c>
      <c r="J32" t="inlineStr">
        <is>
          <t>Pencabutan</t>
        </is>
      </c>
      <c r="K32" t="n">
        <v>30</v>
      </c>
      <c r="L32" t="inlineStr">
        <is>
          <t>5 Agustus 2026</t>
        </is>
      </c>
      <c r="M32" t="inlineStr">
        <is>
          <t>Konstruksi Gedung Pendidikan</t>
        </is>
      </c>
      <c r="N32" t="inlineStr">
        <is>
          <t>B</t>
        </is>
      </c>
      <c r="O32" t="inlineStr">
        <is>
          <t>20230713</t>
        </is>
      </c>
      <c r="P32" t="inlineStr">
        <is>
          <t>DKI Jakarta</t>
        </is>
      </c>
      <c r="Q32" t="inlineStr"/>
    </row>
    <row r="33">
      <c r="A33" t="inlineStr">
        <is>
          <t>KARYA LAMPUNG LESTARI</t>
        </is>
      </c>
      <c r="B33" t="inlineStr">
        <is>
          <t>Kab. Lampung Timur</t>
        </is>
      </c>
      <c r="C33" t="inlineStr">
        <is>
          <t>082175490063</t>
        </is>
      </c>
      <c r="D33" t="inlineStr">
        <is>
          <t>cvkaryalampunglestari@gmail.com</t>
        </is>
      </c>
      <c r="E33" t="inlineStr">
        <is>
          <t>https://lpjk.pu.go.id/search-badan-usaha-detail/Y1MyZ2hkS29PNWdPdGVzaVVuYXBPdz09</t>
        </is>
      </c>
      <c r="F33" t="n">
        <v>3</v>
      </c>
      <c r="G33" t="inlineStr">
        <is>
          <t>BG005, BG006, BG009</t>
        </is>
      </c>
      <c r="H33" t="inlineStr">
        <is>
          <t>19 Januari 2022</t>
        </is>
      </c>
      <c r="I33" s="2" t="n">
        <v>46239</v>
      </c>
      <c r="J33" t="inlineStr">
        <is>
          <t>Pencabutan</t>
        </is>
      </c>
      <c r="K33" t="n">
        <v>30</v>
      </c>
      <c r="L33" t="inlineStr">
        <is>
          <t>5 Agustus 2026</t>
        </is>
      </c>
      <c r="M33" t="inlineStr">
        <is>
          <t>Konstruksi Gedung Kesehatan, Konstruksi Gedung Lainnya, Konstruksi Gedung Pendidikan</t>
        </is>
      </c>
      <c r="N33" t="inlineStr">
        <is>
          <t>K</t>
        </is>
      </c>
      <c r="O33" t="inlineStr">
        <is>
          <t>20230728, 20230801</t>
        </is>
      </c>
      <c r="P33" t="inlineStr">
        <is>
          <t>Lampung</t>
        </is>
      </c>
      <c r="Q33" t="inlineStr"/>
    </row>
    <row r="34">
      <c r="A34" t="inlineStr">
        <is>
          <t>KARYA PEMBANGUNAN KONSTRUKSI</t>
        </is>
      </c>
      <c r="B34" t="inlineStr">
        <is>
          <t>Kab. Parigi Moutong</t>
        </is>
      </c>
      <c r="C34" t="inlineStr">
        <is>
          <t>081356556630</t>
        </is>
      </c>
      <c r="D34" t="inlineStr">
        <is>
          <t>kpk.karyapembangunankonstruksi@gmail.com</t>
        </is>
      </c>
      <c r="E34" t="inlineStr">
        <is>
          <t>https://lpjk.pu.go.id/search-badan-usaha-detail/aDlHK01tbWpLWTJIaHdEUmFvK0c3QT09</t>
        </is>
      </c>
      <c r="F34" t="n">
        <v>1</v>
      </c>
      <c r="G34" t="inlineStr">
        <is>
          <t>BG009</t>
        </is>
      </c>
      <c r="H34" t="inlineStr">
        <is>
          <t>14 November 2022</t>
        </is>
      </c>
      <c r="I34" s="2" t="n">
        <v>46239</v>
      </c>
      <c r="J34" t="inlineStr">
        <is>
          <t>Pencabutan</t>
        </is>
      </c>
      <c r="K34" t="n">
        <v>30</v>
      </c>
      <c r="L34" t="inlineStr">
        <is>
          <t>5 Agustus 2026</t>
        </is>
      </c>
      <c r="M34" t="inlineStr">
        <is>
          <t>Konstruksi Gedung Lainnya</t>
        </is>
      </c>
      <c r="N34" t="inlineStr">
        <is>
          <t>K</t>
        </is>
      </c>
      <c r="O34" t="inlineStr">
        <is>
          <t>20230804</t>
        </is>
      </c>
      <c r="P34" t="inlineStr">
        <is>
          <t>Sulawesi Tengah</t>
        </is>
      </c>
      <c r="Q34" t="inlineStr"/>
    </row>
    <row r="35">
      <c r="A35" t="inlineStr">
        <is>
          <t>KHARISMA MANDIRI</t>
        </is>
      </c>
      <c r="B35" t="inlineStr">
        <is>
          <t>Kota Batam</t>
        </is>
      </c>
      <c r="C35" t="inlineStr">
        <is>
          <t>081211773165</t>
        </is>
      </c>
      <c r="D35" t="inlineStr">
        <is>
          <t>kharismamandiri@yahoo.com</t>
        </is>
      </c>
      <c r="E35" t="inlineStr">
        <is>
          <t>https://lpjk.pu.go.id/search-badan-usaha-detail/M0VEVUUvY0FxZVRnZ1orWmRLUS9aZz09</t>
        </is>
      </c>
      <c r="F35" t="n">
        <v>2</v>
      </c>
      <c r="G35" t="inlineStr">
        <is>
          <t>BG003</t>
        </is>
      </c>
      <c r="H35" t="inlineStr">
        <is>
          <t>2 Juni 2003</t>
        </is>
      </c>
      <c r="I35" s="2" t="n">
        <v>46239</v>
      </c>
      <c r="J35" t="inlineStr">
        <is>
          <t>Pencabutan</t>
        </is>
      </c>
      <c r="K35" t="n">
        <v>30</v>
      </c>
      <c r="L35" t="inlineStr">
        <is>
          <t>5 Agustus 2026</t>
        </is>
      </c>
      <c r="M35" t="inlineStr">
        <is>
          <t>Konstruksi Gedung Industri</t>
        </is>
      </c>
      <c r="N35" t="inlineStr">
        <is>
          <t>M</t>
        </is>
      </c>
      <c r="O35" t="inlineStr">
        <is>
          <t>20230724</t>
        </is>
      </c>
      <c r="P35" t="inlineStr">
        <is>
          <t>Kepulauan Riau</t>
        </is>
      </c>
      <c r="Q35" t="inlineStr"/>
    </row>
    <row r="36">
      <c r="A36" t="inlineStr">
        <is>
          <t>LAMPUNG MITRA LESTARI</t>
        </is>
      </c>
      <c r="B36" t="inlineStr">
        <is>
          <t>Kota Bandar Lampung</t>
        </is>
      </c>
      <c r="C36" t="inlineStr">
        <is>
          <t>081367598811</t>
        </is>
      </c>
      <c r="D36" t="inlineStr">
        <is>
          <t>yuskaqyai@gmail.com</t>
        </is>
      </c>
      <c r="E36" t="inlineStr">
        <is>
          <t>https://lpjk.pu.go.id/search-badan-usaha-detail/SXBWRzRGZmd6T0JmTHdKTTVNd2NUUT09</t>
        </is>
      </c>
      <c r="F36" t="n">
        <v>1</v>
      </c>
      <c r="G36" t="inlineStr">
        <is>
          <t>BG006</t>
        </is>
      </c>
      <c r="H36" t="inlineStr">
        <is>
          <t>1 Februari 2017</t>
        </is>
      </c>
      <c r="I36" s="2" t="n">
        <v>46239</v>
      </c>
      <c r="J36" t="inlineStr">
        <is>
          <t>Disetujui</t>
        </is>
      </c>
      <c r="K36" t="n">
        <v>30</v>
      </c>
      <c r="L36" t="inlineStr">
        <is>
          <t>5 Agustus 2026</t>
        </is>
      </c>
      <c r="M36" t="inlineStr">
        <is>
          <t>Konstruksi Gedung Pendidikan</t>
        </is>
      </c>
      <c r="N36" t="inlineStr">
        <is>
          <t>K</t>
        </is>
      </c>
      <c r="O36" t="inlineStr">
        <is>
          <t>20230731</t>
        </is>
      </c>
      <c r="P36" t="inlineStr">
        <is>
          <t>Lampung</t>
        </is>
      </c>
      <c r="Q36" t="inlineStr"/>
    </row>
    <row r="37">
      <c r="A37" t="inlineStr">
        <is>
          <t>MEKAR ABADI</t>
        </is>
      </c>
      <c r="B37" t="inlineStr">
        <is>
          <t>Kab. Boyolali</t>
        </is>
      </c>
      <c r="C37" t="inlineStr">
        <is>
          <t>081214123298</t>
        </is>
      </c>
      <c r="D37" t="inlineStr">
        <is>
          <t>cvmekarabadibi2016@gmail.com</t>
        </is>
      </c>
      <c r="E37" t="inlineStr">
        <is>
          <t>https://lpjk.pu.go.id/search-badan-usaha-detail/VlR1ZEoyc0hQZ0I2LzdsL2NwdXRTUT09</t>
        </is>
      </c>
      <c r="F37" t="n">
        <v>6</v>
      </c>
      <c r="G37" t="inlineStr">
        <is>
          <t>BG002, BG006, BG009</t>
        </is>
      </c>
      <c r="H37" t="inlineStr">
        <is>
          <t>29 Januari 2016</t>
        </is>
      </c>
      <c r="I37" s="2" t="n">
        <v>46239</v>
      </c>
      <c r="J37" t="inlineStr">
        <is>
          <t>Pencabutan</t>
        </is>
      </c>
      <c r="K37" t="n">
        <v>30</v>
      </c>
      <c r="L37" t="inlineStr">
        <is>
          <t>5 Agustus 2026</t>
        </is>
      </c>
      <c r="M37" t="inlineStr">
        <is>
          <t>Konstruksi Gedung Lainnya, Konstruksi Gedung Pendidikan, Konstruksi Gedung Perkantoran</t>
        </is>
      </c>
      <c r="N37" t="inlineStr">
        <is>
          <t>K</t>
        </is>
      </c>
      <c r="O37" t="inlineStr">
        <is>
          <t>20230802, 20230804</t>
        </is>
      </c>
      <c r="P37" t="inlineStr">
        <is>
          <t>Jawa Tengah</t>
        </is>
      </c>
      <c r="Q37" t="inlineStr"/>
    </row>
    <row r="38">
      <c r="A38" t="inlineStr">
        <is>
          <t>MITRA BANGUNAN MUKOK</t>
        </is>
      </c>
      <c r="B38" t="inlineStr">
        <is>
          <t>Kab. Sanggau</t>
        </is>
      </c>
      <c r="C38" t="inlineStr">
        <is>
          <t>085705797717</t>
        </is>
      </c>
      <c r="D38" t="inlineStr">
        <is>
          <t>Mitrabangunanmukok@gmail.com</t>
        </is>
      </c>
      <c r="E38" t="inlineStr">
        <is>
          <t>https://lpjk.pu.go.id/search-badan-usaha-detail/TTU0cDhkN0RiRW1hUjhPK2VBUnUwZz09</t>
        </is>
      </c>
      <c r="F38" t="n">
        <v>2</v>
      </c>
      <c r="G38" t="inlineStr">
        <is>
          <t>BG005, BG006</t>
        </is>
      </c>
      <c r="H38" t="inlineStr">
        <is>
          <t>3 Oktober 2022</t>
        </is>
      </c>
      <c r="I38" s="2" t="n">
        <v>46239</v>
      </c>
      <c r="J38" t="inlineStr">
        <is>
          <t>Disetujui</t>
        </is>
      </c>
      <c r="K38" t="n">
        <v>30</v>
      </c>
      <c r="L38" t="inlineStr">
        <is>
          <t>5 Agustus 2026</t>
        </is>
      </c>
      <c r="M38" t="inlineStr">
        <is>
          <t>Konstruksi Gedung Kesehatan, Konstruksi Gedung Pendidikan</t>
        </is>
      </c>
      <c r="N38" t="inlineStr">
        <is>
          <t>K</t>
        </is>
      </c>
      <c r="O38" t="inlineStr">
        <is>
          <t>20230805</t>
        </is>
      </c>
      <c r="P38" t="inlineStr">
        <is>
          <t>Kalimantan Barat</t>
        </is>
      </c>
      <c r="Q38" t="inlineStr"/>
    </row>
    <row r="39">
      <c r="A39" t="inlineStr">
        <is>
          <t>MITRA TUNAS HARAPAN</t>
        </is>
      </c>
      <c r="B39" t="inlineStr">
        <is>
          <t>Kota Cilegon</t>
        </is>
      </c>
      <c r="C39" t="inlineStr">
        <is>
          <t>081388151759</t>
        </is>
      </c>
      <c r="D39" t="inlineStr">
        <is>
          <t>mitratunasharapan.pt@gmail.com</t>
        </is>
      </c>
      <c r="E39" t="inlineStr">
        <is>
          <t>https://lpjk.pu.go.id/search-badan-usaha-detail/aWgwYjNDTnlPQXdZeHdVd0NmNWpZdz09</t>
        </is>
      </c>
      <c r="F39" t="n">
        <v>1</v>
      </c>
      <c r="G39" t="inlineStr">
        <is>
          <t>BS017</t>
        </is>
      </c>
      <c r="H39" t="inlineStr">
        <is>
          <t>18 Desember 2015</t>
        </is>
      </c>
      <c r="I39" s="2" t="n">
        <v>46239</v>
      </c>
      <c r="J39" t="inlineStr">
        <is>
          <t>Disetujui</t>
        </is>
      </c>
      <c r="K39" t="n">
        <v>30</v>
      </c>
      <c r="L39" t="inlineStr">
        <is>
          <t>5 Agustus 2026</t>
        </is>
      </c>
      <c r="M39" t="inlineStr">
        <is>
          <t>Konstruksi Bangunan Sipil Lainnya Ytdl</t>
        </is>
      </c>
      <c r="N39" t="inlineStr">
        <is>
          <t>K</t>
        </is>
      </c>
      <c r="O39" t="inlineStr">
        <is>
          <t>20230803</t>
        </is>
      </c>
      <c r="P39" t="inlineStr">
        <is>
          <t>Banten</t>
        </is>
      </c>
      <c r="Q39" t="inlineStr"/>
    </row>
    <row r="40">
      <c r="A40" t="inlineStr">
        <is>
          <t>NUSA ONAP</t>
        </is>
      </c>
      <c r="B40" t="inlineStr">
        <is>
          <t>Kab. Melawi</t>
        </is>
      </c>
      <c r="C40" t="inlineStr">
        <is>
          <t>089531809497</t>
        </is>
      </c>
      <c r="D40" t="inlineStr">
        <is>
          <t>ekarni96@gmail.com</t>
        </is>
      </c>
      <c r="E40" t="inlineStr">
        <is>
          <t>https://lpjk.pu.go.id/search-badan-usaha-detail/S0hLUXZ4a2ZURmNJbm9GRFp5ZmJIUT09</t>
        </is>
      </c>
      <c r="F40" t="n">
        <v>2</v>
      </c>
      <c r="G40" t="inlineStr">
        <is>
          <t>BG006, BG009</t>
        </is>
      </c>
      <c r="H40" t="inlineStr">
        <is>
          <t>5 Mei 2023</t>
        </is>
      </c>
      <c r="I40" s="2" t="n">
        <v>46239</v>
      </c>
      <c r="J40" t="inlineStr">
        <is>
          <t>Disetujui</t>
        </is>
      </c>
      <c r="K40" t="n">
        <v>30</v>
      </c>
      <c r="L40" t="inlineStr">
        <is>
          <t>5 Agustus 2026</t>
        </is>
      </c>
      <c r="M40" t="inlineStr">
        <is>
          <t>Konstruksi Gedung Lainnya, Konstruksi Gedung Pendidikan</t>
        </is>
      </c>
      <c r="N40" t="inlineStr">
        <is>
          <t>K</t>
        </is>
      </c>
      <c r="O40" t="inlineStr">
        <is>
          <t>20230804, 20230805</t>
        </is>
      </c>
      <c r="P40" t="inlineStr">
        <is>
          <t>Kalimantan Barat</t>
        </is>
      </c>
      <c r="Q40" t="inlineStr"/>
    </row>
    <row r="41">
      <c r="A41" t="inlineStr">
        <is>
          <t>PUTRA DONYA</t>
        </is>
      </c>
      <c r="B41" t="inlineStr">
        <is>
          <t>Kota Banda Aceh</t>
        </is>
      </c>
      <c r="C41" t="inlineStr">
        <is>
          <t>085360300960</t>
        </is>
      </c>
      <c r="D41" t="inlineStr">
        <is>
          <t>cvputradonya@gmail.com</t>
        </is>
      </c>
      <c r="E41" t="inlineStr">
        <is>
          <t>https://lpjk.pu.go.id/search-badan-usaha-detail/S2RKY2tsRlVta0E3S2Q3bTFJb05Xdz09</t>
        </is>
      </c>
      <c r="F41" t="n">
        <v>3</v>
      </c>
      <c r="G41" t="inlineStr">
        <is>
          <t>BG001, BG006, BG009</t>
        </is>
      </c>
      <c r="H41" t="inlineStr">
        <is>
          <t>27 November 2019</t>
        </is>
      </c>
      <c r="I41" s="2" t="n">
        <v>46239</v>
      </c>
      <c r="J41" t="inlineStr">
        <is>
          <t>Disetujui</t>
        </is>
      </c>
      <c r="K41" t="n">
        <v>30</v>
      </c>
      <c r="L41" t="inlineStr">
        <is>
          <t>5 Agustus 2026</t>
        </is>
      </c>
      <c r="M41" t="inlineStr">
        <is>
          <t>Konstruksi Gedung Hunian, Konstruksi Gedung Lainnya, Konstruksi Gedung Pendidikan</t>
        </is>
      </c>
      <c r="N41" t="inlineStr">
        <is>
          <t>K</t>
        </is>
      </c>
      <c r="O41" t="inlineStr">
        <is>
          <t>20230802, 20230803</t>
        </is>
      </c>
      <c r="P41" t="inlineStr">
        <is>
          <t>Aceh</t>
        </is>
      </c>
      <c r="Q41" t="inlineStr"/>
    </row>
    <row r="42">
      <c r="A42" t="inlineStr">
        <is>
          <t>PUTRA NATAMA ENGINEERING</t>
        </is>
      </c>
      <c r="B42" t="inlineStr">
        <is>
          <t>Kota Medan</t>
        </is>
      </c>
      <c r="C42" t="inlineStr">
        <is>
          <t>081314075327</t>
        </is>
      </c>
      <c r="D42" t="inlineStr">
        <is>
          <t>putra.natama@ymail.com</t>
        </is>
      </c>
      <c r="E42" t="inlineStr">
        <is>
          <t>https://lpjk.pu.go.id/search-badan-usaha-detail/ZXlpbDdwaW9ZeWUvSzhaRkJWdFNvdz09</t>
        </is>
      </c>
      <c r="F42" t="n">
        <v>1</v>
      </c>
      <c r="G42" t="inlineStr">
        <is>
          <t>BG001</t>
        </is>
      </c>
      <c r="H42" t="inlineStr">
        <is>
          <t>16 Desember 1999</t>
        </is>
      </c>
      <c r="I42" s="2" t="n">
        <v>46239</v>
      </c>
      <c r="J42" t="inlineStr">
        <is>
          <t>Disetujui</t>
        </is>
      </c>
      <c r="K42" t="n">
        <v>30</v>
      </c>
      <c r="L42" t="inlineStr">
        <is>
          <t>5 Agustus 2026</t>
        </is>
      </c>
      <c r="M42" t="inlineStr">
        <is>
          <t>Konstruksi Gedung Hunian</t>
        </is>
      </c>
      <c r="N42" t="inlineStr">
        <is>
          <t>K</t>
        </is>
      </c>
      <c r="O42" t="inlineStr">
        <is>
          <t>20230801</t>
        </is>
      </c>
      <c r="P42" t="inlineStr">
        <is>
          <t>Sumatera Utara</t>
        </is>
      </c>
      <c r="Q42" t="inlineStr"/>
    </row>
    <row r="43">
      <c r="A43" t="inlineStr">
        <is>
          <t>QUEENSA</t>
        </is>
      </c>
      <c r="B43" t="inlineStr">
        <is>
          <t>Kab. Tapanuli Utara</t>
        </is>
      </c>
      <c r="C43" t="inlineStr">
        <is>
          <t>0</t>
        </is>
      </c>
      <c r="D43" t="inlineStr">
        <is>
          <t>ccvqueensa@gmail.com</t>
        </is>
      </c>
      <c r="E43" t="inlineStr">
        <is>
          <t>https://lpjk.pu.go.id/search-badan-usaha-detail/bFZ5eEt6dU1CN1JBU1BId2xuaUdldz09</t>
        </is>
      </c>
      <c r="F43" t="n">
        <v>2</v>
      </c>
      <c r="G43" t="inlineStr">
        <is>
          <t>BS001</t>
        </is>
      </c>
      <c r="H43" t="inlineStr">
        <is>
          <t>14 Januari 2021</t>
        </is>
      </c>
      <c r="I43" s="2" t="n">
        <v>46239</v>
      </c>
      <c r="J43" t="inlineStr">
        <is>
          <t>Disetujui</t>
        </is>
      </c>
      <c r="K43" t="n">
        <v>30</v>
      </c>
      <c r="L43" t="inlineStr">
        <is>
          <t>5 Agustus 2026</t>
        </is>
      </c>
      <c r="M43" t="inlineStr">
        <is>
          <t>Konstruksi Bangunan Sipil Jalan</t>
        </is>
      </c>
      <c r="N43" t="inlineStr">
        <is>
          <t>K</t>
        </is>
      </c>
      <c r="O43" t="inlineStr">
        <is>
          <t>20230805</t>
        </is>
      </c>
      <c r="P43" t="inlineStr">
        <is>
          <t>Sumatera Utara</t>
        </is>
      </c>
      <c r="Q43" t="inlineStr"/>
    </row>
    <row r="44">
      <c r="A44" t="inlineStr">
        <is>
          <t>RIFATUL</t>
        </is>
      </c>
      <c r="B44" t="inlineStr">
        <is>
          <t>Kab. Agam</t>
        </is>
      </c>
      <c r="C44" t="inlineStr">
        <is>
          <t>081266262627</t>
        </is>
      </c>
      <c r="D44" t="inlineStr">
        <is>
          <t>cvrifatul@gmail.com</t>
        </is>
      </c>
      <c r="E44" t="inlineStr">
        <is>
          <t>https://lpjk.pu.go.id/search-badan-usaha-detail/V21vTGE2SjRtQzJpUEFBNVlsbzZjQT09</t>
        </is>
      </c>
      <c r="F44" t="n">
        <v>1</v>
      </c>
      <c r="G44" t="inlineStr">
        <is>
          <t>BG001</t>
        </is>
      </c>
      <c r="H44" t="inlineStr">
        <is>
          <t>21 Februari 2017</t>
        </is>
      </c>
      <c r="I44" s="2" t="n">
        <v>46239</v>
      </c>
      <c r="J44" t="inlineStr">
        <is>
          <t>Disetujui</t>
        </is>
      </c>
      <c r="K44" t="n">
        <v>30</v>
      </c>
      <c r="L44" t="inlineStr">
        <is>
          <t>5 Agustus 2026</t>
        </is>
      </c>
      <c r="M44" t="inlineStr">
        <is>
          <t>Konstruksi Gedung Hunian</t>
        </is>
      </c>
      <c r="N44" t="inlineStr">
        <is>
          <t>K</t>
        </is>
      </c>
      <c r="O44" t="inlineStr">
        <is>
          <t>20230805</t>
        </is>
      </c>
      <c r="P44" t="inlineStr">
        <is>
          <t>Sumatera Barat</t>
        </is>
      </c>
      <c r="Q44" t="inlineStr"/>
    </row>
    <row r="45">
      <c r="A45" t="inlineStr">
        <is>
          <t>RIZKI AULIA GROUP</t>
        </is>
      </c>
      <c r="B45" t="inlineStr">
        <is>
          <t>Kab. Aceh Utara</t>
        </is>
      </c>
      <c r="C45" t="inlineStr">
        <is>
          <t>08126914100</t>
        </is>
      </c>
      <c r="D45" t="inlineStr">
        <is>
          <t>cvriskiauliagroup@gmail.com</t>
        </is>
      </c>
      <c r="E45" t="inlineStr">
        <is>
          <t>https://lpjk.pu.go.id/search-badan-usaha-detail/TXROVi9HLzNHME9ORWEvUVFlYkFhUT09</t>
        </is>
      </c>
      <c r="F45" t="n">
        <v>1</v>
      </c>
      <c r="G45" t="inlineStr">
        <is>
          <t>BG001</t>
        </is>
      </c>
      <c r="H45" t="inlineStr">
        <is>
          <t>30 Agustus 2019</t>
        </is>
      </c>
      <c r="I45" s="2" t="n">
        <v>46239</v>
      </c>
      <c r="J45" t="inlineStr">
        <is>
          <t>Disetujui</t>
        </is>
      </c>
      <c r="K45" t="n">
        <v>30</v>
      </c>
      <c r="L45" t="inlineStr">
        <is>
          <t>5 Agustus 2026</t>
        </is>
      </c>
      <c r="M45" t="inlineStr">
        <is>
          <t>Konstruksi Gedung Hunian</t>
        </is>
      </c>
      <c r="N45" t="inlineStr">
        <is>
          <t>K</t>
        </is>
      </c>
      <c r="O45" t="inlineStr">
        <is>
          <t>20230801</t>
        </is>
      </c>
      <c r="P45" t="inlineStr">
        <is>
          <t>Aceh</t>
        </is>
      </c>
      <c r="Q45" t="inlineStr"/>
    </row>
    <row r="46">
      <c r="A46" t="inlineStr">
        <is>
          <t>RONA LESTARI</t>
        </is>
      </c>
      <c r="B46" t="inlineStr">
        <is>
          <t>Kab. Minahasa Tenggara</t>
        </is>
      </c>
      <c r="C46" t="inlineStr">
        <is>
          <t>08114317171</t>
        </is>
      </c>
      <c r="D46" t="inlineStr">
        <is>
          <t>ronalestari.cv@gmail.com</t>
        </is>
      </c>
      <c r="E46" t="inlineStr">
        <is>
          <t>https://lpjk.pu.go.id/search-badan-usaha-detail/MVExZEJzRHBoQUt4RTJ0Q0s5bnFBZz09</t>
        </is>
      </c>
      <c r="F46" t="n">
        <v>1</v>
      </c>
      <c r="G46" t="inlineStr">
        <is>
          <t>BS001</t>
        </is>
      </c>
      <c r="H46" t="inlineStr">
        <is>
          <t>15 September 2009</t>
        </is>
      </c>
      <c r="I46" s="2" t="n">
        <v>46239</v>
      </c>
      <c r="J46" t="inlineStr">
        <is>
          <t>Disetujui</t>
        </is>
      </c>
      <c r="K46" t="n">
        <v>30</v>
      </c>
      <c r="L46" t="inlineStr">
        <is>
          <t>5 Agustus 2026</t>
        </is>
      </c>
      <c r="M46" t="inlineStr">
        <is>
          <t>Konstruksi Bangunan Sipil Jalan</t>
        </is>
      </c>
      <c r="N46" t="inlineStr">
        <is>
          <t>K</t>
        </is>
      </c>
      <c r="O46" t="inlineStr">
        <is>
          <t>20230804</t>
        </is>
      </c>
      <c r="P46" t="inlineStr">
        <is>
          <t>Sulawesi Utara</t>
        </is>
      </c>
      <c r="Q46" t="inlineStr"/>
    </row>
    <row r="47">
      <c r="A47" t="inlineStr">
        <is>
          <t>SARANAWISESA PROPERINDO</t>
        </is>
      </c>
      <c r="B47" t="inlineStr">
        <is>
          <t>Kota Adm. Jakarta Selatan</t>
        </is>
      </c>
      <c r="C47" t="inlineStr">
        <is>
          <t>02183794770</t>
        </is>
      </c>
      <c r="D47" t="inlineStr">
        <is>
          <t>info@saranawisesa.co.id</t>
        </is>
      </c>
      <c r="E47" t="inlineStr">
        <is>
          <t>https://lpjk.pu.go.id/search-badan-usaha-detail/Wm50Mi9vZlJaMThQd05FaDk2R2JoUT09</t>
        </is>
      </c>
      <c r="F47" t="n">
        <v>4</v>
      </c>
      <c r="G47" t="inlineStr">
        <is>
          <t>BG001, BG002, BG006, BG009</t>
        </is>
      </c>
      <c r="H47" t="inlineStr">
        <is>
          <t>3 Februari 1993</t>
        </is>
      </c>
      <c r="I47" s="2" t="n">
        <v>46239</v>
      </c>
      <c r="J47" t="inlineStr">
        <is>
          <t>Disetujui</t>
        </is>
      </c>
      <c r="K47" t="n">
        <v>30</v>
      </c>
      <c r="L47" t="inlineStr">
        <is>
          <t>5 Agustus 2026</t>
        </is>
      </c>
      <c r="M47" t="inlineStr">
        <is>
          <t>Konstruksi Gedung Hunian, Konstruksi Gedung Lainnya, Konstruksi Gedung Pendidikan, Konstruksi Gedung Perkantoran</t>
        </is>
      </c>
      <c r="N47" t="inlineStr">
        <is>
          <t>K</t>
        </is>
      </c>
      <c r="O47" t="inlineStr">
        <is>
          <t>20230524, 20230607, 20230626, 20230710</t>
        </is>
      </c>
      <c r="P47" t="inlineStr">
        <is>
          <t>DKI Jakarta</t>
        </is>
      </c>
      <c r="Q47" t="inlineStr"/>
    </row>
    <row r="48">
      <c r="A48" t="inlineStr">
        <is>
          <t>SINAR MULIA</t>
        </is>
      </c>
      <c r="B48" t="inlineStr">
        <is>
          <t>Kab. Tuban</t>
        </is>
      </c>
      <c r="C48" t="inlineStr">
        <is>
          <t>081335632570</t>
        </is>
      </c>
      <c r="D48" t="inlineStr">
        <is>
          <t>sin4rmulia@gmail.com</t>
        </is>
      </c>
      <c r="E48" t="inlineStr">
        <is>
          <t>https://lpjk.pu.go.id/search-badan-usaha-detail/R3VZdkc0cDhwR3lxNVRPRzBOQU9lUT09</t>
        </is>
      </c>
      <c r="F48" t="n">
        <v>2</v>
      </c>
      <c r="G48" t="inlineStr">
        <is>
          <t>BG006, BS001</t>
        </is>
      </c>
      <c r="H48" t="inlineStr">
        <is>
          <t>14 Maret 2006</t>
        </is>
      </c>
      <c r="I48" s="2" t="n">
        <v>46239</v>
      </c>
      <c r="J48" t="inlineStr">
        <is>
          <t>Pencabutan</t>
        </is>
      </c>
      <c r="K48" t="n">
        <v>30</v>
      </c>
      <c r="L48" t="inlineStr">
        <is>
          <t>5 Agustus 2026</t>
        </is>
      </c>
      <c r="M48" t="inlineStr">
        <is>
          <t>Konstruksi Bangunan Sipil Jalan, Konstruksi Gedung Pendidikan</t>
        </is>
      </c>
      <c r="N48" t="inlineStr">
        <is>
          <t>K</t>
        </is>
      </c>
      <c r="O48" t="inlineStr">
        <is>
          <t>20230804</t>
        </is>
      </c>
      <c r="P48" t="inlineStr">
        <is>
          <t>Jawa Timur</t>
        </is>
      </c>
      <c r="Q48" t="inlineStr"/>
    </row>
    <row r="49">
      <c r="A49" t="inlineStr">
        <is>
          <t>SINAR PANDEGLANG ABADI</t>
        </is>
      </c>
      <c r="B49" t="inlineStr">
        <is>
          <t>Kab. Pandeglang</t>
        </is>
      </c>
      <c r="C49" t="inlineStr">
        <is>
          <t>081290381495</t>
        </is>
      </c>
      <c r="D49" t="inlineStr">
        <is>
          <t>cv.spa2019@gmail.com</t>
        </is>
      </c>
      <c r="E49" t="inlineStr">
        <is>
          <t>https://lpjk.pu.go.id/search-badan-usaha-detail/anZmRzFjNEFEYXYrUXpLczUrVk0zUT09</t>
        </is>
      </c>
      <c r="F49" t="n">
        <v>1</v>
      </c>
      <c r="G49" t="inlineStr">
        <is>
          <t>BG006</t>
        </is>
      </c>
      <c r="H49" t="inlineStr">
        <is>
          <t>1 Februari 2016</t>
        </is>
      </c>
      <c r="I49" s="2" t="n">
        <v>46239</v>
      </c>
      <c r="J49" t="inlineStr">
        <is>
          <t>Disetujui</t>
        </is>
      </c>
      <c r="K49" t="n">
        <v>30</v>
      </c>
      <c r="L49" t="inlineStr">
        <is>
          <t>5 Agustus 2026</t>
        </is>
      </c>
      <c r="M49" t="inlineStr">
        <is>
          <t>Konstruksi Gedung Pendidikan</t>
        </is>
      </c>
      <c r="N49" t="inlineStr">
        <is>
          <t>K</t>
        </is>
      </c>
      <c r="O49" t="inlineStr">
        <is>
          <t>20230804</t>
        </is>
      </c>
      <c r="P49" t="inlineStr">
        <is>
          <t>Banten</t>
        </is>
      </c>
      <c r="Q49" t="inlineStr"/>
    </row>
    <row r="50">
      <c r="A50" t="inlineStr">
        <is>
          <t>WAHYU GEMILANG</t>
        </is>
      </c>
      <c r="B50" t="inlineStr">
        <is>
          <t>Kota Bontang</t>
        </is>
      </c>
      <c r="C50" t="inlineStr">
        <is>
          <t>08115812731</t>
        </is>
      </c>
      <c r="D50" t="inlineStr">
        <is>
          <t>andra8228@gmail.com</t>
        </is>
      </c>
      <c r="E50" t="inlineStr">
        <is>
          <t>https://lpjk.pu.go.id/search-badan-usaha-detail/TWFibHc1SzBybEJreU50VERCdldWZz09</t>
        </is>
      </c>
      <c r="F50" t="n">
        <v>1</v>
      </c>
      <c r="G50" t="inlineStr">
        <is>
          <t>BG009</t>
        </is>
      </c>
      <c r="H50" t="inlineStr">
        <is>
          <t>4 Februari 2015</t>
        </is>
      </c>
      <c r="I50" s="2" t="n">
        <v>46239</v>
      </c>
      <c r="J50" t="inlineStr">
        <is>
          <t>Disetujui</t>
        </is>
      </c>
      <c r="K50" t="n">
        <v>30</v>
      </c>
      <c r="L50" t="inlineStr">
        <is>
          <t>5 Agustus 2026</t>
        </is>
      </c>
      <c r="M50" t="inlineStr">
        <is>
          <t>Konstruksi Gedung Lainnya</t>
        </is>
      </c>
      <c r="N50" t="inlineStr">
        <is>
          <t>K</t>
        </is>
      </c>
      <c r="O50" t="inlineStr">
        <is>
          <t>20230805</t>
        </is>
      </c>
      <c r="P50" t="inlineStr">
        <is>
          <t>Kalimantan Timur</t>
        </is>
      </c>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2026-07-06T02:13:47Z</dcterms:created>
  <dcterms:modified xsi:type="dcterms:W3CDTF">2026-07-06T02:13:47Z</dcterms:modified>
</cp:coreProperties>
</file>