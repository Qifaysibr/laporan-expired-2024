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cols>
    <col width="41"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46"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GRAHA IDEKU INTERIOR</t>
        </is>
      </c>
      <c r="B2" t="inlineStr">
        <is>
          <t>Kota Adm. Jakarta Timur</t>
        </is>
      </c>
      <c r="C2" t="inlineStr">
        <is>
          <t>087775176008</t>
        </is>
      </c>
      <c r="D2" t="inlineStr">
        <is>
          <t>ideku.interior87@gmail.com</t>
        </is>
      </c>
      <c r="E2" t="inlineStr">
        <is>
          <t>https://lpjk.pu.go.id/search-badan-usaha-detail/YTd1ZklGVmZrMlNnL0QxazdJL3Zsdz09</t>
        </is>
      </c>
      <c r="F2" t="n">
        <v>2</v>
      </c>
      <c r="G2" t="inlineStr">
        <is>
          <t>BG002, BG009</t>
        </is>
      </c>
      <c r="H2" t="inlineStr">
        <is>
          <t>20 Februari 2019</t>
        </is>
      </c>
      <c r="I2" s="2" t="n">
        <v>46368</v>
      </c>
      <c r="J2" t="inlineStr">
        <is>
          <t>Disetujui</t>
        </is>
      </c>
      <c r="K2" t="n">
        <v>87</v>
      </c>
      <c r="L2" t="inlineStr">
        <is>
          <t>12 Desember 2026</t>
        </is>
      </c>
      <c r="M2" t="inlineStr">
        <is>
          <t>Konstruksi Gedung Lainnya, Konstruksi Gedung Perkantoran</t>
        </is>
      </c>
      <c r="N2" t="inlineStr">
        <is>
          <t>K</t>
        </is>
      </c>
      <c r="O2" t="inlineStr">
        <is>
          <t>20231212</t>
        </is>
      </c>
      <c r="P2" t="inlineStr">
        <is>
          <t>DKI Jakarta</t>
        </is>
      </c>
      <c r="Q2" s="3">
        <f>HYPERLINK("https://wa.me/6287775176008?text=Selamat siang Bapak/Ibu pimpinan GRAHA IDEKU INTERIOR,%0A%0ASemoga Bapak/Ibu dalam keadaan baik.%0ABerdasarkan data LPJK, masa berlaku SBU perusahaan Bapak/Ibu akan berakhir sekitar 3 bulan lagi (pada 12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KARYA ANDALAS PRIMA</t>
        </is>
      </c>
      <c r="B3" t="inlineStr">
        <is>
          <t>Kota Adm. Jakarta Timur</t>
        </is>
      </c>
      <c r="C3" t="inlineStr">
        <is>
          <t>0</t>
        </is>
      </c>
      <c r="D3" t="inlineStr">
        <is>
          <t>hermantokap01@gmail.com</t>
        </is>
      </c>
      <c r="E3" t="inlineStr">
        <is>
          <t>https://lpjk.pu.go.id/search-badan-usaha-detail/d2plTENSNnpROExxQkh5MWV3aFNHdz09</t>
        </is>
      </c>
      <c r="F3" t="n">
        <v>1</v>
      </c>
      <c r="G3" t="inlineStr">
        <is>
          <t>BG009</t>
        </is>
      </c>
      <c r="H3" t="inlineStr">
        <is>
          <t>19 Oktober 2020</t>
        </is>
      </c>
      <c r="I3" s="2" t="n">
        <v>46368</v>
      </c>
      <c r="J3" t="inlineStr">
        <is>
          <t>Pencabutan</t>
        </is>
      </c>
      <c r="K3" t="n">
        <v>87</v>
      </c>
      <c r="L3" t="inlineStr">
        <is>
          <t>12 Desember 2026</t>
        </is>
      </c>
      <c r="M3" t="inlineStr">
        <is>
          <t>Konstruksi Gedung Lainnya</t>
        </is>
      </c>
      <c r="N3" t="inlineStr">
        <is>
          <t>K</t>
        </is>
      </c>
      <c r="O3" t="inlineStr">
        <is>
          <t>20231117</t>
        </is>
      </c>
      <c r="P3" t="inlineStr">
        <is>
          <t>DKI Jakarta</t>
        </is>
      </c>
      <c r="Q3" s="3">
        <f>HYPERLINK("https://wa.me/62?text=Selamat siang Bapak/Ibu pimpinan KARYA ANDALAS PRIMA,%0A%0ASemoga Bapak/Ibu dalam keadaan baik.%0ABerdasarkan data LPJK, masa berlaku SBU perusahaan Bapak/Ibu akan berakhir sekitar 3 bulan lagi (pada 12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KAUSA SINERGI SEJAHTERA</t>
        </is>
      </c>
      <c r="B4" t="inlineStr">
        <is>
          <t>Kota Bekasi</t>
        </is>
      </c>
      <c r="C4" t="inlineStr">
        <is>
          <t>02182636387</t>
        </is>
      </c>
      <c r="D4" t="inlineStr">
        <is>
          <t>kausasinergisejahtera@gmail.com</t>
        </is>
      </c>
      <c r="E4" t="inlineStr">
        <is>
          <t>https://lpjk.pu.go.id/search-badan-usaha-detail/c2dUVUZtQXZxTHZEQitXQURDbzA0Zz09</t>
        </is>
      </c>
      <c r="F4" t="n">
        <v>1</v>
      </c>
      <c r="G4" t="inlineStr">
        <is>
          <t>BG005</t>
        </is>
      </c>
      <c r="H4" t="inlineStr">
        <is>
          <t>3 November 2022</t>
        </is>
      </c>
      <c r="I4" s="2" t="n">
        <v>46368</v>
      </c>
      <c r="J4" t="inlineStr">
        <is>
          <t>Disetujui</t>
        </is>
      </c>
      <c r="K4" t="n">
        <v>87</v>
      </c>
      <c r="L4" t="inlineStr">
        <is>
          <t>12 Desember 2026</t>
        </is>
      </c>
      <c r="M4" t="inlineStr">
        <is>
          <t>Konstruksi Gedung Kesehatan</t>
        </is>
      </c>
      <c r="N4" t="inlineStr">
        <is>
          <t>K</t>
        </is>
      </c>
      <c r="O4" t="inlineStr">
        <is>
          <t>20231130</t>
        </is>
      </c>
      <c r="P4" t="inlineStr">
        <is>
          <t>Jawa Barat</t>
        </is>
      </c>
      <c r="Q4" t="inlineStr"/>
    </row>
    <row r="5">
      <c r="A5" t="inlineStr">
        <is>
          <t>KAWAN PRIMA USAHA LISTRINDO</t>
        </is>
      </c>
      <c r="B5" t="inlineStr">
        <is>
          <t>Kota Adm. Jakarta Timur</t>
        </is>
      </c>
      <c r="C5" t="inlineStr">
        <is>
          <t>0216410093</t>
        </is>
      </c>
      <c r="D5" t="inlineStr">
        <is>
          <t>nikob@pertaprimanusa.com</t>
        </is>
      </c>
      <c r="E5" t="inlineStr">
        <is>
          <t>https://lpjk.pu.go.id/search-badan-usaha-detail/S0pQaE5UTFVjMTlGSm92TTRrWStnQT09</t>
        </is>
      </c>
      <c r="F5" t="n">
        <v>2</v>
      </c>
      <c r="G5" t="inlineStr">
        <is>
          <t>IN001</t>
        </is>
      </c>
      <c r="H5" t="inlineStr">
        <is>
          <t>25 Juli 2023</t>
        </is>
      </c>
      <c r="I5" s="2" t="n">
        <v>46368</v>
      </c>
      <c r="J5" t="inlineStr">
        <is>
          <t>Pencabutan</t>
        </is>
      </c>
      <c r="K5" t="n">
        <v>87</v>
      </c>
      <c r="L5" t="inlineStr">
        <is>
          <t>12 Desember 2026</t>
        </is>
      </c>
      <c r="M5" t="inlineStr">
        <is>
          <t>Instalasi Mekanikal</t>
        </is>
      </c>
      <c r="N5" t="inlineStr">
        <is>
          <t>Spesialis</t>
        </is>
      </c>
      <c r="O5" t="inlineStr">
        <is>
          <t>20231205</t>
        </is>
      </c>
      <c r="P5" t="inlineStr">
        <is>
          <t>DKI Jakarta</t>
        </is>
      </c>
      <c r="Q5" t="inlineStr"/>
    </row>
    <row r="6">
      <c r="A6" t="inlineStr">
        <is>
          <t>PRAPTON</t>
        </is>
      </c>
      <c r="B6" t="inlineStr">
        <is>
          <t>Kota Bekasi</t>
        </is>
      </c>
      <c r="C6" t="inlineStr">
        <is>
          <t>02188894905</t>
        </is>
      </c>
      <c r="D6" t="inlineStr">
        <is>
          <t>prapton.pt@gmail.com</t>
        </is>
      </c>
      <c r="E6" t="inlineStr">
        <is>
          <t>https://lpjk.pu.go.id/search-badan-usaha-detail/VFZneFE1MnRnMlJ6NU5HeFdGcEo0UT09</t>
        </is>
      </c>
      <c r="F6" t="n">
        <v>1</v>
      </c>
      <c r="G6" t="inlineStr">
        <is>
          <t>RK004</t>
        </is>
      </c>
      <c r="H6" t="inlineStr">
        <is>
          <t>13 Desember 2012</t>
        </is>
      </c>
      <c r="I6" s="2" t="n">
        <v>46368</v>
      </c>
      <c r="J6" t="inlineStr">
        <is>
          <t>Disetujui</t>
        </is>
      </c>
      <c r="K6" t="n">
        <v>87</v>
      </c>
      <c r="L6" t="inlineStr">
        <is>
          <t>12 Desember 2026</t>
        </is>
      </c>
      <c r="M6" t="inlineStr">
        <is>
          <t>Jasa Rekayasa Pekerjaan Mekanikal Dalam Bangunan</t>
        </is>
      </c>
      <c r="N6" t="inlineStr">
        <is>
          <t>K</t>
        </is>
      </c>
      <c r="O6" t="inlineStr">
        <is>
          <t>20231203</t>
        </is>
      </c>
      <c r="P6" t="inlineStr">
        <is>
          <t>Jawa Barat</t>
        </is>
      </c>
      <c r="Q6" t="inlineStr"/>
    </row>
    <row r="7">
      <c r="A7" t="inlineStr">
        <is>
          <t>RAIL SISTEM INDONESIA</t>
        </is>
      </c>
      <c r="B7" t="inlineStr">
        <is>
          <t>Kota Bekasi</t>
        </is>
      </c>
      <c r="C7" t="inlineStr">
        <is>
          <t>021827321139</t>
        </is>
      </c>
      <c r="D7" t="inlineStr">
        <is>
          <t>relindonesia@yahoo.com</t>
        </is>
      </c>
      <c r="E7" t="inlineStr">
        <is>
          <t>https://lpjk.pu.go.id/search-badan-usaha-detail/SkxaZlB1Y0V4VmZIbGVQMjhZSks4UT09</t>
        </is>
      </c>
      <c r="F7" t="n">
        <v>2</v>
      </c>
      <c r="G7" t="inlineStr">
        <is>
          <t>BS011, BS012</t>
        </is>
      </c>
      <c r="H7" t="inlineStr">
        <is>
          <t>5 April 2021</t>
        </is>
      </c>
      <c r="I7" s="2" t="n">
        <v>46368</v>
      </c>
      <c r="J7" t="inlineStr">
        <is>
          <t>Disetujui</t>
        </is>
      </c>
      <c r="K7" t="n">
        <v>87</v>
      </c>
      <c r="L7" t="inlineStr">
        <is>
          <t>12 Desember 2026</t>
        </is>
      </c>
      <c r="M7" t="inlineStr">
        <is>
          <t>Konstruksi Bangunan Pelabuhan Bukan Perikanan, Konstruksi Bangunan Pelabuhan Perikanan</t>
        </is>
      </c>
      <c r="N7" t="inlineStr">
        <is>
          <t>K</t>
        </is>
      </c>
      <c r="O7" t="inlineStr">
        <is>
          <t>20231212</t>
        </is>
      </c>
      <c r="P7" t="inlineStr">
        <is>
          <t>Jawa Barat</t>
        </is>
      </c>
      <c r="Q7" t="inlineStr"/>
    </row>
    <row r="8">
      <c r="A8" t="inlineStr">
        <is>
          <t>RIZKI SAFAKHA ABADI</t>
        </is>
      </c>
      <c r="B8" t="inlineStr">
        <is>
          <t>Kota Bekasi</t>
        </is>
      </c>
      <c r="C8" t="inlineStr">
        <is>
          <t>08123400889</t>
        </is>
      </c>
      <c r="D8" t="inlineStr">
        <is>
          <t>rizkisafakhaabadi.pt@gmail.com</t>
        </is>
      </c>
      <c r="E8" t="inlineStr">
        <is>
          <t>https://lpjk.pu.go.id/search-badan-usaha-detail/TURURzV4RXBCaExmYjc2VDMybFlLQT09</t>
        </is>
      </c>
      <c r="F8" t="n">
        <v>3</v>
      </c>
      <c r="G8" t="inlineStr">
        <is>
          <t>BG002, BG006, BG009</t>
        </is>
      </c>
      <c r="H8" t="inlineStr">
        <is>
          <t>25 September 2015</t>
        </is>
      </c>
      <c r="I8" s="2" t="n">
        <v>46368</v>
      </c>
      <c r="J8" t="inlineStr">
        <is>
          <t>Disetujui</t>
        </is>
      </c>
      <c r="K8" t="n">
        <v>87</v>
      </c>
      <c r="L8" t="inlineStr">
        <is>
          <t>12 Desember 2026</t>
        </is>
      </c>
      <c r="M8" t="inlineStr">
        <is>
          <t>Konstruksi Gedung Lainnya, Konstruksi Gedung Pendidikan, Konstruksi Gedung Perkantoran</t>
        </is>
      </c>
      <c r="N8" t="inlineStr">
        <is>
          <t>K</t>
        </is>
      </c>
      <c r="O8" t="inlineStr">
        <is>
          <t>20231213</t>
        </is>
      </c>
      <c r="P8" t="inlineStr">
        <is>
          <t>Jawa Barat</t>
        </is>
      </c>
      <c r="Q8" s="3">
        <f>HYPERLINK("https://wa.me/628123400889?text=Selamat siang Bapak/Ibu pimpinan RIZKI SAFAKHA ABADI,%0A%0ASemoga Bapak/Ibu dalam keadaan baik.%0ABerdasarkan data LPJK, masa berlaku SBU perusahaan Bapak/Ibu akan berakhir sekitar 3 bulan lagi (pada 12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SAYAGA MANDRAGUNA</t>
        </is>
      </c>
      <c r="B9" t="inlineStr">
        <is>
          <t>Kota Depok</t>
        </is>
      </c>
      <c r="C9" t="inlineStr">
        <is>
          <t>081210268572</t>
        </is>
      </c>
      <c r="D9" t="inlineStr">
        <is>
          <t>sayaga.mandraguna@gmail.com</t>
        </is>
      </c>
      <c r="E9" t="inlineStr">
        <is>
          <t>https://lpjk.pu.go.id/search-badan-usaha-detail/ZTZaU0RRUjAvc0k1OHBWaWs3MWRodz09</t>
        </is>
      </c>
      <c r="F9" t="n">
        <v>1</v>
      </c>
      <c r="G9" t="inlineStr">
        <is>
          <t>BS001</t>
        </is>
      </c>
      <c r="H9" t="inlineStr">
        <is>
          <t>24 Mei 2000</t>
        </is>
      </c>
      <c r="I9" s="2" t="n">
        <v>46368</v>
      </c>
      <c r="J9" t="inlineStr">
        <is>
          <t>Pencabutan</t>
        </is>
      </c>
      <c r="K9" t="n">
        <v>87</v>
      </c>
      <c r="L9" t="inlineStr">
        <is>
          <t>12 Desember 2026</t>
        </is>
      </c>
      <c r="M9" t="inlineStr">
        <is>
          <t>Konstruksi Bangunan Sipil Jalan</t>
        </is>
      </c>
      <c r="N9" t="inlineStr">
        <is>
          <t>K</t>
        </is>
      </c>
      <c r="O9" t="inlineStr">
        <is>
          <t>20231207</t>
        </is>
      </c>
      <c r="P9" t="inlineStr">
        <is>
          <t>Jawa Barat</t>
        </is>
      </c>
      <c r="Q9" s="3">
        <f>HYPERLINK("https://wa.me/6281210268572?text=Selamat siang Bapak/Ibu pimpinan SAYAGA MANDRAGUNA,%0A%0ASemoga Bapak/Ibu dalam keadaan baik.%0ABerdasarkan data LPJK, masa berlaku SBU perusahaan Bapak/Ibu akan berakhir sekitar 3 bulan lagi (pada 12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TELADAN</t>
        </is>
      </c>
      <c r="B10" t="inlineStr">
        <is>
          <t>Kota Bogor</t>
        </is>
      </c>
      <c r="C10" t="inlineStr">
        <is>
          <t>081973032959</t>
        </is>
      </c>
      <c r="D10" t="inlineStr">
        <is>
          <t>cvteladan@gmail.com</t>
        </is>
      </c>
      <c r="E10" t="inlineStr">
        <is>
          <t>https://lpjk.pu.go.id/search-badan-usaha-detail/cWFSNjI3NHArSlNjaVNsSlpBYXkyQT09</t>
        </is>
      </c>
      <c r="F10" t="n">
        <v>1</v>
      </c>
      <c r="G10" t="inlineStr">
        <is>
          <t>BS001</t>
        </is>
      </c>
      <c r="H10" t="inlineStr">
        <is>
          <t>18 September 1987</t>
        </is>
      </c>
      <c r="I10" s="2" t="n">
        <v>46368</v>
      </c>
      <c r="J10" t="inlineStr">
        <is>
          <t>Disetujui</t>
        </is>
      </c>
      <c r="K10" t="n">
        <v>87</v>
      </c>
      <c r="L10" t="inlineStr">
        <is>
          <t>12 Desember 2026</t>
        </is>
      </c>
      <c r="M10" t="inlineStr">
        <is>
          <t>Konstruksi Bangunan Sipil Jalan</t>
        </is>
      </c>
      <c r="N10" t="inlineStr">
        <is>
          <t>K</t>
        </is>
      </c>
      <c r="O10" t="inlineStr">
        <is>
          <t>20230807</t>
        </is>
      </c>
      <c r="P10" t="inlineStr">
        <is>
          <t>Jawa Barat</t>
        </is>
      </c>
      <c r="Q10" s="3">
        <f>HYPERLINK("https://wa.me/6281973032959?text=Selamat siang Bapak/Ibu pimpinan TELADAN,%0A%0ASemoga Bapak/Ibu dalam keadaan baik.%0ABerdasarkan data LPJK, masa berlaku SBU perusahaan Bapak/Ibu akan berakhir sekitar 3 bulan lagi (pada 12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AJI KARYA UTAMA</t>
        </is>
      </c>
      <c r="B11" t="inlineStr">
        <is>
          <t>Kota Semarang</t>
        </is>
      </c>
      <c r="C11" t="inlineStr">
        <is>
          <t>081227234422</t>
        </is>
      </c>
      <c r="D11" t="inlineStr">
        <is>
          <t>ajikaryautama.smg@gmail.com</t>
        </is>
      </c>
      <c r="E11" t="inlineStr">
        <is>
          <t>https://lpjk.pu.go.id/search-badan-usaha-detail/MEUyK1pnQUVKNm9jWFhXU2xaVk1pUT09</t>
        </is>
      </c>
      <c r="F11" t="n">
        <v>3</v>
      </c>
      <c r="G11" t="inlineStr">
        <is>
          <t>BG006, BS001, BS004</t>
        </is>
      </c>
      <c r="H11" t="inlineStr">
        <is>
          <t>14 Desember 2020</t>
        </is>
      </c>
      <c r="I11" s="2" t="n">
        <v>46368</v>
      </c>
      <c r="J11" t="inlineStr">
        <is>
          <t>Disetujui</t>
        </is>
      </c>
      <c r="K11" t="n">
        <v>87</v>
      </c>
      <c r="L11" t="inlineStr">
        <is>
          <t>12 Desember 2026</t>
        </is>
      </c>
      <c r="M11" t="inlineStr">
        <is>
          <t>Konstruksi Bangunan Sipil Jalan, Konstruksi Gedung Pendidikan, Konstruksi Jaringan Irigasi dan Drainase</t>
        </is>
      </c>
      <c r="N11" t="inlineStr">
        <is>
          <t>K</t>
        </is>
      </c>
      <c r="O11" t="inlineStr">
        <is>
          <t>20231123, 20231127</t>
        </is>
      </c>
      <c r="P11" t="inlineStr">
        <is>
          <t>Jawa Tengah</t>
        </is>
      </c>
      <c r="Q11" t="inlineStr"/>
    </row>
    <row r="12">
      <c r="A12" t="inlineStr">
        <is>
          <t>ALMA CIPTA SEJAHTERA</t>
        </is>
      </c>
      <c r="B12" t="inlineStr">
        <is>
          <t>Kota Adm. Jakarta Selatan</t>
        </is>
      </c>
      <c r="C12" t="inlineStr">
        <is>
          <t>02183708292</t>
        </is>
      </c>
      <c r="D12" t="inlineStr">
        <is>
          <t>alma_cipta.sejahtera@yahoo.co.id</t>
        </is>
      </c>
      <c r="E12" t="inlineStr">
        <is>
          <t>https://lpjk.pu.go.id/search-badan-usaha-detail/R0JHWlcwc2V0UzhaRWIrM0g0dEhmUT09</t>
        </is>
      </c>
      <c r="F12" t="n">
        <v>1</v>
      </c>
      <c r="G12" t="inlineStr">
        <is>
          <t>IN007</t>
        </is>
      </c>
      <c r="H12" t="inlineStr">
        <is>
          <t>11 Januari 1983</t>
        </is>
      </c>
      <c r="I12" s="2" t="n">
        <v>46368</v>
      </c>
      <c r="J12" t="inlineStr">
        <is>
          <t>Pembekuan</t>
        </is>
      </c>
      <c r="K12" t="n">
        <v>87</v>
      </c>
      <c r="L12" t="inlineStr">
        <is>
          <t>12 Desember 2026</t>
        </is>
      </c>
      <c r="M12" t="inlineStr">
        <is>
          <t>Instalasi Saluran Air (Plambing)</t>
        </is>
      </c>
      <c r="N12" t="inlineStr">
        <is>
          <t>Spesialis</t>
        </is>
      </c>
      <c r="O12" t="inlineStr">
        <is>
          <t>20231213</t>
        </is>
      </c>
      <c r="P12" t="inlineStr">
        <is>
          <t>DKI Jakarta</t>
        </is>
      </c>
      <c r="Q12" t="inlineStr"/>
    </row>
    <row r="13">
      <c r="A13" t="inlineStr">
        <is>
          <t>ANTARA BOLUL CONSULTANT</t>
        </is>
      </c>
      <c r="B13" t="inlineStr">
        <is>
          <t>Kab. Nunukan</t>
        </is>
      </c>
      <c r="C13" t="inlineStr">
        <is>
          <t>082150114409</t>
        </is>
      </c>
      <c r="D13" t="inlineStr">
        <is>
          <t>antarabolulconsultant@gmail.com</t>
        </is>
      </c>
      <c r="E13" t="inlineStr">
        <is>
          <t>https://lpjk.pu.go.id/search-badan-usaha-detail/YlBBY3lqam9sR1lCMDludWFjczdjUjhVTDlFWE54cXp3NllUL2RKZ2o5dz0</t>
        </is>
      </c>
      <c r="F13" t="n">
        <v>4</v>
      </c>
      <c r="G13" t="inlineStr">
        <is>
          <t>RK001, RK003</t>
        </is>
      </c>
      <c r="H13" t="inlineStr">
        <is>
          <t>4 Januari 2023</t>
        </is>
      </c>
      <c r="I13" s="2" t="n">
        <v>46368</v>
      </c>
      <c r="J13" t="inlineStr">
        <is>
          <t>Disetujui</t>
        </is>
      </c>
      <c r="K13" t="n">
        <v>87</v>
      </c>
      <c r="L13" t="inlineStr">
        <is>
          <t>12 Desember 2026</t>
        </is>
      </c>
      <c r="M13" t="inlineStr">
        <is>
          <t>Jasa Rekayasa Konstruksi Bangunan Gedung Hunian dan Non Hunian, Jasa Rekayasa Pekerjaan Teknik Sipil Transportasi</t>
        </is>
      </c>
      <c r="N13" t="inlineStr">
        <is>
          <t>K</t>
        </is>
      </c>
      <c r="O13" t="inlineStr">
        <is>
          <t>20230607, 20231123</t>
        </is>
      </c>
      <c r="P13" t="inlineStr">
        <is>
          <t>Kalimantan Utara</t>
        </is>
      </c>
      <c r="Q13" t="inlineStr"/>
    </row>
    <row r="14">
      <c r="A14" t="inlineStr">
        <is>
          <t>ANUGERAH KAPUR</t>
        </is>
      </c>
      <c r="B14" t="inlineStr">
        <is>
          <t>Kota Payakumbuh</t>
        </is>
      </c>
      <c r="C14" t="inlineStr">
        <is>
          <t>082286824952</t>
        </is>
      </c>
      <c r="D14" t="inlineStr">
        <is>
          <t>cvanugerahkapur@yahoo.com</t>
        </is>
      </c>
      <c r="E14" t="inlineStr">
        <is>
          <t>https://lpjk.pu.go.id/search-badan-usaha-detail/UWMrMnRQMFByUzc3WjBuUktPbUdEZz09</t>
        </is>
      </c>
      <c r="F14" t="n">
        <v>1</v>
      </c>
      <c r="G14" t="inlineStr">
        <is>
          <t>BG009</t>
        </is>
      </c>
      <c r="H14" t="inlineStr">
        <is>
          <t>11 Desember 2014</t>
        </is>
      </c>
      <c r="I14" s="2" t="n">
        <v>46368</v>
      </c>
      <c r="J14" t="inlineStr">
        <is>
          <t>Disetujui</t>
        </is>
      </c>
      <c r="K14" t="n">
        <v>87</v>
      </c>
      <c r="L14" t="inlineStr">
        <is>
          <t>12 Desember 2026</t>
        </is>
      </c>
      <c r="M14" t="inlineStr">
        <is>
          <t>Konstruksi Gedung Lainnya</t>
        </is>
      </c>
      <c r="N14" t="inlineStr">
        <is>
          <t>K</t>
        </is>
      </c>
      <c r="O14" t="inlineStr">
        <is>
          <t>20231213</t>
        </is>
      </c>
      <c r="P14" t="inlineStr">
        <is>
          <t>Sumatera Barat</t>
        </is>
      </c>
      <c r="Q14" t="inlineStr"/>
    </row>
    <row r="15">
      <c r="A15" t="inlineStr">
        <is>
          <t>ANUGRAH TIARA</t>
        </is>
      </c>
      <c r="B15" t="inlineStr">
        <is>
          <t>Kab. Tanjung Jabung Timur</t>
        </is>
      </c>
      <c r="C15" t="inlineStr">
        <is>
          <t>081274107722</t>
        </is>
      </c>
      <c r="D15" t="inlineStr">
        <is>
          <t>kartinajaelani1@gmail.com</t>
        </is>
      </c>
      <c r="E15" t="inlineStr">
        <is>
          <t>https://lpjk.pu.go.id/search-badan-usaha-detail/Nmh0cWNxSzZ2eFVwR3BBWUhaY0E5dz09</t>
        </is>
      </c>
      <c r="F15" t="n">
        <v>2</v>
      </c>
      <c r="G15" t="inlineStr">
        <is>
          <t>BG006</t>
        </is>
      </c>
      <c r="H15" t="inlineStr">
        <is>
          <t>28 November 2017</t>
        </is>
      </c>
      <c r="I15" s="2" t="n">
        <v>46368</v>
      </c>
      <c r="J15" t="inlineStr">
        <is>
          <t>Disetujui</t>
        </is>
      </c>
      <c r="K15" t="n">
        <v>87</v>
      </c>
      <c r="L15" t="inlineStr">
        <is>
          <t>12 Desember 2026</t>
        </is>
      </c>
      <c r="M15" t="inlineStr">
        <is>
          <t>Konstruksi Gedung Pendidikan</t>
        </is>
      </c>
      <c r="N15" t="inlineStr">
        <is>
          <t>K</t>
        </is>
      </c>
      <c r="O15" t="inlineStr">
        <is>
          <t>20230710</t>
        </is>
      </c>
      <c r="P15" t="inlineStr">
        <is>
          <t>Jambi</t>
        </is>
      </c>
      <c r="Q15" t="inlineStr"/>
    </row>
    <row r="16">
      <c r="A16" t="inlineStr">
        <is>
          <t>ARTHA RAYA SEJAHTERA</t>
        </is>
      </c>
      <c r="B16" t="inlineStr">
        <is>
          <t>Kota Adm. Jakarta Pusat</t>
        </is>
      </c>
      <c r="C16" t="inlineStr">
        <is>
          <t>0213922232</t>
        </is>
      </c>
      <c r="D16" t="inlineStr">
        <is>
          <t>artharayasejahtera@gmail.com</t>
        </is>
      </c>
      <c r="E16" t="inlineStr">
        <is>
          <t>https://lpjk.pu.go.id/search-badan-usaha-detail/ZEgvblFNYUdDK095UTI3blhtS2NwZz09</t>
        </is>
      </c>
      <c r="F16" t="n">
        <v>1</v>
      </c>
      <c r="G16" t="inlineStr">
        <is>
          <t>BG002</t>
        </is>
      </c>
      <c r="H16" t="inlineStr">
        <is>
          <t>9 Juni 2022</t>
        </is>
      </c>
      <c r="I16" s="2" t="n">
        <v>46368</v>
      </c>
      <c r="J16" t="inlineStr">
        <is>
          <t>Disetujui</t>
        </is>
      </c>
      <c r="K16" t="n">
        <v>87</v>
      </c>
      <c r="L16" t="inlineStr">
        <is>
          <t>12 Desember 2026</t>
        </is>
      </c>
      <c r="M16" t="inlineStr">
        <is>
          <t>Konstruksi Gedung Perkantoran</t>
        </is>
      </c>
      <c r="N16" t="inlineStr">
        <is>
          <t>K</t>
        </is>
      </c>
      <c r="O16" t="inlineStr">
        <is>
          <t>20231213</t>
        </is>
      </c>
      <c r="P16" t="inlineStr">
        <is>
          <t>DKI Jakarta</t>
        </is>
      </c>
      <c r="Q16" t="inlineStr"/>
    </row>
    <row r="17">
      <c r="A17" t="inlineStr">
        <is>
          <t>AULIYAH SASMITA</t>
        </is>
      </c>
      <c r="B17" t="inlineStr">
        <is>
          <t>Kota Pasuruan</t>
        </is>
      </c>
      <c r="C17" t="inlineStr">
        <is>
          <t>+6282311109687</t>
        </is>
      </c>
      <c r="D17" t="inlineStr">
        <is>
          <t>auliyahsasmita@gmail.com</t>
        </is>
      </c>
      <c r="E17" t="inlineStr">
        <is>
          <t>https://lpjk.pu.go.id/search-badan-usaha-detail/b3B2NUNPbW96ZExKbFBHS29rbWVVUT09</t>
        </is>
      </c>
      <c r="F17" t="n">
        <v>1</v>
      </c>
      <c r="G17" t="inlineStr">
        <is>
          <t>BS001</t>
        </is>
      </c>
      <c r="H17" t="inlineStr">
        <is>
          <t>12 April 2022</t>
        </is>
      </c>
      <c r="I17" s="2" t="n">
        <v>46368</v>
      </c>
      <c r="J17" t="inlineStr">
        <is>
          <t>Pencabutan</t>
        </is>
      </c>
      <c r="K17" t="n">
        <v>87</v>
      </c>
      <c r="L17" t="inlineStr">
        <is>
          <t>12 Desember 2026</t>
        </is>
      </c>
      <c r="M17" t="inlineStr">
        <is>
          <t>Konstruksi Bangunan Sipil Jalan</t>
        </is>
      </c>
      <c r="N17" t="inlineStr">
        <is>
          <t>K</t>
        </is>
      </c>
      <c r="O17" t="inlineStr">
        <is>
          <t>20231212</t>
        </is>
      </c>
      <c r="P17" t="inlineStr">
        <is>
          <t>Jawa Timur</t>
        </is>
      </c>
      <c r="Q17" t="inlineStr"/>
    </row>
    <row r="18">
      <c r="A18" t="inlineStr">
        <is>
          <t>AZKA BERKAH BAROKAH</t>
        </is>
      </c>
      <c r="B18" t="inlineStr">
        <is>
          <t>Kab. Banyuwangi</t>
        </is>
      </c>
      <c r="C18" t="inlineStr">
        <is>
          <t>082331500995</t>
        </is>
      </c>
      <c r="D18" t="inlineStr">
        <is>
          <t>azkaberkahbarokah@gmail.com</t>
        </is>
      </c>
      <c r="E18" t="inlineStr">
        <is>
          <t>https://lpjk.pu.go.id/search-badan-usaha-detail/YVMrOXVLendQUHJRNEViQmtmYy9QUT09</t>
        </is>
      </c>
      <c r="F18" t="n">
        <v>4</v>
      </c>
      <c r="G18" t="inlineStr">
        <is>
          <t>BG006, BG009, BS001, BS004</t>
        </is>
      </c>
      <c r="H18" t="inlineStr">
        <is>
          <t>14 Juni 2022</t>
        </is>
      </c>
      <c r="I18" s="2" t="n">
        <v>46368</v>
      </c>
      <c r="J18" t="inlineStr">
        <is>
          <t>Disetujui</t>
        </is>
      </c>
      <c r="K18" t="n">
        <v>87</v>
      </c>
      <c r="L18" t="inlineStr">
        <is>
          <t>12 Desember 2026</t>
        </is>
      </c>
      <c r="M18" t="inlineStr">
        <is>
          <t>Konstruksi Bangunan Sipil Jalan, Konstruksi Gedung Lainnya, Konstruksi Gedung Pendidikan, Konstruksi Jaringan Irigasi dan Drainase</t>
        </is>
      </c>
      <c r="N18" t="inlineStr">
        <is>
          <t>K</t>
        </is>
      </c>
      <c r="O18" t="inlineStr">
        <is>
          <t>20231213</t>
        </is>
      </c>
      <c r="P18" t="inlineStr">
        <is>
          <t>Jawa Timur</t>
        </is>
      </c>
      <c r="Q18" t="inlineStr"/>
    </row>
    <row r="19">
      <c r="A19" t="inlineStr">
        <is>
          <t>BANGUN MULTI BERKAT</t>
        </is>
      </c>
      <c r="B19" t="inlineStr">
        <is>
          <t>Kota Medan</t>
        </is>
      </c>
      <c r="C19" t="inlineStr">
        <is>
          <t>08116555589</t>
        </is>
      </c>
      <c r="D19" t="inlineStr">
        <is>
          <t>bmberkat2018@gmail.com</t>
        </is>
      </c>
      <c r="E19" t="inlineStr">
        <is>
          <t>https://lpjk.pu.go.id/search-badan-usaha-detail/RGlGNHBnaERvRC82bE5zTHhHRDdHUT09</t>
        </is>
      </c>
      <c r="F19" t="n">
        <v>1</v>
      </c>
      <c r="G19" t="inlineStr">
        <is>
          <t>BG001</t>
        </is>
      </c>
      <c r="H19" t="inlineStr">
        <is>
          <t>20 November 2017</t>
        </is>
      </c>
      <c r="I19" s="2" t="n">
        <v>46368</v>
      </c>
      <c r="J19" t="inlineStr">
        <is>
          <t>Disetujui</t>
        </is>
      </c>
      <c r="K19" t="n">
        <v>87</v>
      </c>
      <c r="L19" t="inlineStr">
        <is>
          <t>12 Desember 2026</t>
        </is>
      </c>
      <c r="M19" t="inlineStr">
        <is>
          <t>Konstruksi Gedung Hunian</t>
        </is>
      </c>
      <c r="N19" t="inlineStr">
        <is>
          <t>K</t>
        </is>
      </c>
      <c r="O19" t="inlineStr">
        <is>
          <t>20231212</t>
        </is>
      </c>
      <c r="P19" t="inlineStr">
        <is>
          <t>Sumatera Utara</t>
        </is>
      </c>
      <c r="Q19" t="inlineStr"/>
    </row>
    <row r="20">
      <c r="A20" t="inlineStr">
        <is>
          <t>BANUA ABADI JAYA</t>
        </is>
      </c>
      <c r="B20" t="inlineStr">
        <is>
          <t>Kab. Tanah Bumbu</t>
        </is>
      </c>
      <c r="C20" t="inlineStr">
        <is>
          <t>085278304004</t>
        </is>
      </c>
      <c r="D20" t="inlineStr">
        <is>
          <t>banuaabadijaya@gmail.com</t>
        </is>
      </c>
      <c r="E20" t="inlineStr">
        <is>
          <t>https://lpjk.pu.go.id/search-badan-usaha-detail/MHY2RUFYRkZIVithMGUrQXBUUFc1UT09</t>
        </is>
      </c>
      <c r="F20" t="n">
        <v>1</v>
      </c>
      <c r="G20" t="inlineStr">
        <is>
          <t>BS001</t>
        </is>
      </c>
      <c r="H20" t="inlineStr">
        <is>
          <t>31 Januari 2022</t>
        </is>
      </c>
      <c r="I20" s="2" t="n">
        <v>46368</v>
      </c>
      <c r="J20" t="inlineStr">
        <is>
          <t>Disetujui</t>
        </is>
      </c>
      <c r="K20" t="n">
        <v>87</v>
      </c>
      <c r="L20" t="inlineStr">
        <is>
          <t>12 Desember 2026</t>
        </is>
      </c>
      <c r="M20" t="inlineStr">
        <is>
          <t>Konstruksi Bangunan Sipil Jalan</t>
        </is>
      </c>
      <c r="N20" t="inlineStr">
        <is>
          <t>K</t>
        </is>
      </c>
      <c r="O20" t="inlineStr">
        <is>
          <t>20231123</t>
        </is>
      </c>
      <c r="P20" t="inlineStr">
        <is>
          <t>Kalimantan Selatan</t>
        </is>
      </c>
      <c r="Q20" t="inlineStr"/>
    </row>
    <row r="21">
      <c r="A21" t="inlineStr">
        <is>
          <t>BIMA SATRIA PERKASA</t>
        </is>
      </c>
      <c r="B21" t="inlineStr">
        <is>
          <t>Kab. Kubu Raya</t>
        </is>
      </c>
      <c r="C21" t="inlineStr">
        <is>
          <t>081256200124</t>
        </is>
      </c>
      <c r="D21" t="inlineStr">
        <is>
          <t>bimasatriaperkasa41@gmail.com</t>
        </is>
      </c>
      <c r="E21" t="inlineStr">
        <is>
          <t>https://lpjk.pu.go.id/search-badan-usaha-detail/dmlxbGVFZkVPVzNOOE9WdE1LWTdmdz09</t>
        </is>
      </c>
      <c r="F21" t="n">
        <v>1</v>
      </c>
      <c r="G21" t="inlineStr">
        <is>
          <t>BS004</t>
        </is>
      </c>
      <c r="H21" t="inlineStr">
        <is>
          <t>16 Desember 2019</t>
        </is>
      </c>
      <c r="I21" s="2" t="n">
        <v>46368</v>
      </c>
      <c r="J21" t="inlineStr">
        <is>
          <t>Disetujui</t>
        </is>
      </c>
      <c r="K21" t="n">
        <v>87</v>
      </c>
      <c r="L21" t="inlineStr">
        <is>
          <t>12 Desember 2026</t>
        </is>
      </c>
      <c r="M21" t="inlineStr">
        <is>
          <t>Konstruksi Jaringan Irigasi dan Drainase</t>
        </is>
      </c>
      <c r="N21" t="inlineStr">
        <is>
          <t>K</t>
        </is>
      </c>
      <c r="O21" t="inlineStr">
        <is>
          <t>20231213</t>
        </is>
      </c>
      <c r="P21" t="inlineStr">
        <is>
          <t>Kalimantan Barat</t>
        </is>
      </c>
      <c r="Q21" t="inlineStr"/>
    </row>
    <row r="22">
      <c r="A22" t="inlineStr">
        <is>
          <t>BINTANG NUSANTARA</t>
        </is>
      </c>
      <c r="B22" t="inlineStr">
        <is>
          <t>Kab. Lombok Timur</t>
        </is>
      </c>
      <c r="C22" t="inlineStr">
        <is>
          <t>087799042003</t>
        </is>
      </c>
      <c r="D22" t="inlineStr">
        <is>
          <t>bnusantara.lombok@gmail.com</t>
        </is>
      </c>
      <c r="E22" t="inlineStr">
        <is>
          <t>https://lpjk.pu.go.id/search-badan-usaha-detail/elVhbVI3QW1kSS9mdEo0Z25lV2k2dz09</t>
        </is>
      </c>
      <c r="F22" t="n">
        <v>2</v>
      </c>
      <c r="G22" t="inlineStr">
        <is>
          <t>BS004</t>
        </is>
      </c>
      <c r="H22" t="inlineStr">
        <is>
          <t>29 Januari 2014</t>
        </is>
      </c>
      <c r="I22" s="2" t="n">
        <v>46368</v>
      </c>
      <c r="J22" t="inlineStr">
        <is>
          <t>Disetujui</t>
        </is>
      </c>
      <c r="K22" t="n">
        <v>87</v>
      </c>
      <c r="L22" t="inlineStr">
        <is>
          <t>12 Desember 2026</t>
        </is>
      </c>
      <c r="M22" t="inlineStr">
        <is>
          <t>Konstruksi Jaringan Irigasi dan Drainase</t>
        </is>
      </c>
      <c r="N22" t="inlineStr">
        <is>
          <t>K</t>
        </is>
      </c>
      <c r="O22" t="inlineStr">
        <is>
          <t>20231213</t>
        </is>
      </c>
      <c r="P22" t="inlineStr">
        <is>
          <t>Nusa Tenggara Barat</t>
        </is>
      </c>
      <c r="Q22" t="inlineStr"/>
    </row>
    <row r="23">
      <c r="A23" t="inlineStr">
        <is>
          <t>BINTANG SURYA AGUNG</t>
        </is>
      </c>
      <c r="B23" t="inlineStr">
        <is>
          <t>Kota Banda Aceh</t>
        </is>
      </c>
      <c r="C23" t="inlineStr">
        <is>
          <t>081360257866</t>
        </is>
      </c>
      <c r="D23" t="inlineStr">
        <is>
          <t>bintangsuryaagung99@gmail.com</t>
        </is>
      </c>
      <c r="E23" t="inlineStr">
        <is>
          <t>https://lpjk.pu.go.id/search-badan-usaha-detail/T3RrZkluUlBuYlpZWFM5WFpKNkc0TmlFUTFsckR4MFhtWEp6Q2dVM1dYYz0</t>
        </is>
      </c>
      <c r="F23" t="n">
        <v>2</v>
      </c>
      <c r="G23" t="inlineStr">
        <is>
          <t>RK002</t>
        </is>
      </c>
      <c r="H23" t="inlineStr">
        <is>
          <t>24 September 2019</t>
        </is>
      </c>
      <c r="I23" s="2" t="n">
        <v>46368</v>
      </c>
      <c r="J23" t="inlineStr">
        <is>
          <t>Konfirmasi Pembayaran, Verifikasi Pembayaran</t>
        </is>
      </c>
      <c r="K23" t="n">
        <v>87</v>
      </c>
      <c r="L23" t="inlineStr">
        <is>
          <t>12 Desember 2026</t>
        </is>
      </c>
      <c r="M23" t="inlineStr">
        <is>
          <t>Jasa Rekayasa Pekerjaan Teknik Sipil Sumber Daya Air</t>
        </is>
      </c>
      <c r="N23" t="inlineStr">
        <is>
          <t>K</t>
        </is>
      </c>
      <c r="O23" t="inlineStr">
        <is>
          <t>20231129</t>
        </is>
      </c>
      <c r="P23" t="inlineStr">
        <is>
          <t>Aceh</t>
        </is>
      </c>
      <c r="Q23" t="inlineStr"/>
    </row>
    <row r="24">
      <c r="A24" t="inlineStr">
        <is>
          <t>CENTRAL PARK SRIMERSING</t>
        </is>
      </c>
      <c r="B24" t="inlineStr">
        <is>
          <t>Kota Dumai</t>
        </is>
      </c>
      <c r="C24" t="inlineStr">
        <is>
          <t>085225419446</t>
        </is>
      </c>
      <c r="D24" t="inlineStr">
        <is>
          <t>centerparksrimersing@gmail.com</t>
        </is>
      </c>
      <c r="E24" t="inlineStr">
        <is>
          <t>https://lpjk.pu.go.id/search-badan-usaha-detail/WUVOS002U21XY3ZXTXZSVlA5aWtRUT09</t>
        </is>
      </c>
      <c r="F24" t="n">
        <v>2</v>
      </c>
      <c r="G24" t="inlineStr">
        <is>
          <t>BS001</t>
        </is>
      </c>
      <c r="H24" t="inlineStr">
        <is>
          <t>20 Januari 2023</t>
        </is>
      </c>
      <c r="I24" s="2" t="n">
        <v>46368</v>
      </c>
      <c r="J24" t="inlineStr">
        <is>
          <t>Disetujui</t>
        </is>
      </c>
      <c r="K24" t="n">
        <v>87</v>
      </c>
      <c r="L24" t="inlineStr">
        <is>
          <t>12 Desember 2026</t>
        </is>
      </c>
      <c r="M24" t="inlineStr">
        <is>
          <t>Konstruksi Bangunan Sipil Jalan</t>
        </is>
      </c>
      <c r="N24" t="inlineStr">
        <is>
          <t>K</t>
        </is>
      </c>
      <c r="O24" t="inlineStr">
        <is>
          <t>20231213</t>
        </is>
      </c>
      <c r="P24" t="inlineStr">
        <is>
          <t>Riau</t>
        </is>
      </c>
      <c r="Q24" t="inlineStr"/>
    </row>
    <row r="25">
      <c r="A25" t="inlineStr">
        <is>
          <t>CIPTA DJAYA SURYA</t>
        </is>
      </c>
      <c r="B25" t="inlineStr">
        <is>
          <t>Kota Makassar</t>
        </is>
      </c>
      <c r="C25" t="inlineStr">
        <is>
          <t>081340907999</t>
        </is>
      </c>
      <c r="D25" t="inlineStr">
        <is>
          <t>ciptadjaya_adm@yahoo.com</t>
        </is>
      </c>
      <c r="E25" t="inlineStr">
        <is>
          <t>https://lpjk.pu.go.id/search-badan-usaha-detail/K1pvQm12RCtsLzdZdHVrNjcwZnMvQT09</t>
        </is>
      </c>
      <c r="F25" t="n">
        <v>2</v>
      </c>
      <c r="G25" t="inlineStr">
        <is>
          <t>BS010</t>
        </is>
      </c>
      <c r="H25" t="inlineStr">
        <is>
          <t>12 Maret 2004</t>
        </is>
      </c>
      <c r="I25" s="2" t="n">
        <v>46368</v>
      </c>
      <c r="J25" t="inlineStr">
        <is>
          <t>Disetujui</t>
        </is>
      </c>
      <c r="K25" t="n">
        <v>87</v>
      </c>
      <c r="L25" t="inlineStr">
        <is>
          <t>12 Desember 2026</t>
        </is>
      </c>
      <c r="M25" t="inlineStr">
        <is>
          <t>Konstruksi Bangunan Prasarana Sumber Daya Air</t>
        </is>
      </c>
      <c r="N25" t="inlineStr">
        <is>
          <t>M</t>
        </is>
      </c>
      <c r="O25" t="inlineStr">
        <is>
          <t>20230602</t>
        </is>
      </c>
      <c r="P25" t="inlineStr">
        <is>
          <t>Sulawesi Selatan</t>
        </is>
      </c>
      <c r="Q25" t="inlineStr"/>
    </row>
    <row r="26">
      <c r="A26" t="inlineStr">
        <is>
          <t>CITRA DIMENSI</t>
        </is>
      </c>
      <c r="B26" t="inlineStr">
        <is>
          <t>Kota Mataram</t>
        </is>
      </c>
      <c r="C26" t="inlineStr">
        <is>
          <t>081917381343</t>
        </is>
      </c>
      <c r="D26" t="inlineStr">
        <is>
          <t>dimensicitra@yahoo.com</t>
        </is>
      </c>
      <c r="E26" t="inlineStr">
        <is>
          <t>https://lpjk.pu.go.id/search-badan-usaha-detail/TUpqdlk3a2xLdkg5NTB2QmUwU0RnUT09</t>
        </is>
      </c>
      <c r="F26" t="n">
        <v>2</v>
      </c>
      <c r="G26" t="inlineStr">
        <is>
          <t>RK001, RK003</t>
        </is>
      </c>
      <c r="H26" t="inlineStr">
        <is>
          <t>3 Oktober 2005</t>
        </is>
      </c>
      <c r="I26" s="2" t="n">
        <v>46368</v>
      </c>
      <c r="J26" t="inlineStr">
        <is>
          <t>Disetujui</t>
        </is>
      </c>
      <c r="K26" t="n">
        <v>87</v>
      </c>
      <c r="L26" t="inlineStr">
        <is>
          <t>12 Desember 2026</t>
        </is>
      </c>
      <c r="M26" t="inlineStr">
        <is>
          <t>Jasa Rekayasa Konstruksi Bangunan Gedung Hunian dan Non Hunian, Jasa Rekayasa Pekerjaan Teknik Sipil Transportasi</t>
        </is>
      </c>
      <c r="N26" t="inlineStr">
        <is>
          <t>K</t>
        </is>
      </c>
      <c r="O26" t="inlineStr">
        <is>
          <t>20231121, 20231205</t>
        </is>
      </c>
      <c r="P26" t="inlineStr">
        <is>
          <t>Nusa Tenggara Barat</t>
        </is>
      </c>
      <c r="Q26" t="inlineStr"/>
    </row>
    <row r="27">
      <c r="A27" t="inlineStr">
        <is>
          <t>CITRA PRESISI SEJATI</t>
        </is>
      </c>
      <c r="B27" t="inlineStr">
        <is>
          <t>Kota Pontianak</t>
        </is>
      </c>
      <c r="C27" t="inlineStr">
        <is>
          <t>0811561599</t>
        </is>
      </c>
      <c r="D27" t="inlineStr">
        <is>
          <t>admin@citrapresisisejati.co.id</t>
        </is>
      </c>
      <c r="E27" t="inlineStr">
        <is>
          <t>https://lpjk.pu.go.id/search-badan-usaha-detail/MG9XTjAxOXZxNXVMZEl0cXkyOGxydz09</t>
        </is>
      </c>
      <c r="F27" t="n">
        <v>1</v>
      </c>
      <c r="G27" t="inlineStr">
        <is>
          <t>BG001</t>
        </is>
      </c>
      <c r="H27" t="inlineStr">
        <is>
          <t>10 Januari 2010</t>
        </is>
      </c>
      <c r="I27" s="2" t="n">
        <v>46368</v>
      </c>
      <c r="J27" t="inlineStr">
        <is>
          <t>Pencabutan</t>
        </is>
      </c>
      <c r="K27" t="n">
        <v>87</v>
      </c>
      <c r="L27" t="inlineStr">
        <is>
          <t>12 Desember 2026</t>
        </is>
      </c>
      <c r="M27" t="inlineStr">
        <is>
          <t>Konstruksi Gedung Hunian</t>
        </is>
      </c>
      <c r="N27" t="inlineStr">
        <is>
          <t>M</t>
        </is>
      </c>
      <c r="O27" t="inlineStr">
        <is>
          <t>20231208</t>
        </is>
      </c>
      <c r="P27" t="inlineStr">
        <is>
          <t>Kalimantan Barat</t>
        </is>
      </c>
      <c r="Q27" t="inlineStr"/>
    </row>
    <row r="28">
      <c r="A28" t="inlineStr">
        <is>
          <t>CITRAPESONA HIJAU</t>
        </is>
      </c>
      <c r="B28" t="inlineStr">
        <is>
          <t>Kota Adm. Jakarta Barat</t>
        </is>
      </c>
      <c r="C28" t="inlineStr">
        <is>
          <t>0215348763</t>
        </is>
      </c>
      <c r="D28" t="inlineStr">
        <is>
          <t>cph_lansekap@yahoo.com</t>
        </is>
      </c>
      <c r="E28" t="inlineStr">
        <is>
          <t>https://lpjk.pu.go.id/search-badan-usaha-detail/a2I5MlcvNmdtT25ZRHNhQlp2MEM3UT09</t>
        </is>
      </c>
      <c r="F28" t="n">
        <v>1</v>
      </c>
      <c r="G28" t="inlineStr">
        <is>
          <t>AL004</t>
        </is>
      </c>
      <c r="H28" t="inlineStr">
        <is>
          <t>9 Mei 1992</t>
        </is>
      </c>
      <c r="I28" s="2" t="n">
        <v>46368</v>
      </c>
      <c r="J28" t="inlineStr">
        <is>
          <t>Disetujui</t>
        </is>
      </c>
      <c r="K28" t="n">
        <v>87</v>
      </c>
      <c r="L28" t="inlineStr">
        <is>
          <t>12 Desember 2026</t>
        </is>
      </c>
      <c r="M28" t="inlineStr">
        <is>
          <t>Jasa Pengembangan Lingkungan Bangunan dan Lanskap</t>
        </is>
      </c>
      <c r="N28" t="inlineStr">
        <is>
          <t>K</t>
        </is>
      </c>
      <c r="O28" t="inlineStr">
        <is>
          <t>20231128</t>
        </is>
      </c>
      <c r="P28" t="inlineStr">
        <is>
          <t>DKI Jakarta</t>
        </is>
      </c>
      <c r="Q28" t="inlineStr"/>
    </row>
    <row r="29">
      <c r="A29" t="inlineStr">
        <is>
          <t>DEMATA AIRINDO</t>
        </is>
      </c>
      <c r="B29" t="inlineStr">
        <is>
          <t>Kota Bandung</t>
        </is>
      </c>
      <c r="C29" t="inlineStr">
        <is>
          <t>087798513</t>
        </is>
      </c>
      <c r="D29" t="inlineStr">
        <is>
          <t>dematairindo@gmail.com</t>
        </is>
      </c>
      <c r="E29" t="inlineStr">
        <is>
          <t>https://lpjk.pu.go.id/search-badan-usaha-detail/V3hoZlBtcHM5Z3hOaXIxb2gvdGVLZz09</t>
        </is>
      </c>
      <c r="F29" t="n">
        <v>2</v>
      </c>
      <c r="G29" t="inlineStr">
        <is>
          <t>BG009</t>
        </is>
      </c>
      <c r="H29" t="inlineStr">
        <is>
          <t>10 Agustus 2007</t>
        </is>
      </c>
      <c r="I29" s="2" t="n">
        <v>46368</v>
      </c>
      <c r="J29" t="inlineStr">
        <is>
          <t>Disetujui</t>
        </is>
      </c>
      <c r="K29" t="n">
        <v>87</v>
      </c>
      <c r="L29" t="inlineStr">
        <is>
          <t>12 Desember 2026</t>
        </is>
      </c>
      <c r="M29" t="inlineStr">
        <is>
          <t>Konstruksi Gedung Lainnya</t>
        </is>
      </c>
      <c r="N29" t="inlineStr">
        <is>
          <t>K</t>
        </is>
      </c>
      <c r="O29" t="inlineStr">
        <is>
          <t>20231129</t>
        </is>
      </c>
      <c r="P29" t="inlineStr">
        <is>
          <t>Jawa Barat</t>
        </is>
      </c>
      <c r="Q29" t="inlineStr"/>
    </row>
    <row r="30">
      <c r="A30" t="inlineStr">
        <is>
          <t>DUTA AGUNG PERSADA</t>
        </is>
      </c>
      <c r="B30" t="inlineStr">
        <is>
          <t>Kota Bandar Lampung</t>
        </is>
      </c>
      <c r="C30" t="inlineStr">
        <is>
          <t>081389081399</t>
        </is>
      </c>
      <c r="D30" t="inlineStr">
        <is>
          <t>dutaagungpersada@gmail.com</t>
        </is>
      </c>
      <c r="E30" t="inlineStr">
        <is>
          <t>https://lpjk.pu.go.id/search-badan-usaha-detail/WnhkT1dHZEIvUUdFYjRhTkVISjI3dz09</t>
        </is>
      </c>
      <c r="F30" t="n">
        <v>2</v>
      </c>
      <c r="G30" t="inlineStr">
        <is>
          <t>BS001, BS002</t>
        </is>
      </c>
      <c r="H30" t="inlineStr">
        <is>
          <t>30 Maret 1999</t>
        </is>
      </c>
      <c r="I30" s="2" t="n">
        <v>46368</v>
      </c>
      <c r="J30" t="inlineStr">
        <is>
          <t>Disetujui</t>
        </is>
      </c>
      <c r="K30" t="n">
        <v>87</v>
      </c>
      <c r="L30" t="inlineStr">
        <is>
          <t>12 Desember 2026</t>
        </is>
      </c>
      <c r="M30" t="inlineStr">
        <is>
          <t>Bangunan Sipil Jembatan, Jalan Layang, Fly Over, dan Underpass, Konstruksi Bangunan Sipil Jalan</t>
        </is>
      </c>
      <c r="N30" t="inlineStr">
        <is>
          <t>K</t>
        </is>
      </c>
      <c r="O30" t="inlineStr">
        <is>
          <t>20231207, 20231212</t>
        </is>
      </c>
      <c r="P30" t="inlineStr">
        <is>
          <t>Lampung</t>
        </is>
      </c>
      <c r="Q30" t="inlineStr"/>
    </row>
    <row r="31">
      <c r="A31" t="inlineStr">
        <is>
          <t>DUTA LAKSANA MANDIRI</t>
        </is>
      </c>
      <c r="B31" t="inlineStr">
        <is>
          <t>Kab. Banyuwangi</t>
        </is>
      </c>
      <c r="C31" t="inlineStr">
        <is>
          <t>082140261074</t>
        </is>
      </c>
      <c r="D31" t="inlineStr">
        <is>
          <t>dutalaksanamandiri.2020@gmail.com</t>
        </is>
      </c>
      <c r="E31" t="inlineStr">
        <is>
          <t>https://lpjk.pu.go.id/search-badan-usaha-detail/WHgzREtNaGhqQXlPVlpyam5kWXl4UT09</t>
        </is>
      </c>
      <c r="F31" t="n">
        <v>3</v>
      </c>
      <c r="G31" t="inlineStr">
        <is>
          <t>BG002, BG005, BG006</t>
        </is>
      </c>
      <c r="H31" t="inlineStr">
        <is>
          <t>11 Maret 2020</t>
        </is>
      </c>
      <c r="I31" s="2" t="n">
        <v>46368</v>
      </c>
      <c r="J31" t="inlineStr">
        <is>
          <t>Disetujui</t>
        </is>
      </c>
      <c r="K31" t="n">
        <v>87</v>
      </c>
      <c r="L31" t="inlineStr">
        <is>
          <t>12 Desember 2026</t>
        </is>
      </c>
      <c r="M31" t="inlineStr">
        <is>
          <t>Konstruksi Gedung Kesehatan, Konstruksi Gedung Pendidikan, Konstruksi Gedung Perkantoran</t>
        </is>
      </c>
      <c r="N31" t="inlineStr">
        <is>
          <t>K</t>
        </is>
      </c>
      <c r="O31" t="inlineStr">
        <is>
          <t>20231209, 20231211</t>
        </is>
      </c>
      <c r="P31" t="inlineStr">
        <is>
          <t>Jawa Timur</t>
        </is>
      </c>
      <c r="Q31" t="inlineStr"/>
    </row>
    <row r="32">
      <c r="A32" t="inlineStr">
        <is>
          <t>DWITAMA JAYA ABADI</t>
        </is>
      </c>
      <c r="B32" t="inlineStr">
        <is>
          <t>Kota Adm. Jakarta Selatan</t>
        </is>
      </c>
      <c r="C32" t="inlineStr">
        <is>
          <t>02172797642</t>
        </is>
      </c>
      <c r="D32" t="inlineStr">
        <is>
          <t>dwitamadja@yahoo.co.id</t>
        </is>
      </c>
      <c r="E32" t="inlineStr">
        <is>
          <t>https://lpjk.pu.go.id/search-badan-usaha-detail/S0pGbEtqYkw0bUx0NXB5bytSQ2ZpQT09</t>
        </is>
      </c>
      <c r="F32" t="n">
        <v>4</v>
      </c>
      <c r="G32" t="inlineStr">
        <is>
          <t>BG005, BG009</t>
        </is>
      </c>
      <c r="H32" t="inlineStr">
        <is>
          <t>12 Maret 2002</t>
        </is>
      </c>
      <c r="I32" s="2" t="n">
        <v>46368</v>
      </c>
      <c r="J32" t="inlineStr">
        <is>
          <t>Disetujui</t>
        </is>
      </c>
      <c r="K32" t="n">
        <v>87</v>
      </c>
      <c r="L32" t="inlineStr">
        <is>
          <t>12 Desember 2026</t>
        </is>
      </c>
      <c r="M32" t="inlineStr">
        <is>
          <t>Konstruksi Gedung Kesehatan, Konstruksi Gedung Lainnya</t>
        </is>
      </c>
      <c r="N32" t="inlineStr">
        <is>
          <t>K</t>
        </is>
      </c>
      <c r="O32" t="inlineStr">
        <is>
          <t>20231212, 20231213</t>
        </is>
      </c>
      <c r="P32" t="inlineStr">
        <is>
          <t>DKI Jakarta</t>
        </is>
      </c>
      <c r="Q32" t="inlineStr"/>
    </row>
    <row r="33">
      <c r="A33" t="inlineStr">
        <is>
          <t>ELANG PAPUA TIMUR</t>
        </is>
      </c>
      <c r="B33" t="inlineStr">
        <is>
          <t>-</t>
        </is>
      </c>
      <c r="C33" t="inlineStr">
        <is>
          <t>082399261970</t>
        </is>
      </c>
      <c r="D33" t="inlineStr">
        <is>
          <t>cvelangpapuatimur@gmail.com</t>
        </is>
      </c>
      <c r="E33" t="inlineStr">
        <is>
          <t>https://lpjk.pu.go.id/search-badan-usaha-detail/blZoUzJjM1FJRnVBYkJCZUFVdUJHUT09</t>
        </is>
      </c>
      <c r="F33" t="n">
        <v>2</v>
      </c>
      <c r="G33" t="inlineStr">
        <is>
          <t>BS005</t>
        </is>
      </c>
      <c r="H33" t="inlineStr">
        <is>
          <t>27 September 2023</t>
        </is>
      </c>
      <c r="I33" s="2" t="n">
        <v>46368</v>
      </c>
      <c r="J33" t="inlineStr">
        <is>
          <t>Disetujui</t>
        </is>
      </c>
      <c r="K33" t="n">
        <v>87</v>
      </c>
      <c r="L33" t="inlineStr">
        <is>
          <t>12 Desember 2026</t>
        </is>
      </c>
      <c r="M33" t="inlineStr">
        <is>
          <t>Konstruksi Bangunan Sipil Pengolahan Air Bersih</t>
        </is>
      </c>
      <c r="N33" t="inlineStr">
        <is>
          <t>K</t>
        </is>
      </c>
      <c r="O33" t="inlineStr">
        <is>
          <t>20231120</t>
        </is>
      </c>
      <c r="P33" t="inlineStr">
        <is>
          <t>Papua Tengah</t>
        </is>
      </c>
      <c r="Q33" t="inlineStr"/>
    </row>
    <row r="34">
      <c r="A34" t="inlineStr">
        <is>
          <t>ENAM PERDANA</t>
        </is>
      </c>
      <c r="B34" t="inlineStr">
        <is>
          <t>Kab. Pahuwato</t>
        </is>
      </c>
      <c r="C34" t="inlineStr">
        <is>
          <t>081262751032</t>
        </is>
      </c>
      <c r="D34" t="inlineStr">
        <is>
          <t>enamperdana10@gmail.com</t>
        </is>
      </c>
      <c r="E34" t="inlineStr">
        <is>
          <t>https://lpjk.pu.go.id/search-badan-usaha-detail/Y2MwejluanMveEZjNmxLQzRGbm1kdz09</t>
        </is>
      </c>
      <c r="F34" t="n">
        <v>4</v>
      </c>
      <c r="G34" t="inlineStr">
        <is>
          <t>RK001, RK002, RK003, RK005</t>
        </is>
      </c>
      <c r="H34" t="inlineStr">
        <is>
          <t>31 Juli 1993</t>
        </is>
      </c>
      <c r="I34" s="2" t="n">
        <v>46368</v>
      </c>
      <c r="J34" t="inlineStr">
        <is>
          <t>Disetujui</t>
        </is>
      </c>
      <c r="K34" t="n">
        <v>87</v>
      </c>
      <c r="L34" t="inlineStr">
        <is>
          <t>12 Desember 2026</t>
        </is>
      </c>
      <c r="M34" t="inlineStr">
        <is>
          <t>Jasa Rekayasa Konstruksi Bangunan Gedung Hunian dan Non Hunian, Jasa Rekayasa Lainnya, Jasa Rekayasa Pekerjaan Teknik Sipil Sumber Daya Air, Jasa Rekayasa Pekerjaan Teknik Sipil Transportasi</t>
        </is>
      </c>
      <c r="N34" t="inlineStr">
        <is>
          <t>K</t>
        </is>
      </c>
      <c r="O34" t="inlineStr">
        <is>
          <t>20231122</t>
        </is>
      </c>
      <c r="P34" t="inlineStr">
        <is>
          <t>Gorontalo</t>
        </is>
      </c>
      <c r="Q34" t="inlineStr"/>
    </row>
    <row r="35">
      <c r="A35" t="inlineStr">
        <is>
          <t>FORTUNA</t>
        </is>
      </c>
      <c r="B35" t="inlineStr">
        <is>
          <t>Kab. Situbondo</t>
        </is>
      </c>
      <c r="C35" t="inlineStr">
        <is>
          <t>085236510530</t>
        </is>
      </c>
      <c r="D35" t="inlineStr">
        <is>
          <t>fortuna.besuki@gmail.com</t>
        </is>
      </c>
      <c r="E35" t="inlineStr">
        <is>
          <t>https://lpjk.pu.go.id/search-badan-usaha-detail/dytLRi8wcFFFbXNJMnN0V0pueDgvUT09</t>
        </is>
      </c>
      <c r="F35" t="n">
        <v>1</v>
      </c>
      <c r="G35" t="inlineStr">
        <is>
          <t>BG009</t>
        </is>
      </c>
      <c r="H35" t="inlineStr">
        <is>
          <t>14 Januari 2015</t>
        </is>
      </c>
      <c r="I35" s="2" t="n">
        <v>46368</v>
      </c>
      <c r="J35" t="inlineStr">
        <is>
          <t>Disetujui</t>
        </is>
      </c>
      <c r="K35" t="n">
        <v>87</v>
      </c>
      <c r="L35" t="inlineStr">
        <is>
          <t>12 Desember 2026</t>
        </is>
      </c>
      <c r="M35" t="inlineStr">
        <is>
          <t>Konstruksi Gedung Lainnya</t>
        </is>
      </c>
      <c r="N35" t="inlineStr">
        <is>
          <t>K</t>
        </is>
      </c>
      <c r="O35" t="inlineStr">
        <is>
          <t>20230712</t>
        </is>
      </c>
      <c r="P35" t="inlineStr">
        <is>
          <t>Jawa Timur</t>
        </is>
      </c>
      <c r="Q35" t="inlineStr"/>
    </row>
    <row r="36">
      <c r="A36" t="inlineStr">
        <is>
          <t>GARDA DESAIN</t>
        </is>
      </c>
      <c r="B36" t="inlineStr">
        <is>
          <t>Kota Ternate</t>
        </is>
      </c>
      <c r="C36" t="inlineStr">
        <is>
          <t>081227223532</t>
        </is>
      </c>
      <c r="D36" t="inlineStr">
        <is>
          <t>cvgardadesain@gmail.com</t>
        </is>
      </c>
      <c r="E36" t="inlineStr">
        <is>
          <t>https://lpjk.pu.go.id/search-badan-usaha-detail/NUh6Q3p1VVkxT21lS0V5Y3JoUXl4QT09</t>
        </is>
      </c>
      <c r="F36" t="n">
        <v>2</v>
      </c>
      <c r="G36" t="inlineStr">
        <is>
          <t>AR001, AR002</t>
        </is>
      </c>
      <c r="H36" t="inlineStr">
        <is>
          <t>28 November 2023</t>
        </is>
      </c>
      <c r="I36" s="2" t="n">
        <v>46368</v>
      </c>
      <c r="J36" t="inlineStr">
        <is>
          <t>Disetujui</t>
        </is>
      </c>
      <c r="K36" t="n">
        <v>87</v>
      </c>
      <c r="L36" t="inlineStr">
        <is>
          <t>12 Desember 2026</t>
        </is>
      </c>
      <c r="M36" t="inlineStr">
        <is>
          <t>Jasa Arsitektural Bangunan Gedung Hunian dan Non Hunian, Jasa Arsitektural Lainnya</t>
        </is>
      </c>
      <c r="N36" t="inlineStr">
        <is>
          <t>K</t>
        </is>
      </c>
      <c r="O36" t="inlineStr">
        <is>
          <t>20231204</t>
        </is>
      </c>
      <c r="P36" t="inlineStr">
        <is>
          <t>Maluku Utara</t>
        </is>
      </c>
      <c r="Q36" t="inlineStr"/>
    </row>
    <row r="37">
      <c r="A37" t="inlineStr">
        <is>
          <t>GUDANG MEDIA PROMO</t>
        </is>
      </c>
      <c r="B37" t="inlineStr">
        <is>
          <t>Kota Sukabumi</t>
        </is>
      </c>
      <c r="C37" t="inlineStr">
        <is>
          <t>085722344115</t>
        </is>
      </c>
      <c r="D37" t="inlineStr">
        <is>
          <t>gmpprint93@gmail.com</t>
        </is>
      </c>
      <c r="E37" t="inlineStr">
        <is>
          <t>https://lpjk.pu.go.id/search-badan-usaha-detail/SUVkWW1uY01TNnNIZkZaSy9Ld1RlQT09</t>
        </is>
      </c>
      <c r="F37" t="n">
        <v>2</v>
      </c>
      <c r="G37" t="inlineStr">
        <is>
          <t>BG005, BG009</t>
        </is>
      </c>
      <c r="H37" t="inlineStr">
        <is>
          <t>14 Maret 2018</t>
        </is>
      </c>
      <c r="I37" s="2" t="n">
        <v>46368</v>
      </c>
      <c r="J37" t="inlineStr">
        <is>
          <t>Disetujui</t>
        </is>
      </c>
      <c r="K37" t="n">
        <v>87</v>
      </c>
      <c r="L37" t="inlineStr">
        <is>
          <t>12 Desember 2026</t>
        </is>
      </c>
      <c r="M37" t="inlineStr">
        <is>
          <t>Konstruksi Gedung Kesehatan, Konstruksi Gedung Lainnya</t>
        </is>
      </c>
      <c r="N37" t="inlineStr">
        <is>
          <t>K</t>
        </is>
      </c>
      <c r="O37" t="inlineStr">
        <is>
          <t>20231212</t>
        </is>
      </c>
      <c r="P37" t="inlineStr">
        <is>
          <t>Jawa Barat</t>
        </is>
      </c>
      <c r="Q37" t="inlineStr"/>
    </row>
    <row r="38">
      <c r="A38" t="inlineStr">
        <is>
          <t>GUNUNG EMAS PUTIH</t>
        </is>
      </c>
      <c r="B38" t="inlineStr">
        <is>
          <t>Kab. Gresik</t>
        </is>
      </c>
      <c r="C38" t="inlineStr">
        <is>
          <t>03199112436</t>
        </is>
      </c>
      <c r="D38" t="inlineStr">
        <is>
          <t>ptgunungemasputihoss@gmail.com</t>
        </is>
      </c>
      <c r="E38" t="inlineStr">
        <is>
          <t>https://lpjk.pu.go.id/search-badan-usaha-detail/SlRxd0prbTlTRU9qZGd4bm1YcCt2Zz09</t>
        </is>
      </c>
      <c r="F38" t="n">
        <v>1</v>
      </c>
      <c r="G38" t="inlineStr">
        <is>
          <t>PL004</t>
        </is>
      </c>
      <c r="H38" t="inlineStr">
        <is>
          <t>13 Mei 2011</t>
        </is>
      </c>
      <c r="I38" s="2" t="n">
        <v>46368</v>
      </c>
      <c r="J38" t="inlineStr">
        <is>
          <t>Disetujui</t>
        </is>
      </c>
      <c r="K38" t="n">
        <v>87</v>
      </c>
      <c r="L38" t="inlineStr">
        <is>
          <t>12 Desember 2026</t>
        </is>
      </c>
      <c r="M38" t="inlineStr">
        <is>
          <t>Pekerjaan Tanah</t>
        </is>
      </c>
      <c r="N38" t="inlineStr">
        <is>
          <t>Spesialis</t>
        </is>
      </c>
      <c r="O38" t="inlineStr">
        <is>
          <t>20231129</t>
        </is>
      </c>
      <c r="P38" t="inlineStr">
        <is>
          <t>Jawa Timur</t>
        </is>
      </c>
      <c r="Q38" t="inlineStr"/>
    </row>
    <row r="39">
      <c r="A39" t="inlineStr">
        <is>
          <t>HALIM JAYA</t>
        </is>
      </c>
      <c r="B39" t="inlineStr">
        <is>
          <t>Kota Banjarbaru</t>
        </is>
      </c>
      <c r="C39" t="inlineStr">
        <is>
          <t>081351011643</t>
        </is>
      </c>
      <c r="D39" t="inlineStr">
        <is>
          <t>cv.halimjaya@gmail.com</t>
        </is>
      </c>
      <c r="E39" t="inlineStr">
        <is>
          <t>https://lpjk.pu.go.id/search-badan-usaha-detail/ZWI2d3BHTVozbXJ6YnVvL1Azd0ZIUT09</t>
        </is>
      </c>
      <c r="F39" t="n">
        <v>6</v>
      </c>
      <c r="G39" t="inlineStr">
        <is>
          <t>BG002, BG004, BG006, BG009, BS001, BS010</t>
        </is>
      </c>
      <c r="H39" t="inlineStr">
        <is>
          <t>3 April 2006</t>
        </is>
      </c>
      <c r="I39" s="2" t="n">
        <v>46368</v>
      </c>
      <c r="J39" t="inlineStr">
        <is>
          <t>Disetujui</t>
        </is>
      </c>
      <c r="K39" t="n">
        <v>87</v>
      </c>
      <c r="L39" t="inlineStr">
        <is>
          <t>12 Desember 2026</t>
        </is>
      </c>
      <c r="M39" t="inlineStr">
        <is>
          <t>Konstruksi Bangunan Prasarana Sumber Daya Air, Konstruksi Bangunan Sipil Jalan, Konstruksi Gedung Lainnya, Konstruksi Gedung Pendidikan, Konstruksi Gedung Perbelanjaan, Konstruksi Gedung Perkantoran</t>
        </is>
      </c>
      <c r="N39" t="inlineStr">
        <is>
          <t>K</t>
        </is>
      </c>
      <c r="O39" t="inlineStr">
        <is>
          <t>20231212</t>
        </is>
      </c>
      <c r="P39" t="inlineStr">
        <is>
          <t>Kalimantan Selatan</t>
        </is>
      </c>
      <c r="Q39" t="inlineStr"/>
    </row>
    <row r="40">
      <c r="A40" t="inlineStr">
        <is>
          <t>HANDASA ENGINEERING CONSULTANT</t>
        </is>
      </c>
      <c r="B40" t="inlineStr">
        <is>
          <t>Kota Padang</t>
        </is>
      </c>
      <c r="C40" t="inlineStr">
        <is>
          <t>085274506867</t>
        </is>
      </c>
      <c r="D40" t="inlineStr">
        <is>
          <t>trinandaafriandy68@gmail.com</t>
        </is>
      </c>
      <c r="E40" t="inlineStr">
        <is>
          <t>https://lpjk.pu.go.id/search-badan-usaha-detail/amlQMnhSaUdmUnBxcGFNWkxNR1JzZz09</t>
        </is>
      </c>
      <c r="F40" t="n">
        <v>2</v>
      </c>
      <c r="G40" t="inlineStr">
        <is>
          <t>RK003</t>
        </is>
      </c>
      <c r="H40" t="inlineStr">
        <is>
          <t>24 Mei 2019</t>
        </is>
      </c>
      <c r="I40" s="2" t="n">
        <v>46368</v>
      </c>
      <c r="J40" t="inlineStr">
        <is>
          <t>Disetujui</t>
        </is>
      </c>
      <c r="K40" t="n">
        <v>87</v>
      </c>
      <c r="L40" t="inlineStr">
        <is>
          <t>12 Desember 2026</t>
        </is>
      </c>
      <c r="M40" t="inlineStr">
        <is>
          <t>Jasa Rekayasa Pekerjaan Teknik Sipil Transportasi</t>
        </is>
      </c>
      <c r="N40" t="inlineStr">
        <is>
          <t>K</t>
        </is>
      </c>
      <c r="O40" t="inlineStr">
        <is>
          <t>20231128</t>
        </is>
      </c>
      <c r="P40" t="inlineStr">
        <is>
          <t>Sumatera Barat</t>
        </is>
      </c>
      <c r="Q40" t="inlineStr"/>
    </row>
    <row r="41">
      <c r="A41" t="inlineStr">
        <is>
          <t>HARIFF DAYA TUNGGAL ENGINEERING</t>
        </is>
      </c>
      <c r="B41" t="inlineStr">
        <is>
          <t>Kota Bandung</t>
        </is>
      </c>
      <c r="C41" t="inlineStr">
        <is>
          <t>0227562000</t>
        </is>
      </c>
      <c r="D41" t="inlineStr">
        <is>
          <t>legal@hariff.co.id</t>
        </is>
      </c>
      <c r="E41" t="inlineStr">
        <is>
          <t>https://lpjk.pu.go.id/search-badan-usaha-detail/MndlczdKc28zWG9aRHB4RzJhS0FxQT09</t>
        </is>
      </c>
      <c r="F41" t="n">
        <v>2</v>
      </c>
      <c r="G41" t="inlineStr">
        <is>
          <t>BS009</t>
        </is>
      </c>
      <c r="H41" t="inlineStr">
        <is>
          <t>17 Maret 1982</t>
        </is>
      </c>
      <c r="I41" s="2" t="n">
        <v>46368</v>
      </c>
      <c r="J41" t="inlineStr">
        <is>
          <t>Pembekuan</t>
        </is>
      </c>
      <c r="K41" t="n">
        <v>87</v>
      </c>
      <c r="L41" t="inlineStr">
        <is>
          <t>12 Desember 2026</t>
        </is>
      </c>
      <c r="M41" t="inlineStr">
        <is>
          <t>Konstruksi Sentral Telekomunikasi</t>
        </is>
      </c>
      <c r="N41" t="inlineStr">
        <is>
          <t>M</t>
        </is>
      </c>
      <c r="O41" t="inlineStr">
        <is>
          <t>20231204</t>
        </is>
      </c>
      <c r="P41" t="inlineStr">
        <is>
          <t>Jawa Barat</t>
        </is>
      </c>
      <c r="Q41" t="inlineStr"/>
    </row>
    <row r="42">
      <c r="A42" t="inlineStr">
        <is>
          <t>IDEALITA ENGINEERS</t>
        </is>
      </c>
      <c r="B42" t="inlineStr">
        <is>
          <t>Kab. Sijunjung</t>
        </is>
      </c>
      <c r="C42" t="inlineStr">
        <is>
          <t>08126760192</t>
        </is>
      </c>
      <c r="D42" t="inlineStr">
        <is>
          <t>extotentrisjj19@gmail.com</t>
        </is>
      </c>
      <c r="E42" t="inlineStr">
        <is>
          <t>https://lpjk.pu.go.id/search-badan-usaha-detail/djlzMUVvQ3VBN0hLU1ViV2RudDh4dz09</t>
        </is>
      </c>
      <c r="F42" t="n">
        <v>2</v>
      </c>
      <c r="G42" t="inlineStr">
        <is>
          <t>RK002</t>
        </is>
      </c>
      <c r="H42" t="inlineStr">
        <is>
          <t>30 Juli 2007</t>
        </is>
      </c>
      <c r="I42" s="2" t="n">
        <v>46368</v>
      </c>
      <c r="J42" t="inlineStr">
        <is>
          <t>Disetujui</t>
        </is>
      </c>
      <c r="K42" t="n">
        <v>87</v>
      </c>
      <c r="L42" t="inlineStr">
        <is>
          <t>12 Desember 2026</t>
        </is>
      </c>
      <c r="M42" t="inlineStr">
        <is>
          <t>Jasa Rekayasa Pekerjaan Teknik Sipil Sumber Daya Air</t>
        </is>
      </c>
      <c r="N42" t="inlineStr">
        <is>
          <t>K</t>
        </is>
      </c>
      <c r="O42" t="inlineStr">
        <is>
          <t>20231127</t>
        </is>
      </c>
      <c r="P42" t="inlineStr">
        <is>
          <t>Sumatera Barat</t>
        </is>
      </c>
      <c r="Q42" t="inlineStr"/>
    </row>
    <row r="43">
      <c r="A43" t="inlineStr">
        <is>
          <t>INDOTAIN MAKMUR TEMBERAS</t>
        </is>
      </c>
      <c r="B43" t="inlineStr">
        <is>
          <t>Kota Palembang</t>
        </is>
      </c>
      <c r="C43" t="inlineStr">
        <is>
          <t>081271034698</t>
        </is>
      </c>
      <c r="D43" t="inlineStr">
        <is>
          <t>cute.master19@gmail.com</t>
        </is>
      </c>
      <c r="E43" t="inlineStr">
        <is>
          <t>https://lpjk.pu.go.id/search-badan-usaha-detail/SXdjU1lhQ2dmY1hhSURuWVZPc2FmZz09</t>
        </is>
      </c>
      <c r="F43" t="n">
        <v>3</v>
      </c>
      <c r="G43" t="inlineStr">
        <is>
          <t>BS001, BS002, BS004</t>
        </is>
      </c>
      <c r="H43" t="inlineStr">
        <is>
          <t>20 Mei 2005</t>
        </is>
      </c>
      <c r="I43" s="2" t="n">
        <v>46368</v>
      </c>
      <c r="J43" t="inlineStr">
        <is>
          <t>Disetujui</t>
        </is>
      </c>
      <c r="K43" t="n">
        <v>87</v>
      </c>
      <c r="L43" t="inlineStr">
        <is>
          <t>12 Desember 2026</t>
        </is>
      </c>
      <c r="M43" t="inlineStr">
        <is>
          <t>Bangunan Sipil Jembatan, Jalan Layang, Fly Over, dan Underpass, Konstruksi Bangunan Sipil Jalan, Konstruksi Jaringan Irigasi dan Drainase</t>
        </is>
      </c>
      <c r="N43" t="inlineStr">
        <is>
          <t>M</t>
        </is>
      </c>
      <c r="O43" t="inlineStr">
        <is>
          <t>20231205</t>
        </is>
      </c>
      <c r="P43" t="inlineStr">
        <is>
          <t>Sumatera Selatan</t>
        </is>
      </c>
      <c r="Q43" t="inlineStr"/>
    </row>
    <row r="44">
      <c r="A44" t="inlineStr">
        <is>
          <t>INTI JAYA PURNAMA</t>
        </is>
      </c>
      <c r="B44" t="inlineStr">
        <is>
          <t>Kota Adm. Jakarta Pusat</t>
        </is>
      </c>
      <c r="C44" t="inlineStr">
        <is>
          <t>0216264857</t>
        </is>
      </c>
      <c r="D44" t="inlineStr">
        <is>
          <t>intijaya_purnama@yahoo.com</t>
        </is>
      </c>
      <c r="E44" t="inlineStr">
        <is>
          <t>https://lpjk.pu.go.id/search-badan-usaha-detail/VkVzbVM4Rk93QjNyTFlQbHlPQkh5dz09</t>
        </is>
      </c>
      <c r="F44" t="n">
        <v>1</v>
      </c>
      <c r="G44" t="inlineStr">
        <is>
          <t>BG003</t>
        </is>
      </c>
      <c r="H44" t="inlineStr">
        <is>
          <t>7 Juli 2023</t>
        </is>
      </c>
      <c r="I44" s="2" t="n">
        <v>46368</v>
      </c>
      <c r="J44" t="inlineStr">
        <is>
          <t>Disetujui</t>
        </is>
      </c>
      <c r="K44" t="n">
        <v>87</v>
      </c>
      <c r="L44" t="inlineStr">
        <is>
          <t>12 Desember 2026</t>
        </is>
      </c>
      <c r="M44" t="inlineStr">
        <is>
          <t>Konstruksi Gedung Industri</t>
        </is>
      </c>
      <c r="N44" t="inlineStr">
        <is>
          <t>K</t>
        </is>
      </c>
      <c r="O44" t="inlineStr">
        <is>
          <t>20231213</t>
        </is>
      </c>
      <c r="P44" t="inlineStr">
        <is>
          <t>DKI Jakarta</t>
        </is>
      </c>
      <c r="Q44" t="inlineStr"/>
    </row>
    <row r="45">
      <c r="A45" t="inlineStr">
        <is>
          <t>JAYA AGUNG HUTAMA YASA</t>
        </is>
      </c>
      <c r="B45" t="inlineStr">
        <is>
          <t>Kab. Badung</t>
        </is>
      </c>
      <c r="C45" t="inlineStr">
        <is>
          <t>0361469857</t>
        </is>
      </c>
      <c r="D45" t="inlineStr">
        <is>
          <t>gstketutagungyasaspd@yahoo.co.id</t>
        </is>
      </c>
      <c r="E45" t="inlineStr">
        <is>
          <t>https://lpjk.pu.go.id/search-badan-usaha-detail/QVBpcmNvblQ1MjVNc0QzdjBkRHF1dz09</t>
        </is>
      </c>
      <c r="F45" t="n">
        <v>2</v>
      </c>
      <c r="G45" t="inlineStr">
        <is>
          <t>BG006, BG009</t>
        </is>
      </c>
      <c r="H45" t="inlineStr">
        <is>
          <t>20 Oktober 1988</t>
        </is>
      </c>
      <c r="I45" s="2" t="n">
        <v>46368</v>
      </c>
      <c r="J45" t="inlineStr">
        <is>
          <t>Pembekuan</t>
        </is>
      </c>
      <c r="K45" t="n">
        <v>87</v>
      </c>
      <c r="L45" t="inlineStr">
        <is>
          <t>12 Desember 2026</t>
        </is>
      </c>
      <c r="M45" t="inlineStr">
        <is>
          <t>Konstruksi Gedung Lainnya, Konstruksi Gedung Pendidikan</t>
        </is>
      </c>
      <c r="N45" t="inlineStr">
        <is>
          <t>M</t>
        </is>
      </c>
      <c r="O45" t="inlineStr">
        <is>
          <t>20231212</t>
        </is>
      </c>
      <c r="P45" t="inlineStr">
        <is>
          <t>Bali</t>
        </is>
      </c>
      <c r="Q45" t="inlineStr"/>
    </row>
    <row r="46">
      <c r="A46" t="inlineStr">
        <is>
          <t>JOFANA PUTRA MANDIRI</t>
        </is>
      </c>
      <c r="B46" t="inlineStr">
        <is>
          <t>Kota Tasikmalaya</t>
        </is>
      </c>
      <c r="C46" t="inlineStr">
        <is>
          <t>081389070464</t>
        </is>
      </c>
      <c r="D46" t="inlineStr">
        <is>
          <t>jofanaputramandiri@gmail.com</t>
        </is>
      </c>
      <c r="E46" t="inlineStr">
        <is>
          <t>https://lpjk.pu.go.id/search-badan-usaha-detail/bXlHT0Ryb1p5ZWxRNzZ3T2Z3UURIQT09</t>
        </is>
      </c>
      <c r="F46" t="n">
        <v>2</v>
      </c>
      <c r="G46" t="inlineStr">
        <is>
          <t>BG006, BG009</t>
        </is>
      </c>
      <c r="H46" t="inlineStr">
        <is>
          <t>9 November 2023</t>
        </is>
      </c>
      <c r="I46" s="2" t="n">
        <v>46368</v>
      </c>
      <c r="J46" t="inlineStr">
        <is>
          <t>Disetujui</t>
        </is>
      </c>
      <c r="K46" t="n">
        <v>87</v>
      </c>
      <c r="L46" t="inlineStr">
        <is>
          <t>12 Desember 2026</t>
        </is>
      </c>
      <c r="M46" t="inlineStr">
        <is>
          <t>Konstruksi Gedung Lainnya, Konstruksi Gedung Pendidikan</t>
        </is>
      </c>
      <c r="N46" t="inlineStr">
        <is>
          <t>K</t>
        </is>
      </c>
      <c r="O46" t="inlineStr">
        <is>
          <t>20231213</t>
        </is>
      </c>
      <c r="P46" t="inlineStr">
        <is>
          <t>Jawa Barat</t>
        </is>
      </c>
      <c r="Q46" t="inlineStr"/>
    </row>
    <row r="47">
      <c r="A47" t="inlineStr">
        <is>
          <t>KARYA ABADI 21</t>
        </is>
      </c>
      <c r="B47" t="inlineStr">
        <is>
          <t>Kab. Sidoarjo</t>
        </is>
      </c>
      <c r="C47" t="inlineStr">
        <is>
          <t>087852691479</t>
        </is>
      </c>
      <c r="D47" t="inlineStr">
        <is>
          <t>karyabadi21@gmail.com</t>
        </is>
      </c>
      <c r="E47" t="inlineStr">
        <is>
          <t>https://lpjk.pu.go.id/search-badan-usaha-detail/alpsZXQ5MnFUQ2IrczIrK2I1NDBpZz09</t>
        </is>
      </c>
      <c r="F47" t="n">
        <v>7</v>
      </c>
      <c r="G47" t="inlineStr">
        <is>
          <t>BG001, BG002, BG005, BG006, BG009, BS001, BS004</t>
        </is>
      </c>
      <c r="H47" t="inlineStr">
        <is>
          <t>24 Maret 2016</t>
        </is>
      </c>
      <c r="I47" s="2" t="n">
        <v>46368</v>
      </c>
      <c r="J47" t="inlineStr">
        <is>
          <t>Disetujui</t>
        </is>
      </c>
      <c r="K47" t="n">
        <v>87</v>
      </c>
      <c r="L47" t="inlineStr">
        <is>
          <t>12 Desember 2026</t>
        </is>
      </c>
      <c r="M47" t="inlineStr">
        <is>
          <t>Konstruksi Bangunan Sipil Jalan, Konstruksi Gedung Hunian, Konstruksi Gedung Kesehatan, Konstruksi Gedung Lainnya, Konstruksi Gedung Pendidikan, Konstruksi Gedung Perkantoran, Konstruksi Jaringan Irigasi dan Drainase</t>
        </is>
      </c>
      <c r="N47" t="inlineStr">
        <is>
          <t>K</t>
        </is>
      </c>
      <c r="O47" t="inlineStr">
        <is>
          <t>20231209, 20231214, 20231215</t>
        </is>
      </c>
      <c r="P47" t="inlineStr">
        <is>
          <t>Jawa Timur</t>
        </is>
      </c>
      <c r="Q47" t="inlineStr"/>
    </row>
    <row r="48">
      <c r="A48" t="inlineStr">
        <is>
          <t>KARYA BERSAMA SEJAHTERAH</t>
        </is>
      </c>
      <c r="B48" t="inlineStr">
        <is>
          <t>Kota Balikpapan</t>
        </is>
      </c>
      <c r="C48" t="inlineStr">
        <is>
          <t>08115064678</t>
        </is>
      </c>
      <c r="D48" t="inlineStr">
        <is>
          <t>cv.karyabersamasejaterah@gmail.com</t>
        </is>
      </c>
      <c r="E48" t="inlineStr">
        <is>
          <t>https://lpjk.pu.go.id/search-badan-usaha-detail/aWN5eFk0ZzlqV21PSFc3Qk9QZGZZQT09</t>
        </is>
      </c>
      <c r="F48" t="n">
        <v>2</v>
      </c>
      <c r="G48" t="inlineStr">
        <is>
          <t>BG001, BG004</t>
        </is>
      </c>
      <c r="H48" t="inlineStr">
        <is>
          <t>11 Maret 2020</t>
        </is>
      </c>
      <c r="I48" s="2" t="n">
        <v>46368</v>
      </c>
      <c r="J48" t="inlineStr">
        <is>
          <t>Disetujui</t>
        </is>
      </c>
      <c r="K48" t="n">
        <v>87</v>
      </c>
      <c r="L48" t="inlineStr">
        <is>
          <t>12 Desember 2026</t>
        </is>
      </c>
      <c r="M48" t="inlineStr">
        <is>
          <t>Konstruksi Gedung Hunian, Konstruksi Gedung Perbelanjaan</t>
        </is>
      </c>
      <c r="N48" t="inlineStr">
        <is>
          <t>K</t>
        </is>
      </c>
      <c r="O48" t="inlineStr">
        <is>
          <t>20231207</t>
        </is>
      </c>
      <c r="P48" t="inlineStr">
        <is>
          <t>Kalimantan Timur</t>
        </is>
      </c>
      <c r="Q48" t="inlineStr"/>
    </row>
    <row r="49">
      <c r="A49" t="inlineStr">
        <is>
          <t>KARYA BERSINAR</t>
        </is>
      </c>
      <c r="B49" t="inlineStr">
        <is>
          <t>Kab. Manokwari</t>
        </is>
      </c>
      <c r="C49" t="inlineStr">
        <is>
          <t>085254114550</t>
        </is>
      </c>
      <c r="D49" t="inlineStr">
        <is>
          <t>cv.karyabersinar@gmail.com</t>
        </is>
      </c>
      <c r="E49" t="inlineStr">
        <is>
          <t>https://lpjk.pu.go.id/search-badan-usaha-detail/RWVjN1cxNjZBVTZUbnBqeU5kTC91QT09</t>
        </is>
      </c>
      <c r="F49" t="n">
        <v>1</v>
      </c>
      <c r="G49" t="inlineStr">
        <is>
          <t>BG002</t>
        </is>
      </c>
      <c r="H49" t="inlineStr">
        <is>
          <t>4 Juli 2022</t>
        </is>
      </c>
      <c r="I49" s="2" t="n">
        <v>46368</v>
      </c>
      <c r="J49" t="inlineStr">
        <is>
          <t>Pencabutan</t>
        </is>
      </c>
      <c r="K49" t="n">
        <v>87</v>
      </c>
      <c r="L49" t="inlineStr">
        <is>
          <t>12 Desember 2026</t>
        </is>
      </c>
      <c r="M49" t="inlineStr">
        <is>
          <t>Konstruksi Gedung Perkantoran</t>
        </is>
      </c>
      <c r="N49" t="inlineStr">
        <is>
          <t>K</t>
        </is>
      </c>
      <c r="O49" t="inlineStr">
        <is>
          <t>20231130</t>
        </is>
      </c>
      <c r="P49" t="inlineStr">
        <is>
          <t>Papua Barat</t>
        </is>
      </c>
      <c r="Q49" t="inlineStr"/>
    </row>
    <row r="50">
      <c r="A50" t="inlineStr">
        <is>
          <t>KARYA CIPTA STHOEDIO</t>
        </is>
      </c>
      <c r="B50" t="inlineStr">
        <is>
          <t>Kab. Tangerang</t>
        </is>
      </c>
      <c r="C50" t="inlineStr">
        <is>
          <t>08112900388</t>
        </is>
      </c>
      <c r="D50" t="inlineStr">
        <is>
          <t>karyaciptasthoedio@gmail.com</t>
        </is>
      </c>
      <c r="E50" t="inlineStr">
        <is>
          <t>https://lpjk.pu.go.id/search-badan-usaha-detail/Mkd5Ylk2SU9Cd0dXeCtqSnBZbG43UT09</t>
        </is>
      </c>
      <c r="F50" t="n">
        <v>3</v>
      </c>
      <c r="G50" t="inlineStr">
        <is>
          <t>BG001, BG002, BS001</t>
        </is>
      </c>
      <c r="H50" t="inlineStr">
        <is>
          <t>4 Oktober 2023</t>
        </is>
      </c>
      <c r="I50" s="2" t="n">
        <v>46368</v>
      </c>
      <c r="J50" t="inlineStr">
        <is>
          <t>Disetujui</t>
        </is>
      </c>
      <c r="K50" t="n">
        <v>87</v>
      </c>
      <c r="L50" t="inlineStr">
        <is>
          <t>12 Desember 2026</t>
        </is>
      </c>
      <c r="M50" t="inlineStr">
        <is>
          <t>Konstruksi Bangunan Sipil Jalan, Konstruksi Gedung Hunian, Konstruksi Gedung Perkantoran</t>
        </is>
      </c>
      <c r="N50" t="inlineStr">
        <is>
          <t>K</t>
        </is>
      </c>
      <c r="O50" t="inlineStr">
        <is>
          <t>20231207, 20231211, 20231213</t>
        </is>
      </c>
      <c r="P50" t="inlineStr">
        <is>
          <t>Banten</t>
        </is>
      </c>
      <c r="Q50" t="inlineStr"/>
    </row>
    <row r="51">
      <c r="A51" t="inlineStr">
        <is>
          <t>KARYA GEMILANG ABADI</t>
        </is>
      </c>
      <c r="B51" t="inlineStr">
        <is>
          <t>Kota Tanjung Pinang</t>
        </is>
      </c>
      <c r="C51" t="inlineStr">
        <is>
          <t>082283329520</t>
        </is>
      </c>
      <c r="D51" t="inlineStr">
        <is>
          <t>rajafenty@gmail.com</t>
        </is>
      </c>
      <c r="E51" t="inlineStr">
        <is>
          <t>https://lpjk.pu.go.id/search-badan-usaha-detail/RG1SUy9wZ1R6aUdBK1VKK3YzUUdGZz09</t>
        </is>
      </c>
      <c r="F51" t="n">
        <v>3</v>
      </c>
      <c r="G51" t="inlineStr">
        <is>
          <t>PB004, PB009, PB010</t>
        </is>
      </c>
      <c r="H51" t="inlineStr">
        <is>
          <t>6 Januari 2018</t>
        </is>
      </c>
      <c r="I51" s="2" t="n">
        <v>46368</v>
      </c>
      <c r="J51" t="inlineStr">
        <is>
          <t>Pembekuan</t>
        </is>
      </c>
      <c r="K51" t="n">
        <v>87</v>
      </c>
      <c r="L51" t="inlineStr">
        <is>
          <t>12 Desember 2026</t>
        </is>
      </c>
      <c r="M51" t="inlineStr">
        <is>
          <t>Dekorasi Interior, Pekerjaan Lanskap, Pertamanan, dan Penanaman Vegetasi, Pembersihan dan Perapihan Bangunan Gedung dan/atau Bangunan Sipil</t>
        </is>
      </c>
      <c r="N51" t="inlineStr">
        <is>
          <t>Spesialis</t>
        </is>
      </c>
      <c r="O51" t="inlineStr">
        <is>
          <t>20231213, 20231217, 20231218</t>
        </is>
      </c>
      <c r="P51" t="inlineStr">
        <is>
          <t>Kepulauan Riau</t>
        </is>
      </c>
      <c r="Q51" t="inlineStr"/>
    </row>
    <row r="52">
      <c r="A52" t="inlineStr">
        <is>
          <t>KARYA INDAH</t>
        </is>
      </c>
      <c r="B52" t="inlineStr">
        <is>
          <t>Kota Palangkaraya</t>
        </is>
      </c>
      <c r="C52" t="inlineStr">
        <is>
          <t>081349202526</t>
        </is>
      </c>
      <c r="D52" t="inlineStr">
        <is>
          <t>karya.indah723@gmail.com</t>
        </is>
      </c>
      <c r="E52" t="inlineStr">
        <is>
          <t>https://lpjk.pu.go.id/search-badan-usaha-detail/aEpmSHVjWjA4M3Vaa0RDRVpMYnlvUT09</t>
        </is>
      </c>
      <c r="F52" t="n">
        <v>1</v>
      </c>
      <c r="G52" t="inlineStr">
        <is>
          <t>RK003</t>
        </is>
      </c>
      <c r="H52" t="inlineStr">
        <is>
          <t>4 Agustus 1977</t>
        </is>
      </c>
      <c r="I52" s="2" t="n">
        <v>46368</v>
      </c>
      <c r="J52" t="inlineStr">
        <is>
          <t>Disetujui</t>
        </is>
      </c>
      <c r="K52" t="n">
        <v>87</v>
      </c>
      <c r="L52" t="inlineStr">
        <is>
          <t>12 Desember 2026</t>
        </is>
      </c>
      <c r="M52" t="inlineStr">
        <is>
          <t>Jasa Rekayasa Pekerjaan Teknik Sipil Transportasi</t>
        </is>
      </c>
      <c r="N52" t="inlineStr">
        <is>
          <t>K</t>
        </is>
      </c>
      <c r="O52" t="inlineStr">
        <is>
          <t>20231205</t>
        </is>
      </c>
      <c r="P52" t="inlineStr">
        <is>
          <t>Kalimantan Tengah</t>
        </is>
      </c>
      <c r="Q52" t="inlineStr"/>
    </row>
    <row r="53">
      <c r="A53" t="inlineStr">
        <is>
          <t>KASIH BUNDA MERANTI</t>
        </is>
      </c>
      <c r="B53" t="inlineStr">
        <is>
          <t>Kab. Kepulauan Meranti</t>
        </is>
      </c>
      <c r="C53" t="inlineStr">
        <is>
          <t>081378999040</t>
        </is>
      </c>
      <c r="D53" t="inlineStr">
        <is>
          <t>cvkasihbunda.meranti@gmail.com</t>
        </is>
      </c>
      <c r="E53" t="inlineStr">
        <is>
          <t>https://lpjk.pu.go.id/search-badan-usaha-detail/Z1plMXZMSkkreXRIRGJzU3JUWlZGdz09</t>
        </is>
      </c>
      <c r="F53" t="n">
        <v>4</v>
      </c>
      <c r="G53" t="inlineStr">
        <is>
          <t>BG002, BG009, BS001, BS004</t>
        </is>
      </c>
      <c r="H53" t="inlineStr">
        <is>
          <t>9 Maret 2023</t>
        </is>
      </c>
      <c r="I53" s="2" t="n">
        <v>46368</v>
      </c>
      <c r="J53" t="inlineStr">
        <is>
          <t>Disetujui</t>
        </is>
      </c>
      <c r="K53" t="n">
        <v>87</v>
      </c>
      <c r="L53" t="inlineStr">
        <is>
          <t>12 Desember 2026</t>
        </is>
      </c>
      <c r="M53" t="inlineStr">
        <is>
          <t>Konstruksi Bangunan Sipil Jalan, Konstruksi Gedung Lainnya, Konstruksi Gedung Perkantoran, Konstruksi Jaringan Irigasi dan Drainase</t>
        </is>
      </c>
      <c r="N53" t="inlineStr">
        <is>
          <t>K</t>
        </is>
      </c>
      <c r="O53" t="inlineStr">
        <is>
          <t>20231212, 20231213</t>
        </is>
      </c>
      <c r="P53" t="inlineStr">
        <is>
          <t>Riau</t>
        </is>
      </c>
      <c r="Q53" t="inlineStr"/>
    </row>
    <row r="54">
      <c r="A54" t="inlineStr">
        <is>
          <t>KEMILAU MANDIRI PRATAMA</t>
        </is>
      </c>
      <c r="B54" t="inlineStr">
        <is>
          <t>Kota Manado</t>
        </is>
      </c>
      <c r="C54" t="inlineStr">
        <is>
          <t>04317242029</t>
        </is>
      </c>
      <c r="D54" t="inlineStr">
        <is>
          <t>kemilau.mp@gmail.com</t>
        </is>
      </c>
      <c r="E54" t="inlineStr">
        <is>
          <t>https://lpjk.pu.go.id/search-badan-usaha-detail/c1FDZWJSbEtYb2JrQVBmcDFka0xYQT09</t>
        </is>
      </c>
      <c r="F54" t="n">
        <v>2</v>
      </c>
      <c r="G54" t="inlineStr">
        <is>
          <t>BG002, BS001</t>
        </is>
      </c>
      <c r="H54" t="inlineStr">
        <is>
          <t>24 Januari 2015</t>
        </is>
      </c>
      <c r="I54" s="2" t="n">
        <v>46368</v>
      </c>
      <c r="J54" t="inlineStr">
        <is>
          <t>Disetujui</t>
        </is>
      </c>
      <c r="K54" t="n">
        <v>87</v>
      </c>
      <c r="L54" t="inlineStr">
        <is>
          <t>12 Desember 2026</t>
        </is>
      </c>
      <c r="M54" t="inlineStr">
        <is>
          <t>Konstruksi Bangunan Sipil Jalan, Konstruksi Gedung Perkantoran</t>
        </is>
      </c>
      <c r="N54" t="inlineStr">
        <is>
          <t>K</t>
        </is>
      </c>
      <c r="O54" t="inlineStr">
        <is>
          <t>20231212, 20231214</t>
        </is>
      </c>
      <c r="P54" t="inlineStr">
        <is>
          <t>Sulawesi Utara</t>
        </is>
      </c>
      <c r="Q54" t="inlineStr"/>
    </row>
    <row r="55">
      <c r="A55" t="inlineStr">
        <is>
          <t>KITA MAKMUR</t>
        </is>
      </c>
      <c r="B55" t="inlineStr">
        <is>
          <t>Kab. Grobogan</t>
        </is>
      </c>
      <c r="C55" t="inlineStr">
        <is>
          <t>087892746603</t>
        </is>
      </c>
      <c r="D55" t="inlineStr">
        <is>
          <t>cv.qtmakmur@gmail.com</t>
        </is>
      </c>
      <c r="E55" t="inlineStr">
        <is>
          <t>https://lpjk.pu.go.id/search-badan-usaha-detail/VGZ4VGs4WW00ZFlhTGc5WnFVM0pkdz09</t>
        </is>
      </c>
      <c r="F55" t="n">
        <v>4</v>
      </c>
      <c r="G55" t="inlineStr">
        <is>
          <t>BG003, BG004, BG005, BG006</t>
        </is>
      </c>
      <c r="H55" t="inlineStr">
        <is>
          <t>21 Desember 2022</t>
        </is>
      </c>
      <c r="I55" s="2" t="n">
        <v>46368</v>
      </c>
      <c r="J55" t="inlineStr">
        <is>
          <t>Pencabutan</t>
        </is>
      </c>
      <c r="K55" t="n">
        <v>87</v>
      </c>
      <c r="L55" t="inlineStr">
        <is>
          <t>12 Desember 2026</t>
        </is>
      </c>
      <c r="M55" t="inlineStr">
        <is>
          <t>Konstruksi Gedung Industri, Konstruksi Gedung Kesehatan, Konstruksi Gedung Pendidikan, Konstruksi Gedung Perbelanjaan</t>
        </is>
      </c>
      <c r="N55" t="inlineStr">
        <is>
          <t>K</t>
        </is>
      </c>
      <c r="O55" t="inlineStr">
        <is>
          <t>20231129</t>
        </is>
      </c>
      <c r="P55" t="inlineStr">
        <is>
          <t>Jawa Tengah</t>
        </is>
      </c>
      <c r="Q55" t="inlineStr"/>
    </row>
    <row r="56">
      <c r="A56" t="inlineStr">
        <is>
          <t>MAHARANI LESTARI JAYA</t>
        </is>
      </c>
      <c r="B56" t="inlineStr">
        <is>
          <t>Kab. Jombang</t>
        </is>
      </c>
      <c r="C56" t="inlineStr">
        <is>
          <t>081335278164</t>
        </is>
      </c>
      <c r="D56" t="inlineStr">
        <is>
          <t>pt.maharanilestarijaya@gmail.com</t>
        </is>
      </c>
      <c r="E56" t="inlineStr">
        <is>
          <t>https://lpjk.pu.go.id/search-badan-usaha-detail/c0QvN2FBNUxzcy9YT2pGUHJ6UHZRQT09</t>
        </is>
      </c>
      <c r="F56" t="n">
        <v>8</v>
      </c>
      <c r="G56" t="inlineStr">
        <is>
          <t>BG005, BG009</t>
        </is>
      </c>
      <c r="H56" t="inlineStr">
        <is>
          <t>31 Agustus 2023</t>
        </is>
      </c>
      <c r="I56" s="2" t="n">
        <v>46368</v>
      </c>
      <c r="J56" t="inlineStr">
        <is>
          <t>Disetujui</t>
        </is>
      </c>
      <c r="K56" t="n">
        <v>87</v>
      </c>
      <c r="L56" t="inlineStr">
        <is>
          <t>12 Desember 2026</t>
        </is>
      </c>
      <c r="M56" t="inlineStr">
        <is>
          <t>Konstruksi Gedung Kesehatan, Konstruksi Gedung Lainnya</t>
        </is>
      </c>
      <c r="N56" t="inlineStr">
        <is>
          <t>K</t>
        </is>
      </c>
      <c r="O56" t="inlineStr">
        <is>
          <t>20231205, 20231213</t>
        </is>
      </c>
      <c r="P56" t="inlineStr">
        <is>
          <t>Jawa Timur</t>
        </is>
      </c>
      <c r="Q56" t="inlineStr"/>
    </row>
    <row r="57">
      <c r="A57" t="inlineStr">
        <is>
          <t>MARATHAJAYA UTAMA CONSULTANT</t>
        </is>
      </c>
      <c r="B57" t="inlineStr">
        <is>
          <t>Kota Bandung</t>
        </is>
      </c>
      <c r="C57" t="inlineStr">
        <is>
          <t>081224347775</t>
        </is>
      </c>
      <c r="D57" t="inlineStr">
        <is>
          <t>contact_mju@ymail.com</t>
        </is>
      </c>
      <c r="E57" t="inlineStr">
        <is>
          <t>https://lpjk.pu.go.id/search-badan-usaha-detail/c1Z4dEpmSmdjUWlSNmZWeXZsa2FCQT09</t>
        </is>
      </c>
      <c r="F57" t="n">
        <v>6</v>
      </c>
      <c r="G57" t="inlineStr">
        <is>
          <t>BG002, BG005, BG006</t>
        </is>
      </c>
      <c r="H57" t="inlineStr">
        <is>
          <t>12 April 2005</t>
        </is>
      </c>
      <c r="I57" s="2" t="n">
        <v>46368</v>
      </c>
      <c r="J57" t="inlineStr">
        <is>
          <t>Disetujui</t>
        </is>
      </c>
      <c r="K57" t="n">
        <v>87</v>
      </c>
      <c r="L57" t="inlineStr">
        <is>
          <t>12 Desember 2026</t>
        </is>
      </c>
      <c r="M57" t="inlineStr">
        <is>
          <t>Konstruksi Gedung Kesehatan, Konstruksi Gedung Pendidikan, Konstruksi Gedung Perkantoran</t>
        </is>
      </c>
      <c r="N57" t="inlineStr">
        <is>
          <t>K</t>
        </is>
      </c>
      <c r="O57" t="inlineStr">
        <is>
          <t>20231212</t>
        </is>
      </c>
      <c r="P57" t="inlineStr">
        <is>
          <t>Jawa Barat</t>
        </is>
      </c>
      <c r="Q57" t="inlineStr"/>
    </row>
    <row r="58">
      <c r="A58" t="inlineStr">
        <is>
          <t>MATA' ALLO</t>
        </is>
      </c>
      <c r="B58" t="inlineStr">
        <is>
          <t>Kab. Luwu</t>
        </is>
      </c>
      <c r="C58" t="inlineStr">
        <is>
          <t>081381098534</t>
        </is>
      </c>
      <c r="D58" t="inlineStr">
        <is>
          <t>baharuddinmass@gmail.com</t>
        </is>
      </c>
      <c r="E58" t="inlineStr">
        <is>
          <t>https://lpjk.pu.go.id/search-badan-usaha-detail/RW5HeE0zZ2s4Q0ZkdHNwT0F4dVJ3QT09</t>
        </is>
      </c>
      <c r="F58" t="n">
        <v>3</v>
      </c>
      <c r="G58" t="inlineStr">
        <is>
          <t>BG006, BS001, BS004</t>
        </is>
      </c>
      <c r="H58" t="inlineStr">
        <is>
          <t>27 Maret 2003</t>
        </is>
      </c>
      <c r="I58" s="2" t="n">
        <v>46368</v>
      </c>
      <c r="J58" t="inlineStr">
        <is>
          <t>Disetujui</t>
        </is>
      </c>
      <c r="K58" t="n">
        <v>87</v>
      </c>
      <c r="L58" t="inlineStr">
        <is>
          <t>12 Desember 2026</t>
        </is>
      </c>
      <c r="M58" t="inlineStr">
        <is>
          <t>Konstruksi Bangunan Sipil Jalan, Konstruksi Gedung Pendidikan, Konstruksi Jaringan Irigasi dan Drainase</t>
        </is>
      </c>
      <c r="N58" t="inlineStr">
        <is>
          <t>K</t>
        </is>
      </c>
      <c r="O58" t="inlineStr">
        <is>
          <t>20231212, 20231214</t>
        </is>
      </c>
      <c r="P58" t="inlineStr">
        <is>
          <t>Sulawesi Selatan</t>
        </is>
      </c>
      <c r="Q58" t="inlineStr"/>
    </row>
    <row r="59">
      <c r="A59" t="inlineStr">
        <is>
          <t>MEGA BUGAR SEJAHTERA</t>
        </is>
      </c>
      <c r="B59" t="inlineStr">
        <is>
          <t>Kota Adm. Jakarta Barat</t>
        </is>
      </c>
      <c r="C59" t="inlineStr">
        <is>
          <t>02155957924</t>
        </is>
      </c>
      <c r="D59" t="inlineStr">
        <is>
          <t>pt.megabugar@gmail.com</t>
        </is>
      </c>
      <c r="E59" t="inlineStr">
        <is>
          <t>https://lpjk.pu.go.id/search-badan-usaha-detail/WkNYOEpBOTJJZzdieWVma0FjdmlSZz09</t>
        </is>
      </c>
      <c r="F59" t="n">
        <v>2</v>
      </c>
      <c r="G59" t="inlineStr">
        <is>
          <t>BG006, BG009</t>
        </is>
      </c>
      <c r="H59" t="inlineStr">
        <is>
          <t>18 Desember 2017</t>
        </is>
      </c>
      <c r="I59" s="2" t="n">
        <v>46368</v>
      </c>
      <c r="J59" t="inlineStr">
        <is>
          <t>Disetujui</t>
        </is>
      </c>
      <c r="K59" t="n">
        <v>87</v>
      </c>
      <c r="L59" t="inlineStr">
        <is>
          <t>12 Desember 2026</t>
        </is>
      </c>
      <c r="M59" t="inlineStr">
        <is>
          <t>Konstruksi Gedung Lainnya, Konstruksi Gedung Pendidikan</t>
        </is>
      </c>
      <c r="N59" t="inlineStr">
        <is>
          <t>K</t>
        </is>
      </c>
      <c r="O59" t="inlineStr">
        <is>
          <t>20231212</t>
        </is>
      </c>
      <c r="P59" t="inlineStr">
        <is>
          <t>DKI Jakarta</t>
        </is>
      </c>
      <c r="Q59" t="inlineStr"/>
    </row>
    <row r="60">
      <c r="A60" t="inlineStr">
        <is>
          <t>MEGA JAYA AMERTA</t>
        </is>
      </c>
      <c r="B60" t="inlineStr">
        <is>
          <t>Kab. Sidoarjo</t>
        </is>
      </c>
      <c r="C60" t="inlineStr">
        <is>
          <t>081515753580</t>
        </is>
      </c>
      <c r="D60" t="inlineStr">
        <is>
          <t>cvmegajayaamerta@gmail.com</t>
        </is>
      </c>
      <c r="E60" t="inlineStr">
        <is>
          <t>https://lpjk.pu.go.id/search-badan-usaha-detail/cXR0cTh4SVhtSHhlZjZsdWg3ZEQ5UT09</t>
        </is>
      </c>
      <c r="F60" t="n">
        <v>1</v>
      </c>
      <c r="G60" t="inlineStr">
        <is>
          <t>BS001</t>
        </is>
      </c>
      <c r="H60" t="inlineStr">
        <is>
          <t>21 Oktober 2009</t>
        </is>
      </c>
      <c r="I60" s="2" t="n">
        <v>46368</v>
      </c>
      <c r="J60" t="inlineStr">
        <is>
          <t>Disetujui</t>
        </is>
      </c>
      <c r="K60" t="n">
        <v>87</v>
      </c>
      <c r="L60" t="inlineStr">
        <is>
          <t>12 Desember 2026</t>
        </is>
      </c>
      <c r="M60" t="inlineStr">
        <is>
          <t>Konstruksi Bangunan Sipil Jalan</t>
        </is>
      </c>
      <c r="N60" t="inlineStr">
        <is>
          <t>K</t>
        </is>
      </c>
      <c r="O60" t="inlineStr">
        <is>
          <t>20231211</t>
        </is>
      </c>
      <c r="P60" t="inlineStr">
        <is>
          <t>Jawa Timur</t>
        </is>
      </c>
      <c r="Q60" t="inlineStr"/>
    </row>
    <row r="61">
      <c r="A61" t="inlineStr">
        <is>
          <t>MIRZA UTAMA KARYA</t>
        </is>
      </c>
      <c r="B61" t="inlineStr">
        <is>
          <t>Kab. Gresik</t>
        </is>
      </c>
      <c r="C61" t="inlineStr">
        <is>
          <t>082376776901</t>
        </is>
      </c>
      <c r="D61" t="inlineStr">
        <is>
          <t>mirzautamakarya45@gmail.com</t>
        </is>
      </c>
      <c r="E61" t="inlineStr">
        <is>
          <t>https://lpjk.pu.go.id/search-badan-usaha-detail/OTFab3NUd04rclRaOVlQZDljWWI4dz09</t>
        </is>
      </c>
      <c r="F61" t="n">
        <v>2</v>
      </c>
      <c r="G61" t="inlineStr">
        <is>
          <t>BS002</t>
        </is>
      </c>
      <c r="H61" t="inlineStr">
        <is>
          <t>24 November 2023</t>
        </is>
      </c>
      <c r="I61" s="2" t="n">
        <v>46368</v>
      </c>
      <c r="J61" t="inlineStr">
        <is>
          <t>Disetujui</t>
        </is>
      </c>
      <c r="K61" t="n">
        <v>87</v>
      </c>
      <c r="L61" t="inlineStr">
        <is>
          <t>12 Desember 2026</t>
        </is>
      </c>
      <c r="M61" t="inlineStr">
        <is>
          <t>Bangunan Sipil Jembatan, Jalan Layang, Fly Over, dan Underpass</t>
        </is>
      </c>
      <c r="N61" t="inlineStr">
        <is>
          <t>K</t>
        </is>
      </c>
      <c r="O61" t="inlineStr">
        <is>
          <t>20231212</t>
        </is>
      </c>
      <c r="P61" t="inlineStr">
        <is>
          <t>Jawa Timur</t>
        </is>
      </c>
      <c r="Q61" t="inlineStr"/>
    </row>
    <row r="62">
      <c r="A62" t="inlineStr">
        <is>
          <t>MITRA UNGGUL SANITASI TERPADU</t>
        </is>
      </c>
      <c r="B62" t="inlineStr">
        <is>
          <t>Kota Tangerang Selatan</t>
        </is>
      </c>
      <c r="C62" t="inlineStr">
        <is>
          <t>081286082743</t>
        </is>
      </c>
      <c r="D62" t="inlineStr">
        <is>
          <t>pt.must@yahoo.com</t>
        </is>
      </c>
      <c r="E62" t="inlineStr">
        <is>
          <t>https://lpjk.pu.go.id/search-badan-usaha-detail/bkJtcW5RVytsQld0ZS9GMCtTOVk0dz09</t>
        </is>
      </c>
      <c r="F62" t="n">
        <v>1</v>
      </c>
      <c r="G62" t="inlineStr">
        <is>
          <t>BS006</t>
        </is>
      </c>
      <c r="H62" t="inlineStr">
        <is>
          <t>28 Februari 2023</t>
        </is>
      </c>
      <c r="I62" s="2" t="n">
        <v>46368</v>
      </c>
      <c r="J62" t="inlineStr">
        <is>
          <t>Disetujui</t>
        </is>
      </c>
      <c r="K62" t="n">
        <v>87</v>
      </c>
      <c r="L62" t="inlineStr">
        <is>
          <t>12 Desember 2026</t>
        </is>
      </c>
      <c r="M62" t="inlineStr">
        <is>
          <t>Konstruksi Bangunan Sipil Prasarana dan Sarana Sistem Pengolahan Limbah Padat, Cair, dan Gas</t>
        </is>
      </c>
      <c r="N62" t="inlineStr">
        <is>
          <t>K</t>
        </is>
      </c>
      <c r="O62" t="inlineStr">
        <is>
          <t>20231213</t>
        </is>
      </c>
      <c r="P62" t="inlineStr">
        <is>
          <t>Banten</t>
        </is>
      </c>
      <c r="Q62" t="inlineStr"/>
    </row>
    <row r="63">
      <c r="A63" t="inlineStr">
        <is>
          <t>Metallurgical Corporation Of China Ltd.</t>
        </is>
      </c>
      <c r="B63" t="inlineStr">
        <is>
          <t>Kota Adm. Jakarta Utara</t>
        </is>
      </c>
      <c r="C63" t="inlineStr">
        <is>
          <t>02130027533</t>
        </is>
      </c>
      <c r="D63" t="inlineStr">
        <is>
          <t>mccltdindo@gmail.com</t>
        </is>
      </c>
      <c r="E63" t="inlineStr">
        <is>
          <t>https://lpjk.pu.go.id/search-badan-usaha-detail/RkdTcFNQQ2pBVzdhRisxWW1OSzBuZz09</t>
        </is>
      </c>
      <c r="F63" t="n">
        <v>2</v>
      </c>
      <c r="G63" t="inlineStr">
        <is>
          <t>BG003</t>
        </is>
      </c>
      <c r="H63" t="inlineStr">
        <is>
          <t>17 Desember 1987</t>
        </is>
      </c>
      <c r="I63" s="2" t="n">
        <v>46368</v>
      </c>
      <c r="J63" t="inlineStr">
        <is>
          <t>Disetujui</t>
        </is>
      </c>
      <c r="K63" t="n">
        <v>87</v>
      </c>
      <c r="L63" t="inlineStr">
        <is>
          <t>12 Desember 2026</t>
        </is>
      </c>
      <c r="M63" t="inlineStr">
        <is>
          <t>Konstruksi Gedung Industri</t>
        </is>
      </c>
      <c r="N63" t="inlineStr">
        <is>
          <t>B</t>
        </is>
      </c>
      <c r="O63" t="inlineStr">
        <is>
          <t>20231211</t>
        </is>
      </c>
      <c r="P63" t="inlineStr">
        <is>
          <t>DKI Jakarta</t>
        </is>
      </c>
      <c r="Q63" t="inlineStr"/>
    </row>
    <row r="64">
      <c r="A64" t="inlineStr">
        <is>
          <t>PARAHITA NUSANTARA</t>
        </is>
      </c>
      <c r="B64" t="inlineStr">
        <is>
          <t>Kab. Sidoarjo</t>
        </is>
      </c>
      <c r="C64" t="inlineStr">
        <is>
          <t>081282271417</t>
        </is>
      </c>
      <c r="D64" t="inlineStr">
        <is>
          <t>cvparahitanusantara@gmail.com</t>
        </is>
      </c>
      <c r="E64" t="inlineStr">
        <is>
          <t>https://lpjk.pu.go.id/search-badan-usaha-detail/dlV2NS9oSmVxdzR0ZnRxQmVDT2xMUT09</t>
        </is>
      </c>
      <c r="F64" t="n">
        <v>4</v>
      </c>
      <c r="G64" t="inlineStr">
        <is>
          <t>BG002, BG003, BG005, BG006</t>
        </is>
      </c>
      <c r="H64" t="inlineStr">
        <is>
          <t>19 Desember 2022</t>
        </is>
      </c>
      <c r="I64" s="2" t="n">
        <v>46368</v>
      </c>
      <c r="J64" t="inlineStr">
        <is>
          <t>Disetujui</t>
        </is>
      </c>
      <c r="K64" t="n">
        <v>87</v>
      </c>
      <c r="L64" t="inlineStr">
        <is>
          <t>12 Desember 2026</t>
        </is>
      </c>
      <c r="M64" t="inlineStr">
        <is>
          <t>Konstruksi Gedung Industri, Konstruksi Gedung Kesehatan, Konstruksi Gedung Pendidikan, Konstruksi Gedung Perkantoran</t>
        </is>
      </c>
      <c r="N64" t="inlineStr">
        <is>
          <t>K</t>
        </is>
      </c>
      <c r="O64" t="inlineStr">
        <is>
          <t>20231212</t>
        </is>
      </c>
      <c r="P64" t="inlineStr">
        <is>
          <t>Jawa Timur</t>
        </is>
      </c>
      <c r="Q64" t="inlineStr"/>
    </row>
    <row r="65">
      <c r="A65" t="inlineStr">
        <is>
          <t>PERMATA BANGUN KHARISMA</t>
        </is>
      </c>
      <c r="B65" t="inlineStr">
        <is>
          <t>Kab. Tangerang</t>
        </is>
      </c>
      <c r="C65" t="inlineStr">
        <is>
          <t>081298544855</t>
        </is>
      </c>
      <c r="D65" t="inlineStr">
        <is>
          <t>permatabangunkharism4@gmail.com</t>
        </is>
      </c>
      <c r="E65" t="inlineStr">
        <is>
          <t>https://lpjk.pu.go.id/search-badan-usaha-detail/VTQyVEtPejEyUTVGRHArM0s0U3RQdz09</t>
        </is>
      </c>
      <c r="F65" t="n">
        <v>2</v>
      </c>
      <c r="G65" t="inlineStr">
        <is>
          <t>BG002, BG003</t>
        </is>
      </c>
      <c r="H65" t="inlineStr">
        <is>
          <t>11 September 2023</t>
        </is>
      </c>
      <c r="I65" s="2" t="n">
        <v>46368</v>
      </c>
      <c r="J65" t="inlineStr">
        <is>
          <t>Pencabutan</t>
        </is>
      </c>
      <c r="K65" t="n">
        <v>87</v>
      </c>
      <c r="L65" t="inlineStr">
        <is>
          <t>12 Desember 2026</t>
        </is>
      </c>
      <c r="M65" t="inlineStr">
        <is>
          <t>Konstruksi Gedung Industri, Konstruksi Gedung Perkantoran</t>
        </is>
      </c>
      <c r="N65" t="inlineStr">
        <is>
          <t>M</t>
        </is>
      </c>
      <c r="O65" t="inlineStr">
        <is>
          <t>20230919, 20231201</t>
        </is>
      </c>
      <c r="P65" t="inlineStr">
        <is>
          <t>Banten</t>
        </is>
      </c>
      <c r="Q65" t="inlineStr"/>
    </row>
    <row r="66">
      <c r="A66" t="inlineStr">
        <is>
          <t>PILAR CAHYA ABADI</t>
        </is>
      </c>
      <c r="B66" t="inlineStr">
        <is>
          <t>Kota Adm. Jakarta Barat</t>
        </is>
      </c>
      <c r="C66" t="inlineStr">
        <is>
          <t>02129406184</t>
        </is>
      </c>
      <c r="D66" t="inlineStr">
        <is>
          <t>pilarcahya@gmail.com</t>
        </is>
      </c>
      <c r="E66" t="inlineStr">
        <is>
          <t>https://lpjk.pu.go.id/search-badan-usaha-detail/OTVLNXF2bDNSdnpGY2FpY0NvUGhWQT09</t>
        </is>
      </c>
      <c r="F66" t="n">
        <v>2</v>
      </c>
      <c r="G66" t="inlineStr">
        <is>
          <t>BG002, BG003</t>
        </is>
      </c>
      <c r="H66" t="inlineStr">
        <is>
          <t>21 Mei 2012</t>
        </is>
      </c>
      <c r="I66" s="2" t="n">
        <v>46368</v>
      </c>
      <c r="J66" t="inlineStr">
        <is>
          <t>Disetujui</t>
        </is>
      </c>
      <c r="K66" t="n">
        <v>87</v>
      </c>
      <c r="L66" t="inlineStr">
        <is>
          <t>12 Desember 2026</t>
        </is>
      </c>
      <c r="M66" t="inlineStr">
        <is>
          <t>Konstruksi Gedung Industri, Konstruksi Gedung Perkantoran</t>
        </is>
      </c>
      <c r="N66" t="inlineStr">
        <is>
          <t>K</t>
        </is>
      </c>
      <c r="O66" t="inlineStr">
        <is>
          <t>20231212</t>
        </is>
      </c>
      <c r="P66" t="inlineStr">
        <is>
          <t>DKI Jakarta</t>
        </is>
      </c>
      <c r="Q66" t="inlineStr"/>
    </row>
    <row r="67">
      <c r="A67" t="inlineStr">
        <is>
          <t>PRIMA KONSTRUKSI</t>
        </is>
      </c>
      <c r="B67" t="inlineStr">
        <is>
          <t>Kota Banda Aceh</t>
        </is>
      </c>
      <c r="C67" t="inlineStr">
        <is>
          <t>085260921535</t>
        </is>
      </c>
      <c r="D67" t="inlineStr">
        <is>
          <t>primakonstruksi88@gmail.com</t>
        </is>
      </c>
      <c r="E67" t="inlineStr">
        <is>
          <t>https://lpjk.pu.go.id/search-badan-usaha-detail/dHV6VUlMMWJ0YlhwR2g1cXlZSVhVQT09</t>
        </is>
      </c>
      <c r="F67" t="n">
        <v>1</v>
      </c>
      <c r="G67" t="inlineStr">
        <is>
          <t>BS004</t>
        </is>
      </c>
      <c r="H67" t="inlineStr">
        <is>
          <t>26 Februari 2014</t>
        </is>
      </c>
      <c r="I67" s="2" t="n">
        <v>46368</v>
      </c>
      <c r="J67" t="inlineStr">
        <is>
          <t>Pencabutan</t>
        </is>
      </c>
      <c r="K67" t="n">
        <v>87</v>
      </c>
      <c r="L67" t="inlineStr">
        <is>
          <t>12 Desember 2026</t>
        </is>
      </c>
      <c r="M67" t="inlineStr">
        <is>
          <t>Konstruksi Jaringan Irigasi dan Drainase</t>
        </is>
      </c>
      <c r="N67" t="inlineStr">
        <is>
          <t>K</t>
        </is>
      </c>
      <c r="O67" t="inlineStr">
        <is>
          <t>20231213</t>
        </is>
      </c>
      <c r="P67" t="inlineStr">
        <is>
          <t>Aceh</t>
        </is>
      </c>
      <c r="Q67" t="inlineStr"/>
    </row>
    <row r="68">
      <c r="A68" t="inlineStr">
        <is>
          <t>PUTERAKO INTI BUANA</t>
        </is>
      </c>
      <c r="B68" t="inlineStr">
        <is>
          <t>Kota Surabaya</t>
        </is>
      </c>
      <c r="C68" t="inlineStr">
        <is>
          <t>0313761298</t>
        </is>
      </c>
      <c r="D68" t="inlineStr">
        <is>
          <t>hrd.support@puterako.com</t>
        </is>
      </c>
      <c r="E68" t="inlineStr">
        <is>
          <t>https://lpjk.pu.go.id/search-badan-usaha-detail/cTkrb1krQW4xb1JBRDJrZTNHalZFdz09</t>
        </is>
      </c>
      <c r="F68" t="n">
        <v>2</v>
      </c>
      <c r="G68" t="inlineStr">
        <is>
          <t>IN002, IN006</t>
        </is>
      </c>
      <c r="H68" t="inlineStr">
        <is>
          <t>4 November 1997</t>
        </is>
      </c>
      <c r="I68" s="2" t="n">
        <v>46368</v>
      </c>
      <c r="J68" t="inlineStr">
        <is>
          <t>Disetujui</t>
        </is>
      </c>
      <c r="K68" t="n">
        <v>87</v>
      </c>
      <c r="L68" t="inlineStr">
        <is>
          <t>12 Desember 2026</t>
        </is>
      </c>
      <c r="M68" t="inlineStr">
        <is>
          <t>Instalasi Elektronika, Instalasi Telekomunikasi</t>
        </is>
      </c>
      <c r="N68" t="inlineStr">
        <is>
          <t>Spesialis</t>
        </is>
      </c>
      <c r="O68" t="inlineStr">
        <is>
          <t>20231206</t>
        </is>
      </c>
      <c r="P68" t="inlineStr">
        <is>
          <t>Jawa Timur</t>
        </is>
      </c>
      <c r="Q68" t="inlineStr"/>
    </row>
    <row r="69">
      <c r="A69" t="inlineStr">
        <is>
          <t>RANCANG DIMENSI KONSULTAN</t>
        </is>
      </c>
      <c r="B69" t="inlineStr">
        <is>
          <t>Kab. Bintan</t>
        </is>
      </c>
      <c r="C69" t="inlineStr">
        <is>
          <t>085356534253</t>
        </is>
      </c>
      <c r="D69" t="inlineStr">
        <is>
          <t>rancangdimensikons@gmail.com</t>
        </is>
      </c>
      <c r="E69" t="inlineStr">
        <is>
          <t>https://lpjk.pu.go.id/search-badan-usaha-detail/Z2UwWit1YVk4V3Ztdi8yMVhrS1dsdz09</t>
        </is>
      </c>
      <c r="F69" t="n">
        <v>2</v>
      </c>
      <c r="G69" t="inlineStr">
        <is>
          <t>RK001</t>
        </is>
      </c>
      <c r="H69" t="inlineStr">
        <is>
          <t>30 Mei 2023</t>
        </is>
      </c>
      <c r="I69" s="2" t="n">
        <v>46368</v>
      </c>
      <c r="J69" t="inlineStr">
        <is>
          <t>Disetujui</t>
        </is>
      </c>
      <c r="K69" t="n">
        <v>87</v>
      </c>
      <c r="L69" t="inlineStr">
        <is>
          <t>12 Desember 2026</t>
        </is>
      </c>
      <c r="M69" t="inlineStr">
        <is>
          <t>Jasa Rekayasa Konstruksi Bangunan Gedung Hunian dan Non Hunian</t>
        </is>
      </c>
      <c r="N69" t="inlineStr">
        <is>
          <t>K</t>
        </is>
      </c>
      <c r="O69" t="inlineStr">
        <is>
          <t>20231130</t>
        </is>
      </c>
      <c r="P69" t="inlineStr">
        <is>
          <t>Kepulauan Riau</t>
        </is>
      </c>
      <c r="Q69" t="inlineStr"/>
    </row>
    <row r="70">
      <c r="A70" t="inlineStr">
        <is>
          <t>RANINDYA SELATAMA</t>
        </is>
      </c>
      <c r="B70" t="inlineStr">
        <is>
          <t>Kota Serang</t>
        </is>
      </c>
      <c r="C70" t="inlineStr">
        <is>
          <t>085216222217</t>
        </is>
      </c>
      <c r="D70" t="inlineStr">
        <is>
          <t>ranindyaselatama@gmail.com</t>
        </is>
      </c>
      <c r="E70" t="inlineStr">
        <is>
          <t>https://lpjk.pu.go.id/search-badan-usaha-detail/ZjA4Q2xCaHQwejUxZkdHSkVaQWRjdz09</t>
        </is>
      </c>
      <c r="F70" t="n">
        <v>2</v>
      </c>
      <c r="G70" t="inlineStr">
        <is>
          <t>BG009, BS001</t>
        </is>
      </c>
      <c r="H70" t="inlineStr">
        <is>
          <t>31 Agustus 2023</t>
        </is>
      </c>
      <c r="I70" s="2" t="n">
        <v>46368</v>
      </c>
      <c r="J70" t="inlineStr">
        <is>
          <t>Disetujui</t>
        </is>
      </c>
      <c r="K70" t="n">
        <v>87</v>
      </c>
      <c r="L70" t="inlineStr">
        <is>
          <t>12 Desember 2026</t>
        </is>
      </c>
      <c r="M70" t="inlineStr">
        <is>
          <t>Konstruksi Bangunan Sipil Jalan, Konstruksi Gedung Lainnya</t>
        </is>
      </c>
      <c r="N70" t="inlineStr">
        <is>
          <t>K</t>
        </is>
      </c>
      <c r="O70" t="inlineStr">
        <is>
          <t>20231213, 20231214</t>
        </is>
      </c>
      <c r="P70" t="inlineStr">
        <is>
          <t>Banten</t>
        </is>
      </c>
      <c r="Q70" t="inlineStr"/>
    </row>
    <row r="71">
      <c r="A71" t="inlineStr">
        <is>
          <t>RANUM DESYA PERKASA</t>
        </is>
      </c>
      <c r="B71" t="inlineStr">
        <is>
          <t>Kab. Kayong Utara</t>
        </is>
      </c>
      <c r="C71" t="inlineStr">
        <is>
          <t>089612562728</t>
        </is>
      </c>
      <c r="D71" t="inlineStr">
        <is>
          <t>cv.ranumdesyaperkasa@gmail.com</t>
        </is>
      </c>
      <c r="E71" t="inlineStr">
        <is>
          <t>https://lpjk.pu.go.id/search-badan-usaha-detail/YnVVMms0OWo2QUk2TTd5V0psREJlUT09</t>
        </is>
      </c>
      <c r="F71" t="n">
        <v>1</v>
      </c>
      <c r="G71" t="inlineStr">
        <is>
          <t>BS004</t>
        </is>
      </c>
      <c r="H71" t="inlineStr">
        <is>
          <t>4 Januari 2012</t>
        </is>
      </c>
      <c r="I71" s="2" t="n">
        <v>46368</v>
      </c>
      <c r="J71" t="inlineStr">
        <is>
          <t>Disetujui</t>
        </is>
      </c>
      <c r="K71" t="n">
        <v>87</v>
      </c>
      <c r="L71" t="inlineStr">
        <is>
          <t>12 Desember 2026</t>
        </is>
      </c>
      <c r="M71" t="inlineStr">
        <is>
          <t>Konstruksi Jaringan Irigasi dan Drainase</t>
        </is>
      </c>
      <c r="N71" t="inlineStr">
        <is>
          <t>K</t>
        </is>
      </c>
      <c r="O71" t="inlineStr">
        <is>
          <t>20231204</t>
        </is>
      </c>
      <c r="P71" t="inlineStr">
        <is>
          <t>Kalimantan Barat</t>
        </is>
      </c>
      <c r="Q71" t="inlineStr"/>
    </row>
    <row r="72">
      <c r="A72" t="inlineStr">
        <is>
          <t>RATU JOYO WANGI</t>
        </is>
      </c>
      <c r="B72" t="inlineStr">
        <is>
          <t>Kota Surabaya</t>
        </is>
      </c>
      <c r="C72" t="inlineStr">
        <is>
          <t>081232461318</t>
        </is>
      </c>
      <c r="D72" t="inlineStr">
        <is>
          <t>ratujoyowangi99@gmail.com</t>
        </is>
      </c>
      <c r="E72" t="inlineStr">
        <is>
          <t>https://lpjk.pu.go.id/search-badan-usaha-detail/SGVSVjBNVkJ2S2M0dFB1Wms3elNrZz09</t>
        </is>
      </c>
      <c r="F72" t="n">
        <v>1</v>
      </c>
      <c r="G72" t="inlineStr">
        <is>
          <t>BS004</t>
        </is>
      </c>
      <c r="H72" t="inlineStr">
        <is>
          <t>29 Mei 2023</t>
        </is>
      </c>
      <c r="I72" s="2" t="n">
        <v>46368</v>
      </c>
      <c r="J72" t="inlineStr">
        <is>
          <t>Disetujui</t>
        </is>
      </c>
      <c r="K72" t="n">
        <v>87</v>
      </c>
      <c r="L72" t="inlineStr">
        <is>
          <t>12 Desember 2026</t>
        </is>
      </c>
      <c r="M72" t="inlineStr">
        <is>
          <t>Konstruksi Jaringan Irigasi dan Drainase</t>
        </is>
      </c>
      <c r="N72" t="inlineStr">
        <is>
          <t>K</t>
        </is>
      </c>
      <c r="O72" t="inlineStr">
        <is>
          <t>20231212</t>
        </is>
      </c>
      <c r="P72" t="inlineStr">
        <is>
          <t>Jawa Timur</t>
        </is>
      </c>
      <c r="Q72" t="inlineStr"/>
    </row>
    <row r="73">
      <c r="A73" t="inlineStr">
        <is>
          <t>RIKO MANDIRI CEMERLANG</t>
        </is>
      </c>
      <c r="B73" t="inlineStr">
        <is>
          <t>Kab. Subang</t>
        </is>
      </c>
      <c r="C73" t="inlineStr">
        <is>
          <t>085284006384</t>
        </is>
      </c>
      <c r="D73" t="inlineStr">
        <is>
          <t>alexsade79@gmail.com</t>
        </is>
      </c>
      <c r="E73" t="inlineStr">
        <is>
          <t>https://lpjk.pu.go.id/search-badan-usaha-detail/WkpMZ3NRYUlXS0pINmJOd0pwZVJOdz09</t>
        </is>
      </c>
      <c r="F73" t="n">
        <v>2</v>
      </c>
      <c r="G73" t="inlineStr">
        <is>
          <t>BG002, BG009</t>
        </is>
      </c>
      <c r="H73" t="inlineStr">
        <is>
          <t>9 Mei 2019</t>
        </is>
      </c>
      <c r="I73" s="2" t="n">
        <v>46368</v>
      </c>
      <c r="J73" t="inlineStr">
        <is>
          <t>Pencabutan</t>
        </is>
      </c>
      <c r="K73" t="n">
        <v>87</v>
      </c>
      <c r="L73" t="inlineStr">
        <is>
          <t>12 Desember 2026</t>
        </is>
      </c>
      <c r="M73" t="inlineStr">
        <is>
          <t>Konstruksi Gedung Lainnya, Konstruksi Gedung Perkantoran</t>
        </is>
      </c>
      <c r="N73" t="inlineStr">
        <is>
          <t>K</t>
        </is>
      </c>
      <c r="O73" t="inlineStr">
        <is>
          <t>20231213</t>
        </is>
      </c>
      <c r="P73" t="inlineStr">
        <is>
          <t>Jawa Barat</t>
        </is>
      </c>
      <c r="Q73" t="inlineStr"/>
    </row>
    <row r="74">
      <c r="A74" t="inlineStr">
        <is>
          <t>SATRIA JAYA ANUGERAH</t>
        </is>
      </c>
      <c r="B74" t="inlineStr">
        <is>
          <t>Kota Medan</t>
        </is>
      </c>
      <c r="C74" t="inlineStr">
        <is>
          <t>08116792333</t>
        </is>
      </c>
      <c r="D74" t="inlineStr">
        <is>
          <t>cv.satriajaya.anugerah@gmail.com</t>
        </is>
      </c>
      <c r="E74" t="inlineStr">
        <is>
          <t>https://lpjk.pu.go.id/search-badan-usaha-detail/S0dEOW1HWlU3YVdLNW5IV3NiZnRVUT09</t>
        </is>
      </c>
      <c r="F74" t="n">
        <v>2</v>
      </c>
      <c r="G74" t="inlineStr">
        <is>
          <t>BG006, BG009</t>
        </is>
      </c>
      <c r="H74" t="inlineStr">
        <is>
          <t>12 Agustus 2020</t>
        </is>
      </c>
      <c r="I74" s="2" t="n">
        <v>46368</v>
      </c>
      <c r="J74" t="inlineStr">
        <is>
          <t>Disetujui</t>
        </is>
      </c>
      <c r="K74" t="n">
        <v>87</v>
      </c>
      <c r="L74" t="inlineStr">
        <is>
          <t>12 Desember 2026</t>
        </is>
      </c>
      <c r="M74" t="inlineStr">
        <is>
          <t>Konstruksi Gedung Lainnya, Konstruksi Gedung Pendidikan</t>
        </is>
      </c>
      <c r="N74" t="inlineStr">
        <is>
          <t>K</t>
        </is>
      </c>
      <c r="O74" t="inlineStr">
        <is>
          <t>20231206, 20231213</t>
        </is>
      </c>
      <c r="P74" t="inlineStr">
        <is>
          <t>Sumatera Utara</t>
        </is>
      </c>
      <c r="Q74" t="inlineStr"/>
    </row>
    <row r="75">
      <c r="A75" t="inlineStr">
        <is>
          <t>SEPAKAT PRATAMA INDONESIA</t>
        </is>
      </c>
      <c r="B75" t="inlineStr">
        <is>
          <t>Kota Surabaya</t>
        </is>
      </c>
      <c r="C75" t="inlineStr">
        <is>
          <t>0318284666</t>
        </is>
      </c>
      <c r="D75" t="inlineStr">
        <is>
          <t>pt.sepakatpratamaindonesia@gmail.com</t>
        </is>
      </c>
      <c r="E75" t="inlineStr">
        <is>
          <t>https://lpjk.pu.go.id/search-badan-usaha-detail/U25vbFJhMlAzSGh4MFdHTmp3cHU0dz09</t>
        </is>
      </c>
      <c r="F75" t="n">
        <v>1</v>
      </c>
      <c r="G75" t="inlineStr">
        <is>
          <t>BS005</t>
        </is>
      </c>
      <c r="H75" t="inlineStr">
        <is>
          <t>22 Desember 2015</t>
        </is>
      </c>
      <c r="I75" s="2" t="n">
        <v>46368</v>
      </c>
      <c r="J75" t="inlineStr">
        <is>
          <t>Pencabutan</t>
        </is>
      </c>
      <c r="K75" t="n">
        <v>87</v>
      </c>
      <c r="L75" t="inlineStr">
        <is>
          <t>12 Desember 2026</t>
        </is>
      </c>
      <c r="M75" t="inlineStr">
        <is>
          <t>Konstruksi Bangunan Sipil Pengolahan Air Bersih</t>
        </is>
      </c>
      <c r="N75" t="inlineStr">
        <is>
          <t>M</t>
        </is>
      </c>
      <c r="O75" t="inlineStr">
        <is>
          <t>20231212</t>
        </is>
      </c>
      <c r="P75" t="inlineStr">
        <is>
          <t>Jawa Timur</t>
        </is>
      </c>
      <c r="Q75" t="inlineStr"/>
    </row>
    <row r="76">
      <c r="A76" t="inlineStr">
        <is>
          <t>SOBAT SEJATI SOLUSINDO</t>
        </is>
      </c>
      <c r="B76" t="inlineStr">
        <is>
          <t>Kab. Karimun</t>
        </is>
      </c>
      <c r="C76" t="inlineStr">
        <is>
          <t>08112558228</t>
        </is>
      </c>
      <c r="D76" t="inlineStr">
        <is>
          <t>sobatsejatisss@gmail.com</t>
        </is>
      </c>
      <c r="E76" t="inlineStr">
        <is>
          <t>https://lpjk.pu.go.id/search-badan-usaha-detail/dDlLUjROVW81THJSaVJDRTloU2FaQT09</t>
        </is>
      </c>
      <c r="F76" t="n">
        <v>3</v>
      </c>
      <c r="G76" t="inlineStr">
        <is>
          <t>KK001, KK007, KK016</t>
        </is>
      </c>
      <c r="H76" t="inlineStr">
        <is>
          <t>23 Juni 2016</t>
        </is>
      </c>
      <c r="I76" s="2" t="n">
        <v>46368</v>
      </c>
      <c r="J76" t="inlineStr">
        <is>
          <t>Pembekuan</t>
        </is>
      </c>
      <c r="K76" t="n">
        <v>87</v>
      </c>
      <c r="L76" t="inlineStr">
        <is>
          <t>12 Desember 2026</t>
        </is>
      </c>
      <c r="M76" t="inlineStr">
        <is>
          <t>Pekerjaan Konstruksi Kedap Suara, Pemasangan Kerangka Baja, Pondasi Konstruksi</t>
        </is>
      </c>
      <c r="N76" t="inlineStr">
        <is>
          <t>Spesialis</t>
        </is>
      </c>
      <c r="O76" t="inlineStr">
        <is>
          <t>20231212</t>
        </is>
      </c>
      <c r="P76" t="inlineStr">
        <is>
          <t>Kepulauan Riau</t>
        </is>
      </c>
      <c r="Q76" t="inlineStr"/>
    </row>
    <row r="77">
      <c r="A77" t="inlineStr">
        <is>
          <t>SUMBER ARTHA REKSA MULIA</t>
        </is>
      </c>
      <c r="B77" t="inlineStr">
        <is>
          <t>Kota Pekanbaru</t>
        </is>
      </c>
      <c r="C77" t="inlineStr">
        <is>
          <t>07617059993</t>
        </is>
      </c>
      <c r="D77" t="inlineStr">
        <is>
          <t>sumberartha@yahoo.com</t>
        </is>
      </c>
      <c r="E77" t="inlineStr">
        <is>
          <t>https://lpjk.pu.go.id/search-badan-usaha-detail/Vy9hV0xES3YrVENUbDZCdnRhc3E0QT09</t>
        </is>
      </c>
      <c r="F77" t="n">
        <v>2</v>
      </c>
      <c r="G77" t="inlineStr">
        <is>
          <t>BS002, BS010</t>
        </is>
      </c>
      <c r="H77" t="inlineStr">
        <is>
          <t>19 Agustus 1999</t>
        </is>
      </c>
      <c r="I77" s="2" t="n">
        <v>46368</v>
      </c>
      <c r="J77" t="inlineStr">
        <is>
          <t>Disetujui</t>
        </is>
      </c>
      <c r="K77" t="n">
        <v>87</v>
      </c>
      <c r="L77" t="inlineStr">
        <is>
          <t>12 Desember 2026</t>
        </is>
      </c>
      <c r="M77" t="inlineStr">
        <is>
          <t>Bangunan Sipil Jembatan, Jalan Layang, Fly Over, dan Underpass, Konstruksi Bangunan Prasarana Sumber Daya Air</t>
        </is>
      </c>
      <c r="N77" t="inlineStr">
        <is>
          <t>M</t>
        </is>
      </c>
      <c r="O77" t="inlineStr">
        <is>
          <t>20231204, 20231212</t>
        </is>
      </c>
      <c r="P77" t="inlineStr">
        <is>
          <t>Riau</t>
        </is>
      </c>
      <c r="Q77" t="inlineStr"/>
    </row>
    <row r="78">
      <c r="A78" t="inlineStr">
        <is>
          <t>SUMBER REJEKI</t>
        </is>
      </c>
      <c r="B78" t="inlineStr">
        <is>
          <t>Kab. Sukamara</t>
        </is>
      </c>
      <c r="C78" t="inlineStr">
        <is>
          <t>081257568999</t>
        </is>
      </c>
      <c r="D78" t="inlineStr">
        <is>
          <t>cv.sumberrejeki.sr@gmail.com</t>
        </is>
      </c>
      <c r="E78" t="inlineStr">
        <is>
          <t>https://lpjk.pu.go.id/search-badan-usaha-detail/d1h3MkJldUxKR01CTDZ0bGVPc1IwUT09</t>
        </is>
      </c>
      <c r="F78" t="n">
        <v>1</v>
      </c>
      <c r="G78" t="inlineStr">
        <is>
          <t>BS002</t>
        </is>
      </c>
      <c r="H78" t="inlineStr">
        <is>
          <t>4 Desember 2018</t>
        </is>
      </c>
      <c r="I78" s="2" t="n">
        <v>46368</v>
      </c>
      <c r="J78" t="inlineStr">
        <is>
          <t>Disetujui</t>
        </is>
      </c>
      <c r="K78" t="n">
        <v>87</v>
      </c>
      <c r="L78" t="inlineStr">
        <is>
          <t>12 Desember 2026</t>
        </is>
      </c>
      <c r="M78" t="inlineStr">
        <is>
          <t>Bangunan Sipil Jembatan, Jalan Layang, Fly Over, dan Underpass</t>
        </is>
      </c>
      <c r="N78" t="inlineStr">
        <is>
          <t>K</t>
        </is>
      </c>
      <c r="O78" t="inlineStr">
        <is>
          <t>20231207</t>
        </is>
      </c>
      <c r="P78" t="inlineStr">
        <is>
          <t>Kalimantan Tengah</t>
        </is>
      </c>
      <c r="Q78" t="inlineStr"/>
    </row>
    <row r="79">
      <c r="A79" t="inlineStr">
        <is>
          <t>TAHASAK JAYA KONSTRUKSI</t>
        </is>
      </c>
      <c r="B79" t="inlineStr">
        <is>
          <t>Kota Palangkaraya</t>
        </is>
      </c>
      <c r="C79" t="inlineStr">
        <is>
          <t>081250122116</t>
        </is>
      </c>
      <c r="D79" t="inlineStr">
        <is>
          <t>TAHASAKJ@gmail.com</t>
        </is>
      </c>
      <c r="E79" t="inlineStr">
        <is>
          <t>https://lpjk.pu.go.id/search-badan-usaha-detail/YkRNSDN3MXBXa2F5Mk5FdnQzOVBuZz09</t>
        </is>
      </c>
      <c r="F79" t="n">
        <v>2</v>
      </c>
      <c r="G79" t="inlineStr">
        <is>
          <t>BS010, PL003</t>
        </is>
      </c>
      <c r="H79" t="inlineStr">
        <is>
          <t>8 September 2023</t>
        </is>
      </c>
      <c r="I79" s="2" t="n">
        <v>46368</v>
      </c>
      <c r="J79" t="inlineStr">
        <is>
          <t>Disetujui, Pembekuan</t>
        </is>
      </c>
      <c r="K79" t="n">
        <v>87</v>
      </c>
      <c r="L79" t="inlineStr">
        <is>
          <t>12 Desember 2026</t>
        </is>
      </c>
      <c r="M79" t="inlineStr">
        <is>
          <t>Konstruksi Bangunan Prasarana Sumber Daya Air, Penyiapan Lahan Konstruksi</t>
        </is>
      </c>
      <c r="N79" t="inlineStr">
        <is>
          <t>K, Spesialis</t>
        </is>
      </c>
      <c r="O79" t="inlineStr">
        <is>
          <t>20231213</t>
        </is>
      </c>
      <c r="P79" t="inlineStr">
        <is>
          <t>Kalimantan Tengah</t>
        </is>
      </c>
      <c r="Q79" t="inlineStr"/>
    </row>
    <row r="80">
      <c r="A80" t="inlineStr">
        <is>
          <t>TRI PUTRA PERKASA JAYA</t>
        </is>
      </c>
      <c r="B80" t="inlineStr">
        <is>
          <t>Kab. Deli Serdang</t>
        </is>
      </c>
      <c r="C80" t="inlineStr">
        <is>
          <t>081260578861</t>
        </is>
      </c>
      <c r="D80" t="inlineStr">
        <is>
          <t>triputraperkasajaya@gmail.com</t>
        </is>
      </c>
      <c r="E80" t="inlineStr">
        <is>
          <t>https://lpjk.pu.go.id/search-badan-usaha-detail/NktreXA0bThZS0ZuaGVxMVMxUDhjQT09</t>
        </is>
      </c>
      <c r="F80" t="n">
        <v>2</v>
      </c>
      <c r="G80" t="inlineStr">
        <is>
          <t>BG006, BS001</t>
        </is>
      </c>
      <c r="H80" t="inlineStr">
        <is>
          <t>28 Februari 2023</t>
        </is>
      </c>
      <c r="I80" s="2" t="n">
        <v>46368</v>
      </c>
      <c r="J80" t="inlineStr">
        <is>
          <t>Disetujui</t>
        </is>
      </c>
      <c r="K80" t="n">
        <v>87</v>
      </c>
      <c r="L80" t="inlineStr">
        <is>
          <t>12 Desember 2026</t>
        </is>
      </c>
      <c r="M80" t="inlineStr">
        <is>
          <t>Konstruksi Bangunan Sipil Jalan, Konstruksi Gedung Pendidikan</t>
        </is>
      </c>
      <c r="N80" t="inlineStr">
        <is>
          <t>K</t>
        </is>
      </c>
      <c r="O80" t="inlineStr">
        <is>
          <t>20231205, 20231213</t>
        </is>
      </c>
      <c r="P80" t="inlineStr">
        <is>
          <t>Sumatera Utara</t>
        </is>
      </c>
      <c r="Q80" t="inlineStr"/>
    </row>
    <row r="81">
      <c r="A81" t="inlineStr">
        <is>
          <t>UTAMA KARYA SEMESTA</t>
        </is>
      </c>
      <c r="B81" t="inlineStr">
        <is>
          <t>Kota Tangerang</t>
        </is>
      </c>
      <c r="C81" t="inlineStr">
        <is>
          <t>02135760300</t>
        </is>
      </c>
      <c r="D81" t="inlineStr">
        <is>
          <t>PTutamakaryasemesta@gmail.com</t>
        </is>
      </c>
      <c r="E81" t="inlineStr">
        <is>
          <t>https://lpjk.pu.go.id/search-badan-usaha-detail/TkdpVXZreGNGOFMwUis2Vi8zRFFHZz09</t>
        </is>
      </c>
      <c r="F81" t="n">
        <v>4</v>
      </c>
      <c r="G81" t="inlineStr">
        <is>
          <t>BG001, BS001, BS002, BS004</t>
        </is>
      </c>
      <c r="H81" t="inlineStr">
        <is>
          <t>22 Desember 2003</t>
        </is>
      </c>
      <c r="I81" s="2" t="n">
        <v>46368</v>
      </c>
      <c r="J81" t="inlineStr">
        <is>
          <t>Disetujui</t>
        </is>
      </c>
      <c r="K81" t="n">
        <v>87</v>
      </c>
      <c r="L81" t="inlineStr">
        <is>
          <t>12 Desember 2026</t>
        </is>
      </c>
      <c r="M81" t="inlineStr">
        <is>
          <t>Bangunan Sipil Jembatan, Jalan Layang, Fly Over, dan Underpass, Konstruksi Bangunan Sipil Jalan, Konstruksi Gedung Hunian, Konstruksi Jaringan Irigasi dan Drainase</t>
        </is>
      </c>
      <c r="N81" t="inlineStr">
        <is>
          <t>K</t>
        </is>
      </c>
      <c r="O81" t="inlineStr">
        <is>
          <t>20231213</t>
        </is>
      </c>
      <c r="P81" t="inlineStr">
        <is>
          <t>Banten</t>
        </is>
      </c>
      <c r="Q81" t="inlineStr"/>
    </row>
    <row r="82">
      <c r="A82" t="inlineStr">
        <is>
          <t>VIRENDRA ANUGRAH SEJAHTERA</t>
        </is>
      </c>
      <c r="B82" t="inlineStr">
        <is>
          <t>Kab. Bandung</t>
        </is>
      </c>
      <c r="C82" t="inlineStr">
        <is>
          <t>081215546029</t>
        </is>
      </c>
      <c r="D82" t="inlineStr">
        <is>
          <t>virendraanugrahsejahtera@gmail.com</t>
        </is>
      </c>
      <c r="E82" t="inlineStr">
        <is>
          <t>https://lpjk.pu.go.id/search-badan-usaha-detail/QjZlV3hlMjgwaFJISHdIUnlldktjUT09</t>
        </is>
      </c>
      <c r="F82" t="n">
        <v>1</v>
      </c>
      <c r="G82" t="inlineStr">
        <is>
          <t>BG006</t>
        </is>
      </c>
      <c r="H82" t="inlineStr">
        <is>
          <t>24 September 2021</t>
        </is>
      </c>
      <c r="I82" s="2" t="n">
        <v>46368</v>
      </c>
      <c r="J82" t="inlineStr">
        <is>
          <t>Disetujui</t>
        </is>
      </c>
      <c r="K82" t="n">
        <v>87</v>
      </c>
      <c r="L82" t="inlineStr">
        <is>
          <t>12 Desember 2026</t>
        </is>
      </c>
      <c r="M82" t="inlineStr">
        <is>
          <t>Konstruksi Gedung Pendidikan</t>
        </is>
      </c>
      <c r="N82" t="inlineStr">
        <is>
          <t>K</t>
        </is>
      </c>
      <c r="O82" t="inlineStr">
        <is>
          <t>20231212</t>
        </is>
      </c>
      <c r="P82" t="inlineStr">
        <is>
          <t>Jawa Barat</t>
        </is>
      </c>
      <c r="Q82" t="inlineStr"/>
    </row>
    <row r="83">
      <c r="A83" t="inlineStr">
        <is>
          <t>WIDYA GRAHA PRATAMA</t>
        </is>
      </c>
      <c r="B83" t="inlineStr">
        <is>
          <t>Kab. Kotawaringin Barat</t>
        </is>
      </c>
      <c r="C83" t="inlineStr">
        <is>
          <t>08115239505</t>
        </is>
      </c>
      <c r="D83" t="inlineStr">
        <is>
          <t>widyagrahapratama@gmail.com</t>
        </is>
      </c>
      <c r="E83" t="inlineStr">
        <is>
          <t>https://lpjk.pu.go.id/search-badan-usaha-detail/SU9LbGJJTlk0T2dsbVdGeUtOa0tDQT09</t>
        </is>
      </c>
      <c r="F83" t="n">
        <v>2</v>
      </c>
      <c r="G83" t="inlineStr">
        <is>
          <t>RK001, RK002</t>
        </is>
      </c>
      <c r="H83" t="inlineStr">
        <is>
          <t>6 Januari 2025</t>
        </is>
      </c>
      <c r="I83" s="2" t="n">
        <v>46368</v>
      </c>
      <c r="J83" t="inlineStr">
        <is>
          <t>Disetujui</t>
        </is>
      </c>
      <c r="K83" t="n">
        <v>87</v>
      </c>
      <c r="L83" t="inlineStr">
        <is>
          <t>12 Desember 2026</t>
        </is>
      </c>
      <c r="M83" t="inlineStr">
        <is>
          <t>Jasa Rekayasa Konstruksi Bangunan Gedung Hunian dan Non Hunian, Jasa Rekayasa Pekerjaan Teknik Sipil Sumber Daya Air</t>
        </is>
      </c>
      <c r="N83" t="inlineStr">
        <is>
          <t>K</t>
        </is>
      </c>
      <c r="O83" t="inlineStr">
        <is>
          <t>20231128, 20231204</t>
        </is>
      </c>
      <c r="P83" t="inlineStr">
        <is>
          <t>Kalimantan Tengah</t>
        </is>
      </c>
      <c r="Q83" t="inlineStr"/>
    </row>
    <row r="84">
      <c r="A84" t="inlineStr">
        <is>
          <t>YUDHABAKTI MANDIRI</t>
        </is>
      </c>
      <c r="B84" t="inlineStr">
        <is>
          <t>Kab. Tana Toraja</t>
        </is>
      </c>
      <c r="C84" t="inlineStr">
        <is>
          <t>04232890013</t>
        </is>
      </c>
      <c r="D84" t="inlineStr">
        <is>
          <t>yudhabaktimandiri@yahoo.com</t>
        </is>
      </c>
      <c r="E84" t="inlineStr">
        <is>
          <t>https://lpjk.pu.go.id/search-badan-usaha-detail/TU1nY0JLcitsQUlQaGFHTExLY25UZz09</t>
        </is>
      </c>
      <c r="F84" t="n">
        <v>1</v>
      </c>
      <c r="G84" t="inlineStr">
        <is>
          <t>BS001</t>
        </is>
      </c>
      <c r="H84" t="inlineStr">
        <is>
          <t>29 Maret 1994</t>
        </is>
      </c>
      <c r="I84" s="2" t="n">
        <v>46368</v>
      </c>
      <c r="J84" t="inlineStr">
        <is>
          <t>Disetujui</t>
        </is>
      </c>
      <c r="K84" t="n">
        <v>87</v>
      </c>
      <c r="L84" t="inlineStr">
        <is>
          <t>12 Desember 2026</t>
        </is>
      </c>
      <c r="M84" t="inlineStr">
        <is>
          <t>Konstruksi Bangunan Sipil Jalan</t>
        </is>
      </c>
      <c r="N84" t="inlineStr">
        <is>
          <t>M</t>
        </is>
      </c>
      <c r="O84" t="inlineStr">
        <is>
          <t>20231107</t>
        </is>
      </c>
      <c r="P84" t="inlineStr">
        <is>
          <t>Sulawesi Selatan</t>
        </is>
      </c>
      <c r="Q84" t="inlineStr"/>
    </row>
    <row r="85">
      <c r="A85" t="inlineStr">
        <is>
          <t>ZAHRA ARBU</t>
        </is>
      </c>
      <c r="B85" t="inlineStr">
        <is>
          <t>Kab. Sigi</t>
        </is>
      </c>
      <c r="C85" t="inlineStr">
        <is>
          <t>08114501726</t>
        </is>
      </c>
      <c r="D85" t="inlineStr">
        <is>
          <t>zahraarbu80@gmail.com</t>
        </is>
      </c>
      <c r="E85" t="inlineStr">
        <is>
          <t>https://lpjk.pu.go.id/search-badan-usaha-detail/Ynd5eEt4QVozUDJOdjNJanN5QmFVQT09</t>
        </is>
      </c>
      <c r="F85" t="n">
        <v>10</v>
      </c>
      <c r="G85" t="inlineStr">
        <is>
          <t>BG005, BG006, BS001, BS004, BS010</t>
        </is>
      </c>
      <c r="H85" t="inlineStr">
        <is>
          <t>4 Januari 2018</t>
        </is>
      </c>
      <c r="I85" s="2" t="n">
        <v>46368</v>
      </c>
      <c r="J85" t="inlineStr">
        <is>
          <t>Disetujui</t>
        </is>
      </c>
      <c r="K85" t="n">
        <v>87</v>
      </c>
      <c r="L85" t="inlineStr">
        <is>
          <t>12 Desember 2026</t>
        </is>
      </c>
      <c r="M85" t="inlineStr">
        <is>
          <t>Konstruksi Bangunan Prasarana Sumber Daya Air, Konstruksi Bangunan Sipil Jalan, Konstruksi Gedung Kesehatan, Konstruksi Gedung Pendidikan, Konstruksi Jaringan Irigasi dan Drainase</t>
        </is>
      </c>
      <c r="N85" t="inlineStr">
        <is>
          <t>K</t>
        </is>
      </c>
      <c r="O85" t="inlineStr">
        <is>
          <t>20231213, 20231214</t>
        </is>
      </c>
      <c r="P85" t="inlineStr">
        <is>
          <t>Sulawesi Tengah</t>
        </is>
      </c>
      <c r="Q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cols>
    <col width="33" customWidth="1" min="1" max="1"/>
    <col width="27" customWidth="1" min="2" max="2"/>
    <col width="22" customWidth="1" min="3" max="3"/>
    <col width="36" customWidth="1" min="4" max="4"/>
    <col width="50" customWidth="1" min="5" max="5"/>
    <col width="18" customWidth="1" min="6" max="6"/>
    <col width="50" customWidth="1" min="7" max="7"/>
    <col width="20" customWidth="1" min="8" max="8"/>
    <col width="28" customWidth="1" min="9" max="9"/>
    <col width="22" customWidth="1" min="10" max="10"/>
    <col width="11" customWidth="1" min="11" max="11"/>
    <col width="18"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AGUNG PRATAMA JAYA</t>
        </is>
      </c>
      <c r="B2" t="inlineStr">
        <is>
          <t>Kota Bekasi</t>
        </is>
      </c>
      <c r="C2" t="inlineStr">
        <is>
          <t>0218867159</t>
        </is>
      </c>
      <c r="D2" t="inlineStr">
        <is>
          <t>agungpratamaj@apj.co.id</t>
        </is>
      </c>
      <c r="E2" t="inlineStr">
        <is>
          <t>https://lpjk.pu.go.id/search-badan-usaha-detail/YUVTOHkxVWl5MFdwU0IvM0d1UzI1Zz09</t>
        </is>
      </c>
      <c r="F2" t="n">
        <v>16</v>
      </c>
      <c r="G2" t="inlineStr">
        <is>
          <t>BG002, BG003, BG005, BG006, BS001, BS002, BS004, IN001</t>
        </is>
      </c>
      <c r="H2" t="inlineStr">
        <is>
          <t>11 Januari 2005</t>
        </is>
      </c>
      <c r="I2" s="2" t="n">
        <v>46341</v>
      </c>
      <c r="J2" t="inlineStr">
        <is>
          <t>Disetujui, Pembekuan</t>
        </is>
      </c>
      <c r="K2" t="n">
        <v>60</v>
      </c>
      <c r="L2" t="inlineStr">
        <is>
          <t>15 November 2026</t>
        </is>
      </c>
      <c r="M2" t="inlineStr">
        <is>
          <t>Bangunan Sipil Jembatan, Jalan Layang, Fly Over, dan Underpass, Instalasi Mekanikal, Konstruksi Bangunan Sipil Jalan, Konstruksi Gedung Industri, Konstruksi Gedung Kesehatan, Konstruksi Gedung Pendidikan, Konstruksi Gedung Perkantoran, Konstruksi Jaringan Irigasi dan Drainase</t>
        </is>
      </c>
      <c r="N2" t="inlineStr">
        <is>
          <t>K, Spesialis</t>
        </is>
      </c>
      <c r="O2" t="inlineStr">
        <is>
          <t>20231115, 20231118</t>
        </is>
      </c>
      <c r="P2" t="inlineStr">
        <is>
          <t>Jawa Barat</t>
        </is>
      </c>
      <c r="Q2" t="inlineStr"/>
    </row>
    <row r="3">
      <c r="A3" t="inlineStr">
        <is>
          <t>AHLI ELEKTRIK INDONESIA</t>
        </is>
      </c>
      <c r="B3" t="inlineStr">
        <is>
          <t>Kota Bogor</t>
        </is>
      </c>
      <c r="C3" t="inlineStr">
        <is>
          <t>081385274746</t>
        </is>
      </c>
      <c r="D3" t="inlineStr">
        <is>
          <t>pt.ahlielektrikindonesia@gmail.com</t>
        </is>
      </c>
      <c r="E3" t="inlineStr">
        <is>
          <t>https://lpjk.pu.go.id/search-badan-usaha-detail/S1l6Zk1Ra29pdzVHUndXVXYzMG1tZz09</t>
        </is>
      </c>
      <c r="F3" t="n">
        <v>1</v>
      </c>
      <c r="G3" t="inlineStr">
        <is>
          <t>BG009</t>
        </is>
      </c>
      <c r="H3" t="inlineStr">
        <is>
          <t>9 Oktober 2018</t>
        </is>
      </c>
      <c r="I3" s="2" t="n">
        <v>46341</v>
      </c>
      <c r="J3" t="inlineStr">
        <is>
          <t>Disetujui</t>
        </is>
      </c>
      <c r="K3" t="n">
        <v>60</v>
      </c>
      <c r="L3" t="inlineStr">
        <is>
          <t>15 November 2026</t>
        </is>
      </c>
      <c r="M3" t="inlineStr">
        <is>
          <t>Konstruksi Gedung Lainnya</t>
        </is>
      </c>
      <c r="N3" t="inlineStr">
        <is>
          <t>K</t>
        </is>
      </c>
      <c r="O3" t="inlineStr">
        <is>
          <t>20231109</t>
        </is>
      </c>
      <c r="P3" t="inlineStr">
        <is>
          <t>Jawa Barat</t>
        </is>
      </c>
      <c r="Q3" s="3">
        <f>HYPERLINK("https://wa.me/6281385274746?text=*[PENGINGAT MASA BERLAKU SBU AHLI ELEKTRIK INDONESIA]*%0A%0AYth. Pimpinan AHLI ELEKTRIK INDONESIA,%0AMohon izin menginformasikan status SBU Anda di sistem LPJK:%0A%0A📄 SBU: BG009%0A📅 Expired: 15 November 2026 (60 Hari Lagi)%0A%0AKami tim PT. ESDEA Assistance Management siap men-support proses perpanjangan segera agar administrasi proyek tidak terhambat%0A%0AApakah boleh saya bantu siapkan estimasi biaya dan waktu pengerjaannya?.", "Hubungi")</f>
        <v/>
      </c>
    </row>
    <row r="4">
      <c r="A4" t="inlineStr">
        <is>
          <t>DZAKY KUSUMA</t>
        </is>
      </c>
      <c r="B4" t="inlineStr">
        <is>
          <t>Kab. Bekasi</t>
        </is>
      </c>
      <c r="C4" t="inlineStr">
        <is>
          <t>081399055222</t>
        </is>
      </c>
      <c r="D4" t="inlineStr">
        <is>
          <t>dzakykusuma2019@gmail.com</t>
        </is>
      </c>
      <c r="E4" t="inlineStr">
        <is>
          <t>https://lpjk.pu.go.id/search-badan-usaha-detail/QWloVEYwL29nZmhGV2NQaEt6RGJBUT09</t>
        </is>
      </c>
      <c r="F4" t="n">
        <v>2</v>
      </c>
      <c r="G4" t="inlineStr">
        <is>
          <t>BG006, BS004</t>
        </is>
      </c>
      <c r="H4" t="inlineStr">
        <is>
          <t>8 Januari 2016</t>
        </is>
      </c>
      <c r="I4" s="2" t="n">
        <v>46341</v>
      </c>
      <c r="J4" t="inlineStr">
        <is>
          <t>Disetujui</t>
        </is>
      </c>
      <c r="K4" t="n">
        <v>60</v>
      </c>
      <c r="L4" t="inlineStr">
        <is>
          <t>15 November 2026</t>
        </is>
      </c>
      <c r="M4" t="inlineStr">
        <is>
          <t>Konstruksi Gedung Pendidikan, Konstruksi Jaringan Irigasi dan Drainase</t>
        </is>
      </c>
      <c r="N4" t="inlineStr">
        <is>
          <t>K</t>
        </is>
      </c>
      <c r="O4" t="inlineStr">
        <is>
          <t>20231107, 20231115</t>
        </is>
      </c>
      <c r="P4" t="inlineStr">
        <is>
          <t>Jawa Barat</t>
        </is>
      </c>
      <c r="Q4" s="3">
        <f>HYPERLINK("https://wa.me/6281399055222?text=*[PENGINGAT MASA BERLAKU SBU DZAKY KUSUMA]*%0A%0AYth. Pimpinan DZAKY KUSUMA,%0AMohon izin menginformasikan status SBU Anda di sistem LPJK:%0A%0A📄 SBU: BG006, BS004%0A📅 Expired: 15 November 2026 (60 Hari Lagi)%0A%0AKami tim PT. ESDEA Assistance Management siap men-support proses perpanjangan segera agar administrasi proyek tidak terhambat%0A%0AApakah boleh saya bantu siapkan estimasi biaya dan waktu pengerjaannya?.", "Hubungi")</f>
        <v/>
      </c>
    </row>
    <row r="5">
      <c r="A5" t="inlineStr">
        <is>
          <t>KARYA MOJANG PERTIWI</t>
        </is>
      </c>
      <c r="B5" t="inlineStr">
        <is>
          <t>Kota Adm. Jakarta Timur</t>
        </is>
      </c>
      <c r="C5" t="inlineStr">
        <is>
          <t>081807799958</t>
        </is>
      </c>
      <c r="D5" t="inlineStr">
        <is>
          <t>ptkmp21@gmail.com</t>
        </is>
      </c>
      <c r="E5" t="inlineStr">
        <is>
          <t>https://lpjk.pu.go.id/search-badan-usaha-detail/SEpvVThiOGxadDJLdG9WUnc4ZWUxZz09</t>
        </is>
      </c>
      <c r="F5" t="n">
        <v>1</v>
      </c>
      <c r="G5" t="inlineStr">
        <is>
          <t>BG006</t>
        </is>
      </c>
      <c r="H5" t="inlineStr">
        <is>
          <t>8 Oktober 2019</t>
        </is>
      </c>
      <c r="I5" s="2" t="n">
        <v>46341</v>
      </c>
      <c r="J5" t="inlineStr">
        <is>
          <t>Disetujui</t>
        </is>
      </c>
      <c r="K5" t="n">
        <v>60</v>
      </c>
      <c r="L5" t="inlineStr">
        <is>
          <t>15 November 2026</t>
        </is>
      </c>
      <c r="M5" t="inlineStr">
        <is>
          <t>Konstruksi Gedung Pendidikan</t>
        </is>
      </c>
      <c r="N5" t="inlineStr">
        <is>
          <t>B</t>
        </is>
      </c>
      <c r="O5" t="inlineStr">
        <is>
          <t>20231106</t>
        </is>
      </c>
      <c r="P5" t="inlineStr">
        <is>
          <t>DKI Jakarta</t>
        </is>
      </c>
      <c r="Q5" s="3">
        <f>HYPERLINK("https://wa.me/6281807799958?text=*[PENGINGAT MASA BERLAKU SBU KARYA MOJANG PERTIWI]*%0A%0AYth. Pimpinan KARYA MOJANG PERTIWI,%0AMohon izin menginformasikan status SBU Anda di sistem LPJK:%0A%0A📄 SBU: BG006%0A📅 Expired: 15 November 2026 (60 Hari Lagi)%0A%0AKami tim PT. ESDEA Assistance Management siap men-support proses perpanjangan segera agar administrasi proyek tidak terhambat%0A%0AApakah boleh saya bantu siapkan estimasi biaya dan waktu pengerjaannya?.", "Hubungi")</f>
        <v/>
      </c>
    </row>
    <row r="6">
      <c r="A6" t="inlineStr">
        <is>
          <t>MANDIRI AMANAH SEJAHTERA</t>
        </is>
      </c>
      <c r="B6" t="inlineStr">
        <is>
          <t>Kota Adm. Jakarta Timur</t>
        </is>
      </c>
      <c r="C6" t="inlineStr">
        <is>
          <t>02184594789</t>
        </is>
      </c>
      <c r="D6" t="inlineStr">
        <is>
          <t>mandiri_amanah_sejahtera@yahoo.com</t>
        </is>
      </c>
      <c r="E6" t="inlineStr">
        <is>
          <t>https://lpjk.pu.go.id/search-badan-usaha-detail/OHlkRWQyQzY5QkYzRXpHL0lKUEFsdz09</t>
        </is>
      </c>
      <c r="F6" t="n">
        <v>1</v>
      </c>
      <c r="G6" t="inlineStr">
        <is>
          <t>BS008</t>
        </is>
      </c>
      <c r="H6" t="inlineStr">
        <is>
          <t>7 Desember 2011</t>
        </is>
      </c>
      <c r="I6" s="2" t="n">
        <v>46341</v>
      </c>
      <c r="J6" t="inlineStr">
        <is>
          <t>Disetujui</t>
        </is>
      </c>
      <c r="K6" t="n">
        <v>60</v>
      </c>
      <c r="L6" t="inlineStr">
        <is>
          <t>15 November 2026</t>
        </is>
      </c>
      <c r="M6" t="inlineStr">
        <is>
          <t>Konstruksi Bangunan Sipil Telekomunikasi untuk Prasarana Transportasi</t>
        </is>
      </c>
      <c r="N6" t="inlineStr">
        <is>
          <t>K</t>
        </is>
      </c>
      <c r="O6" t="inlineStr">
        <is>
          <t>20231115</t>
        </is>
      </c>
      <c r="P6" t="inlineStr">
        <is>
          <t>DKI Jakarta</t>
        </is>
      </c>
      <c r="Q6" t="inlineStr"/>
    </row>
    <row r="7">
      <c r="A7" t="inlineStr">
        <is>
          <t>MATARAM JAYA SEJATI</t>
        </is>
      </c>
      <c r="B7" t="inlineStr">
        <is>
          <t>Kota Adm. Jakarta Timur</t>
        </is>
      </c>
      <c r="C7" t="inlineStr">
        <is>
          <t>081284131323</t>
        </is>
      </c>
      <c r="D7" t="inlineStr">
        <is>
          <t>mataramjayasejati@gmail.com</t>
        </is>
      </c>
      <c r="E7" t="inlineStr">
        <is>
          <t>https://lpjk.pu.go.id/search-badan-usaha-detail/RFIrdUhSN0lSS0ZwQ3hvaHI1NTlRQT09</t>
        </is>
      </c>
      <c r="F7" t="n">
        <v>2</v>
      </c>
      <c r="G7" t="inlineStr">
        <is>
          <t>BS001</t>
        </is>
      </c>
      <c r="H7" t="inlineStr">
        <is>
          <t>6 Desember 2021</t>
        </is>
      </c>
      <c r="I7" s="2" t="n">
        <v>46341</v>
      </c>
      <c r="J7" t="inlineStr">
        <is>
          <t>Disetujui</t>
        </is>
      </c>
      <c r="K7" t="n">
        <v>60</v>
      </c>
      <c r="L7" t="inlineStr">
        <is>
          <t>15 November 2026</t>
        </is>
      </c>
      <c r="M7" t="inlineStr">
        <is>
          <t>Konstruksi Bangunan Sipil Jalan</t>
        </is>
      </c>
      <c r="N7" t="inlineStr">
        <is>
          <t>K</t>
        </is>
      </c>
      <c r="O7" t="inlineStr">
        <is>
          <t>20231110</t>
        </is>
      </c>
      <c r="P7" t="inlineStr">
        <is>
          <t>DKI Jakarta</t>
        </is>
      </c>
      <c r="Q7" s="3">
        <f>HYPERLINK("https://wa.me/6281284131323?text=*[PENGINGAT MASA BERLAKU SBU MATARAM JAYA SEJATI]*%0A%0AYth. Pimpinan MATARAM JAYA SEJATI,%0AMohon izin menginformasikan status SBU Anda di sistem LPJK:%0A%0A📄 SBU: BS001%0A📅 Expired: 15 November 2026 (60 Hari Lagi)%0A%0AKami tim PT. ESDEA Assistance Management siap men-support proses perpanjangan segera agar administrasi proyek tidak terhambat%0A%0AApakah boleh saya bantu siapkan estimasi biaya dan waktu pengerjaannya?.", "Hubungi")</f>
        <v/>
      </c>
    </row>
    <row r="8">
      <c r="A8" t="inlineStr">
        <is>
          <t>PRIMA UNGGUL PERSADA</t>
        </is>
      </c>
      <c r="B8" t="inlineStr">
        <is>
          <t>Kab. Bekasi</t>
        </is>
      </c>
      <c r="C8" t="inlineStr">
        <is>
          <t>02188374701</t>
        </is>
      </c>
      <c r="D8" t="inlineStr">
        <is>
          <t>divisihrdpup@gmail.com</t>
        </is>
      </c>
      <c r="E8" t="inlineStr">
        <is>
          <t>https://lpjk.pu.go.id/search-badan-usaha-detail/eWQwOG9qcTJvRjd0ZGMwbkJIMEs3dz09</t>
        </is>
      </c>
      <c r="F8" t="n">
        <v>1</v>
      </c>
      <c r="G8" t="inlineStr">
        <is>
          <t>BG003</t>
        </is>
      </c>
      <c r="H8" t="inlineStr">
        <is>
          <t>28 November 2000</t>
        </is>
      </c>
      <c r="I8" s="2" t="n">
        <v>46341</v>
      </c>
      <c r="J8" t="inlineStr">
        <is>
          <t>Disetujui</t>
        </is>
      </c>
      <c r="K8" t="n">
        <v>60</v>
      </c>
      <c r="L8" t="inlineStr">
        <is>
          <t>15 November 2026</t>
        </is>
      </c>
      <c r="M8" t="inlineStr">
        <is>
          <t>Konstruksi Gedung Industri</t>
        </is>
      </c>
      <c r="N8" t="inlineStr">
        <is>
          <t>M</t>
        </is>
      </c>
      <c r="O8" t="inlineStr">
        <is>
          <t>20231115</t>
        </is>
      </c>
      <c r="P8" t="inlineStr">
        <is>
          <t>Jawa Barat</t>
        </is>
      </c>
      <c r="Q8" t="inlineStr"/>
    </row>
    <row r="9">
      <c r="A9" t="inlineStr">
        <is>
          <t>REKSA INTI TEKNOLOGI</t>
        </is>
      </c>
      <c r="B9" t="inlineStr">
        <is>
          <t>Kota Bekasi</t>
        </is>
      </c>
      <c r="C9" t="inlineStr">
        <is>
          <t>081380062286</t>
        </is>
      </c>
      <c r="D9" t="inlineStr">
        <is>
          <t>pt.reksaintiteknologi@gmail.com</t>
        </is>
      </c>
      <c r="E9" t="inlineStr">
        <is>
          <t>https://lpjk.pu.go.id/search-badan-usaha-detail/cjBrUXBjL2pEQjU2VFhYM0VuTVZIZz09</t>
        </is>
      </c>
      <c r="F9" t="n">
        <v>1</v>
      </c>
      <c r="G9" t="inlineStr">
        <is>
          <t>BS002</t>
        </is>
      </c>
      <c r="H9" t="inlineStr">
        <is>
          <t>8 Agustus 2022</t>
        </is>
      </c>
      <c r="I9" s="2" t="n">
        <v>46341</v>
      </c>
      <c r="J9" t="inlineStr">
        <is>
          <t>Pencabutan</t>
        </is>
      </c>
      <c r="K9" t="n">
        <v>60</v>
      </c>
      <c r="L9" t="inlineStr">
        <is>
          <t>15 November 2026</t>
        </is>
      </c>
      <c r="M9" t="inlineStr">
        <is>
          <t>Bangunan Sipil Jembatan, Jalan Layang, Fly Over, dan Underpass</t>
        </is>
      </c>
      <c r="N9" t="inlineStr">
        <is>
          <t>K</t>
        </is>
      </c>
      <c r="O9" t="inlineStr">
        <is>
          <t>20231110</t>
        </is>
      </c>
      <c r="P9" t="inlineStr">
        <is>
          <t>Jawa Barat</t>
        </is>
      </c>
      <c r="Q9" s="3">
        <f>HYPERLINK("https://wa.me/6281380062286?text=*[PENGINGAT MASA BERLAKU SBU REKSA INTI TEKNOLOGI]*%0A%0AYth. Pimpinan REKSA INTI TEKNOLOGI,%0AMohon izin menginformasikan status SBU Anda di sistem LPJK:%0A%0A📄 SBU: BS002%0A📅 Expired: 15 November 2026 (60 Hari Lagi)%0A%0AKami tim PT. ESDEA Assistance Management siap men-support proses perpanjangan segera agar administrasi proyek tidak terhambat%0A%0AApakah boleh saya bantu siapkan estimasi biaya dan waktu pengerjaannya?.", "Hubungi")</f>
        <v/>
      </c>
    </row>
    <row r="10">
      <c r="A10" t="inlineStr">
        <is>
          <t>SAIBAN INDO CREATIVE</t>
        </is>
      </c>
      <c r="B10" t="inlineStr">
        <is>
          <t>Kota Bogor</t>
        </is>
      </c>
      <c r="C10" t="inlineStr">
        <is>
          <t>083193522245</t>
        </is>
      </c>
      <c r="D10" t="inlineStr">
        <is>
          <t>saibanindocreative.pt@gmail.com</t>
        </is>
      </c>
      <c r="E10" t="inlineStr">
        <is>
          <t>https://lpjk.pu.go.id/search-badan-usaha-detail/KzQ4N3kreEFyV0J4VzVaUkNYWVJaZz09</t>
        </is>
      </c>
      <c r="F10" t="n">
        <v>2</v>
      </c>
      <c r="G10" t="inlineStr">
        <is>
          <t>BS001, BS004</t>
        </is>
      </c>
      <c r="H10" t="inlineStr">
        <is>
          <t>10 Oktober 2023</t>
        </is>
      </c>
      <c r="I10" s="2" t="n">
        <v>46341</v>
      </c>
      <c r="J10" t="inlineStr">
        <is>
          <t>Disetujui</t>
        </is>
      </c>
      <c r="K10" t="n">
        <v>60</v>
      </c>
      <c r="L10" t="inlineStr">
        <is>
          <t>15 November 2026</t>
        </is>
      </c>
      <c r="M10" t="inlineStr">
        <is>
          <t>Konstruksi Bangunan Sipil Jalan, Konstruksi Jaringan Irigasi dan Drainase</t>
        </is>
      </c>
      <c r="N10" t="inlineStr">
        <is>
          <t>K</t>
        </is>
      </c>
      <c r="O10" t="inlineStr">
        <is>
          <t>20231115, 20231116</t>
        </is>
      </c>
      <c r="P10" t="inlineStr">
        <is>
          <t>Jawa Barat</t>
        </is>
      </c>
      <c r="Q10" s="3">
        <f>HYPERLINK("https://wa.me/6283193522245?text=*[PENGINGAT MASA BERLAKU SBU SAIBAN INDO CREATIVE]*%0A%0AYth. Pimpinan SAIBAN INDO CREATIVE,%0AMohon izin menginformasikan status SBU Anda di sistem LPJK:%0A%0A📄 SBU: BS001, BS004%0A📅 Expired: 15 November 2026 (60 Hari Lagi)%0A%0AKami tim PT. ESDEA Assistance Management siap men-support proses perpanjangan segera agar administrasi proyek tidak terhambat%0A%0AApakah boleh saya bantu siapkan estimasi biaya dan waktu pengerjaannya?.", "Hubungi")</f>
        <v/>
      </c>
    </row>
    <row r="11">
      <c r="A11" t="inlineStr">
        <is>
          <t>SEKAWAN MANDIRI</t>
        </is>
      </c>
      <c r="B11" t="inlineStr">
        <is>
          <t>Kota Bogor</t>
        </is>
      </c>
      <c r="C11" t="inlineStr">
        <is>
          <t>085880604140</t>
        </is>
      </c>
      <c r="D11" t="inlineStr">
        <is>
          <t>info@sekawanmandiri.co.id</t>
        </is>
      </c>
      <c r="E11" t="inlineStr">
        <is>
          <t>https://lpjk.pu.go.id/search-badan-usaha-detail/U2JFcWpTRWFhcW10dG5WNjg5dEZTQT09</t>
        </is>
      </c>
      <c r="F11" t="n">
        <v>2</v>
      </c>
      <c r="G11" t="inlineStr">
        <is>
          <t>IN008</t>
        </is>
      </c>
      <c r="H11" t="inlineStr">
        <is>
          <t>4 Januari 2021</t>
        </is>
      </c>
      <c r="I11" s="2" t="n">
        <v>46341</v>
      </c>
      <c r="J11" t="inlineStr">
        <is>
          <t>Disetujui</t>
        </is>
      </c>
      <c r="K11" t="n">
        <v>60</v>
      </c>
      <c r="L11" t="inlineStr">
        <is>
          <t>15 November 2026</t>
        </is>
      </c>
      <c r="M11" t="inlineStr">
        <is>
          <t>Instalasi Pendingin Dan Ventilasi Udara</t>
        </is>
      </c>
      <c r="N11" t="inlineStr">
        <is>
          <t>Spesialis</t>
        </is>
      </c>
      <c r="O11" t="inlineStr">
        <is>
          <t>20231115</t>
        </is>
      </c>
      <c r="P11" t="inlineStr">
        <is>
          <t>Jawa Barat</t>
        </is>
      </c>
      <c r="Q11" s="3">
        <f>HYPERLINK("https://wa.me/6285880604140?text=*[PENGINGAT MASA BERLAKU SBU SEKAWAN MANDIRI]*%0A%0AYth. Pimpinan SEKAWAN MANDIRI,%0AMohon izin menginformasikan status SBU Anda di sistem LPJK:%0A%0A📄 SBU: IN008%0A📅 Expired: 15 November 2026 (60 Hari Lagi)%0A%0AKami tim PT. ESDEA Assistance Management siap men-support proses perpanjangan segera agar administrasi proyek tidak terhambat%0A%0AApakah boleh saya bantu siapkan estimasi biaya dan waktu pengerjaannya?.", "Hubungi")</f>
        <v/>
      </c>
    </row>
    <row r="12">
      <c r="A12" t="inlineStr">
        <is>
          <t>AGUNG KUSUMA</t>
        </is>
      </c>
      <c r="B12" t="inlineStr">
        <is>
          <t>Kota Palembang</t>
        </is>
      </c>
      <c r="C12" t="inlineStr">
        <is>
          <t>0711444296</t>
        </is>
      </c>
      <c r="D12" t="inlineStr">
        <is>
          <t>agungkusuma2007@gmail.com</t>
        </is>
      </c>
      <c r="E12" t="inlineStr">
        <is>
          <t>https://lpjk.pu.go.id/search-badan-usaha-detail/dlFIeXBKaHlCTDdFbzNoM2tONjlxQT09</t>
        </is>
      </c>
      <c r="F12" t="n">
        <v>2</v>
      </c>
      <c r="G12" t="inlineStr">
        <is>
          <t>BG009</t>
        </is>
      </c>
      <c r="H12" t="inlineStr">
        <is>
          <t>30 Juli 2007</t>
        </is>
      </c>
      <c r="I12" s="2" t="n">
        <v>46341</v>
      </c>
      <c r="J12" t="inlineStr">
        <is>
          <t>Disetujui</t>
        </is>
      </c>
      <c r="K12" t="n">
        <v>60</v>
      </c>
      <c r="L12" t="inlineStr">
        <is>
          <t>15 November 2026</t>
        </is>
      </c>
      <c r="M12" t="inlineStr">
        <is>
          <t>Konstruksi Gedung Lainnya</t>
        </is>
      </c>
      <c r="N12" t="inlineStr">
        <is>
          <t>B</t>
        </is>
      </c>
      <c r="O12" t="inlineStr">
        <is>
          <t>20231026</t>
        </is>
      </c>
      <c r="P12" t="inlineStr">
        <is>
          <t>Sumatera Selatan</t>
        </is>
      </c>
      <c r="Q12" t="inlineStr"/>
    </row>
    <row r="13">
      <c r="A13" t="inlineStr">
        <is>
          <t>AKA DESIGN DAN ENGINEERING</t>
        </is>
      </c>
      <c r="B13" t="inlineStr">
        <is>
          <t>Kab. Malang</t>
        </is>
      </c>
      <c r="C13" t="inlineStr">
        <is>
          <t>081232662022</t>
        </is>
      </c>
      <c r="D13" t="inlineStr">
        <is>
          <t>akdesignengineering@gmail.com</t>
        </is>
      </c>
      <c r="E13" t="inlineStr">
        <is>
          <t>https://lpjk.pu.go.id/search-badan-usaha-detail/SE83M1hsLzJzVzVYS3BHYmR2Uno5dz09</t>
        </is>
      </c>
      <c r="F13" t="n">
        <v>1</v>
      </c>
      <c r="G13" t="inlineStr">
        <is>
          <t>RK002</t>
        </is>
      </c>
      <c r="H13" t="inlineStr">
        <is>
          <t>15 Mei 2017</t>
        </is>
      </c>
      <c r="I13" s="2" t="n">
        <v>46341</v>
      </c>
      <c r="J13" t="inlineStr">
        <is>
          <t>Pencabutan</t>
        </is>
      </c>
      <c r="K13" t="n">
        <v>60</v>
      </c>
      <c r="L13" t="inlineStr">
        <is>
          <t>15 November 2026</t>
        </is>
      </c>
      <c r="M13" t="inlineStr">
        <is>
          <t>Jasa Rekayasa Pekerjaan Teknik Sipil Sumber Daya Air</t>
        </is>
      </c>
      <c r="N13" t="inlineStr">
        <is>
          <t>K</t>
        </is>
      </c>
      <c r="O13" t="inlineStr">
        <is>
          <t>20231113</t>
        </is>
      </c>
      <c r="P13" t="inlineStr">
        <is>
          <t>Jawa Timur</t>
        </is>
      </c>
      <c r="Q13" t="inlineStr"/>
    </row>
    <row r="14">
      <c r="A14" t="inlineStr">
        <is>
          <t>AKBAR JAYA KONSULTAN</t>
        </is>
      </c>
      <c r="B14" t="inlineStr">
        <is>
          <t>Kota Bandar Lampung</t>
        </is>
      </c>
      <c r="C14" t="inlineStr">
        <is>
          <t>081278308307</t>
        </is>
      </c>
      <c r="D14" t="inlineStr">
        <is>
          <t>akbarjayaconsultant@yahoo.co.id</t>
        </is>
      </c>
      <c r="E14" t="inlineStr">
        <is>
          <t>https://lpjk.pu.go.id/search-badan-usaha-detail/TlVGTHYyci9DWHFNQkJaWU5YRE5Hdz09</t>
        </is>
      </c>
      <c r="F14" t="n">
        <v>1</v>
      </c>
      <c r="G14" t="inlineStr">
        <is>
          <t>AL003</t>
        </is>
      </c>
      <c r="H14" t="inlineStr">
        <is>
          <t>22 September 1998</t>
        </is>
      </c>
      <c r="I14" s="2" t="n">
        <v>46341</v>
      </c>
      <c r="J14" t="inlineStr">
        <is>
          <t>Disetujui</t>
        </is>
      </c>
      <c r="K14" t="n">
        <v>60</v>
      </c>
      <c r="L14" t="inlineStr">
        <is>
          <t>15 November 2026</t>
        </is>
      </c>
      <c r="M14" t="inlineStr">
        <is>
          <t>Jasa Pengembangan Perkotaan</t>
        </is>
      </c>
      <c r="N14" t="inlineStr">
        <is>
          <t>K</t>
        </is>
      </c>
      <c r="O14" t="inlineStr">
        <is>
          <t>20231107</t>
        </is>
      </c>
      <c r="P14" t="inlineStr">
        <is>
          <t>Lampung</t>
        </is>
      </c>
      <c r="Q14" t="inlineStr"/>
    </row>
    <row r="15">
      <c r="A15" t="inlineStr">
        <is>
          <t>ALAM JAYA PERKASA</t>
        </is>
      </c>
      <c r="B15" t="inlineStr">
        <is>
          <t>Kab. Sidoarjo</t>
        </is>
      </c>
      <c r="C15" t="inlineStr">
        <is>
          <t>0318068967</t>
        </is>
      </c>
      <c r="D15" t="inlineStr">
        <is>
          <t>alamjayaperkasa.cv@gmail.com</t>
        </is>
      </c>
      <c r="E15" t="inlineStr">
        <is>
          <t>https://lpjk.pu.go.id/search-badan-usaha-detail/R0hEVjB5UjhrMUdLSjk3QUVjUGxKdz09</t>
        </is>
      </c>
      <c r="F15" t="n">
        <v>2</v>
      </c>
      <c r="G15" t="inlineStr">
        <is>
          <t>BG002, BS001</t>
        </is>
      </c>
      <c r="H15" t="inlineStr">
        <is>
          <t>19 November 2020</t>
        </is>
      </c>
      <c r="I15" s="2" t="n">
        <v>46341</v>
      </c>
      <c r="J15" t="inlineStr">
        <is>
          <t>Disetujui</t>
        </is>
      </c>
      <c r="K15" t="n">
        <v>60</v>
      </c>
      <c r="L15" t="inlineStr">
        <is>
          <t>15 November 2026</t>
        </is>
      </c>
      <c r="M15" t="inlineStr">
        <is>
          <t>Konstruksi Bangunan Sipil Jalan, Konstruksi Gedung Perkantoran</t>
        </is>
      </c>
      <c r="N15" t="inlineStr">
        <is>
          <t>K</t>
        </is>
      </c>
      <c r="O15" t="inlineStr">
        <is>
          <t>20231114</t>
        </is>
      </c>
      <c r="P15" t="inlineStr">
        <is>
          <t>Jawa Timur</t>
        </is>
      </c>
      <c r="Q15" t="inlineStr"/>
    </row>
    <row r="16">
      <c r="A16" t="inlineStr">
        <is>
          <t>ALIF SAPUTRA</t>
        </is>
      </c>
      <c r="B16" t="inlineStr">
        <is>
          <t>Kab. Bondowoso</t>
        </is>
      </c>
      <c r="C16" t="inlineStr">
        <is>
          <t>082325606970</t>
        </is>
      </c>
      <c r="D16" t="inlineStr">
        <is>
          <t>cvalifsaputra@gmail.com</t>
        </is>
      </c>
      <c r="E16" t="inlineStr">
        <is>
          <t>https://lpjk.pu.go.id/search-badan-usaha-detail/aFdPMFdScEZyQjVJMGR3bUtoSlk1QT09</t>
        </is>
      </c>
      <c r="F16" t="n">
        <v>2</v>
      </c>
      <c r="G16" t="inlineStr">
        <is>
          <t>BG009, BS004</t>
        </is>
      </c>
      <c r="H16" t="inlineStr">
        <is>
          <t>22 Desember 2015</t>
        </is>
      </c>
      <c r="I16" s="2" t="n">
        <v>46341</v>
      </c>
      <c r="J16" t="inlineStr">
        <is>
          <t>Disetujui</t>
        </is>
      </c>
      <c r="K16" t="n">
        <v>60</v>
      </c>
      <c r="L16" t="inlineStr">
        <is>
          <t>15 November 2026</t>
        </is>
      </c>
      <c r="M16" t="inlineStr">
        <is>
          <t>Konstruksi Gedung Lainnya, Konstruksi Jaringan Irigasi dan Drainase</t>
        </is>
      </c>
      <c r="N16" t="inlineStr">
        <is>
          <t>K</t>
        </is>
      </c>
      <c r="O16" t="inlineStr">
        <is>
          <t>20231116</t>
        </is>
      </c>
      <c r="P16" t="inlineStr">
        <is>
          <t>Jawa Timur</t>
        </is>
      </c>
      <c r="Q16" t="inlineStr"/>
    </row>
    <row r="17">
      <c r="A17" t="inlineStr">
        <is>
          <t>ANGKASA JAYA</t>
        </is>
      </c>
      <c r="B17" t="inlineStr">
        <is>
          <t>Kab. Banjarnegara</t>
        </is>
      </c>
      <c r="C17" t="inlineStr">
        <is>
          <t>082219017404</t>
        </is>
      </c>
      <c r="D17" t="inlineStr">
        <is>
          <t>cvangkasajaya33@gmail.com</t>
        </is>
      </c>
      <c r="E17" t="inlineStr">
        <is>
          <t>https://lpjk.pu.go.id/search-badan-usaha-detail/YXhaT0lrMTRYMmlYdDdIeE1KRVJnQT09</t>
        </is>
      </c>
      <c r="F17" t="n">
        <v>14</v>
      </c>
      <c r="G17" t="inlineStr">
        <is>
          <t>BG002, BG005, BG006, BG008, BG009, BS001, BS004</t>
        </is>
      </c>
      <c r="H17" t="inlineStr">
        <is>
          <t>1 Maret 2017</t>
        </is>
      </c>
      <c r="I17" s="2" t="n">
        <v>46341</v>
      </c>
      <c r="J17" t="inlineStr">
        <is>
          <t>Disetujui</t>
        </is>
      </c>
      <c r="K17" t="n">
        <v>60</v>
      </c>
      <c r="L17" t="inlineStr">
        <is>
          <t>15 November 2026</t>
        </is>
      </c>
      <c r="M17" t="inlineStr">
        <is>
          <t>Konstruksi Bangunan Sipil Jalan, Konstruksi Gedung Kesehatan, Konstruksi Gedung Lainnya, Konstruksi Gedung Pendidikan, Konstruksi Gedung Perkantoran, Konstruksi Gedung Tempat Hiburan dan Olahraga, Konstruksi Jaringan Irigasi dan Drainase</t>
        </is>
      </c>
      <c r="N17" t="inlineStr">
        <is>
          <t>K</t>
        </is>
      </c>
      <c r="O17" t="inlineStr">
        <is>
          <t>20231110, 20231111</t>
        </is>
      </c>
      <c r="P17" t="inlineStr">
        <is>
          <t>Jawa Tengah</t>
        </is>
      </c>
      <c r="Q17" t="inlineStr"/>
    </row>
    <row r="18">
      <c r="A18" t="inlineStr">
        <is>
          <t>ANUGRAH MANDIRI SUKSES</t>
        </is>
      </c>
      <c r="B18" t="inlineStr">
        <is>
          <t>Kab. Tangerang</t>
        </is>
      </c>
      <c r="C18" t="inlineStr">
        <is>
          <t>02172789011</t>
        </is>
      </c>
      <c r="D18" t="inlineStr">
        <is>
          <t>magnabsd@yahoo.com</t>
        </is>
      </c>
      <c r="E18" t="inlineStr">
        <is>
          <t>https://lpjk.pu.go.id/search-badan-usaha-detail/c0s0Tk9DUVF5UUVORnZlZ3ZQT0hGUT09</t>
        </is>
      </c>
      <c r="F18" t="n">
        <v>8</v>
      </c>
      <c r="G18" t="inlineStr">
        <is>
          <t>BG001, BG002, BG007, PB004</t>
        </is>
      </c>
      <c r="H18" t="inlineStr">
        <is>
          <t>5 Desember 2019</t>
        </is>
      </c>
      <c r="I18" s="2" t="n">
        <v>46341</v>
      </c>
      <c r="J18" t="inlineStr">
        <is>
          <t>Disetujui</t>
        </is>
      </c>
      <c r="K18" t="n">
        <v>60</v>
      </c>
      <c r="L18" t="inlineStr">
        <is>
          <t>15 November 2026</t>
        </is>
      </c>
      <c r="M18" t="inlineStr">
        <is>
          <t>Dekorasi Interior, Konstruksi Gedung Hunian, Konstruksi Gedung Penginapan, Konstruksi Gedung Perkantoran</t>
        </is>
      </c>
      <c r="N18" t="inlineStr">
        <is>
          <t>K, Spesialis</t>
        </is>
      </c>
      <c r="O18" t="inlineStr">
        <is>
          <t>20231113, 20231117</t>
        </is>
      </c>
      <c r="P18" t="inlineStr">
        <is>
          <t>Banten</t>
        </is>
      </c>
      <c r="Q18" t="inlineStr"/>
    </row>
    <row r="19">
      <c r="A19" t="inlineStr">
        <is>
          <t>ANUGRAH PAPUA MANDIRI</t>
        </is>
      </c>
      <c r="B19" t="inlineStr">
        <is>
          <t>Kota Sorong</t>
        </is>
      </c>
      <c r="C19" t="inlineStr">
        <is>
          <t>08524135621</t>
        </is>
      </c>
      <c r="D19" t="inlineStr">
        <is>
          <t>anugrahpapuamandiri@gmail.com</t>
        </is>
      </c>
      <c r="E19" t="inlineStr">
        <is>
          <t>https://lpjk.pu.go.id/search-badan-usaha-detail/Zk9NbUd5NnNqNVl4OWFzT05odmE5UT09</t>
        </is>
      </c>
      <c r="F19" t="n">
        <v>8</v>
      </c>
      <c r="G19" t="inlineStr">
        <is>
          <t>BG006, BS001, BS002, BS004</t>
        </is>
      </c>
      <c r="H19" t="inlineStr">
        <is>
          <t>1 Agustus 2023</t>
        </is>
      </c>
      <c r="I19" s="2" t="n">
        <v>46341</v>
      </c>
      <c r="J19" t="inlineStr">
        <is>
          <t>Pencabutan</t>
        </is>
      </c>
      <c r="K19" t="n">
        <v>60</v>
      </c>
      <c r="L19" t="inlineStr">
        <is>
          <t>15 November 2026</t>
        </is>
      </c>
      <c r="M19" t="inlineStr">
        <is>
          <t>Bangunan Sipil Jembatan, Jalan Layang, Fly Over, dan Underpass, Konstruksi Bangunan Sipil Jalan, Konstruksi Gedung Pendidikan, Konstruksi Jaringan Irigasi dan Drainase</t>
        </is>
      </c>
      <c r="N19" t="inlineStr">
        <is>
          <t>K</t>
        </is>
      </c>
      <c r="O19" t="inlineStr">
        <is>
          <t>20231110</t>
        </is>
      </c>
      <c r="P19" t="inlineStr">
        <is>
          <t>Papua Barat Daya</t>
        </is>
      </c>
      <c r="Q19" t="inlineStr"/>
    </row>
    <row r="20">
      <c r="A20" t="inlineStr">
        <is>
          <t>AYAHE PUTRA</t>
        </is>
      </c>
      <c r="B20" t="inlineStr">
        <is>
          <t>Kab. Banyuwangi</t>
        </is>
      </c>
      <c r="C20" t="inlineStr">
        <is>
          <t>081259845273</t>
        </is>
      </c>
      <c r="D20" t="inlineStr">
        <is>
          <t>cvayaheputra@gmail.com</t>
        </is>
      </c>
      <c r="E20" t="inlineStr">
        <is>
          <t>https://lpjk.pu.go.id/search-badan-usaha-detail/cEdKMjhFY2V6dkxOTW5JdVBZS0JVZz09</t>
        </is>
      </c>
      <c r="F20" t="n">
        <v>2</v>
      </c>
      <c r="G20" t="inlineStr">
        <is>
          <t>BS001, BS004</t>
        </is>
      </c>
      <c r="H20" t="inlineStr">
        <is>
          <t>15 Juni 2021</t>
        </is>
      </c>
      <c r="I20" s="2" t="n">
        <v>46341</v>
      </c>
      <c r="J20" t="inlineStr">
        <is>
          <t>Disetujui</t>
        </is>
      </c>
      <c r="K20" t="n">
        <v>60</v>
      </c>
      <c r="L20" t="inlineStr">
        <is>
          <t>15 November 2026</t>
        </is>
      </c>
      <c r="M20" t="inlineStr">
        <is>
          <t>Konstruksi Bangunan Sipil Jalan, Konstruksi Jaringan Irigasi dan Drainase</t>
        </is>
      </c>
      <c r="N20" t="inlineStr">
        <is>
          <t>K</t>
        </is>
      </c>
      <c r="O20" t="inlineStr">
        <is>
          <t>20231115</t>
        </is>
      </c>
      <c r="P20" t="inlineStr">
        <is>
          <t>Jawa Timur</t>
        </is>
      </c>
      <c r="Q20" t="inlineStr"/>
    </row>
    <row r="21">
      <c r="A21" t="inlineStr">
        <is>
          <t>BAGAS BERKARYA</t>
        </is>
      </c>
      <c r="B21" t="inlineStr">
        <is>
          <t>Kab. Pesisir Selatan</t>
        </is>
      </c>
      <c r="C21" t="inlineStr">
        <is>
          <t>081275113108</t>
        </is>
      </c>
      <c r="D21" t="inlineStr">
        <is>
          <t>cvbagasberkarya@gmail.com</t>
        </is>
      </c>
      <c r="E21" t="inlineStr">
        <is>
          <t>https://lpjk.pu.go.id/search-badan-usaha-detail/cUxUc3poUUVTUVNBSWduRTdqc0JXQT09</t>
        </is>
      </c>
      <c r="F21" t="n">
        <v>1</v>
      </c>
      <c r="G21" t="inlineStr">
        <is>
          <t>BG006</t>
        </is>
      </c>
      <c r="H21" t="inlineStr">
        <is>
          <t>20 Oktober 2023</t>
        </is>
      </c>
      <c r="I21" s="2" t="n">
        <v>46341</v>
      </c>
      <c r="J21" t="inlineStr">
        <is>
          <t>Disetujui</t>
        </is>
      </c>
      <c r="K21" t="n">
        <v>60</v>
      </c>
      <c r="L21" t="inlineStr">
        <is>
          <t>15 November 2026</t>
        </is>
      </c>
      <c r="M21" t="inlineStr">
        <is>
          <t>Konstruksi Gedung Pendidikan</t>
        </is>
      </c>
      <c r="N21" t="inlineStr">
        <is>
          <t>K</t>
        </is>
      </c>
      <c r="O21" t="inlineStr">
        <is>
          <t>20231115</t>
        </is>
      </c>
      <c r="P21" t="inlineStr">
        <is>
          <t>Sumatera Barat</t>
        </is>
      </c>
      <c r="Q21" t="inlineStr"/>
    </row>
    <row r="22">
      <c r="A22" t="inlineStr">
        <is>
          <t>BANGUN BANUA</t>
        </is>
      </c>
      <c r="B22" t="inlineStr">
        <is>
          <t>Kab. Tabalong</t>
        </is>
      </c>
      <c r="C22" t="inlineStr">
        <is>
          <t>085251180533</t>
        </is>
      </c>
      <c r="D22" t="inlineStr">
        <is>
          <t>bangun.banua@yahoo.com</t>
        </is>
      </c>
      <c r="E22" t="inlineStr">
        <is>
          <t>https://lpjk.pu.go.id/search-badan-usaha-detail/eTE2dko4cXFaVnA1eWNiL01oa1o0QT09</t>
        </is>
      </c>
      <c r="F22" t="n">
        <v>5</v>
      </c>
      <c r="G22" t="inlineStr">
        <is>
          <t>BG002, BG005, BG006, BG009, BS001</t>
        </is>
      </c>
      <c r="H22" t="inlineStr">
        <is>
          <t>25 Mei 2010</t>
        </is>
      </c>
      <c r="I22" s="2" t="n">
        <v>46341</v>
      </c>
      <c r="J22" t="inlineStr">
        <is>
          <t>Disetujui</t>
        </is>
      </c>
      <c r="K22" t="n">
        <v>60</v>
      </c>
      <c r="L22" t="inlineStr">
        <is>
          <t>15 November 2026</t>
        </is>
      </c>
      <c r="M22" t="inlineStr">
        <is>
          <t>Konstruksi Bangunan Sipil Jalan, Konstruksi Gedung Kesehatan, Konstruksi Gedung Lainnya, Konstruksi Gedung Pendidikan, Konstruksi Gedung Perkantoran</t>
        </is>
      </c>
      <c r="N22" t="inlineStr">
        <is>
          <t>K</t>
        </is>
      </c>
      <c r="O22" t="inlineStr">
        <is>
          <t>20231103, 20231106</t>
        </is>
      </c>
      <c r="P22" t="inlineStr">
        <is>
          <t>Kalimantan Selatan</t>
        </is>
      </c>
      <c r="Q22" t="inlineStr"/>
    </row>
    <row r="23">
      <c r="A23" t="inlineStr">
        <is>
          <t>BANGUN CIPTA REJEKI</t>
        </is>
      </c>
      <c r="B23" t="inlineStr">
        <is>
          <t>Kota Pangkal Pinang</t>
        </is>
      </c>
      <c r="C23" t="inlineStr">
        <is>
          <t>07174256222</t>
        </is>
      </c>
      <c r="D23" t="inlineStr">
        <is>
          <t>bangun_cipta_rejeki@ymail.com</t>
        </is>
      </c>
      <c r="E23" t="inlineStr">
        <is>
          <t>https://lpjk.pu.go.id/search-badan-usaha-detail/eHpVeTRFZ1hqaU9nNXRETXM3RXorUT09</t>
        </is>
      </c>
      <c r="F23" t="n">
        <v>1</v>
      </c>
      <c r="G23" t="inlineStr">
        <is>
          <t>BS001</t>
        </is>
      </c>
      <c r="H23" t="inlineStr">
        <is>
          <t>29 Agustus 1994</t>
        </is>
      </c>
      <c r="I23" s="2" t="n">
        <v>46341</v>
      </c>
      <c r="J23" t="inlineStr">
        <is>
          <t>Disetujui</t>
        </is>
      </c>
      <c r="K23" t="n">
        <v>60</v>
      </c>
      <c r="L23" t="inlineStr">
        <is>
          <t>15 November 2026</t>
        </is>
      </c>
      <c r="M23" t="inlineStr">
        <is>
          <t>Konstruksi Bangunan Sipil Jalan</t>
        </is>
      </c>
      <c r="N23" t="inlineStr">
        <is>
          <t>K</t>
        </is>
      </c>
      <c r="O23" t="inlineStr">
        <is>
          <t>20231116</t>
        </is>
      </c>
      <c r="P23" t="inlineStr">
        <is>
          <t>Kepulauan Bangka Belitung</t>
        </is>
      </c>
      <c r="Q23" t="inlineStr"/>
    </row>
    <row r="24">
      <c r="A24" t="inlineStr">
        <is>
          <t>BANGUN ESTETIKA SEJAHTERA</t>
        </is>
      </c>
      <c r="B24" t="inlineStr">
        <is>
          <t>Kab. Bandung Barat</t>
        </is>
      </c>
      <c r="C24" t="inlineStr">
        <is>
          <t>081381518640</t>
        </is>
      </c>
      <c r="D24" t="inlineStr">
        <is>
          <t>estetika.build@gmail.com</t>
        </is>
      </c>
      <c r="E24" t="inlineStr">
        <is>
          <t>https://lpjk.pu.go.id/search-badan-usaha-detail/eUliK0p6MWNBMjBNRDJiMHRUQTNndz09</t>
        </is>
      </c>
      <c r="F24" t="n">
        <v>4</v>
      </c>
      <c r="G24" t="inlineStr">
        <is>
          <t>BG001, BG002, BG004, BG007</t>
        </is>
      </c>
      <c r="H24" t="inlineStr">
        <is>
          <t>18 Januari 2020</t>
        </is>
      </c>
      <c r="I24" s="2" t="n">
        <v>46341</v>
      </c>
      <c r="J24" t="inlineStr">
        <is>
          <t>Disetujui</t>
        </is>
      </c>
      <c r="K24" t="n">
        <v>60</v>
      </c>
      <c r="L24" t="inlineStr">
        <is>
          <t>15 November 2026</t>
        </is>
      </c>
      <c r="M24" t="inlineStr">
        <is>
          <t>Konstruksi Gedung Hunian, Konstruksi Gedung Penginapan, Konstruksi Gedung Perbelanjaan, Konstruksi Gedung Perkantoran</t>
        </is>
      </c>
      <c r="N24" t="inlineStr">
        <is>
          <t>K</t>
        </is>
      </c>
      <c r="O24" t="inlineStr">
        <is>
          <t>20230918, 20231107</t>
        </is>
      </c>
      <c r="P24" t="inlineStr">
        <is>
          <t>Jawa Barat</t>
        </is>
      </c>
      <c r="Q24" t="inlineStr"/>
    </row>
    <row r="25">
      <c r="A25" t="inlineStr">
        <is>
          <t>BANGUN KARTA</t>
        </is>
      </c>
      <c r="B25" t="inlineStr">
        <is>
          <t>Kab. Sidoarjo</t>
        </is>
      </c>
      <c r="C25" t="inlineStr">
        <is>
          <t>081330521244</t>
        </is>
      </c>
      <c r="D25" t="inlineStr">
        <is>
          <t>bangunkarta_cv@yahoo.co.id</t>
        </is>
      </c>
      <c r="E25" t="inlineStr">
        <is>
          <t>https://lpjk.pu.go.id/search-badan-usaha-detail/d0lidktWMmFnTWRiamtIKzRyNzUxQT09</t>
        </is>
      </c>
      <c r="F25" t="n">
        <v>1</v>
      </c>
      <c r="G25" t="inlineStr">
        <is>
          <t>BS001</t>
        </is>
      </c>
      <c r="H25" t="inlineStr">
        <is>
          <t>15 Maret 1997</t>
        </is>
      </c>
      <c r="I25" s="2" t="n">
        <v>46341</v>
      </c>
      <c r="J25" t="inlineStr">
        <is>
          <t>Disetujui</t>
        </is>
      </c>
      <c r="K25" t="n">
        <v>60</v>
      </c>
      <c r="L25" t="inlineStr">
        <is>
          <t>15 November 2026</t>
        </is>
      </c>
      <c r="M25" t="inlineStr">
        <is>
          <t>Konstruksi Bangunan Sipil Jalan</t>
        </is>
      </c>
      <c r="N25" t="inlineStr">
        <is>
          <t>K</t>
        </is>
      </c>
      <c r="O25" t="inlineStr">
        <is>
          <t>20230913</t>
        </is>
      </c>
      <c r="P25" t="inlineStr">
        <is>
          <t>Jawa Timur</t>
        </is>
      </c>
      <c r="Q25" t="inlineStr"/>
    </row>
    <row r="26">
      <c r="A26" t="inlineStr">
        <is>
          <t>BANGUN KONSULTAN</t>
        </is>
      </c>
      <c r="B26" t="inlineStr">
        <is>
          <t>Kab. Sidoarjo</t>
        </is>
      </c>
      <c r="C26" t="inlineStr">
        <is>
          <t>082232599878</t>
        </is>
      </c>
      <c r="D26" t="inlineStr">
        <is>
          <t>bangunkonsultan01@gmail.com</t>
        </is>
      </c>
      <c r="E26" t="inlineStr">
        <is>
          <t>https://lpjk.pu.go.id/search-badan-usaha-detail/UjVRdG93VG5wdGRmeEk2WldqcWk3Zz09</t>
        </is>
      </c>
      <c r="F26" t="n">
        <v>1</v>
      </c>
      <c r="G26" t="inlineStr">
        <is>
          <t>AR001</t>
        </is>
      </c>
      <c r="H26" t="inlineStr">
        <is>
          <t>24 Oktober 2023</t>
        </is>
      </c>
      <c r="I26" s="2" t="n">
        <v>46341</v>
      </c>
      <c r="J26" t="inlineStr">
        <is>
          <t>Pencabutan</t>
        </is>
      </c>
      <c r="K26" t="n">
        <v>60</v>
      </c>
      <c r="L26" t="inlineStr">
        <is>
          <t>15 November 2026</t>
        </is>
      </c>
      <c r="M26" t="inlineStr">
        <is>
          <t>Jasa Arsitektural Bangunan Gedung Hunian dan Non Hunian</t>
        </is>
      </c>
      <c r="N26" t="inlineStr">
        <is>
          <t>K</t>
        </is>
      </c>
      <c r="O26" t="inlineStr">
        <is>
          <t>20231112</t>
        </is>
      </c>
      <c r="P26" t="inlineStr">
        <is>
          <t>Jawa Timur</t>
        </is>
      </c>
      <c r="Q26" t="inlineStr"/>
    </row>
    <row r="27">
      <c r="A27" t="inlineStr">
        <is>
          <t>BANGUN PILAR MULIA</t>
        </is>
      </c>
      <c r="B27" t="inlineStr">
        <is>
          <t>Kota Surabaya</t>
        </is>
      </c>
      <c r="C27" t="inlineStr">
        <is>
          <t>081313131179</t>
        </is>
      </c>
      <c r="D27" t="inlineStr">
        <is>
          <t>bangunpilarmulia@gmail.com</t>
        </is>
      </c>
      <c r="E27" t="inlineStr">
        <is>
          <t>https://lpjk.pu.go.id/search-badan-usaha-detail/WVM0MWEvcCtBdTVwOEF6K3cydSsvZz09</t>
        </is>
      </c>
      <c r="F27" t="n">
        <v>1</v>
      </c>
      <c r="G27" t="inlineStr">
        <is>
          <t>BG001</t>
        </is>
      </c>
      <c r="H27" t="inlineStr">
        <is>
          <t>5 Juni 2023</t>
        </is>
      </c>
      <c r="I27" s="2" t="n">
        <v>46341</v>
      </c>
      <c r="J27" t="inlineStr">
        <is>
          <t>Pencabutan</t>
        </is>
      </c>
      <c r="K27" t="n">
        <v>60</v>
      </c>
      <c r="L27" t="inlineStr">
        <is>
          <t>15 November 2026</t>
        </is>
      </c>
      <c r="M27" t="inlineStr">
        <is>
          <t>Konstruksi Gedung Hunian</t>
        </is>
      </c>
      <c r="N27" t="inlineStr">
        <is>
          <t>K</t>
        </is>
      </c>
      <c r="O27" t="inlineStr">
        <is>
          <t>20230707</t>
        </is>
      </c>
      <c r="P27" t="inlineStr">
        <is>
          <t>Jawa Timur</t>
        </is>
      </c>
      <c r="Q27" t="inlineStr"/>
    </row>
    <row r="28">
      <c r="A28" t="inlineStr">
        <is>
          <t>BANGUN SELARAS INDONESIA</t>
        </is>
      </c>
      <c r="B28" t="inlineStr">
        <is>
          <t>Kota Tangerang Selatan</t>
        </is>
      </c>
      <c r="C28" t="inlineStr">
        <is>
          <t>081283529685</t>
        </is>
      </c>
      <c r="D28" t="inlineStr">
        <is>
          <t>bangun.selarasindonesia@gmail.com</t>
        </is>
      </c>
      <c r="E28" t="inlineStr">
        <is>
          <t>https://lpjk.pu.go.id/search-badan-usaha-detail/TGhHeDVGOW1OYWtUZy9TeHZFRkhWdz09</t>
        </is>
      </c>
      <c r="F28" t="n">
        <v>1</v>
      </c>
      <c r="G28" t="inlineStr">
        <is>
          <t>BG005</t>
        </is>
      </c>
      <c r="H28" t="inlineStr">
        <is>
          <t>13 Desember 2022</t>
        </is>
      </c>
      <c r="I28" s="2" t="n">
        <v>46341</v>
      </c>
      <c r="J28" t="inlineStr">
        <is>
          <t>Disetujui</t>
        </is>
      </c>
      <c r="K28" t="n">
        <v>60</v>
      </c>
      <c r="L28" t="inlineStr">
        <is>
          <t>15 November 2026</t>
        </is>
      </c>
      <c r="M28" t="inlineStr">
        <is>
          <t>Konstruksi Gedung Kesehatan</t>
        </is>
      </c>
      <c r="N28" t="inlineStr">
        <is>
          <t>K</t>
        </is>
      </c>
      <c r="O28" t="inlineStr">
        <is>
          <t>20231110</t>
        </is>
      </c>
      <c r="P28" t="inlineStr">
        <is>
          <t>Banten</t>
        </is>
      </c>
      <c r="Q28" t="inlineStr"/>
    </row>
    <row r="29">
      <c r="A29" t="inlineStr">
        <is>
          <t>BERKAT INDOHANA LESTARI</t>
        </is>
      </c>
      <c r="B29" t="inlineStr">
        <is>
          <t>Kota Samarinda</t>
        </is>
      </c>
      <c r="C29" t="inlineStr">
        <is>
          <t>08125830085</t>
        </is>
      </c>
      <c r="D29" t="inlineStr">
        <is>
          <t>berkat_indohana_lestari@yahoo.com</t>
        </is>
      </c>
      <c r="E29" t="inlineStr">
        <is>
          <t>https://lpjk.pu.go.id/search-badan-usaha-detail/QUl0clYzZ0xLeVY0V1h6UlV4dTRLdz09</t>
        </is>
      </c>
      <c r="F29" t="n">
        <v>2</v>
      </c>
      <c r="G29" t="inlineStr">
        <is>
          <t>BG009</t>
        </is>
      </c>
      <c r="H29" t="inlineStr">
        <is>
          <t>5 Desember 2007</t>
        </is>
      </c>
      <c r="I29" s="2" t="n">
        <v>46341</v>
      </c>
      <c r="J29" t="inlineStr">
        <is>
          <t>Disetujui</t>
        </is>
      </c>
      <c r="K29" t="n">
        <v>60</v>
      </c>
      <c r="L29" t="inlineStr">
        <is>
          <t>15 November 2026</t>
        </is>
      </c>
      <c r="M29" t="inlineStr">
        <is>
          <t>Konstruksi Gedung Lainnya</t>
        </is>
      </c>
      <c r="N29" t="inlineStr">
        <is>
          <t>M</t>
        </is>
      </c>
      <c r="O29" t="inlineStr">
        <is>
          <t>20231109</t>
        </is>
      </c>
      <c r="P29" t="inlineStr">
        <is>
          <t>Kalimantan Timur</t>
        </is>
      </c>
      <c r="Q29" t="inlineStr"/>
    </row>
    <row r="30">
      <c r="A30" t="inlineStr">
        <is>
          <t>BUKIT INDAH SENTOSA</t>
        </is>
      </c>
      <c r="B30" t="inlineStr">
        <is>
          <t>Kota Bandung</t>
        </is>
      </c>
      <c r="C30" t="inlineStr">
        <is>
          <t>082130512519</t>
        </is>
      </c>
      <c r="D30" t="inlineStr">
        <is>
          <t>cvbukit72@gmail.com</t>
        </is>
      </c>
      <c r="E30" t="inlineStr">
        <is>
          <t>https://lpjk.pu.go.id/search-badan-usaha-detail/THRnS0duSzRBVUNxQ3RydWRjTU1XUT09</t>
        </is>
      </c>
      <c r="F30" t="n">
        <v>2</v>
      </c>
      <c r="G30" t="inlineStr">
        <is>
          <t>BG006, BG009</t>
        </is>
      </c>
      <c r="H30" t="inlineStr">
        <is>
          <t>5 Juni 2012</t>
        </is>
      </c>
      <c r="I30" s="2" t="n">
        <v>46341</v>
      </c>
      <c r="J30" t="inlineStr">
        <is>
          <t>Disetujui</t>
        </is>
      </c>
      <c r="K30" t="n">
        <v>60</v>
      </c>
      <c r="L30" t="inlineStr">
        <is>
          <t>15 November 2026</t>
        </is>
      </c>
      <c r="M30" t="inlineStr">
        <is>
          <t>Konstruksi Gedung Lainnya, Konstruksi Gedung Pendidikan</t>
        </is>
      </c>
      <c r="N30" t="inlineStr">
        <is>
          <t>K</t>
        </is>
      </c>
      <c r="O30" t="inlineStr">
        <is>
          <t>20231114</t>
        </is>
      </c>
      <c r="P30" t="inlineStr">
        <is>
          <t>Jawa Barat</t>
        </is>
      </c>
      <c r="Q30" t="inlineStr"/>
    </row>
    <row r="31">
      <c r="A31" t="inlineStr">
        <is>
          <t>CAHAYA BARU</t>
        </is>
      </c>
      <c r="B31" t="inlineStr">
        <is>
          <t>Kab. Kotabaru</t>
        </is>
      </c>
      <c r="C31" t="inlineStr">
        <is>
          <t>082153618888</t>
        </is>
      </c>
      <c r="D31" t="inlineStr">
        <is>
          <t>soentanto@gmail.com</t>
        </is>
      </c>
      <c r="E31" t="inlineStr">
        <is>
          <t>https://lpjk.pu.go.id/search-badan-usaha-detail/dlpkTWVaRnNUNEVoNTlHWE5PazF1Zz09</t>
        </is>
      </c>
      <c r="F31" t="n">
        <v>3</v>
      </c>
      <c r="G31" t="inlineStr">
        <is>
          <t>BS002, BS004, BS005</t>
        </is>
      </c>
      <c r="H31" t="inlineStr">
        <is>
          <t>5 Maret 2009</t>
        </is>
      </c>
      <c r="I31" s="2" t="n">
        <v>46341</v>
      </c>
      <c r="J31" t="inlineStr">
        <is>
          <t>Disetujui</t>
        </is>
      </c>
      <c r="K31" t="n">
        <v>60</v>
      </c>
      <c r="L31" t="inlineStr">
        <is>
          <t>15 November 2026</t>
        </is>
      </c>
      <c r="M31" t="inlineStr">
        <is>
          <t>Bangunan Sipil Jembatan, Jalan Layang, Fly Over, dan Underpass, Konstruksi Bangunan Sipil Pengolahan Air Bersih, Konstruksi Jaringan Irigasi dan Drainase</t>
        </is>
      </c>
      <c r="N31" t="inlineStr">
        <is>
          <t>K</t>
        </is>
      </c>
      <c r="O31" t="inlineStr">
        <is>
          <t>20231115</t>
        </is>
      </c>
      <c r="P31" t="inlineStr">
        <is>
          <t>Kalimantan Selatan</t>
        </is>
      </c>
      <c r="Q31" t="inlineStr"/>
    </row>
    <row r="32">
      <c r="A32" t="inlineStr">
        <is>
          <t>CENTRAL GRAFIKA PRINT</t>
        </is>
      </c>
      <c r="B32" t="inlineStr">
        <is>
          <t>Kab. Mandailing Natal</t>
        </is>
      </c>
      <c r="C32" t="inlineStr">
        <is>
          <t>082166466469</t>
        </is>
      </c>
      <c r="D32" t="inlineStr">
        <is>
          <t>centralgrafikaprint.cv@gmail.com</t>
        </is>
      </c>
      <c r="E32" t="inlineStr">
        <is>
          <t>https://lpjk.pu.go.id/search-badan-usaha-detail/MmxiU25aY2FnZkN2R0V5M0VKSVI4UT09</t>
        </is>
      </c>
      <c r="F32" t="n">
        <v>4</v>
      </c>
      <c r="G32" t="inlineStr">
        <is>
          <t>BG005, BG006</t>
        </is>
      </c>
      <c r="H32" t="inlineStr">
        <is>
          <t>6 Mei 2019</t>
        </is>
      </c>
      <c r="I32" s="2" t="n">
        <v>46341</v>
      </c>
      <c r="J32" t="inlineStr">
        <is>
          <t>Disetujui</t>
        </is>
      </c>
      <c r="K32" t="n">
        <v>60</v>
      </c>
      <c r="L32" t="inlineStr">
        <is>
          <t>15 November 2026</t>
        </is>
      </c>
      <c r="M32" t="inlineStr">
        <is>
          <t>Konstruksi Gedung Kesehatan, Konstruksi Gedung Pendidikan</t>
        </is>
      </c>
      <c r="N32" t="inlineStr">
        <is>
          <t>K</t>
        </is>
      </c>
      <c r="O32" t="inlineStr">
        <is>
          <t>20231102, 20231114</t>
        </is>
      </c>
      <c r="P32" t="inlineStr">
        <is>
          <t>Sumatera Utara</t>
        </is>
      </c>
      <c r="Q32" t="inlineStr"/>
    </row>
    <row r="33">
      <c r="A33" t="inlineStr">
        <is>
          <t>CHANDRA SETYA KARYA</t>
        </is>
      </c>
      <c r="B33" t="inlineStr">
        <is>
          <t>Kab. Tuban</t>
        </is>
      </c>
      <c r="C33" t="inlineStr">
        <is>
          <t>081357504828</t>
        </is>
      </c>
      <c r="D33" t="inlineStr">
        <is>
          <t>chandrasetyakaryapt@gmail.com</t>
        </is>
      </c>
      <c r="E33" t="inlineStr">
        <is>
          <t>https://lpjk.pu.go.id/search-badan-usaha-detail/eVhuQXVKcURHb3l1QkhybGFFbWhqZz09</t>
        </is>
      </c>
      <c r="F33" t="n">
        <v>1</v>
      </c>
      <c r="G33" t="inlineStr">
        <is>
          <t>BS004</t>
        </is>
      </c>
      <c r="H33" t="inlineStr">
        <is>
          <t>23 November 2018</t>
        </is>
      </c>
      <c r="I33" s="2" t="n">
        <v>46341</v>
      </c>
      <c r="J33" t="inlineStr">
        <is>
          <t>Disetujui</t>
        </is>
      </c>
      <c r="K33" t="n">
        <v>60</v>
      </c>
      <c r="L33" t="inlineStr">
        <is>
          <t>15 November 2026</t>
        </is>
      </c>
      <c r="M33" t="inlineStr">
        <is>
          <t>Konstruksi Jaringan Irigasi dan Drainase</t>
        </is>
      </c>
      <c r="N33" t="inlineStr">
        <is>
          <t>K</t>
        </is>
      </c>
      <c r="O33" t="inlineStr">
        <is>
          <t>20231020</t>
        </is>
      </c>
      <c r="P33" t="inlineStr">
        <is>
          <t>Jawa Timur</t>
        </is>
      </c>
      <c r="Q33" t="inlineStr"/>
    </row>
    <row r="34">
      <c r="A34" t="inlineStr">
        <is>
          <t>DAMALTO JAYA</t>
        </is>
      </c>
      <c r="B34" t="inlineStr">
        <is>
          <t>-</t>
        </is>
      </c>
      <c r="C34" t="inlineStr">
        <is>
          <t>081357592677</t>
        </is>
      </c>
      <c r="D34" t="inlineStr">
        <is>
          <t>cvdamaltojaya31@gmail.com</t>
        </is>
      </c>
      <c r="E34" t="inlineStr">
        <is>
          <t>https://lpjk.pu.go.id/search-badan-usaha-detail/R0lJR1RCMWMxek5wYktNbkdsSi9LUT09</t>
        </is>
      </c>
      <c r="F34" t="n">
        <v>1</v>
      </c>
      <c r="G34" t="inlineStr">
        <is>
          <t>BS001</t>
        </is>
      </c>
      <c r="H34" t="inlineStr">
        <is>
          <t>31 Oktober 2022</t>
        </is>
      </c>
      <c r="I34" s="2" t="n">
        <v>46341</v>
      </c>
      <c r="J34" t="inlineStr">
        <is>
          <t>Pencabutan</t>
        </is>
      </c>
      <c r="K34" t="n">
        <v>60</v>
      </c>
      <c r="L34" t="inlineStr">
        <is>
          <t>15 November 2026</t>
        </is>
      </c>
      <c r="M34" t="inlineStr">
        <is>
          <t>Konstruksi Bangunan Sipil Jalan</t>
        </is>
      </c>
      <c r="N34" t="inlineStr">
        <is>
          <t>K</t>
        </is>
      </c>
      <c r="O34" t="inlineStr">
        <is>
          <t>20231116</t>
        </is>
      </c>
      <c r="P34" t="inlineStr">
        <is>
          <t>Papua Tengah</t>
        </is>
      </c>
      <c r="Q34" t="inlineStr"/>
    </row>
    <row r="35">
      <c r="A35" t="inlineStr">
        <is>
          <t>DAMAN VARIAKARYA</t>
        </is>
      </c>
      <c r="B35" t="inlineStr">
        <is>
          <t>Kota Surabaya</t>
        </is>
      </c>
      <c r="C35" t="inlineStr">
        <is>
          <t>081272805959</t>
        </is>
      </c>
      <c r="D35" t="inlineStr">
        <is>
          <t>damanvariakarya@gmail.com</t>
        </is>
      </c>
      <c r="E35" t="inlineStr">
        <is>
          <t>https://lpjk.pu.go.id/search-badan-usaha-detail/MmlpVjArZnpyOU8yNkZOMU1CL1U0Zz09</t>
        </is>
      </c>
      <c r="F35" t="n">
        <v>4</v>
      </c>
      <c r="G35" t="inlineStr">
        <is>
          <t>BG001, BG005, BG006, BG007</t>
        </is>
      </c>
      <c r="H35" t="inlineStr">
        <is>
          <t>7 Mei 1990</t>
        </is>
      </c>
      <c r="I35" s="2" t="n">
        <v>46341</v>
      </c>
      <c r="J35" t="inlineStr">
        <is>
          <t>Disetujui</t>
        </is>
      </c>
      <c r="K35" t="n">
        <v>60</v>
      </c>
      <c r="L35" t="inlineStr">
        <is>
          <t>15 November 2026</t>
        </is>
      </c>
      <c r="M35" t="inlineStr">
        <is>
          <t>Konstruksi Gedung Hunian, Konstruksi Gedung Kesehatan, Konstruksi Gedung Pendidikan, Konstruksi Gedung Penginapan</t>
        </is>
      </c>
      <c r="N35" t="inlineStr">
        <is>
          <t>K, M</t>
        </is>
      </c>
      <c r="O35" t="inlineStr">
        <is>
          <t>20230605, 20230610, 20230815</t>
        </is>
      </c>
      <c r="P35" t="inlineStr">
        <is>
          <t>Jawa Timur</t>
        </is>
      </c>
      <c r="Q35" t="inlineStr"/>
    </row>
    <row r="36">
      <c r="A36" t="inlineStr">
        <is>
          <t>DARMAN PUTRA DAERAH</t>
        </is>
      </c>
      <c r="B36" t="inlineStr">
        <is>
          <t>Kota Palu</t>
        </is>
      </c>
      <c r="C36" t="inlineStr">
        <is>
          <t>081211399997</t>
        </is>
      </c>
      <c r="D36" t="inlineStr">
        <is>
          <t>pt.darmanputradaerah2016@gmail.com</t>
        </is>
      </c>
      <c r="E36" t="inlineStr">
        <is>
          <t>https://lpjk.pu.go.id/search-badan-usaha-detail/b3BUVXBrdXJQcHQ3L1crRHIzaHBxdz09</t>
        </is>
      </c>
      <c r="F36" t="n">
        <v>1</v>
      </c>
      <c r="G36" t="inlineStr">
        <is>
          <t>BS010</t>
        </is>
      </c>
      <c r="H36" t="inlineStr">
        <is>
          <t>15 Juni 2016</t>
        </is>
      </c>
      <c r="I36" s="2" t="n">
        <v>46341</v>
      </c>
      <c r="J36" t="inlineStr">
        <is>
          <t>Pencabutan</t>
        </is>
      </c>
      <c r="K36" t="n">
        <v>60</v>
      </c>
      <c r="L36" t="inlineStr">
        <is>
          <t>15 November 2026</t>
        </is>
      </c>
      <c r="M36" t="inlineStr">
        <is>
          <t>Konstruksi Bangunan Prasarana Sumber Daya Air</t>
        </is>
      </c>
      <c r="N36" t="inlineStr">
        <is>
          <t>K</t>
        </is>
      </c>
      <c r="O36" t="inlineStr">
        <is>
          <t>20231110</t>
        </is>
      </c>
      <c r="P36" t="inlineStr">
        <is>
          <t>Sulawesi Tengah</t>
        </is>
      </c>
      <c r="Q36" t="inlineStr"/>
    </row>
    <row r="37">
      <c r="A37" t="inlineStr">
        <is>
          <t>DESIGN 79 CONSULTANT</t>
        </is>
      </c>
      <c r="B37" t="inlineStr">
        <is>
          <t>Kab. Berau</t>
        </is>
      </c>
      <c r="C37" t="inlineStr">
        <is>
          <t>08125895582</t>
        </is>
      </c>
      <c r="D37" t="inlineStr">
        <is>
          <t>safaryhery@yahoo.com</t>
        </is>
      </c>
      <c r="E37" t="inlineStr">
        <is>
          <t>https://lpjk.pu.go.id/search-badan-usaha-detail/MnpxSnZVczd3NkRGTmtrdmc1M0tBdz09</t>
        </is>
      </c>
      <c r="F37" t="n">
        <v>1</v>
      </c>
      <c r="G37" t="inlineStr">
        <is>
          <t>AR001</t>
        </is>
      </c>
      <c r="H37" t="inlineStr">
        <is>
          <t>9 November 2007</t>
        </is>
      </c>
      <c r="I37" s="2" t="n">
        <v>46341</v>
      </c>
      <c r="J37" t="inlineStr">
        <is>
          <t>Disetujui</t>
        </is>
      </c>
      <c r="K37" t="n">
        <v>60</v>
      </c>
      <c r="L37" t="inlineStr">
        <is>
          <t>15 November 2026</t>
        </is>
      </c>
      <c r="M37" t="inlineStr">
        <is>
          <t>Jasa Arsitektural Bangunan Gedung Hunian dan Non Hunian</t>
        </is>
      </c>
      <c r="N37" t="inlineStr">
        <is>
          <t>K</t>
        </is>
      </c>
      <c r="O37" t="inlineStr">
        <is>
          <t>20231023</t>
        </is>
      </c>
      <c r="P37" t="inlineStr">
        <is>
          <t>Kalimantan Timur</t>
        </is>
      </c>
      <c r="Q37" t="inlineStr"/>
    </row>
    <row r="38">
      <c r="A38" t="inlineStr">
        <is>
          <t>DEVIANA CONSTRUCTION</t>
        </is>
      </c>
      <c r="B38" t="inlineStr">
        <is>
          <t>Kab. Pandeglang</t>
        </is>
      </c>
      <c r="C38" t="inlineStr">
        <is>
          <t>082114543474</t>
        </is>
      </c>
      <c r="D38" t="inlineStr">
        <is>
          <t>deviana.construction@gmail.com</t>
        </is>
      </c>
      <c r="E38" t="inlineStr">
        <is>
          <t>https://lpjk.pu.go.id/search-badan-usaha-detail/UEJPajBSWnBIOWpnSUZSRGV3b2V0dz09</t>
        </is>
      </c>
      <c r="F38" t="n">
        <v>8</v>
      </c>
      <c r="G38" t="inlineStr">
        <is>
          <t>BG002, BG005, BG006, BG009</t>
        </is>
      </c>
      <c r="H38" t="inlineStr">
        <is>
          <t>1 Januari 2018</t>
        </is>
      </c>
      <c r="I38" s="2" t="n">
        <v>46341</v>
      </c>
      <c r="J38" t="inlineStr">
        <is>
          <t>Pencabutan</t>
        </is>
      </c>
      <c r="K38" t="n">
        <v>60</v>
      </c>
      <c r="L38" t="inlineStr">
        <is>
          <t>15 November 2026</t>
        </is>
      </c>
      <c r="M38" t="inlineStr">
        <is>
          <t>Konstruksi Gedung Kesehatan, Konstruksi Gedung Lainnya, Konstruksi Gedung Pendidikan, Konstruksi Gedung Perkantoran</t>
        </is>
      </c>
      <c r="N38" t="inlineStr">
        <is>
          <t>K</t>
        </is>
      </c>
      <c r="O38" t="inlineStr">
        <is>
          <t>20231115</t>
        </is>
      </c>
      <c r="P38" t="inlineStr">
        <is>
          <t>Banten</t>
        </is>
      </c>
      <c r="Q38" t="inlineStr"/>
    </row>
    <row r="39">
      <c r="A39" t="inlineStr">
        <is>
          <t>DIAN SARANA LESTARI</t>
        </is>
      </c>
      <c r="B39" t="inlineStr">
        <is>
          <t>Kota Tarakan</t>
        </is>
      </c>
      <c r="C39" t="inlineStr">
        <is>
          <t>0811531336</t>
        </is>
      </c>
      <c r="D39" t="inlineStr">
        <is>
          <t>diansarana17@yahoo.com</t>
        </is>
      </c>
      <c r="E39" t="inlineStr">
        <is>
          <t>https://lpjk.pu.go.id/search-badan-usaha-detail/U2hBZklYamF1ZHZZWnRybEtaNkNFUT09</t>
        </is>
      </c>
      <c r="F39" t="n">
        <v>2</v>
      </c>
      <c r="G39" t="inlineStr">
        <is>
          <t>PL003, PL004</t>
        </is>
      </c>
      <c r="H39" t="inlineStr">
        <is>
          <t>6 Maret 2004</t>
        </is>
      </c>
      <c r="I39" s="2" t="n">
        <v>46341</v>
      </c>
      <c r="J39" t="inlineStr">
        <is>
          <t>Pembekuan</t>
        </is>
      </c>
      <c r="K39" t="n">
        <v>60</v>
      </c>
      <c r="L39" t="inlineStr">
        <is>
          <t>15 November 2026</t>
        </is>
      </c>
      <c r="M39" t="inlineStr">
        <is>
          <t>Pekerjaan Tanah, Penyiapan Lahan Konstruksi</t>
        </is>
      </c>
      <c r="N39" t="inlineStr">
        <is>
          <t>Spesialis</t>
        </is>
      </c>
      <c r="O39" t="inlineStr">
        <is>
          <t>20221229, 20231115</t>
        </is>
      </c>
      <c r="P39" t="inlineStr">
        <is>
          <t>Kalimantan Utara</t>
        </is>
      </c>
      <c r="Q39" t="inlineStr"/>
    </row>
    <row r="40">
      <c r="A40" t="inlineStr">
        <is>
          <t>DINAMIKA CONSULTANT</t>
        </is>
      </c>
      <c r="B40" t="inlineStr">
        <is>
          <t>Kota Bengkulu</t>
        </is>
      </c>
      <c r="C40" t="inlineStr">
        <is>
          <t>081279235532</t>
        </is>
      </c>
      <c r="D40" t="inlineStr">
        <is>
          <t>dinamikaconsultantcv@gmaill.com</t>
        </is>
      </c>
      <c r="E40" t="inlineStr">
        <is>
          <t>https://lpjk.pu.go.id/search-badan-usaha-detail/aWcvOXc0NjZWcTJZNk0vNDh6SEthQT09</t>
        </is>
      </c>
      <c r="F40" t="n">
        <v>6</v>
      </c>
      <c r="G40" t="inlineStr">
        <is>
          <t>RK001, RK002</t>
        </is>
      </c>
      <c r="H40" t="inlineStr">
        <is>
          <t>15 Desember 1990</t>
        </is>
      </c>
      <c r="I40" s="2" t="n">
        <v>46341</v>
      </c>
      <c r="J40" t="inlineStr">
        <is>
          <t>Disetujui</t>
        </is>
      </c>
      <c r="K40" t="n">
        <v>60</v>
      </c>
      <c r="L40" t="inlineStr">
        <is>
          <t>15 November 2026</t>
        </is>
      </c>
      <c r="M40" t="inlineStr">
        <is>
          <t>Jasa Rekayasa Konstruksi Bangunan Gedung Hunian dan Non Hunian, Jasa Rekayasa Pekerjaan Teknik Sipil Sumber Daya Air</t>
        </is>
      </c>
      <c r="N40" t="inlineStr">
        <is>
          <t>K</t>
        </is>
      </c>
      <c r="O40" t="inlineStr">
        <is>
          <t>20231109</t>
        </is>
      </c>
      <c r="P40" t="inlineStr">
        <is>
          <t>Bengkulu</t>
        </is>
      </c>
      <c r="Q40" t="inlineStr"/>
    </row>
    <row r="41">
      <c r="A41" t="inlineStr">
        <is>
          <t>DUA PUTRI KHAILA DAN AISYAH</t>
        </is>
      </c>
      <c r="B41" t="inlineStr">
        <is>
          <t>Kota Palembang</t>
        </is>
      </c>
      <c r="C41" t="inlineStr">
        <is>
          <t>081368076699</t>
        </is>
      </c>
      <c r="D41" t="inlineStr">
        <is>
          <t>cvduaputrikhailaaisyah@gmail.com</t>
        </is>
      </c>
      <c r="E41" t="inlineStr">
        <is>
          <t>https://lpjk.pu.go.id/search-badan-usaha-detail/S1l0c1EyOXV4Tll4S2YzVDNYZVZXZz09</t>
        </is>
      </c>
      <c r="F41" t="n">
        <v>1</v>
      </c>
      <c r="G41" t="inlineStr">
        <is>
          <t>BS001</t>
        </is>
      </c>
      <c r="H41" t="inlineStr">
        <is>
          <t>13 Oktober 2015</t>
        </is>
      </c>
      <c r="I41" s="2" t="n">
        <v>46341</v>
      </c>
      <c r="J41" t="inlineStr">
        <is>
          <t>Disetujui</t>
        </is>
      </c>
      <c r="K41" t="n">
        <v>60</v>
      </c>
      <c r="L41" t="inlineStr">
        <is>
          <t>15 November 2026</t>
        </is>
      </c>
      <c r="M41" t="inlineStr">
        <is>
          <t>Konstruksi Bangunan Sipil Jalan</t>
        </is>
      </c>
      <c r="N41" t="inlineStr">
        <is>
          <t>K</t>
        </is>
      </c>
      <c r="O41" t="inlineStr">
        <is>
          <t>20231115</t>
        </is>
      </c>
      <c r="P41" t="inlineStr">
        <is>
          <t>Sumatera Selatan</t>
        </is>
      </c>
      <c r="Q41" t="inlineStr"/>
    </row>
    <row r="42">
      <c r="A42" t="inlineStr">
        <is>
          <t>DWITAMA</t>
        </is>
      </c>
      <c r="B42" t="inlineStr">
        <is>
          <t>Kota Medan</t>
        </is>
      </c>
      <c r="C42" t="inlineStr">
        <is>
          <t>08116040515</t>
        </is>
      </c>
      <c r="D42" t="inlineStr">
        <is>
          <t>cv.dwitama2012@gmail.com</t>
        </is>
      </c>
      <c r="E42" t="inlineStr">
        <is>
          <t>https://lpjk.pu.go.id/search-badan-usaha-detail/RWZ6elN0MzlCQmdOSDhZYnpSK0x0dTVJMXYzdm1SeXZVMGpON0tqODNmWT0</t>
        </is>
      </c>
      <c r="F42" t="n">
        <v>4</v>
      </c>
      <c r="G42" t="inlineStr">
        <is>
          <t>AL001, AL003</t>
        </is>
      </c>
      <c r="H42" t="inlineStr">
        <is>
          <t>15 Januari 2026</t>
        </is>
      </c>
      <c r="I42" s="2" t="n">
        <v>46341</v>
      </c>
      <c r="J42" t="inlineStr">
        <is>
          <t>Disetujui</t>
        </is>
      </c>
      <c r="K42" t="n">
        <v>60</v>
      </c>
      <c r="L42" t="inlineStr">
        <is>
          <t>15 November 2026</t>
        </is>
      </c>
      <c r="M42" t="inlineStr">
        <is>
          <t>Jasa Pengembangan Pemanfaatan Ruang, Jasa Pengembangan Perkotaan</t>
        </is>
      </c>
      <c r="N42" t="inlineStr">
        <is>
          <t>K</t>
        </is>
      </c>
      <c r="O42" t="inlineStr">
        <is>
          <t>20231107</t>
        </is>
      </c>
      <c r="P42" t="inlineStr">
        <is>
          <t>Sumatera Utara</t>
        </is>
      </c>
      <c r="Q42" t="inlineStr"/>
    </row>
    <row r="43">
      <c r="A43" t="inlineStr">
        <is>
          <t>DWITAMA</t>
        </is>
      </c>
      <c r="B43" t="inlineStr">
        <is>
          <t>Kota Medan</t>
        </is>
      </c>
      <c r="C43" t="inlineStr">
        <is>
          <t>06180046700</t>
        </is>
      </c>
      <c r="D43" t="inlineStr">
        <is>
          <t>dwitama_2012@yahoo.com</t>
        </is>
      </c>
      <c r="E43" t="inlineStr">
        <is>
          <t>https://lpjk.pu.go.id/search-badan-usaha-detail/aGFTakpYUnVkekFCR3pPeW9xeDRFUT09</t>
        </is>
      </c>
      <c r="F43" t="n">
        <v>2</v>
      </c>
      <c r="G43" t="inlineStr">
        <is>
          <t>AL002</t>
        </is>
      </c>
      <c r="H43" t="inlineStr">
        <is>
          <t>25 Februari 2012</t>
        </is>
      </c>
      <c r="I43" s="2" t="n">
        <v>46341</v>
      </c>
      <c r="J43" t="inlineStr">
        <is>
          <t>Disetujui</t>
        </is>
      </c>
      <c r="K43" t="n">
        <v>60</v>
      </c>
      <c r="L43" t="inlineStr">
        <is>
          <t>15 November 2026</t>
        </is>
      </c>
      <c r="M43" t="inlineStr">
        <is>
          <t>Jasa Pengembangan Wilayah</t>
        </is>
      </c>
      <c r="N43" t="inlineStr">
        <is>
          <t>K</t>
        </is>
      </c>
      <c r="O43" t="inlineStr">
        <is>
          <t>20231107</t>
        </is>
      </c>
      <c r="P43" t="inlineStr">
        <is>
          <t>Sumatera Utara</t>
        </is>
      </c>
      <c r="Q43" t="inlineStr"/>
    </row>
    <row r="44">
      <c r="A44" t="inlineStr">
        <is>
          <t>DZAKI KONSTRUKSI</t>
        </is>
      </c>
      <c r="B44" t="inlineStr">
        <is>
          <t>Kab. Solok Selatan</t>
        </is>
      </c>
      <c r="C44" t="inlineStr">
        <is>
          <t>081371570375</t>
        </is>
      </c>
      <c r="D44" t="inlineStr">
        <is>
          <t>cvdzakikonstruksi2019@gmail.com</t>
        </is>
      </c>
      <c r="E44" t="inlineStr">
        <is>
          <t>https://lpjk.pu.go.id/search-badan-usaha-detail/TjFGMktTZ3BuVTBTcUZNd3hSQnFSUT09</t>
        </is>
      </c>
      <c r="F44" t="n">
        <v>5</v>
      </c>
      <c r="G44" t="inlineStr">
        <is>
          <t>BG004, BG005, BG006, BG009, BS002</t>
        </is>
      </c>
      <c r="H44" t="inlineStr">
        <is>
          <t>22 September 2015</t>
        </is>
      </c>
      <c r="I44" s="2" t="n">
        <v>46341</v>
      </c>
      <c r="J44" t="inlineStr">
        <is>
          <t>Disetujui</t>
        </is>
      </c>
      <c r="K44" t="n">
        <v>60</v>
      </c>
      <c r="L44" t="inlineStr">
        <is>
          <t>15 November 2026</t>
        </is>
      </c>
      <c r="M44" t="inlineStr">
        <is>
          <t>Bangunan Sipil Jembatan, Jalan Layang, Fly Over, dan Underpass, Konstruksi Gedung Kesehatan, Konstruksi Gedung Lainnya, Konstruksi Gedung Pendidikan, Konstruksi Gedung Perbelanjaan</t>
        </is>
      </c>
      <c r="N44" t="inlineStr">
        <is>
          <t>K</t>
        </is>
      </c>
      <c r="O44" t="inlineStr">
        <is>
          <t>20231114, 20231116, 20231117</t>
        </is>
      </c>
      <c r="P44" t="inlineStr">
        <is>
          <t>Sumatera Barat</t>
        </is>
      </c>
      <c r="Q44" t="inlineStr"/>
    </row>
    <row r="45">
      <c r="A45" t="inlineStr">
        <is>
          <t>ELANG CIPTA TIKARYA</t>
        </is>
      </c>
      <c r="B45" t="inlineStr">
        <is>
          <t>Kab. Bandung</t>
        </is>
      </c>
      <c r="C45" t="inlineStr">
        <is>
          <t>085221251369</t>
        </is>
      </c>
      <c r="D45" t="inlineStr">
        <is>
          <t>elangciptatikarya@gmail.com</t>
        </is>
      </c>
      <c r="E45" t="inlineStr">
        <is>
          <t>https://lpjk.pu.go.id/search-badan-usaha-detail/cWRlQm12NzlFVWE3clgyQ3VpYU1tUT09</t>
        </is>
      </c>
      <c r="F45" t="n">
        <v>8</v>
      </c>
      <c r="G45" t="inlineStr">
        <is>
          <t>BG002, BG005, BG006, BG009</t>
        </is>
      </c>
      <c r="H45" t="inlineStr">
        <is>
          <t>12 Maret 2020</t>
        </is>
      </c>
      <c r="I45" s="2" t="n">
        <v>46341</v>
      </c>
      <c r="J45" t="inlineStr">
        <is>
          <t>Disetujui</t>
        </is>
      </c>
      <c r="K45" t="n">
        <v>60</v>
      </c>
      <c r="L45" t="inlineStr">
        <is>
          <t>15 November 2026</t>
        </is>
      </c>
      <c r="M45" t="inlineStr">
        <is>
          <t>Konstruksi Gedung Kesehatan, Konstruksi Gedung Lainnya, Konstruksi Gedung Pendidikan, Konstruksi Gedung Perkantoran</t>
        </is>
      </c>
      <c r="N45" t="inlineStr">
        <is>
          <t>K</t>
        </is>
      </c>
      <c r="O45" t="inlineStr">
        <is>
          <t>20231115</t>
        </is>
      </c>
      <c r="P45" t="inlineStr">
        <is>
          <t>Jawa Barat</t>
        </is>
      </c>
      <c r="Q45" t="inlineStr"/>
    </row>
    <row r="46">
      <c r="A46" t="inlineStr">
        <is>
          <t>ESA BUANA PERKASA</t>
        </is>
      </c>
      <c r="B46" t="inlineStr">
        <is>
          <t>Kab. Demak</t>
        </is>
      </c>
      <c r="C46" t="inlineStr">
        <is>
          <t>081977878923</t>
        </is>
      </c>
      <c r="D46" t="inlineStr">
        <is>
          <t>esa.buana.perkasa.2023@gmail.com</t>
        </is>
      </c>
      <c r="E46" t="inlineStr">
        <is>
          <t>https://lpjk.pu.go.id/search-badan-usaha-detail/eHg3WTdJZE10MmtCdEFVUnh3MVNZQT09</t>
        </is>
      </c>
      <c r="F46" t="n">
        <v>1</v>
      </c>
      <c r="G46" t="inlineStr">
        <is>
          <t>BS001</t>
        </is>
      </c>
      <c r="H46" t="inlineStr">
        <is>
          <t>19 Juni 2015</t>
        </is>
      </c>
      <c r="I46" s="2" t="n">
        <v>46341</v>
      </c>
      <c r="J46" t="inlineStr">
        <is>
          <t>Disetujui</t>
        </is>
      </c>
      <c r="K46" t="n">
        <v>60</v>
      </c>
      <c r="L46" t="inlineStr">
        <is>
          <t>15 November 2026</t>
        </is>
      </c>
      <c r="M46" t="inlineStr">
        <is>
          <t>Konstruksi Bangunan Sipil Jalan</t>
        </is>
      </c>
      <c r="N46" t="inlineStr">
        <is>
          <t>K</t>
        </is>
      </c>
      <c r="O46" t="inlineStr">
        <is>
          <t>20231115</t>
        </is>
      </c>
      <c r="P46" t="inlineStr">
        <is>
          <t>Jawa Tengah</t>
        </is>
      </c>
      <c r="Q46" t="inlineStr"/>
    </row>
    <row r="47">
      <c r="A47" t="inlineStr">
        <is>
          <t>FIAZTA MATRIX CONSULTANT</t>
        </is>
      </c>
      <c r="B47" t="inlineStr">
        <is>
          <t>Kota Banjarmasin</t>
        </is>
      </c>
      <c r="C47" t="inlineStr">
        <is>
          <t>085248539958</t>
        </is>
      </c>
      <c r="D47" t="inlineStr">
        <is>
          <t>fiaztamatrix_group@yahoo.co.id</t>
        </is>
      </c>
      <c r="E47" t="inlineStr">
        <is>
          <t>https://lpjk.pu.go.id/search-badan-usaha-detail/bG0xN25HcnhEQWVsaWQvblpFazJVQT09</t>
        </is>
      </c>
      <c r="F47" t="n">
        <v>2</v>
      </c>
      <c r="G47" t="inlineStr">
        <is>
          <t>RK001, RK002</t>
        </is>
      </c>
      <c r="H47" t="inlineStr">
        <is>
          <t>25 Juli 2006</t>
        </is>
      </c>
      <c r="I47" s="2" t="n">
        <v>46341</v>
      </c>
      <c r="J47" t="inlineStr">
        <is>
          <t>Disetujui</t>
        </is>
      </c>
      <c r="K47" t="n">
        <v>60</v>
      </c>
      <c r="L47" t="inlineStr">
        <is>
          <t>15 November 2026</t>
        </is>
      </c>
      <c r="M47" t="inlineStr">
        <is>
          <t>Jasa Rekayasa Konstruksi Bangunan Gedung Hunian dan Non Hunian, Jasa Rekayasa Pekerjaan Teknik Sipil Sumber Daya Air</t>
        </is>
      </c>
      <c r="N47" t="inlineStr">
        <is>
          <t>K</t>
        </is>
      </c>
      <c r="O47" t="inlineStr">
        <is>
          <t>20231108</t>
        </is>
      </c>
      <c r="P47" t="inlineStr">
        <is>
          <t>Kalimantan Selatan</t>
        </is>
      </c>
      <c r="Q47" t="inlineStr"/>
    </row>
    <row r="48">
      <c r="A48" t="inlineStr">
        <is>
          <t>GALAXY ANDARA</t>
        </is>
      </c>
      <c r="B48" t="inlineStr">
        <is>
          <t>Kota Gorontalo</t>
        </is>
      </c>
      <c r="C48" t="inlineStr">
        <is>
          <t>0895706895621</t>
        </is>
      </c>
      <c r="D48" t="inlineStr">
        <is>
          <t>galaxyandara10@gmail.com</t>
        </is>
      </c>
      <c r="E48" t="inlineStr">
        <is>
          <t>https://lpjk.pu.go.id/search-badan-usaha-detail/V29XYUVUNW16dWhsSjhXMXc3WWZJdz09</t>
        </is>
      </c>
      <c r="F48" t="n">
        <v>1</v>
      </c>
      <c r="G48" t="inlineStr">
        <is>
          <t>BS017</t>
        </is>
      </c>
      <c r="H48" t="inlineStr">
        <is>
          <t>30 Agustus 2023</t>
        </is>
      </c>
      <c r="I48" s="2" t="n">
        <v>46341</v>
      </c>
      <c r="J48" t="inlineStr">
        <is>
          <t>Disetujui</t>
        </is>
      </c>
      <c r="K48" t="n">
        <v>60</v>
      </c>
      <c r="L48" t="inlineStr">
        <is>
          <t>15 November 2026</t>
        </is>
      </c>
      <c r="M48" t="inlineStr">
        <is>
          <t>Konstruksi Bangunan Sipil Lainnya Ytdl</t>
        </is>
      </c>
      <c r="N48" t="inlineStr">
        <is>
          <t>K</t>
        </is>
      </c>
      <c r="O48" t="inlineStr">
        <is>
          <t>20230905</t>
        </is>
      </c>
      <c r="P48" t="inlineStr">
        <is>
          <t>Gorontalo</t>
        </is>
      </c>
      <c r="Q48" t="inlineStr"/>
    </row>
    <row r="49">
      <c r="A49" t="inlineStr">
        <is>
          <t>GAMANA CITRA</t>
        </is>
      </c>
      <c r="B49" t="inlineStr">
        <is>
          <t>Kab. Cianjur</t>
        </is>
      </c>
      <c r="C49" t="inlineStr">
        <is>
          <t>085720645286</t>
        </is>
      </c>
      <c r="D49" t="inlineStr">
        <is>
          <t>cvgamanacitra65@gmail.com</t>
        </is>
      </c>
      <c r="E49" t="inlineStr">
        <is>
          <t>https://lpjk.pu.go.id/search-badan-usaha-detail/RjBKZzNFakc0czNVZm9aRXEwVm9ydz09</t>
        </is>
      </c>
      <c r="F49" t="n">
        <v>4</v>
      </c>
      <c r="G49" t="inlineStr">
        <is>
          <t>BS001, BS004</t>
        </is>
      </c>
      <c r="H49" t="inlineStr">
        <is>
          <t>4 Januari 2002</t>
        </is>
      </c>
      <c r="I49" s="2" t="n">
        <v>46341</v>
      </c>
      <c r="J49" t="inlineStr">
        <is>
          <t>Disetujui</t>
        </is>
      </c>
      <c r="K49" t="n">
        <v>60</v>
      </c>
      <c r="L49" t="inlineStr">
        <is>
          <t>15 November 2026</t>
        </is>
      </c>
      <c r="M49" t="inlineStr">
        <is>
          <t>Konstruksi Bangunan Sipil Jalan, Konstruksi Jaringan Irigasi dan Drainase</t>
        </is>
      </c>
      <c r="N49" t="inlineStr">
        <is>
          <t>K</t>
        </is>
      </c>
      <c r="O49" t="inlineStr">
        <is>
          <t>20231110</t>
        </is>
      </c>
      <c r="P49" t="inlineStr">
        <is>
          <t>Jawa Barat</t>
        </is>
      </c>
      <c r="Q49" t="inlineStr"/>
    </row>
    <row r="50">
      <c r="A50" t="inlineStr">
        <is>
          <t>GLOBAL REKAYASA KONSULTAN</t>
        </is>
      </c>
      <c r="B50" t="inlineStr">
        <is>
          <t>Kota Banda Aceh</t>
        </is>
      </c>
      <c r="C50" t="inlineStr">
        <is>
          <t>085270887009</t>
        </is>
      </c>
      <c r="D50" t="inlineStr">
        <is>
          <t>globalrekayasa@yahoo.com</t>
        </is>
      </c>
      <c r="E50" t="inlineStr">
        <is>
          <t>https://lpjk.pu.go.id/search-badan-usaha-detail/VlNDUWxERGxYTURTQnZpTlRUTWpudjV2MmRKWTkrMC9jNGtGQjMyelE3TT0</t>
        </is>
      </c>
      <c r="F50" t="n">
        <v>3</v>
      </c>
      <c r="G50" t="inlineStr">
        <is>
          <t>RK001, RK003, RK005</t>
        </is>
      </c>
      <c r="H50" t="inlineStr">
        <is>
          <t>4 September 2025</t>
        </is>
      </c>
      <c r="I50" s="2" t="n">
        <v>46341</v>
      </c>
      <c r="J50" t="inlineStr">
        <is>
          <t>Disetujui</t>
        </is>
      </c>
      <c r="K50" t="n">
        <v>60</v>
      </c>
      <c r="L50" t="inlineStr">
        <is>
          <t>15 November 2026</t>
        </is>
      </c>
      <c r="M50" t="inlineStr">
        <is>
          <t>Jasa Rekayasa Konstruksi Bangunan Gedung Hunian dan Non Hunian, Jasa Rekayasa Lainnya, Jasa Rekayasa Pekerjaan Teknik Sipil Transportasi</t>
        </is>
      </c>
      <c r="N50" t="inlineStr">
        <is>
          <t>K</t>
        </is>
      </c>
      <c r="O50" t="inlineStr">
        <is>
          <t>20231103</t>
        </is>
      </c>
      <c r="P50" t="inlineStr">
        <is>
          <t>Aceh</t>
        </is>
      </c>
      <c r="Q50" t="inlineStr"/>
    </row>
    <row r="51">
      <c r="A51" t="inlineStr">
        <is>
          <t>HALIM</t>
        </is>
      </c>
      <c r="B51" t="inlineStr">
        <is>
          <t>Kab. Lamongan</t>
        </is>
      </c>
      <c r="C51" t="inlineStr">
        <is>
          <t>08123260340</t>
        </is>
      </c>
      <c r="D51" t="inlineStr">
        <is>
          <t>halimcv@yahoo.com</t>
        </is>
      </c>
      <c r="E51" t="inlineStr">
        <is>
          <t>https://lpjk.pu.go.id/search-badan-usaha-detail/NmJyWDQzeHhkYlB3NVJDbW9IR25Bdz09</t>
        </is>
      </c>
      <c r="F51" t="n">
        <v>2</v>
      </c>
      <c r="G51" t="inlineStr">
        <is>
          <t>BS001, BS004</t>
        </is>
      </c>
      <c r="H51" t="inlineStr">
        <is>
          <t>11 Oktober 2017</t>
        </is>
      </c>
      <c r="I51" s="2" t="n">
        <v>46341</v>
      </c>
      <c r="J51" t="inlineStr">
        <is>
          <t>Disetujui</t>
        </is>
      </c>
      <c r="K51" t="n">
        <v>60</v>
      </c>
      <c r="L51" t="inlineStr">
        <is>
          <t>15 November 2026</t>
        </is>
      </c>
      <c r="M51" t="inlineStr">
        <is>
          <t>Konstruksi Bangunan Sipil Jalan, Konstruksi Jaringan Irigasi dan Drainase</t>
        </is>
      </c>
      <c r="N51" t="inlineStr">
        <is>
          <t>K</t>
        </is>
      </c>
      <c r="O51" t="inlineStr">
        <is>
          <t>20231020, 20231107</t>
        </is>
      </c>
      <c r="P51" t="inlineStr">
        <is>
          <t>Jawa Timur</t>
        </is>
      </c>
      <c r="Q51" t="inlineStr"/>
    </row>
    <row r="52">
      <c r="A52" t="inlineStr">
        <is>
          <t>HARITS JAYA</t>
        </is>
      </c>
      <c r="B52" t="inlineStr">
        <is>
          <t>Kab. Pasaman</t>
        </is>
      </c>
      <c r="C52" t="inlineStr">
        <is>
          <t>081277048454</t>
        </is>
      </c>
      <c r="D52" t="inlineStr">
        <is>
          <t>haritsjaya@gmail.com</t>
        </is>
      </c>
      <c r="E52" t="inlineStr">
        <is>
          <t>https://lpjk.pu.go.id/search-badan-usaha-detail/Z0pnYk1vNnRSZzRKVlFRb3FuZkY1UT09</t>
        </is>
      </c>
      <c r="F52" t="n">
        <v>1</v>
      </c>
      <c r="G52" t="inlineStr">
        <is>
          <t>BS001</t>
        </is>
      </c>
      <c r="H52" t="inlineStr">
        <is>
          <t>20 Agustus 2024</t>
        </is>
      </c>
      <c r="I52" s="2" t="n">
        <v>46341</v>
      </c>
      <c r="J52" t="inlineStr">
        <is>
          <t>Pencabutan</t>
        </is>
      </c>
      <c r="K52" t="n">
        <v>60</v>
      </c>
      <c r="L52" t="inlineStr">
        <is>
          <t>15 November 2026</t>
        </is>
      </c>
      <c r="M52" t="inlineStr">
        <is>
          <t>Konstruksi Bangunan Sipil Jalan</t>
        </is>
      </c>
      <c r="N52" t="inlineStr">
        <is>
          <t>K</t>
        </is>
      </c>
      <c r="O52" t="inlineStr">
        <is>
          <t>20231115</t>
        </is>
      </c>
      <c r="P52" t="inlineStr">
        <is>
          <t>Sumatera Barat</t>
        </is>
      </c>
      <c r="Q52" t="inlineStr"/>
    </row>
    <row r="53">
      <c r="A53" t="inlineStr">
        <is>
          <t>HIKMAT JAYA KARYA</t>
        </is>
      </c>
      <c r="B53" t="inlineStr">
        <is>
          <t>Kab. Pelalawan</t>
        </is>
      </c>
      <c r="C53" t="inlineStr">
        <is>
          <t>81378510263</t>
        </is>
      </c>
      <c r="D53" t="inlineStr">
        <is>
          <t>arhamnasution10@gmail.com</t>
        </is>
      </c>
      <c r="E53" t="inlineStr">
        <is>
          <t>https://lpjk.pu.go.id/search-badan-usaha-detail/R3dRUGxNd2lvWUVlZVlPNDNaSVI0dz09</t>
        </is>
      </c>
      <c r="F53" t="n">
        <v>1</v>
      </c>
      <c r="G53" t="inlineStr">
        <is>
          <t>BG003</t>
        </is>
      </c>
      <c r="H53" t="inlineStr">
        <is>
          <t>20 September 2011</t>
        </is>
      </c>
      <c r="I53" s="2" t="n">
        <v>46341</v>
      </c>
      <c r="J53" t="inlineStr">
        <is>
          <t>Disetujui</t>
        </is>
      </c>
      <c r="K53" t="n">
        <v>60</v>
      </c>
      <c r="L53" t="inlineStr">
        <is>
          <t>15 November 2026</t>
        </is>
      </c>
      <c r="M53" t="inlineStr">
        <is>
          <t>Konstruksi Gedung Industri</t>
        </is>
      </c>
      <c r="N53" t="inlineStr">
        <is>
          <t>K</t>
        </is>
      </c>
      <c r="O53" t="inlineStr">
        <is>
          <t>20231110</t>
        </is>
      </c>
      <c r="P53" t="inlineStr">
        <is>
          <t>Riau</t>
        </is>
      </c>
      <c r="Q53" t="inlineStr"/>
    </row>
    <row r="54">
      <c r="A54" t="inlineStr">
        <is>
          <t>HYDRO TAMA</t>
        </is>
      </c>
      <c r="B54" t="inlineStr">
        <is>
          <t>Kab. Indragiri Hilir</t>
        </is>
      </c>
      <c r="C54" t="inlineStr">
        <is>
          <t>085375615060</t>
        </is>
      </c>
      <c r="D54" t="inlineStr">
        <is>
          <t>cvhydrotama09@gmail.com</t>
        </is>
      </c>
      <c r="E54" t="inlineStr">
        <is>
          <t>https://lpjk.pu.go.id/search-badan-usaha-detail/YWF1ZHZ3MjFnbVh4QU8vVWlWTWJkQT09</t>
        </is>
      </c>
      <c r="F54" t="n">
        <v>1</v>
      </c>
      <c r="G54" t="inlineStr">
        <is>
          <t>BS004</t>
        </is>
      </c>
      <c r="H54" t="inlineStr">
        <is>
          <t>22 Juni 2012</t>
        </is>
      </c>
      <c r="I54" s="2" t="n">
        <v>46341</v>
      </c>
      <c r="J54" t="inlineStr">
        <is>
          <t>Disetujui</t>
        </is>
      </c>
      <c r="K54" t="n">
        <v>60</v>
      </c>
      <c r="L54" t="inlineStr">
        <is>
          <t>15 November 2026</t>
        </is>
      </c>
      <c r="M54" t="inlineStr">
        <is>
          <t>Konstruksi Jaringan Irigasi dan Drainase</t>
        </is>
      </c>
      <c r="N54" t="inlineStr">
        <is>
          <t>K</t>
        </is>
      </c>
      <c r="O54" t="inlineStr">
        <is>
          <t>20231115</t>
        </is>
      </c>
      <c r="P54" t="inlineStr">
        <is>
          <t>Riau</t>
        </is>
      </c>
      <c r="Q54" t="inlineStr"/>
    </row>
    <row r="55">
      <c r="A55" t="inlineStr">
        <is>
          <t>INDOTAMA PERSADA</t>
        </is>
      </c>
      <c r="B55" t="inlineStr">
        <is>
          <t>Kota Tangerang</t>
        </is>
      </c>
      <c r="C55" t="inlineStr">
        <is>
          <t>085648404070</t>
        </is>
      </c>
      <c r="D55" t="inlineStr">
        <is>
          <t>persadaindotama.cv@gmail.com</t>
        </is>
      </c>
      <c r="E55" t="inlineStr">
        <is>
          <t>https://lpjk.pu.go.id/search-badan-usaha-detail/WllsWWRrMVk5YXorWGI4MU1yU0xFUT09</t>
        </is>
      </c>
      <c r="F55" t="n">
        <v>4</v>
      </c>
      <c r="G55" t="inlineStr">
        <is>
          <t>BG006, BG009</t>
        </is>
      </c>
      <c r="H55" t="inlineStr">
        <is>
          <t>27 Maret 2019</t>
        </is>
      </c>
      <c r="I55" s="2" t="n">
        <v>46341</v>
      </c>
      <c r="J55" t="inlineStr">
        <is>
          <t>Disetujui</t>
        </is>
      </c>
      <c r="K55" t="n">
        <v>60</v>
      </c>
      <c r="L55" t="inlineStr">
        <is>
          <t>15 November 2026</t>
        </is>
      </c>
      <c r="M55" t="inlineStr">
        <is>
          <t>Konstruksi Gedung Lainnya, Konstruksi Gedung Pendidikan</t>
        </is>
      </c>
      <c r="N55" t="inlineStr">
        <is>
          <t>K</t>
        </is>
      </c>
      <c r="O55" t="inlineStr">
        <is>
          <t>20231115, 20231117</t>
        </is>
      </c>
      <c r="P55" t="inlineStr">
        <is>
          <t>Banten</t>
        </is>
      </c>
      <c r="Q55" t="inlineStr"/>
    </row>
    <row r="56">
      <c r="A56" t="inlineStr">
        <is>
          <t>INSANI ABADI</t>
        </is>
      </c>
      <c r="B56" t="inlineStr">
        <is>
          <t>Kota Tanjung Pinang</t>
        </is>
      </c>
      <c r="C56" t="inlineStr">
        <is>
          <t>085264492352</t>
        </is>
      </c>
      <c r="D56" t="inlineStr">
        <is>
          <t>insaniabadi@yahoo.co.id</t>
        </is>
      </c>
      <c r="E56" t="inlineStr">
        <is>
          <t>https://lpjk.pu.go.id/search-badan-usaha-detail/aUpNd0xrZGx2U2kxVElaaGd4TjhWQT09</t>
        </is>
      </c>
      <c r="F56" t="n">
        <v>4</v>
      </c>
      <c r="G56" t="inlineStr">
        <is>
          <t>BG009, BS004</t>
        </is>
      </c>
      <c r="H56" t="inlineStr">
        <is>
          <t>18 Februari 2003</t>
        </is>
      </c>
      <c r="I56" s="2" t="n">
        <v>46341</v>
      </c>
      <c r="J56" t="inlineStr">
        <is>
          <t>Disetujui</t>
        </is>
      </c>
      <c r="K56" t="n">
        <v>60</v>
      </c>
      <c r="L56" t="inlineStr">
        <is>
          <t>15 November 2026</t>
        </is>
      </c>
      <c r="M56" t="inlineStr">
        <is>
          <t>Konstruksi Gedung Lainnya, Konstruksi Jaringan Irigasi dan Drainase</t>
        </is>
      </c>
      <c r="N56" t="inlineStr">
        <is>
          <t>K</t>
        </is>
      </c>
      <c r="O56" t="inlineStr">
        <is>
          <t>20231114, 20231120</t>
        </is>
      </c>
      <c r="P56" t="inlineStr">
        <is>
          <t>Kepulauan Riau</t>
        </is>
      </c>
      <c r="Q56" t="inlineStr"/>
    </row>
    <row r="57">
      <c r="A57" t="inlineStr">
        <is>
          <t>INTIKARYA TIGAMITRA</t>
        </is>
      </c>
      <c r="B57" t="inlineStr">
        <is>
          <t>Kota Padang</t>
        </is>
      </c>
      <c r="C57" t="inlineStr">
        <is>
          <t>07517053301</t>
        </is>
      </c>
      <c r="D57" t="inlineStr">
        <is>
          <t>inkatim25@gmail.com</t>
        </is>
      </c>
      <c r="E57" t="inlineStr">
        <is>
          <t>https://lpjk.pu.go.id/search-badan-usaha-detail/WFhycm1FNzV1Q0loTmVoTk1udWhYdz09</t>
        </is>
      </c>
      <c r="F57" t="n">
        <v>6</v>
      </c>
      <c r="G57" t="inlineStr">
        <is>
          <t>AR001, RK001</t>
        </is>
      </c>
      <c r="H57" t="inlineStr">
        <is>
          <t>12 Oktober 1992</t>
        </is>
      </c>
      <c r="I57" s="2" t="n">
        <v>46341</v>
      </c>
      <c r="J57" t="inlineStr">
        <is>
          <t>Disetujui</t>
        </is>
      </c>
      <c r="K57" t="n">
        <v>60</v>
      </c>
      <c r="L57" t="inlineStr">
        <is>
          <t>15 November 2026</t>
        </is>
      </c>
      <c r="M57" t="inlineStr">
        <is>
          <t>Jasa Arsitektural Bangunan Gedung Hunian dan Non Hunian, Jasa Rekayasa Konstruksi Bangunan Gedung Hunian dan Non Hunian</t>
        </is>
      </c>
      <c r="N57" t="inlineStr">
        <is>
          <t>K</t>
        </is>
      </c>
      <c r="O57" t="inlineStr">
        <is>
          <t>20231103, 20231113</t>
        </is>
      </c>
      <c r="P57" t="inlineStr">
        <is>
          <t>Sumatera Barat</t>
        </is>
      </c>
      <c r="Q57" t="inlineStr"/>
    </row>
    <row r="58">
      <c r="A58" t="inlineStr">
        <is>
          <t>JENDELA NUSANTARA MULTI BUANA</t>
        </is>
      </c>
      <c r="B58" t="inlineStr">
        <is>
          <t>Kab. Sukoharjo</t>
        </is>
      </c>
      <c r="C58" t="inlineStr">
        <is>
          <t>085642202202</t>
        </is>
      </c>
      <c r="D58" t="inlineStr">
        <is>
          <t>ptjendelanusantara@gmail.com</t>
        </is>
      </c>
      <c r="E58" t="inlineStr">
        <is>
          <t>https://lpjk.pu.go.id/search-badan-usaha-detail/Skd6MUYyUk1uODhMbnV4czJJM2FDdz09</t>
        </is>
      </c>
      <c r="F58" t="n">
        <v>2</v>
      </c>
      <c r="G58" t="inlineStr">
        <is>
          <t>BG001, BG002</t>
        </is>
      </c>
      <c r="H58" t="inlineStr">
        <is>
          <t>6 September 2023</t>
        </is>
      </c>
      <c r="I58" s="2" t="n">
        <v>46341</v>
      </c>
      <c r="J58" t="inlineStr">
        <is>
          <t>Pencabutan</t>
        </is>
      </c>
      <c r="K58" t="n">
        <v>60</v>
      </c>
      <c r="L58" t="inlineStr">
        <is>
          <t>15 November 2026</t>
        </is>
      </c>
      <c r="M58" t="inlineStr">
        <is>
          <t>Konstruksi Gedung Hunian, Konstruksi Gedung Perkantoran</t>
        </is>
      </c>
      <c r="N58" t="inlineStr">
        <is>
          <t>K</t>
        </is>
      </c>
      <c r="O58" t="inlineStr">
        <is>
          <t>20231113</t>
        </is>
      </c>
      <c r="P58" t="inlineStr">
        <is>
          <t>Jawa Tengah</t>
        </is>
      </c>
      <c r="Q58" t="inlineStr"/>
    </row>
    <row r="59">
      <c r="A59" t="inlineStr">
        <is>
          <t>KARINA</t>
        </is>
      </c>
      <c r="B59" t="inlineStr">
        <is>
          <t>Kab. Blora</t>
        </is>
      </c>
      <c r="C59" t="inlineStr">
        <is>
          <t>0296533052</t>
        </is>
      </c>
      <c r="D59" t="inlineStr">
        <is>
          <t>karinabloracv@gmail.com</t>
        </is>
      </c>
      <c r="E59" t="inlineStr">
        <is>
          <t>https://lpjk.pu.go.id/search-badan-usaha-detail/ejN5Q3dyR3lIR2ltSHVza2NrYzYwdz09</t>
        </is>
      </c>
      <c r="F59" t="n">
        <v>1</v>
      </c>
      <c r="G59" t="inlineStr">
        <is>
          <t>BG002</t>
        </is>
      </c>
      <c r="H59" t="inlineStr">
        <is>
          <t>11 Januari 1990</t>
        </is>
      </c>
      <c r="I59" s="2" t="n">
        <v>46341</v>
      </c>
      <c r="J59" t="inlineStr">
        <is>
          <t>Disetujui</t>
        </is>
      </c>
      <c r="K59" t="n">
        <v>60</v>
      </c>
      <c r="L59" t="inlineStr">
        <is>
          <t>15 November 2026</t>
        </is>
      </c>
      <c r="M59" t="inlineStr">
        <is>
          <t>Konstruksi Gedung Perkantoran</t>
        </is>
      </c>
      <c r="N59" t="inlineStr">
        <is>
          <t>K</t>
        </is>
      </c>
      <c r="O59" t="inlineStr">
        <is>
          <t>20230426</t>
        </is>
      </c>
      <c r="P59" t="inlineStr">
        <is>
          <t>Jawa Tengah</t>
        </is>
      </c>
      <c r="Q59" t="inlineStr"/>
    </row>
    <row r="60">
      <c r="A60" t="inlineStr">
        <is>
          <t>KARINDA DAYA PERKASA</t>
        </is>
      </c>
      <c r="B60" t="inlineStr">
        <is>
          <t>Kota Adm. Jakarta Selatan</t>
        </is>
      </c>
      <c r="C60" t="inlineStr">
        <is>
          <t>8292177</t>
        </is>
      </c>
      <c r="D60" t="inlineStr">
        <is>
          <t>mail@pt-kdp.com</t>
        </is>
      </c>
      <c r="E60" t="inlineStr">
        <is>
          <t>https://lpjk.pu.go.id/search-badan-usaha-detail/R2htWFdHZDh1UWxXVExmcWtFWnFXUT09</t>
        </is>
      </c>
      <c r="F60" t="n">
        <v>1</v>
      </c>
      <c r="G60" t="inlineStr">
        <is>
          <t>PA001</t>
        </is>
      </c>
      <c r="H60" t="inlineStr">
        <is>
          <t>24 Oktober 2000</t>
        </is>
      </c>
      <c r="I60" s="2" t="n">
        <v>46341</v>
      </c>
      <c r="J60" t="inlineStr">
        <is>
          <t>Disetujui</t>
        </is>
      </c>
      <c r="K60" t="n">
        <v>60</v>
      </c>
      <c r="L60" t="inlineStr">
        <is>
          <t>15 November 2026</t>
        </is>
      </c>
      <c r="M60" t="inlineStr">
        <is>
          <t>Penyewaan Peralatan Konstruksi</t>
        </is>
      </c>
      <c r="N60" t="inlineStr">
        <is>
          <t>Spesialis</t>
        </is>
      </c>
      <c r="O60" t="inlineStr">
        <is>
          <t>20231103</t>
        </is>
      </c>
      <c r="P60" t="inlineStr">
        <is>
          <t>DKI Jakarta</t>
        </is>
      </c>
      <c r="Q60" t="inlineStr"/>
    </row>
    <row r="61">
      <c r="A61" t="inlineStr">
        <is>
          <t>KARYA ANANDA ASK</t>
        </is>
      </c>
      <c r="B61" t="inlineStr">
        <is>
          <t>Kab. Kolaka Utara</t>
        </is>
      </c>
      <c r="C61" t="inlineStr">
        <is>
          <t>085255123435</t>
        </is>
      </c>
      <c r="D61" t="inlineStr">
        <is>
          <t>karyaanandaask79@gmail.com</t>
        </is>
      </c>
      <c r="E61" t="inlineStr">
        <is>
          <t>https://lpjk.pu.go.id/search-badan-usaha-detail/ZkdhY3lFSXMrQTJyQUFtQk9uL2psdz09</t>
        </is>
      </c>
      <c r="F61" t="n">
        <v>2</v>
      </c>
      <c r="G61" t="inlineStr">
        <is>
          <t>BG005, BG006</t>
        </is>
      </c>
      <c r="H61" t="inlineStr">
        <is>
          <t>1 November 2023</t>
        </is>
      </c>
      <c r="I61" s="2" t="n">
        <v>46341</v>
      </c>
      <c r="J61" t="inlineStr">
        <is>
          <t>Disetujui</t>
        </is>
      </c>
      <c r="K61" t="n">
        <v>60</v>
      </c>
      <c r="L61" t="inlineStr">
        <is>
          <t>15 November 2026</t>
        </is>
      </c>
      <c r="M61" t="inlineStr">
        <is>
          <t>Konstruksi Gedung Kesehatan, Konstruksi Gedung Pendidikan</t>
        </is>
      </c>
      <c r="N61" t="inlineStr">
        <is>
          <t>K</t>
        </is>
      </c>
      <c r="O61" t="inlineStr">
        <is>
          <t>20231115</t>
        </is>
      </c>
      <c r="P61" t="inlineStr">
        <is>
          <t>Sulawesi Tenggara</t>
        </is>
      </c>
      <c r="Q61" t="inlineStr"/>
    </row>
    <row r="62">
      <c r="A62" t="inlineStr">
        <is>
          <t>KARYA DESIMBA</t>
        </is>
      </c>
      <c r="B62" t="inlineStr">
        <is>
          <t>Kab. Bojonegoro</t>
        </is>
      </c>
      <c r="C62" t="inlineStr">
        <is>
          <t>085233845758</t>
        </is>
      </c>
      <c r="D62" t="inlineStr">
        <is>
          <t>cvkaryadesimba23@gmail.com</t>
        </is>
      </c>
      <c r="E62" t="inlineStr">
        <is>
          <t>https://lpjk.pu.go.id/search-badan-usaha-detail/SURrNWdDSlpPcXZSYjZBcDNQa3ZQdz09</t>
        </is>
      </c>
      <c r="F62" t="n">
        <v>1</v>
      </c>
      <c r="G62" t="inlineStr">
        <is>
          <t>BS004</t>
        </is>
      </c>
      <c r="H62" t="inlineStr">
        <is>
          <t>5 Januari 2023</t>
        </is>
      </c>
      <c r="I62" s="2" t="n">
        <v>46341</v>
      </c>
      <c r="J62" t="inlineStr">
        <is>
          <t>Disetujui</t>
        </is>
      </c>
      <c r="K62" t="n">
        <v>60</v>
      </c>
      <c r="L62" t="inlineStr">
        <is>
          <t>15 November 2026</t>
        </is>
      </c>
      <c r="M62" t="inlineStr">
        <is>
          <t>Konstruksi Jaringan Irigasi dan Drainase</t>
        </is>
      </c>
      <c r="N62" t="inlineStr">
        <is>
          <t>K</t>
        </is>
      </c>
      <c r="O62" t="inlineStr">
        <is>
          <t>20231113</t>
        </is>
      </c>
      <c r="P62" t="inlineStr">
        <is>
          <t>Jawa Timur</t>
        </is>
      </c>
      <c r="Q62" t="inlineStr"/>
    </row>
    <row r="63">
      <c r="A63" t="inlineStr">
        <is>
          <t>KARYA LAPARAMAI INDAH</t>
        </is>
      </c>
      <c r="B63" t="inlineStr">
        <is>
          <t>Kab. Mamuju</t>
        </is>
      </c>
      <c r="C63" t="inlineStr">
        <is>
          <t>085395432879</t>
        </is>
      </c>
      <c r="D63" t="inlineStr">
        <is>
          <t>laparamaiindah@gmail.com</t>
        </is>
      </c>
      <c r="E63" t="inlineStr">
        <is>
          <t>https://lpjk.pu.go.id/search-badan-usaha-detail/d1hScVVuWVJkdUh3WFJCYlFhdmJtZz09</t>
        </is>
      </c>
      <c r="F63" t="n">
        <v>2</v>
      </c>
      <c r="G63" t="inlineStr">
        <is>
          <t>BG001, BS001</t>
        </is>
      </c>
      <c r="H63" t="inlineStr">
        <is>
          <t>11 November 2016</t>
        </is>
      </c>
      <c r="I63" s="2" t="n">
        <v>46341</v>
      </c>
      <c r="J63" t="inlineStr">
        <is>
          <t>Pencabutan</t>
        </is>
      </c>
      <c r="K63" t="n">
        <v>60</v>
      </c>
      <c r="L63" t="inlineStr">
        <is>
          <t>15 November 2026</t>
        </is>
      </c>
      <c r="M63" t="inlineStr">
        <is>
          <t>Konstruksi Bangunan Sipil Jalan, Konstruksi Gedung Hunian</t>
        </is>
      </c>
      <c r="N63" t="inlineStr">
        <is>
          <t>K</t>
        </is>
      </c>
      <c r="O63" t="inlineStr">
        <is>
          <t>20231115</t>
        </is>
      </c>
      <c r="P63" t="inlineStr">
        <is>
          <t>Sulawesi Barat</t>
        </is>
      </c>
      <c r="Q63" t="inlineStr"/>
    </row>
    <row r="64">
      <c r="A64" t="inlineStr">
        <is>
          <t>KARYA PUTRA MANDIRI</t>
        </is>
      </c>
      <c r="B64" t="inlineStr">
        <is>
          <t>Kota Adm. Jakarta Selatan</t>
        </is>
      </c>
      <c r="C64" t="inlineStr">
        <is>
          <t>0217377726</t>
        </is>
      </c>
      <c r="D64" t="inlineStr">
        <is>
          <t>karyaputramandiri168@gmail.com</t>
        </is>
      </c>
      <c r="E64" t="inlineStr">
        <is>
          <t>https://lpjk.pu.go.id/search-badan-usaha-detail/aFkxeGlTakJLMUFTMnNKZFczNU1rQT09</t>
        </is>
      </c>
      <c r="F64" t="n">
        <v>2</v>
      </c>
      <c r="G64" t="inlineStr">
        <is>
          <t>BG009, BS010</t>
        </is>
      </c>
      <c r="H64" t="inlineStr">
        <is>
          <t>26 Juni 2002</t>
        </is>
      </c>
      <c r="I64" s="2" t="n">
        <v>46341</v>
      </c>
      <c r="J64" t="inlineStr">
        <is>
          <t>Disetujui</t>
        </is>
      </c>
      <c r="K64" t="n">
        <v>60</v>
      </c>
      <c r="L64" t="inlineStr">
        <is>
          <t>15 November 2026</t>
        </is>
      </c>
      <c r="M64" t="inlineStr">
        <is>
          <t>Konstruksi Bangunan Prasarana Sumber Daya Air, Konstruksi Gedung Lainnya</t>
        </is>
      </c>
      <c r="N64" t="inlineStr">
        <is>
          <t>K</t>
        </is>
      </c>
      <c r="O64" t="inlineStr">
        <is>
          <t>20231112</t>
        </is>
      </c>
      <c r="P64" t="inlineStr">
        <is>
          <t>DKI Jakarta</t>
        </is>
      </c>
      <c r="Q64" t="inlineStr"/>
    </row>
    <row r="65">
      <c r="A65" t="inlineStr">
        <is>
          <t>KELUARGA</t>
        </is>
      </c>
      <c r="B65" t="inlineStr">
        <is>
          <t>Kab. Bima</t>
        </is>
      </c>
      <c r="C65" t="inlineStr">
        <is>
          <t>085338905527</t>
        </is>
      </c>
      <c r="D65" t="inlineStr">
        <is>
          <t>rusdinbontokape@gmail.com</t>
        </is>
      </c>
      <c r="E65" t="inlineStr">
        <is>
          <t>https://lpjk.pu.go.id/search-badan-usaha-detail/OGNMcmUxWncyVGJtS3dZSFJMR0kzZz09</t>
        </is>
      </c>
      <c r="F65" t="n">
        <v>2</v>
      </c>
      <c r="G65" t="inlineStr">
        <is>
          <t>BS001, BS004</t>
        </is>
      </c>
      <c r="H65" t="inlineStr">
        <is>
          <t>1 September 2005</t>
        </is>
      </c>
      <c r="I65" s="2" t="n">
        <v>46341</v>
      </c>
      <c r="J65" t="inlineStr">
        <is>
          <t>Disetujui</t>
        </is>
      </c>
      <c r="K65" t="n">
        <v>60</v>
      </c>
      <c r="L65" t="inlineStr">
        <is>
          <t>15 November 2026</t>
        </is>
      </c>
      <c r="M65" t="inlineStr">
        <is>
          <t>Konstruksi Bangunan Sipil Jalan, Konstruksi Jaringan Irigasi dan Drainase</t>
        </is>
      </c>
      <c r="N65" t="inlineStr">
        <is>
          <t>K</t>
        </is>
      </c>
      <c r="O65" t="inlineStr">
        <is>
          <t>20231106, 20231118</t>
        </is>
      </c>
      <c r="P65" t="inlineStr">
        <is>
          <t>Nusa Tenggara Barat</t>
        </is>
      </c>
      <c r="Q65" t="inlineStr"/>
    </row>
    <row r="66">
      <c r="A66" t="inlineStr">
        <is>
          <t>KONSULTAN 99</t>
        </is>
      </c>
      <c r="B66" t="inlineStr">
        <is>
          <t>Kota Samarinda</t>
        </is>
      </c>
      <c r="C66" t="inlineStr">
        <is>
          <t>082131233332</t>
        </is>
      </c>
      <c r="D66" t="inlineStr">
        <is>
          <t>cv.konsultan99@gmail.com</t>
        </is>
      </c>
      <c r="E66" t="inlineStr">
        <is>
          <t>https://lpjk.pu.go.id/search-badan-usaha-detail/Nm9CbGxGSkZ2cE5XTnM3dDB3N2FMQT09</t>
        </is>
      </c>
      <c r="F66" t="n">
        <v>4</v>
      </c>
      <c r="G66" t="inlineStr">
        <is>
          <t>AR001, RK001, RK002, RK003</t>
        </is>
      </c>
      <c r="H66" t="inlineStr">
        <is>
          <t>1 Februari 2018</t>
        </is>
      </c>
      <c r="I66" s="2" t="n">
        <v>46341</v>
      </c>
      <c r="J66" t="inlineStr">
        <is>
          <t>Disetujui</t>
        </is>
      </c>
      <c r="K66" t="n">
        <v>60</v>
      </c>
      <c r="L66" t="inlineStr">
        <is>
          <t>15 November 2026</t>
        </is>
      </c>
      <c r="M66" t="inlineStr">
        <is>
          <t>Jasa Arsitektural Bangunan Gedung Hunian dan Non Hunian, Jasa Rekayasa Konstruksi Bangunan Gedung Hunian dan Non Hunian, Jasa Rekayasa Pekerjaan Teknik Sipil Sumber Daya Air, Jasa Rekayasa Pekerjaan Teknik Sipil Transportasi</t>
        </is>
      </c>
      <c r="N66" t="inlineStr">
        <is>
          <t>K</t>
        </is>
      </c>
      <c r="O66" t="inlineStr">
        <is>
          <t>20231019, 20231031</t>
        </is>
      </c>
      <c r="P66" t="inlineStr">
        <is>
          <t>Kalimantan Timur</t>
        </is>
      </c>
      <c r="Q66" t="inlineStr"/>
    </row>
    <row r="67">
      <c r="A67" t="inlineStr">
        <is>
          <t>KREASI MANDIRI CONTRAKTOR</t>
        </is>
      </c>
      <c r="B67" t="inlineStr">
        <is>
          <t>Kab. Pandeglang</t>
        </is>
      </c>
      <c r="C67" t="inlineStr">
        <is>
          <t>087764250146</t>
        </is>
      </c>
      <c r="D67" t="inlineStr">
        <is>
          <t>kreasimandiricontraktor@gmail.com</t>
        </is>
      </c>
      <c r="E67" t="inlineStr">
        <is>
          <t>https://lpjk.pu.go.id/search-badan-usaha-detail/Ri9ENFg2MTFsMVZRNDNGWHRTNUVOZz09</t>
        </is>
      </c>
      <c r="F67" t="n">
        <v>3</v>
      </c>
      <c r="G67" t="inlineStr">
        <is>
          <t>BG002, BG006, BG009</t>
        </is>
      </c>
      <c r="H67" t="inlineStr">
        <is>
          <t>12 Oktober 2023</t>
        </is>
      </c>
      <c r="I67" s="2" t="n">
        <v>46341</v>
      </c>
      <c r="J67" t="inlineStr">
        <is>
          <t>Disetujui</t>
        </is>
      </c>
      <c r="K67" t="n">
        <v>60</v>
      </c>
      <c r="L67" t="inlineStr">
        <is>
          <t>15 November 2026</t>
        </is>
      </c>
      <c r="M67" t="inlineStr">
        <is>
          <t>Konstruksi Gedung Lainnya, Konstruksi Gedung Pendidikan, Konstruksi Gedung Perkantoran</t>
        </is>
      </c>
      <c r="N67" t="inlineStr">
        <is>
          <t>K</t>
        </is>
      </c>
      <c r="O67" t="inlineStr">
        <is>
          <t>20231026, 20231115</t>
        </is>
      </c>
      <c r="P67" t="inlineStr">
        <is>
          <t>Banten</t>
        </is>
      </c>
      <c r="Q67" t="inlineStr"/>
    </row>
    <row r="68">
      <c r="A68" t="inlineStr">
        <is>
          <t>KURNIA DJAJA ALAM</t>
        </is>
      </c>
      <c r="B68" t="inlineStr">
        <is>
          <t>Kota Batam</t>
        </is>
      </c>
      <c r="C68" t="inlineStr">
        <is>
          <t>0778471488</t>
        </is>
      </c>
      <c r="D68" t="inlineStr">
        <is>
          <t>pt.kurniadjajaalam@yahoo.com</t>
        </is>
      </c>
      <c r="E68" t="inlineStr">
        <is>
          <t>https://lpjk.pu.go.id/search-badan-usaha-detail/UGpRZ2tSbkNTUjlybUdVZzNHa1dJUT09</t>
        </is>
      </c>
      <c r="F68" t="n">
        <v>1</v>
      </c>
      <c r="G68" t="inlineStr">
        <is>
          <t>BS002</t>
        </is>
      </c>
      <c r="H68" t="inlineStr">
        <is>
          <t>12 Mei 1976</t>
        </is>
      </c>
      <c r="I68" s="2" t="n">
        <v>46341</v>
      </c>
      <c r="J68" t="inlineStr">
        <is>
          <t>Disetujui</t>
        </is>
      </c>
      <c r="K68" t="n">
        <v>60</v>
      </c>
      <c r="L68" t="inlineStr">
        <is>
          <t>15 November 2026</t>
        </is>
      </c>
      <c r="M68" t="inlineStr">
        <is>
          <t>Bangunan Sipil Jembatan, Jalan Layang, Fly Over, dan Underpass</t>
        </is>
      </c>
      <c r="N68" t="inlineStr">
        <is>
          <t>M</t>
        </is>
      </c>
      <c r="O68" t="inlineStr">
        <is>
          <t>20231103</t>
        </is>
      </c>
      <c r="P68" t="inlineStr">
        <is>
          <t>Kepulauan Riau</t>
        </is>
      </c>
      <c r="Q68" t="inlineStr"/>
    </row>
    <row r="69">
      <c r="A69" t="inlineStr">
        <is>
          <t>KUSUMA KARYA</t>
        </is>
      </c>
      <c r="B69" t="inlineStr">
        <is>
          <t>Kota Yogyakarta</t>
        </is>
      </c>
      <c r="C69" t="inlineStr">
        <is>
          <t>0274 566062/0274 514</t>
        </is>
      </c>
      <c r="D69" t="inlineStr">
        <is>
          <t>kusumakarya@yahoo.co.id</t>
        </is>
      </c>
      <c r="E69" t="inlineStr">
        <is>
          <t>https://lpjk.pu.go.id/search-badan-usaha-detail/YzRCS0FDREphLzA2TFo0QWF2SUVGdz09</t>
        </is>
      </c>
      <c r="F69" t="n">
        <v>2</v>
      </c>
      <c r="G69" t="inlineStr">
        <is>
          <t>IN007</t>
        </is>
      </c>
      <c r="H69" t="inlineStr">
        <is>
          <t>6 November 2003</t>
        </is>
      </c>
      <c r="I69" s="2" t="n">
        <v>46341</v>
      </c>
      <c r="J69" t="inlineStr">
        <is>
          <t>Disetujui</t>
        </is>
      </c>
      <c r="K69" t="n">
        <v>60</v>
      </c>
      <c r="L69" t="inlineStr">
        <is>
          <t>15 November 2026</t>
        </is>
      </c>
      <c r="M69" t="inlineStr">
        <is>
          <t>Instalasi Saluran Air (Plambing)</t>
        </is>
      </c>
      <c r="N69" t="inlineStr">
        <is>
          <t>Spesialis</t>
        </is>
      </c>
      <c r="O69" t="inlineStr">
        <is>
          <t>20231031</t>
        </is>
      </c>
      <c r="P69" t="inlineStr">
        <is>
          <t>DI Yogyakarta</t>
        </is>
      </c>
      <c r="Q69" t="inlineStr"/>
    </row>
    <row r="70">
      <c r="A70" t="inlineStr">
        <is>
          <t>MAHAKA KARYA</t>
        </is>
      </c>
      <c r="B70" t="inlineStr">
        <is>
          <t>Kab. Banyuwangi</t>
        </is>
      </c>
      <c r="C70" t="inlineStr">
        <is>
          <t>082110926164</t>
        </is>
      </c>
      <c r="D70" t="inlineStr">
        <is>
          <t>cvmahakakarya@gmail.com</t>
        </is>
      </c>
      <c r="E70" t="inlineStr">
        <is>
          <t>https://lpjk.pu.go.id/search-badan-usaha-detail/VWJFdVNacHlpZHBCR3dhVTh6d3NjQT09</t>
        </is>
      </c>
      <c r="F70" t="n">
        <v>4</v>
      </c>
      <c r="G70" t="inlineStr">
        <is>
          <t>BG006, BG009</t>
        </is>
      </c>
      <c r="H70" t="inlineStr">
        <is>
          <t>15 Juni 2021</t>
        </is>
      </c>
      <c r="I70" s="2" t="n">
        <v>46341</v>
      </c>
      <c r="J70" t="inlineStr">
        <is>
          <t>Disetujui</t>
        </is>
      </c>
      <c r="K70" t="n">
        <v>60</v>
      </c>
      <c r="L70" t="inlineStr">
        <is>
          <t>15 November 2026</t>
        </is>
      </c>
      <c r="M70" t="inlineStr">
        <is>
          <t>Konstruksi Gedung Lainnya, Konstruksi Gedung Pendidikan</t>
        </is>
      </c>
      <c r="N70" t="inlineStr">
        <is>
          <t>K</t>
        </is>
      </c>
      <c r="O70" t="inlineStr">
        <is>
          <t>20231115</t>
        </is>
      </c>
      <c r="P70" t="inlineStr">
        <is>
          <t>Jawa Timur</t>
        </is>
      </c>
      <c r="Q70" t="inlineStr"/>
    </row>
    <row r="71">
      <c r="A71" t="inlineStr">
        <is>
          <t>MEDYA PRATAMA</t>
        </is>
      </c>
      <c r="B71" t="inlineStr">
        <is>
          <t>Kota Solok</t>
        </is>
      </c>
      <c r="C71" t="inlineStr">
        <is>
          <t>085265576172</t>
        </is>
      </c>
      <c r="D71" t="inlineStr">
        <is>
          <t>cv.medyapratama10@gmail.com</t>
        </is>
      </c>
      <c r="E71" t="inlineStr">
        <is>
          <t>https://lpjk.pu.go.id/search-badan-usaha-detail/cnlaOFkrU05BL1RnSWpNcEozNVpCQT09</t>
        </is>
      </c>
      <c r="F71" t="n">
        <v>1</v>
      </c>
      <c r="G71" t="inlineStr">
        <is>
          <t>BS005</t>
        </is>
      </c>
      <c r="H71" t="inlineStr">
        <is>
          <t>10 Januari 2017</t>
        </is>
      </c>
      <c r="I71" s="2" t="n">
        <v>46341</v>
      </c>
      <c r="J71" t="inlineStr">
        <is>
          <t>Pencabutan</t>
        </is>
      </c>
      <c r="K71" t="n">
        <v>60</v>
      </c>
      <c r="L71" t="inlineStr">
        <is>
          <t>15 November 2026</t>
        </is>
      </c>
      <c r="M71" t="inlineStr">
        <is>
          <t>Konstruksi Bangunan Sipil Pengolahan Air Bersih</t>
        </is>
      </c>
      <c r="N71" t="inlineStr">
        <is>
          <t>K</t>
        </is>
      </c>
      <c r="O71" t="inlineStr">
        <is>
          <t>20231114</t>
        </is>
      </c>
      <c r="P71" t="inlineStr">
        <is>
          <t>Sumatera Barat</t>
        </is>
      </c>
      <c r="Q71" t="inlineStr"/>
    </row>
    <row r="72">
      <c r="A72" t="inlineStr">
        <is>
          <t>METRO ANGGRAINI</t>
        </is>
      </c>
      <c r="B72" t="inlineStr">
        <is>
          <t>Kab. Lombok Barat</t>
        </is>
      </c>
      <c r="C72" t="inlineStr">
        <is>
          <t>081999220059</t>
        </is>
      </c>
      <c r="D72" t="inlineStr">
        <is>
          <t>metroanggraini@gmail.com</t>
        </is>
      </c>
      <c r="E72" t="inlineStr">
        <is>
          <t>https://lpjk.pu.go.id/search-badan-usaha-detail/bkxISjRaNmlseGZVZ2pUWFlUdm9sQT09</t>
        </is>
      </c>
      <c r="F72" t="n">
        <v>1</v>
      </c>
      <c r="G72" t="inlineStr">
        <is>
          <t>BS005</t>
        </is>
      </c>
      <c r="H72" t="inlineStr">
        <is>
          <t>13 April 2020</t>
        </is>
      </c>
      <c r="I72" s="2" t="n">
        <v>46341</v>
      </c>
      <c r="J72" t="inlineStr">
        <is>
          <t>Disetujui</t>
        </is>
      </c>
      <c r="K72" t="n">
        <v>60</v>
      </c>
      <c r="L72" t="inlineStr">
        <is>
          <t>15 November 2026</t>
        </is>
      </c>
      <c r="M72" t="inlineStr">
        <is>
          <t>Konstruksi Bangunan Sipil Pengolahan Air Bersih</t>
        </is>
      </c>
      <c r="N72" t="inlineStr">
        <is>
          <t>K</t>
        </is>
      </c>
      <c r="O72" t="inlineStr">
        <is>
          <t>20231114</t>
        </is>
      </c>
      <c r="P72" t="inlineStr">
        <is>
          <t>Nusa Tenggara Barat</t>
        </is>
      </c>
      <c r="Q72" t="inlineStr"/>
    </row>
    <row r="73">
      <c r="A73" t="inlineStr">
        <is>
          <t>MITRA KARUNIA MANDIRI</t>
        </is>
      </c>
      <c r="B73" t="inlineStr">
        <is>
          <t>Kota Adm. Jakarta Utara</t>
        </is>
      </c>
      <c r="C73" t="inlineStr">
        <is>
          <t>02122437552</t>
        </is>
      </c>
      <c r="D73" t="inlineStr">
        <is>
          <t>mitra_km@yahoo.com</t>
        </is>
      </c>
      <c r="E73" t="inlineStr">
        <is>
          <t>https://lpjk.pu.go.id/search-badan-usaha-detail/c2xTaWVnYS8zRmRUVElSTDNnUnR1dz09</t>
        </is>
      </c>
      <c r="F73" t="n">
        <v>1</v>
      </c>
      <c r="G73" t="inlineStr">
        <is>
          <t>IN001</t>
        </is>
      </c>
      <c r="H73" t="inlineStr">
        <is>
          <t>7 Maret 2002</t>
        </is>
      </c>
      <c r="I73" s="2" t="n">
        <v>46341</v>
      </c>
      <c r="J73" t="inlineStr">
        <is>
          <t>Pembekuan</t>
        </is>
      </c>
      <c r="K73" t="n">
        <v>60</v>
      </c>
      <c r="L73" t="inlineStr">
        <is>
          <t>15 November 2026</t>
        </is>
      </c>
      <c r="M73" t="inlineStr">
        <is>
          <t>Instalasi Mekanikal</t>
        </is>
      </c>
      <c r="N73" t="inlineStr">
        <is>
          <t>Spesialis</t>
        </is>
      </c>
      <c r="O73" t="inlineStr">
        <is>
          <t>20231116</t>
        </is>
      </c>
      <c r="P73" t="inlineStr">
        <is>
          <t>DKI Jakarta</t>
        </is>
      </c>
      <c r="Q73" t="inlineStr"/>
    </row>
    <row r="74">
      <c r="A74" t="inlineStr">
        <is>
          <t>MITRA MOROWALI MAKMUR</t>
        </is>
      </c>
      <c r="B74" t="inlineStr">
        <is>
          <t>Kab. Morowali</t>
        </is>
      </c>
      <c r="C74" t="inlineStr">
        <is>
          <t>085218184824</t>
        </is>
      </c>
      <c r="D74" t="inlineStr">
        <is>
          <t>mitramorowalimakmur@gmail.com</t>
        </is>
      </c>
      <c r="E74" t="inlineStr">
        <is>
          <t>https://lpjk.pu.go.id/search-badan-usaha-detail/cG9JSWNiQUxkQWVnN2FNV1Ftd0YyZz09</t>
        </is>
      </c>
      <c r="F74" t="n">
        <v>2</v>
      </c>
      <c r="G74" t="inlineStr">
        <is>
          <t>BG009, BS006</t>
        </is>
      </c>
      <c r="H74" t="inlineStr">
        <is>
          <t>30 Mei 2023</t>
        </is>
      </c>
      <c r="I74" s="2" t="n">
        <v>46341</v>
      </c>
      <c r="J74" t="inlineStr">
        <is>
          <t>Disetujui</t>
        </is>
      </c>
      <c r="K74" t="n">
        <v>60</v>
      </c>
      <c r="L74" t="inlineStr">
        <is>
          <t>15 November 2026</t>
        </is>
      </c>
      <c r="M74" t="inlineStr">
        <is>
          <t>Konstruksi Bangunan Sipil Prasarana dan Sarana Sistem Pengolahan Limbah Padat, Cair, dan Gas, Konstruksi Gedung Lainnya</t>
        </is>
      </c>
      <c r="N74" t="inlineStr">
        <is>
          <t>K</t>
        </is>
      </c>
      <c r="O74" t="inlineStr">
        <is>
          <t>20231114</t>
        </is>
      </c>
      <c r="P74" t="inlineStr">
        <is>
          <t>Sulawesi Tengah</t>
        </is>
      </c>
      <c r="Q74" t="inlineStr"/>
    </row>
    <row r="75">
      <c r="A75" t="inlineStr">
        <is>
          <t>MITRA SENTOSA BALI</t>
        </is>
      </c>
      <c r="B75" t="inlineStr">
        <is>
          <t>Kab. Badung</t>
        </is>
      </c>
      <c r="C75" t="inlineStr">
        <is>
          <t>081238563718</t>
        </is>
      </c>
      <c r="D75" t="inlineStr">
        <is>
          <t>villa15rina@gmail.com</t>
        </is>
      </c>
      <c r="E75" t="inlineStr">
        <is>
          <t>https://lpjk.pu.go.id/search-badan-usaha-detail/RWdlUWFTS0RsMWZkWnRTTk0xT0FvUT09</t>
        </is>
      </c>
      <c r="F75" t="n">
        <v>3</v>
      </c>
      <c r="G75" t="inlineStr">
        <is>
          <t>BG001, BG002, BG007</t>
        </is>
      </c>
      <c r="H75" t="inlineStr">
        <is>
          <t>9 April 2020</t>
        </is>
      </c>
      <c r="I75" s="2" t="n">
        <v>46341</v>
      </c>
      <c r="J75" t="inlineStr">
        <is>
          <t>Disetujui</t>
        </is>
      </c>
      <c r="K75" t="n">
        <v>60</v>
      </c>
      <c r="L75" t="inlineStr">
        <is>
          <t>15 November 2026</t>
        </is>
      </c>
      <c r="M75" t="inlineStr">
        <is>
          <t>Konstruksi Gedung Hunian, Konstruksi Gedung Penginapan, Konstruksi Gedung Perkantoran</t>
        </is>
      </c>
      <c r="N75" t="inlineStr">
        <is>
          <t>K</t>
        </is>
      </c>
      <c r="O75" t="inlineStr">
        <is>
          <t>20231110</t>
        </is>
      </c>
      <c r="P75" t="inlineStr">
        <is>
          <t>Bali</t>
        </is>
      </c>
      <c r="Q75" t="inlineStr"/>
    </row>
    <row r="76">
      <c r="A76" t="inlineStr">
        <is>
          <t>MUTIARA NANDA</t>
        </is>
      </c>
      <c r="B76" t="inlineStr">
        <is>
          <t>Kota Dumai</t>
        </is>
      </c>
      <c r="C76" t="inlineStr">
        <is>
          <t>081260199262</t>
        </is>
      </c>
      <c r="D76" t="inlineStr">
        <is>
          <t>nandadumai@hotmail.com</t>
        </is>
      </c>
      <c r="E76" t="inlineStr">
        <is>
          <t>https://lpjk.pu.go.id/search-badan-usaha-detail/R1lrQTNWT3JqVlpzSnNBTXFVS1c5UT09</t>
        </is>
      </c>
      <c r="F76" t="n">
        <v>2</v>
      </c>
      <c r="G76" t="inlineStr">
        <is>
          <t>IN007</t>
        </is>
      </c>
      <c r="H76" t="inlineStr">
        <is>
          <t>30 Agustus 2001</t>
        </is>
      </c>
      <c r="I76" s="2" t="n">
        <v>46341</v>
      </c>
      <c r="J76" t="inlineStr">
        <is>
          <t>Pembekuan</t>
        </is>
      </c>
      <c r="K76" t="n">
        <v>60</v>
      </c>
      <c r="L76" t="inlineStr">
        <is>
          <t>15 November 2026</t>
        </is>
      </c>
      <c r="M76" t="inlineStr">
        <is>
          <t>Instalasi Saluran Air (Plambing)</t>
        </is>
      </c>
      <c r="N76" t="inlineStr">
        <is>
          <t>Spesialis</t>
        </is>
      </c>
      <c r="O76" t="inlineStr">
        <is>
          <t>20231114</t>
        </is>
      </c>
      <c r="P76" t="inlineStr">
        <is>
          <t>Riau</t>
        </is>
      </c>
      <c r="Q76" t="inlineStr"/>
    </row>
    <row r="77">
      <c r="A77" t="inlineStr">
        <is>
          <t>NUR BAKTI UTAMA</t>
        </is>
      </c>
      <c r="B77" t="inlineStr">
        <is>
          <t>Kab. Sintang</t>
        </is>
      </c>
      <c r="C77" t="inlineStr">
        <is>
          <t>085332353446</t>
        </is>
      </c>
      <c r="D77" t="inlineStr">
        <is>
          <t>nurbaktiutama.cv@gmail.com</t>
        </is>
      </c>
      <c r="E77" t="inlineStr">
        <is>
          <t>https://lpjk.pu.go.id/search-badan-usaha-detail/R2Z0UTdqWk1ZaC9QMHB5S25kZ0h6UT09</t>
        </is>
      </c>
      <c r="F77" t="n">
        <v>1</v>
      </c>
      <c r="G77" t="inlineStr">
        <is>
          <t>BS001</t>
        </is>
      </c>
      <c r="H77" t="inlineStr">
        <is>
          <t>12 September 2017</t>
        </is>
      </c>
      <c r="I77" s="2" t="n">
        <v>46341</v>
      </c>
      <c r="J77" t="inlineStr">
        <is>
          <t>Disetujui</t>
        </is>
      </c>
      <c r="K77" t="n">
        <v>60</v>
      </c>
      <c r="L77" t="inlineStr">
        <is>
          <t>15 November 2026</t>
        </is>
      </c>
      <c r="M77" t="inlineStr">
        <is>
          <t>Konstruksi Bangunan Sipil Jalan</t>
        </is>
      </c>
      <c r="N77" t="inlineStr">
        <is>
          <t>K</t>
        </is>
      </c>
      <c r="O77" t="inlineStr">
        <is>
          <t>20231113</t>
        </is>
      </c>
      <c r="P77" t="inlineStr">
        <is>
          <t>Kalimantan Barat</t>
        </is>
      </c>
      <c r="Q77" t="inlineStr"/>
    </row>
    <row r="78">
      <c r="A78" t="inlineStr">
        <is>
          <t>PASOPATI JAYA</t>
        </is>
      </c>
      <c r="B78" t="inlineStr">
        <is>
          <t>Kab. Banyuwangi</t>
        </is>
      </c>
      <c r="C78" t="inlineStr">
        <is>
          <t>081233106985</t>
        </is>
      </c>
      <c r="D78" t="inlineStr">
        <is>
          <t>pasopatijaya.cv@gmail.com</t>
        </is>
      </c>
      <c r="E78" t="inlineStr">
        <is>
          <t>https://lpjk.pu.go.id/search-badan-usaha-detail/dkxvN2QvejBPVjJRZzFDYmVOd0lVUT09</t>
        </is>
      </c>
      <c r="F78" t="n">
        <v>2</v>
      </c>
      <c r="G78" t="inlineStr">
        <is>
          <t>BS001, BS004</t>
        </is>
      </c>
      <c r="H78" t="inlineStr">
        <is>
          <t>15 Juni 2021</t>
        </is>
      </c>
      <c r="I78" s="2" t="n">
        <v>46341</v>
      </c>
      <c r="J78" t="inlineStr">
        <is>
          <t>Disetujui</t>
        </is>
      </c>
      <c r="K78" t="n">
        <v>60</v>
      </c>
      <c r="L78" t="inlineStr">
        <is>
          <t>15 November 2026</t>
        </is>
      </c>
      <c r="M78" t="inlineStr">
        <is>
          <t>Konstruksi Bangunan Sipil Jalan, Konstruksi Jaringan Irigasi dan Drainase</t>
        </is>
      </c>
      <c r="N78" t="inlineStr">
        <is>
          <t>K</t>
        </is>
      </c>
      <c r="O78" t="inlineStr">
        <is>
          <t>20231114, 20231120</t>
        </is>
      </c>
      <c r="P78" t="inlineStr">
        <is>
          <t>Jawa Timur</t>
        </is>
      </c>
      <c r="Q78" t="inlineStr"/>
    </row>
    <row r="79">
      <c r="A79" t="inlineStr">
        <is>
          <t>PERMATA MANDIRI PROPERTINDO</t>
        </is>
      </c>
      <c r="B79" t="inlineStr">
        <is>
          <t>Kab. Ngawi</t>
        </is>
      </c>
      <c r="C79" t="inlineStr">
        <is>
          <t>03517401688</t>
        </is>
      </c>
      <c r="D79" t="inlineStr">
        <is>
          <t>pt.permatamandiri91@gmail.com</t>
        </is>
      </c>
      <c r="E79" t="inlineStr">
        <is>
          <t>https://lpjk.pu.go.id/search-badan-usaha-detail/OFVxM2xPMjdHanpyZFRtamJMYkpjQT09</t>
        </is>
      </c>
      <c r="F79" t="n">
        <v>1</v>
      </c>
      <c r="G79" t="inlineStr">
        <is>
          <t>BG001</t>
        </is>
      </c>
      <c r="H79" t="inlineStr">
        <is>
          <t>14 Januari 2015</t>
        </is>
      </c>
      <c r="I79" s="2" t="n">
        <v>46341</v>
      </c>
      <c r="J79" t="inlineStr">
        <is>
          <t>Disetujui</t>
        </is>
      </c>
      <c r="K79" t="n">
        <v>60</v>
      </c>
      <c r="L79" t="inlineStr">
        <is>
          <t>15 November 2026</t>
        </is>
      </c>
      <c r="M79" t="inlineStr">
        <is>
          <t>Konstruksi Gedung Hunian</t>
        </is>
      </c>
      <c r="N79" t="inlineStr">
        <is>
          <t>K</t>
        </is>
      </c>
      <c r="O79" t="inlineStr">
        <is>
          <t>20231114</t>
        </is>
      </c>
      <c r="P79" t="inlineStr">
        <is>
          <t>Jawa Timur</t>
        </is>
      </c>
      <c r="Q79" t="inlineStr"/>
    </row>
    <row r="80">
      <c r="A80" t="inlineStr">
        <is>
          <t>PRIMA CASSARA ABADI</t>
        </is>
      </c>
      <c r="B80" t="inlineStr">
        <is>
          <t>Kota Adm. Jakarta Selatan</t>
        </is>
      </c>
      <c r="C80" t="inlineStr">
        <is>
          <t>0217656004</t>
        </is>
      </c>
      <c r="D80" t="inlineStr">
        <is>
          <t>pica.pajak@yahoo.com</t>
        </is>
      </c>
      <c r="E80" t="inlineStr">
        <is>
          <t>https://lpjk.pu.go.id/search-badan-usaha-detail/SWNpWEFZUG80VEt3emk2MCt5NXkyUT09</t>
        </is>
      </c>
      <c r="F80" t="n">
        <v>3</v>
      </c>
      <c r="G80" t="inlineStr">
        <is>
          <t>BG003, BG004, BG005</t>
        </is>
      </c>
      <c r="H80" t="inlineStr">
        <is>
          <t>3 September 2009</t>
        </is>
      </c>
      <c r="I80" s="2" t="n">
        <v>46341</v>
      </c>
      <c r="J80" t="inlineStr">
        <is>
          <t>Disetujui, Pembekuan</t>
        </is>
      </c>
      <c r="K80" t="n">
        <v>60</v>
      </c>
      <c r="L80" t="inlineStr">
        <is>
          <t>15 November 2026</t>
        </is>
      </c>
      <c r="M80" t="inlineStr">
        <is>
          <t>Konstruksi Gedung Industri, Konstruksi Gedung Kesehatan, Konstruksi Gedung Perbelanjaan</t>
        </is>
      </c>
      <c r="N80" t="inlineStr">
        <is>
          <t>K, M</t>
        </is>
      </c>
      <c r="O80" t="inlineStr">
        <is>
          <t>20231113</t>
        </is>
      </c>
      <c r="P80" t="inlineStr">
        <is>
          <t>DKI Jakarta</t>
        </is>
      </c>
      <c r="Q80" t="inlineStr"/>
    </row>
    <row r="81">
      <c r="A81" t="inlineStr">
        <is>
          <t>PRIMA INTI RODA</t>
        </is>
      </c>
      <c r="B81" t="inlineStr">
        <is>
          <t>Kab. Gresik</t>
        </is>
      </c>
      <c r="C81" t="inlineStr">
        <is>
          <t>0313952192</t>
        </is>
      </c>
      <c r="D81" t="inlineStr">
        <is>
          <t>primainti.roda@yahoo.com</t>
        </is>
      </c>
      <c r="E81" t="inlineStr">
        <is>
          <t>https://lpjk.pu.go.id/search-badan-usaha-detail/QTZxY2pQZVlGVjJFaTBWclVhbXhzdz09</t>
        </is>
      </c>
      <c r="F81" t="n">
        <v>2</v>
      </c>
      <c r="G81" t="inlineStr">
        <is>
          <t>BS001, BS004</t>
        </is>
      </c>
      <c r="H81" t="inlineStr">
        <is>
          <t>16 Februari 2005</t>
        </is>
      </c>
      <c r="I81" s="2" t="n">
        <v>46341</v>
      </c>
      <c r="J81" t="inlineStr">
        <is>
          <t>Disetujui</t>
        </is>
      </c>
      <c r="K81" t="n">
        <v>60</v>
      </c>
      <c r="L81" t="inlineStr">
        <is>
          <t>15 November 2026</t>
        </is>
      </c>
      <c r="M81" t="inlineStr">
        <is>
          <t>Konstruksi Bangunan Sipil Jalan, Konstruksi Jaringan Irigasi dan Drainase</t>
        </is>
      </c>
      <c r="N81" t="inlineStr">
        <is>
          <t>K</t>
        </is>
      </c>
      <c r="O81" t="inlineStr">
        <is>
          <t>20231110</t>
        </is>
      </c>
      <c r="P81" t="inlineStr">
        <is>
          <t>Jawa Timur</t>
        </is>
      </c>
      <c r="Q81" t="inlineStr"/>
    </row>
    <row r="82">
      <c r="A82" t="inlineStr">
        <is>
          <t>PRIMA JASA</t>
        </is>
      </c>
      <c r="B82" t="inlineStr">
        <is>
          <t>Kab. Sintang</t>
        </is>
      </c>
      <c r="C82" t="inlineStr">
        <is>
          <t>081345906418</t>
        </is>
      </c>
      <c r="D82" t="inlineStr">
        <is>
          <t>cvprimajasa@hotmail.com</t>
        </is>
      </c>
      <c r="E82" t="inlineStr">
        <is>
          <t>https://lpjk.pu.go.id/search-badan-usaha-detail/SVV2Ujdla3FwN0VBRUd3eEZHRXp4UT09</t>
        </is>
      </c>
      <c r="F82" t="n">
        <v>1</v>
      </c>
      <c r="G82" t="inlineStr">
        <is>
          <t>BS001</t>
        </is>
      </c>
      <c r="H82" t="inlineStr">
        <is>
          <t>13 Juni 2012</t>
        </is>
      </c>
      <c r="I82" s="2" t="n">
        <v>46341</v>
      </c>
      <c r="J82" t="inlineStr">
        <is>
          <t>Disetujui</t>
        </is>
      </c>
      <c r="K82" t="n">
        <v>60</v>
      </c>
      <c r="L82" t="inlineStr">
        <is>
          <t>15 November 2026</t>
        </is>
      </c>
      <c r="M82" t="inlineStr">
        <is>
          <t>Konstruksi Bangunan Sipil Jalan</t>
        </is>
      </c>
      <c r="N82" t="inlineStr">
        <is>
          <t>K</t>
        </is>
      </c>
      <c r="O82" t="inlineStr">
        <is>
          <t>20231113</t>
        </is>
      </c>
      <c r="P82" t="inlineStr">
        <is>
          <t>Kalimantan Barat</t>
        </is>
      </c>
      <c r="Q82" t="inlineStr"/>
    </row>
    <row r="83">
      <c r="A83" t="inlineStr">
        <is>
          <t>PUTRA MANDIRI BERDAYA</t>
        </is>
      </c>
      <c r="B83" t="inlineStr">
        <is>
          <t>Kab. Mandailing Natal</t>
        </is>
      </c>
      <c r="C83" t="inlineStr">
        <is>
          <t>081264186615</t>
        </is>
      </c>
      <c r="D83" t="inlineStr">
        <is>
          <t>putramandiriberdaya@gmail.com</t>
        </is>
      </c>
      <c r="E83" t="inlineStr">
        <is>
          <t>https://lpjk.pu.go.id/search-badan-usaha-detail/YkdFMEFieFNFUU9GMkRIdWI5eFpxUT09</t>
        </is>
      </c>
      <c r="F83" t="n">
        <v>1</v>
      </c>
      <c r="G83" t="inlineStr">
        <is>
          <t>BG001</t>
        </is>
      </c>
      <c r="H83" t="inlineStr">
        <is>
          <t>29 Agustus 2023</t>
        </is>
      </c>
      <c r="I83" s="2" t="n">
        <v>46341</v>
      </c>
      <c r="J83" t="inlineStr">
        <is>
          <t>Disetujui</t>
        </is>
      </c>
      <c r="K83" t="n">
        <v>60</v>
      </c>
      <c r="L83" t="inlineStr">
        <is>
          <t>15 November 2026</t>
        </is>
      </c>
      <c r="M83" t="inlineStr">
        <is>
          <t>Konstruksi Gedung Hunian</t>
        </is>
      </c>
      <c r="N83" t="inlineStr">
        <is>
          <t>K</t>
        </is>
      </c>
      <c r="O83" t="inlineStr">
        <is>
          <t>20231115</t>
        </is>
      </c>
      <c r="P83" t="inlineStr">
        <is>
          <t>Sumatera Utara</t>
        </is>
      </c>
      <c r="Q83" t="inlineStr"/>
    </row>
    <row r="84">
      <c r="A84" t="inlineStr">
        <is>
          <t>PUTRA NOVARA</t>
        </is>
      </c>
      <c r="B84" t="inlineStr">
        <is>
          <t>Kota Medan</t>
        </is>
      </c>
      <c r="C84" t="inlineStr">
        <is>
          <t>08126055813</t>
        </is>
      </c>
      <c r="D84" t="inlineStr">
        <is>
          <t>cvputranov@gmail.com</t>
        </is>
      </c>
      <c r="E84" t="inlineStr">
        <is>
          <t>https://lpjk.pu.go.id/search-badan-usaha-detail/Q3VDdUJhVk9iNk9tSWJ6R2FWcUlFUT09</t>
        </is>
      </c>
      <c r="F84" t="n">
        <v>1</v>
      </c>
      <c r="G84" t="inlineStr">
        <is>
          <t>BS005</t>
        </is>
      </c>
      <c r="H84" t="inlineStr">
        <is>
          <t>9 Desember 2019</t>
        </is>
      </c>
      <c r="I84" s="2" t="n">
        <v>46341</v>
      </c>
      <c r="J84" t="inlineStr">
        <is>
          <t>Disetujui</t>
        </is>
      </c>
      <c r="K84" t="n">
        <v>60</v>
      </c>
      <c r="L84" t="inlineStr">
        <is>
          <t>15 November 2026</t>
        </is>
      </c>
      <c r="M84" t="inlineStr">
        <is>
          <t>Konstruksi Bangunan Sipil Pengolahan Air Bersih</t>
        </is>
      </c>
      <c r="N84" t="inlineStr">
        <is>
          <t>K</t>
        </is>
      </c>
      <c r="O84" t="inlineStr">
        <is>
          <t>20231115</t>
        </is>
      </c>
      <c r="P84" t="inlineStr">
        <is>
          <t>Sumatera Utara</t>
        </is>
      </c>
      <c r="Q84" t="inlineStr"/>
    </row>
    <row r="85">
      <c r="A85" t="inlineStr">
        <is>
          <t>PUTRA NUMFOR</t>
        </is>
      </c>
      <c r="B85" t="inlineStr">
        <is>
          <t>Kota Sorong</t>
        </is>
      </c>
      <c r="C85" t="inlineStr">
        <is>
          <t>09513173571</t>
        </is>
      </c>
      <c r="D85" t="inlineStr">
        <is>
          <t>putranumforcv1@gmail.com</t>
        </is>
      </c>
      <c r="E85" t="inlineStr">
        <is>
          <t>https://lpjk.pu.go.id/search-badan-usaha-detail/d2pYL3VNQi8zVVFVVGlBdHNhMktqQT09</t>
        </is>
      </c>
      <c r="F85" t="n">
        <v>5</v>
      </c>
      <c r="G85" t="inlineStr">
        <is>
          <t>BG001, BG002, BG005, BG006, BG009</t>
        </is>
      </c>
      <c r="H85" t="inlineStr">
        <is>
          <t>15 Januari 2019</t>
        </is>
      </c>
      <c r="I85" s="2" t="n">
        <v>46341</v>
      </c>
      <c r="J85" t="inlineStr">
        <is>
          <t>Disetujui</t>
        </is>
      </c>
      <c r="K85" t="n">
        <v>60</v>
      </c>
      <c r="L85" t="inlineStr">
        <is>
          <t>15 November 2026</t>
        </is>
      </c>
      <c r="M85" t="inlineStr">
        <is>
          <t>Konstruksi Gedung Hunian, Konstruksi Gedung Kesehatan, Konstruksi Gedung Lainnya, Konstruksi Gedung Pendidikan, Konstruksi Gedung Perkantoran</t>
        </is>
      </c>
      <c r="N85" t="inlineStr">
        <is>
          <t>K</t>
        </is>
      </c>
      <c r="O85" t="inlineStr">
        <is>
          <t>20231107, 20231109</t>
        </is>
      </c>
      <c r="P85" t="inlineStr">
        <is>
          <t>Papua Barat Daya</t>
        </is>
      </c>
      <c r="Q85" t="inlineStr"/>
    </row>
    <row r="86">
      <c r="A86" t="inlineStr">
        <is>
          <t>PUTRI SALJU SATRIA</t>
        </is>
      </c>
      <c r="B86" t="inlineStr">
        <is>
          <t>Kota Dumai</t>
        </is>
      </c>
      <c r="C86" t="inlineStr">
        <is>
          <t>81364400434</t>
        </is>
      </c>
      <c r="D86" t="inlineStr">
        <is>
          <t>putrisaljusatria31@gmail.com</t>
        </is>
      </c>
      <c r="E86" t="inlineStr">
        <is>
          <t>https://lpjk.pu.go.id/search-badan-usaha-detail/YWtINWd0V1JlTWV5VEtxaVg1MUNXQT09</t>
        </is>
      </c>
      <c r="F86" t="n">
        <v>2</v>
      </c>
      <c r="G86" t="inlineStr">
        <is>
          <t>BS001, BS011</t>
        </is>
      </c>
      <c r="H86" t="inlineStr">
        <is>
          <t>24 Januari 1986</t>
        </is>
      </c>
      <c r="I86" s="2" t="n">
        <v>46341</v>
      </c>
      <c r="J86" t="inlineStr">
        <is>
          <t>Pembekuan</t>
        </is>
      </c>
      <c r="K86" t="n">
        <v>60</v>
      </c>
      <c r="L86" t="inlineStr">
        <is>
          <t>15 November 2026</t>
        </is>
      </c>
      <c r="M86" t="inlineStr">
        <is>
          <t>Konstruksi Bangunan Pelabuhan Bukan Perikanan, Konstruksi Bangunan Sipil Jalan</t>
        </is>
      </c>
      <c r="N86" t="inlineStr">
        <is>
          <t>M</t>
        </is>
      </c>
      <c r="O86" t="inlineStr">
        <is>
          <t>20231115, 20231117</t>
        </is>
      </c>
      <c r="P86" t="inlineStr">
        <is>
          <t>Riau</t>
        </is>
      </c>
      <c r="Q86" t="inlineStr"/>
    </row>
    <row r="87">
      <c r="A87" t="inlineStr">
        <is>
          <t>RAFI &amp; ZAKI KONSULTAN</t>
        </is>
      </c>
      <c r="B87" t="inlineStr">
        <is>
          <t>Kota Surabaya</t>
        </is>
      </c>
      <c r="C87" t="inlineStr">
        <is>
          <t>0812 1653 7837</t>
        </is>
      </c>
      <c r="D87" t="inlineStr">
        <is>
          <t>cv.rafi_zakikonsultan@yahoo.com</t>
        </is>
      </c>
      <c r="E87" t="inlineStr">
        <is>
          <t>https://lpjk.pu.go.id/search-badan-usaha-detail/K3F3UXUwcnRWWmhpaWtkYUxxbSs0QT09</t>
        </is>
      </c>
      <c r="F87" t="n">
        <v>1</v>
      </c>
      <c r="G87" t="inlineStr">
        <is>
          <t>RK002</t>
        </is>
      </c>
      <c r="H87" t="inlineStr">
        <is>
          <t>30 Agustus 2018</t>
        </is>
      </c>
      <c r="I87" s="2" t="n">
        <v>46341</v>
      </c>
      <c r="J87" t="inlineStr">
        <is>
          <t>Disetujui</t>
        </is>
      </c>
      <c r="K87" t="n">
        <v>60</v>
      </c>
      <c r="L87" t="inlineStr">
        <is>
          <t>15 November 2026</t>
        </is>
      </c>
      <c r="M87" t="inlineStr">
        <is>
          <t>Jasa Rekayasa Pekerjaan Teknik Sipil Sumber Daya Air</t>
        </is>
      </c>
      <c r="N87" t="inlineStr">
        <is>
          <t>K</t>
        </is>
      </c>
      <c r="O87" t="inlineStr">
        <is>
          <t>20231113</t>
        </is>
      </c>
      <c r="P87" t="inlineStr">
        <is>
          <t>Jawa Timur</t>
        </is>
      </c>
      <c r="Q87" t="inlineStr"/>
    </row>
    <row r="88">
      <c r="A88" t="inlineStr">
        <is>
          <t>RAFLESIA JAYA</t>
        </is>
      </c>
      <c r="B88" t="inlineStr">
        <is>
          <t>Kota Mataram</t>
        </is>
      </c>
      <c r="C88" t="inlineStr">
        <is>
          <t>085937019563</t>
        </is>
      </c>
      <c r="D88" t="inlineStr">
        <is>
          <t>jayaraflesia@gmail.com</t>
        </is>
      </c>
      <c r="E88" t="inlineStr">
        <is>
          <t>https://lpjk.pu.go.id/search-badan-usaha-detail/SERGY3RYR0RHanJzZHZPUmtGZHNhQT09</t>
        </is>
      </c>
      <c r="F88" t="n">
        <v>4</v>
      </c>
      <c r="G88" t="inlineStr">
        <is>
          <t>BG002, BG004, BG006, BG009</t>
        </is>
      </c>
      <c r="H88" t="inlineStr">
        <is>
          <t>12 Agustus 2020</t>
        </is>
      </c>
      <c r="I88" s="2" t="n">
        <v>46341</v>
      </c>
      <c r="J88" t="inlineStr">
        <is>
          <t>Disetujui</t>
        </is>
      </c>
      <c r="K88" t="n">
        <v>60</v>
      </c>
      <c r="L88" t="inlineStr">
        <is>
          <t>15 November 2026</t>
        </is>
      </c>
      <c r="M88" t="inlineStr">
        <is>
          <t>Konstruksi Gedung Lainnya, Konstruksi Gedung Pendidikan, Konstruksi Gedung Perbelanjaan, Konstruksi Gedung Perkantoran</t>
        </is>
      </c>
      <c r="N88" t="inlineStr">
        <is>
          <t>K</t>
        </is>
      </c>
      <c r="O88" t="inlineStr">
        <is>
          <t>20231114, 20231116, 20231117</t>
        </is>
      </c>
      <c r="P88" t="inlineStr">
        <is>
          <t>Nusa Tenggara Barat</t>
        </is>
      </c>
      <c r="Q88" t="inlineStr"/>
    </row>
    <row r="89">
      <c r="A89" t="inlineStr">
        <is>
          <t>RAJAWALI PARAMA KONSTRUKSI</t>
        </is>
      </c>
      <c r="B89" t="inlineStr">
        <is>
          <t>Kota Tangerang Selatan</t>
        </is>
      </c>
      <c r="C89" t="inlineStr">
        <is>
          <t>02153128888</t>
        </is>
      </c>
      <c r="D89" t="inlineStr">
        <is>
          <t>bong_parnoto@rajawaliparama.com</t>
        </is>
      </c>
      <c r="E89" t="inlineStr">
        <is>
          <t>https://lpjk.pu.go.id/search-badan-usaha-detail/c0tkVTVTY1lVajMvaE94V2J6RGswUT09</t>
        </is>
      </c>
      <c r="F89" t="n">
        <v>2</v>
      </c>
      <c r="G89" t="inlineStr">
        <is>
          <t>IN008</t>
        </is>
      </c>
      <c r="H89" t="inlineStr">
        <is>
          <t>8 Februari 2011</t>
        </is>
      </c>
      <c r="I89" s="2" t="n">
        <v>46341</v>
      </c>
      <c r="J89" t="inlineStr">
        <is>
          <t>Disetujui</t>
        </is>
      </c>
      <c r="K89" t="n">
        <v>60</v>
      </c>
      <c r="L89" t="inlineStr">
        <is>
          <t>15 November 2026</t>
        </is>
      </c>
      <c r="M89" t="inlineStr">
        <is>
          <t>Instalasi Pendingin Dan Ventilasi Udara</t>
        </is>
      </c>
      <c r="N89" t="inlineStr">
        <is>
          <t>Spesialis</t>
        </is>
      </c>
      <c r="O89" t="inlineStr">
        <is>
          <t>20231111</t>
        </is>
      </c>
      <c r="P89" t="inlineStr">
        <is>
          <t>Banten</t>
        </is>
      </c>
      <c r="Q89" t="inlineStr"/>
    </row>
    <row r="90">
      <c r="A90" t="inlineStr">
        <is>
          <t>RAKAS LOMBOK KONSTRUKSI</t>
        </is>
      </c>
      <c r="B90" t="inlineStr">
        <is>
          <t>Kab. Lombok Tengah</t>
        </is>
      </c>
      <c r="C90" t="inlineStr">
        <is>
          <t>085338195900</t>
        </is>
      </c>
      <c r="D90" t="inlineStr">
        <is>
          <t>rakaslombokkontruksi@gmail.com</t>
        </is>
      </c>
      <c r="E90" t="inlineStr">
        <is>
          <t>https://lpjk.pu.go.id/search-badan-usaha-detail/ZzU5anZBNjFVV3pxZHV2Z1B1Zm9kUT09</t>
        </is>
      </c>
      <c r="F90" t="n">
        <v>2</v>
      </c>
      <c r="G90" t="inlineStr">
        <is>
          <t>BG001, BG006</t>
        </is>
      </c>
      <c r="H90" t="inlineStr">
        <is>
          <t>8 Agustus 2023</t>
        </is>
      </c>
      <c r="I90" s="2" t="n">
        <v>46341</v>
      </c>
      <c r="J90" t="inlineStr">
        <is>
          <t>Pencabutan</t>
        </is>
      </c>
      <c r="K90" t="n">
        <v>60</v>
      </c>
      <c r="L90" t="inlineStr">
        <is>
          <t>15 November 2026</t>
        </is>
      </c>
      <c r="M90" t="inlineStr">
        <is>
          <t>Konstruksi Gedung Hunian, Konstruksi Gedung Pendidikan</t>
        </is>
      </c>
      <c r="N90" t="inlineStr">
        <is>
          <t>K</t>
        </is>
      </c>
      <c r="O90" t="inlineStr">
        <is>
          <t>20231108</t>
        </is>
      </c>
      <c r="P90" t="inlineStr">
        <is>
          <t>Nusa Tenggara Barat</t>
        </is>
      </c>
      <c r="Q90" t="inlineStr"/>
    </row>
    <row r="91">
      <c r="A91" t="inlineStr">
        <is>
          <t>RAMUTIKA RAYA KONSULTAN</t>
        </is>
      </c>
      <c r="B91" t="inlineStr">
        <is>
          <t>Kota Padang</t>
        </is>
      </c>
      <c r="C91" t="inlineStr">
        <is>
          <t>081378332601</t>
        </is>
      </c>
      <c r="D91" t="inlineStr">
        <is>
          <t>ramutikarayakonsultan@gmail.com</t>
        </is>
      </c>
      <c r="E91" t="inlineStr">
        <is>
          <t>https://lpjk.pu.go.id/search-badan-usaha-detail/Z08xK3NWNkdOL1NicG4raHp3Wm1UZz09</t>
        </is>
      </c>
      <c r="F91" t="n">
        <v>2</v>
      </c>
      <c r="G91" t="inlineStr">
        <is>
          <t>RK001, RK002</t>
        </is>
      </c>
      <c r="H91" t="inlineStr">
        <is>
          <t>13 Oktober 2023</t>
        </is>
      </c>
      <c r="I91" s="2" t="n">
        <v>46341</v>
      </c>
      <c r="J91" t="inlineStr">
        <is>
          <t>Disetujui</t>
        </is>
      </c>
      <c r="K91" t="n">
        <v>60</v>
      </c>
      <c r="L91" t="inlineStr">
        <is>
          <t>15 November 2026</t>
        </is>
      </c>
      <c r="M91" t="inlineStr">
        <is>
          <t>Jasa Rekayasa Konstruksi Bangunan Gedung Hunian dan Non Hunian, Jasa Rekayasa Pekerjaan Teknik Sipil Sumber Daya Air</t>
        </is>
      </c>
      <c r="N91" t="inlineStr">
        <is>
          <t>K</t>
        </is>
      </c>
      <c r="O91" t="inlineStr">
        <is>
          <t>20231025, 20231026</t>
        </is>
      </c>
      <c r="P91" t="inlineStr">
        <is>
          <t>Sumatera Barat</t>
        </is>
      </c>
      <c r="Q91" t="inlineStr"/>
    </row>
    <row r="92">
      <c r="A92" t="inlineStr">
        <is>
          <t>RATU PAPUA MANDIRI</t>
        </is>
      </c>
      <c r="B92" t="inlineStr">
        <is>
          <t>Kota Jayapura</t>
        </is>
      </c>
      <c r="C92" t="inlineStr">
        <is>
          <t>081248269011</t>
        </is>
      </c>
      <c r="D92" t="inlineStr">
        <is>
          <t>cvratupapuamandiri@gmail.com</t>
        </is>
      </c>
      <c r="E92" t="inlineStr">
        <is>
          <t>https://lpjk.pu.go.id/search-badan-usaha-detail/WUVCYzZrdHQzbjlTMzBrN3pkL2k2dz09</t>
        </is>
      </c>
      <c r="F92" t="n">
        <v>4</v>
      </c>
      <c r="G92" t="inlineStr">
        <is>
          <t>BG001, BG006, BS001, BS010</t>
        </is>
      </c>
      <c r="H92" t="inlineStr">
        <is>
          <t>20 September 2023</t>
        </is>
      </c>
      <c r="I92" s="2" t="n">
        <v>46341</v>
      </c>
      <c r="J92" t="inlineStr">
        <is>
          <t>Disetujui</t>
        </is>
      </c>
      <c r="K92" t="n">
        <v>60</v>
      </c>
      <c r="L92" t="inlineStr">
        <is>
          <t>15 November 2026</t>
        </is>
      </c>
      <c r="M92" t="inlineStr">
        <is>
          <t>Konstruksi Bangunan Prasarana Sumber Daya Air, Konstruksi Bangunan Sipil Jalan, Konstruksi Gedung Hunian, Konstruksi Gedung Pendidikan</t>
        </is>
      </c>
      <c r="N92" t="inlineStr">
        <is>
          <t>K</t>
        </is>
      </c>
      <c r="O92" t="inlineStr">
        <is>
          <t>20231115, 20231116, 20231117</t>
        </is>
      </c>
      <c r="P92" t="inlineStr">
        <is>
          <t>Papua</t>
        </is>
      </c>
      <c r="Q92" t="inlineStr"/>
    </row>
    <row r="93">
      <c r="A93" t="inlineStr">
        <is>
          <t>REJEKI MANDIRI PUTRA</t>
        </is>
      </c>
      <c r="B93" t="inlineStr">
        <is>
          <t>Kota Bandung</t>
        </is>
      </c>
      <c r="C93" t="inlineStr">
        <is>
          <t>081215593939</t>
        </is>
      </c>
      <c r="D93" t="inlineStr">
        <is>
          <t>rmpbdg39@gmail.com</t>
        </is>
      </c>
      <c r="E93" t="inlineStr">
        <is>
          <t>https://lpjk.pu.go.id/search-badan-usaha-detail/SS9jemlEeXpzV3R2UEhQMzMwYm5EUT09</t>
        </is>
      </c>
      <c r="F93" t="n">
        <v>1</v>
      </c>
      <c r="G93" t="inlineStr">
        <is>
          <t>BS001</t>
        </is>
      </c>
      <c r="H93" t="inlineStr">
        <is>
          <t>23 Agustus 2022</t>
        </is>
      </c>
      <c r="I93" s="2" t="n">
        <v>46341</v>
      </c>
      <c r="J93" t="inlineStr">
        <is>
          <t>Disetujui</t>
        </is>
      </c>
      <c r="K93" t="n">
        <v>60</v>
      </c>
      <c r="L93" t="inlineStr">
        <is>
          <t>15 November 2026</t>
        </is>
      </c>
      <c r="M93" t="inlineStr">
        <is>
          <t>Konstruksi Bangunan Sipil Jalan</t>
        </is>
      </c>
      <c r="N93" t="inlineStr">
        <is>
          <t>K</t>
        </is>
      </c>
      <c r="O93" t="inlineStr">
        <is>
          <t>20231011</t>
        </is>
      </c>
      <c r="P93" t="inlineStr">
        <is>
          <t>Jawa Barat</t>
        </is>
      </c>
      <c r="Q93" t="inlineStr"/>
    </row>
    <row r="94">
      <c r="A94" t="inlineStr">
        <is>
          <t>REKA CIPTA UTAMA</t>
        </is>
      </c>
      <c r="B94" t="inlineStr">
        <is>
          <t>Kota Pekanbaru</t>
        </is>
      </c>
      <c r="C94" t="inlineStr">
        <is>
          <t>082387854543</t>
        </is>
      </c>
      <c r="D94" t="inlineStr">
        <is>
          <t>cv.rekaciptautamapku@gmail.com</t>
        </is>
      </c>
      <c r="E94" t="inlineStr">
        <is>
          <t>https://lpjk.pu.go.id/search-badan-usaha-detail/b1RlZTdvNC9VZ1dFTzZXSjUzeUdRUT09</t>
        </is>
      </c>
      <c r="F94" t="n">
        <v>3</v>
      </c>
      <c r="G94" t="inlineStr">
        <is>
          <t>AR001, AR002, AR003</t>
        </is>
      </c>
      <c r="H94" t="inlineStr">
        <is>
          <t>18 Maret 2005</t>
        </is>
      </c>
      <c r="I94" s="2" t="n">
        <v>46341</v>
      </c>
      <c r="J94" t="inlineStr">
        <is>
          <t>Disetujui</t>
        </is>
      </c>
      <c r="K94" t="n">
        <v>60</v>
      </c>
      <c r="L94" t="inlineStr">
        <is>
          <t>15 November 2026</t>
        </is>
      </c>
      <c r="M94" t="inlineStr">
        <is>
          <t>Jasa Arsitektural Bangunan Gedung Hunian dan Non Hunian, Jasa Arsitektural Lainnya, Jasa Desain Interior pada Bangunan Gedung dan Bangunan Sipil</t>
        </is>
      </c>
      <c r="N94" t="inlineStr">
        <is>
          <t>K</t>
        </is>
      </c>
      <c r="O94" t="inlineStr">
        <is>
          <t>20231109</t>
        </is>
      </c>
      <c r="P94" t="inlineStr">
        <is>
          <t>Riau</t>
        </is>
      </c>
      <c r="Q94" t="inlineStr"/>
    </row>
    <row r="95">
      <c r="A95" t="inlineStr">
        <is>
          <t>RIA BAKTI</t>
        </is>
      </c>
      <c r="B95" t="inlineStr">
        <is>
          <t>Kab. Paser</t>
        </is>
      </c>
      <c r="C95" t="inlineStr">
        <is>
          <t>081257338290</t>
        </is>
      </c>
      <c r="D95" t="inlineStr">
        <is>
          <t>suharyanto1208@gmail.com</t>
        </is>
      </c>
      <c r="E95" t="inlineStr">
        <is>
          <t>https://lpjk.pu.go.id/search-badan-usaha-detail/VWhNVU8wYVJtbTJUNFJCcE9rQ3V0QT09</t>
        </is>
      </c>
      <c r="F95" t="n">
        <v>3</v>
      </c>
      <c r="G95" t="inlineStr">
        <is>
          <t>BG001, BG006, BG009</t>
        </is>
      </c>
      <c r="H95" t="inlineStr">
        <is>
          <t>18 Desember 2000</t>
        </is>
      </c>
      <c r="I95" s="2" t="n">
        <v>46341</v>
      </c>
      <c r="J95" t="inlineStr">
        <is>
          <t>Disetujui</t>
        </is>
      </c>
      <c r="K95" t="n">
        <v>60</v>
      </c>
      <c r="L95" t="inlineStr">
        <is>
          <t>15 November 2026</t>
        </is>
      </c>
      <c r="M95" t="inlineStr">
        <is>
          <t>Konstruksi Gedung Hunian, Konstruksi Gedung Lainnya, Konstruksi Gedung Pendidikan</t>
        </is>
      </c>
      <c r="N95" t="inlineStr">
        <is>
          <t>K</t>
        </is>
      </c>
      <c r="O95" t="inlineStr">
        <is>
          <t>20231113</t>
        </is>
      </c>
      <c r="P95" t="inlineStr">
        <is>
          <t>Kalimantan Timur</t>
        </is>
      </c>
      <c r="Q95" t="inlineStr"/>
    </row>
    <row r="96">
      <c r="A96" t="inlineStr">
        <is>
          <t>RIZKI MUTIARA</t>
        </is>
      </c>
      <c r="B96" t="inlineStr">
        <is>
          <t>Kota Surabaya</t>
        </is>
      </c>
      <c r="C96" t="inlineStr">
        <is>
          <t>0318439147</t>
        </is>
      </c>
      <c r="D96" t="inlineStr">
        <is>
          <t>rizkimutiara.cv@gmail.com</t>
        </is>
      </c>
      <c r="E96" t="inlineStr">
        <is>
          <t>https://lpjk.pu.go.id/search-badan-usaha-detail/OGpBMk9obGNIZ1hQeXc3RjBDMlMydz09</t>
        </is>
      </c>
      <c r="F96" t="n">
        <v>1</v>
      </c>
      <c r="G96" t="inlineStr">
        <is>
          <t>BG005</t>
        </is>
      </c>
      <c r="H96" t="inlineStr">
        <is>
          <t>8 Mei 2013</t>
        </is>
      </c>
      <c r="I96" s="2" t="n">
        <v>46341</v>
      </c>
      <c r="J96" t="inlineStr">
        <is>
          <t>Disetujui</t>
        </is>
      </c>
      <c r="K96" t="n">
        <v>60</v>
      </c>
      <c r="L96" t="inlineStr">
        <is>
          <t>15 November 2026</t>
        </is>
      </c>
      <c r="M96" t="inlineStr">
        <is>
          <t>Konstruksi Gedung Kesehatan</t>
        </is>
      </c>
      <c r="N96" t="inlineStr">
        <is>
          <t>K</t>
        </is>
      </c>
      <c r="O96" t="inlineStr">
        <is>
          <t>20231116</t>
        </is>
      </c>
      <c r="P96" t="inlineStr">
        <is>
          <t>Jawa Timur</t>
        </is>
      </c>
      <c r="Q96" t="inlineStr"/>
    </row>
    <row r="97">
      <c r="A97" t="inlineStr">
        <is>
          <t>SAHABAT</t>
        </is>
      </c>
      <c r="B97" t="inlineStr">
        <is>
          <t>Kab. Padang Lawas Utara</t>
        </is>
      </c>
      <c r="C97" t="inlineStr">
        <is>
          <t>082370196188</t>
        </is>
      </c>
      <c r="D97" t="inlineStr">
        <is>
          <t>azwarardhi@yahoo.co.id</t>
        </is>
      </c>
      <c r="E97" t="inlineStr">
        <is>
          <t>https://lpjk.pu.go.id/search-badan-usaha-detail/TTE1ZG0wSkJwQjRLVFd5dEFMTnhkQT09</t>
        </is>
      </c>
      <c r="F97" t="n">
        <v>1</v>
      </c>
      <c r="G97" t="inlineStr">
        <is>
          <t>BS007</t>
        </is>
      </c>
      <c r="H97" t="inlineStr">
        <is>
          <t>22 Juni 2012</t>
        </is>
      </c>
      <c r="I97" s="2" t="n">
        <v>46341</v>
      </c>
      <c r="J97" t="inlineStr">
        <is>
          <t>Disetujui</t>
        </is>
      </c>
      <c r="K97" t="n">
        <v>60</v>
      </c>
      <c r="L97" t="inlineStr">
        <is>
          <t>15 November 2026</t>
        </is>
      </c>
      <c r="M97" t="inlineStr">
        <is>
          <t>Konstruksi Bangunan Sipil Elektrikal</t>
        </is>
      </c>
      <c r="N97" t="inlineStr">
        <is>
          <t>K</t>
        </is>
      </c>
      <c r="O97" t="inlineStr">
        <is>
          <t>20231115</t>
        </is>
      </c>
      <c r="P97" t="inlineStr">
        <is>
          <t>Sumatera Utara</t>
        </is>
      </c>
      <c r="Q97" t="inlineStr"/>
    </row>
    <row r="98">
      <c r="A98" t="inlineStr">
        <is>
          <t>SARI DUMAI MANDIRI</t>
        </is>
      </c>
      <c r="B98" t="inlineStr">
        <is>
          <t>Kota Dumai</t>
        </is>
      </c>
      <c r="C98" t="inlineStr">
        <is>
          <t>081276405554</t>
        </is>
      </c>
      <c r="D98" t="inlineStr">
        <is>
          <t>cvsaridumaimandiri@gmail.com</t>
        </is>
      </c>
      <c r="E98" t="inlineStr">
        <is>
          <t>https://lpjk.pu.go.id/search-badan-usaha-detail/ZmJOTjQ0NEU1K3cyQmthMW5kVHplQT09</t>
        </is>
      </c>
      <c r="F98" t="n">
        <v>1</v>
      </c>
      <c r="G98" t="inlineStr">
        <is>
          <t>BS004</t>
        </is>
      </c>
      <c r="H98" t="inlineStr">
        <is>
          <t>5 Januari 2017</t>
        </is>
      </c>
      <c r="I98" s="2" t="n">
        <v>46341</v>
      </c>
      <c r="J98" t="inlineStr">
        <is>
          <t>Disetujui</t>
        </is>
      </c>
      <c r="K98" t="n">
        <v>60</v>
      </c>
      <c r="L98" t="inlineStr">
        <is>
          <t>15 November 2026</t>
        </is>
      </c>
      <c r="M98" t="inlineStr">
        <is>
          <t>Konstruksi Jaringan Irigasi dan Drainase</t>
        </is>
      </c>
      <c r="N98" t="inlineStr">
        <is>
          <t>K</t>
        </is>
      </c>
      <c r="O98" t="inlineStr">
        <is>
          <t>20231109</t>
        </is>
      </c>
      <c r="P98" t="inlineStr">
        <is>
          <t>Riau</t>
        </is>
      </c>
      <c r="Q98" t="inlineStr"/>
    </row>
    <row r="99">
      <c r="A99" t="inlineStr">
        <is>
          <t>SATRIA WIRA PERSADA</t>
        </is>
      </c>
      <c r="B99" t="inlineStr">
        <is>
          <t>Kota Adm. Jakarta Barat</t>
        </is>
      </c>
      <c r="C99" t="inlineStr">
        <is>
          <t>0</t>
        </is>
      </c>
      <c r="D99" t="inlineStr">
        <is>
          <t>satwida.office@gmail.com</t>
        </is>
      </c>
      <c r="E99" t="inlineStr">
        <is>
          <t>https://lpjk.pu.go.id/search-badan-usaha-detail/VXpTWWFUSDRGMjZSTHBZYW53T2RyUT09</t>
        </is>
      </c>
      <c r="F99" t="n">
        <v>1</v>
      </c>
      <c r="G99" t="inlineStr">
        <is>
          <t>BS001</t>
        </is>
      </c>
      <c r="H99" t="inlineStr">
        <is>
          <t>11 Januari 1989</t>
        </is>
      </c>
      <c r="I99" s="2" t="n">
        <v>46341</v>
      </c>
      <c r="J99" t="inlineStr">
        <is>
          <t>Disetujui</t>
        </is>
      </c>
      <c r="K99" t="n">
        <v>60</v>
      </c>
      <c r="L99" t="inlineStr">
        <is>
          <t>15 November 2026</t>
        </is>
      </c>
      <c r="M99" t="inlineStr">
        <is>
          <t>Konstruksi Bangunan Sipil Jalan</t>
        </is>
      </c>
      <c r="N99" t="inlineStr">
        <is>
          <t>B</t>
        </is>
      </c>
      <c r="O99" t="inlineStr">
        <is>
          <t>20231114</t>
        </is>
      </c>
      <c r="P99" t="inlineStr">
        <is>
          <t>DKI Jakarta</t>
        </is>
      </c>
      <c r="Q99" t="inlineStr"/>
    </row>
    <row r="100">
      <c r="A100" t="inlineStr">
        <is>
          <t>SEKAR KAHURIPAN</t>
        </is>
      </c>
      <c r="B100" t="inlineStr">
        <is>
          <t>Kota Mojokerto</t>
        </is>
      </c>
      <c r="C100" t="inlineStr">
        <is>
          <t>081230280226</t>
        </is>
      </c>
      <c r="D100" t="inlineStr">
        <is>
          <t>sekarkahuripan_cv@yahoo.com</t>
        </is>
      </c>
      <c r="E100" t="inlineStr">
        <is>
          <t>https://lpjk.pu.go.id/search-badan-usaha-detail/eGVZNXp5Z1RhM3FMUnIyRzdqRVJSZz09</t>
        </is>
      </c>
      <c r="F100" t="n">
        <v>4</v>
      </c>
      <c r="G100" t="inlineStr">
        <is>
          <t>BS001, BS004</t>
        </is>
      </c>
      <c r="H100" t="inlineStr">
        <is>
          <t>22 Juni 2012</t>
        </is>
      </c>
      <c r="I100" s="2" t="n">
        <v>46341</v>
      </c>
      <c r="J100" t="inlineStr">
        <is>
          <t>Disetujui</t>
        </is>
      </c>
      <c r="K100" t="n">
        <v>60</v>
      </c>
      <c r="L100" t="inlineStr">
        <is>
          <t>15 November 2026</t>
        </is>
      </c>
      <c r="M100" t="inlineStr">
        <is>
          <t>Konstruksi Bangunan Sipil Jalan, Konstruksi Jaringan Irigasi dan Drainase</t>
        </is>
      </c>
      <c r="N100" t="inlineStr">
        <is>
          <t>K</t>
        </is>
      </c>
      <c r="O100" t="inlineStr">
        <is>
          <t>20231113</t>
        </is>
      </c>
      <c r="P100" t="inlineStr">
        <is>
          <t>Jawa Timur</t>
        </is>
      </c>
      <c r="Q100" t="inlineStr"/>
    </row>
    <row r="101">
      <c r="A101" t="inlineStr">
        <is>
          <t>SEMBILAN PILAR NAGATAMA</t>
        </is>
      </c>
      <c r="B101" t="inlineStr">
        <is>
          <t>Kota Semarang</t>
        </is>
      </c>
      <c r="C101" t="inlineStr">
        <is>
          <t>08129986083</t>
        </is>
      </c>
      <c r="D101" t="inlineStr">
        <is>
          <t>pt.9pilarnagatama@gmail.com</t>
        </is>
      </c>
      <c r="E101" t="inlineStr">
        <is>
          <t>https://lpjk.pu.go.id/search-badan-usaha-detail/VlhGQWtEb3NCcnhtWnpVR3UzSVYrZz09</t>
        </is>
      </c>
      <c r="F101" t="n">
        <v>1</v>
      </c>
      <c r="G101" t="inlineStr">
        <is>
          <t>BG005</t>
        </is>
      </c>
      <c r="H101" t="inlineStr">
        <is>
          <t>9 Oktober 2023</t>
        </is>
      </c>
      <c r="I101" s="2" t="n">
        <v>46341</v>
      </c>
      <c r="J101" t="inlineStr">
        <is>
          <t>Disetujui</t>
        </is>
      </c>
      <c r="K101" t="n">
        <v>60</v>
      </c>
      <c r="L101" t="inlineStr">
        <is>
          <t>15 November 2026</t>
        </is>
      </c>
      <c r="M101" t="inlineStr">
        <is>
          <t>Konstruksi Gedung Kesehatan</t>
        </is>
      </c>
      <c r="N101" t="inlineStr">
        <is>
          <t>K</t>
        </is>
      </c>
      <c r="O101" t="inlineStr">
        <is>
          <t>20231115</t>
        </is>
      </c>
      <c r="P101" t="inlineStr">
        <is>
          <t>Jawa Tengah</t>
        </is>
      </c>
      <c r="Q101" t="inlineStr"/>
    </row>
    <row r="102">
      <c r="A102" t="inlineStr">
        <is>
          <t>SEMERU SAKTI KONSTRUKSI</t>
        </is>
      </c>
      <c r="B102" t="inlineStr">
        <is>
          <t>Kab. Jember</t>
        </is>
      </c>
      <c r="C102" t="inlineStr">
        <is>
          <t>089652258487</t>
        </is>
      </c>
      <c r="D102" t="inlineStr">
        <is>
          <t>Semeru.konstruksi@gmail.com</t>
        </is>
      </c>
      <c r="E102" t="inlineStr">
        <is>
          <t>https://lpjk.pu.go.id/search-badan-usaha-detail/NmF2eDhZQ3B4RUx0Wk1UN250OTdQZz09</t>
        </is>
      </c>
      <c r="F102" t="n">
        <v>1</v>
      </c>
      <c r="G102" t="inlineStr">
        <is>
          <t>BS004</t>
        </is>
      </c>
      <c r="H102" t="inlineStr">
        <is>
          <t>18 April 2023</t>
        </is>
      </c>
      <c r="I102" s="2" t="n">
        <v>46341</v>
      </c>
      <c r="J102" t="inlineStr">
        <is>
          <t>Pencabutan</t>
        </is>
      </c>
      <c r="K102" t="n">
        <v>60</v>
      </c>
      <c r="L102" t="inlineStr">
        <is>
          <t>15 November 2026</t>
        </is>
      </c>
      <c r="M102" t="inlineStr">
        <is>
          <t>Konstruksi Jaringan Irigasi dan Drainase</t>
        </is>
      </c>
      <c r="N102" t="inlineStr">
        <is>
          <t>K</t>
        </is>
      </c>
      <c r="O102" t="inlineStr">
        <is>
          <t>20231115</t>
        </is>
      </c>
      <c r="P102" t="inlineStr">
        <is>
          <t>Jawa Timur</t>
        </is>
      </c>
      <c r="Q102" t="inlineStr"/>
    </row>
    <row r="103">
      <c r="A103" t="inlineStr">
        <is>
          <t>SHANGHAI BAOYE GROUP CORP., LTD</t>
        </is>
      </c>
      <c r="B103" t="inlineStr">
        <is>
          <t>Kota Adm. Jakarta Pusat</t>
        </is>
      </c>
      <c r="C103" t="inlineStr">
        <is>
          <t>081315335078</t>
        </is>
      </c>
      <c r="D103" t="inlineStr">
        <is>
          <t>shanghaibaoye49@gmail.com</t>
        </is>
      </c>
      <c r="E103" t="inlineStr">
        <is>
          <t>https://lpjk.pu.go.id/search-badan-usaha-detail/N0RCNnJGSDNEazR6WWNoQmp4UHd4QT09</t>
        </is>
      </c>
      <c r="F103" t="n">
        <v>2</v>
      </c>
      <c r="G103" t="inlineStr">
        <is>
          <t>BG002, BG003</t>
        </is>
      </c>
      <c r="H103" t="inlineStr">
        <is>
          <t>24 Juni 2022</t>
        </is>
      </c>
      <c r="I103" s="2" t="n">
        <v>46341</v>
      </c>
      <c r="J103" t="inlineStr">
        <is>
          <t>Pembekuan</t>
        </is>
      </c>
      <c r="K103" t="n">
        <v>60</v>
      </c>
      <c r="L103" t="inlineStr">
        <is>
          <t>15 November 2026</t>
        </is>
      </c>
      <c r="M103" t="inlineStr">
        <is>
          <t>Konstruksi Gedung Industri, Konstruksi Gedung Perkantoran</t>
        </is>
      </c>
      <c r="N103" t="inlineStr">
        <is>
          <t>B</t>
        </is>
      </c>
      <c r="O103" t="inlineStr">
        <is>
          <t>20231116</t>
        </is>
      </c>
      <c r="P103" t="inlineStr">
        <is>
          <t>DKI Jakarta</t>
        </is>
      </c>
      <c r="Q103" t="inlineStr"/>
    </row>
    <row r="104">
      <c r="A104" t="inlineStr">
        <is>
          <t>SINAR PRATAMA KONSTRUKSI</t>
        </is>
      </c>
      <c r="B104" t="inlineStr">
        <is>
          <t>Kota Medan</t>
        </is>
      </c>
      <c r="C104" t="inlineStr">
        <is>
          <t>08126083059</t>
        </is>
      </c>
      <c r="D104" t="inlineStr">
        <is>
          <t>ir.suparno@gmail.com</t>
        </is>
      </c>
      <c r="E104" t="inlineStr">
        <is>
          <t>https://lpjk.pu.go.id/search-badan-usaha-detail/bEpXQmVvbVVqWHpWSEhzdzBBSGhiZz09</t>
        </is>
      </c>
      <c r="F104" t="n">
        <v>1</v>
      </c>
      <c r="G104" t="inlineStr">
        <is>
          <t>BG003</t>
        </is>
      </c>
      <c r="H104" t="inlineStr">
        <is>
          <t>17 Oktober 2017</t>
        </is>
      </c>
      <c r="I104" s="2" t="n">
        <v>46341</v>
      </c>
      <c r="J104" t="inlineStr">
        <is>
          <t>Pencabutan</t>
        </is>
      </c>
      <c r="K104" t="n">
        <v>60</v>
      </c>
      <c r="L104" t="inlineStr">
        <is>
          <t>15 November 2026</t>
        </is>
      </c>
      <c r="M104" t="inlineStr">
        <is>
          <t>Konstruksi Gedung Industri</t>
        </is>
      </c>
      <c r="N104" t="inlineStr">
        <is>
          <t>K</t>
        </is>
      </c>
      <c r="O104" t="inlineStr">
        <is>
          <t>20231116</t>
        </is>
      </c>
      <c r="P104" t="inlineStr">
        <is>
          <t>Sumatera Utara</t>
        </is>
      </c>
      <c r="Q104" t="inlineStr"/>
    </row>
    <row r="105">
      <c r="A105" t="inlineStr">
        <is>
          <t>SPECTRATAMA PERKASA</t>
        </is>
      </c>
      <c r="B105" t="inlineStr">
        <is>
          <t>Kota Adm. Jakarta Utara</t>
        </is>
      </c>
      <c r="C105" t="inlineStr">
        <is>
          <t>02165838267</t>
        </is>
      </c>
      <c r="D105" t="inlineStr">
        <is>
          <t>info@spectratama.com</t>
        </is>
      </c>
      <c r="E105" t="inlineStr">
        <is>
          <t>https://lpjk.pu.go.id/search-badan-usaha-detail/NkVQZ2VNcXJqZW5xdkhFZk1wVURPdz09</t>
        </is>
      </c>
      <c r="F105" t="n">
        <v>1</v>
      </c>
      <c r="G105" t="inlineStr">
        <is>
          <t>BS001</t>
        </is>
      </c>
      <c r="H105" t="inlineStr">
        <is>
          <t>30 Oktober 2002</t>
        </is>
      </c>
      <c r="I105" s="2" t="n">
        <v>46341</v>
      </c>
      <c r="J105" t="inlineStr">
        <is>
          <t>Pencabutan</t>
        </is>
      </c>
      <c r="K105" t="n">
        <v>60</v>
      </c>
      <c r="L105" t="inlineStr">
        <is>
          <t>15 November 2026</t>
        </is>
      </c>
      <c r="M105" t="inlineStr">
        <is>
          <t>Konstruksi Bangunan Sipil Jalan</t>
        </is>
      </c>
      <c r="N105" t="inlineStr">
        <is>
          <t>B</t>
        </is>
      </c>
      <c r="O105" t="inlineStr">
        <is>
          <t>20231115</t>
        </is>
      </c>
      <c r="P105" t="inlineStr">
        <is>
          <t>DKI Jakarta</t>
        </is>
      </c>
      <c r="Q105" t="inlineStr"/>
    </row>
    <row r="106">
      <c r="A106" t="inlineStr">
        <is>
          <t>STUDIO HIJAU LUMUT</t>
        </is>
      </c>
      <c r="B106" t="inlineStr">
        <is>
          <t>Kota Denpasar</t>
        </is>
      </c>
      <c r="C106" t="inlineStr">
        <is>
          <t>085100666991</t>
        </is>
      </c>
      <c r="D106" t="inlineStr">
        <is>
          <t>info@shl.asia</t>
        </is>
      </c>
      <c r="E106" t="inlineStr">
        <is>
          <t>https://lpjk.pu.go.id/search-badan-usaha-detail/Z3lWVFJ3b2xVYktwbG5OOHpDMVhTQT09</t>
        </is>
      </c>
      <c r="F106" t="n">
        <v>1</v>
      </c>
      <c r="G106" t="inlineStr">
        <is>
          <t>AR002</t>
        </is>
      </c>
      <c r="H106" t="inlineStr">
        <is>
          <t>15 Desember 2021</t>
        </is>
      </c>
      <c r="I106" s="2" t="n">
        <v>46341</v>
      </c>
      <c r="J106" t="inlineStr">
        <is>
          <t>Disetujui</t>
        </is>
      </c>
      <c r="K106" t="n">
        <v>60</v>
      </c>
      <c r="L106" t="inlineStr">
        <is>
          <t>15 November 2026</t>
        </is>
      </c>
      <c r="M106" t="inlineStr">
        <is>
          <t>Jasa Arsitektural Lainnya</t>
        </is>
      </c>
      <c r="N106" t="inlineStr">
        <is>
          <t>K</t>
        </is>
      </c>
      <c r="O106" t="inlineStr">
        <is>
          <t>20231110</t>
        </is>
      </c>
      <c r="P106" t="inlineStr">
        <is>
          <t>Bali</t>
        </is>
      </c>
      <c r="Q106" t="inlineStr"/>
    </row>
    <row r="107">
      <c r="A107" t="inlineStr">
        <is>
          <t>SUMBER BERKAT</t>
        </is>
      </c>
      <c r="B107" t="inlineStr">
        <is>
          <t>Kab. Banyuwangi</t>
        </is>
      </c>
      <c r="C107" t="inlineStr">
        <is>
          <t>081233106985</t>
        </is>
      </c>
      <c r="D107" t="inlineStr">
        <is>
          <t>sumberberkat6@gmail.com</t>
        </is>
      </c>
      <c r="E107" t="inlineStr">
        <is>
          <t>https://lpjk.pu.go.id/search-badan-usaha-detail/LzlHYWp0dDhGODBsZ2VIMzQ2aUphUT09</t>
        </is>
      </c>
      <c r="F107" t="n">
        <v>1</v>
      </c>
      <c r="G107" t="inlineStr">
        <is>
          <t>BG006</t>
        </is>
      </c>
      <c r="H107" t="inlineStr">
        <is>
          <t>31 Maret 2016</t>
        </is>
      </c>
      <c r="I107" s="2" t="n">
        <v>46341</v>
      </c>
      <c r="J107" t="inlineStr">
        <is>
          <t>Disetujui</t>
        </is>
      </c>
      <c r="K107" t="n">
        <v>60</v>
      </c>
      <c r="L107" t="inlineStr">
        <is>
          <t>15 November 2026</t>
        </is>
      </c>
      <c r="M107" t="inlineStr">
        <is>
          <t>Konstruksi Gedung Pendidikan</t>
        </is>
      </c>
      <c r="N107" t="inlineStr">
        <is>
          <t>K</t>
        </is>
      </c>
      <c r="O107" t="inlineStr">
        <is>
          <t>20231113</t>
        </is>
      </c>
      <c r="P107" t="inlineStr">
        <is>
          <t>Jawa Timur</t>
        </is>
      </c>
      <c r="Q107" t="inlineStr"/>
    </row>
    <row r="108">
      <c r="A108" t="inlineStr">
        <is>
          <t>TEKNO BUANA GLOBALINDO</t>
        </is>
      </c>
      <c r="B108" t="inlineStr">
        <is>
          <t>Kota Bandung</t>
        </is>
      </c>
      <c r="C108" t="inlineStr">
        <is>
          <t>08128531469</t>
        </is>
      </c>
      <c r="D108" t="inlineStr">
        <is>
          <t>marketing@teknobuana.com</t>
        </is>
      </c>
      <c r="E108" t="inlineStr">
        <is>
          <t>https://lpjk.pu.go.id/search-badan-usaha-detail/ODBsQ0JnSjFva0E2V2dPY21JSTNuZFpnU1B1QVRPS0Uyayt6KzZORXVzUT0</t>
        </is>
      </c>
      <c r="F108" t="n">
        <v>2</v>
      </c>
      <c r="G108" t="inlineStr">
        <is>
          <t>BS006, IN004</t>
        </is>
      </c>
      <c r="H108" t="inlineStr">
        <is>
          <t>22 Oktober 2025</t>
        </is>
      </c>
      <c r="I108" s="2" t="n">
        <v>46341</v>
      </c>
      <c r="J108" t="inlineStr">
        <is>
          <t>Disetujui</t>
        </is>
      </c>
      <c r="K108" t="n">
        <v>60</v>
      </c>
      <c r="L108" t="inlineStr">
        <is>
          <t>15 November 2026</t>
        </is>
      </c>
      <c r="M108" t="inlineStr">
        <is>
          <t>Instalasi Minyak dan Gas, Konstruksi Bangunan Sipil Prasarana dan Sarana Sistem Pengolahan Limbah Padat, Cair, dan Gas</t>
        </is>
      </c>
      <c r="N108" t="inlineStr">
        <is>
          <t>M, Spesialis</t>
        </is>
      </c>
      <c r="O108" t="inlineStr">
        <is>
          <t>20230224, 20231110</t>
        </is>
      </c>
      <c r="P108" t="inlineStr">
        <is>
          <t>Jawa Barat</t>
        </is>
      </c>
      <c r="Q108" t="inlineStr"/>
    </row>
    <row r="109">
      <c r="A109" t="inlineStr">
        <is>
          <t>TIGA PUTRA ARSONITA</t>
        </is>
      </c>
      <c r="B109" t="inlineStr">
        <is>
          <t>Kab. Brebes</t>
        </is>
      </c>
      <c r="C109" t="inlineStr">
        <is>
          <t>085726037500</t>
        </is>
      </c>
      <c r="D109" t="inlineStr">
        <is>
          <t>tigaputraarsonita3@gmail.com</t>
        </is>
      </c>
      <c r="E109" t="inlineStr">
        <is>
          <t>https://lpjk.pu.go.id/search-badan-usaha-detail/cmZLWm56WUJEbVhVQ0hTekg5ZURoUT09</t>
        </is>
      </c>
      <c r="F109" t="n">
        <v>2</v>
      </c>
      <c r="G109" t="inlineStr">
        <is>
          <t>BS001, BS004</t>
        </is>
      </c>
      <c r="H109" t="inlineStr">
        <is>
          <t>1 Maret 2023</t>
        </is>
      </c>
      <c r="I109" s="2" t="n">
        <v>46341</v>
      </c>
      <c r="J109" t="inlineStr">
        <is>
          <t>Disetujui</t>
        </is>
      </c>
      <c r="K109" t="n">
        <v>60</v>
      </c>
      <c r="L109" t="inlineStr">
        <is>
          <t>15 November 2026</t>
        </is>
      </c>
      <c r="M109" t="inlineStr">
        <is>
          <t>Konstruksi Bangunan Sipil Jalan, Konstruksi Jaringan Irigasi dan Drainase</t>
        </is>
      </c>
      <c r="N109" t="inlineStr">
        <is>
          <t>K</t>
        </is>
      </c>
      <c r="O109" t="inlineStr">
        <is>
          <t>20231114</t>
        </is>
      </c>
      <c r="P109" t="inlineStr">
        <is>
          <t>Jawa Tengah</t>
        </is>
      </c>
      <c r="Q109" t="inlineStr"/>
    </row>
    <row r="110">
      <c r="A110" t="inlineStr">
        <is>
          <t>TIRTA KENCANA</t>
        </is>
      </c>
      <c r="B110" t="inlineStr">
        <is>
          <t>Kota Tangerang</t>
        </is>
      </c>
      <c r="C110" t="inlineStr">
        <is>
          <t>081289011778</t>
        </is>
      </c>
      <c r="D110" t="inlineStr">
        <is>
          <t>cv.tirtakencana@ymail.com</t>
        </is>
      </c>
      <c r="E110" t="inlineStr">
        <is>
          <t>https://lpjk.pu.go.id/search-badan-usaha-detail/UTZFclFNVTBZTzJBZ2NvUVZlS3BlQT09</t>
        </is>
      </c>
      <c r="F110" t="n">
        <v>2</v>
      </c>
      <c r="G110" t="inlineStr">
        <is>
          <t>BS001, BS004</t>
        </is>
      </c>
      <c r="H110" t="inlineStr">
        <is>
          <t>25 November 1970</t>
        </is>
      </c>
      <c r="I110" s="2" t="n">
        <v>46341</v>
      </c>
      <c r="J110" t="inlineStr">
        <is>
          <t>Disetujui</t>
        </is>
      </c>
      <c r="K110" t="n">
        <v>60</v>
      </c>
      <c r="L110" t="inlineStr">
        <is>
          <t>15 November 2026</t>
        </is>
      </c>
      <c r="M110" t="inlineStr">
        <is>
          <t>Konstruksi Bangunan Sipil Jalan, Konstruksi Jaringan Irigasi dan Drainase</t>
        </is>
      </c>
      <c r="N110" t="inlineStr">
        <is>
          <t>K</t>
        </is>
      </c>
      <c r="O110" t="inlineStr">
        <is>
          <t>20231027</t>
        </is>
      </c>
      <c r="P110" t="inlineStr">
        <is>
          <t>Banten</t>
        </is>
      </c>
      <c r="Q110" t="inlineStr"/>
    </row>
    <row r="111">
      <c r="A111" t="inlineStr">
        <is>
          <t>TORANG JAYA</t>
        </is>
      </c>
      <c r="B111" t="inlineStr">
        <is>
          <t>Kota Pematangsiantar</t>
        </is>
      </c>
      <c r="C111" t="inlineStr">
        <is>
          <t>0</t>
        </is>
      </c>
      <c r="D111" t="inlineStr">
        <is>
          <t>torangjaya@yahoo.co.id</t>
        </is>
      </c>
      <c r="E111" t="inlineStr">
        <is>
          <t>https://lpjk.pu.go.id/search-badan-usaha-detail/NFdvRUUrUm5hYnQ2enVxNmhZTTZFQT09</t>
        </is>
      </c>
      <c r="F111" t="n">
        <v>1</v>
      </c>
      <c r="G111" t="inlineStr">
        <is>
          <t>BS001</t>
        </is>
      </c>
      <c r="H111" t="inlineStr">
        <is>
          <t>2 Desember 1986</t>
        </is>
      </c>
      <c r="I111" s="2" t="n">
        <v>46341</v>
      </c>
      <c r="J111" t="inlineStr">
        <is>
          <t>Disetujui</t>
        </is>
      </c>
      <c r="K111" t="n">
        <v>60</v>
      </c>
      <c r="L111" t="inlineStr">
        <is>
          <t>15 November 2026</t>
        </is>
      </c>
      <c r="M111" t="inlineStr">
        <is>
          <t>Konstruksi Bangunan Sipil Jalan</t>
        </is>
      </c>
      <c r="N111" t="inlineStr">
        <is>
          <t>K</t>
        </is>
      </c>
      <c r="O111" t="inlineStr">
        <is>
          <t>20231114</t>
        </is>
      </c>
      <c r="P111" t="inlineStr">
        <is>
          <t>Sumatera Utara</t>
        </is>
      </c>
      <c r="Q111" t="inlineStr"/>
    </row>
    <row r="112">
      <c r="A112" t="inlineStr">
        <is>
          <t>TRI KARSA MULIA</t>
        </is>
      </c>
      <c r="B112" t="inlineStr">
        <is>
          <t>Kab. Cirebon</t>
        </is>
      </c>
      <c r="C112" t="inlineStr">
        <is>
          <t>085659945420</t>
        </is>
      </c>
      <c r="D112" t="inlineStr">
        <is>
          <t>cvtrikarsamulia@gmail.com</t>
        </is>
      </c>
      <c r="E112" t="inlineStr">
        <is>
          <t>https://lpjk.pu.go.id/search-badan-usaha-detail/cUtJTnRzMCtyWTFPblVHc2JtckNkdz09</t>
        </is>
      </c>
      <c r="F112" t="n">
        <v>4</v>
      </c>
      <c r="G112" t="inlineStr">
        <is>
          <t>BG002, BG005, BG006, BG009</t>
        </is>
      </c>
      <c r="H112" t="inlineStr">
        <is>
          <t>31 Agustus 2023</t>
        </is>
      </c>
      <c r="I112" s="2" t="n">
        <v>46341</v>
      </c>
      <c r="J112" t="inlineStr">
        <is>
          <t>Disetujui</t>
        </is>
      </c>
      <c r="K112" t="n">
        <v>60</v>
      </c>
      <c r="L112" t="inlineStr">
        <is>
          <t>15 November 2026</t>
        </is>
      </c>
      <c r="M112" t="inlineStr">
        <is>
          <t>Konstruksi Gedung Kesehatan, Konstruksi Gedung Lainnya, Konstruksi Gedung Pendidikan, Konstruksi Gedung Perkantoran</t>
        </is>
      </c>
      <c r="N112" t="inlineStr">
        <is>
          <t>K</t>
        </is>
      </c>
      <c r="O112" t="inlineStr">
        <is>
          <t>20231113</t>
        </is>
      </c>
      <c r="P112" t="inlineStr">
        <is>
          <t>Jawa Barat</t>
        </is>
      </c>
      <c r="Q112" t="inlineStr"/>
    </row>
    <row r="113">
      <c r="A113" t="inlineStr">
        <is>
          <t>TRIMULIA BANGUN PERSADA</t>
        </is>
      </c>
      <c r="B113" t="inlineStr">
        <is>
          <t>Kab. Subang</t>
        </is>
      </c>
      <c r="C113" t="inlineStr">
        <is>
          <t>081222567007</t>
        </is>
      </c>
      <c r="D113" t="inlineStr">
        <is>
          <t>pttrimuliabangunpersada@gmail.com</t>
        </is>
      </c>
      <c r="E113" t="inlineStr">
        <is>
          <t>https://lpjk.pu.go.id/search-badan-usaha-detail/a3lFU2pzbW5rc0xSZkUwaGZ6V2Q1UT09</t>
        </is>
      </c>
      <c r="F113" t="n">
        <v>2</v>
      </c>
      <c r="G113" t="inlineStr">
        <is>
          <t>BG003</t>
        </is>
      </c>
      <c r="H113" t="inlineStr">
        <is>
          <t>22 Juni 2012</t>
        </is>
      </c>
      <c r="I113" s="2" t="n">
        <v>46341</v>
      </c>
      <c r="J113" t="inlineStr">
        <is>
          <t>Pencabutan</t>
        </is>
      </c>
      <c r="K113" t="n">
        <v>60</v>
      </c>
      <c r="L113" t="inlineStr">
        <is>
          <t>15 November 2026</t>
        </is>
      </c>
      <c r="M113" t="inlineStr">
        <is>
          <t>Konstruksi Gedung Industri</t>
        </is>
      </c>
      <c r="N113" t="inlineStr">
        <is>
          <t>B</t>
        </is>
      </c>
      <c r="O113" t="inlineStr">
        <is>
          <t>20231110</t>
        </is>
      </c>
      <c r="P113" t="inlineStr">
        <is>
          <t>Jawa Barat</t>
        </is>
      </c>
      <c r="Q113" t="inlineStr"/>
    </row>
    <row r="114">
      <c r="A114" t="inlineStr">
        <is>
          <t>TRIO MACAN BORNEO</t>
        </is>
      </c>
      <c r="B114" t="inlineStr">
        <is>
          <t>Kab. Kutai Barat</t>
        </is>
      </c>
      <c r="C114" t="inlineStr">
        <is>
          <t>082158527888</t>
        </is>
      </c>
      <c r="D114" t="inlineStr">
        <is>
          <t>triomacanborneo@gmail.com</t>
        </is>
      </c>
      <c r="E114" t="inlineStr">
        <is>
          <t>https://lpjk.pu.go.id/search-badan-usaha-detail/eklaRzduYTlvaFRsWW5uUm9jdkJSdz09</t>
        </is>
      </c>
      <c r="F114" t="n">
        <v>3</v>
      </c>
      <c r="G114" t="inlineStr">
        <is>
          <t>BG006, BG009, BS001</t>
        </is>
      </c>
      <c r="H114" t="inlineStr">
        <is>
          <t>19 Juni 2023</t>
        </is>
      </c>
      <c r="I114" s="2" t="n">
        <v>46341</v>
      </c>
      <c r="J114" t="inlineStr">
        <is>
          <t>Disetujui</t>
        </is>
      </c>
      <c r="K114" t="n">
        <v>60</v>
      </c>
      <c r="L114" t="inlineStr">
        <is>
          <t>15 November 2026</t>
        </is>
      </c>
      <c r="M114" t="inlineStr">
        <is>
          <t>Konstruksi Bangunan Sipil Jalan, Konstruksi Gedung Lainnya, Konstruksi Gedung Pendidikan</t>
        </is>
      </c>
      <c r="N114" t="inlineStr">
        <is>
          <t>K</t>
        </is>
      </c>
      <c r="O114" t="inlineStr">
        <is>
          <t>20231116</t>
        </is>
      </c>
      <c r="P114" t="inlineStr">
        <is>
          <t>Kalimantan Timur</t>
        </is>
      </c>
      <c r="Q114" t="inlineStr"/>
    </row>
    <row r="115">
      <c r="A115" t="inlineStr">
        <is>
          <t>TUNAS HARAPAN BARU</t>
        </is>
      </c>
      <c r="B115" t="inlineStr">
        <is>
          <t>Kota Medan</t>
        </is>
      </c>
      <c r="C115" t="inlineStr">
        <is>
          <t>0</t>
        </is>
      </c>
      <c r="D115" t="inlineStr">
        <is>
          <t>tunasharapanbaru4567@gmail.com</t>
        </is>
      </c>
      <c r="E115" t="inlineStr">
        <is>
          <t>https://lpjk.pu.go.id/search-badan-usaha-detail/Mk5OTVQwKzFVa1hVYVNGSStNOU9RZz09</t>
        </is>
      </c>
      <c r="F115" t="n">
        <v>1</v>
      </c>
      <c r="G115" t="inlineStr">
        <is>
          <t>BG003</t>
        </is>
      </c>
      <c r="H115" t="inlineStr">
        <is>
          <t>19 November 2001</t>
        </is>
      </c>
      <c r="I115" s="2" t="n">
        <v>46341</v>
      </c>
      <c r="J115" t="inlineStr">
        <is>
          <t>Pencabutan</t>
        </is>
      </c>
      <c r="K115" t="n">
        <v>60</v>
      </c>
      <c r="L115" t="inlineStr">
        <is>
          <t>15 November 2026</t>
        </is>
      </c>
      <c r="M115" t="inlineStr">
        <is>
          <t>Konstruksi Gedung Industri</t>
        </is>
      </c>
      <c r="N115" t="inlineStr">
        <is>
          <t>M</t>
        </is>
      </c>
      <c r="O115" t="inlineStr">
        <is>
          <t>20231113</t>
        </is>
      </c>
      <c r="P115" t="inlineStr">
        <is>
          <t>Sumatera Utara</t>
        </is>
      </c>
      <c r="Q115" t="inlineStr"/>
    </row>
    <row r="116">
      <c r="A116" t="inlineStr">
        <is>
          <t>VISIMAS UTAMA KONSULINDO</t>
        </is>
      </c>
      <c r="B116" t="inlineStr">
        <is>
          <t>Kota Surabaya</t>
        </is>
      </c>
      <c r="C116" t="inlineStr">
        <is>
          <t>08123580771</t>
        </is>
      </c>
      <c r="D116" t="inlineStr">
        <is>
          <t>vi_si_mas@yahoo.com</t>
        </is>
      </c>
      <c r="E116" t="inlineStr">
        <is>
          <t>https://lpjk.pu.go.id/search-badan-usaha-detail/VXVhQTNOUnlyRy9WTDdwaExmNW9YZz09</t>
        </is>
      </c>
      <c r="F116" t="n">
        <v>3</v>
      </c>
      <c r="G116" t="inlineStr">
        <is>
          <t>RK001, RK002, RK003</t>
        </is>
      </c>
      <c r="H116" t="inlineStr">
        <is>
          <t>12 Januari 2007</t>
        </is>
      </c>
      <c r="I116" s="2" t="n">
        <v>46341</v>
      </c>
      <c r="J116" t="inlineStr">
        <is>
          <t>Disetujui</t>
        </is>
      </c>
      <c r="K116" t="n">
        <v>60</v>
      </c>
      <c r="L116" t="inlineStr">
        <is>
          <t>15 November 2026</t>
        </is>
      </c>
      <c r="M116" t="inlineStr">
        <is>
          <t>Jasa Rekayasa Konstruksi Bangunan Gedung Hunian dan Non Hunian, Jasa Rekayasa Pekerjaan Teknik Sipil Sumber Daya Air, Jasa Rekayasa Pekerjaan Teknik Sipil Transportasi</t>
        </is>
      </c>
      <c r="N116" t="inlineStr">
        <is>
          <t>K</t>
        </is>
      </c>
      <c r="O116" t="inlineStr">
        <is>
          <t>20231109</t>
        </is>
      </c>
      <c r="P116" t="inlineStr">
        <is>
          <t>Jawa Timur</t>
        </is>
      </c>
      <c r="Q116" t="inlineStr"/>
    </row>
    <row r="117">
      <c r="A117" t="inlineStr">
        <is>
          <t>WAHANA SEJAHTERA MANDIRI</t>
        </is>
      </c>
      <c r="B117" t="inlineStr">
        <is>
          <t>Kota Pontianak</t>
        </is>
      </c>
      <c r="C117" t="inlineStr">
        <is>
          <t>081270473656</t>
        </is>
      </c>
      <c r="D117" t="inlineStr">
        <is>
          <t>ws_mandiri@rocketmail.com</t>
        </is>
      </c>
      <c r="E117" t="inlineStr">
        <is>
          <t>https://lpjk.pu.go.id/search-badan-usaha-detail/Q0ZVUVJtS3lBVzBEUmtnRU1ZKzdrZz09</t>
        </is>
      </c>
      <c r="F117" t="n">
        <v>1</v>
      </c>
      <c r="G117" t="inlineStr">
        <is>
          <t>RK002</t>
        </is>
      </c>
      <c r="H117" t="inlineStr">
        <is>
          <t>11 November 2011</t>
        </is>
      </c>
      <c r="I117" s="2" t="n">
        <v>46341</v>
      </c>
      <c r="J117" t="inlineStr">
        <is>
          <t>Disetujui</t>
        </is>
      </c>
      <c r="K117" t="n">
        <v>60</v>
      </c>
      <c r="L117" t="inlineStr">
        <is>
          <t>15 November 2026</t>
        </is>
      </c>
      <c r="M117" t="inlineStr">
        <is>
          <t>Jasa Rekayasa Pekerjaan Teknik Sipil Sumber Daya Air</t>
        </is>
      </c>
      <c r="N117" t="inlineStr">
        <is>
          <t>K</t>
        </is>
      </c>
      <c r="O117" t="inlineStr">
        <is>
          <t>20231101</t>
        </is>
      </c>
      <c r="P117" t="inlineStr">
        <is>
          <t>Kalimantan Barat</t>
        </is>
      </c>
      <c r="Q117" t="inlineStr"/>
    </row>
    <row r="118">
      <c r="A118" t="inlineStr">
        <is>
          <t>WARGA SEJAHTERA</t>
        </is>
      </c>
      <c r="B118" t="inlineStr">
        <is>
          <t>Kota Tangerang</t>
        </is>
      </c>
      <c r="C118" t="inlineStr">
        <is>
          <t>081289011778</t>
        </is>
      </c>
      <c r="D118" t="inlineStr">
        <is>
          <t>cv.wargasejahtera@ymail.com</t>
        </is>
      </c>
      <c r="E118" t="inlineStr">
        <is>
          <t>https://lpjk.pu.go.id/search-badan-usaha-detail/MitnOUsyQjZlUERQdHlRY1dqU1ovZz09</t>
        </is>
      </c>
      <c r="F118" t="n">
        <v>2</v>
      </c>
      <c r="G118" t="inlineStr">
        <is>
          <t>BS001, BS004</t>
        </is>
      </c>
      <c r="H118" t="inlineStr">
        <is>
          <t>14 Juni 2001</t>
        </is>
      </c>
      <c r="I118" s="2" t="n">
        <v>46341</v>
      </c>
      <c r="J118" t="inlineStr">
        <is>
          <t>Disetujui</t>
        </is>
      </c>
      <c r="K118" t="n">
        <v>60</v>
      </c>
      <c r="L118" t="inlineStr">
        <is>
          <t>15 November 2026</t>
        </is>
      </c>
      <c r="M118" t="inlineStr">
        <is>
          <t>Konstruksi Bangunan Sipil Jalan, Konstruksi Jaringan Irigasi dan Drainase</t>
        </is>
      </c>
      <c r="N118" t="inlineStr">
        <is>
          <t>K</t>
        </is>
      </c>
      <c r="O118" t="inlineStr">
        <is>
          <t>20231027</t>
        </is>
      </c>
      <c r="P118" t="inlineStr">
        <is>
          <t>Banten</t>
        </is>
      </c>
      <c r="Q118" t="inlineStr"/>
    </row>
    <row r="119">
      <c r="A119" t="inlineStr">
        <is>
          <t>WIJAYA MANDIRI</t>
        </is>
      </c>
      <c r="B119" t="inlineStr">
        <is>
          <t>Kab. Blitar</t>
        </is>
      </c>
      <c r="C119" t="inlineStr">
        <is>
          <t>08123577189</t>
        </is>
      </c>
      <c r="D119" t="inlineStr">
        <is>
          <t>sarjonowm227@gmail.com</t>
        </is>
      </c>
      <c r="E119" t="inlineStr">
        <is>
          <t>https://lpjk.pu.go.id/search-badan-usaha-detail/VHN4aFg2OEdMSmVhWitoMkpKajUxQT09</t>
        </is>
      </c>
      <c r="F119" t="n">
        <v>2</v>
      </c>
      <c r="G119" t="inlineStr">
        <is>
          <t>RK002</t>
        </is>
      </c>
      <c r="H119" t="inlineStr">
        <is>
          <t>22 Juni 2012</t>
        </is>
      </c>
      <c r="I119" s="2" t="n">
        <v>46341</v>
      </c>
      <c r="J119" t="inlineStr">
        <is>
          <t>Disetujui</t>
        </is>
      </c>
      <c r="K119" t="n">
        <v>60</v>
      </c>
      <c r="L119" t="inlineStr">
        <is>
          <t>15 November 2026</t>
        </is>
      </c>
      <c r="M119" t="inlineStr">
        <is>
          <t>Jasa Rekayasa Pekerjaan Teknik Sipil Sumber Daya Air</t>
        </is>
      </c>
      <c r="N119" t="inlineStr">
        <is>
          <t>K</t>
        </is>
      </c>
      <c r="O119" t="inlineStr">
        <is>
          <t>20231107</t>
        </is>
      </c>
      <c r="P119" t="inlineStr">
        <is>
          <t>Jawa Timur</t>
        </is>
      </c>
      <c r="Q1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5"/>
  <sheetViews>
    <sheetView workbookViewId="0">
      <selection activeCell="A1" sqref="A1"/>
    </sheetView>
  </sheetViews>
  <sheetFormatPr baseColWidth="8" defaultRowHeight="15"/>
  <cols>
    <col width="43" customWidth="1" min="1" max="1"/>
    <col width="27" customWidth="1" min="2" max="2"/>
    <col width="16" customWidth="1" min="3" max="3"/>
    <col width="41"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DINAMIKA BANGUN MANDIRI</t>
        </is>
      </c>
      <c r="B2" t="inlineStr">
        <is>
          <t>Kab. Bogor</t>
        </is>
      </c>
      <c r="C2" t="inlineStr">
        <is>
          <t>02183711010</t>
        </is>
      </c>
      <c r="D2" t="inlineStr">
        <is>
          <t>ptdinamikabangunmandiri@gmail.com</t>
        </is>
      </c>
      <c r="E2" t="inlineStr">
        <is>
          <t>https://lpjk.pu.go.id/search-badan-usaha-detail/SkhmUWRVR2Z1YS80YkJlWTZqQWljUT09</t>
        </is>
      </c>
      <c r="F2" t="n">
        <v>3</v>
      </c>
      <c r="G2" t="inlineStr">
        <is>
          <t>PB010</t>
        </is>
      </c>
      <c r="H2" t="inlineStr">
        <is>
          <t>14 November 2022</t>
        </is>
      </c>
      <c r="I2" s="2" t="n">
        <v>46311</v>
      </c>
      <c r="J2" t="inlineStr">
        <is>
          <t>Disetujui</t>
        </is>
      </c>
      <c r="K2" t="n">
        <v>30</v>
      </c>
      <c r="L2" t="inlineStr">
        <is>
          <t>16 Oktober 2026</t>
        </is>
      </c>
      <c r="M2" t="inlineStr">
        <is>
          <t>Pekerjaan Lanskap, Pertamanan, dan Penanaman Vegetasi</t>
        </is>
      </c>
      <c r="N2" t="inlineStr">
        <is>
          <t>Spesialis</t>
        </is>
      </c>
      <c r="O2" t="inlineStr">
        <is>
          <t>20231013</t>
        </is>
      </c>
      <c r="P2" t="inlineStr">
        <is>
          <t>Jawa Barat</t>
        </is>
      </c>
      <c r="Q2" t="inlineStr"/>
    </row>
    <row r="3">
      <c r="A3" t="inlineStr">
        <is>
          <t>DINAMIKA JAYA SEMESTA</t>
        </is>
      </c>
      <c r="B3" t="inlineStr">
        <is>
          <t>Kab. Bekasi</t>
        </is>
      </c>
      <c r="C3" t="inlineStr">
        <is>
          <t>081380591694</t>
        </is>
      </c>
      <c r="D3" t="inlineStr">
        <is>
          <t>dinamikajayasemesta.pt@yahoo.com</t>
        </is>
      </c>
      <c r="E3" t="inlineStr">
        <is>
          <t>https://lpjk.pu.go.id/search-badan-usaha-detail/dmVWSysvTzAwZEh0SjNTbGJUcitwQT09</t>
        </is>
      </c>
      <c r="F3" t="n">
        <v>3</v>
      </c>
      <c r="G3" t="inlineStr">
        <is>
          <t>BG009</t>
        </is>
      </c>
      <c r="H3" t="inlineStr">
        <is>
          <t>1 September 2023</t>
        </is>
      </c>
      <c r="I3" s="2" t="n">
        <v>46311</v>
      </c>
      <c r="J3" t="inlineStr">
        <is>
          <t>Disetujui</t>
        </is>
      </c>
      <c r="K3" t="n">
        <v>30</v>
      </c>
      <c r="L3" t="inlineStr">
        <is>
          <t>16 Oktober 2026</t>
        </is>
      </c>
      <c r="M3" t="inlineStr">
        <is>
          <t>Konstruksi Gedung Lainnya</t>
        </is>
      </c>
      <c r="N3" t="inlineStr">
        <is>
          <t>K</t>
        </is>
      </c>
      <c r="O3" t="inlineStr">
        <is>
          <t>20231017</t>
        </is>
      </c>
      <c r="P3" t="inlineStr">
        <is>
          <t>Jawa Barat</t>
        </is>
      </c>
      <c r="Q3" s="3">
        <f>HYPERLINK("https://wa.me/6281380591694?text=*[Pengingat Masa Berlaku SBU DINAMIKA JAYA SEMESTA]*%0A%0AYth. Pimpinan DINAMIKA JAYA SEMESTA,%0AMohon izin menginformasikan status SBU Anda:%0A%0A📄 SBU: BG009%0A📅 Expired: 16 Oktober 2026 (30 Hari Lagi)%0A%0AKami tim PT. ESDEA Assistance Management siap men-support proses perpanjangan segera agar administrasi proyek tidak terhambat%0A%0AApakah boleh saya bantu siapkan estimasi biaya dan waktu pengerjaannya?.", "Hubungi")</f>
        <v/>
      </c>
    </row>
    <row r="4">
      <c r="A4" t="inlineStr">
        <is>
          <t>FARAMA MITRA MANDIRI</t>
        </is>
      </c>
      <c r="B4" t="inlineStr">
        <is>
          <t>Kota Bekasi</t>
        </is>
      </c>
      <c r="C4" t="inlineStr">
        <is>
          <t>02129568120</t>
        </is>
      </c>
      <c r="D4" t="inlineStr">
        <is>
          <t>faramamitra@gmail.com</t>
        </is>
      </c>
      <c r="E4" t="inlineStr">
        <is>
          <t>https://lpjk.pu.go.id/search-badan-usaha-detail/OGhlOTZTaFdPRGQzR2xSVlp4QnppZz09</t>
        </is>
      </c>
      <c r="F4" t="n">
        <v>1</v>
      </c>
      <c r="G4" t="inlineStr">
        <is>
          <t>BG009</t>
        </is>
      </c>
      <c r="H4" t="inlineStr">
        <is>
          <t>4 Januari 2006</t>
        </is>
      </c>
      <c r="I4" s="2" t="n">
        <v>46311</v>
      </c>
      <c r="J4" t="inlineStr">
        <is>
          <t>Disetujui</t>
        </is>
      </c>
      <c r="K4" t="n">
        <v>30</v>
      </c>
      <c r="L4" t="inlineStr">
        <is>
          <t>16 Oktober 2026</t>
        </is>
      </c>
      <c r="M4" t="inlineStr">
        <is>
          <t>Konstruksi Gedung Lainnya</t>
        </is>
      </c>
      <c r="N4" t="inlineStr">
        <is>
          <t>K</t>
        </is>
      </c>
      <c r="O4" t="inlineStr">
        <is>
          <t>20231013</t>
        </is>
      </c>
      <c r="P4" t="inlineStr">
        <is>
          <t>Jawa Barat</t>
        </is>
      </c>
      <c r="Q4" t="inlineStr"/>
    </row>
    <row r="5">
      <c r="A5" t="inlineStr">
        <is>
          <t>HARMONI JAYA SEJAHTERA</t>
        </is>
      </c>
      <c r="B5" t="inlineStr">
        <is>
          <t>Kab. Bekasi</t>
        </is>
      </c>
      <c r="C5" t="inlineStr">
        <is>
          <t>02189902828</t>
        </is>
      </c>
      <c r="D5" t="inlineStr">
        <is>
          <t>harmonijayasejahtera@gmail.com</t>
        </is>
      </c>
      <c r="E5" t="inlineStr">
        <is>
          <t>https://lpjk.pu.go.id/search-badan-usaha-detail/R0FFNmMyYkVKb3ZiRlluNUIyTXNiZz09</t>
        </is>
      </c>
      <c r="F5" t="n">
        <v>1</v>
      </c>
      <c r="G5" t="inlineStr">
        <is>
          <t>BG001</t>
        </is>
      </c>
      <c r="H5" t="inlineStr">
        <is>
          <t>5 Desember 2006</t>
        </is>
      </c>
      <c r="I5" s="2" t="n">
        <v>46311</v>
      </c>
      <c r="J5" t="inlineStr">
        <is>
          <t>Disetujui</t>
        </is>
      </c>
      <c r="K5" t="n">
        <v>30</v>
      </c>
      <c r="L5" t="inlineStr">
        <is>
          <t>16 Oktober 2026</t>
        </is>
      </c>
      <c r="M5" t="inlineStr">
        <is>
          <t>Konstruksi Gedung Hunian</t>
        </is>
      </c>
      <c r="N5" t="inlineStr">
        <is>
          <t>B</t>
        </is>
      </c>
      <c r="O5" t="inlineStr">
        <is>
          <t>20231007</t>
        </is>
      </c>
      <c r="P5" t="inlineStr">
        <is>
          <t>Jawa Barat</t>
        </is>
      </c>
      <c r="Q5" t="inlineStr"/>
    </row>
    <row r="6">
      <c r="A6" t="inlineStr">
        <is>
          <t>HOBASHITA REKA TAMA</t>
        </is>
      </c>
      <c r="B6" t="inlineStr">
        <is>
          <t>Kota Adm. Jakarta Timur</t>
        </is>
      </c>
      <c r="C6" t="inlineStr">
        <is>
          <t>02186613110</t>
        </is>
      </c>
      <c r="D6" t="inlineStr">
        <is>
          <t>hobashita.rekatama@gmail.com</t>
        </is>
      </c>
      <c r="E6" t="inlineStr">
        <is>
          <t>https://lpjk.pu.go.id/search-badan-usaha-detail/Tkk1bE9CNm1uMmREcVpwY1dZM0tHUT09</t>
        </is>
      </c>
      <c r="F6" t="n">
        <v>1</v>
      </c>
      <c r="G6" t="inlineStr">
        <is>
          <t>BG006</t>
        </is>
      </c>
      <c r="H6" t="inlineStr">
        <is>
          <t>12 Februari 2019</t>
        </is>
      </c>
      <c r="I6" s="2" t="n">
        <v>46311</v>
      </c>
      <c r="J6" t="inlineStr">
        <is>
          <t>Disetujui</t>
        </is>
      </c>
      <c r="K6" t="n">
        <v>30</v>
      </c>
      <c r="L6" t="inlineStr">
        <is>
          <t>16 Oktober 2026</t>
        </is>
      </c>
      <c r="M6" t="inlineStr">
        <is>
          <t>Konstruksi Gedung Pendidikan</t>
        </is>
      </c>
      <c r="N6" t="inlineStr">
        <is>
          <t>K</t>
        </is>
      </c>
      <c r="O6" t="inlineStr">
        <is>
          <t>20231005</t>
        </is>
      </c>
      <c r="P6" t="inlineStr">
        <is>
          <t>DKI Jakarta</t>
        </is>
      </c>
      <c r="Q6" t="inlineStr"/>
    </row>
    <row r="7">
      <c r="A7" t="inlineStr">
        <is>
          <t>INDOTEK SAKA INTERNASIONAL</t>
        </is>
      </c>
      <c r="B7" t="inlineStr">
        <is>
          <t>Kota Depok</t>
        </is>
      </c>
      <c r="C7" t="inlineStr">
        <is>
          <t>02177806211</t>
        </is>
      </c>
      <c r="D7" t="inlineStr">
        <is>
          <t>indotek.saka.internasional@gmail.com</t>
        </is>
      </c>
      <c r="E7" t="inlineStr">
        <is>
          <t>https://lpjk.pu.go.id/search-badan-usaha-detail/VVdRSStPQkE1L0p6NXhIQ2w0UVlSUT09</t>
        </is>
      </c>
      <c r="F7" t="n">
        <v>2</v>
      </c>
      <c r="G7" t="inlineStr">
        <is>
          <t>BS001</t>
        </is>
      </c>
      <c r="H7" t="inlineStr">
        <is>
          <t>5 Agustus 2019</t>
        </is>
      </c>
      <c r="I7" s="2" t="n">
        <v>46311</v>
      </c>
      <c r="J7" t="inlineStr">
        <is>
          <t>Pencabutan</t>
        </is>
      </c>
      <c r="K7" t="n">
        <v>30</v>
      </c>
      <c r="L7" t="inlineStr">
        <is>
          <t>16 Oktober 2026</t>
        </is>
      </c>
      <c r="M7" t="inlineStr">
        <is>
          <t>Konstruksi Bangunan Sipil Jalan</t>
        </is>
      </c>
      <c r="N7" t="inlineStr">
        <is>
          <t>K</t>
        </is>
      </c>
      <c r="O7" t="inlineStr">
        <is>
          <t>20231011</t>
        </is>
      </c>
      <c r="P7" t="inlineStr">
        <is>
          <t>Jawa Barat</t>
        </is>
      </c>
      <c r="Q7" t="inlineStr"/>
    </row>
    <row r="8">
      <c r="A8" t="inlineStr">
        <is>
          <t>MEFIRAN EKA PERSADA</t>
        </is>
      </c>
      <c r="B8" t="inlineStr">
        <is>
          <t>Kota Adm. Jakarta Timur</t>
        </is>
      </c>
      <c r="C8" t="inlineStr">
        <is>
          <t>081288676669</t>
        </is>
      </c>
      <c r="D8" t="inlineStr">
        <is>
          <t>pt.mefiranekapersada@gmail.com</t>
        </is>
      </c>
      <c r="E8" t="inlineStr">
        <is>
          <t>https://lpjk.pu.go.id/search-badan-usaha-detail/Z0xmbmNtM1hSa1BORTd1b2NjTWNLZz09</t>
        </is>
      </c>
      <c r="F8" t="n">
        <v>2</v>
      </c>
      <c r="G8" t="inlineStr">
        <is>
          <t>BG009</t>
        </is>
      </c>
      <c r="H8" t="inlineStr">
        <is>
          <t>30 November 2020</t>
        </is>
      </c>
      <c r="I8" s="2" t="n">
        <v>46311</v>
      </c>
      <c r="J8" t="inlineStr">
        <is>
          <t>Disetujui</t>
        </is>
      </c>
      <c r="K8" t="n">
        <v>30</v>
      </c>
      <c r="L8" t="inlineStr">
        <is>
          <t>16 Oktober 2026</t>
        </is>
      </c>
      <c r="M8" t="inlineStr">
        <is>
          <t>Konstruksi Gedung Lainnya</t>
        </is>
      </c>
      <c r="N8" t="inlineStr">
        <is>
          <t>K</t>
        </is>
      </c>
      <c r="O8" t="inlineStr">
        <is>
          <t>20231013</t>
        </is>
      </c>
      <c r="P8" t="inlineStr">
        <is>
          <t>DKI Jakarta</t>
        </is>
      </c>
      <c r="Q8" s="3">
        <f>HYPERLINK("https://wa.me/6281288676669?text=*[Pengingat Masa Berlaku SBU MEFIRAN EKA PERSADA]*%0A%0AYth. Pimpinan MEFIRAN EKA PERSADA,%0AMohon izin menginformasikan status SBU Anda:%0A%0A📄 SBU: BG009%0A📅 Expired: 16 Oktober 2026 (30 Hari Lagi)%0A%0AKami tim PT. ESDEA Assistance Management siap men-support proses perpanjangan segera agar administrasi proyek tidak terhambat%0A%0AApakah boleh saya bantu siapkan estimasi biaya dan waktu pengerjaannya?.", "Hubungi")</f>
        <v/>
      </c>
    </row>
    <row r="9">
      <c r="A9" t="inlineStr">
        <is>
          <t>NINGRAT MUDA WICAKSONO</t>
        </is>
      </c>
      <c r="B9" t="inlineStr">
        <is>
          <t>Kota Bekasi</t>
        </is>
      </c>
      <c r="C9" t="inlineStr">
        <is>
          <t>08123457711</t>
        </is>
      </c>
      <c r="D9" t="inlineStr">
        <is>
          <t>ningratmudawicaksono@gmail.com</t>
        </is>
      </c>
      <c r="E9" t="inlineStr">
        <is>
          <t>https://lpjk.pu.go.id/search-badan-usaha-detail/WEdsUDNqekR6UCtOMFYxV3BXZlp1UT09</t>
        </is>
      </c>
      <c r="F9" t="n">
        <v>2</v>
      </c>
      <c r="G9" t="inlineStr">
        <is>
          <t>BG001, BG002</t>
        </is>
      </c>
      <c r="H9" t="inlineStr">
        <is>
          <t>12 September 2022</t>
        </is>
      </c>
      <c r="I9" s="2" t="n">
        <v>46311</v>
      </c>
      <c r="J9" t="inlineStr">
        <is>
          <t>Disetujui</t>
        </is>
      </c>
      <c r="K9" t="n">
        <v>30</v>
      </c>
      <c r="L9" t="inlineStr">
        <is>
          <t>16 Oktober 2026</t>
        </is>
      </c>
      <c r="M9" t="inlineStr">
        <is>
          <t>Konstruksi Gedung Hunian, Konstruksi Gedung Perkantoran</t>
        </is>
      </c>
      <c r="N9" t="inlineStr">
        <is>
          <t>K</t>
        </is>
      </c>
      <c r="O9" t="inlineStr">
        <is>
          <t>20231017</t>
        </is>
      </c>
      <c r="P9" t="inlineStr">
        <is>
          <t>Jawa Barat</t>
        </is>
      </c>
      <c r="Q9" s="3">
        <f>HYPERLINK("https://wa.me/628123457711?text=*[Pengingat Masa Berlaku SBU NINGRAT MUDA WICAKSONO]*%0A%0AYth. Pimpinan NINGRAT MUDA WICAKSONO,%0AMohon izin menginformasikan status SBU Anda:%0A%0A📄 SBU: BG001, BG002%0A📅 Expired: 16 Oktober 2026 (30 Hari Lagi)%0A%0AKami tim PT. ESDEA Assistance Management siap men-support proses perpanjangan segera agar administrasi proyek tidak terhambat%0A%0AApakah boleh saya bantu siapkan estimasi biaya dan waktu pengerjaannya?.", "Hubungi")</f>
        <v/>
      </c>
    </row>
    <row r="10">
      <c r="A10" t="inlineStr">
        <is>
          <t>PANGESTU</t>
        </is>
      </c>
      <c r="B10" t="inlineStr">
        <is>
          <t>Kota Bogor</t>
        </is>
      </c>
      <c r="C10" t="inlineStr">
        <is>
          <t>081584276850</t>
        </is>
      </c>
      <c r="D10" t="inlineStr">
        <is>
          <t>pangestucv86@gmail.com</t>
        </is>
      </c>
      <c r="E10" t="inlineStr">
        <is>
          <t>https://lpjk.pu.go.id/search-badan-usaha-detail/SThoU3Y5RC9yd2FpMFZuck4wUEgxUT09</t>
        </is>
      </c>
      <c r="F10" t="n">
        <v>3</v>
      </c>
      <c r="G10" t="inlineStr">
        <is>
          <t>BG006, BS004, BS006</t>
        </is>
      </c>
      <c r="H10" t="inlineStr">
        <is>
          <t>10 Mei 2011</t>
        </is>
      </c>
      <c r="I10" s="2" t="n">
        <v>46311</v>
      </c>
      <c r="J10" t="inlineStr">
        <is>
          <t>Disetujui</t>
        </is>
      </c>
      <c r="K10" t="n">
        <v>30</v>
      </c>
      <c r="L10" t="inlineStr">
        <is>
          <t>16 Oktober 2026</t>
        </is>
      </c>
      <c r="M10" t="inlineStr">
        <is>
          <t>Konstruksi Bangunan Sipil Prasarana dan Sarana Sistem Pengolahan Limbah Padat, Cair, dan Gas, Konstruksi Gedung Pendidikan, Konstruksi Jaringan Irigasi dan Drainase</t>
        </is>
      </c>
      <c r="N10" t="inlineStr">
        <is>
          <t>K</t>
        </is>
      </c>
      <c r="O10" t="inlineStr">
        <is>
          <t>20231013</t>
        </is>
      </c>
      <c r="P10" t="inlineStr">
        <is>
          <t>Jawa Barat</t>
        </is>
      </c>
      <c r="Q10" s="3">
        <f>HYPERLINK("https://wa.me/6281584276850?text=*[Pengingat Masa Berlaku SBU PANGESTU]*%0A%0AYth. Pimpinan PANGESTU,%0AMohon izin menginformasikan status SBU Anda:%0A%0A📄 SBU: BG006, BS004, BS006%0A📅 Expired: 16 Oktober 2026 (30 Hari Lagi)%0A%0AKami tim PT. ESDEA Assistance Management siap men-support proses perpanjangan segera agar administrasi proyek tidak terhambat%0A%0AApakah boleh saya bantu siapkan estimasi biaya dan waktu pengerjaannya?.", "Hubungi")</f>
        <v/>
      </c>
    </row>
    <row r="11">
      <c r="A11" t="inlineStr">
        <is>
          <t>PUNDI SARANA LANGGENG</t>
        </is>
      </c>
      <c r="B11" t="inlineStr">
        <is>
          <t>Kota Depok</t>
        </is>
      </c>
      <c r="C11" t="inlineStr">
        <is>
          <t>02187753701</t>
        </is>
      </c>
      <c r="D11" t="inlineStr">
        <is>
          <t>pundisaranalanggeng@yahoo.com</t>
        </is>
      </c>
      <c r="E11" t="inlineStr">
        <is>
          <t>https://lpjk.pu.go.id/search-badan-usaha-detail/dFRhZ1k1c1kreUhiSlFkMkJKT094UT09</t>
        </is>
      </c>
      <c r="F11" t="n">
        <v>1</v>
      </c>
      <c r="G11" t="inlineStr">
        <is>
          <t>BG009</t>
        </is>
      </c>
      <c r="H11" t="inlineStr">
        <is>
          <t>10 November 2008</t>
        </is>
      </c>
      <c r="I11" s="2" t="n">
        <v>46311</v>
      </c>
      <c r="J11" t="inlineStr">
        <is>
          <t>Disetujui</t>
        </is>
      </c>
      <c r="K11" t="n">
        <v>30</v>
      </c>
      <c r="L11" t="inlineStr">
        <is>
          <t>16 Oktober 2026</t>
        </is>
      </c>
      <c r="M11" t="inlineStr">
        <is>
          <t>Konstruksi Gedung Lainnya</t>
        </is>
      </c>
      <c r="N11" t="inlineStr">
        <is>
          <t>K</t>
        </is>
      </c>
      <c r="O11" t="inlineStr">
        <is>
          <t>20231017</t>
        </is>
      </c>
      <c r="P11" t="inlineStr">
        <is>
          <t>Jawa Barat</t>
        </is>
      </c>
      <c r="Q11" t="inlineStr"/>
    </row>
    <row r="12">
      <c r="A12" t="inlineStr">
        <is>
          <t>RAMA PERKASA</t>
        </is>
      </c>
      <c r="B12" t="inlineStr">
        <is>
          <t>Kota Depok</t>
        </is>
      </c>
      <c r="C12" t="inlineStr">
        <is>
          <t>02187712763</t>
        </is>
      </c>
      <c r="D12" t="inlineStr">
        <is>
          <t>ramaperkasa@gmail.com</t>
        </is>
      </c>
      <c r="E12" t="inlineStr">
        <is>
          <t>https://lpjk.pu.go.id/search-badan-usaha-detail/SzFNeWtJSk1jVWU0QzlOWHZTanY1UT09</t>
        </is>
      </c>
      <c r="F12" t="n">
        <v>3</v>
      </c>
      <c r="G12" t="inlineStr">
        <is>
          <t>BG006, BG009, BS004</t>
        </is>
      </c>
      <c r="H12" t="inlineStr">
        <is>
          <t>18 Juni 2008</t>
        </is>
      </c>
      <c r="I12" s="2" t="n">
        <v>46311</v>
      </c>
      <c r="J12" t="inlineStr">
        <is>
          <t>Disetujui</t>
        </is>
      </c>
      <c r="K12" t="n">
        <v>30</v>
      </c>
      <c r="L12" t="inlineStr">
        <is>
          <t>16 Oktober 2026</t>
        </is>
      </c>
      <c r="M12" t="inlineStr">
        <is>
          <t>Konstruksi Gedung Lainnya, Konstruksi Gedung Pendidikan, Konstruksi Jaringan Irigasi dan Drainase</t>
        </is>
      </c>
      <c r="N12" t="inlineStr">
        <is>
          <t>K</t>
        </is>
      </c>
      <c r="O12" t="inlineStr">
        <is>
          <t>20231011</t>
        </is>
      </c>
      <c r="P12" t="inlineStr">
        <is>
          <t>Jawa Barat</t>
        </is>
      </c>
      <c r="Q12" t="inlineStr"/>
    </row>
    <row r="13">
      <c r="A13" t="inlineStr">
        <is>
          <t>RANGGA JAYA</t>
        </is>
      </c>
      <c r="B13" t="inlineStr">
        <is>
          <t>Kota Bekasi</t>
        </is>
      </c>
      <c r="C13" t="inlineStr">
        <is>
          <t>0218215003</t>
        </is>
      </c>
      <c r="D13" t="inlineStr">
        <is>
          <t>cv.ranggajaya.bekasi@gmail.com</t>
        </is>
      </c>
      <c r="E13" t="inlineStr">
        <is>
          <t>https://lpjk.pu.go.id/search-badan-usaha-detail/ekhHQ3FvN3pWcFJlNlNLMGNvY1U5dz09</t>
        </is>
      </c>
      <c r="F13" t="n">
        <v>2</v>
      </c>
      <c r="G13" t="inlineStr">
        <is>
          <t>BS001, BS002</t>
        </is>
      </c>
      <c r="H13" t="inlineStr">
        <is>
          <t>8 Januari 2003</t>
        </is>
      </c>
      <c r="I13" s="2" t="n">
        <v>46311</v>
      </c>
      <c r="J13" t="inlineStr">
        <is>
          <t>Disetujui</t>
        </is>
      </c>
      <c r="K13" t="n">
        <v>30</v>
      </c>
      <c r="L13" t="inlineStr">
        <is>
          <t>16 Oktober 2026</t>
        </is>
      </c>
      <c r="M13" t="inlineStr">
        <is>
          <t>Bangunan Sipil Jembatan, Jalan Layang, Fly Over, dan Underpass, Konstruksi Bangunan Sipil Jalan</t>
        </is>
      </c>
      <c r="N13" t="inlineStr">
        <is>
          <t>K</t>
        </is>
      </c>
      <c r="O13" t="inlineStr">
        <is>
          <t>20231012, 20231018</t>
        </is>
      </c>
      <c r="P13" t="inlineStr">
        <is>
          <t>Jawa Barat</t>
        </is>
      </c>
      <c r="Q13" t="inlineStr"/>
    </row>
    <row r="14">
      <c r="A14" t="inlineStr">
        <is>
          <t>SHOLIS PERKASA</t>
        </is>
      </c>
      <c r="B14" t="inlineStr">
        <is>
          <t>Kota Bogor</t>
        </is>
      </c>
      <c r="C14" t="inlineStr">
        <is>
          <t>819010964000</t>
        </is>
      </c>
      <c r="D14" t="inlineStr">
        <is>
          <t>sholisperkasa@gmail.com</t>
        </is>
      </c>
      <c r="E14" t="inlineStr">
        <is>
          <t>https://lpjk.pu.go.id/search-badan-usaha-detail/WFlUeE1XTVp6UlN3VC9KZ3hhT0ltQT09</t>
        </is>
      </c>
      <c r="F14" t="n">
        <v>2</v>
      </c>
      <c r="G14" t="inlineStr">
        <is>
          <t>BS002, BS006</t>
        </is>
      </c>
      <c r="H14" t="inlineStr">
        <is>
          <t>12 Maret 2018</t>
        </is>
      </c>
      <c r="I14" s="2" t="n">
        <v>46311</v>
      </c>
      <c r="J14" t="inlineStr">
        <is>
          <t>Disetujui</t>
        </is>
      </c>
      <c r="K14" t="n">
        <v>30</v>
      </c>
      <c r="L14" t="inlineStr">
        <is>
          <t>16 Oktober 2026</t>
        </is>
      </c>
      <c r="M14" t="inlineStr">
        <is>
          <t>Bangunan Sipil Jembatan, Jalan Layang, Fly Over, dan Underpass, Konstruksi Bangunan Sipil Prasarana dan Sarana Sistem Pengolahan Limbah Padat, Cair, dan Gas</t>
        </is>
      </c>
      <c r="N14" t="inlineStr">
        <is>
          <t>K</t>
        </is>
      </c>
      <c r="O14" t="inlineStr">
        <is>
          <t>20230814, 20231011</t>
        </is>
      </c>
      <c r="P14" t="inlineStr">
        <is>
          <t>Jawa Barat</t>
        </is>
      </c>
      <c r="Q14" s="3">
        <f>HYPERLINK("https://wa.me/62819010964000?text=*[Pengingat Masa Berlaku SBU SHOLIS PERKASA]*%0A%0AYth. Pimpinan SHOLIS PERKASA,%0AMohon izin menginformasikan status SBU Anda:%0A%0A📄 SBU: BS002, BS006%0A📅 Expired: 16 Oktober 2026 (30 Hari Lagi)%0A%0AKami tim PT. ESDEA Assistance Management siap men-support proses perpanjangan segera agar administrasi proyek tidak terhambat%0A%0AApakah boleh saya bantu siapkan estimasi biaya dan waktu pengerjaannya?.", "Hubungi")</f>
        <v/>
      </c>
    </row>
    <row r="15">
      <c r="A15" t="inlineStr">
        <is>
          <t>WAHYU JAYA AGUNG</t>
        </is>
      </c>
      <c r="B15" t="inlineStr">
        <is>
          <t>Kab. Bogor</t>
        </is>
      </c>
      <c r="C15" t="inlineStr">
        <is>
          <t>081511142526</t>
        </is>
      </c>
      <c r="D15" t="inlineStr">
        <is>
          <t>wjacontractor@gmail.com</t>
        </is>
      </c>
      <c r="E15" t="inlineStr">
        <is>
          <t>https://lpjk.pu.go.id/search-badan-usaha-detail/aFNZTnlHak9JN1Jnc0xwT2k4OE1NZz09</t>
        </is>
      </c>
      <c r="F15" t="n">
        <v>1</v>
      </c>
      <c r="G15" t="inlineStr">
        <is>
          <t>BG004</t>
        </is>
      </c>
      <c r="H15" t="inlineStr">
        <is>
          <t>2 April 2018</t>
        </is>
      </c>
      <c r="I15" s="2" t="n">
        <v>46311</v>
      </c>
      <c r="J15" t="inlineStr">
        <is>
          <t>Disetujui</t>
        </is>
      </c>
      <c r="K15" t="n">
        <v>30</v>
      </c>
      <c r="L15" t="inlineStr">
        <is>
          <t>16 Oktober 2026</t>
        </is>
      </c>
      <c r="M15" t="inlineStr">
        <is>
          <t>Konstruksi Gedung Perbelanjaan</t>
        </is>
      </c>
      <c r="N15" t="inlineStr">
        <is>
          <t>K</t>
        </is>
      </c>
      <c r="O15" t="inlineStr">
        <is>
          <t>20231009</t>
        </is>
      </c>
      <c r="P15" t="inlineStr">
        <is>
          <t>Jawa Barat</t>
        </is>
      </c>
      <c r="Q15" s="3">
        <f>HYPERLINK("https://wa.me/6281511142526?text=*[Pengingat Masa Berlaku SBU WAHYU JAYA AGUNG]*%0A%0AYth. Pimpinan WAHYU JAYA AGUNG,%0AMohon izin menginformasikan status SBU Anda:%0A%0A📄 SBU: BG004%0A📅 Expired: 16 Oktober 2026 (30 Hari Lagi)%0A%0AKami tim PT. ESDEA Assistance Management siap men-support proses perpanjangan segera agar administrasi proyek tidak terhambat%0A%0AApakah boleh saya bantu siapkan estimasi biaya dan waktu pengerjaannya?.", "Hubungi")</f>
        <v/>
      </c>
    </row>
    <row r="16">
      <c r="A16" t="inlineStr">
        <is>
          <t>ABDI DHARMA ABADI</t>
        </is>
      </c>
      <c r="B16" t="inlineStr">
        <is>
          <t>Kab. Bondowoso</t>
        </is>
      </c>
      <c r="C16" t="inlineStr">
        <is>
          <t>085259114499</t>
        </is>
      </c>
      <c r="D16" t="inlineStr">
        <is>
          <t>cvabdidharmaabadi161@gmail.com</t>
        </is>
      </c>
      <c r="E16" t="inlineStr">
        <is>
          <t>https://lpjk.pu.go.id/search-badan-usaha-detail/cGp3OTE5SjNuWUhEWCtDelZlS2c3dz09</t>
        </is>
      </c>
      <c r="F16" t="n">
        <v>2</v>
      </c>
      <c r="G16" t="inlineStr">
        <is>
          <t>BG009, BS004</t>
        </is>
      </c>
      <c r="H16" t="inlineStr">
        <is>
          <t>27 Juli 2002</t>
        </is>
      </c>
      <c r="I16" s="2" t="n">
        <v>46311</v>
      </c>
      <c r="J16" t="inlineStr">
        <is>
          <t>Disetujui</t>
        </is>
      </c>
      <c r="K16" t="n">
        <v>30</v>
      </c>
      <c r="L16" t="inlineStr">
        <is>
          <t>16 Oktober 2026</t>
        </is>
      </c>
      <c r="M16" t="inlineStr">
        <is>
          <t>Konstruksi Gedung Lainnya, Konstruksi Jaringan Irigasi dan Drainase</t>
        </is>
      </c>
      <c r="N16" t="inlineStr">
        <is>
          <t>K</t>
        </is>
      </c>
      <c r="O16" t="inlineStr">
        <is>
          <t>20231009, 20231013</t>
        </is>
      </c>
      <c r="P16" t="inlineStr">
        <is>
          <t>Jawa Timur</t>
        </is>
      </c>
      <c r="Q16" t="inlineStr"/>
    </row>
    <row r="17">
      <c r="A17" t="inlineStr">
        <is>
          <t>ABINAWA WAHYU UTAMA</t>
        </is>
      </c>
      <c r="B17" t="inlineStr">
        <is>
          <t>Kab. Sidoarjo</t>
        </is>
      </c>
      <c r="C17" t="inlineStr">
        <is>
          <t>082142411448</t>
        </is>
      </c>
      <c r="D17" t="inlineStr">
        <is>
          <t>cvabinawawahyuutama@gmail.com</t>
        </is>
      </c>
      <c r="E17" t="inlineStr">
        <is>
          <t>https://lpjk.pu.go.id/search-badan-usaha-detail/cHQ2WnExZCtYWGlUblc3QkloYktrQT09</t>
        </is>
      </c>
      <c r="F17" t="n">
        <v>4</v>
      </c>
      <c r="G17" t="inlineStr">
        <is>
          <t>BG001, BG002, BG006, BG009</t>
        </is>
      </c>
      <c r="H17" t="inlineStr">
        <is>
          <t>11 Maret 2022</t>
        </is>
      </c>
      <c r="I17" s="2" t="n">
        <v>46311</v>
      </c>
      <c r="J17" t="inlineStr">
        <is>
          <t>Disetujui</t>
        </is>
      </c>
      <c r="K17" t="n">
        <v>30</v>
      </c>
      <c r="L17" t="inlineStr">
        <is>
          <t>16 Oktober 2026</t>
        </is>
      </c>
      <c r="M17" t="inlineStr">
        <is>
          <t>Konstruksi Gedung Hunian, Konstruksi Gedung Lainnya, Konstruksi Gedung Pendidikan, Konstruksi Gedung Perkantoran</t>
        </is>
      </c>
      <c r="N17" t="inlineStr">
        <is>
          <t>K</t>
        </is>
      </c>
      <c r="O17" t="inlineStr">
        <is>
          <t>20230920, 20230925, 20230926</t>
        </is>
      </c>
      <c r="P17" t="inlineStr">
        <is>
          <t>Jawa Timur</t>
        </is>
      </c>
      <c r="Q17" t="inlineStr"/>
    </row>
    <row r="18">
      <c r="A18" t="inlineStr">
        <is>
          <t>ADISTARA SRIWIJAYA KONSTRUKSI</t>
        </is>
      </c>
      <c r="B18" t="inlineStr">
        <is>
          <t>Kab. Subang</t>
        </is>
      </c>
      <c r="C18" t="inlineStr">
        <is>
          <t>081220837761</t>
        </is>
      </c>
      <c r="D18" t="inlineStr">
        <is>
          <t>cvadistarasriwijayakonstruksi@gmail.com</t>
        </is>
      </c>
      <c r="E18" t="inlineStr">
        <is>
          <t>https://lpjk.pu.go.id/search-badan-usaha-detail/UEcxUHFGMVFDSVFlTjJHaUwweHpqZz09</t>
        </is>
      </c>
      <c r="F18" t="n">
        <v>4</v>
      </c>
      <c r="G18" t="inlineStr">
        <is>
          <t>BS001, BS004</t>
        </is>
      </c>
      <c r="H18" t="inlineStr">
        <is>
          <t>2 Agustus 2023</t>
        </is>
      </c>
      <c r="I18" s="2" t="n">
        <v>46311</v>
      </c>
      <c r="J18" t="inlineStr">
        <is>
          <t>Pencabutan</t>
        </is>
      </c>
      <c r="K18" t="n">
        <v>30</v>
      </c>
      <c r="L18" t="inlineStr">
        <is>
          <t>16 Oktober 2026</t>
        </is>
      </c>
      <c r="M18" t="inlineStr">
        <is>
          <t>Konstruksi Bangunan Sipil Jalan, Konstruksi Jaringan Irigasi dan Drainase</t>
        </is>
      </c>
      <c r="N18" t="inlineStr">
        <is>
          <t>K</t>
        </is>
      </c>
      <c r="O18" t="inlineStr">
        <is>
          <t>20231010, 20231012</t>
        </is>
      </c>
      <c r="P18" t="inlineStr">
        <is>
          <t>Jawa Barat</t>
        </is>
      </c>
      <c r="Q18" t="inlineStr"/>
    </row>
    <row r="19">
      <c r="A19" t="inlineStr">
        <is>
          <t>AGUNG PORSEA JAYA</t>
        </is>
      </c>
      <c r="B19" t="inlineStr">
        <is>
          <t>Kab. Cilacap</t>
        </is>
      </c>
      <c r="C19" t="inlineStr">
        <is>
          <t>0282542052</t>
        </is>
      </c>
      <c r="D19" t="inlineStr">
        <is>
          <t>agung_porsea_jaya@yahoo.co.id</t>
        </is>
      </c>
      <c r="E19" t="inlineStr">
        <is>
          <t>https://lpjk.pu.go.id/search-badan-usaha-detail/MFpzSU40MC8rVXpzSGNUcnFDQ2VmUT09</t>
        </is>
      </c>
      <c r="F19" t="n">
        <v>12</v>
      </c>
      <c r="G19" t="inlineStr">
        <is>
          <t>BG003, BG004, BG005, BG009, BS001, BS004</t>
        </is>
      </c>
      <c r="H19" t="inlineStr">
        <is>
          <t>11 Maret 2014</t>
        </is>
      </c>
      <c r="I19" s="2" t="n">
        <v>46311</v>
      </c>
      <c r="J19" t="inlineStr">
        <is>
          <t>Disetujui</t>
        </is>
      </c>
      <c r="K19" t="n">
        <v>30</v>
      </c>
      <c r="L19" t="inlineStr">
        <is>
          <t>16 Oktober 2026</t>
        </is>
      </c>
      <c r="M19" t="inlineStr">
        <is>
          <t>Konstruksi Bangunan Sipil Jalan, Konstruksi Gedung Industri, Konstruksi Gedung Kesehatan, Konstruksi Gedung Lainnya, Konstruksi Gedung Perbelanjaan, Konstruksi Jaringan Irigasi dan Drainase</t>
        </is>
      </c>
      <c r="N19" t="inlineStr">
        <is>
          <t>K</t>
        </is>
      </c>
      <c r="O19" t="inlineStr">
        <is>
          <t>20230810, 20231013</t>
        </is>
      </c>
      <c r="P19" t="inlineStr">
        <is>
          <t>Jawa Tengah</t>
        </is>
      </c>
      <c r="Q19" t="inlineStr"/>
    </row>
    <row r="20">
      <c r="A20" t="inlineStr">
        <is>
          <t>AGUNG SAPTI KONSTRUKSI</t>
        </is>
      </c>
      <c r="B20" t="inlineStr">
        <is>
          <t>Kab. Bengkalis</t>
        </is>
      </c>
      <c r="C20" t="inlineStr">
        <is>
          <t>085264694269</t>
        </is>
      </c>
      <c r="D20" t="inlineStr">
        <is>
          <t>agungsapticon2020@gmail.com</t>
        </is>
      </c>
      <c r="E20" t="inlineStr">
        <is>
          <t>https://lpjk.pu.go.id/search-badan-usaha-detail/cmxmNStUbWxRSkJxaG1KNXJ3UHoydz09</t>
        </is>
      </c>
      <c r="F20" t="n">
        <v>2</v>
      </c>
      <c r="G20" t="inlineStr">
        <is>
          <t>BS004</t>
        </is>
      </c>
      <c r="H20" t="inlineStr">
        <is>
          <t>31 Januari 2020</t>
        </is>
      </c>
      <c r="I20" s="2" t="n">
        <v>46311</v>
      </c>
      <c r="J20" t="inlineStr">
        <is>
          <t>Disetujui</t>
        </is>
      </c>
      <c r="K20" t="n">
        <v>30</v>
      </c>
      <c r="L20" t="inlineStr">
        <is>
          <t>16 Oktober 2026</t>
        </is>
      </c>
      <c r="M20" t="inlineStr">
        <is>
          <t>Konstruksi Jaringan Irigasi dan Drainase</t>
        </is>
      </c>
      <c r="N20" t="inlineStr">
        <is>
          <t>K</t>
        </is>
      </c>
      <c r="O20" t="inlineStr">
        <is>
          <t>20231017</t>
        </is>
      </c>
      <c r="P20" t="inlineStr">
        <is>
          <t>Riau</t>
        </is>
      </c>
      <c r="Q20" t="inlineStr"/>
    </row>
    <row r="21">
      <c r="A21" t="inlineStr">
        <is>
          <t>ANGGREK TEKNIK</t>
        </is>
      </c>
      <c r="B21" t="inlineStr">
        <is>
          <t>Kab. Lombok Tengah</t>
        </is>
      </c>
      <c r="C21" t="inlineStr">
        <is>
          <t>08175738507</t>
        </is>
      </c>
      <c r="D21" t="inlineStr">
        <is>
          <t>cvanggrekteknik@gmail.com</t>
        </is>
      </c>
      <c r="E21" t="inlineStr">
        <is>
          <t>https://lpjk.pu.go.id/search-badan-usaha-detail/RW1tQ2Z2ZU5tSHlFeVk0R0NlNUlUZz09</t>
        </is>
      </c>
      <c r="F21" t="n">
        <v>1</v>
      </c>
      <c r="G21" t="inlineStr">
        <is>
          <t>BS004</t>
        </is>
      </c>
      <c r="H21" t="inlineStr">
        <is>
          <t>24 November 2021</t>
        </is>
      </c>
      <c r="I21" s="2" t="n">
        <v>46311</v>
      </c>
      <c r="J21" t="inlineStr">
        <is>
          <t>Pencabutan</t>
        </is>
      </c>
      <c r="K21" t="n">
        <v>30</v>
      </c>
      <c r="L21" t="inlineStr">
        <is>
          <t>16 Oktober 2026</t>
        </is>
      </c>
      <c r="M21" t="inlineStr">
        <is>
          <t>Konstruksi Jaringan Irigasi dan Drainase</t>
        </is>
      </c>
      <c r="N21" t="inlineStr">
        <is>
          <t>K</t>
        </is>
      </c>
      <c r="O21" t="inlineStr">
        <is>
          <t>20231017</t>
        </is>
      </c>
      <c r="P21" t="inlineStr">
        <is>
          <t>Nusa Tenggara Barat</t>
        </is>
      </c>
      <c r="Q21" t="inlineStr"/>
    </row>
    <row r="22">
      <c r="A22" t="inlineStr">
        <is>
          <t>ANGKASA WANA KHATULISTIWA</t>
        </is>
      </c>
      <c r="B22" t="inlineStr">
        <is>
          <t>Kota Pontianak</t>
        </is>
      </c>
      <c r="C22" t="inlineStr">
        <is>
          <t>0811566630</t>
        </is>
      </c>
      <c r="D22" t="inlineStr">
        <is>
          <t>cv.awk19@gmail.com</t>
        </is>
      </c>
      <c r="E22" t="inlineStr">
        <is>
          <t>https://lpjk.pu.go.id/search-badan-usaha-detail/Q1FyaWRYQkExeE5aOXNnM3grVzBNQT09</t>
        </is>
      </c>
      <c r="F22" t="n">
        <v>4</v>
      </c>
      <c r="G22" t="inlineStr">
        <is>
          <t>BS001, BS002</t>
        </is>
      </c>
      <c r="H22" t="inlineStr">
        <is>
          <t>1 Juli 2019</t>
        </is>
      </c>
      <c r="I22" s="2" t="n">
        <v>46311</v>
      </c>
      <c r="J22" t="inlineStr">
        <is>
          <t>Pencabutan</t>
        </is>
      </c>
      <c r="K22" t="n">
        <v>30</v>
      </c>
      <c r="L22" t="inlineStr">
        <is>
          <t>16 Oktober 2026</t>
        </is>
      </c>
      <c r="M22" t="inlineStr">
        <is>
          <t>Bangunan Sipil Jembatan, Jalan Layang, Fly Over, dan Underpass, Konstruksi Bangunan Sipil Jalan</t>
        </is>
      </c>
      <c r="N22" t="inlineStr">
        <is>
          <t>K</t>
        </is>
      </c>
      <c r="O22" t="inlineStr">
        <is>
          <t>20231016, 20231018</t>
        </is>
      </c>
      <c r="P22" t="inlineStr">
        <is>
          <t>Kalimantan Barat</t>
        </is>
      </c>
      <c r="Q22" t="inlineStr"/>
    </row>
    <row r="23">
      <c r="A23" t="inlineStr">
        <is>
          <t>ANJANGSANA UTAMA</t>
        </is>
      </c>
      <c r="B23" t="inlineStr">
        <is>
          <t>Kab. Gresik</t>
        </is>
      </c>
      <c r="C23" t="inlineStr">
        <is>
          <t>08123283944</t>
        </is>
      </c>
      <c r="D23" t="inlineStr">
        <is>
          <t>cvanjangsanautama@gmail.com</t>
        </is>
      </c>
      <c r="E23" t="inlineStr">
        <is>
          <t>https://lpjk.pu.go.id/search-badan-usaha-detail/WWhDLzI0T3RBMitkWStCL3RmS25Qdz09</t>
        </is>
      </c>
      <c r="F23" t="n">
        <v>5</v>
      </c>
      <c r="G23" t="inlineStr">
        <is>
          <t>BG002, BG005, BG006, BG009, BS001</t>
        </is>
      </c>
      <c r="H23" t="inlineStr">
        <is>
          <t>15 Desember 2008</t>
        </is>
      </c>
      <c r="I23" s="2" t="n">
        <v>46311</v>
      </c>
      <c r="J23" t="inlineStr">
        <is>
          <t>Disetujui</t>
        </is>
      </c>
      <c r="K23" t="n">
        <v>30</v>
      </c>
      <c r="L23" t="inlineStr">
        <is>
          <t>16 Oktober 2026</t>
        </is>
      </c>
      <c r="M23" t="inlineStr">
        <is>
          <t>Konstruksi Bangunan Sipil Jalan, Konstruksi Gedung Kesehatan, Konstruksi Gedung Lainnya, Konstruksi Gedung Pendidikan, Konstruksi Gedung Perkantoran</t>
        </is>
      </c>
      <c r="N23" t="inlineStr">
        <is>
          <t>K</t>
        </is>
      </c>
      <c r="O23" t="inlineStr">
        <is>
          <t>20231009, 20231010</t>
        </is>
      </c>
      <c r="P23" t="inlineStr">
        <is>
          <t>Jawa Timur</t>
        </is>
      </c>
      <c r="Q23" t="inlineStr"/>
    </row>
    <row r="24">
      <c r="A24" t="inlineStr">
        <is>
          <t>ANNA DOHAWU PAPUA</t>
        </is>
      </c>
      <c r="B24" t="inlineStr">
        <is>
          <t>Kota Jayapura</t>
        </is>
      </c>
      <c r="C24" t="inlineStr">
        <is>
          <t>082238956999</t>
        </is>
      </c>
      <c r="D24" t="inlineStr">
        <is>
          <t>anadop.jyp@gmail.com</t>
        </is>
      </c>
      <c r="E24" t="inlineStr">
        <is>
          <t>https://lpjk.pu.go.id/search-badan-usaha-detail/UVMwTU9qWFgwcWZtN2prM3crTWtGZz09</t>
        </is>
      </c>
      <c r="F24" t="n">
        <v>1</v>
      </c>
      <c r="G24" t="inlineStr">
        <is>
          <t>BS002</t>
        </is>
      </c>
      <c r="H24" t="inlineStr">
        <is>
          <t>8 Desember 2014</t>
        </is>
      </c>
      <c r="I24" s="2" t="n">
        <v>46311</v>
      </c>
      <c r="J24" t="inlineStr">
        <is>
          <t>Disetujui</t>
        </is>
      </c>
      <c r="K24" t="n">
        <v>30</v>
      </c>
      <c r="L24" t="inlineStr">
        <is>
          <t>16 Oktober 2026</t>
        </is>
      </c>
      <c r="M24" t="inlineStr">
        <is>
          <t>Bangunan Sipil Jembatan, Jalan Layang, Fly Over, dan Underpass</t>
        </is>
      </c>
      <c r="N24" t="inlineStr">
        <is>
          <t>K</t>
        </is>
      </c>
      <c r="O24" t="inlineStr">
        <is>
          <t>20231012</t>
        </is>
      </c>
      <c r="P24" t="inlineStr">
        <is>
          <t>Papua</t>
        </is>
      </c>
      <c r="Q24" t="inlineStr"/>
    </row>
    <row r="25">
      <c r="A25" t="inlineStr">
        <is>
          <t>ANUGERAH MULYA PERKASA ULU BELU</t>
        </is>
      </c>
      <c r="B25" t="inlineStr">
        <is>
          <t>Kab. Tanggamus</t>
        </is>
      </c>
      <c r="C25" t="inlineStr">
        <is>
          <t>081368286333</t>
        </is>
      </c>
      <c r="D25" t="inlineStr">
        <is>
          <t>salesptamp4@gmail.com</t>
        </is>
      </c>
      <c r="E25" t="inlineStr">
        <is>
          <t>https://lpjk.pu.go.id/search-badan-usaha-detail/KzRrYTVkK0xWU2VKZitQVnRtYS8vdz09</t>
        </is>
      </c>
      <c r="F25" t="n">
        <v>1</v>
      </c>
      <c r="G25" t="inlineStr">
        <is>
          <t>BS015</t>
        </is>
      </c>
      <c r="H25" t="inlineStr">
        <is>
          <t>6 Oktober 2016</t>
        </is>
      </c>
      <c r="I25" s="2" t="n">
        <v>46311</v>
      </c>
      <c r="J25" t="inlineStr">
        <is>
          <t>Disetujui</t>
        </is>
      </c>
      <c r="K25" t="n">
        <v>30</v>
      </c>
      <c r="L25" t="inlineStr">
        <is>
          <t>16 Oktober 2026</t>
        </is>
      </c>
      <c r="M25" t="inlineStr">
        <is>
          <t>Konstruksi Bangunan Sipil Panas Bumi</t>
        </is>
      </c>
      <c r="N25" t="inlineStr">
        <is>
          <t>M</t>
        </is>
      </c>
      <c r="O25" t="inlineStr">
        <is>
          <t>20231012</t>
        </is>
      </c>
      <c r="P25" t="inlineStr">
        <is>
          <t>Lampung</t>
        </is>
      </c>
      <c r="Q25" t="inlineStr"/>
    </row>
    <row r="26">
      <c r="A26" t="inlineStr">
        <is>
          <t>ANUGERAH RAHMAT ILAHI</t>
        </is>
      </c>
      <c r="B26" t="inlineStr">
        <is>
          <t>Kota Banjarmasin</t>
        </is>
      </c>
      <c r="C26" t="inlineStr">
        <is>
          <t>-</t>
        </is>
      </c>
      <c r="D26" t="inlineStr">
        <is>
          <t>cvanugerahrahmatilahi@gmail.com</t>
        </is>
      </c>
      <c r="E26" t="inlineStr">
        <is>
          <t>https://lpjk.pu.go.id/search-badan-usaha-detail/ek05Wk5qMUd6NWtDa0dtU241WDBUZz09</t>
        </is>
      </c>
      <c r="F26" t="n">
        <v>5</v>
      </c>
      <c r="G26" t="inlineStr">
        <is>
          <t>BG001, BG002, BG005, BG006, BG009</t>
        </is>
      </c>
      <c r="H26" t="inlineStr">
        <is>
          <t>28 Juni 2021</t>
        </is>
      </c>
      <c r="I26" s="2" t="n">
        <v>46311</v>
      </c>
      <c r="J26" t="inlineStr">
        <is>
          <t>Disetujui</t>
        </is>
      </c>
      <c r="K26" t="n">
        <v>30</v>
      </c>
      <c r="L26" t="inlineStr">
        <is>
          <t>16 Oktober 2026</t>
        </is>
      </c>
      <c r="M26" t="inlineStr">
        <is>
          <t>Konstruksi Gedung Hunian, Konstruksi Gedung Kesehatan, Konstruksi Gedung Lainnya, Konstruksi Gedung Pendidikan, Konstruksi Gedung Perkantoran</t>
        </is>
      </c>
      <c r="N26" t="inlineStr">
        <is>
          <t>K</t>
        </is>
      </c>
      <c r="O26" t="inlineStr">
        <is>
          <t>20231013</t>
        </is>
      </c>
      <c r="P26" t="inlineStr">
        <is>
          <t>Kalimantan Selatan</t>
        </is>
      </c>
      <c r="Q26" t="inlineStr"/>
    </row>
    <row r="27">
      <c r="A27" t="inlineStr">
        <is>
          <t>ANUGRAH BERSAMA</t>
        </is>
      </c>
      <c r="B27" t="inlineStr">
        <is>
          <t>Kab. Bulukumba</t>
        </is>
      </c>
      <c r="C27" t="inlineStr">
        <is>
          <t>082346056777</t>
        </is>
      </c>
      <c r="D27" t="inlineStr">
        <is>
          <t>cv.anugrahbersama@rocketmail.com</t>
        </is>
      </c>
      <c r="E27" t="inlineStr">
        <is>
          <t>https://lpjk.pu.go.id/search-badan-usaha-detail/SVE0SXV0UXBEZkhVUy94d2Y3blZqQT09</t>
        </is>
      </c>
      <c r="F27" t="n">
        <v>14</v>
      </c>
      <c r="G27" t="inlineStr">
        <is>
          <t>BG002, BG004, BG005, BG006, BG007, BS001, BS005</t>
        </is>
      </c>
      <c r="H27" t="inlineStr">
        <is>
          <t>28 April 2004</t>
        </is>
      </c>
      <c r="I27" s="2" t="n">
        <v>46311</v>
      </c>
      <c r="J27" t="inlineStr">
        <is>
          <t>Disetujui</t>
        </is>
      </c>
      <c r="K27" t="n">
        <v>30</v>
      </c>
      <c r="L27" t="inlineStr">
        <is>
          <t>16 Oktober 2026</t>
        </is>
      </c>
      <c r="M27" t="inlineStr">
        <is>
          <t>Konstruksi Bangunan Sipil Jalan, Konstruksi Bangunan Sipil Pengolahan Air Bersih, Konstruksi Gedung Kesehatan, Konstruksi Gedung Pendidikan, Konstruksi Gedung Penginapan, Konstruksi Gedung Perbelanjaan, Konstruksi Gedung Perkantoran</t>
        </is>
      </c>
      <c r="N27" t="inlineStr">
        <is>
          <t>K</t>
        </is>
      </c>
      <c r="O27" t="inlineStr">
        <is>
          <t>20231014</t>
        </is>
      </c>
      <c r="P27" t="inlineStr">
        <is>
          <t>Sulawesi Selatan</t>
        </is>
      </c>
      <c r="Q27" t="inlineStr"/>
    </row>
    <row r="28">
      <c r="A28" t="inlineStr">
        <is>
          <t>ARAFAH RAYA MANDIRI</t>
        </is>
      </c>
      <c r="B28" t="inlineStr">
        <is>
          <t>Kota Medan</t>
        </is>
      </c>
      <c r="C28" t="inlineStr">
        <is>
          <t>085361223650</t>
        </is>
      </c>
      <c r="D28" t="inlineStr">
        <is>
          <t>arafahrayamandiri@gmail.com</t>
        </is>
      </c>
      <c r="E28" t="inlineStr">
        <is>
          <t>https://lpjk.pu.go.id/search-badan-usaha-detail/YjFjcmJESDN3SWpFbDZXaHRoN1pPdz09</t>
        </is>
      </c>
      <c r="F28" t="n">
        <v>6</v>
      </c>
      <c r="G28" t="inlineStr">
        <is>
          <t>BS002, BS004, BS006</t>
        </is>
      </c>
      <c r="H28" t="inlineStr">
        <is>
          <t>24 Agustus 2019</t>
        </is>
      </c>
      <c r="I28" s="2" t="n">
        <v>46311</v>
      </c>
      <c r="J28" t="inlineStr">
        <is>
          <t>Disetujui</t>
        </is>
      </c>
      <c r="K28" t="n">
        <v>30</v>
      </c>
      <c r="L28" t="inlineStr">
        <is>
          <t>16 Oktober 2026</t>
        </is>
      </c>
      <c r="M28" t="inlineStr">
        <is>
          <t>Bangunan Sipil Jembatan, Jalan Layang, Fly Over, dan Underpass, Konstruksi Bangunan Sipil Prasarana dan Sarana Sistem Pengolahan Limbah Padat, Cair, dan Gas, Konstruksi Jaringan Irigasi dan Drainase</t>
        </is>
      </c>
      <c r="N28" t="inlineStr">
        <is>
          <t>K</t>
        </is>
      </c>
      <c r="O28" t="inlineStr">
        <is>
          <t>20230907</t>
        </is>
      </c>
      <c r="P28" t="inlineStr">
        <is>
          <t>Sumatera Utara</t>
        </is>
      </c>
      <c r="Q28" t="inlineStr"/>
    </row>
    <row r="29">
      <c r="A29" t="inlineStr">
        <is>
          <t>ARGA PILAR INDONESIA</t>
        </is>
      </c>
      <c r="B29" t="inlineStr">
        <is>
          <t>Kota Bandung</t>
        </is>
      </c>
      <c r="C29" t="inlineStr">
        <is>
          <t>08112104558</t>
        </is>
      </c>
      <c r="D29" t="inlineStr">
        <is>
          <t>pt.argapilarindonesia@gmail.com</t>
        </is>
      </c>
      <c r="E29" t="inlineStr">
        <is>
          <t>https://lpjk.pu.go.id/search-badan-usaha-detail/am53RU5MeW5hL1Zodm96STFCQVI1Zz09</t>
        </is>
      </c>
      <c r="F29" t="n">
        <v>3</v>
      </c>
      <c r="G29" t="inlineStr">
        <is>
          <t>BS001, BS002, BS004</t>
        </is>
      </c>
      <c r="H29" t="inlineStr">
        <is>
          <t>27 Juli 2023</t>
        </is>
      </c>
      <c r="I29" s="2" t="n">
        <v>46311</v>
      </c>
      <c r="J29" t="inlineStr">
        <is>
          <t>Disetujui</t>
        </is>
      </c>
      <c r="K29" t="n">
        <v>30</v>
      </c>
      <c r="L29" t="inlineStr">
        <is>
          <t>16 Oktober 2026</t>
        </is>
      </c>
      <c r="M29" t="inlineStr">
        <is>
          <t>Bangunan Sipil Jembatan, Jalan Layang, Fly Over, dan Underpass, Konstruksi Bangunan Sipil Jalan, Konstruksi Jaringan Irigasi dan Drainase</t>
        </is>
      </c>
      <c r="N29" t="inlineStr">
        <is>
          <t>K</t>
        </is>
      </c>
      <c r="O29" t="inlineStr">
        <is>
          <t>20231017</t>
        </is>
      </c>
      <c r="P29" t="inlineStr">
        <is>
          <t>Jawa Barat</t>
        </is>
      </c>
      <c r="Q29" t="inlineStr"/>
    </row>
    <row r="30">
      <c r="A30" t="inlineStr">
        <is>
          <t>ARKA PUTRA MANDIRI</t>
        </is>
      </c>
      <c r="B30" t="inlineStr">
        <is>
          <t>Kab. Tegal</t>
        </is>
      </c>
      <c r="C30" t="inlineStr">
        <is>
          <t>0817295222</t>
        </is>
      </c>
      <c r="D30" t="inlineStr">
        <is>
          <t>cv.arkaputramandiri@gmail.com</t>
        </is>
      </c>
      <c r="E30" t="inlineStr">
        <is>
          <t>https://lpjk.pu.go.id/search-badan-usaha-detail/Ymg2REc5RHA1bTNZeDRjRmpkY1lxUT09</t>
        </is>
      </c>
      <c r="F30" t="n">
        <v>3</v>
      </c>
      <c r="G30" t="inlineStr">
        <is>
          <t>BG002, BG006, BS001</t>
        </is>
      </c>
      <c r="H30" t="inlineStr">
        <is>
          <t>22 Januari 2008</t>
        </is>
      </c>
      <c r="I30" s="2" t="n">
        <v>46311</v>
      </c>
      <c r="J30" t="inlineStr">
        <is>
          <t>Disetujui</t>
        </is>
      </c>
      <c r="K30" t="n">
        <v>30</v>
      </c>
      <c r="L30" t="inlineStr">
        <is>
          <t>16 Oktober 2026</t>
        </is>
      </c>
      <c r="M30" t="inlineStr">
        <is>
          <t>Konstruksi Bangunan Sipil Jalan, Konstruksi Gedung Pendidikan, Konstruksi Gedung Perkantoran</t>
        </is>
      </c>
      <c r="N30" t="inlineStr">
        <is>
          <t>K</t>
        </is>
      </c>
      <c r="O30" t="inlineStr">
        <is>
          <t>20231015, 20231016</t>
        </is>
      </c>
      <c r="P30" t="inlineStr">
        <is>
          <t>Jawa Tengah</t>
        </is>
      </c>
      <c r="Q30" t="inlineStr"/>
    </row>
    <row r="31">
      <c r="A31" t="inlineStr">
        <is>
          <t>AURA</t>
        </is>
      </c>
      <c r="B31" t="inlineStr">
        <is>
          <t>Kota Samarinda</t>
        </is>
      </c>
      <c r="C31" t="inlineStr">
        <is>
          <t>081283780827</t>
        </is>
      </c>
      <c r="D31" t="inlineStr">
        <is>
          <t>cv.aurasmd2018@gmail.com</t>
        </is>
      </c>
      <c r="E31" t="inlineStr">
        <is>
          <t>https://lpjk.pu.go.id/search-badan-usaha-detail/SFJuQWtUUVBsK25naytnTEl1NW5NQT09</t>
        </is>
      </c>
      <c r="F31" t="n">
        <v>1</v>
      </c>
      <c r="G31" t="inlineStr">
        <is>
          <t>BS004</t>
        </is>
      </c>
      <c r="H31" t="inlineStr">
        <is>
          <t>16 November 2018</t>
        </is>
      </c>
      <c r="I31" s="2" t="n">
        <v>46311</v>
      </c>
      <c r="J31" t="inlineStr">
        <is>
          <t>Disetujui</t>
        </is>
      </c>
      <c r="K31" t="n">
        <v>30</v>
      </c>
      <c r="L31" t="inlineStr">
        <is>
          <t>16 Oktober 2026</t>
        </is>
      </c>
      <c r="M31" t="inlineStr">
        <is>
          <t>Konstruksi Jaringan Irigasi dan Drainase</t>
        </is>
      </c>
      <c r="N31" t="inlineStr">
        <is>
          <t>K</t>
        </is>
      </c>
      <c r="O31" t="inlineStr">
        <is>
          <t>20231015</t>
        </is>
      </c>
      <c r="P31" t="inlineStr">
        <is>
          <t>Kalimantan Timur</t>
        </is>
      </c>
      <c r="Q31" t="inlineStr"/>
    </row>
    <row r="32">
      <c r="A32" t="inlineStr">
        <is>
          <t>AYA KARYA MANDIRI</t>
        </is>
      </c>
      <c r="B32" t="inlineStr">
        <is>
          <t>Kab. Bandung</t>
        </is>
      </c>
      <c r="C32" t="inlineStr">
        <is>
          <t>081222208588</t>
        </is>
      </c>
      <c r="D32" t="inlineStr">
        <is>
          <t>cv.ayakaryamandiri@gmail.com</t>
        </is>
      </c>
      <c r="E32" t="inlineStr">
        <is>
          <t>https://lpjk.pu.go.id/search-badan-usaha-detail/clZTTUo4bjJ4cGF2WjJhL0V3RUhQUT09</t>
        </is>
      </c>
      <c r="F32" t="n">
        <v>1</v>
      </c>
      <c r="G32" t="inlineStr">
        <is>
          <t>BS001</t>
        </is>
      </c>
      <c r="H32" t="inlineStr">
        <is>
          <t>10 Agustus 2021</t>
        </is>
      </c>
      <c r="I32" s="2" t="n">
        <v>46311</v>
      </c>
      <c r="J32" t="inlineStr">
        <is>
          <t>Disetujui</t>
        </is>
      </c>
      <c r="K32" t="n">
        <v>30</v>
      </c>
      <c r="L32" t="inlineStr">
        <is>
          <t>16 Oktober 2026</t>
        </is>
      </c>
      <c r="M32" t="inlineStr">
        <is>
          <t>Konstruksi Bangunan Sipil Jalan</t>
        </is>
      </c>
      <c r="N32" t="inlineStr">
        <is>
          <t>K</t>
        </is>
      </c>
      <c r="O32" t="inlineStr">
        <is>
          <t>20231016</t>
        </is>
      </c>
      <c r="P32" t="inlineStr">
        <is>
          <t>Jawa Barat</t>
        </is>
      </c>
      <c r="Q32" t="inlineStr"/>
    </row>
    <row r="33">
      <c r="A33" t="inlineStr">
        <is>
          <t>BANGUN KINARYA CONSULTANT</t>
        </is>
      </c>
      <c r="B33" t="inlineStr">
        <is>
          <t>Kab. Berau</t>
        </is>
      </c>
      <c r="C33" t="inlineStr">
        <is>
          <t>0811595667</t>
        </is>
      </c>
      <c r="D33" t="inlineStr">
        <is>
          <t>erwinanandalubis@yahoo.co.id</t>
        </is>
      </c>
      <c r="E33" t="inlineStr">
        <is>
          <t>https://lpjk.pu.go.id/search-badan-usaha-detail/MXJRRU1IM3Uzd0dKMXp5UmtkSjE4Zz09</t>
        </is>
      </c>
      <c r="F33" t="n">
        <v>4</v>
      </c>
      <c r="G33" t="inlineStr">
        <is>
          <t>RK001, RK002, RK003, RK005</t>
        </is>
      </c>
      <c r="H33" t="inlineStr">
        <is>
          <t>3 Februari 2003</t>
        </is>
      </c>
      <c r="I33" s="2" t="n">
        <v>46311</v>
      </c>
      <c r="J33" t="inlineStr">
        <is>
          <t>Disetujui</t>
        </is>
      </c>
      <c r="K33" t="n">
        <v>30</v>
      </c>
      <c r="L33" t="inlineStr">
        <is>
          <t>16 Oktober 2026</t>
        </is>
      </c>
      <c r="M33" t="inlineStr">
        <is>
          <t>Jasa Rekayasa Konstruksi Bangunan Gedung Hunian dan Non Hunian, Jasa Rekayasa Lainnya, Jasa Rekayasa Pekerjaan Teknik Sipil Sumber Daya Air, Jasa Rekayasa Pekerjaan Teknik Sipil Transportasi</t>
        </is>
      </c>
      <c r="N33" t="inlineStr">
        <is>
          <t>K</t>
        </is>
      </c>
      <c r="O33" t="inlineStr">
        <is>
          <t>20231012</t>
        </is>
      </c>
      <c r="P33" t="inlineStr">
        <is>
          <t>Kalimantan Timur</t>
        </is>
      </c>
      <c r="Q33" t="inlineStr"/>
    </row>
    <row r="34">
      <c r="A34" t="inlineStr">
        <is>
          <t>BANGUN SEJAHTERA</t>
        </is>
      </c>
      <c r="B34" t="inlineStr">
        <is>
          <t>Kab. Nganjuk</t>
        </is>
      </c>
      <c r="C34" t="inlineStr">
        <is>
          <t>081359234569</t>
        </is>
      </c>
      <c r="D34" t="inlineStr">
        <is>
          <t>cvbangunsejahtera66@gmail.com</t>
        </is>
      </c>
      <c r="E34" t="inlineStr">
        <is>
          <t>https://lpjk.pu.go.id/search-badan-usaha-detail/eWZZV3VKeGRYYTNqTWdkbFhvdUtUQT09</t>
        </is>
      </c>
      <c r="F34" t="n">
        <v>5</v>
      </c>
      <c r="G34" t="inlineStr">
        <is>
          <t>BG005, BG008, BG009, BS001, BS005</t>
        </is>
      </c>
      <c r="H34" t="inlineStr">
        <is>
          <t>19 Januari 2015</t>
        </is>
      </c>
      <c r="I34" s="2" t="n">
        <v>46311</v>
      </c>
      <c r="J34" t="inlineStr">
        <is>
          <t>Disetujui</t>
        </is>
      </c>
      <c r="K34" t="n">
        <v>30</v>
      </c>
      <c r="L34" t="inlineStr">
        <is>
          <t>16 Oktober 2026</t>
        </is>
      </c>
      <c r="M34" t="inlineStr">
        <is>
          <t>Konstruksi Bangunan Sipil Jalan, Konstruksi Bangunan Sipil Pengolahan Air Bersih, Konstruksi Gedung Kesehatan, Konstruksi Gedung Lainnya, Konstruksi Gedung Tempat Hiburan dan Olahraga</t>
        </is>
      </c>
      <c r="N34" t="inlineStr">
        <is>
          <t>K</t>
        </is>
      </c>
      <c r="O34" t="inlineStr">
        <is>
          <t>20231013</t>
        </is>
      </c>
      <c r="P34" t="inlineStr">
        <is>
          <t>Jawa Timur</t>
        </is>
      </c>
      <c r="Q34" t="inlineStr"/>
    </row>
    <row r="35">
      <c r="A35" t="inlineStr">
        <is>
          <t>BERKAH GEMILANG SAKTI</t>
        </is>
      </c>
      <c r="B35" t="inlineStr">
        <is>
          <t>Kota Palembang</t>
        </is>
      </c>
      <c r="C35" t="inlineStr">
        <is>
          <t>085273100123</t>
        </is>
      </c>
      <c r="D35" t="inlineStr">
        <is>
          <t>ptberkahgsakti@gmail.com</t>
        </is>
      </c>
      <c r="E35" t="inlineStr">
        <is>
          <t>https://lpjk.pu.go.id/search-badan-usaha-detail/SHhIZXVzd0FYOUJBcTRkQW02bEVkUT09</t>
        </is>
      </c>
      <c r="F35" t="n">
        <v>2</v>
      </c>
      <c r="G35" t="inlineStr">
        <is>
          <t>BS001</t>
        </is>
      </c>
      <c r="H35" t="inlineStr">
        <is>
          <t>15 Januari 2019</t>
        </is>
      </c>
      <c r="I35" s="2" t="n">
        <v>46311</v>
      </c>
      <c r="J35" t="inlineStr">
        <is>
          <t>Pencabutan</t>
        </is>
      </c>
      <c r="K35" t="n">
        <v>30</v>
      </c>
      <c r="L35" t="inlineStr">
        <is>
          <t>16 Oktober 2026</t>
        </is>
      </c>
      <c r="M35" t="inlineStr">
        <is>
          <t>Konstruksi Bangunan Sipil Jalan</t>
        </is>
      </c>
      <c r="N35" t="inlineStr">
        <is>
          <t>M</t>
        </is>
      </c>
      <c r="O35" t="inlineStr">
        <is>
          <t>20231012</t>
        </is>
      </c>
      <c r="P35" t="inlineStr">
        <is>
          <t>Sumatera Selatan</t>
        </is>
      </c>
      <c r="Q35" t="inlineStr"/>
    </row>
    <row r="36">
      <c r="A36" t="inlineStr">
        <is>
          <t>BHINNEKA CITRA PRIMA</t>
        </is>
      </c>
      <c r="B36" t="inlineStr">
        <is>
          <t>Kota Yogyakarta</t>
        </is>
      </c>
      <c r="C36" t="inlineStr">
        <is>
          <t>0274513977</t>
        </is>
      </c>
      <c r="D36" t="inlineStr">
        <is>
          <t>bcp_jogja@yahoo.com</t>
        </is>
      </c>
      <c r="E36" t="inlineStr">
        <is>
          <t>https://lpjk.pu.go.id/search-badan-usaha-detail/cEVFUkVUbGoyeXk4NlcvcHFwalcrZz09</t>
        </is>
      </c>
      <c r="F36" t="n">
        <v>1</v>
      </c>
      <c r="G36" t="inlineStr">
        <is>
          <t>BG004</t>
        </is>
      </c>
      <c r="H36" t="inlineStr">
        <is>
          <t>11 September 1990</t>
        </is>
      </c>
      <c r="I36" s="2" t="n">
        <v>46311</v>
      </c>
      <c r="J36" t="inlineStr">
        <is>
          <t>Disetujui</t>
        </is>
      </c>
      <c r="K36" t="n">
        <v>30</v>
      </c>
      <c r="L36" t="inlineStr">
        <is>
          <t>16 Oktober 2026</t>
        </is>
      </c>
      <c r="M36" t="inlineStr">
        <is>
          <t>Konstruksi Gedung Perbelanjaan</t>
        </is>
      </c>
      <c r="N36" t="inlineStr">
        <is>
          <t>M</t>
        </is>
      </c>
      <c r="O36" t="inlineStr">
        <is>
          <t>20191230</t>
        </is>
      </c>
      <c r="P36" t="inlineStr">
        <is>
          <t>DI Yogyakarta</t>
        </is>
      </c>
      <c r="Q36" t="inlineStr"/>
    </row>
    <row r="37">
      <c r="A37" t="inlineStr">
        <is>
          <t>BINTANG MUARA GROUP</t>
        </is>
      </c>
      <c r="B37" t="inlineStr">
        <is>
          <t>Kota Adm. Jakarta Utara</t>
        </is>
      </c>
      <c r="C37" t="inlineStr">
        <is>
          <t>0214361606</t>
        </is>
      </c>
      <c r="D37" t="inlineStr">
        <is>
          <t>bintangmuarapjk@gmail.com</t>
        </is>
      </c>
      <c r="E37" t="inlineStr">
        <is>
          <t>https://lpjk.pu.go.id/search-badan-usaha-detail/UjJkSzNzaVUrYmpqVXAvOGhhbFh5UT09</t>
        </is>
      </c>
      <c r="F37" t="n">
        <v>2</v>
      </c>
      <c r="G37" t="inlineStr">
        <is>
          <t>BS001</t>
        </is>
      </c>
      <c r="H37" t="inlineStr">
        <is>
          <t>21 Mei 2003</t>
        </is>
      </c>
      <c r="I37" s="2" t="n">
        <v>46311</v>
      </c>
      <c r="J37" t="inlineStr">
        <is>
          <t>Pembekuan</t>
        </is>
      </c>
      <c r="K37" t="n">
        <v>30</v>
      </c>
      <c r="L37" t="inlineStr">
        <is>
          <t>16 Oktober 2026</t>
        </is>
      </c>
      <c r="M37" t="inlineStr">
        <is>
          <t>Konstruksi Bangunan Sipil Jalan</t>
        </is>
      </c>
      <c r="N37" t="inlineStr">
        <is>
          <t>M</t>
        </is>
      </c>
      <c r="O37" t="inlineStr">
        <is>
          <t>20231017</t>
        </is>
      </c>
      <c r="P37" t="inlineStr">
        <is>
          <t>DKI Jakarta</t>
        </is>
      </c>
      <c r="Q37" t="inlineStr"/>
    </row>
    <row r="38">
      <c r="A38" t="inlineStr">
        <is>
          <t>BUMI TIGARAKSA</t>
        </is>
      </c>
      <c r="B38" t="inlineStr">
        <is>
          <t>Kab. Tangerang</t>
        </is>
      </c>
      <c r="C38" t="inlineStr">
        <is>
          <t>08128736297</t>
        </is>
      </c>
      <c r="D38" t="inlineStr">
        <is>
          <t>cv.bumitigaraksa@gmail.com</t>
        </is>
      </c>
      <c r="E38" t="inlineStr">
        <is>
          <t>https://lpjk.pu.go.id/search-badan-usaha-detail/RVFFd0hhNFNIOFpXa1FZbDgzZmdQZz09</t>
        </is>
      </c>
      <c r="F38" t="n">
        <v>1</v>
      </c>
      <c r="G38" t="inlineStr">
        <is>
          <t>BG009</t>
        </is>
      </c>
      <c r="H38" t="inlineStr">
        <is>
          <t>30 Agustus 2002</t>
        </is>
      </c>
      <c r="I38" s="2" t="n">
        <v>46311</v>
      </c>
      <c r="J38" t="inlineStr">
        <is>
          <t>Disetujui</t>
        </is>
      </c>
      <c r="K38" t="n">
        <v>30</v>
      </c>
      <c r="L38" t="inlineStr">
        <is>
          <t>16 Oktober 2026</t>
        </is>
      </c>
      <c r="M38" t="inlineStr">
        <is>
          <t>Konstruksi Gedung Lainnya</t>
        </is>
      </c>
      <c r="N38" t="inlineStr">
        <is>
          <t>K</t>
        </is>
      </c>
      <c r="O38" t="inlineStr">
        <is>
          <t>20231011</t>
        </is>
      </c>
      <c r="P38" t="inlineStr">
        <is>
          <t>Banten</t>
        </is>
      </c>
      <c r="Q38" t="inlineStr"/>
    </row>
    <row r="39">
      <c r="A39" t="inlineStr">
        <is>
          <t>CAHAYA SITTI NURLILLY</t>
        </is>
      </c>
      <c r="B39" t="inlineStr">
        <is>
          <t>Kota Makassar</t>
        </is>
      </c>
      <c r="C39" t="inlineStr">
        <is>
          <t>081245275529</t>
        </is>
      </c>
      <c r="D39" t="inlineStr">
        <is>
          <t>indarjaya11@gmail.com</t>
        </is>
      </c>
      <c r="E39" t="inlineStr">
        <is>
          <t>https://lpjk.pu.go.id/search-badan-usaha-detail/MkRoanN3clppRmErUXZ4RGM0YVpaZz09</t>
        </is>
      </c>
      <c r="F39" t="n">
        <v>2</v>
      </c>
      <c r="G39" t="inlineStr">
        <is>
          <t>BG001, BS001</t>
        </is>
      </c>
      <c r="H39" t="inlineStr">
        <is>
          <t>20 November 2017</t>
        </is>
      </c>
      <c r="I39" s="2" t="n">
        <v>46311</v>
      </c>
      <c r="J39" t="inlineStr">
        <is>
          <t>Disetujui</t>
        </is>
      </c>
      <c r="K39" t="n">
        <v>30</v>
      </c>
      <c r="L39" t="inlineStr">
        <is>
          <t>16 Oktober 2026</t>
        </is>
      </c>
      <c r="M39" t="inlineStr">
        <is>
          <t>Konstruksi Bangunan Sipil Jalan, Konstruksi Gedung Hunian</t>
        </is>
      </c>
      <c r="N39" t="inlineStr">
        <is>
          <t>K</t>
        </is>
      </c>
      <c r="O39" t="inlineStr">
        <is>
          <t>20231010</t>
        </is>
      </c>
      <c r="P39" t="inlineStr">
        <is>
          <t>Sulawesi Selatan</t>
        </is>
      </c>
      <c r="Q39" t="inlineStr"/>
    </row>
    <row r="40">
      <c r="A40" t="inlineStr">
        <is>
          <t>CAKA ANUGRAH MANDIRI</t>
        </is>
      </c>
      <c r="B40" t="inlineStr">
        <is>
          <t>Kota Makassar</t>
        </is>
      </c>
      <c r="C40" t="inlineStr">
        <is>
          <t>0811467390</t>
        </is>
      </c>
      <c r="D40" t="inlineStr">
        <is>
          <t>cam_mks@yahoo.co.id</t>
        </is>
      </c>
      <c r="E40" t="inlineStr">
        <is>
          <t>https://lpjk.pu.go.id/search-badan-usaha-detail/TEFBMFlLb2pVdkVzc2tIZEZQdWF0Zz09</t>
        </is>
      </c>
      <c r="F40" t="n">
        <v>2</v>
      </c>
      <c r="G40" t="inlineStr">
        <is>
          <t>BG001, BG002</t>
        </is>
      </c>
      <c r="H40" t="inlineStr">
        <is>
          <t>19 Mei 2022</t>
        </is>
      </c>
      <c r="I40" s="2" t="n">
        <v>46311</v>
      </c>
      <c r="J40" t="inlineStr">
        <is>
          <t>Disetujui</t>
        </is>
      </c>
      <c r="K40" t="n">
        <v>30</v>
      </c>
      <c r="L40" t="inlineStr">
        <is>
          <t>16 Oktober 2026</t>
        </is>
      </c>
      <c r="M40" t="inlineStr">
        <is>
          <t>Konstruksi Gedung Hunian, Konstruksi Gedung Perkantoran</t>
        </is>
      </c>
      <c r="N40" t="inlineStr">
        <is>
          <t>K</t>
        </is>
      </c>
      <c r="O40" t="inlineStr">
        <is>
          <t>20231013</t>
        </is>
      </c>
      <c r="P40" t="inlineStr">
        <is>
          <t>Sulawesi Selatan</t>
        </is>
      </c>
      <c r="Q40" t="inlineStr"/>
    </row>
    <row r="41">
      <c r="A41" t="inlineStr">
        <is>
          <t>CATUR GUNA KARYA</t>
        </is>
      </c>
      <c r="B41" t="inlineStr">
        <is>
          <t>Kab. Cilacap</t>
        </is>
      </c>
      <c r="C41" t="inlineStr">
        <is>
          <t>0282 546634</t>
        </is>
      </c>
      <c r="D41" t="inlineStr">
        <is>
          <t>cv.caturgunakarya@gmail.com</t>
        </is>
      </c>
      <c r="E41" t="inlineStr">
        <is>
          <t>https://lpjk.pu.go.id/search-badan-usaha-detail/VDVBaFE5U0cxbTJVWjlFaWFIbVdNQT09</t>
        </is>
      </c>
      <c r="F41" t="n">
        <v>2</v>
      </c>
      <c r="G41" t="inlineStr">
        <is>
          <t>BG002, BG006</t>
        </is>
      </c>
      <c r="H41" t="inlineStr">
        <is>
          <t>7 Februari 1990</t>
        </is>
      </c>
      <c r="I41" s="2" t="n">
        <v>46311</v>
      </c>
      <c r="J41" t="inlineStr">
        <is>
          <t>Disetujui</t>
        </is>
      </c>
      <c r="K41" t="n">
        <v>30</v>
      </c>
      <c r="L41" t="inlineStr">
        <is>
          <t>16 Oktober 2026</t>
        </is>
      </c>
      <c r="M41" t="inlineStr">
        <is>
          <t>Konstruksi Gedung Pendidikan, Konstruksi Gedung Perkantoran</t>
        </is>
      </c>
      <c r="N41" t="inlineStr">
        <is>
          <t>K</t>
        </is>
      </c>
      <c r="O41" t="inlineStr">
        <is>
          <t>20231016</t>
        </is>
      </c>
      <c r="P41" t="inlineStr">
        <is>
          <t>Jawa Tengah</t>
        </is>
      </c>
      <c r="Q41" t="inlineStr"/>
    </row>
    <row r="42">
      <c r="A42" t="inlineStr">
        <is>
          <t>CATUR KARSA INKRISUBA</t>
        </is>
      </c>
      <c r="B42" t="inlineStr">
        <is>
          <t>Kab. Probolinggo</t>
        </is>
      </c>
      <c r="C42" t="inlineStr">
        <is>
          <t>0335771666</t>
        </is>
      </c>
      <c r="D42" t="inlineStr">
        <is>
          <t>caturkarsainkrisuba@gmail.com</t>
        </is>
      </c>
      <c r="E42" t="inlineStr">
        <is>
          <t>https://lpjk.pu.go.id/search-badan-usaha-detail/WDZYUUR1YkdEeDFjaGdsUzN4N1FhUT09</t>
        </is>
      </c>
      <c r="F42" t="n">
        <v>1</v>
      </c>
      <c r="G42" t="inlineStr">
        <is>
          <t>BG009</t>
        </is>
      </c>
      <c r="H42" t="inlineStr">
        <is>
          <t>11 Juni 1996</t>
        </is>
      </c>
      <c r="I42" s="2" t="n">
        <v>46311</v>
      </c>
      <c r="J42" t="inlineStr">
        <is>
          <t>Disetujui</t>
        </is>
      </c>
      <c r="K42" t="n">
        <v>30</v>
      </c>
      <c r="L42" t="inlineStr">
        <is>
          <t>16 Oktober 2026</t>
        </is>
      </c>
      <c r="M42" t="inlineStr">
        <is>
          <t>Konstruksi Gedung Lainnya</t>
        </is>
      </c>
      <c r="N42" t="inlineStr">
        <is>
          <t>K</t>
        </is>
      </c>
      <c r="O42" t="inlineStr">
        <is>
          <t>20231016</t>
        </is>
      </c>
      <c r="P42" t="inlineStr">
        <is>
          <t>Jawa Timur</t>
        </is>
      </c>
      <c r="Q42" t="inlineStr"/>
    </row>
    <row r="43">
      <c r="A43" t="inlineStr">
        <is>
          <t>CHANDRA SETYA KARYA</t>
        </is>
      </c>
      <c r="B43" t="inlineStr">
        <is>
          <t>Kab. Tuban</t>
        </is>
      </c>
      <c r="C43" t="inlineStr">
        <is>
          <t>081357504828</t>
        </is>
      </c>
      <c r="D43" t="inlineStr">
        <is>
          <t>chandrasetyakaryapt@gmail.com</t>
        </is>
      </c>
      <c r="E43" t="inlineStr">
        <is>
          <t>https://lpjk.pu.go.id/search-badan-usaha-detail/eVhuQXVKcURHb3l1QkhybGFFbWhqZz09</t>
        </is>
      </c>
      <c r="F43" t="n">
        <v>1</v>
      </c>
      <c r="G43" t="inlineStr">
        <is>
          <t>PL002</t>
        </is>
      </c>
      <c r="H43" t="inlineStr">
        <is>
          <t>23 November 2018</t>
        </is>
      </c>
      <c r="I43" s="2" t="n">
        <v>46311</v>
      </c>
      <c r="J43" t="inlineStr">
        <is>
          <t>Pencabutan</t>
        </is>
      </c>
      <c r="K43" t="n">
        <v>30</v>
      </c>
      <c r="L43" t="inlineStr">
        <is>
          <t>16 Oktober 2026</t>
        </is>
      </c>
      <c r="M43" t="inlineStr">
        <is>
          <t>Pengerukan</t>
        </is>
      </c>
      <c r="N43" t="inlineStr">
        <is>
          <t>Spesialis</t>
        </is>
      </c>
      <c r="O43" t="inlineStr">
        <is>
          <t>20231017</t>
        </is>
      </c>
      <c r="P43" t="inlineStr">
        <is>
          <t>Jawa Timur</t>
        </is>
      </c>
      <c r="Q43" t="inlineStr"/>
    </row>
    <row r="44">
      <c r="A44" t="inlineStr">
        <is>
          <t>CIPTA KARYA SOLUSINDO</t>
        </is>
      </c>
      <c r="B44" t="inlineStr">
        <is>
          <t>Kota Tangerang Selatan</t>
        </is>
      </c>
      <c r="C44" t="inlineStr">
        <is>
          <t>02153124802</t>
        </is>
      </c>
      <c r="D44" t="inlineStr">
        <is>
          <t>ciptakaryasolusindo@yahoo.com</t>
        </is>
      </c>
      <c r="E44" t="inlineStr">
        <is>
          <t>https://lpjk.pu.go.id/search-badan-usaha-detail/VVlEZksrUlBlSVJUeEpmWGkzT2FjUT09</t>
        </is>
      </c>
      <c r="F44" t="n">
        <v>6</v>
      </c>
      <c r="G44" t="inlineStr">
        <is>
          <t>BG003</t>
        </is>
      </c>
      <c r="H44" t="inlineStr">
        <is>
          <t>13 Desember 2011</t>
        </is>
      </c>
      <c r="I44" s="2" t="n">
        <v>46311</v>
      </c>
      <c r="J44" t="inlineStr">
        <is>
          <t>Pembekuan</t>
        </is>
      </c>
      <c r="K44" t="n">
        <v>30</v>
      </c>
      <c r="L44" t="inlineStr">
        <is>
          <t>16 Oktober 2026</t>
        </is>
      </c>
      <c r="M44" t="inlineStr">
        <is>
          <t>Konstruksi Gedung Industri</t>
        </is>
      </c>
      <c r="N44" t="inlineStr">
        <is>
          <t>M</t>
        </is>
      </c>
      <c r="O44" t="inlineStr">
        <is>
          <t>20230911</t>
        </is>
      </c>
      <c r="P44" t="inlineStr">
        <is>
          <t>Banten</t>
        </is>
      </c>
      <c r="Q44" t="inlineStr"/>
    </row>
    <row r="45">
      <c r="A45" t="inlineStr">
        <is>
          <t>CIPTA KIRANA RAYA</t>
        </is>
      </c>
      <c r="B45" t="inlineStr">
        <is>
          <t>Kab. Nganjuk</t>
        </is>
      </c>
      <c r="C45" t="inlineStr">
        <is>
          <t>082138888990</t>
        </is>
      </c>
      <c r="D45" t="inlineStr">
        <is>
          <t>ciptakiranaraya@gmail.com</t>
        </is>
      </c>
      <c r="E45" t="inlineStr">
        <is>
          <t>https://lpjk.pu.go.id/search-badan-usaha-detail/d2JsbXYrSFhqNWxBNnFKdTJLeGpidz09</t>
        </is>
      </c>
      <c r="F45" t="n">
        <v>1</v>
      </c>
      <c r="G45" t="inlineStr">
        <is>
          <t>BG006</t>
        </is>
      </c>
      <c r="H45" t="inlineStr">
        <is>
          <t>8 Maret 2023</t>
        </is>
      </c>
      <c r="I45" s="2" t="n">
        <v>46311</v>
      </c>
      <c r="J45" t="inlineStr">
        <is>
          <t>Disetujui</t>
        </is>
      </c>
      <c r="K45" t="n">
        <v>30</v>
      </c>
      <c r="L45" t="inlineStr">
        <is>
          <t>16 Oktober 2026</t>
        </is>
      </c>
      <c r="M45" t="inlineStr">
        <is>
          <t>Konstruksi Gedung Pendidikan</t>
        </is>
      </c>
      <c r="N45" t="inlineStr">
        <is>
          <t>K</t>
        </is>
      </c>
      <c r="O45" t="inlineStr">
        <is>
          <t>20231017</t>
        </is>
      </c>
      <c r="P45" t="inlineStr">
        <is>
          <t>Jawa Timur</t>
        </is>
      </c>
      <c r="Q45" t="inlineStr"/>
    </row>
    <row r="46">
      <c r="A46" t="inlineStr">
        <is>
          <t>CITA SELARAS MANDIRI</t>
        </is>
      </c>
      <c r="B46" t="inlineStr">
        <is>
          <t>Kota Yogyakarta</t>
        </is>
      </c>
      <c r="C46" t="inlineStr">
        <is>
          <t>085100336016</t>
        </is>
      </c>
      <c r="D46" t="inlineStr">
        <is>
          <t>selaras.cita@yahoo.co.id</t>
        </is>
      </c>
      <c r="E46" t="inlineStr">
        <is>
          <t>https://lpjk.pu.go.id/search-badan-usaha-detail/cXRyUDN4d2dKWmdJNTI0cUc1S2xXQT09</t>
        </is>
      </c>
      <c r="F46" t="n">
        <v>1</v>
      </c>
      <c r="G46" t="inlineStr">
        <is>
          <t>PL005</t>
        </is>
      </c>
      <c r="H46" t="inlineStr">
        <is>
          <t>8 Maret 2002</t>
        </is>
      </c>
      <c r="I46" s="2" t="n">
        <v>46311</v>
      </c>
      <c r="J46" t="inlineStr">
        <is>
          <t>Pembekuan</t>
        </is>
      </c>
      <c r="K46" t="n">
        <v>30</v>
      </c>
      <c r="L46" t="inlineStr">
        <is>
          <t>16 Oktober 2026</t>
        </is>
      </c>
      <c r="M46" t="inlineStr">
        <is>
          <t>Pembuatan/Pengeboran Sumur Air Tanah</t>
        </is>
      </c>
      <c r="N46" t="inlineStr">
        <is>
          <t>Spesialis</t>
        </is>
      </c>
      <c r="O46" t="inlineStr">
        <is>
          <t>20231016</t>
        </is>
      </c>
      <c r="P46" t="inlineStr">
        <is>
          <t>DI Yogyakarta</t>
        </is>
      </c>
      <c r="Q46" t="inlineStr"/>
    </row>
    <row r="47">
      <c r="A47" t="inlineStr">
        <is>
          <t>DARMA JAYA KONTRAKTOR</t>
        </is>
      </c>
      <c r="B47" t="inlineStr">
        <is>
          <t>Kab. Gianyar</t>
        </is>
      </c>
      <c r="C47" t="inlineStr">
        <is>
          <t>087765149900</t>
        </is>
      </c>
      <c r="D47" t="inlineStr">
        <is>
          <t>darmajaya.kontraktor@gmail.com</t>
        </is>
      </c>
      <c r="E47" t="inlineStr">
        <is>
          <t>https://lpjk.pu.go.id/search-badan-usaha-detail/bm5QMGg5UVVMd1dDRVA4QURHMXJFQT09</t>
        </is>
      </c>
      <c r="F47" t="n">
        <v>3</v>
      </c>
      <c r="G47" t="inlineStr">
        <is>
          <t>BG001, BG002, BG007</t>
        </is>
      </c>
      <c r="H47" t="inlineStr">
        <is>
          <t>22 Juni 2023</t>
        </is>
      </c>
      <c r="I47" s="2" t="n">
        <v>46311</v>
      </c>
      <c r="J47" t="inlineStr">
        <is>
          <t>Disetujui</t>
        </is>
      </c>
      <c r="K47" t="n">
        <v>30</v>
      </c>
      <c r="L47" t="inlineStr">
        <is>
          <t>16 Oktober 2026</t>
        </is>
      </c>
      <c r="M47" t="inlineStr">
        <is>
          <t>Konstruksi Gedung Hunian, Konstruksi Gedung Penginapan, Konstruksi Gedung Perkantoran</t>
        </is>
      </c>
      <c r="N47" t="inlineStr">
        <is>
          <t>K</t>
        </is>
      </c>
      <c r="O47" t="inlineStr">
        <is>
          <t>20231016</t>
        </is>
      </c>
      <c r="P47" t="inlineStr">
        <is>
          <t>Bali</t>
        </is>
      </c>
      <c r="Q47" t="inlineStr"/>
    </row>
    <row r="48">
      <c r="A48" t="inlineStr">
        <is>
          <t>DEWA ELANG PERKASA</t>
        </is>
      </c>
      <c r="B48" t="inlineStr">
        <is>
          <t>Kab. Empat Lawang</t>
        </is>
      </c>
      <c r="C48" t="inlineStr">
        <is>
          <t>082183763603</t>
        </is>
      </c>
      <c r="D48" t="inlineStr">
        <is>
          <t>elangperkasadewa@gmail.com</t>
        </is>
      </c>
      <c r="E48" t="inlineStr">
        <is>
          <t>https://lpjk.pu.go.id/search-badan-usaha-detail/N3NaeEhyYjFTK1pGNm1VVkFKOWpMZz09</t>
        </is>
      </c>
      <c r="F48" t="n">
        <v>2</v>
      </c>
      <c r="G48" t="inlineStr">
        <is>
          <t>BS001, BS004</t>
        </is>
      </c>
      <c r="H48" t="inlineStr">
        <is>
          <t>4 Oktober 2023</t>
        </is>
      </c>
      <c r="I48" s="2" t="n">
        <v>46311</v>
      </c>
      <c r="J48" t="inlineStr">
        <is>
          <t>Disetujui</t>
        </is>
      </c>
      <c r="K48" t="n">
        <v>30</v>
      </c>
      <c r="L48" t="inlineStr">
        <is>
          <t>16 Oktober 2026</t>
        </is>
      </c>
      <c r="M48" t="inlineStr">
        <is>
          <t>Konstruksi Bangunan Sipil Jalan, Konstruksi Jaringan Irigasi dan Drainase</t>
        </is>
      </c>
      <c r="N48" t="inlineStr">
        <is>
          <t>K</t>
        </is>
      </c>
      <c r="O48" t="inlineStr">
        <is>
          <t>20231014</t>
        </is>
      </c>
      <c r="P48" t="inlineStr">
        <is>
          <t>Sumatera Selatan</t>
        </is>
      </c>
      <c r="Q48" t="inlineStr"/>
    </row>
    <row r="49">
      <c r="A49" t="inlineStr">
        <is>
          <t>DIAN CAHAYA</t>
        </is>
      </c>
      <c r="B49" t="inlineStr">
        <is>
          <t>Kota Tangerang</t>
        </is>
      </c>
      <c r="C49" t="inlineStr">
        <is>
          <t>085888404199</t>
        </is>
      </c>
      <c r="D49" t="inlineStr">
        <is>
          <t>cv.dianchy@gmail.com</t>
        </is>
      </c>
      <c r="E49" t="inlineStr">
        <is>
          <t>https://lpjk.pu.go.id/search-badan-usaha-detail/MmUvNGcrUUQyRmFiZDBsS0pJc01yQT09</t>
        </is>
      </c>
      <c r="F49" t="n">
        <v>1</v>
      </c>
      <c r="G49" t="inlineStr">
        <is>
          <t>BG009</t>
        </is>
      </c>
      <c r="H49" t="inlineStr">
        <is>
          <t>12 Desember 2022</t>
        </is>
      </c>
      <c r="I49" s="2" t="n">
        <v>46311</v>
      </c>
      <c r="J49" t="inlineStr">
        <is>
          <t>Disetujui</t>
        </is>
      </c>
      <c r="K49" t="n">
        <v>30</v>
      </c>
      <c r="L49" t="inlineStr">
        <is>
          <t>16 Oktober 2026</t>
        </is>
      </c>
      <c r="M49" t="inlineStr">
        <is>
          <t>Konstruksi Gedung Lainnya</t>
        </is>
      </c>
      <c r="N49" t="inlineStr">
        <is>
          <t>K</t>
        </is>
      </c>
      <c r="O49" t="inlineStr">
        <is>
          <t>20231016</t>
        </is>
      </c>
      <c r="P49" t="inlineStr">
        <is>
          <t>Banten</t>
        </is>
      </c>
      <c r="Q49" t="inlineStr"/>
    </row>
    <row r="50">
      <c r="A50" t="inlineStr">
        <is>
          <t>DIAN RIZKI SANTOSA</t>
        </is>
      </c>
      <c r="B50" t="inlineStr">
        <is>
          <t>Kota Adm. Jakarta Pusat</t>
        </is>
      </c>
      <c r="C50" t="inlineStr">
        <is>
          <t>0213102528</t>
        </is>
      </c>
      <c r="D50" t="inlineStr">
        <is>
          <t>dianrizkisantosa@yahoo.com</t>
        </is>
      </c>
      <c r="E50" t="inlineStr">
        <is>
          <t>https://lpjk.pu.go.id/search-badan-usaha-detail/TUZtS09UNUdFWDZITDN3dk9iNXZHdz09</t>
        </is>
      </c>
      <c r="F50" t="n">
        <v>4</v>
      </c>
      <c r="G50" t="inlineStr">
        <is>
          <t>BG001, BG002, BG005, BG006</t>
        </is>
      </c>
      <c r="H50" t="inlineStr">
        <is>
          <t>16 November 2010</t>
        </is>
      </c>
      <c r="I50" s="2" t="n">
        <v>46311</v>
      </c>
      <c r="J50" t="inlineStr">
        <is>
          <t>Disetujui</t>
        </is>
      </c>
      <c r="K50" t="n">
        <v>30</v>
      </c>
      <c r="L50" t="inlineStr">
        <is>
          <t>16 Oktober 2026</t>
        </is>
      </c>
      <c r="M50" t="inlineStr">
        <is>
          <t>Konstruksi Gedung Hunian, Konstruksi Gedung Kesehatan, Konstruksi Gedung Pendidikan, Konstruksi Gedung Perkantoran</t>
        </is>
      </c>
      <c r="N50" t="inlineStr">
        <is>
          <t>K</t>
        </is>
      </c>
      <c r="O50" t="inlineStr">
        <is>
          <t>20231011, 20231013</t>
        </is>
      </c>
      <c r="P50" t="inlineStr">
        <is>
          <t>DKI Jakarta</t>
        </is>
      </c>
      <c r="Q50" t="inlineStr"/>
    </row>
    <row r="51">
      <c r="A51" t="inlineStr">
        <is>
          <t>DUTA UNGGUL</t>
        </is>
      </c>
      <c r="B51" t="inlineStr">
        <is>
          <t>Kab. Malang</t>
        </is>
      </c>
      <c r="C51" t="inlineStr">
        <is>
          <t>083834987465</t>
        </is>
      </c>
      <c r="D51" t="inlineStr">
        <is>
          <t>duta.unggul01@gmail.com</t>
        </is>
      </c>
      <c r="E51" t="inlineStr">
        <is>
          <t>https://lpjk.pu.go.id/search-badan-usaha-detail/M2hNUVgrdzJXV0FzU1NHcVhObHFiZz09</t>
        </is>
      </c>
      <c r="F51" t="n">
        <v>1</v>
      </c>
      <c r="G51" t="inlineStr">
        <is>
          <t>BS001</t>
        </is>
      </c>
      <c r="H51" t="inlineStr">
        <is>
          <t>25 September 2023</t>
        </is>
      </c>
      <c r="I51" s="2" t="n">
        <v>46311</v>
      </c>
      <c r="J51" t="inlineStr">
        <is>
          <t>Disetujui</t>
        </is>
      </c>
      <c r="K51" t="n">
        <v>30</v>
      </c>
      <c r="L51" t="inlineStr">
        <is>
          <t>16 Oktober 2026</t>
        </is>
      </c>
      <c r="M51" t="inlineStr">
        <is>
          <t>Konstruksi Bangunan Sipil Jalan</t>
        </is>
      </c>
      <c r="N51" t="inlineStr">
        <is>
          <t>K</t>
        </is>
      </c>
      <c r="O51" t="inlineStr">
        <is>
          <t>20231012</t>
        </is>
      </c>
      <c r="P51" t="inlineStr">
        <is>
          <t>Jawa Timur</t>
        </is>
      </c>
      <c r="Q51" t="inlineStr"/>
    </row>
    <row r="52">
      <c r="A52" t="inlineStr">
        <is>
          <t>EDI RANTI JAYA</t>
        </is>
      </c>
      <c r="B52" t="inlineStr">
        <is>
          <t>Kota Semarang</t>
        </is>
      </c>
      <c r="C52" t="inlineStr">
        <is>
          <t>085740797734</t>
        </is>
      </c>
      <c r="D52" t="inlineStr">
        <is>
          <t>ediranti18@gmail.com</t>
        </is>
      </c>
      <c r="E52" t="inlineStr">
        <is>
          <t>https://lpjk.pu.go.id/search-badan-usaha-detail/UEh3RWhqanVsZjl1c3ZhKzBzSnMxQT09</t>
        </is>
      </c>
      <c r="F52" t="n">
        <v>4</v>
      </c>
      <c r="G52" t="inlineStr">
        <is>
          <t>BG002, BG005, BG006, BS001</t>
        </is>
      </c>
      <c r="H52" t="inlineStr">
        <is>
          <t>4 Januari 2017</t>
        </is>
      </c>
      <c r="I52" s="2" t="n">
        <v>46311</v>
      </c>
      <c r="J52" t="inlineStr">
        <is>
          <t>Disetujui</t>
        </is>
      </c>
      <c r="K52" t="n">
        <v>30</v>
      </c>
      <c r="L52" t="inlineStr">
        <is>
          <t>16 Oktober 2026</t>
        </is>
      </c>
      <c r="M52" t="inlineStr">
        <is>
          <t>Konstruksi Bangunan Sipil Jalan, Konstruksi Gedung Kesehatan, Konstruksi Gedung Pendidikan, Konstruksi Gedung Perkantoran</t>
        </is>
      </c>
      <c r="N52" t="inlineStr">
        <is>
          <t>K</t>
        </is>
      </c>
      <c r="O52" t="inlineStr">
        <is>
          <t>20230927</t>
        </is>
      </c>
      <c r="P52" t="inlineStr">
        <is>
          <t>Jawa Tengah</t>
        </is>
      </c>
      <c r="Q52" t="inlineStr"/>
    </row>
    <row r="53">
      <c r="A53" t="inlineStr">
        <is>
          <t>ENDIKO</t>
        </is>
      </c>
      <c r="B53" t="inlineStr">
        <is>
          <t>Kab. Subang</t>
        </is>
      </c>
      <c r="C53" t="inlineStr">
        <is>
          <t>085220973154</t>
        </is>
      </c>
      <c r="D53" t="inlineStr">
        <is>
          <t>cvendiko379@gmail.com</t>
        </is>
      </c>
      <c r="E53" t="inlineStr">
        <is>
          <t>https://lpjk.pu.go.id/search-badan-usaha-detail/WEY3R0IvdGs3N082eVdlN3ZVSmJHdz09</t>
        </is>
      </c>
      <c r="F53" t="n">
        <v>1</v>
      </c>
      <c r="G53" t="inlineStr">
        <is>
          <t>BS010</t>
        </is>
      </c>
      <c r="H53" t="inlineStr">
        <is>
          <t>22 Juni 2012</t>
        </is>
      </c>
      <c r="I53" s="2" t="n">
        <v>46311</v>
      </c>
      <c r="J53" t="inlineStr">
        <is>
          <t>Pencabutan</t>
        </is>
      </c>
      <c r="K53" t="n">
        <v>30</v>
      </c>
      <c r="L53" t="inlineStr">
        <is>
          <t>16 Oktober 2026</t>
        </is>
      </c>
      <c r="M53" t="inlineStr">
        <is>
          <t>Konstruksi Bangunan Prasarana Sumber Daya Air</t>
        </is>
      </c>
      <c r="N53" t="inlineStr">
        <is>
          <t>K</t>
        </is>
      </c>
      <c r="O53" t="inlineStr">
        <is>
          <t>20231015</t>
        </is>
      </c>
      <c r="P53" t="inlineStr">
        <is>
          <t>Jawa Barat</t>
        </is>
      </c>
      <c r="Q53" t="inlineStr"/>
    </row>
    <row r="54">
      <c r="A54" t="inlineStr">
        <is>
          <t>GALAKSI</t>
        </is>
      </c>
      <c r="B54" t="inlineStr">
        <is>
          <t>Kab. Bondowoso</t>
        </is>
      </c>
      <c r="C54" t="inlineStr">
        <is>
          <t>082335360027</t>
        </is>
      </c>
      <c r="D54" t="inlineStr">
        <is>
          <t>cv_galaksi@yahoo.co.id</t>
        </is>
      </c>
      <c r="E54" t="inlineStr">
        <is>
          <t>https://lpjk.pu.go.id/search-badan-usaha-detail/RStaMHBPT1hHeldNVUpOU3RmazFwZz09</t>
        </is>
      </c>
      <c r="F54" t="n">
        <v>8</v>
      </c>
      <c r="G54" t="inlineStr">
        <is>
          <t>BG001, BG005, BG006, BG008, BG009, BS001, BS004, BS005</t>
        </is>
      </c>
      <c r="H54" t="inlineStr">
        <is>
          <t>9 September 1999</t>
        </is>
      </c>
      <c r="I54" s="2" t="n">
        <v>46311</v>
      </c>
      <c r="J54" t="inlineStr">
        <is>
          <t>Disetujui</t>
        </is>
      </c>
      <c r="K54" t="n">
        <v>30</v>
      </c>
      <c r="L54" t="inlineStr">
        <is>
          <t>16 Oktober 2026</t>
        </is>
      </c>
      <c r="M54" t="inlineStr">
        <is>
          <t>Konstruksi Bangunan Sipil Jalan, Konstruksi Bangunan Sipil Pengolahan Air Bersih, Konstruksi Gedung Hunian, Konstruksi Gedung Kesehatan, Konstruksi Gedung Lainnya, Konstruksi Gedung Pendidikan, Konstruksi Gedung Tempat Hiburan dan Olahraga, Konstruksi Jaringan Irigasi dan Drainase</t>
        </is>
      </c>
      <c r="N54" t="inlineStr">
        <is>
          <t>K</t>
        </is>
      </c>
      <c r="O54" t="inlineStr">
        <is>
          <t>20231009, 20231013, 20231017</t>
        </is>
      </c>
      <c r="P54" t="inlineStr">
        <is>
          <t>Jawa Timur</t>
        </is>
      </c>
      <c r="Q54" t="inlineStr"/>
    </row>
    <row r="55">
      <c r="A55" t="inlineStr">
        <is>
          <t>GREEN AMOLE</t>
        </is>
      </c>
      <c r="B55" t="inlineStr">
        <is>
          <t>Kab. Kutai Timur</t>
        </is>
      </c>
      <c r="C55" t="inlineStr">
        <is>
          <t>085334778855</t>
        </is>
      </c>
      <c r="D55" t="inlineStr">
        <is>
          <t>Greenamolec@gmail.com</t>
        </is>
      </c>
      <c r="E55" t="inlineStr">
        <is>
          <t>https://lpjk.pu.go.id/search-badan-usaha-detail/RTVaTHVpUFJacDUwVGl0Yjh6YkxqQT09</t>
        </is>
      </c>
      <c r="F55" t="n">
        <v>2</v>
      </c>
      <c r="G55" t="inlineStr">
        <is>
          <t>BS001</t>
        </is>
      </c>
      <c r="H55" t="inlineStr">
        <is>
          <t>1 September 2023</t>
        </is>
      </c>
      <c r="I55" s="2" t="n">
        <v>46311</v>
      </c>
      <c r="J55" t="inlineStr">
        <is>
          <t>Disetujui</t>
        </is>
      </c>
      <c r="K55" t="n">
        <v>30</v>
      </c>
      <c r="L55" t="inlineStr">
        <is>
          <t>16 Oktober 2026</t>
        </is>
      </c>
      <c r="M55" t="inlineStr">
        <is>
          <t>Konstruksi Bangunan Sipil Jalan</t>
        </is>
      </c>
      <c r="N55" t="inlineStr">
        <is>
          <t>K</t>
        </is>
      </c>
      <c r="O55" t="inlineStr">
        <is>
          <t>20231017</t>
        </is>
      </c>
      <c r="P55" t="inlineStr">
        <is>
          <t>Kalimantan Timur</t>
        </is>
      </c>
      <c r="Q55" t="inlineStr"/>
    </row>
    <row r="56">
      <c r="A56" t="inlineStr">
        <is>
          <t>HANA HANIFA PERSADA</t>
        </is>
      </c>
      <c r="B56" t="inlineStr">
        <is>
          <t>Kab. Kolaka Utara</t>
        </is>
      </c>
      <c r="C56" t="inlineStr">
        <is>
          <t>085256002622</t>
        </is>
      </c>
      <c r="D56" t="inlineStr">
        <is>
          <t>cvhanahanifa@gmail.com</t>
        </is>
      </c>
      <c r="E56" t="inlineStr">
        <is>
          <t>https://lpjk.pu.go.id/search-badan-usaha-detail/cXB4Z09lWVE5UU9QSkJzN2xRYnhEUT09</t>
        </is>
      </c>
      <c r="F56" t="n">
        <v>4</v>
      </c>
      <c r="G56" t="inlineStr">
        <is>
          <t>BG002, BG006, BS001, BS004</t>
        </is>
      </c>
      <c r="H56" t="inlineStr">
        <is>
          <t>15 Februari 2022</t>
        </is>
      </c>
      <c r="I56" s="2" t="n">
        <v>46311</v>
      </c>
      <c r="J56" t="inlineStr">
        <is>
          <t>Disetujui</t>
        </is>
      </c>
      <c r="K56" t="n">
        <v>30</v>
      </c>
      <c r="L56" t="inlineStr">
        <is>
          <t>16 Oktober 2026</t>
        </is>
      </c>
      <c r="M56" t="inlineStr">
        <is>
          <t>Konstruksi Bangunan Sipil Jalan, Konstruksi Gedung Pendidikan, Konstruksi Gedung Perkantoran, Konstruksi Jaringan Irigasi dan Drainase</t>
        </is>
      </c>
      <c r="N56" t="inlineStr">
        <is>
          <t>K</t>
        </is>
      </c>
      <c r="O56" t="inlineStr">
        <is>
          <t>20231012, 20231013</t>
        </is>
      </c>
      <c r="P56" t="inlineStr">
        <is>
          <t>Sulawesi Tenggara</t>
        </is>
      </c>
      <c r="Q56" t="inlineStr"/>
    </row>
    <row r="57">
      <c r="A57" t="inlineStr">
        <is>
          <t>HANATA</t>
        </is>
      </c>
      <c r="B57" t="inlineStr">
        <is>
          <t>Kota Samarinda</t>
        </is>
      </c>
      <c r="C57" t="inlineStr">
        <is>
          <t>08125803556</t>
        </is>
      </c>
      <c r="D57" t="inlineStr">
        <is>
          <t>hanataconsultant@gmail.com</t>
        </is>
      </c>
      <c r="E57" t="inlineStr">
        <is>
          <t>https://lpjk.pu.go.id/search-badan-usaha-detail/SnFUbDlvR2JTaThuUk5zcTgrS3RTZz09</t>
        </is>
      </c>
      <c r="F57" t="n">
        <v>1</v>
      </c>
      <c r="G57" t="inlineStr">
        <is>
          <t>RK003</t>
        </is>
      </c>
      <c r="H57" t="inlineStr">
        <is>
          <t>26 Januari 2005</t>
        </is>
      </c>
      <c r="I57" s="2" t="n">
        <v>46311</v>
      </c>
      <c r="J57" t="inlineStr">
        <is>
          <t>Disetujui</t>
        </is>
      </c>
      <c r="K57" t="n">
        <v>30</v>
      </c>
      <c r="L57" t="inlineStr">
        <is>
          <t>16 Oktober 2026</t>
        </is>
      </c>
      <c r="M57" t="inlineStr">
        <is>
          <t>Jasa Rekayasa Pekerjaan Teknik Sipil Transportasi</t>
        </is>
      </c>
      <c r="N57" t="inlineStr">
        <is>
          <t>B</t>
        </is>
      </c>
      <c r="O57" t="inlineStr">
        <is>
          <t>20231009</t>
        </is>
      </c>
      <c r="P57" t="inlineStr">
        <is>
          <t>Kalimantan Timur</t>
        </is>
      </c>
      <c r="Q57" t="inlineStr"/>
    </row>
    <row r="58">
      <c r="A58" t="inlineStr">
        <is>
          <t>HANI</t>
        </is>
      </c>
      <c r="B58" t="inlineStr">
        <is>
          <t>Kota Payakumbuh</t>
        </is>
      </c>
      <c r="C58" t="inlineStr">
        <is>
          <t>085274633860</t>
        </is>
      </c>
      <c r="D58" t="inlineStr">
        <is>
          <t>hanikontraktor@gmail.com</t>
        </is>
      </c>
      <c r="E58" t="inlineStr">
        <is>
          <t>https://lpjk.pu.go.id/search-badan-usaha-detail/MVBUaGlGV3U5cG5lTHYvb3RsVUM1UT09</t>
        </is>
      </c>
      <c r="F58" t="n">
        <v>2</v>
      </c>
      <c r="G58" t="inlineStr">
        <is>
          <t>BS001, BS004</t>
        </is>
      </c>
      <c r="H58" t="inlineStr">
        <is>
          <t>22 Januari 2008</t>
        </is>
      </c>
      <c r="I58" s="2" t="n">
        <v>46311</v>
      </c>
      <c r="J58" t="inlineStr">
        <is>
          <t>Disetujui, Pencabutan</t>
        </is>
      </c>
      <c r="K58" t="n">
        <v>30</v>
      </c>
      <c r="L58" t="inlineStr">
        <is>
          <t>16 Oktober 2026</t>
        </is>
      </c>
      <c r="M58" t="inlineStr">
        <is>
          <t>Konstruksi Bangunan Sipil Jalan, Konstruksi Jaringan Irigasi dan Drainase</t>
        </is>
      </c>
      <c r="N58" t="inlineStr">
        <is>
          <t>K</t>
        </is>
      </c>
      <c r="O58" t="inlineStr">
        <is>
          <t>20231017, 20231023</t>
        </is>
      </c>
      <c r="P58" t="inlineStr">
        <is>
          <t>Sumatera Barat</t>
        </is>
      </c>
      <c r="Q58" t="inlineStr"/>
    </row>
    <row r="59">
      <c r="A59" t="inlineStr">
        <is>
          <t>HARTA RAYA</t>
        </is>
      </c>
      <c r="B59" t="inlineStr">
        <is>
          <t>Kab. Bandung</t>
        </is>
      </c>
      <c r="C59" t="inlineStr">
        <is>
          <t>081312040415</t>
        </is>
      </c>
      <c r="D59" t="inlineStr">
        <is>
          <t>hartarayacv@gmail.com</t>
        </is>
      </c>
      <c r="E59" t="inlineStr">
        <is>
          <t>https://lpjk.pu.go.id/search-badan-usaha-detail/aUwxOE5IcTZxQTh4R3BFWjg3cS9EUT09</t>
        </is>
      </c>
      <c r="F59" t="n">
        <v>2</v>
      </c>
      <c r="G59" t="inlineStr">
        <is>
          <t>BS001, BS004</t>
        </is>
      </c>
      <c r="H59" t="inlineStr">
        <is>
          <t>18 Januari 2018</t>
        </is>
      </c>
      <c r="I59" s="2" t="n">
        <v>46311</v>
      </c>
      <c r="J59" t="inlineStr">
        <is>
          <t>Disetujui</t>
        </is>
      </c>
      <c r="K59" t="n">
        <v>30</v>
      </c>
      <c r="L59" t="inlineStr">
        <is>
          <t>16 Oktober 2026</t>
        </is>
      </c>
      <c r="M59" t="inlineStr">
        <is>
          <t>Konstruksi Bangunan Sipil Jalan, Konstruksi Jaringan Irigasi dan Drainase</t>
        </is>
      </c>
      <c r="N59" t="inlineStr">
        <is>
          <t>K</t>
        </is>
      </c>
      <c r="O59" t="inlineStr">
        <is>
          <t>20231015, 20231016</t>
        </is>
      </c>
      <c r="P59" t="inlineStr">
        <is>
          <t>Jawa Barat</t>
        </is>
      </c>
      <c r="Q59" t="inlineStr"/>
    </row>
    <row r="60">
      <c r="A60" t="inlineStr">
        <is>
          <t>HERANANDA SURYA PRATAMA</t>
        </is>
      </c>
      <c r="B60" t="inlineStr">
        <is>
          <t>Kota Samarinda</t>
        </is>
      </c>
      <c r="C60" t="inlineStr">
        <is>
          <t>081258380790</t>
        </is>
      </c>
      <c r="D60" t="inlineStr">
        <is>
          <t>heranandasuryapratamasmd@gmail.com</t>
        </is>
      </c>
      <c r="E60" t="inlineStr">
        <is>
          <t>https://lpjk.pu.go.id/search-badan-usaha-detail/RUcxakY3UjZpK3hub1g4UXVDbUc1UT09</t>
        </is>
      </c>
      <c r="F60" t="n">
        <v>2</v>
      </c>
      <c r="G60" t="inlineStr">
        <is>
          <t>BS001</t>
        </is>
      </c>
      <c r="H60" t="inlineStr">
        <is>
          <t>6 April 2017</t>
        </is>
      </c>
      <c r="I60" s="2" t="n">
        <v>46311</v>
      </c>
      <c r="J60" t="inlineStr">
        <is>
          <t>Disetujui</t>
        </is>
      </c>
      <c r="K60" t="n">
        <v>30</v>
      </c>
      <c r="L60" t="inlineStr">
        <is>
          <t>16 Oktober 2026</t>
        </is>
      </c>
      <c r="M60" t="inlineStr">
        <is>
          <t>Konstruksi Bangunan Sipil Jalan</t>
        </is>
      </c>
      <c r="N60" t="inlineStr">
        <is>
          <t>M</t>
        </is>
      </c>
      <c r="O60" t="inlineStr">
        <is>
          <t>20231012</t>
        </is>
      </c>
      <c r="P60" t="inlineStr">
        <is>
          <t>Kalimantan Timur</t>
        </is>
      </c>
      <c r="Q60" t="inlineStr"/>
    </row>
    <row r="61">
      <c r="A61" t="inlineStr">
        <is>
          <t>HIJRA AMANAH PROPERTY</t>
        </is>
      </c>
      <c r="B61" t="inlineStr">
        <is>
          <t>Kab. Garut</t>
        </is>
      </c>
      <c r="C61" t="inlineStr">
        <is>
          <t>081296073172</t>
        </is>
      </c>
      <c r="D61" t="inlineStr">
        <is>
          <t>pt.hijraamanahproperty@gmail.com</t>
        </is>
      </c>
      <c r="E61" t="inlineStr">
        <is>
          <t>https://lpjk.pu.go.id/search-badan-usaha-detail/V2xlRUhISHpLdllJUzJTRjMralg1Zz09</t>
        </is>
      </c>
      <c r="F61" t="n">
        <v>1</v>
      </c>
      <c r="G61" t="inlineStr">
        <is>
          <t>BG001</t>
        </is>
      </c>
      <c r="H61" t="inlineStr">
        <is>
          <t>13 September 2023</t>
        </is>
      </c>
      <c r="I61" s="2" t="n">
        <v>46311</v>
      </c>
      <c r="J61" t="inlineStr">
        <is>
          <t>Disetujui</t>
        </is>
      </c>
      <c r="K61" t="n">
        <v>30</v>
      </c>
      <c r="L61" t="inlineStr">
        <is>
          <t>16 Oktober 2026</t>
        </is>
      </c>
      <c r="M61" t="inlineStr">
        <is>
          <t>Konstruksi Gedung Hunian</t>
        </is>
      </c>
      <c r="N61" t="inlineStr">
        <is>
          <t>K</t>
        </is>
      </c>
      <c r="O61" t="inlineStr">
        <is>
          <t>20231012</t>
        </is>
      </c>
      <c r="P61" t="inlineStr">
        <is>
          <t>Jawa Barat</t>
        </is>
      </c>
      <c r="Q61" t="inlineStr"/>
    </row>
    <row r="62">
      <c r="A62" t="inlineStr">
        <is>
          <t>INTERIOR DESIGN PRODUCT</t>
        </is>
      </c>
      <c r="B62" t="inlineStr">
        <is>
          <t>Kota Balikpapan</t>
        </is>
      </c>
      <c r="C62" t="inlineStr">
        <is>
          <t>085718259885</t>
        </is>
      </c>
      <c r="D62" t="inlineStr">
        <is>
          <t>pt.interiordesignproduct@gmail.com</t>
        </is>
      </c>
      <c r="E62" t="inlineStr">
        <is>
          <t>https://lpjk.pu.go.id/search-badan-usaha-detail/bzVyYVQwTmp5ajVscUhpN2x6VFlYZz09</t>
        </is>
      </c>
      <c r="F62" t="n">
        <v>3</v>
      </c>
      <c r="G62" t="inlineStr">
        <is>
          <t>BG001, BG009, PB004</t>
        </is>
      </c>
      <c r="H62" t="inlineStr">
        <is>
          <t>30 Oktober 2009</t>
        </is>
      </c>
      <c r="I62" s="2" t="n">
        <v>46311</v>
      </c>
      <c r="J62" t="inlineStr">
        <is>
          <t>Pembekuan, Pencabutan</t>
        </is>
      </c>
      <c r="K62" t="n">
        <v>30</v>
      </c>
      <c r="L62" t="inlineStr">
        <is>
          <t>16 Oktober 2026</t>
        </is>
      </c>
      <c r="M62" t="inlineStr">
        <is>
          <t>Dekorasi Interior, Konstruksi Gedung Hunian, Konstruksi Gedung Lainnya</t>
        </is>
      </c>
      <c r="N62" t="inlineStr">
        <is>
          <t>M, Spesialis</t>
        </is>
      </c>
      <c r="O62" t="inlineStr">
        <is>
          <t>20231006, 20231012</t>
        </is>
      </c>
      <c r="P62" t="inlineStr">
        <is>
          <t>Kalimantan Timur</t>
        </is>
      </c>
      <c r="Q62" t="inlineStr"/>
    </row>
    <row r="63">
      <c r="A63" t="inlineStr">
        <is>
          <t>INTRA MAJU INDONESIA</t>
        </is>
      </c>
      <c r="B63" t="inlineStr">
        <is>
          <t>Kota Tangerang</t>
        </is>
      </c>
      <c r="C63" t="inlineStr">
        <is>
          <t>7328999</t>
        </is>
      </c>
      <c r="D63" t="inlineStr">
        <is>
          <t>INTRAMAJU2007@gmail.com</t>
        </is>
      </c>
      <c r="E63" t="inlineStr">
        <is>
          <t>https://lpjk.pu.go.id/search-badan-usaha-detail/YWRqbWp5WFdkRnV5VzUrV1VteU5WQT09</t>
        </is>
      </c>
      <c r="F63" t="n">
        <v>1</v>
      </c>
      <c r="G63" t="inlineStr">
        <is>
          <t>BG004</t>
        </is>
      </c>
      <c r="H63" t="inlineStr">
        <is>
          <t>23 Februari 2007</t>
        </is>
      </c>
      <c r="I63" s="2" t="n">
        <v>46311</v>
      </c>
      <c r="J63" t="inlineStr">
        <is>
          <t>Disetujui</t>
        </is>
      </c>
      <c r="K63" t="n">
        <v>30</v>
      </c>
      <c r="L63" t="inlineStr">
        <is>
          <t>16 Oktober 2026</t>
        </is>
      </c>
      <c r="M63" t="inlineStr">
        <is>
          <t>Konstruksi Gedung Perbelanjaan</t>
        </is>
      </c>
      <c r="N63" t="inlineStr">
        <is>
          <t>K</t>
        </is>
      </c>
      <c r="O63" t="inlineStr">
        <is>
          <t>20231009</t>
        </is>
      </c>
      <c r="P63" t="inlineStr">
        <is>
          <t>Banten</t>
        </is>
      </c>
      <c r="Q63" t="inlineStr"/>
    </row>
    <row r="64">
      <c r="A64" t="inlineStr">
        <is>
          <t>KALIMAYA</t>
        </is>
      </c>
      <c r="B64" t="inlineStr">
        <is>
          <t>Kab. Barito Kuala</t>
        </is>
      </c>
      <c r="C64" t="inlineStr">
        <is>
          <t>081349080789</t>
        </is>
      </c>
      <c r="D64" t="inlineStr">
        <is>
          <t>effendibachtiar23@yahoo.co.id</t>
        </is>
      </c>
      <c r="E64" t="inlineStr">
        <is>
          <t>https://lpjk.pu.go.id/search-badan-usaha-detail/MVRFKzFYOVV1OWRsODNva2dLNnBnUT09</t>
        </is>
      </c>
      <c r="F64" t="n">
        <v>9</v>
      </c>
      <c r="G64" t="inlineStr">
        <is>
          <t>BG002, BS001, BS002</t>
        </is>
      </c>
      <c r="H64" t="inlineStr">
        <is>
          <t>13 Januari 2010</t>
        </is>
      </c>
      <c r="I64" s="2" t="n">
        <v>46311</v>
      </c>
      <c r="J64" t="inlineStr">
        <is>
          <t>Disetujui</t>
        </is>
      </c>
      <c r="K64" t="n">
        <v>30</v>
      </c>
      <c r="L64" t="inlineStr">
        <is>
          <t>16 Oktober 2026</t>
        </is>
      </c>
      <c r="M64" t="inlineStr">
        <is>
          <t>Bangunan Sipil Jembatan, Jalan Layang, Fly Over, dan Underpass, Konstruksi Bangunan Sipil Jalan, Konstruksi Gedung Perkantoran</t>
        </is>
      </c>
      <c r="N64" t="inlineStr">
        <is>
          <t>K</t>
        </is>
      </c>
      <c r="O64" t="inlineStr">
        <is>
          <t>20231007, 20231010</t>
        </is>
      </c>
      <c r="P64" t="inlineStr">
        <is>
          <t>Kalimantan Selatan</t>
        </is>
      </c>
      <c r="Q64" t="inlineStr"/>
    </row>
    <row r="65">
      <c r="A65" t="inlineStr">
        <is>
          <t>KANCA WALUYA INDONESIA</t>
        </is>
      </c>
      <c r="B65" t="inlineStr">
        <is>
          <t>Kab. Bandung Barat</t>
        </is>
      </c>
      <c r="C65" t="inlineStr">
        <is>
          <t>081395739252</t>
        </is>
      </c>
      <c r="D65" t="inlineStr">
        <is>
          <t>pt.kancawaluyaindonesia@hotmail.com</t>
        </is>
      </c>
      <c r="E65" t="inlineStr">
        <is>
          <t>https://lpjk.pu.go.id/search-badan-usaha-detail/VVJlVitwSE1lWWRLY0s4anUrTVd1Zz09</t>
        </is>
      </c>
      <c r="F65" t="n">
        <v>3</v>
      </c>
      <c r="G65" t="inlineStr">
        <is>
          <t>BG001, BG009, BS001</t>
        </is>
      </c>
      <c r="H65" t="inlineStr">
        <is>
          <t>10 April 2014</t>
        </is>
      </c>
      <c r="I65" s="2" t="n">
        <v>46311</v>
      </c>
      <c r="J65" t="inlineStr">
        <is>
          <t>Disetujui</t>
        </is>
      </c>
      <c r="K65" t="n">
        <v>30</v>
      </c>
      <c r="L65" t="inlineStr">
        <is>
          <t>16 Oktober 2026</t>
        </is>
      </c>
      <c r="M65" t="inlineStr">
        <is>
          <t>Konstruksi Bangunan Sipil Jalan, Konstruksi Gedung Hunian, Konstruksi Gedung Lainnya</t>
        </is>
      </c>
      <c r="N65" t="inlineStr">
        <is>
          <t>K</t>
        </is>
      </c>
      <c r="O65" t="inlineStr">
        <is>
          <t>20231016</t>
        </is>
      </c>
      <c r="P65" t="inlineStr">
        <is>
          <t>Jawa Barat</t>
        </is>
      </c>
      <c r="Q65" t="inlineStr"/>
    </row>
    <row r="66">
      <c r="A66" t="inlineStr">
        <is>
          <t>KARYA MAJU UTAMA</t>
        </is>
      </c>
      <c r="B66" t="inlineStr">
        <is>
          <t>Kota Palembang</t>
        </is>
      </c>
      <c r="C66" t="inlineStr">
        <is>
          <t>081273724366</t>
        </is>
      </c>
      <c r="D66" t="inlineStr">
        <is>
          <t>ptkmupalembang@gmail.com</t>
        </is>
      </c>
      <c r="E66" t="inlineStr">
        <is>
          <t>https://lpjk.pu.go.id/search-badan-usaha-detail/RzB3KzA4empmemFmbWpiNWxIcUNGZz09</t>
        </is>
      </c>
      <c r="F66" t="n">
        <v>1</v>
      </c>
      <c r="G66" t="inlineStr">
        <is>
          <t>BS001</t>
        </is>
      </c>
      <c r="H66" t="inlineStr">
        <is>
          <t>19 Oktober 1984</t>
        </is>
      </c>
      <c r="I66" s="2" t="n">
        <v>46311</v>
      </c>
      <c r="J66" t="inlineStr">
        <is>
          <t>Pencabutan</t>
        </is>
      </c>
      <c r="K66" t="n">
        <v>30</v>
      </c>
      <c r="L66" t="inlineStr">
        <is>
          <t>16 Oktober 2026</t>
        </is>
      </c>
      <c r="M66" t="inlineStr">
        <is>
          <t>Konstruksi Bangunan Sipil Jalan</t>
        </is>
      </c>
      <c r="N66" t="inlineStr">
        <is>
          <t>M</t>
        </is>
      </c>
      <c r="O66" t="inlineStr">
        <is>
          <t>20220614</t>
        </is>
      </c>
      <c r="P66" t="inlineStr">
        <is>
          <t>Sumatera Selatan</t>
        </is>
      </c>
      <c r="Q66" t="inlineStr"/>
    </row>
    <row r="67">
      <c r="A67" t="inlineStr">
        <is>
          <t>KARYA MUKTI UTAMA</t>
        </is>
      </c>
      <c r="B67" t="inlineStr">
        <is>
          <t>Kab. Kuningan</t>
        </is>
      </c>
      <c r="C67" t="inlineStr">
        <is>
          <t>081222627772</t>
        </is>
      </c>
      <c r="D67" t="inlineStr">
        <is>
          <t>karyamuktiutama.pt@gmail.com</t>
        </is>
      </c>
      <c r="E67" t="inlineStr">
        <is>
          <t>https://lpjk.pu.go.id/search-badan-usaha-detail/ZDY2bXIxajNtV2hlRXlYdU10eGd4dz09</t>
        </is>
      </c>
      <c r="F67" t="n">
        <v>1</v>
      </c>
      <c r="G67" t="inlineStr">
        <is>
          <t>BG002</t>
        </is>
      </c>
      <c r="H67" t="inlineStr">
        <is>
          <t>3 Februari 1981</t>
        </is>
      </c>
      <c r="I67" s="2" t="n">
        <v>46311</v>
      </c>
      <c r="J67" t="inlineStr">
        <is>
          <t>Disetujui</t>
        </is>
      </c>
      <c r="K67" t="n">
        <v>30</v>
      </c>
      <c r="L67" t="inlineStr">
        <is>
          <t>16 Oktober 2026</t>
        </is>
      </c>
      <c r="M67" t="inlineStr">
        <is>
          <t>Konstruksi Gedung Perkantoran</t>
        </is>
      </c>
      <c r="N67" t="inlineStr">
        <is>
          <t>K</t>
        </is>
      </c>
      <c r="O67" t="inlineStr">
        <is>
          <t>20230614</t>
        </is>
      </c>
      <c r="P67" t="inlineStr">
        <is>
          <t>Jawa Barat</t>
        </is>
      </c>
      <c r="Q67" t="inlineStr"/>
    </row>
    <row r="68">
      <c r="A68" t="inlineStr">
        <is>
          <t>KAYAKAS GROUP</t>
        </is>
      </c>
      <c r="B68" t="inlineStr">
        <is>
          <t>Kab. Sukabumi</t>
        </is>
      </c>
      <c r="C68" t="inlineStr">
        <is>
          <t>081297298484</t>
        </is>
      </c>
      <c r="D68" t="inlineStr">
        <is>
          <t>kayakasgroup@gmail.com</t>
        </is>
      </c>
      <c r="E68" t="inlineStr">
        <is>
          <t>https://lpjk.pu.go.id/search-badan-usaha-detail/SGF1MjFKQWE2bmNMSTY3bFVMc0tVUT09</t>
        </is>
      </c>
      <c r="F68" t="n">
        <v>2</v>
      </c>
      <c r="G68" t="inlineStr">
        <is>
          <t>BG006</t>
        </is>
      </c>
      <c r="H68" t="inlineStr">
        <is>
          <t>17 Maret 2023</t>
        </is>
      </c>
      <c r="I68" s="2" t="n">
        <v>46311</v>
      </c>
      <c r="J68" t="inlineStr">
        <is>
          <t>Disetujui</t>
        </is>
      </c>
      <c r="K68" t="n">
        <v>30</v>
      </c>
      <c r="L68" t="inlineStr">
        <is>
          <t>16 Oktober 2026</t>
        </is>
      </c>
      <c r="M68" t="inlineStr">
        <is>
          <t>Konstruksi Gedung Pendidikan</t>
        </is>
      </c>
      <c r="N68" t="inlineStr">
        <is>
          <t>K</t>
        </is>
      </c>
      <c r="O68" t="inlineStr">
        <is>
          <t>20231012</t>
        </is>
      </c>
      <c r="P68" t="inlineStr">
        <is>
          <t>Jawa Barat</t>
        </is>
      </c>
      <c r="Q68" t="inlineStr"/>
    </row>
    <row r="69">
      <c r="A69" t="inlineStr">
        <is>
          <t>KENCANA HUTAMA NUSANTARA</t>
        </is>
      </c>
      <c r="B69" t="inlineStr">
        <is>
          <t>Kab. Pelalawan</t>
        </is>
      </c>
      <c r="C69" t="inlineStr">
        <is>
          <t>085265806258</t>
        </is>
      </c>
      <c r="D69" t="inlineStr">
        <is>
          <t>khn_pt@yahoo.co.id</t>
        </is>
      </c>
      <c r="E69" t="inlineStr">
        <is>
          <t>https://lpjk.pu.go.id/search-badan-usaha-detail/UVFwUERCVlNPSHZaMFNUU09hSDFyZz09</t>
        </is>
      </c>
      <c r="F69" t="n">
        <v>2</v>
      </c>
      <c r="G69" t="inlineStr">
        <is>
          <t>BS001, BS004</t>
        </is>
      </c>
      <c r="H69" t="inlineStr">
        <is>
          <t>29 Februari 2012</t>
        </is>
      </c>
      <c r="I69" s="2" t="n">
        <v>46311</v>
      </c>
      <c r="J69" t="inlineStr">
        <is>
          <t>Disetujui</t>
        </is>
      </c>
      <c r="K69" t="n">
        <v>30</v>
      </c>
      <c r="L69" t="inlineStr">
        <is>
          <t>16 Oktober 2026</t>
        </is>
      </c>
      <c r="M69" t="inlineStr">
        <is>
          <t>Konstruksi Bangunan Sipil Jalan, Konstruksi Jaringan Irigasi dan Drainase</t>
        </is>
      </c>
      <c r="N69" t="inlineStr">
        <is>
          <t>K</t>
        </is>
      </c>
      <c r="O69" t="inlineStr">
        <is>
          <t>20231005</t>
        </is>
      </c>
      <c r="P69" t="inlineStr">
        <is>
          <t>Riau</t>
        </is>
      </c>
      <c r="Q69" t="inlineStr"/>
    </row>
    <row r="70">
      <c r="A70" t="inlineStr">
        <is>
          <t>LUCKYTA</t>
        </is>
      </c>
      <c r="B70" t="inlineStr">
        <is>
          <t>Kab. Kubu Raya</t>
        </is>
      </c>
      <c r="C70" t="inlineStr">
        <is>
          <t>081257702792</t>
        </is>
      </c>
      <c r="D70" t="inlineStr">
        <is>
          <t>cv.luckyta.2023@gmail.com</t>
        </is>
      </c>
      <c r="E70" t="inlineStr">
        <is>
          <t>https://lpjk.pu.go.id/search-badan-usaha-detail/QWY5WjlNOHljSXEvNEVhRXdnbWgrZz09</t>
        </is>
      </c>
      <c r="F70" t="n">
        <v>1</v>
      </c>
      <c r="G70" t="inlineStr">
        <is>
          <t>BS001</t>
        </is>
      </c>
      <c r="H70" t="inlineStr">
        <is>
          <t>22 Desember 2008</t>
        </is>
      </c>
      <c r="I70" s="2" t="n">
        <v>46311</v>
      </c>
      <c r="J70" t="inlineStr">
        <is>
          <t>Disetujui</t>
        </is>
      </c>
      <c r="K70" t="n">
        <v>30</v>
      </c>
      <c r="L70" t="inlineStr">
        <is>
          <t>16 Oktober 2026</t>
        </is>
      </c>
      <c r="M70" t="inlineStr">
        <is>
          <t>Konstruksi Bangunan Sipil Jalan</t>
        </is>
      </c>
      <c r="N70" t="inlineStr">
        <is>
          <t>K</t>
        </is>
      </c>
      <c r="O70" t="inlineStr">
        <is>
          <t>20231014</t>
        </is>
      </c>
      <c r="P70" t="inlineStr">
        <is>
          <t>Kalimantan Barat</t>
        </is>
      </c>
      <c r="Q70" t="inlineStr"/>
    </row>
    <row r="71">
      <c r="A71" t="inlineStr">
        <is>
          <t>MAHARANI KARYA MANDIRI</t>
        </is>
      </c>
      <c r="B71" t="inlineStr">
        <is>
          <t>Kota Tangerang</t>
        </is>
      </c>
      <c r="C71" t="inlineStr">
        <is>
          <t>08161155841</t>
        </is>
      </c>
      <c r="D71" t="inlineStr">
        <is>
          <t>maharani.karya99@gmail.com</t>
        </is>
      </c>
      <c r="E71" t="inlineStr">
        <is>
          <t>https://lpjk.pu.go.id/search-badan-usaha-detail/ZWZhRDRrMWFNT3JNZzZTNXdvNXNCUT09</t>
        </is>
      </c>
      <c r="F71" t="n">
        <v>10</v>
      </c>
      <c r="G71" t="inlineStr">
        <is>
          <t>BG006, BG009</t>
        </is>
      </c>
      <c r="H71" t="inlineStr">
        <is>
          <t>1 September 2023</t>
        </is>
      </c>
      <c r="I71" s="2" t="n">
        <v>46311</v>
      </c>
      <c r="J71" t="inlineStr">
        <is>
          <t>Disetujui</t>
        </is>
      </c>
      <c r="K71" t="n">
        <v>30</v>
      </c>
      <c r="L71" t="inlineStr">
        <is>
          <t>16 Oktober 2026</t>
        </is>
      </c>
      <c r="M71" t="inlineStr">
        <is>
          <t>Konstruksi Gedung Lainnya, Konstruksi Gedung Pendidikan</t>
        </is>
      </c>
      <c r="N71" t="inlineStr">
        <is>
          <t>K</t>
        </is>
      </c>
      <c r="O71" t="inlineStr">
        <is>
          <t>20231010, 20231014</t>
        </is>
      </c>
      <c r="P71" t="inlineStr">
        <is>
          <t>Banten</t>
        </is>
      </c>
      <c r="Q71" t="inlineStr"/>
    </row>
    <row r="72">
      <c r="A72" t="inlineStr">
        <is>
          <t>MAHIJA RAYA26</t>
        </is>
      </c>
      <c r="B72" t="inlineStr">
        <is>
          <t>Kab. Nganjuk</t>
        </is>
      </c>
      <c r="C72" t="inlineStr">
        <is>
          <t>081219590246</t>
        </is>
      </c>
      <c r="D72" t="inlineStr">
        <is>
          <t>cv.mahijaraya26@gmail.com</t>
        </is>
      </c>
      <c r="E72" t="inlineStr">
        <is>
          <t>https://lpjk.pu.go.id/search-badan-usaha-detail/OWcxWEp5bklIdmpHZFJ6UTBoRkNtUT09</t>
        </is>
      </c>
      <c r="F72" t="n">
        <v>1</v>
      </c>
      <c r="G72" t="inlineStr">
        <is>
          <t>BG009</t>
        </is>
      </c>
      <c r="H72" t="inlineStr">
        <is>
          <t>7 Februari 2023</t>
        </is>
      </c>
      <c r="I72" s="2" t="n">
        <v>46311</v>
      </c>
      <c r="J72" t="inlineStr">
        <is>
          <t>Disetujui</t>
        </is>
      </c>
      <c r="K72" t="n">
        <v>30</v>
      </c>
      <c r="L72" t="inlineStr">
        <is>
          <t>16 Oktober 2026</t>
        </is>
      </c>
      <c r="M72" t="inlineStr">
        <is>
          <t>Konstruksi Gedung Lainnya</t>
        </is>
      </c>
      <c r="N72" t="inlineStr">
        <is>
          <t>K</t>
        </is>
      </c>
      <c r="O72" t="inlineStr">
        <is>
          <t>20231016</t>
        </is>
      </c>
      <c r="P72" t="inlineStr">
        <is>
          <t>Jawa Timur</t>
        </is>
      </c>
      <c r="Q72" t="inlineStr"/>
    </row>
    <row r="73">
      <c r="A73" t="inlineStr">
        <is>
          <t>MAHKOTA CAHAYA MULIA ABADI</t>
        </is>
      </c>
      <c r="B73" t="inlineStr">
        <is>
          <t>Kab. Cilacap</t>
        </is>
      </c>
      <c r="C73" t="inlineStr">
        <is>
          <t>081804782476</t>
        </is>
      </c>
      <c r="D73" t="inlineStr">
        <is>
          <t>pt.mahkotacma@yahoo.co.id</t>
        </is>
      </c>
      <c r="E73" t="inlineStr">
        <is>
          <t>https://lpjk.pu.go.id/search-badan-usaha-detail/QTlyUkVwWjkvekNsbEhOUGlwQXJKUT09</t>
        </is>
      </c>
      <c r="F73" t="n">
        <v>1</v>
      </c>
      <c r="G73" t="inlineStr">
        <is>
          <t>BG001</t>
        </is>
      </c>
      <c r="H73" t="inlineStr">
        <is>
          <t>19 September 2012</t>
        </is>
      </c>
      <c r="I73" s="2" t="n">
        <v>46311</v>
      </c>
      <c r="J73" t="inlineStr">
        <is>
          <t>Pencabutan</t>
        </is>
      </c>
      <c r="K73" t="n">
        <v>30</v>
      </c>
      <c r="L73" t="inlineStr">
        <is>
          <t>16 Oktober 2026</t>
        </is>
      </c>
      <c r="M73" t="inlineStr">
        <is>
          <t>Konstruksi Gedung Hunian</t>
        </is>
      </c>
      <c r="N73" t="inlineStr">
        <is>
          <t>K</t>
        </is>
      </c>
      <c r="O73" t="inlineStr">
        <is>
          <t>20220930</t>
        </is>
      </c>
      <c r="P73" t="inlineStr">
        <is>
          <t>Jawa Tengah</t>
        </is>
      </c>
      <c r="Q73" t="inlineStr"/>
    </row>
    <row r="74">
      <c r="A74" t="inlineStr">
        <is>
          <t>MANDALA NUSA JAYA</t>
        </is>
      </c>
      <c r="B74" t="inlineStr">
        <is>
          <t>Kota Batam</t>
        </is>
      </c>
      <c r="C74" t="inlineStr">
        <is>
          <t>081260199262</t>
        </is>
      </c>
      <c r="D74" t="inlineStr">
        <is>
          <t>mandalanusajaya@gmail.com</t>
        </is>
      </c>
      <c r="E74" t="inlineStr">
        <is>
          <t>https://lpjk.pu.go.id/search-badan-usaha-detail/UmJVL1dmcy9NY1ZxZ01lKzlES1UrQT09</t>
        </is>
      </c>
      <c r="F74" t="n">
        <v>4</v>
      </c>
      <c r="G74" t="inlineStr">
        <is>
          <t>BS001, BS004</t>
        </is>
      </c>
      <c r="H74" t="inlineStr">
        <is>
          <t>12 November 2019</t>
        </is>
      </c>
      <c r="I74" s="2" t="n">
        <v>46311</v>
      </c>
      <c r="J74" t="inlineStr">
        <is>
          <t>Disetujui</t>
        </is>
      </c>
      <c r="K74" t="n">
        <v>30</v>
      </c>
      <c r="L74" t="inlineStr">
        <is>
          <t>16 Oktober 2026</t>
        </is>
      </c>
      <c r="M74" t="inlineStr">
        <is>
          <t>Konstruksi Bangunan Sipil Jalan, Konstruksi Jaringan Irigasi dan Drainase</t>
        </is>
      </c>
      <c r="N74" t="inlineStr">
        <is>
          <t>K</t>
        </is>
      </c>
      <c r="O74" t="inlineStr">
        <is>
          <t>20231016</t>
        </is>
      </c>
      <c r="P74" t="inlineStr">
        <is>
          <t>Kepulauan Riau</t>
        </is>
      </c>
      <c r="Q74" t="inlineStr"/>
    </row>
    <row r="75">
      <c r="A75" t="inlineStr">
        <is>
          <t>MARGA SARANA JAYA</t>
        </is>
      </c>
      <c r="B75" t="inlineStr">
        <is>
          <t>Kota Samarinda</t>
        </is>
      </c>
      <c r="C75" t="inlineStr">
        <is>
          <t>082250099006</t>
        </is>
      </c>
      <c r="D75" t="inlineStr">
        <is>
          <t>margasaranajaya@gmail.com</t>
        </is>
      </c>
      <c r="E75" t="inlineStr">
        <is>
          <t>https://lpjk.pu.go.id/search-badan-usaha-detail/djBUWjM5SzFOTUZtVUtNYVpmT1dxUT09</t>
        </is>
      </c>
      <c r="F75" t="n">
        <v>1</v>
      </c>
      <c r="G75" t="inlineStr">
        <is>
          <t>RK003</t>
        </is>
      </c>
      <c r="H75" t="inlineStr">
        <is>
          <t>5 Mei 1999</t>
        </is>
      </c>
      <c r="I75" s="2" t="n">
        <v>46311</v>
      </c>
      <c r="J75" t="inlineStr">
        <is>
          <t>Disetujui</t>
        </is>
      </c>
      <c r="K75" t="n">
        <v>30</v>
      </c>
      <c r="L75" t="inlineStr">
        <is>
          <t>16 Oktober 2026</t>
        </is>
      </c>
      <c r="M75" t="inlineStr">
        <is>
          <t>Jasa Rekayasa Pekerjaan Teknik Sipil Transportasi</t>
        </is>
      </c>
      <c r="N75" t="inlineStr">
        <is>
          <t>K</t>
        </is>
      </c>
      <c r="O75" t="inlineStr">
        <is>
          <t>20231006</t>
        </is>
      </c>
      <c r="P75" t="inlineStr">
        <is>
          <t>Kalimantan Timur</t>
        </is>
      </c>
      <c r="Q75" t="inlineStr"/>
    </row>
    <row r="76">
      <c r="A76" t="inlineStr">
        <is>
          <t>MARSHALL BABEL KARYA</t>
        </is>
      </c>
      <c r="B76" t="inlineStr">
        <is>
          <t>Kab. Bangka Barat</t>
        </is>
      </c>
      <c r="C76" t="inlineStr">
        <is>
          <t>081282675576</t>
        </is>
      </c>
      <c r="D76" t="inlineStr">
        <is>
          <t>marshallbabelkarya@gmail.com</t>
        </is>
      </c>
      <c r="E76" t="inlineStr">
        <is>
          <t>https://lpjk.pu.go.id/search-badan-usaha-detail/UnpqMFVGb0djQ1huZnFnMGZXZmUwZz09</t>
        </is>
      </c>
      <c r="F76" t="n">
        <v>2</v>
      </c>
      <c r="G76" t="inlineStr">
        <is>
          <t>RK002</t>
        </is>
      </c>
      <c r="H76" t="inlineStr">
        <is>
          <t>29 Agustus 2023</t>
        </is>
      </c>
      <c r="I76" s="2" t="n">
        <v>46311</v>
      </c>
      <c r="J76" t="inlineStr">
        <is>
          <t>Disetujui</t>
        </is>
      </c>
      <c r="K76" t="n">
        <v>30</v>
      </c>
      <c r="L76" t="inlineStr">
        <is>
          <t>16 Oktober 2026</t>
        </is>
      </c>
      <c r="M76" t="inlineStr">
        <is>
          <t>Jasa Rekayasa Pekerjaan Teknik Sipil Sumber Daya Air</t>
        </is>
      </c>
      <c r="N76" t="inlineStr">
        <is>
          <t>K</t>
        </is>
      </c>
      <c r="O76" t="inlineStr">
        <is>
          <t>20231005</t>
        </is>
      </c>
      <c r="P76" t="inlineStr">
        <is>
          <t>Kepulauan Bangka Belitung</t>
        </is>
      </c>
      <c r="Q76" t="inlineStr"/>
    </row>
    <row r="77">
      <c r="A77" t="inlineStr">
        <is>
          <t>MEDIA MULTI MITRA</t>
        </is>
      </c>
      <c r="B77" t="inlineStr">
        <is>
          <t>Kab. Tanah Laut</t>
        </is>
      </c>
      <c r="C77" t="inlineStr">
        <is>
          <t>085251039293</t>
        </is>
      </c>
      <c r="D77" t="inlineStr">
        <is>
          <t>mediamultimitra@yahoo.co.id</t>
        </is>
      </c>
      <c r="E77" t="inlineStr">
        <is>
          <t>https://lpjk.pu.go.id/search-badan-usaha-detail/TEV1enF6dG1IdktlRFU1U2xZYURjdz09</t>
        </is>
      </c>
      <c r="F77" t="n">
        <v>1</v>
      </c>
      <c r="G77" t="inlineStr">
        <is>
          <t>BS002</t>
        </is>
      </c>
      <c r="H77" t="inlineStr">
        <is>
          <t>20 November 2007</t>
        </is>
      </c>
      <c r="I77" s="2" t="n">
        <v>46311</v>
      </c>
      <c r="J77" t="inlineStr">
        <is>
          <t>Pencabutan</t>
        </is>
      </c>
      <c r="K77" t="n">
        <v>30</v>
      </c>
      <c r="L77" t="inlineStr">
        <is>
          <t>16 Oktober 2026</t>
        </is>
      </c>
      <c r="M77" t="inlineStr">
        <is>
          <t>Bangunan Sipil Jembatan, Jalan Layang, Fly Over, dan Underpass</t>
        </is>
      </c>
      <c r="N77" t="inlineStr">
        <is>
          <t>K</t>
        </is>
      </c>
      <c r="O77" t="inlineStr">
        <is>
          <t>20231010</t>
        </is>
      </c>
      <c r="P77" t="inlineStr">
        <is>
          <t>Kalimantan Selatan</t>
        </is>
      </c>
      <c r="Q77" t="inlineStr"/>
    </row>
    <row r="78">
      <c r="A78" t="inlineStr">
        <is>
          <t>MEGAH PAPUA JAYA</t>
        </is>
      </c>
      <c r="B78" t="inlineStr">
        <is>
          <t>Kab. Merauke</t>
        </is>
      </c>
      <c r="C78" t="inlineStr">
        <is>
          <t>081344070908</t>
        </is>
      </c>
      <c r="D78" t="inlineStr">
        <is>
          <t>pt.mpjmkq@gmail.com</t>
        </is>
      </c>
      <c r="E78" t="inlineStr">
        <is>
          <t>https://lpjk.pu.go.id/search-badan-usaha-detail/Wjh3MjZmQjE2dzlwWlBhMUJ4MmpzZz09</t>
        </is>
      </c>
      <c r="F78" t="n">
        <v>2</v>
      </c>
      <c r="G78" t="inlineStr">
        <is>
          <t>BG009</t>
        </is>
      </c>
      <c r="H78" t="inlineStr">
        <is>
          <t>29 Juli 2020</t>
        </is>
      </c>
      <c r="I78" s="2" t="n">
        <v>46311</v>
      </c>
      <c r="J78" t="inlineStr">
        <is>
          <t>Pembekuan</t>
        </is>
      </c>
      <c r="K78" t="n">
        <v>30</v>
      </c>
      <c r="L78" t="inlineStr">
        <is>
          <t>16 Oktober 2026</t>
        </is>
      </c>
      <c r="M78" t="inlineStr">
        <is>
          <t>Konstruksi Gedung Lainnya</t>
        </is>
      </c>
      <c r="N78" t="inlineStr">
        <is>
          <t>M</t>
        </is>
      </c>
      <c r="O78" t="inlineStr">
        <is>
          <t>20231013</t>
        </is>
      </c>
      <c r="P78" t="inlineStr">
        <is>
          <t>Papua</t>
        </is>
      </c>
      <c r="Q78" t="inlineStr"/>
    </row>
    <row r="79">
      <c r="A79" t="inlineStr">
        <is>
          <t>MILENIALS</t>
        </is>
      </c>
      <c r="B79" t="inlineStr">
        <is>
          <t>Kab. Barito Utara</t>
        </is>
      </c>
      <c r="C79" t="inlineStr">
        <is>
          <t>085220996878</t>
        </is>
      </c>
      <c r="D79" t="inlineStr">
        <is>
          <t>cv.milenials25@gmail.com</t>
        </is>
      </c>
      <c r="E79" t="inlineStr">
        <is>
          <t>https://lpjk.pu.go.id/search-badan-usaha-detail/YkRmallONTdBNjljOWhzakxsaVY5UT09</t>
        </is>
      </c>
      <c r="F79" t="n">
        <v>2</v>
      </c>
      <c r="G79" t="inlineStr">
        <is>
          <t>BS002</t>
        </is>
      </c>
      <c r="H79" t="inlineStr">
        <is>
          <t>25 Agustus 2023</t>
        </is>
      </c>
      <c r="I79" s="2" t="n">
        <v>46311</v>
      </c>
      <c r="J79" t="inlineStr">
        <is>
          <t>Disetujui</t>
        </is>
      </c>
      <c r="K79" t="n">
        <v>30</v>
      </c>
      <c r="L79" t="inlineStr">
        <is>
          <t>16 Oktober 2026</t>
        </is>
      </c>
      <c r="M79" t="inlineStr">
        <is>
          <t>Bangunan Sipil Jembatan, Jalan Layang, Fly Over, dan Underpass</t>
        </is>
      </c>
      <c r="N79" t="inlineStr">
        <is>
          <t>K</t>
        </is>
      </c>
      <c r="O79" t="inlineStr">
        <is>
          <t>20231013</t>
        </is>
      </c>
      <c r="P79" t="inlineStr">
        <is>
          <t>Kalimantan Tengah</t>
        </is>
      </c>
      <c r="Q79" t="inlineStr"/>
    </row>
    <row r="80">
      <c r="A80" t="inlineStr">
        <is>
          <t>MITRA RULISA</t>
        </is>
      </c>
      <c r="B80" t="inlineStr">
        <is>
          <t>Kota Pekalongan</t>
        </is>
      </c>
      <c r="C80" t="inlineStr">
        <is>
          <t>081542056842</t>
        </is>
      </c>
      <c r="D80" t="inlineStr">
        <is>
          <t>ira.santoso2022@gmail.com</t>
        </is>
      </c>
      <c r="E80" t="inlineStr">
        <is>
          <t>https://lpjk.pu.go.id/search-badan-usaha-detail/TXZjQ3Y4SE1GNFhxMXRJVGFGUEZSQT09</t>
        </is>
      </c>
      <c r="F80" t="n">
        <v>2</v>
      </c>
      <c r="G80" t="inlineStr">
        <is>
          <t>BG002, BG009</t>
        </is>
      </c>
      <c r="H80" t="inlineStr">
        <is>
          <t>16 September 2015</t>
        </is>
      </c>
      <c r="I80" s="2" t="n">
        <v>46311</v>
      </c>
      <c r="J80" t="inlineStr">
        <is>
          <t>Disetujui</t>
        </is>
      </c>
      <c r="K80" t="n">
        <v>30</v>
      </c>
      <c r="L80" t="inlineStr">
        <is>
          <t>16 Oktober 2026</t>
        </is>
      </c>
      <c r="M80" t="inlineStr">
        <is>
          <t>Konstruksi Gedung Lainnya, Konstruksi Gedung Perkantoran</t>
        </is>
      </c>
      <c r="N80" t="inlineStr">
        <is>
          <t>K</t>
        </is>
      </c>
      <c r="O80" t="inlineStr">
        <is>
          <t>20231011, 20231017</t>
        </is>
      </c>
      <c r="P80" t="inlineStr">
        <is>
          <t>Jawa Tengah</t>
        </is>
      </c>
      <c r="Q80" t="inlineStr"/>
    </row>
    <row r="81">
      <c r="A81" t="inlineStr">
        <is>
          <t>MITRA TEKNIK UTAMA</t>
        </is>
      </c>
      <c r="B81" t="inlineStr">
        <is>
          <t>Kota Denpasar</t>
        </is>
      </c>
      <c r="C81" t="inlineStr">
        <is>
          <t>03618461811</t>
        </is>
      </c>
      <c r="D81" t="inlineStr">
        <is>
          <t>mitrateknikutama@yahoo.com</t>
        </is>
      </c>
      <c r="E81" t="inlineStr">
        <is>
          <t>https://lpjk.pu.go.id/search-badan-usaha-detail/dml0RjBBdEJDcmFuODJZWmVkN2R6dz09</t>
        </is>
      </c>
      <c r="F81" t="n">
        <v>3</v>
      </c>
      <c r="G81" t="inlineStr">
        <is>
          <t>BG002, BG008, BS001</t>
        </is>
      </c>
      <c r="H81" t="inlineStr">
        <is>
          <t>6 Juni 1995</t>
        </is>
      </c>
      <c r="I81" s="2" t="n">
        <v>46311</v>
      </c>
      <c r="J81" t="inlineStr">
        <is>
          <t>Disetujui</t>
        </is>
      </c>
      <c r="K81" t="n">
        <v>30</v>
      </c>
      <c r="L81" t="inlineStr">
        <is>
          <t>16 Oktober 2026</t>
        </is>
      </c>
      <c r="M81" t="inlineStr">
        <is>
          <t>Konstruksi Bangunan Sipil Jalan, Konstruksi Gedung Perkantoran, Konstruksi Gedung Tempat Hiburan dan Olahraga</t>
        </is>
      </c>
      <c r="N81" t="inlineStr">
        <is>
          <t>K</t>
        </is>
      </c>
      <c r="O81" t="inlineStr">
        <is>
          <t>20231002, 20231009</t>
        </is>
      </c>
      <c r="P81" t="inlineStr">
        <is>
          <t>Bali</t>
        </is>
      </c>
      <c r="Q81" t="inlineStr"/>
    </row>
    <row r="82">
      <c r="A82" t="inlineStr">
        <is>
          <t>MULTI HABITAT ENGINEERING CONSULTANT</t>
        </is>
      </c>
      <c r="B82" t="inlineStr">
        <is>
          <t>Kota Surabaya</t>
        </is>
      </c>
      <c r="C82" t="inlineStr">
        <is>
          <t>081233851985</t>
        </is>
      </c>
      <c r="D82" t="inlineStr">
        <is>
          <t>multihabitat@yahoo.co.id</t>
        </is>
      </c>
      <c r="E82" t="inlineStr">
        <is>
          <t>https://lpjk.pu.go.id/search-badan-usaha-detail/eDVtMS9DWGhEbUpBUjNQVlkzbE1NUT09</t>
        </is>
      </c>
      <c r="F82" t="n">
        <v>5</v>
      </c>
      <c r="G82" t="inlineStr">
        <is>
          <t>AR001, AR002, RK001, RK002, RK003</t>
        </is>
      </c>
      <c r="H82" t="inlineStr">
        <is>
          <t>7 Oktober 1987</t>
        </is>
      </c>
      <c r="I82" s="2" t="n">
        <v>46311</v>
      </c>
      <c r="J82" t="inlineStr">
        <is>
          <t>Disetujui</t>
        </is>
      </c>
      <c r="K82" t="n">
        <v>30</v>
      </c>
      <c r="L82" t="inlineStr">
        <is>
          <t>16 Oktober 2026</t>
        </is>
      </c>
      <c r="M82" t="inlineStr">
        <is>
          <t>Jasa Arsitektural Bangunan Gedung Hunian dan Non Hunian, Jasa Arsitektural Lainnya, Jasa Rekayasa Konstruksi Bangunan Gedung Hunian dan Non Hunian, Jasa Rekayasa Pekerjaan Teknik Sipil Sumber Daya Air, Jasa Rekayasa Pekerjaan Teknik Sipil Transportasi</t>
        </is>
      </c>
      <c r="N82" t="inlineStr">
        <is>
          <t>K</t>
        </is>
      </c>
      <c r="O82" t="inlineStr">
        <is>
          <t>20231004</t>
        </is>
      </c>
      <c r="P82" t="inlineStr">
        <is>
          <t>Jawa Timur</t>
        </is>
      </c>
      <c r="Q82" t="inlineStr"/>
    </row>
    <row r="83">
      <c r="A83" t="inlineStr">
        <is>
          <t>NAGA MAS PERKASA</t>
        </is>
      </c>
      <c r="B83" t="inlineStr">
        <is>
          <t>Kota Binjai</t>
        </is>
      </c>
      <c r="C83" t="inlineStr">
        <is>
          <t>081377185027</t>
        </is>
      </c>
      <c r="D83" t="inlineStr">
        <is>
          <t>cvnagamas981@gmail.com</t>
        </is>
      </c>
      <c r="E83" t="inlineStr">
        <is>
          <t>https://lpjk.pu.go.id/search-badan-usaha-detail/YnU3ZEQyb21LbExHTVo2S3lqWSsrZz09</t>
        </is>
      </c>
      <c r="F83" t="n">
        <v>1</v>
      </c>
      <c r="G83" t="inlineStr">
        <is>
          <t>BS001</t>
        </is>
      </c>
      <c r="H83" t="inlineStr">
        <is>
          <t>29 April 2019</t>
        </is>
      </c>
      <c r="I83" s="2" t="n">
        <v>46311</v>
      </c>
      <c r="J83" t="inlineStr">
        <is>
          <t>Disetujui</t>
        </is>
      </c>
      <c r="K83" t="n">
        <v>30</v>
      </c>
      <c r="L83" t="inlineStr">
        <is>
          <t>16 Oktober 2026</t>
        </is>
      </c>
      <c r="M83" t="inlineStr">
        <is>
          <t>Konstruksi Bangunan Sipil Jalan</t>
        </is>
      </c>
      <c r="N83" t="inlineStr">
        <is>
          <t>K</t>
        </is>
      </c>
      <c r="O83" t="inlineStr">
        <is>
          <t>20230908</t>
        </is>
      </c>
      <c r="P83" t="inlineStr">
        <is>
          <t>Sumatera Utara</t>
        </is>
      </c>
      <c r="Q83" t="inlineStr"/>
    </row>
    <row r="84">
      <c r="A84" t="inlineStr">
        <is>
          <t>NAULI BINTUNI JAYA</t>
        </is>
      </c>
      <c r="B84" t="inlineStr">
        <is>
          <t>Kab. Teluk Bintuni</t>
        </is>
      </c>
      <c r="C84" t="inlineStr">
        <is>
          <t>085255553991</t>
        </is>
      </c>
      <c r="D84" t="inlineStr">
        <is>
          <t>eghynathawong@gmail.com</t>
        </is>
      </c>
      <c r="E84" t="inlineStr">
        <is>
          <t>https://lpjk.pu.go.id/search-badan-usaha-detail/NEpaMzJCaHhOME5PQXZxdUYzUzhNUT09</t>
        </is>
      </c>
      <c r="F84" t="n">
        <v>1</v>
      </c>
      <c r="G84" t="inlineStr">
        <is>
          <t>BG001</t>
        </is>
      </c>
      <c r="H84" t="inlineStr">
        <is>
          <t>20 September 2023</t>
        </is>
      </c>
      <c r="I84" s="2" t="n">
        <v>46311</v>
      </c>
      <c r="J84" t="inlineStr">
        <is>
          <t>Pencabutan</t>
        </is>
      </c>
      <c r="K84" t="n">
        <v>30</v>
      </c>
      <c r="L84" t="inlineStr">
        <is>
          <t>16 Oktober 2026</t>
        </is>
      </c>
      <c r="M84" t="inlineStr">
        <is>
          <t>Konstruksi Gedung Hunian</t>
        </is>
      </c>
      <c r="N84" t="inlineStr">
        <is>
          <t>K</t>
        </is>
      </c>
      <c r="O84" t="inlineStr">
        <is>
          <t>20230703</t>
        </is>
      </c>
      <c r="P84" t="inlineStr">
        <is>
          <t>Papua Barat</t>
        </is>
      </c>
      <c r="Q84" t="inlineStr"/>
    </row>
    <row r="85">
      <c r="A85" t="inlineStr">
        <is>
          <t>NUSANTARA SATU BERDIKARI</t>
        </is>
      </c>
      <c r="B85" t="inlineStr">
        <is>
          <t>Kota Adm. Jakarta Selatan</t>
        </is>
      </c>
      <c r="C85" t="inlineStr">
        <is>
          <t>081383786331</t>
        </is>
      </c>
      <c r="D85" t="inlineStr">
        <is>
          <t>ptnusantarasatuberdikari@gmail.com</t>
        </is>
      </c>
      <c r="E85" t="inlineStr">
        <is>
          <t>https://lpjk.pu.go.id/search-badan-usaha-detail/SjN3SHFiYnBRUTZPWFplaFl1U0E5dz09</t>
        </is>
      </c>
      <c r="F85" t="n">
        <v>4</v>
      </c>
      <c r="G85" t="inlineStr">
        <is>
          <t>BG005, BG006, BS001, BS004</t>
        </is>
      </c>
      <c r="H85" t="inlineStr">
        <is>
          <t>14 Agustus 2023</t>
        </is>
      </c>
      <c r="I85" s="2" t="n">
        <v>46311</v>
      </c>
      <c r="J85" t="inlineStr">
        <is>
          <t>Disetujui</t>
        </is>
      </c>
      <c r="K85" t="n">
        <v>30</v>
      </c>
      <c r="L85" t="inlineStr">
        <is>
          <t>16 Oktober 2026</t>
        </is>
      </c>
      <c r="M85" t="inlineStr">
        <is>
          <t>Konstruksi Bangunan Sipil Jalan, Konstruksi Gedung Kesehatan, Konstruksi Gedung Pendidikan, Konstruksi Jaringan Irigasi dan Drainase</t>
        </is>
      </c>
      <c r="N85" t="inlineStr">
        <is>
          <t>K</t>
        </is>
      </c>
      <c r="O85" t="inlineStr">
        <is>
          <t>20231012</t>
        </is>
      </c>
      <c r="P85" t="inlineStr">
        <is>
          <t>DKI Jakarta</t>
        </is>
      </c>
      <c r="Q85" t="inlineStr"/>
    </row>
    <row r="86">
      <c r="A86" t="inlineStr">
        <is>
          <t>PADI PADI TAMAN</t>
        </is>
      </c>
      <c r="B86" t="inlineStr">
        <is>
          <t>Kab. Sampang</t>
        </is>
      </c>
      <c r="C86" t="inlineStr">
        <is>
          <t>081937222151</t>
        </is>
      </c>
      <c r="D86" t="inlineStr">
        <is>
          <t>cv.paditaman@yahoo.com</t>
        </is>
      </c>
      <c r="E86" t="inlineStr">
        <is>
          <t>https://lpjk.pu.go.id/search-badan-usaha-detail/MDAwUVBFSnhwRFhYOU1wblkxZmhkdz09</t>
        </is>
      </c>
      <c r="F86" t="n">
        <v>1</v>
      </c>
      <c r="G86" t="inlineStr">
        <is>
          <t>BG006</t>
        </is>
      </c>
      <c r="H86" t="inlineStr">
        <is>
          <t>26 September 2023</t>
        </is>
      </c>
      <c r="I86" s="2" t="n">
        <v>46311</v>
      </c>
      <c r="J86" t="inlineStr">
        <is>
          <t>Disetujui</t>
        </is>
      </c>
      <c r="K86" t="n">
        <v>30</v>
      </c>
      <c r="L86" t="inlineStr">
        <is>
          <t>16 Oktober 2026</t>
        </is>
      </c>
      <c r="M86" t="inlineStr">
        <is>
          <t>Konstruksi Gedung Pendidikan</t>
        </is>
      </c>
      <c r="N86" t="inlineStr">
        <is>
          <t>K</t>
        </is>
      </c>
      <c r="O86" t="inlineStr">
        <is>
          <t>20231016</t>
        </is>
      </c>
      <c r="P86" t="inlineStr">
        <is>
          <t>Jawa Timur</t>
        </is>
      </c>
      <c r="Q86" t="inlineStr"/>
    </row>
    <row r="87">
      <c r="A87" t="inlineStr">
        <is>
          <t>PALUTA JAYA KONSTRUKSI</t>
        </is>
      </c>
      <c r="B87" t="inlineStr">
        <is>
          <t>Kab. Pasaman</t>
        </is>
      </c>
      <c r="C87" t="inlineStr">
        <is>
          <t>085213231466</t>
        </is>
      </c>
      <c r="D87" t="inlineStr">
        <is>
          <t>palutajayakonstruksi@gmail.com</t>
        </is>
      </c>
      <c r="E87" t="inlineStr">
        <is>
          <t>https://lpjk.pu.go.id/search-badan-usaha-detail/eVBtdE5XSi9OV3B4SVZCTFA1czdKdz09</t>
        </is>
      </c>
      <c r="F87" t="n">
        <v>1</v>
      </c>
      <c r="G87" t="inlineStr">
        <is>
          <t>BS004</t>
        </is>
      </c>
      <c r="H87" t="inlineStr">
        <is>
          <t>22 Januari 2020</t>
        </is>
      </c>
      <c r="I87" s="2" t="n">
        <v>46311</v>
      </c>
      <c r="J87" t="inlineStr">
        <is>
          <t>Pencabutan</t>
        </is>
      </c>
      <c r="K87" t="n">
        <v>30</v>
      </c>
      <c r="L87" t="inlineStr">
        <is>
          <t>16 Oktober 2026</t>
        </is>
      </c>
      <c r="M87" t="inlineStr">
        <is>
          <t>Konstruksi Jaringan Irigasi dan Drainase</t>
        </is>
      </c>
      <c r="N87" t="inlineStr">
        <is>
          <t>K</t>
        </is>
      </c>
      <c r="O87" t="inlineStr">
        <is>
          <t>20231016</t>
        </is>
      </c>
      <c r="P87" t="inlineStr">
        <is>
          <t>Sumatera Barat</t>
        </is>
      </c>
      <c r="Q87" t="inlineStr"/>
    </row>
    <row r="88">
      <c r="A88" t="inlineStr">
        <is>
          <t>PANCA ARYA SADANANDA</t>
        </is>
      </c>
      <c r="B88" t="inlineStr">
        <is>
          <t>Kota Medan</t>
        </is>
      </c>
      <c r="C88" t="inlineStr">
        <is>
          <t>082166350992</t>
        </is>
      </c>
      <c r="D88" t="inlineStr">
        <is>
          <t>pancaaryasadananda@gmail.com</t>
        </is>
      </c>
      <c r="E88" t="inlineStr">
        <is>
          <t>https://lpjk.pu.go.id/search-badan-usaha-detail/NHQxUnMxaGYvTjFKcHAwblF0dEpoUT09</t>
        </is>
      </c>
      <c r="F88" t="n">
        <v>1</v>
      </c>
      <c r="G88" t="inlineStr">
        <is>
          <t>BG001</t>
        </is>
      </c>
      <c r="H88" t="inlineStr">
        <is>
          <t>21 September 2021</t>
        </is>
      </c>
      <c r="I88" s="2" t="n">
        <v>46311</v>
      </c>
      <c r="J88" t="inlineStr">
        <is>
          <t>Disetujui</t>
        </is>
      </c>
      <c r="K88" t="n">
        <v>30</v>
      </c>
      <c r="L88" t="inlineStr">
        <is>
          <t>16 Oktober 2026</t>
        </is>
      </c>
      <c r="M88" t="inlineStr">
        <is>
          <t>Konstruksi Gedung Hunian</t>
        </is>
      </c>
      <c r="N88" t="inlineStr">
        <is>
          <t>K</t>
        </is>
      </c>
      <c r="O88" t="inlineStr">
        <is>
          <t>20231017</t>
        </is>
      </c>
      <c r="P88" t="inlineStr">
        <is>
          <t>Sumatera Utara</t>
        </is>
      </c>
      <c r="Q88" t="inlineStr"/>
    </row>
    <row r="89">
      <c r="A89" t="inlineStr">
        <is>
          <t>PANCORA JAYA</t>
        </is>
      </c>
      <c r="B89" t="inlineStr">
        <is>
          <t>Kab. Indramayu</t>
        </is>
      </c>
      <c r="C89" t="inlineStr">
        <is>
          <t>081246800234</t>
        </is>
      </c>
      <c r="D89" t="inlineStr">
        <is>
          <t>pancorajaya.cv@gmail.com</t>
        </is>
      </c>
      <c r="E89" t="inlineStr">
        <is>
          <t>https://lpjk.pu.go.id/search-badan-usaha-detail/Y3dhcXFSRjltcjl0MHFQWDg3Vmc2UT09</t>
        </is>
      </c>
      <c r="F89" t="n">
        <v>5</v>
      </c>
      <c r="G89" t="inlineStr">
        <is>
          <t>BG002, BG004, BG005, BG007, BG008</t>
        </is>
      </c>
      <c r="H89" t="inlineStr">
        <is>
          <t>7 Desember 2016</t>
        </is>
      </c>
      <c r="I89" s="2" t="n">
        <v>46311</v>
      </c>
      <c r="J89" t="inlineStr">
        <is>
          <t>Disetujui</t>
        </is>
      </c>
      <c r="K89" t="n">
        <v>30</v>
      </c>
      <c r="L89" t="inlineStr">
        <is>
          <t>16 Oktober 2026</t>
        </is>
      </c>
      <c r="M89" t="inlineStr">
        <is>
          <t>Konstruksi Gedung Kesehatan, Konstruksi Gedung Penginapan, Konstruksi Gedung Perbelanjaan, Konstruksi Gedung Perkantoran, Konstruksi Gedung Tempat Hiburan dan Olahraga</t>
        </is>
      </c>
      <c r="N89" t="inlineStr">
        <is>
          <t>K</t>
        </is>
      </c>
      <c r="O89" t="inlineStr">
        <is>
          <t>20231012</t>
        </is>
      </c>
      <c r="P89" t="inlineStr">
        <is>
          <t>Jawa Barat</t>
        </is>
      </c>
      <c r="Q89" t="inlineStr"/>
    </row>
    <row r="90">
      <c r="A90" t="inlineStr">
        <is>
          <t>PANDAWA NADIMPU</t>
        </is>
      </c>
      <c r="B90" t="inlineStr">
        <is>
          <t>Kota Padang Sidempuan</t>
        </is>
      </c>
      <c r="C90" t="inlineStr">
        <is>
          <t>082278270029</t>
        </is>
      </c>
      <c r="D90" t="inlineStr">
        <is>
          <t>cvpandawanadimpu@gmail.com</t>
        </is>
      </c>
      <c r="E90" t="inlineStr">
        <is>
          <t>https://lpjk.pu.go.id/search-badan-usaha-detail/TGFQSlpiRDlNaklzMW42OWo0SVZDUT09</t>
        </is>
      </c>
      <c r="F90" t="n">
        <v>4</v>
      </c>
      <c r="G90" t="inlineStr">
        <is>
          <t>BG002, BS010</t>
        </is>
      </c>
      <c r="H90" t="inlineStr">
        <is>
          <t>27 September 2023</t>
        </is>
      </c>
      <c r="I90" s="2" t="n">
        <v>46311</v>
      </c>
      <c r="J90" t="inlineStr">
        <is>
          <t>Pencabutan</t>
        </is>
      </c>
      <c r="K90" t="n">
        <v>30</v>
      </c>
      <c r="L90" t="inlineStr">
        <is>
          <t>16 Oktober 2026</t>
        </is>
      </c>
      <c r="M90" t="inlineStr">
        <is>
          <t>Konstruksi Bangunan Prasarana Sumber Daya Air, Konstruksi Gedung Perkantoran</t>
        </is>
      </c>
      <c r="N90" t="inlineStr">
        <is>
          <t>K</t>
        </is>
      </c>
      <c r="O90" t="inlineStr">
        <is>
          <t>20231017, 20231023</t>
        </is>
      </c>
      <c r="P90" t="inlineStr">
        <is>
          <t>Sumatera Utara</t>
        </is>
      </c>
      <c r="Q90" t="inlineStr"/>
    </row>
    <row r="91">
      <c r="A91" t="inlineStr">
        <is>
          <t>PRISMA ASKARA LOKA</t>
        </is>
      </c>
      <c r="B91" t="inlineStr">
        <is>
          <t>Kota Adm. Jakarta Selatan</t>
        </is>
      </c>
      <c r="C91" t="inlineStr">
        <is>
          <t>085691299065</t>
        </is>
      </c>
      <c r="D91" t="inlineStr">
        <is>
          <t>prismaskaraloka@gmail.com</t>
        </is>
      </c>
      <c r="E91" t="inlineStr">
        <is>
          <t>https://lpjk.pu.go.id/search-badan-usaha-detail/WEtjdWdCcnNuc0dlUUw2bEh3Sjd0UT09</t>
        </is>
      </c>
      <c r="F91" t="n">
        <v>1</v>
      </c>
      <c r="G91" t="inlineStr">
        <is>
          <t>BS010</t>
        </is>
      </c>
      <c r="H91" t="inlineStr">
        <is>
          <t>10 November 2020</t>
        </is>
      </c>
      <c r="I91" s="2" t="n">
        <v>46311</v>
      </c>
      <c r="J91" t="inlineStr">
        <is>
          <t>Disetujui</t>
        </is>
      </c>
      <c r="K91" t="n">
        <v>30</v>
      </c>
      <c r="L91" t="inlineStr">
        <is>
          <t>16 Oktober 2026</t>
        </is>
      </c>
      <c r="M91" t="inlineStr">
        <is>
          <t>Konstruksi Bangunan Prasarana Sumber Daya Air</t>
        </is>
      </c>
      <c r="N91" t="inlineStr">
        <is>
          <t>K</t>
        </is>
      </c>
      <c r="O91" t="inlineStr">
        <is>
          <t>20231017</t>
        </is>
      </c>
      <c r="P91" t="inlineStr">
        <is>
          <t>DKI Jakarta</t>
        </is>
      </c>
      <c r="Q91" t="inlineStr"/>
    </row>
    <row r="92">
      <c r="A92" t="inlineStr">
        <is>
          <t>PUSAT KOPERASI PEGAWAI REPUBLIK INDONESIA</t>
        </is>
      </c>
      <c r="B92" t="inlineStr">
        <is>
          <t>Kab. Trenggalek</t>
        </is>
      </c>
      <c r="C92" t="inlineStr">
        <is>
          <t>081336686629</t>
        </is>
      </c>
      <c r="D92" t="inlineStr">
        <is>
          <t>cvpkpri@gmail.com</t>
        </is>
      </c>
      <c r="E92" t="inlineStr">
        <is>
          <t>https://lpjk.pu.go.id/search-badan-usaha-detail/UU1LWktiM25IRy9yWGJ2aDUyckpKUT09</t>
        </is>
      </c>
      <c r="F92" t="n">
        <v>6</v>
      </c>
      <c r="G92" t="inlineStr">
        <is>
          <t>BG002, BG004, BG006, BG009, BS001, BS004</t>
        </is>
      </c>
      <c r="H92" t="inlineStr">
        <is>
          <t>16 Juli 1996</t>
        </is>
      </c>
      <c r="I92" s="2" t="n">
        <v>46311</v>
      </c>
      <c r="J92" t="inlineStr">
        <is>
          <t>Disetujui</t>
        </is>
      </c>
      <c r="K92" t="n">
        <v>30</v>
      </c>
      <c r="L92" t="inlineStr">
        <is>
          <t>16 Oktober 2026</t>
        </is>
      </c>
      <c r="M92" t="inlineStr">
        <is>
          <t>Konstruksi Bangunan Sipil Jalan, Konstruksi Gedung Lainnya, Konstruksi Gedung Pendidikan, Konstruksi Gedung Perbelanjaan, Konstruksi Gedung Perkantoran, Konstruksi Jaringan Irigasi dan Drainase</t>
        </is>
      </c>
      <c r="N92" t="inlineStr">
        <is>
          <t>K</t>
        </is>
      </c>
      <c r="O92" t="inlineStr">
        <is>
          <t>20231010, 20231018</t>
        </is>
      </c>
      <c r="P92" t="inlineStr">
        <is>
          <t>Jawa Timur</t>
        </is>
      </c>
      <c r="Q92" t="inlineStr"/>
    </row>
    <row r="93">
      <c r="A93" t="inlineStr">
        <is>
          <t>PUTRI JAYA SEJAHTERA</t>
        </is>
      </c>
      <c r="B93" t="inlineStr">
        <is>
          <t>Kab. Subang</t>
        </is>
      </c>
      <c r="C93" t="inlineStr">
        <is>
          <t>087735031329</t>
        </is>
      </c>
      <c r="D93" t="inlineStr">
        <is>
          <t>cv.putrijayasejahtera@outlook.com</t>
        </is>
      </c>
      <c r="E93" t="inlineStr">
        <is>
          <t>https://lpjk.pu.go.id/search-badan-usaha-detail/U1NERzFvUUoxdVNTYXptcUMySmw5dz09</t>
        </is>
      </c>
      <c r="F93" t="n">
        <v>2</v>
      </c>
      <c r="G93" t="inlineStr">
        <is>
          <t>BS002, BS004</t>
        </is>
      </c>
      <c r="H93" t="inlineStr">
        <is>
          <t>9 September 2015</t>
        </is>
      </c>
      <c r="I93" s="2" t="n">
        <v>46311</v>
      </c>
      <c r="J93" t="inlineStr">
        <is>
          <t>Disetujui</t>
        </is>
      </c>
      <c r="K93" t="n">
        <v>30</v>
      </c>
      <c r="L93" t="inlineStr">
        <is>
          <t>16 Oktober 2026</t>
        </is>
      </c>
      <c r="M93" t="inlineStr">
        <is>
          <t>Bangunan Sipil Jembatan, Jalan Layang, Fly Over, dan Underpass, Konstruksi Jaringan Irigasi dan Drainase</t>
        </is>
      </c>
      <c r="N93" t="inlineStr">
        <is>
          <t>K</t>
        </is>
      </c>
      <c r="O93" t="inlineStr">
        <is>
          <t>20231016</t>
        </is>
      </c>
      <c r="P93" t="inlineStr">
        <is>
          <t>Jawa Barat</t>
        </is>
      </c>
      <c r="Q93" t="inlineStr"/>
    </row>
    <row r="94">
      <c r="A94" t="inlineStr">
        <is>
          <t>PUTRI PRINGGA BAYA</t>
        </is>
      </c>
      <c r="B94" t="inlineStr">
        <is>
          <t>Kab. Indramayu</t>
        </is>
      </c>
      <c r="C94" t="inlineStr">
        <is>
          <t>08122077031</t>
        </is>
      </c>
      <c r="D94" t="inlineStr">
        <is>
          <t>putri_pringgabaya.pt@yahoo.com</t>
        </is>
      </c>
      <c r="E94" t="inlineStr">
        <is>
          <t>https://lpjk.pu.go.id/search-badan-usaha-detail/eFNSSWhBSjJhNVFJNUQvOU9GdVdKdz09</t>
        </is>
      </c>
      <c r="F94" t="n">
        <v>2</v>
      </c>
      <c r="G94" t="inlineStr">
        <is>
          <t>BG002, BS002</t>
        </is>
      </c>
      <c r="H94" t="inlineStr">
        <is>
          <t>17 Desember 2014</t>
        </is>
      </c>
      <c r="I94" s="2" t="n">
        <v>46311</v>
      </c>
      <c r="J94" t="inlineStr">
        <is>
          <t>Disetujui</t>
        </is>
      </c>
      <c r="K94" t="n">
        <v>30</v>
      </c>
      <c r="L94" t="inlineStr">
        <is>
          <t>16 Oktober 2026</t>
        </is>
      </c>
      <c r="M94" t="inlineStr">
        <is>
          <t>Bangunan Sipil Jembatan, Jalan Layang, Fly Over, dan Underpass, Konstruksi Gedung Perkantoran</t>
        </is>
      </c>
      <c r="N94" t="inlineStr">
        <is>
          <t>K</t>
        </is>
      </c>
      <c r="O94" t="inlineStr">
        <is>
          <t>20231010, 20231018</t>
        </is>
      </c>
      <c r="P94" t="inlineStr">
        <is>
          <t>Jawa Barat</t>
        </is>
      </c>
      <c r="Q94" t="inlineStr"/>
    </row>
    <row r="95">
      <c r="A95" t="inlineStr">
        <is>
          <t>RAFA MANDIRI GROUP</t>
        </is>
      </c>
      <c r="B95" t="inlineStr">
        <is>
          <t>Kab. Bengkalis</t>
        </is>
      </c>
      <c r="C95" t="inlineStr">
        <is>
          <t>082260343869</t>
        </is>
      </c>
      <c r="D95" t="inlineStr">
        <is>
          <t>cvrafamandiri79@gmail.com</t>
        </is>
      </c>
      <c r="E95" t="inlineStr">
        <is>
          <t>https://lpjk.pu.go.id/search-badan-usaha-detail/aVVPSFhyOGh0Q1J3YWZmbGlYV1RFQT09</t>
        </is>
      </c>
      <c r="F95" t="n">
        <v>1</v>
      </c>
      <c r="G95" t="inlineStr">
        <is>
          <t>BS004</t>
        </is>
      </c>
      <c r="H95" t="inlineStr">
        <is>
          <t>31 Januari 2017</t>
        </is>
      </c>
      <c r="I95" s="2" t="n">
        <v>46311</v>
      </c>
      <c r="J95" t="inlineStr">
        <is>
          <t>Disetujui</t>
        </is>
      </c>
      <c r="K95" t="n">
        <v>30</v>
      </c>
      <c r="L95" t="inlineStr">
        <is>
          <t>16 Oktober 2026</t>
        </is>
      </c>
      <c r="M95" t="inlineStr">
        <is>
          <t>Konstruksi Jaringan Irigasi dan Drainase</t>
        </is>
      </c>
      <c r="N95" t="inlineStr">
        <is>
          <t>K</t>
        </is>
      </c>
      <c r="O95" t="inlineStr">
        <is>
          <t>20231016</t>
        </is>
      </c>
      <c r="P95" t="inlineStr">
        <is>
          <t>Riau</t>
        </is>
      </c>
      <c r="Q95" t="inlineStr"/>
    </row>
    <row r="96">
      <c r="A96" t="inlineStr">
        <is>
          <t>RAFFASYA</t>
        </is>
      </c>
      <c r="B96" t="inlineStr">
        <is>
          <t>Kab. Tanjung Jabung Barat</t>
        </is>
      </c>
      <c r="C96" t="inlineStr">
        <is>
          <t>082281042835</t>
        </is>
      </c>
      <c r="D96" t="inlineStr">
        <is>
          <t>raffasyacv@gmail.com</t>
        </is>
      </c>
      <c r="E96" t="inlineStr">
        <is>
          <t>https://lpjk.pu.go.id/search-badan-usaha-detail/Y0ZCdHNtOXFWRmRUWXQ0UHZya21HUT09</t>
        </is>
      </c>
      <c r="F96" t="n">
        <v>4</v>
      </c>
      <c r="G96" t="inlineStr">
        <is>
          <t>BG008, BS001</t>
        </is>
      </c>
      <c r="H96" t="inlineStr">
        <is>
          <t>26 Januari 2022</t>
        </is>
      </c>
      <c r="I96" s="2" t="n">
        <v>46311</v>
      </c>
      <c r="J96" t="inlineStr">
        <is>
          <t>Disetujui</t>
        </is>
      </c>
      <c r="K96" t="n">
        <v>30</v>
      </c>
      <c r="L96" t="inlineStr">
        <is>
          <t>16 Oktober 2026</t>
        </is>
      </c>
      <c r="M96" t="inlineStr">
        <is>
          <t>Konstruksi Bangunan Sipil Jalan, Konstruksi Gedung Tempat Hiburan dan Olahraga</t>
        </is>
      </c>
      <c r="N96" t="inlineStr">
        <is>
          <t>K</t>
        </is>
      </c>
      <c r="O96" t="inlineStr">
        <is>
          <t>20230922, 20231018</t>
        </is>
      </c>
      <c r="P96" t="inlineStr">
        <is>
          <t>Jambi</t>
        </is>
      </c>
      <c r="Q96" t="inlineStr"/>
    </row>
    <row r="97">
      <c r="A97" t="inlineStr">
        <is>
          <t>RAIHAN ANUGRAH PRATAMA</t>
        </is>
      </c>
      <c r="B97" t="inlineStr">
        <is>
          <t>Kota Adm. Jakarta Pusat</t>
        </is>
      </c>
      <c r="C97" t="inlineStr">
        <is>
          <t>02129578330</t>
        </is>
      </c>
      <c r="D97" t="inlineStr">
        <is>
          <t>pt.raihananugerahpratama@gmail.com</t>
        </is>
      </c>
      <c r="E97" t="inlineStr">
        <is>
          <t>https://lpjk.pu.go.id/search-badan-usaha-detail/RDNyZVV6UVYwNkd5cVJ1Ylpwb2R6UT09</t>
        </is>
      </c>
      <c r="F97" t="n">
        <v>2</v>
      </c>
      <c r="G97" t="inlineStr">
        <is>
          <t>BG001</t>
        </is>
      </c>
      <c r="H97" t="inlineStr">
        <is>
          <t>9 Maret 2022</t>
        </is>
      </c>
      <c r="I97" s="2" t="n">
        <v>46311</v>
      </c>
      <c r="J97" t="inlineStr">
        <is>
          <t>Disetujui</t>
        </is>
      </c>
      <c r="K97" t="n">
        <v>30</v>
      </c>
      <c r="L97" t="inlineStr">
        <is>
          <t>16 Oktober 2026</t>
        </is>
      </c>
      <c r="M97" t="inlineStr">
        <is>
          <t>Konstruksi Gedung Hunian</t>
        </is>
      </c>
      <c r="N97" t="inlineStr">
        <is>
          <t>K</t>
        </is>
      </c>
      <c r="O97" t="inlineStr">
        <is>
          <t>20231013</t>
        </is>
      </c>
      <c r="P97" t="inlineStr">
        <is>
          <t>DKI Jakarta</t>
        </is>
      </c>
      <c r="Q97" t="inlineStr"/>
    </row>
    <row r="98">
      <c r="A98" t="inlineStr">
        <is>
          <t>RANCANGAN KARYA WIJAYA</t>
        </is>
      </c>
      <c r="B98" t="inlineStr">
        <is>
          <t>Kota Adm. Jakarta Selatan</t>
        </is>
      </c>
      <c r="C98" t="inlineStr">
        <is>
          <t>081322222738</t>
        </is>
      </c>
      <c r="D98" t="inlineStr">
        <is>
          <t>rancangankaryawijaya@gmail.com</t>
        </is>
      </c>
      <c r="E98" t="inlineStr">
        <is>
          <t>https://lpjk.pu.go.id/search-badan-usaha-detail/Mi9wQkllbCtPbXZZNW1zMXZHRE9lUT09</t>
        </is>
      </c>
      <c r="F98" t="n">
        <v>4</v>
      </c>
      <c r="G98" t="inlineStr">
        <is>
          <t>BG001, BG004</t>
        </is>
      </c>
      <c r="H98" t="inlineStr">
        <is>
          <t>8 Juni 2023</t>
        </is>
      </c>
      <c r="I98" s="2" t="n">
        <v>46311</v>
      </c>
      <c r="J98" t="inlineStr">
        <is>
          <t>Disetujui</t>
        </is>
      </c>
      <c r="K98" t="n">
        <v>30</v>
      </c>
      <c r="L98" t="inlineStr">
        <is>
          <t>16 Oktober 2026</t>
        </is>
      </c>
      <c r="M98" t="inlineStr">
        <is>
          <t>Konstruksi Gedung Hunian, Konstruksi Gedung Perbelanjaan</t>
        </is>
      </c>
      <c r="N98" t="inlineStr">
        <is>
          <t>K</t>
        </is>
      </c>
      <c r="O98" t="inlineStr">
        <is>
          <t>20231010, 20231016</t>
        </is>
      </c>
      <c r="P98" t="inlineStr">
        <is>
          <t>DKI Jakarta</t>
        </is>
      </c>
      <c r="Q98" t="inlineStr"/>
    </row>
    <row r="99">
      <c r="A99" t="inlineStr">
        <is>
          <t>REKA CIPTA INOVASI</t>
        </is>
      </c>
      <c r="B99" t="inlineStr">
        <is>
          <t>Kota Medan</t>
        </is>
      </c>
      <c r="C99" t="inlineStr">
        <is>
          <t>0618086220</t>
        </is>
      </c>
      <c r="D99" t="inlineStr">
        <is>
          <t>arridhan.pranoto1@gmail.com</t>
        </is>
      </c>
      <c r="E99" t="inlineStr">
        <is>
          <t>https://lpjk.pu.go.id/search-badan-usaha-detail/RkRmeHc0b3Y0eGx3S2xWNHBranBXdz09</t>
        </is>
      </c>
      <c r="F99" t="n">
        <v>1</v>
      </c>
      <c r="G99" t="inlineStr">
        <is>
          <t>PL007</t>
        </is>
      </c>
      <c r="H99" t="inlineStr">
        <is>
          <t>30 November 2018</t>
        </is>
      </c>
      <c r="I99" s="2" t="n">
        <v>46311</v>
      </c>
      <c r="J99" t="inlineStr">
        <is>
          <t>Pencabutan</t>
        </is>
      </c>
      <c r="K99" t="n">
        <v>30</v>
      </c>
      <c r="L99" t="inlineStr">
        <is>
          <t>16 Oktober 2026</t>
        </is>
      </c>
      <c r="M99" t="inlineStr">
        <is>
          <t>Survei Penyelidikan Lapangan</t>
        </is>
      </c>
      <c r="N99" t="inlineStr">
        <is>
          <t>Spesialis</t>
        </is>
      </c>
      <c r="O99" t="inlineStr">
        <is>
          <t>20231010</t>
        </is>
      </c>
      <c r="P99" t="inlineStr">
        <is>
          <t>Sumatera Utara</t>
        </is>
      </c>
      <c r="Q99" t="inlineStr"/>
    </row>
    <row r="100">
      <c r="A100" t="inlineStr">
        <is>
          <t>REZKY UTAMA KONSTRUKSI</t>
        </is>
      </c>
      <c r="B100" t="inlineStr">
        <is>
          <t>Kab. Nunukan</t>
        </is>
      </c>
      <c r="C100" t="inlineStr">
        <is>
          <t>081347474023</t>
        </is>
      </c>
      <c r="D100" t="inlineStr">
        <is>
          <t>rezkyutamakonstruksi@yahoo.com</t>
        </is>
      </c>
      <c r="E100" t="inlineStr">
        <is>
          <t>https://lpjk.pu.go.id/search-badan-usaha-detail/WENZZWVzK2tCckxEdmtqalRzTWpOQT09</t>
        </is>
      </c>
      <c r="F100" t="n">
        <v>2</v>
      </c>
      <c r="G100" t="inlineStr">
        <is>
          <t>BG005, BG009</t>
        </is>
      </c>
      <c r="H100" t="inlineStr">
        <is>
          <t>15 November 2019</t>
        </is>
      </c>
      <c r="I100" s="2" t="n">
        <v>46311</v>
      </c>
      <c r="J100" t="inlineStr">
        <is>
          <t>Disetujui</t>
        </is>
      </c>
      <c r="K100" t="n">
        <v>30</v>
      </c>
      <c r="L100" t="inlineStr">
        <is>
          <t>16 Oktober 2026</t>
        </is>
      </c>
      <c r="M100" t="inlineStr">
        <is>
          <t>Konstruksi Gedung Kesehatan, Konstruksi Gedung Lainnya</t>
        </is>
      </c>
      <c r="N100" t="inlineStr">
        <is>
          <t>K</t>
        </is>
      </c>
      <c r="O100" t="inlineStr">
        <is>
          <t>20231009</t>
        </is>
      </c>
      <c r="P100" t="inlineStr">
        <is>
          <t>Kalimantan Utara</t>
        </is>
      </c>
      <c r="Q100" t="inlineStr"/>
    </row>
    <row r="101">
      <c r="A101" t="inlineStr">
        <is>
          <t>RIANA PUTRA ABADI</t>
        </is>
      </c>
      <c r="B101" t="inlineStr">
        <is>
          <t>Kota Palangkaraya</t>
        </is>
      </c>
      <c r="C101" t="inlineStr">
        <is>
          <t>082255518888</t>
        </is>
      </c>
      <c r="D101" t="inlineStr">
        <is>
          <t>ptrianaputrabiaslayar@gmail.com</t>
        </is>
      </c>
      <c r="E101" t="inlineStr">
        <is>
          <t>https://lpjk.pu.go.id/search-badan-usaha-detail/YlRpN25oanpnSnVyMkIyTWExTTc1UT09</t>
        </is>
      </c>
      <c r="F101" t="n">
        <v>3</v>
      </c>
      <c r="G101" t="inlineStr">
        <is>
          <t>BS001, BS002, BS004</t>
        </is>
      </c>
      <c r="H101" t="inlineStr">
        <is>
          <t>7 Agustus 2010</t>
        </is>
      </c>
      <c r="I101" s="2" t="n">
        <v>46311</v>
      </c>
      <c r="J101" t="inlineStr">
        <is>
          <t>Pencabutan</t>
        </is>
      </c>
      <c r="K101" t="n">
        <v>30</v>
      </c>
      <c r="L101" t="inlineStr">
        <is>
          <t>16 Oktober 2026</t>
        </is>
      </c>
      <c r="M101" t="inlineStr">
        <is>
          <t>Bangunan Sipil Jembatan, Jalan Layang, Fly Over, dan Underpass, Konstruksi Bangunan Sipil Jalan, Konstruksi Jaringan Irigasi dan Drainase</t>
        </is>
      </c>
      <c r="N101" t="inlineStr">
        <is>
          <t>K, M</t>
        </is>
      </c>
      <c r="O101" t="inlineStr">
        <is>
          <t>20231017</t>
        </is>
      </c>
      <c r="P101" t="inlineStr">
        <is>
          <t>Kalimantan Tengah</t>
        </is>
      </c>
      <c r="Q101" t="inlineStr"/>
    </row>
    <row r="102">
      <c r="A102" t="inlineStr">
        <is>
          <t>RIZKA SYABILA</t>
        </is>
      </c>
      <c r="B102" t="inlineStr">
        <is>
          <t>Kab. Hulu Sungai Utara</t>
        </is>
      </c>
      <c r="C102" t="inlineStr">
        <is>
          <t>085248263663</t>
        </is>
      </c>
      <c r="D102" t="inlineStr">
        <is>
          <t>cvrizkasyabila7@gmail.com</t>
        </is>
      </c>
      <c r="E102" t="inlineStr">
        <is>
          <t>https://lpjk.pu.go.id/search-badan-usaha-detail/dmF6d1RocC9lODJRdDY3SWZ6ejBZUT09</t>
        </is>
      </c>
      <c r="F102" t="n">
        <v>2</v>
      </c>
      <c r="G102" t="inlineStr">
        <is>
          <t>BS001, BS004</t>
        </is>
      </c>
      <c r="H102" t="inlineStr">
        <is>
          <t>4 Mei 2015</t>
        </is>
      </c>
      <c r="I102" s="2" t="n">
        <v>46311</v>
      </c>
      <c r="J102" t="inlineStr">
        <is>
          <t>Disetujui</t>
        </is>
      </c>
      <c r="K102" t="n">
        <v>30</v>
      </c>
      <c r="L102" t="inlineStr">
        <is>
          <t>16 Oktober 2026</t>
        </is>
      </c>
      <c r="M102" t="inlineStr">
        <is>
          <t>Konstruksi Bangunan Sipil Jalan, Konstruksi Jaringan Irigasi dan Drainase</t>
        </is>
      </c>
      <c r="N102" t="inlineStr">
        <is>
          <t>K</t>
        </is>
      </c>
      <c r="O102" t="inlineStr">
        <is>
          <t>20231013</t>
        </is>
      </c>
      <c r="P102" t="inlineStr">
        <is>
          <t>Kalimantan Selatan</t>
        </is>
      </c>
      <c r="Q102" t="inlineStr"/>
    </row>
    <row r="103">
      <c r="A103" t="inlineStr">
        <is>
          <t>SAFANTRI</t>
        </is>
      </c>
      <c r="B103" t="inlineStr">
        <is>
          <t>Kab. Ende</t>
        </is>
      </c>
      <c r="C103" t="inlineStr">
        <is>
          <t>081261257828</t>
        </is>
      </c>
      <c r="D103" t="inlineStr">
        <is>
          <t>safantricv20@gmail.com</t>
        </is>
      </c>
      <c r="E103" t="inlineStr">
        <is>
          <t>https://lpjk.pu.go.id/search-badan-usaha-detail/Mm01LzNLTE4xS3RvcmdoNFZNYUJmQT09</t>
        </is>
      </c>
      <c r="F103" t="n">
        <v>1</v>
      </c>
      <c r="G103" t="inlineStr">
        <is>
          <t>BS004</t>
        </is>
      </c>
      <c r="H103" t="inlineStr">
        <is>
          <t>1 September 2020</t>
        </is>
      </c>
      <c r="I103" s="2" t="n">
        <v>46311</v>
      </c>
      <c r="J103" t="inlineStr">
        <is>
          <t>Disetujui</t>
        </is>
      </c>
      <c r="K103" t="n">
        <v>30</v>
      </c>
      <c r="L103" t="inlineStr">
        <is>
          <t>16 Oktober 2026</t>
        </is>
      </c>
      <c r="M103" t="inlineStr">
        <is>
          <t>Konstruksi Jaringan Irigasi dan Drainase</t>
        </is>
      </c>
      <c r="N103" t="inlineStr">
        <is>
          <t>K</t>
        </is>
      </c>
      <c r="O103" t="inlineStr">
        <is>
          <t>20231017</t>
        </is>
      </c>
      <c r="P103" t="inlineStr">
        <is>
          <t>Nusa Tenggara Timur</t>
        </is>
      </c>
      <c r="Q103" t="inlineStr"/>
    </row>
    <row r="104">
      <c r="A104" t="inlineStr">
        <is>
          <t>SALSABILA USAHA BERSAMA</t>
        </is>
      </c>
      <c r="B104" t="inlineStr">
        <is>
          <t>Kota Jambi</t>
        </is>
      </c>
      <c r="C104" t="inlineStr">
        <is>
          <t>085355539123</t>
        </is>
      </c>
      <c r="D104" t="inlineStr">
        <is>
          <t>cv.salsabilausahabersama@gmail.com</t>
        </is>
      </c>
      <c r="E104" t="inlineStr">
        <is>
          <t>https://lpjk.pu.go.id/search-badan-usaha-detail/d25mMXVlVGppVzlKYzRqZzBjRE9Ddz09</t>
        </is>
      </c>
      <c r="F104" t="n">
        <v>2</v>
      </c>
      <c r="G104" t="inlineStr">
        <is>
          <t>BG006, BG009</t>
        </is>
      </c>
      <c r="H104" t="inlineStr">
        <is>
          <t>2 Agustus 2023</t>
        </is>
      </c>
      <c r="I104" s="2" t="n">
        <v>46311</v>
      </c>
      <c r="J104" t="inlineStr">
        <is>
          <t>Disetujui</t>
        </is>
      </c>
      <c r="K104" t="n">
        <v>30</v>
      </c>
      <c r="L104" t="inlineStr">
        <is>
          <t>16 Oktober 2026</t>
        </is>
      </c>
      <c r="M104" t="inlineStr">
        <is>
          <t>Konstruksi Gedung Lainnya, Konstruksi Gedung Pendidikan</t>
        </is>
      </c>
      <c r="N104" t="inlineStr">
        <is>
          <t>K</t>
        </is>
      </c>
      <c r="O104" t="inlineStr">
        <is>
          <t>20231011</t>
        </is>
      </c>
      <c r="P104" t="inlineStr">
        <is>
          <t>Jambi</t>
        </is>
      </c>
      <c r="Q104" t="inlineStr"/>
    </row>
    <row r="105">
      <c r="A105" t="inlineStr">
        <is>
          <t>SAM KONTRAKTOR</t>
        </is>
      </c>
      <c r="B105" t="inlineStr">
        <is>
          <t>Kab. Magetan</t>
        </is>
      </c>
      <c r="C105" t="inlineStr">
        <is>
          <t>0856 4588 7076</t>
        </is>
      </c>
      <c r="D105" t="inlineStr">
        <is>
          <t>samconts@yahoo.co.id</t>
        </is>
      </c>
      <c r="E105" t="inlineStr">
        <is>
          <t>https://lpjk.pu.go.id/search-badan-usaha-detail/WWs5akwrZmdkZnlqOTdmdmR5ZzI5dz09</t>
        </is>
      </c>
      <c r="F105" t="n">
        <v>5</v>
      </c>
      <c r="G105" t="inlineStr">
        <is>
          <t>BG001, BG002, BG005, BG006, BS001</t>
        </is>
      </c>
      <c r="H105" t="inlineStr">
        <is>
          <t>19 Januari 2006</t>
        </is>
      </c>
      <c r="I105" s="2" t="n">
        <v>46311</v>
      </c>
      <c r="J105" t="inlineStr">
        <is>
          <t>Disetujui</t>
        </is>
      </c>
      <c r="K105" t="n">
        <v>30</v>
      </c>
      <c r="L105" t="inlineStr">
        <is>
          <t>16 Oktober 2026</t>
        </is>
      </c>
      <c r="M105" t="inlineStr">
        <is>
          <t>Konstruksi Bangunan Sipil Jalan, Konstruksi Gedung Hunian, Konstruksi Gedung Kesehatan, Konstruksi Gedung Pendidikan, Konstruksi Gedung Perkantoran</t>
        </is>
      </c>
      <c r="N105" t="inlineStr">
        <is>
          <t>K</t>
        </is>
      </c>
      <c r="O105" t="inlineStr">
        <is>
          <t>20231004, 20231009</t>
        </is>
      </c>
      <c r="P105" t="inlineStr">
        <is>
          <t>Jawa Timur</t>
        </is>
      </c>
      <c r="Q105" t="inlineStr"/>
    </row>
    <row r="106">
      <c r="A106" t="inlineStr">
        <is>
          <t>SAMUDRA BERKAH</t>
        </is>
      </c>
      <c r="B106" t="inlineStr">
        <is>
          <t>Kab. Cilacap</t>
        </is>
      </c>
      <c r="C106" t="inlineStr">
        <is>
          <t>082747875566</t>
        </is>
      </c>
      <c r="D106" t="inlineStr">
        <is>
          <t>cv.samudraberkah82@gmail.com</t>
        </is>
      </c>
      <c r="E106" t="inlineStr">
        <is>
          <t>https://lpjk.pu.go.id/search-badan-usaha-detail/ang3V2pHN3AycUZ3NENBTTVHUU9BQT09</t>
        </is>
      </c>
      <c r="F106" t="n">
        <v>1</v>
      </c>
      <c r="G106" t="inlineStr">
        <is>
          <t>BG006</t>
        </is>
      </c>
      <c r="H106" t="inlineStr">
        <is>
          <t>1 Februari 2016</t>
        </is>
      </c>
      <c r="I106" s="2" t="n">
        <v>46311</v>
      </c>
      <c r="J106" t="inlineStr">
        <is>
          <t>Disetujui</t>
        </is>
      </c>
      <c r="K106" t="n">
        <v>30</v>
      </c>
      <c r="L106" t="inlineStr">
        <is>
          <t>16 Oktober 2026</t>
        </is>
      </c>
      <c r="M106" t="inlineStr">
        <is>
          <t>Konstruksi Gedung Pendidikan</t>
        </is>
      </c>
      <c r="N106" t="inlineStr">
        <is>
          <t>K</t>
        </is>
      </c>
      <c r="O106" t="inlineStr">
        <is>
          <t>20231013</t>
        </is>
      </c>
      <c r="P106" t="inlineStr">
        <is>
          <t>Jawa Tengah</t>
        </is>
      </c>
      <c r="Q106" t="inlineStr"/>
    </row>
    <row r="107">
      <c r="A107" t="inlineStr">
        <is>
          <t>SAPUTRA RAMBANG</t>
        </is>
      </c>
      <c r="B107" t="inlineStr">
        <is>
          <t>Kota Prabumulih</t>
        </is>
      </c>
      <c r="C107" t="inlineStr">
        <is>
          <t>081292323064</t>
        </is>
      </c>
      <c r="D107" t="inlineStr">
        <is>
          <t>saputrarambangcv@ymail.com</t>
        </is>
      </c>
      <c r="E107" t="inlineStr">
        <is>
          <t>https://lpjk.pu.go.id/search-badan-usaha-detail/OXlueGlVM0ZETG1HUjIwYkE5SzRMQT09</t>
        </is>
      </c>
      <c r="F107" t="n">
        <v>4</v>
      </c>
      <c r="G107" t="inlineStr">
        <is>
          <t>BG005, BG006</t>
        </is>
      </c>
      <c r="H107" t="inlineStr">
        <is>
          <t>12 Februari 2002</t>
        </is>
      </c>
      <c r="I107" s="2" t="n">
        <v>46311</v>
      </c>
      <c r="J107" t="inlineStr">
        <is>
          <t>Disetujui</t>
        </is>
      </c>
      <c r="K107" t="n">
        <v>30</v>
      </c>
      <c r="L107" t="inlineStr">
        <is>
          <t>16 Oktober 2026</t>
        </is>
      </c>
      <c r="M107" t="inlineStr">
        <is>
          <t>Konstruksi Gedung Kesehatan, Konstruksi Gedung Pendidikan</t>
        </is>
      </c>
      <c r="N107" t="inlineStr">
        <is>
          <t>K</t>
        </is>
      </c>
      <c r="O107" t="inlineStr">
        <is>
          <t>20231015</t>
        </is>
      </c>
      <c r="P107" t="inlineStr">
        <is>
          <t>Sumatera Selatan</t>
        </is>
      </c>
      <c r="Q107" t="inlineStr"/>
    </row>
    <row r="108">
      <c r="A108" t="inlineStr">
        <is>
          <t>SARANA DEOCON PERSADA</t>
        </is>
      </c>
      <c r="B108" t="inlineStr">
        <is>
          <t>Kab. Ngawi</t>
        </is>
      </c>
      <c r="C108" t="inlineStr">
        <is>
          <t>08123402208</t>
        </is>
      </c>
      <c r="D108" t="inlineStr">
        <is>
          <t>cv.saranadeoconpersada@gmail.com</t>
        </is>
      </c>
      <c r="E108" t="inlineStr">
        <is>
          <t>https://lpjk.pu.go.id/search-badan-usaha-detail/cU1BV25uS280eGZaZHhtSHRYM3NUdz09</t>
        </is>
      </c>
      <c r="F108" t="n">
        <v>4</v>
      </c>
      <c r="G108" t="inlineStr">
        <is>
          <t>BG004, BG005, BG006, BG009</t>
        </is>
      </c>
      <c r="H108" t="inlineStr">
        <is>
          <t>16 Januari 2017</t>
        </is>
      </c>
      <c r="I108" s="2" t="n">
        <v>46311</v>
      </c>
      <c r="J108" t="inlineStr">
        <is>
          <t>Disetujui</t>
        </is>
      </c>
      <c r="K108" t="n">
        <v>30</v>
      </c>
      <c r="L108" t="inlineStr">
        <is>
          <t>16 Oktober 2026</t>
        </is>
      </c>
      <c r="M108" t="inlineStr">
        <is>
          <t>Konstruksi Gedung Kesehatan, Konstruksi Gedung Lainnya, Konstruksi Gedung Pendidikan, Konstruksi Gedung Perbelanjaan</t>
        </is>
      </c>
      <c r="N108" t="inlineStr">
        <is>
          <t>K</t>
        </is>
      </c>
      <c r="O108" t="inlineStr">
        <is>
          <t>20231010, 20231016, 20231017</t>
        </is>
      </c>
      <c r="P108" t="inlineStr">
        <is>
          <t>Jawa Timur</t>
        </is>
      </c>
      <c r="Q108" t="inlineStr"/>
    </row>
    <row r="109">
      <c r="A109" t="inlineStr">
        <is>
          <t>SENI MEMBANGUN MAHAKARYA</t>
        </is>
      </c>
      <c r="B109" t="inlineStr">
        <is>
          <t>Kota Bandung</t>
        </is>
      </c>
      <c r="C109" t="inlineStr">
        <is>
          <t>08112187601</t>
        </is>
      </c>
      <c r="D109" t="inlineStr">
        <is>
          <t>senimembangunmahakarya@gmail.com</t>
        </is>
      </c>
      <c r="E109" t="inlineStr">
        <is>
          <t>https://lpjk.pu.go.id/search-badan-usaha-detail/QVhRS0hFdjdkZ2J4SDdTUHJFLytGQT09</t>
        </is>
      </c>
      <c r="F109" t="n">
        <v>2</v>
      </c>
      <c r="G109" t="inlineStr">
        <is>
          <t>BG002, PB004</t>
        </is>
      </c>
      <c r="H109" t="inlineStr">
        <is>
          <t>11 September 2023</t>
        </is>
      </c>
      <c r="I109" s="2" t="n">
        <v>46311</v>
      </c>
      <c r="J109" t="inlineStr">
        <is>
          <t>Disetujui, Pembekuan</t>
        </is>
      </c>
      <c r="K109" t="n">
        <v>30</v>
      </c>
      <c r="L109" t="inlineStr">
        <is>
          <t>16 Oktober 2026</t>
        </is>
      </c>
      <c r="M109" t="inlineStr">
        <is>
          <t>Dekorasi Interior, Konstruksi Gedung Perkantoran</t>
        </is>
      </c>
      <c r="N109" t="inlineStr">
        <is>
          <t>K, Spesialis</t>
        </is>
      </c>
      <c r="O109" t="inlineStr">
        <is>
          <t>20231006</t>
        </is>
      </c>
      <c r="P109" t="inlineStr">
        <is>
          <t>Jawa Barat</t>
        </is>
      </c>
      <c r="Q109" t="inlineStr"/>
    </row>
    <row r="110">
      <c r="A110" t="inlineStr">
        <is>
          <t>STAR MITRA SULAWESI</t>
        </is>
      </c>
      <c r="B110" t="inlineStr">
        <is>
          <t>Kota Makassar</t>
        </is>
      </c>
      <c r="C110" t="inlineStr">
        <is>
          <t>085227641192</t>
        </is>
      </c>
      <c r="D110" t="inlineStr">
        <is>
          <t>pt_sms@yahoo.com</t>
        </is>
      </c>
      <c r="E110" t="inlineStr">
        <is>
          <t>https://lpjk.pu.go.id/search-badan-usaha-detail/VkVjdzc1SEYwWVRBZTZuOUFhd0xBZz09</t>
        </is>
      </c>
      <c r="F110" t="n">
        <v>3</v>
      </c>
      <c r="G110" t="inlineStr">
        <is>
          <t>BG004, BG005, BG006</t>
        </is>
      </c>
      <c r="H110" t="inlineStr">
        <is>
          <t>4 Januari 2008</t>
        </is>
      </c>
      <c r="I110" s="2" t="n">
        <v>46311</v>
      </c>
      <c r="J110" t="inlineStr">
        <is>
          <t>Disetujui</t>
        </is>
      </c>
      <c r="K110" t="n">
        <v>30</v>
      </c>
      <c r="L110" t="inlineStr">
        <is>
          <t>16 Oktober 2026</t>
        </is>
      </c>
      <c r="M110" t="inlineStr">
        <is>
          <t>Konstruksi Gedung Kesehatan, Konstruksi Gedung Pendidikan, Konstruksi Gedung Perbelanjaan</t>
        </is>
      </c>
      <c r="N110" t="inlineStr">
        <is>
          <t>K</t>
        </is>
      </c>
      <c r="O110" t="inlineStr">
        <is>
          <t>20231011</t>
        </is>
      </c>
      <c r="P110" t="inlineStr">
        <is>
          <t>Sulawesi Selatan</t>
        </is>
      </c>
      <c r="Q110" t="inlineStr"/>
    </row>
    <row r="111">
      <c r="A111" t="inlineStr">
        <is>
          <t>SUMBER JAYA</t>
        </is>
      </c>
      <c r="B111" t="inlineStr">
        <is>
          <t>Kota Surabaya</t>
        </is>
      </c>
      <c r="C111" t="inlineStr">
        <is>
          <t>0315673911</t>
        </is>
      </c>
      <c r="D111" t="inlineStr">
        <is>
          <t>sumberjaya_cv@gmail.com</t>
        </is>
      </c>
      <c r="E111" t="inlineStr">
        <is>
          <t>https://lpjk.pu.go.id/search-badan-usaha-detail/OVR2RnBocXVHODV4a2FaTThrREpNZz09</t>
        </is>
      </c>
      <c r="F111" t="n">
        <v>3</v>
      </c>
      <c r="G111" t="inlineStr">
        <is>
          <t>BS001, BS002, BS004</t>
        </is>
      </c>
      <c r="H111" t="inlineStr">
        <is>
          <t>17 Oktober 2002</t>
        </is>
      </c>
      <c r="I111" s="2" t="n">
        <v>46311</v>
      </c>
      <c r="J111" t="inlineStr">
        <is>
          <t>Disetujui</t>
        </is>
      </c>
      <c r="K111" t="n">
        <v>30</v>
      </c>
      <c r="L111" t="inlineStr">
        <is>
          <t>16 Oktober 2026</t>
        </is>
      </c>
      <c r="M111" t="inlineStr">
        <is>
          <t>Bangunan Sipil Jembatan, Jalan Layang, Fly Over, dan Underpass, Konstruksi Bangunan Sipil Jalan, Konstruksi Jaringan Irigasi dan Drainase</t>
        </is>
      </c>
      <c r="N111" t="inlineStr">
        <is>
          <t>K</t>
        </is>
      </c>
      <c r="O111" t="inlineStr">
        <is>
          <t>20230929, 20231016, 20231017</t>
        </is>
      </c>
      <c r="P111" t="inlineStr">
        <is>
          <t>Jawa Timur</t>
        </is>
      </c>
      <c r="Q111" t="inlineStr"/>
    </row>
    <row r="112">
      <c r="A112" t="inlineStr">
        <is>
          <t>SUNRISE PRO LANDSKAP</t>
        </is>
      </c>
      <c r="B112" t="inlineStr">
        <is>
          <t>Kab. Cirebon</t>
        </is>
      </c>
      <c r="C112" t="inlineStr">
        <is>
          <t>08562206085</t>
        </is>
      </c>
      <c r="D112" t="inlineStr">
        <is>
          <t>rekom.landskap@gmail.com</t>
        </is>
      </c>
      <c r="E112" t="inlineStr">
        <is>
          <t>https://lpjk.pu.go.id/search-badan-usaha-detail/aWxNZFlPdjhHY1FFc0NjV3ZYTVlvUT09</t>
        </is>
      </c>
      <c r="F112" t="n">
        <v>3</v>
      </c>
      <c r="G112" t="inlineStr">
        <is>
          <t>BG005, BG006, BG009</t>
        </is>
      </c>
      <c r="H112" t="inlineStr">
        <is>
          <t>30 Juli 2019</t>
        </is>
      </c>
      <c r="I112" s="2" t="n">
        <v>46311</v>
      </c>
      <c r="J112" t="inlineStr">
        <is>
          <t>Disetujui, Pencabutan</t>
        </is>
      </c>
      <c r="K112" t="n">
        <v>30</v>
      </c>
      <c r="L112" t="inlineStr">
        <is>
          <t>16 Oktober 2026</t>
        </is>
      </c>
      <c r="M112" t="inlineStr">
        <is>
          <t>Konstruksi Gedung Kesehatan, Konstruksi Gedung Lainnya, Konstruksi Gedung Pendidikan</t>
        </is>
      </c>
      <c r="N112" t="inlineStr">
        <is>
          <t>K</t>
        </is>
      </c>
      <c r="O112" t="inlineStr">
        <is>
          <t>20230603, 20231015</t>
        </is>
      </c>
      <c r="P112" t="inlineStr">
        <is>
          <t>Jawa Barat</t>
        </is>
      </c>
      <c r="Q112" t="inlineStr"/>
    </row>
    <row r="113">
      <c r="A113" t="inlineStr">
        <is>
          <t>TARUNA KARYA MANDIRI</t>
        </is>
      </c>
      <c r="B113" t="inlineStr">
        <is>
          <t>Kab. Cirebon</t>
        </is>
      </c>
      <c r="C113" t="inlineStr">
        <is>
          <t>02313385136</t>
        </is>
      </c>
      <c r="D113" t="inlineStr">
        <is>
          <t>taruna_karya@yahoo.com</t>
        </is>
      </c>
      <c r="E113" t="inlineStr">
        <is>
          <t>https://lpjk.pu.go.id/search-badan-usaha-detail/WTVPYWF2d0xtQTNIREgvaGNueTZlQT09</t>
        </is>
      </c>
      <c r="F113" t="n">
        <v>6</v>
      </c>
      <c r="G113" t="inlineStr">
        <is>
          <t>BG005, BG006, BG009, BS001, BS004, BS010</t>
        </is>
      </c>
      <c r="H113" t="inlineStr">
        <is>
          <t>18 September 2002</t>
        </is>
      </c>
      <c r="I113" s="2" t="n">
        <v>46311</v>
      </c>
      <c r="J113" t="inlineStr">
        <is>
          <t>Disetujui</t>
        </is>
      </c>
      <c r="K113" t="n">
        <v>30</v>
      </c>
      <c r="L113" t="inlineStr">
        <is>
          <t>16 Oktober 2026</t>
        </is>
      </c>
      <c r="M113" t="inlineStr">
        <is>
          <t>Konstruksi Bangunan Prasarana Sumber Daya Air, Konstruksi Bangunan Sipil Jalan, Konstruksi Gedung Kesehatan, Konstruksi Gedung Lainnya, Konstruksi Gedung Pendidikan, Konstruksi Jaringan Irigasi dan Drainase</t>
        </is>
      </c>
      <c r="N113" t="inlineStr">
        <is>
          <t>K</t>
        </is>
      </c>
      <c r="O113" t="inlineStr">
        <is>
          <t>20230929, 20231005</t>
        </is>
      </c>
      <c r="P113" t="inlineStr">
        <is>
          <t>Jawa Barat</t>
        </is>
      </c>
      <c r="Q113" t="inlineStr"/>
    </row>
    <row r="114">
      <c r="A114" t="inlineStr">
        <is>
          <t>TATA BANGUN PERKASA</t>
        </is>
      </c>
      <c r="B114" t="inlineStr">
        <is>
          <t>Kab. Polewali Mandar</t>
        </is>
      </c>
      <c r="C114" t="inlineStr">
        <is>
          <t>085293437333</t>
        </is>
      </c>
      <c r="D114" t="inlineStr">
        <is>
          <t>cvtatabangunperkasa@gmail.com</t>
        </is>
      </c>
      <c r="E114" t="inlineStr">
        <is>
          <t>https://lpjk.pu.go.id/search-badan-usaha-detail/UWFEL0pCMmFxZnVMV2M4TkptaEJYZz09</t>
        </is>
      </c>
      <c r="F114" t="n">
        <v>2</v>
      </c>
      <c r="G114" t="inlineStr">
        <is>
          <t>BS001, BS004</t>
        </is>
      </c>
      <c r="H114" t="inlineStr">
        <is>
          <t>9 Januari 2020</t>
        </is>
      </c>
      <c r="I114" s="2" t="n">
        <v>46311</v>
      </c>
      <c r="J114" t="inlineStr">
        <is>
          <t>Disetujui</t>
        </is>
      </c>
      <c r="K114" t="n">
        <v>30</v>
      </c>
      <c r="L114" t="inlineStr">
        <is>
          <t>16 Oktober 2026</t>
        </is>
      </c>
      <c r="M114" t="inlineStr">
        <is>
          <t>Konstruksi Bangunan Sipil Jalan, Konstruksi Jaringan Irigasi dan Drainase</t>
        </is>
      </c>
      <c r="N114" t="inlineStr">
        <is>
          <t>K</t>
        </is>
      </c>
      <c r="O114" t="inlineStr">
        <is>
          <t>20231016</t>
        </is>
      </c>
      <c r="P114" t="inlineStr">
        <is>
          <t>Sulawesi Barat</t>
        </is>
      </c>
      <c r="Q114" t="inlineStr"/>
    </row>
    <row r="115">
      <c r="A115" t="inlineStr">
        <is>
          <t>TERA KARYA MULIATAMA</t>
        </is>
      </c>
      <c r="B115" t="inlineStr">
        <is>
          <t>Kota Adm. Jakarta Barat</t>
        </is>
      </c>
      <c r="C115" t="inlineStr">
        <is>
          <t>0816101140</t>
        </is>
      </c>
      <c r="D115" t="inlineStr">
        <is>
          <t>terakarya@gmail.com</t>
        </is>
      </c>
      <c r="E115" t="inlineStr">
        <is>
          <t>https://lpjk.pu.go.id/search-badan-usaha-detail/K1pUbFY3c1ZrTWdSaGZjVTZOSHNidz09</t>
        </is>
      </c>
      <c r="F115" t="n">
        <v>3</v>
      </c>
      <c r="G115" t="inlineStr">
        <is>
          <t>BG002, BG004, BG009</t>
        </is>
      </c>
      <c r="H115" t="inlineStr">
        <is>
          <t>23 Agustus 2023</t>
        </is>
      </c>
      <c r="I115" s="2" t="n">
        <v>46311</v>
      </c>
      <c r="J115" t="inlineStr">
        <is>
          <t>Disetujui</t>
        </is>
      </c>
      <c r="K115" t="n">
        <v>30</v>
      </c>
      <c r="L115" t="inlineStr">
        <is>
          <t>16 Oktober 2026</t>
        </is>
      </c>
      <c r="M115" t="inlineStr">
        <is>
          <t>Konstruksi Gedung Lainnya, Konstruksi Gedung Perbelanjaan, Konstruksi Gedung Perkantoran</t>
        </is>
      </c>
      <c r="N115" t="inlineStr">
        <is>
          <t>K</t>
        </is>
      </c>
      <c r="O115" t="inlineStr">
        <is>
          <t>20231016</t>
        </is>
      </c>
      <c r="P115" t="inlineStr">
        <is>
          <t>DKI Jakarta</t>
        </is>
      </c>
      <c r="Q115" t="inlineStr"/>
    </row>
    <row r="116">
      <c r="A116" t="inlineStr">
        <is>
          <t>THREE HARD KEPRI</t>
        </is>
      </c>
      <c r="B116" t="inlineStr">
        <is>
          <t>Kota Tanjung Pinang</t>
        </is>
      </c>
      <c r="C116" t="inlineStr">
        <is>
          <t>081364950888</t>
        </is>
      </c>
      <c r="D116" t="inlineStr">
        <is>
          <t>bendry.hardja@gmail.com</t>
        </is>
      </c>
      <c r="E116" t="inlineStr">
        <is>
          <t>https://lpjk.pu.go.id/search-badan-usaha-detail/VldXYndTQldPNHhqWFQ5Uk5makNsZz09</t>
        </is>
      </c>
      <c r="F116" t="n">
        <v>4</v>
      </c>
      <c r="G116" t="inlineStr">
        <is>
          <t>BG002, BG005, BG009, BS001</t>
        </is>
      </c>
      <c r="H116" t="inlineStr">
        <is>
          <t>8 November 2014</t>
        </is>
      </c>
      <c r="I116" s="2" t="n">
        <v>46311</v>
      </c>
      <c r="J116" t="inlineStr">
        <is>
          <t>Disetujui</t>
        </is>
      </c>
      <c r="K116" t="n">
        <v>30</v>
      </c>
      <c r="L116" t="inlineStr">
        <is>
          <t>16 Oktober 2026</t>
        </is>
      </c>
      <c r="M116" t="inlineStr">
        <is>
          <t>Konstruksi Bangunan Sipil Jalan, Konstruksi Gedung Kesehatan, Konstruksi Gedung Lainnya, Konstruksi Gedung Perkantoran</t>
        </is>
      </c>
      <c r="N116" t="inlineStr">
        <is>
          <t>K</t>
        </is>
      </c>
      <c r="O116" t="inlineStr">
        <is>
          <t>20231013, 20231016</t>
        </is>
      </c>
      <c r="P116" t="inlineStr">
        <is>
          <t>Kepulauan Riau</t>
        </is>
      </c>
      <c r="Q116" t="inlineStr"/>
    </row>
    <row r="117">
      <c r="A117" t="inlineStr">
        <is>
          <t>TIARA PRATAMA MANDIRI</t>
        </is>
      </c>
      <c r="B117" t="inlineStr">
        <is>
          <t>Kota Samarinda</t>
        </is>
      </c>
      <c r="C117" t="inlineStr">
        <is>
          <t>082298222281</t>
        </is>
      </c>
      <c r="D117" t="inlineStr">
        <is>
          <t>tiarapratamamandiri.smd@gmail.com</t>
        </is>
      </c>
      <c r="E117" t="inlineStr">
        <is>
          <t>https://lpjk.pu.go.id/search-badan-usaha-detail/aGVNSGlYSFJNWWlOVmpyQURlenBrdz09</t>
        </is>
      </c>
      <c r="F117" t="n">
        <v>1</v>
      </c>
      <c r="G117" t="inlineStr">
        <is>
          <t>BG009</t>
        </is>
      </c>
      <c r="H117" t="inlineStr">
        <is>
          <t>12 Juni 2020</t>
        </is>
      </c>
      <c r="I117" s="2" t="n">
        <v>46311</v>
      </c>
      <c r="J117" t="inlineStr">
        <is>
          <t>Disetujui</t>
        </is>
      </c>
      <c r="K117" t="n">
        <v>30</v>
      </c>
      <c r="L117" t="inlineStr">
        <is>
          <t>16 Oktober 2026</t>
        </is>
      </c>
      <c r="M117" t="inlineStr">
        <is>
          <t>Konstruksi Gedung Lainnya</t>
        </is>
      </c>
      <c r="N117" t="inlineStr">
        <is>
          <t>K</t>
        </is>
      </c>
      <c r="O117" t="inlineStr">
        <is>
          <t>20231011</t>
        </is>
      </c>
      <c r="P117" t="inlineStr">
        <is>
          <t>Kalimantan Timur</t>
        </is>
      </c>
      <c r="Q117" t="inlineStr"/>
    </row>
    <row r="118">
      <c r="A118" t="inlineStr">
        <is>
          <t>TIGA PERMATA KONSTRUKSI</t>
        </is>
      </c>
      <c r="B118" t="inlineStr">
        <is>
          <t>Kota Bandar Lampung</t>
        </is>
      </c>
      <c r="C118" t="inlineStr">
        <is>
          <t>085329666631</t>
        </is>
      </c>
      <c r="D118" t="inlineStr">
        <is>
          <t>tigapermata31@gmail.com</t>
        </is>
      </c>
      <c r="E118" t="inlineStr">
        <is>
          <t>https://lpjk.pu.go.id/search-badan-usaha-detail/aWlIbExPdWt6Uy9iMFU4bnRaSFpMQT09</t>
        </is>
      </c>
      <c r="F118" t="n">
        <v>1</v>
      </c>
      <c r="G118" t="inlineStr">
        <is>
          <t>BS001</t>
        </is>
      </c>
      <c r="H118" t="inlineStr">
        <is>
          <t>8 Januari 2020</t>
        </is>
      </c>
      <c r="I118" s="2" t="n">
        <v>46311</v>
      </c>
      <c r="J118" t="inlineStr">
        <is>
          <t>Disetujui</t>
        </is>
      </c>
      <c r="K118" t="n">
        <v>30</v>
      </c>
      <c r="L118" t="inlineStr">
        <is>
          <t>16 Oktober 2026</t>
        </is>
      </c>
      <c r="M118" t="inlineStr">
        <is>
          <t>Konstruksi Bangunan Sipil Jalan</t>
        </is>
      </c>
      <c r="N118" t="inlineStr">
        <is>
          <t>K</t>
        </is>
      </c>
      <c r="O118" t="inlineStr">
        <is>
          <t>20231013</t>
        </is>
      </c>
      <c r="P118" t="inlineStr">
        <is>
          <t>Lampung</t>
        </is>
      </c>
      <c r="Q118" t="inlineStr"/>
    </row>
    <row r="119">
      <c r="A119" t="inlineStr">
        <is>
          <t>TRI BUANA KARYA INDONESIA</t>
        </is>
      </c>
      <c r="B119" t="inlineStr">
        <is>
          <t>Kab. Pacitan</t>
        </is>
      </c>
      <c r="C119" t="inlineStr">
        <is>
          <t>087758921777</t>
        </is>
      </c>
      <c r="D119" t="inlineStr">
        <is>
          <t>tribuanakaryapct@gmail.com</t>
        </is>
      </c>
      <c r="E119" t="inlineStr">
        <is>
          <t>https://lpjk.pu.go.id/search-badan-usaha-detail/OUl3enNnZllJVnFZbVNDMU1SRzFLdz09</t>
        </is>
      </c>
      <c r="F119" t="n">
        <v>2</v>
      </c>
      <c r="G119" t="inlineStr">
        <is>
          <t>RK001, RK003</t>
        </is>
      </c>
      <c r="H119" t="inlineStr">
        <is>
          <t>13 Januari 2023</t>
        </is>
      </c>
      <c r="I119" s="2" t="n">
        <v>46311</v>
      </c>
      <c r="J119" t="inlineStr">
        <is>
          <t>Disetujui</t>
        </is>
      </c>
      <c r="K119" t="n">
        <v>30</v>
      </c>
      <c r="L119" t="inlineStr">
        <is>
          <t>16 Oktober 2026</t>
        </is>
      </c>
      <c r="M119" t="inlineStr">
        <is>
          <t>Jasa Rekayasa Konstruksi Bangunan Gedung Hunian dan Non Hunian, Jasa Rekayasa Pekerjaan Teknik Sipil Transportasi</t>
        </is>
      </c>
      <c r="N119" t="inlineStr">
        <is>
          <t>K</t>
        </is>
      </c>
      <c r="O119" t="inlineStr">
        <is>
          <t>20231004</t>
        </is>
      </c>
      <c r="P119" t="inlineStr">
        <is>
          <t>Jawa Timur</t>
        </is>
      </c>
      <c r="Q119" t="inlineStr"/>
    </row>
    <row r="120">
      <c r="A120" t="inlineStr">
        <is>
          <t>TRI JAYA FAMILY</t>
        </is>
      </c>
      <c r="B120" t="inlineStr">
        <is>
          <t>Kota Banda Aceh</t>
        </is>
      </c>
      <c r="C120" t="inlineStr">
        <is>
          <t>081261619911</t>
        </is>
      </c>
      <c r="D120" t="inlineStr">
        <is>
          <t>trijayafamili@gmail.com</t>
        </is>
      </c>
      <c r="E120" t="inlineStr">
        <is>
          <t>https://lpjk.pu.go.id/search-badan-usaha-detail/TFZIdzAxay9ZanA2bHZTbG12eFVUdz09</t>
        </is>
      </c>
      <c r="F120" t="n">
        <v>1</v>
      </c>
      <c r="G120" t="inlineStr">
        <is>
          <t>BS005</t>
        </is>
      </c>
      <c r="H120" t="inlineStr">
        <is>
          <t>20 September 2012</t>
        </is>
      </c>
      <c r="I120" s="2" t="n">
        <v>46311</v>
      </c>
      <c r="J120" t="inlineStr">
        <is>
          <t>Disetujui</t>
        </is>
      </c>
      <c r="K120" t="n">
        <v>30</v>
      </c>
      <c r="L120" t="inlineStr">
        <is>
          <t>16 Oktober 2026</t>
        </is>
      </c>
      <c r="M120" t="inlineStr">
        <is>
          <t>Konstruksi Bangunan Sipil Pengolahan Air Bersih</t>
        </is>
      </c>
      <c r="N120" t="inlineStr">
        <is>
          <t>K</t>
        </is>
      </c>
      <c r="O120" t="inlineStr">
        <is>
          <t>20231016</t>
        </is>
      </c>
      <c r="P120" t="inlineStr">
        <is>
          <t>Aceh</t>
        </is>
      </c>
      <c r="Q120" t="inlineStr"/>
    </row>
    <row r="121">
      <c r="A121" t="inlineStr">
        <is>
          <t>TUNAS KARYA</t>
        </is>
      </c>
      <c r="B121" t="inlineStr">
        <is>
          <t>Kab. Banyumas</t>
        </is>
      </c>
      <c r="C121" t="inlineStr">
        <is>
          <t>082236937788</t>
        </is>
      </c>
      <c r="D121" t="inlineStr">
        <is>
          <t>tunaskaryacv5@gmail.com</t>
        </is>
      </c>
      <c r="E121" t="inlineStr">
        <is>
          <t>https://lpjk.pu.go.id/search-badan-usaha-detail/bFd1UllIWFJ0Vm9CVlBoSUZXaWxRQT09</t>
        </is>
      </c>
      <c r="F121" t="n">
        <v>5</v>
      </c>
      <c r="G121" t="inlineStr">
        <is>
          <t>BG003, BG004, BG005, BG006, BG009</t>
        </is>
      </c>
      <c r="H121" t="inlineStr">
        <is>
          <t>29 Maret 2017</t>
        </is>
      </c>
      <c r="I121" s="2" t="n">
        <v>46311</v>
      </c>
      <c r="J121" t="inlineStr">
        <is>
          <t>Disetujui</t>
        </is>
      </c>
      <c r="K121" t="n">
        <v>30</v>
      </c>
      <c r="L121" t="inlineStr">
        <is>
          <t>16 Oktober 2026</t>
        </is>
      </c>
      <c r="M121" t="inlineStr">
        <is>
          <t>Konstruksi Gedung Industri, Konstruksi Gedung Kesehatan, Konstruksi Gedung Lainnya, Konstruksi Gedung Pendidikan, Konstruksi Gedung Perbelanjaan</t>
        </is>
      </c>
      <c r="N121" t="inlineStr">
        <is>
          <t>K</t>
        </is>
      </c>
      <c r="O121" t="inlineStr">
        <is>
          <t>20231012, 20231015</t>
        </is>
      </c>
      <c r="P121" t="inlineStr">
        <is>
          <t>Jawa Tengah</t>
        </is>
      </c>
      <c r="Q121" t="inlineStr"/>
    </row>
    <row r="122">
      <c r="A122" t="inlineStr">
        <is>
          <t>UNGGUL CIPTA</t>
        </is>
      </c>
      <c r="B122" t="inlineStr">
        <is>
          <t>Kab. Cilacap</t>
        </is>
      </c>
      <c r="C122" t="inlineStr">
        <is>
          <t>087737040364</t>
        </is>
      </c>
      <c r="D122" t="inlineStr">
        <is>
          <t>unggulciptamajenang@gmail.com</t>
        </is>
      </c>
      <c r="E122" t="inlineStr">
        <is>
          <t>https://lpjk.pu.go.id/search-badan-usaha-detail/empXNHVhSXJXNEhUZjZ5THlldkJzZz09</t>
        </is>
      </c>
      <c r="F122" t="n">
        <v>1</v>
      </c>
      <c r="G122" t="inlineStr">
        <is>
          <t>BS004</t>
        </is>
      </c>
      <c r="H122" t="inlineStr">
        <is>
          <t>23 Desember 1992</t>
        </is>
      </c>
      <c r="I122" s="2" t="n">
        <v>46311</v>
      </c>
      <c r="J122" t="inlineStr">
        <is>
          <t>Disetujui</t>
        </is>
      </c>
      <c r="K122" t="n">
        <v>30</v>
      </c>
      <c r="L122" t="inlineStr">
        <is>
          <t>16 Oktober 2026</t>
        </is>
      </c>
      <c r="M122" t="inlineStr">
        <is>
          <t>Konstruksi Jaringan Irigasi dan Drainase</t>
        </is>
      </c>
      <c r="N122" t="inlineStr">
        <is>
          <t>K</t>
        </is>
      </c>
      <c r="O122" t="inlineStr">
        <is>
          <t>20231005</t>
        </is>
      </c>
      <c r="P122" t="inlineStr">
        <is>
          <t>Jawa Tengah</t>
        </is>
      </c>
      <c r="Q122" t="inlineStr"/>
    </row>
    <row r="123">
      <c r="A123" t="inlineStr">
        <is>
          <t>WARNA RAPI INTERNUSA</t>
        </is>
      </c>
      <c r="B123" t="inlineStr">
        <is>
          <t>Kota Adm. Jakarta Pusat</t>
        </is>
      </c>
      <c r="C123" t="inlineStr">
        <is>
          <t>08179828285</t>
        </is>
      </c>
      <c r="D123" t="inlineStr">
        <is>
          <t>warnarapi@gmail.com</t>
        </is>
      </c>
      <c r="E123" t="inlineStr">
        <is>
          <t>https://lpjk.pu.go.id/search-badan-usaha-detail/bE1Mc1kxY1hDTHcxSlJ6eFlhYjI0Zz09</t>
        </is>
      </c>
      <c r="F123" t="n">
        <v>4</v>
      </c>
      <c r="G123" t="inlineStr">
        <is>
          <t>BG001, BG002, BG003, BG007</t>
        </is>
      </c>
      <c r="H123" t="inlineStr">
        <is>
          <t>23 Mei 2022</t>
        </is>
      </c>
      <c r="I123" s="2" t="n">
        <v>46311</v>
      </c>
      <c r="J123" t="inlineStr">
        <is>
          <t>Disetujui</t>
        </is>
      </c>
      <c r="K123" t="n">
        <v>30</v>
      </c>
      <c r="L123" t="inlineStr">
        <is>
          <t>16 Oktober 2026</t>
        </is>
      </c>
      <c r="M123" t="inlineStr">
        <is>
          <t>Konstruksi Gedung Hunian, Konstruksi Gedung Industri, Konstruksi Gedung Penginapan, Konstruksi Gedung Perkantoran</t>
        </is>
      </c>
      <c r="N123" t="inlineStr">
        <is>
          <t>K</t>
        </is>
      </c>
      <c r="O123" t="inlineStr">
        <is>
          <t>20231013</t>
        </is>
      </c>
      <c r="P123" t="inlineStr">
        <is>
          <t>DKI Jakarta</t>
        </is>
      </c>
      <c r="Q123" t="inlineStr"/>
    </row>
    <row r="124">
      <c r="A124" t="inlineStr">
        <is>
          <t>WATU WESI RAYA</t>
        </is>
      </c>
      <c r="B124" t="inlineStr">
        <is>
          <t>Kab. Klungkung</t>
        </is>
      </c>
      <c r="C124" t="inlineStr">
        <is>
          <t>081339410250</t>
        </is>
      </c>
      <c r="D124" t="inlineStr">
        <is>
          <t>cv.watuwesiraya23@gmail.com</t>
        </is>
      </c>
      <c r="E124" t="inlineStr">
        <is>
          <t>https://lpjk.pu.go.id/search-badan-usaha-detail/TCt1OHdCM2pJYTBEaWpETzZ1R0ZkZz09</t>
        </is>
      </c>
      <c r="F124" t="n">
        <v>1</v>
      </c>
      <c r="G124" t="inlineStr">
        <is>
          <t>BG008</t>
        </is>
      </c>
      <c r="H124" t="inlineStr">
        <is>
          <t>17 Juli 2023</t>
        </is>
      </c>
      <c r="I124" s="2" t="n">
        <v>46311</v>
      </c>
      <c r="J124" t="inlineStr">
        <is>
          <t>Disetujui</t>
        </is>
      </c>
      <c r="K124" t="n">
        <v>30</v>
      </c>
      <c r="L124" t="inlineStr">
        <is>
          <t>16 Oktober 2026</t>
        </is>
      </c>
      <c r="M124" t="inlineStr">
        <is>
          <t>Konstruksi Gedung Tempat Hiburan dan Olahraga</t>
        </is>
      </c>
      <c r="N124" t="inlineStr">
        <is>
          <t>K</t>
        </is>
      </c>
      <c r="O124" t="inlineStr">
        <is>
          <t>20230914</t>
        </is>
      </c>
      <c r="P124" t="inlineStr">
        <is>
          <t>Bali</t>
        </is>
      </c>
      <c r="Q124" t="inlineStr"/>
    </row>
    <row r="125">
      <c r="A125" t="inlineStr">
        <is>
          <t>WIRA JAYA KONSTRUKSI</t>
        </is>
      </c>
      <c r="B125" t="inlineStr">
        <is>
          <t>Kota Makassar</t>
        </is>
      </c>
      <c r="C125" t="inlineStr">
        <is>
          <t>081256954500</t>
        </is>
      </c>
      <c r="D125" t="inlineStr">
        <is>
          <t>wirajayakonstruksi@gmail.com</t>
        </is>
      </c>
      <c r="E125" t="inlineStr">
        <is>
          <t>https://lpjk.pu.go.id/search-badan-usaha-detail/UXRsQ3Y0ZjlLWmhlWkxZUVBJRzM2QT09</t>
        </is>
      </c>
      <c r="F125" t="n">
        <v>4</v>
      </c>
      <c r="G125" t="inlineStr">
        <is>
          <t>BG002, BG004, BG005, BG006</t>
        </is>
      </c>
      <c r="H125" t="inlineStr">
        <is>
          <t>11 Agustus 2022</t>
        </is>
      </c>
      <c r="I125" s="2" t="n">
        <v>46311</v>
      </c>
      <c r="J125" t="inlineStr">
        <is>
          <t>Disetujui</t>
        </is>
      </c>
      <c r="K125" t="n">
        <v>30</v>
      </c>
      <c r="L125" t="inlineStr">
        <is>
          <t>16 Oktober 2026</t>
        </is>
      </c>
      <c r="M125" t="inlineStr">
        <is>
          <t>Konstruksi Gedung Kesehatan, Konstruksi Gedung Pendidikan, Konstruksi Gedung Perbelanjaan, Konstruksi Gedung Perkantoran</t>
        </is>
      </c>
      <c r="N125" t="inlineStr">
        <is>
          <t>K</t>
        </is>
      </c>
      <c r="O125" t="inlineStr">
        <is>
          <t>20230905</t>
        </is>
      </c>
      <c r="P125" t="inlineStr">
        <is>
          <t>Sulawesi Selatan</t>
        </is>
      </c>
      <c r="Q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2026-09-16T02:44:46Z</dcterms:created>
  <dcterms:modified xsi:type="dcterms:W3CDTF">2026-09-16T02:44:47Z</dcterms:modified>
</cp:coreProperties>
</file>